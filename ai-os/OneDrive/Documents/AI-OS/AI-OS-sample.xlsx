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4.xml" ContentType="application/vnd.openxmlformats-officedocument.spreadsheetml.comments+xml"/>
  <Override PartName="/xl/comments13.xml" ContentType="application/vnd.openxmlformats-officedocument.spreadsheetml.comments+xml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12.xml" ContentType="application/vnd.openxmlformats-officedocument.spreadsheetml.comments+xml"/>
  <Override PartName="/xl/comments7.xml" ContentType="application/vnd.openxmlformats-officedocument.spreadsheetml.comment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Portfolio" sheetId="2" state="visible" r:id="rId4"/>
    <sheet name="Weekly Status" sheetId="3" state="visible" r:id="rId5"/>
    <sheet name="Gates" sheetId="4" state="visible" r:id="rId6"/>
    <sheet name="Use Case" sheetId="5" state="visible" r:id="rId7"/>
    <sheet name="Use Cases" sheetId="6" state="visible" r:id="rId8"/>
    <sheet name="Inventory" sheetId="7" state="visible" r:id="rId9"/>
    <sheet name="Done" sheetId="8" state="visible" r:id="rId10"/>
    <sheet name="Value" sheetId="9" state="visible" r:id="rId11"/>
    <sheet name="Answers" sheetId="10" state="visible" r:id="rId12"/>
    <sheet name="Reviews" sheetId="11" state="visible" r:id="rId13"/>
    <sheet name="Changes" sheetId="12" state="visible" r:id="rId14"/>
    <sheet name="Topics" sheetId="13" state="visible" r:id="rId15"/>
    <sheet name="People" sheetId="14" state="visible" r:id="rId16"/>
    <sheet name="Commands" sheetId="15" state="visible" r:id="rId17"/>
    <sheet name="Config" sheetId="16" state="visible" r:id="rId18"/>
    <sheet name="Read Me" sheetId="17" state="visible" r:id="rId19"/>
  </sheets>
  <definedNames>
    <definedName function="false" hidden="true" localSheetId="9" name="_xlnm._FilterDatabase" vbProcedure="false">Answers!$A$1:$I$1001</definedName>
    <definedName function="false" hidden="true" localSheetId="11" name="_xlnm._FilterDatabase" vbProcedure="false">Changes!$A$1:$F$1001</definedName>
    <definedName function="false" hidden="true" localSheetId="7" name="_xlnm._FilterDatabase" vbProcedure="false">Done!$A$1:$I$1001</definedName>
    <definedName function="false" hidden="true" localSheetId="6" name="_xlnm._FilterDatabase" vbProcedure="false">Inventory!$A$1:$S$1001</definedName>
    <definedName function="false" hidden="true" localSheetId="13" name="_xlnm._FilterDatabase" vbProcedure="false">People!$A$1:$G$501</definedName>
    <definedName function="false" hidden="true" localSheetId="10" name="_xlnm._FilterDatabase" vbProcedure="false">Reviews!$A$1:$G$1001</definedName>
    <definedName function="false" hidden="true" localSheetId="12" name="_xlnm._FilterDatabase" vbProcedure="false">Topics!$A$1:$J$201</definedName>
    <definedName function="false" hidden="true" localSheetId="5" name="_xlnm._FilterDatabase" vbProcedure="false">'Use Cases'!$A$1:$AZ$501</definedName>
    <definedName function="false" hidden="true" localSheetId="8" name="_xlnm._FilterDatabase" vbProcedure="false">Value!$A$1:$E$41</definedName>
    <definedName function="false" hidden="false" name="AsOf" vbProcedure="false">Config!$B$9</definedName>
    <definedName function="false" hidden="false" name="CapacityCommitted" vbProcedure="false">Config!$B$17</definedName>
    <definedName function="false" hidden="false" name="CapacityOpen" vbProcedure="false">Config!$B$18</definedName>
    <definedName function="false" hidden="false" name="CapacityPoints" vbProcedure="false">Config!$B$16</definedName>
    <definedName function="false" hidden="false" name="DecisionCritical" vbProcedure="false">Config!$B$13</definedName>
    <definedName function="false" hidden="false" name="DecisionWarn" vbProcedure="false">Config!$B$12</definedName>
    <definedName function="false" hidden="false" name="JiraProjects" vbProcedure="false">Config!$B$6</definedName>
    <definedName function="false" hidden="false" name="JiraScope" vbProcedure="false">Config!$B$7</definedName>
    <definedName function="false" hidden="false" name="JiraSite" vbProcedure="false">Config!$B$5</definedName>
    <definedName function="false" hidden="false" name="MapStage" vbProcedure="false">Config!$H$27:$H$66</definedName>
    <definedName function="false" hidden="false" name="MapStatus" vbProcedure="false">Config!$G$27:$G$66</definedName>
    <definedName function="false" hidden="false" name="OwnerName" vbProcedure="false">Config!$B$4</definedName>
    <definedName function="false" hidden="false" name="SampleAsOf" vbProcedure="false">Config!$B$8</definedName>
    <definedName function="false" hidden="false" name="SnapshotAge" vbProcedure="false">Config!$B$23</definedName>
    <definedName function="false" hidden="false" name="SnapshotAt" vbProcedure="false">Config!$B$20</definedName>
    <definedName function="false" hidden="false" name="SnapshotCount" vbProcedure="false">Config!$B$22</definedName>
    <definedName function="false" hidden="false" name="SnapshotMaxAge" vbProcedure="false">Config!$B$15</definedName>
    <definedName function="false" hidden="false" name="SnapshotSource" vbProcedure="false">Config!$B$21</definedName>
    <definedName function="false" hidden="false" name="StageForum" vbProcedure="false">Config!$E$27:$E$34</definedName>
    <definedName function="false" hidden="false" name="StageName" vbProcedure="false">Config!$A$27:$A$34</definedName>
    <definedName function="false" hidden="false" name="StageOwner" vbProcedure="false">Config!$D$27:$D$34</definedName>
    <definedName function="false" hidden="false" name="StageStale" vbProcedure="false">Config!$B$27:$B$34</definedName>
    <definedName function="false" hidden="false" name="StageWindow" vbProcedure="false">Config!$C$27:$C$34</definedName>
    <definedName function="false" hidden="false" name="TierDays" vbProcedure="false">Config!$B$38:$B$40</definedName>
    <definedName function="false" hidden="false" name="TierFuncs" vbProcedure="false">Config!$A$43:$A$50</definedName>
    <definedName function="false" hidden="false" name="TierName" vbProcedure="false">Config!$A$38:$A$40</definedName>
    <definedName function="false" hidden="false" name="UCRow" vbProcedure="false">'Use Case'!$L$5</definedName>
    <definedName function="false" hidden="false" name="UCSel" vbProcedure="false">'Use Case'!$E$5</definedName>
    <definedName function="false" hidden="false" name="UnconfirmedWarn" vbProcedure="false">Config!$B$14</definedName>
    <definedName function="false" hidden="false" name="WeekStart" vbProcedure="false">Config!$B$10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Jira issue key, e.g. AI-003.</t>
        </r>
      </text>
    </comment>
    <comment ref="B1" authorId="0">
      <text>
        <r>
          <rPr>
            <sz val="10"/>
            <rFont val="Arial"/>
            <family val="2"/>
          </rPr>
          <t xml:space="preserve">Jira summary.</t>
        </r>
      </text>
    </comment>
    <comment ref="C1" authorId="0">
      <text>
        <r>
          <rPr>
            <sz val="10"/>
            <rFont val="Arial"/>
            <family val="2"/>
          </rPr>
          <t xml:space="preserve">Exactly as Jira shows it. Mapped to a stage on Config.</t>
        </r>
      </text>
    </comment>
    <comment ref="D1" authorId="0">
      <text>
        <r>
          <rPr>
            <sz val="10"/>
            <rFont val="Arial"/>
            <family val="2"/>
          </rPr>
          <t xml:space="preserve">Business function. Payments, Collections, Consumer Lending and Fraud Operations make it high tier.</t>
        </r>
      </text>
    </comment>
    <comment ref="E1" authorId="0">
      <text>
        <r>
          <rPr>
            <sz val="10"/>
            <rFont val="Arial"/>
            <family val="2"/>
          </rPr>
          <t xml:space="preserve">PM owner (Jira assignee).</t>
        </r>
      </text>
    </comment>
    <comment ref="F1" authorId="0">
      <text>
        <r>
          <rPr>
            <sz val="10"/>
            <rFont val="Arial"/>
            <family val="2"/>
          </rPr>
          <t xml:space="preserve">Named business sponsor accountable for the value.</t>
        </r>
      </text>
    </comment>
    <comment ref="G1" authorId="0">
      <text>
        <r>
          <rPr>
            <sz val="10"/>
            <rFont val="Arial"/>
            <family val="2"/>
          </rPr>
          <t xml:space="preserve">Jira Created. Starts the tier clock.</t>
        </r>
      </text>
    </comment>
    <comment ref="H1" authorId="0">
      <text>
        <r>
          <rPr>
            <sz val="10"/>
            <rFont val="Arial"/>
            <family val="2"/>
          </rPr>
          <t xml:space="preserve">Jira Updated. Drives freshness.</t>
        </r>
      </text>
    </comment>
    <comment ref="I1" authorId="0">
      <text>
        <r>
          <rPr>
            <sz val="10"/>
            <rFont val="Arial"/>
            <family val="2"/>
          </rPr>
          <t xml:space="preserve">Expected exit date of the CURRENT stage. Drives health.</t>
        </r>
      </text>
    </comment>
    <comment ref="J1" authorId="0">
      <text>
        <r>
          <rPr>
            <sz val="10"/>
            <rFont val="Arial"/>
            <family val="2"/>
          </rPr>
          <t xml:space="preserve">Pipe-separated: NPI | Reg report | No human review.</t>
        </r>
      </text>
    </comment>
    <comment ref="K1" authorId="0">
      <text>
        <r>
          <rPr>
            <sz val="10"/>
            <rFont val="Arial"/>
            <family val="2"/>
          </rPr>
          <t xml:space="preserve">Pipe-separated: revenue | cost | cycle | risk | insight.</t>
        </r>
      </text>
    </comment>
    <comment ref="L1" authorId="0">
      <text>
        <r>
          <rPr>
            <sz val="10"/>
            <rFont val="Arial"/>
            <family val="2"/>
          </rPr>
          <t xml:space="preserve">Estimated annual value, $K. Blank until sized.</t>
        </r>
      </text>
    </comment>
    <comment ref="M1" authorId="0">
      <text>
        <r>
          <rPr>
            <sz val="10"/>
            <rFont val="Arial"/>
            <family val="2"/>
          </rPr>
          <t xml:space="preserve">Job size in delivery points.</t>
        </r>
      </text>
    </comment>
    <comment ref="N1" authorId="0">
      <text>
        <r>
          <rPr>
            <sz val="10"/>
            <rFont val="Arial"/>
            <family val="2"/>
          </rPr>
          <t xml:space="preserve">WSJF score. Blank until scored.</t>
        </r>
      </text>
    </comment>
    <comment ref="O1" authorId="0">
      <text>
        <r>
          <rPr>
            <sz val="10"/>
            <rFont val="Arial"/>
            <family val="2"/>
          </rPr>
          <t xml:space="preserve">Y if a success metric and stop condition are set.</t>
        </r>
      </text>
    </comment>
    <comment ref="P1" authorId="0">
      <text>
        <r>
          <rPr>
            <sz val="10"/>
            <rFont val="Arial"/>
            <family val="2"/>
          </rPr>
          <t xml:space="preserve">ready, partial, none, or blank if not assessed.</t>
        </r>
      </text>
    </comment>
    <comment ref="Q1" authorId="0">
      <text>
        <r>
          <rPr>
            <sz val="10"/>
            <rFont val="Arial"/>
            <family val="2"/>
          </rPr>
          <t xml:space="preserve">Y if a baseline is measured.</t>
        </r>
      </text>
    </comment>
    <comment ref="R1" authorId="0">
      <text>
        <r>
          <rPr>
            <sz val="10"/>
            <rFont val="Arial"/>
            <family val="2"/>
          </rPr>
          <t xml:space="preserve">What it is blocked on, if anything.</t>
        </r>
      </text>
    </comment>
    <comment ref="S1" authorId="0">
      <text>
        <r>
          <rPr>
            <sz val="10"/>
            <rFont val="Arial"/>
            <family val="2"/>
          </rPr>
          <t xml:space="preserve">Date of the triage decision.</t>
        </r>
      </text>
    </comment>
    <comment ref="T1" authorId="0">
      <text>
        <r>
          <rPr>
            <sz val="10"/>
            <rFont val="Arial"/>
            <family val="2"/>
          </rPr>
          <t xml:space="preserve">Declined or Transferred, if closed that way.</t>
        </r>
      </text>
    </comment>
    <comment ref="U1" authorId="0">
      <text>
        <r>
          <rPr>
            <sz val="10"/>
            <rFont val="Arial"/>
            <family val="2"/>
          </rPr>
          <t xml:space="preserve">Date closed.</t>
        </r>
      </text>
    </comment>
    <comment ref="V1" authorId="0">
      <text>
        <r>
          <rPr>
            <sz val="10"/>
            <rFont val="Arial"/>
            <family val="2"/>
          </rPr>
          <t xml:space="preserve">Y if flagged in Jira.</t>
        </r>
      </text>
    </comment>
    <comment ref="W1" authorId="0">
      <text>
        <r>
          <rPr>
            <sz val="10"/>
            <rFont val="Arial"/>
            <family val="2"/>
          </rPr>
          <t xml:space="preserve">Topic slug, if it maps to one.</t>
        </r>
      </text>
    </comment>
    <comment ref="X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Y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Z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A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B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C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D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E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F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G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H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J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K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L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M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N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O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P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Q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R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S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T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U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V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W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X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Y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AZ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INV-0001, INV-0002 ... next number after the last row.</t>
        </r>
      </text>
    </comment>
    <comment ref="B1" authorId="0">
      <text>
        <r>
          <rPr>
            <sz val="10"/>
            <rFont val="Arial"/>
            <family val="2"/>
          </rPr>
          <t xml:space="preserve">Date the information arrived.</t>
        </r>
      </text>
    </comment>
    <comment ref="C1" authorId="0">
      <text>
        <r>
          <rPr>
            <sz val="10"/>
            <rFont val="Arial"/>
            <family val="2"/>
          </rPr>
          <t xml:space="preserve">New = what's new. Know = what we need to know. Decision = decision needed. Conflict = disagrees with the inventory. Confirmed / Resolved close an earlier row named in Ref.</t>
        </r>
      </text>
    </comment>
    <comment ref="D1" authorId="0">
      <text>
        <r>
          <rPr>
            <sz val="10"/>
            <rFont val="Arial"/>
            <family val="2"/>
          </rPr>
          <t xml:space="preserve">Topic slug from the Topics sheet.</t>
        </r>
      </text>
    </comment>
    <comment ref="E1" authorId="0">
      <text>
        <r>
          <rPr>
            <sz val="10"/>
            <rFont val="Arial"/>
            <family val="2"/>
          </rPr>
          <t xml:space="preserve">One sentence. No customer data.</t>
        </r>
      </text>
    </comment>
    <comment ref="F1" authorId="0">
      <text>
        <r>
          <rPr>
            <sz val="10"/>
            <rFont val="Arial"/>
            <family val="2"/>
          </rPr>
          <t xml:space="preserve">Person it came from.</t>
        </r>
      </text>
    </comment>
    <comment ref="G1" authorId="0">
      <text>
        <r>
          <rPr>
            <sz val="10"/>
            <rFont val="Arial"/>
            <family val="2"/>
          </rPr>
          <t xml:space="preserve">Meeting, Email, Teams, Call, Document, Jira, Session.</t>
        </r>
      </text>
    </comment>
    <comment ref="H1" authorId="0">
      <text>
        <r>
          <rPr>
            <sz val="10"/>
            <rFont val="Arial"/>
            <family val="2"/>
          </rPr>
          <t xml:space="preserve">Confirmed if first-hand or verified; Unconfirmed if second-hand.</t>
        </r>
      </text>
    </comment>
    <comment ref="I1" authorId="0">
      <text>
        <r>
          <rPr>
            <sz val="10"/>
            <rFont val="Arial"/>
            <family val="2"/>
          </rPr>
          <t xml:space="preserve">For Confirmed, Resolved or Conflict: the INV ID it refers to.</t>
        </r>
      </text>
    </comment>
    <comment ref="J1" authorId="0">
      <text>
        <r>
          <rPr>
            <sz val="10"/>
            <rFont val="Arial"/>
            <family val="2"/>
          </rPr>
          <t xml:space="preserve">Related use case key, if any.</t>
        </r>
      </text>
    </comment>
    <comment ref="K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L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M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N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O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P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Q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R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S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Day it was done.</t>
        </r>
      </text>
    </comment>
    <comment ref="B1" authorId="0">
      <text>
        <r>
          <rPr>
            <sz val="10"/>
            <rFont val="Arial"/>
            <family val="2"/>
          </rPr>
          <t xml:space="preserve">Outcome, not activity. 'Got MRM sign-off on X', not 'met with MRM'.</t>
        </r>
      </text>
    </comment>
    <comment ref="C1" authorId="0">
      <text>
        <r>
          <rPr>
            <sz val="10"/>
            <rFont val="Arial"/>
            <family val="2"/>
          </rPr>
          <t xml:space="preserve">Topic slug.</t>
        </r>
      </text>
    </comment>
    <comment ref="D1" authorId="0">
      <text>
        <r>
          <rPr>
            <sz val="10"/>
            <rFont val="Arial"/>
            <family val="2"/>
          </rPr>
          <t xml:space="preserve">Related use case key, if any.</t>
        </r>
      </text>
    </comment>
    <comment ref="E1" authorId="0">
      <text>
        <r>
          <rPr>
            <sz val="10"/>
            <rFont val="Arial"/>
            <family val="2"/>
          </rPr>
          <t xml:space="preserve">Session, Email, Teams, Calendar: where it was found.</t>
        </r>
      </text>
    </comment>
    <comment ref="F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G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H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e.g. Q3 '26</t>
        </r>
      </text>
    </comment>
    <comment ref="B1" authorId="0">
      <text>
        <r>
          <rPr>
            <sz val="10"/>
            <rFont val="Arial"/>
            <family val="2"/>
          </rPr>
          <t xml:space="preserve">Projected annual run-rate value, $K.</t>
        </r>
      </text>
    </comment>
    <comment ref="C1" authorId="0">
      <text>
        <r>
          <rPr>
            <sz val="10"/>
            <rFont val="Arial"/>
            <family val="2"/>
          </rPr>
          <t xml:space="preserve">Realized, as measured at the Portfolio Council.</t>
        </r>
      </text>
    </comment>
    <comment ref="D1" authorId="0">
      <text>
        <r>
          <rPr>
            <sz val="10"/>
            <rFont val="Arial"/>
            <family val="2"/>
          </rPr>
          <t xml:space="preserve">Y once the quarter is closed and measured.</t>
        </r>
      </text>
    </comment>
    <comment ref="E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Q-0001, Q-0002 ...</t>
        </r>
      </text>
    </comment>
    <comment ref="C1" authorId="0">
      <text>
        <r>
          <rPr>
            <sz val="10"/>
            <rFont val="Arial"/>
            <family val="2"/>
          </rPr>
          <t xml:space="preserve">As asked, minus anything personal.</t>
        </r>
      </text>
    </comment>
    <comment ref="D1" authorId="0">
      <text>
        <r>
          <rPr>
            <sz val="10"/>
            <rFont val="Arial"/>
            <family val="2"/>
          </rPr>
          <t xml:space="preserve">Answer = traced to a source. Routed = sent to a person or resource. Reuse = an earlier answer given again (its ID in Ref).</t>
        </r>
      </text>
    </comment>
    <comment ref="F1" authorId="0">
      <text>
        <r>
          <rPr>
            <sz val="10"/>
            <rFont val="Arial"/>
            <family val="2"/>
          </rPr>
          <t xml:space="preserve">Link or document it traces to, or the person routed to.</t>
        </r>
      </text>
    </comment>
    <comment ref="H1" authorId="0">
      <text>
        <r>
          <rPr>
            <sz val="10"/>
            <rFont val="Arial"/>
            <family val="2"/>
          </rPr>
          <t xml:space="preserve">For Reuse: the Q ID reused.</t>
        </r>
      </text>
    </comment>
    <comment ref="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File name or link.</t>
        </r>
      </text>
    </comment>
    <comment ref="D1" authorId="0">
      <text>
        <r>
          <rPr>
            <sz val="10"/>
            <rFont val="Arial"/>
            <family val="2"/>
          </rPr>
          <t xml:space="preserve">Checks passed (of 8).</t>
        </r>
      </text>
    </comment>
    <comment ref="E1" authorId="0">
      <text>
        <r>
          <rPr>
            <sz val="10"/>
            <rFont val="Arial"/>
            <family val="2"/>
          </rPr>
          <t xml:space="preserve">Checks failed.</t>
        </r>
      </text>
    </comment>
    <comment ref="F1" authorId="0">
      <text>
        <r>
          <rPr>
            <sz val="10"/>
            <rFont val="Arial"/>
            <family val="2"/>
          </rPr>
          <t xml:space="preserve">Ready, or Fix first.</t>
        </r>
      </text>
    </comment>
    <comment ref="G1" authorId="0">
      <text>
        <r>
          <rPr>
            <sz val="10"/>
            <rFont val="Arial"/>
            <family val="2"/>
          </rPr>
          <t xml:space="preserve">The single most important fix.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Where links were fixed.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Short slug, lowercase, hyphens. Used everywhere else.</t>
        </r>
      </text>
    </comment>
    <comment ref="D1" authorId="0">
      <text>
        <r>
          <rPr>
            <sz val="10"/>
            <rFont val="Arial"/>
            <family val="2"/>
          </rPr>
          <t xml:space="preserve">Weekly Intake, Tactical Standup or Portfolio Council.</t>
        </r>
      </text>
    </comment>
    <comment ref="E1" authorId="0">
      <text>
        <r>
          <rPr>
            <sz val="10"/>
            <rFont val="Arial"/>
            <family val="2"/>
          </rPr>
          <t xml:space="preserve">Use case keys or a label that ties them to it.</t>
        </r>
      </text>
    </comment>
    <comment ref="F1" authorId="0">
      <text>
        <r>
          <rPr>
            <sz val="10"/>
            <rFont val="Arial"/>
            <family val="2"/>
          </rPr>
          <t xml:space="preserve">Active, Paused, Closed.</t>
        </r>
      </text>
    </comment>
    <comment ref="G1" authorId="0">
      <text>
        <r>
          <rPr>
            <sz val="10"/>
            <rFont val="Arial"/>
            <family val="2"/>
          </rPr>
          <t xml:space="preserve">OneDrive path to its running notes.</t>
        </r>
      </text>
    </comment>
    <comment ref="H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I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  <comment ref="J1" authorId="0">
      <text>
        <r>
          <rPr>
            <sz val="10"/>
            <rFont val="Arial"/>
            <family val="2"/>
          </rPr>
          <t xml:space="preserve">Computed. Cowork never writes here. 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Topics, comma-separated. The Support Guide routes by this.</t>
        </r>
      </text>
    </comment>
    <comment ref="E1" authorId="0">
      <text>
        <r>
          <rPr>
            <sz val="10"/>
            <rFont val="Arial"/>
            <family val="2"/>
          </rPr>
          <t xml:space="preserve">Facts only. Nothing evaluative; that goes in Private.</t>
        </r>
      </text>
    </comment>
  </commentList>
</comments>
</file>

<file path=xl/sharedStrings.xml><?xml version="1.0" encoding="utf-8"?>
<sst xmlns="http://schemas.openxmlformats.org/spreadsheetml/2006/main" count="1165" uniqueCount="648">
  <si>
    <t xml:space="preserve">AI Operating System</t>
  </si>
  <si>
    <t xml:space="preserve">Home</t>
  </si>
  <si>
    <t xml:space="preserve">NEEDS YOU</t>
  </si>
  <si>
    <t xml:space="preserve">DONE THIS WEEK</t>
  </si>
  <si>
    <t xml:space="preserve">Needs you</t>
  </si>
  <si>
    <t xml:space="preserve">Open decisions, conflicts and unconfirmed items, worst first.</t>
  </si>
  <si>
    <t xml:space="preserve">#</t>
  </si>
  <si>
    <t xml:space="preserve">ID</t>
  </si>
  <si>
    <t xml:space="preserve">Type</t>
  </si>
  <si>
    <t xml:space="preserve">Topic</t>
  </si>
  <si>
    <t xml:space="preserve">Summary</t>
  </si>
  <si>
    <t xml:space="preserve">Age</t>
  </si>
  <si>
    <t xml:space="preserve">Severity</t>
  </si>
  <si>
    <t xml:space="preserve">Use case</t>
  </si>
  <si>
    <t xml:space="preserve">From</t>
  </si>
  <si>
    <t xml:space="preserve">Say this</t>
  </si>
  <si>
    <t xml:space="preserve">Use cases needing attention</t>
  </si>
  <si>
    <t xml:space="preserve">Overdue, flagged, failing their gate, at risk, stale or over their tier window.</t>
  </si>
  <si>
    <t xml:space="preserve">Key</t>
  </si>
  <si>
    <t xml:space="preserve">Stage</t>
  </si>
  <si>
    <t xml:space="preserve">Owner</t>
  </si>
  <si>
    <t xml:space="preserve">Days to target</t>
  </si>
  <si>
    <t xml:space="preserve">Health</t>
  </si>
  <si>
    <t xml:space="preserve">Gate</t>
  </si>
  <si>
    <t xml:space="preserve">Why</t>
  </si>
  <si>
    <t xml:space="preserve">Done this week</t>
  </si>
  <si>
    <t xml:space="preserve">Feeds the weekly report. Say: done: &lt;what you finished&gt;</t>
  </si>
  <si>
    <t xml:space="preserve">Date</t>
  </si>
  <si>
    <t xml:space="preserve">Accomplishment</t>
  </si>
  <si>
    <t xml:space="preserve">Accomplishments per week</t>
  </si>
  <si>
    <t xml:space="preserve">Last eight weeks.</t>
  </si>
  <si>
    <t xml:space="preserve">Week of</t>
  </si>
  <si>
    <t xml:space="preserve">Done</t>
  </si>
  <si>
    <t xml:space="preserve">Portfolio</t>
  </si>
  <si>
    <t xml:space="preserve">IN FLIGHT</t>
  </si>
  <si>
    <t xml:space="preserve">STALE</t>
  </si>
  <si>
    <t xml:space="preserve">CAPACITY</t>
  </si>
  <si>
    <t xml:space="preserve">Pipeline by stage</t>
  </si>
  <si>
    <t xml:space="preserve">Health against each use case's target date for the stage it is in.</t>
  </si>
  <si>
    <t xml:space="preserve">On track</t>
  </si>
  <si>
    <t xml:space="preserve">At risk</t>
  </si>
  <si>
    <t xml:space="preserve">Overdue</t>
  </si>
  <si>
    <t xml:space="preserve">Total</t>
  </si>
  <si>
    <t xml:space="preserve">Stale</t>
  </si>
  <si>
    <t xml:space="preserve">Intake</t>
  </si>
  <si>
    <t xml:space="preserve">Triage</t>
  </si>
  <si>
    <t xml:space="preserve">Discovery</t>
  </si>
  <si>
    <t xml:space="preserve">Design</t>
  </si>
  <si>
    <t xml:space="preserve">Approval</t>
  </si>
  <si>
    <t xml:space="preserve">Delivery</t>
  </si>
  <si>
    <t xml:space="preserve">Scale</t>
  </si>
  <si>
    <t xml:space="preserve">Value</t>
  </si>
  <si>
    <t xml:space="preserve">What starts next: WSJF against capacity</t>
  </si>
  <si>
    <t xml:space="preserve">Ranked by WSJF. Capacity decides how far down the list we get; once one doesn't fit, everything below waits.</t>
  </si>
  <si>
    <t xml:space="preserve">WSJF</t>
  </si>
  <si>
    <t xml:space="preserve">Size</t>
  </si>
  <si>
    <t xml:space="preserve">Cum. points</t>
  </si>
  <si>
    <t xml:space="preserve">Capacity line</t>
  </si>
  <si>
    <t xml:space="preserve">Value $K</t>
  </si>
  <si>
    <t xml:space="preserve">All open use cases</t>
  </si>
  <si>
    <t xml:space="preserve">In stage order. Click a key for its record; the Use Case tab shows one in full.</t>
  </si>
  <si>
    <t xml:space="preserve">Function</t>
  </si>
  <si>
    <t xml:space="preserve">Freshness</t>
  </si>
  <si>
    <t xml:space="preserve">Tier</t>
  </si>
  <si>
    <t xml:space="preserve">Next forum</t>
  </si>
  <si>
    <t xml:space="preserve">Value: realized vs projected</t>
  </si>
  <si>
    <t xml:space="preserve">$K annual run-rate, by quarter, from the Value sheet.</t>
  </si>
  <si>
    <t xml:space="preserve">Quarter</t>
  </si>
  <si>
    <t xml:space="preserve">Projected</t>
  </si>
  <si>
    <t xml:space="preserve">Realized</t>
  </si>
  <si>
    <t xml:space="preserve">Realized %</t>
  </si>
  <si>
    <t xml:space="preserve">Portfolio mix</t>
  </si>
  <si>
    <t xml:space="preserve">Open use cases only.</t>
  </si>
  <si>
    <t xml:space="preserve">Risk tier</t>
  </si>
  <si>
    <t xml:space="preserve">Open</t>
  </si>
  <si>
    <t xml:space="preserve">Impact</t>
  </si>
  <si>
    <t xml:space="preserve">Risk flag</t>
  </si>
  <si>
    <t xml:space="preserve">Low</t>
  </si>
  <si>
    <t xml:space="preserve">revenue</t>
  </si>
  <si>
    <t xml:space="preserve">NPI</t>
  </si>
  <si>
    <t xml:space="preserve">Medium</t>
  </si>
  <si>
    <t xml:space="preserve">cost</t>
  </si>
  <si>
    <t xml:space="preserve">Reg report</t>
  </si>
  <si>
    <t xml:space="preserve">High</t>
  </si>
  <si>
    <t xml:space="preserve">cycle</t>
  </si>
  <si>
    <t xml:space="preserve">No human review</t>
  </si>
  <si>
    <t xml:space="preserve">risk</t>
  </si>
  <si>
    <t xml:space="preserve">insight</t>
  </si>
  <si>
    <t xml:space="preserve">Weekly Status</t>
  </si>
  <si>
    <t xml:space="preserve">OVERALL</t>
  </si>
  <si>
    <t xml:space="preserve">FLOW</t>
  </si>
  <si>
    <t xml:space="preserve">VALUE</t>
  </si>
  <si>
    <t xml:space="preserve">RISK AND CONTROLS</t>
  </si>
  <si>
    <t xml:space="preserve">Weekly Intake</t>
  </si>
  <si>
    <t xml:space="preserve">Every Monday, 15 min. Decides what comes in.</t>
  </si>
  <si>
    <t xml:space="preserve">What came in</t>
  </si>
  <si>
    <t xml:space="preserve">Accepted, rejected or deferred</t>
  </si>
  <si>
    <t xml:space="preserve">Tier and owner assigned</t>
  </si>
  <si>
    <t xml:space="preserve">Tactical Standup</t>
  </si>
  <si>
    <t xml:space="preserve">Every Tuesday, 30 min. Unblocks the work in flight.</t>
  </si>
  <si>
    <t xml:space="preserve">Work stream health</t>
  </si>
  <si>
    <t xml:space="preserve">Blockers flagged</t>
  </si>
  <si>
    <t xml:space="preserve">Fed to the Council</t>
  </si>
  <si>
    <t xml:space="preserve">Portfolio Council</t>
  </si>
  <si>
    <t xml:space="preserve">Run by the Director, every Thursday, 75 min. Decides.</t>
  </si>
  <si>
    <t xml:space="preserve">What's new</t>
  </si>
  <si>
    <t xml:space="preserve">What we need to know</t>
  </si>
  <si>
    <t xml:space="preserve">What needs a decision or discussion</t>
  </si>
  <si>
    <t xml:space="preserve">Say draft weekly report to turn this into the Word draft, or prep for &lt;sitting&gt; for an agenda.</t>
  </si>
  <si>
    <t xml:space="preserve">Gates</t>
  </si>
  <si>
    <t xml:space="preserve">GATES CRITICAL</t>
  </si>
  <si>
    <t xml:space="preserve">GATES WARNING</t>
  </si>
  <si>
    <t xml:space="preserve">OVER TIER WINDOW</t>
  </si>
  <si>
    <t xml:space="preserve">INTAKE TO DECISION</t>
  </si>
  <si>
    <t xml:space="preserve">CLOSED</t>
  </si>
  <si>
    <t xml:space="preserve">By stage</t>
  </si>
  <si>
    <t xml:space="preserve">Gate graded only at the stage a use case is in, so a red means something.</t>
  </si>
  <si>
    <t xml:space="preserve">Gate owner</t>
  </si>
  <si>
    <t xml:space="preserve">In stage</t>
  </si>
  <si>
    <t xml:space="preserve">Good</t>
  </si>
  <si>
    <t xml:space="preserve">Warning</t>
  </si>
  <si>
    <t xml:space="preserve">Critical</t>
  </si>
  <si>
    <t xml:space="preserve">Tier clock</t>
  </si>
  <si>
    <t xml:space="preserve">The tier sets the promised intake-to-approval window. It is computed from the risk flags and function, not chosen.</t>
  </si>
  <si>
    <t xml:space="preserve">Promise</t>
  </si>
  <si>
    <t xml:space="preserve">Short of approval</t>
  </si>
  <si>
    <t xml:space="preserve">Over window</t>
  </si>
  <si>
    <t xml:space="preserve">Average age</t>
  </si>
  <si>
    <t xml:space="preserve">Intake to decision</t>
  </si>
  <si>
    <t xml:space="preserve">Gate exceptions</t>
  </si>
  <si>
    <t xml:space="preserve">Every use case failing the gate for the stage it is in, with what the gate owner needs to see.</t>
  </si>
  <si>
    <t xml:space="preserve">What the gate needs</t>
  </si>
  <si>
    <t xml:space="preserve">Oldest first. Gate graded only for the stage each use case is in now.</t>
  </si>
  <si>
    <t xml:space="preserve">Use Case</t>
  </si>
  <si>
    <t xml:space="preserve">Pick a use case</t>
  </si>
  <si>
    <t xml:space="preserve">AI-003</t>
  </si>
  <si>
    <t xml:space="preserve">HEALTH</t>
  </si>
  <si>
    <t xml:space="preserve">FRESHNESS</t>
  </si>
  <si>
    <t xml:space="preserve">TIER</t>
  </si>
  <si>
    <t xml:space="preserve">The eight gates</t>
  </si>
  <si>
    <t xml:space="preserve">Passed gates stay passed. The current one is graded; later ones are pending.</t>
  </si>
  <si>
    <t xml:space="preserve">The record</t>
  </si>
  <si>
    <t xml:space="preserve">As Jira holds it. Change it in Jira, then say refresh dashboard.</t>
  </si>
  <si>
    <t xml:space="preserve">Size (points)</t>
  </si>
  <si>
    <t xml:space="preserve">Sponsor</t>
  </si>
  <si>
    <t xml:space="preserve">Opened</t>
  </si>
  <si>
    <t xml:space="preserve">Risk flags</t>
  </si>
  <si>
    <t xml:space="preserve">Updated</t>
  </si>
  <si>
    <t xml:space="preserve">Stage target</t>
  </si>
  <si>
    <t xml:space="preserve">Success metric</t>
  </si>
  <si>
    <t xml:space="preserve">Decided</t>
  </si>
  <si>
    <t xml:space="preserve">Data ready</t>
  </si>
  <si>
    <t xml:space="preserve">Waiting on</t>
  </si>
  <si>
    <t xml:space="preserve">Baseline</t>
  </si>
  <si>
    <t xml:space="preserve">In the inventory</t>
  </si>
  <si>
    <t xml:space="preserve">Every Inventory row that names this use case, newest first.</t>
  </si>
  <si>
    <t xml:space="preserve">State</t>
  </si>
  <si>
    <t xml:space="preserve">Done against it</t>
  </si>
  <si>
    <t xml:space="preserve">From the Done log, newest first.</t>
  </si>
  <si>
    <t xml:space="preserve">Say this in Cowork</t>
  </si>
  <si>
    <t xml:space="preserve">Status</t>
  </si>
  <si>
    <t xml:space="preserve">Target</t>
  </si>
  <si>
    <t xml:space="preserve">Metric</t>
  </si>
  <si>
    <t xml:space="preserve">Outcome</t>
  </si>
  <si>
    <t xml:space="preserve">Closed</t>
  </si>
  <si>
    <t xml:space="preserve">Flagged</t>
  </si>
  <si>
    <t xml:space="preserve">Stage #</t>
  </si>
  <si>
    <t xml:space="preserve">Since update</t>
  </si>
  <si>
    <t xml:space="preserve">Tier days</t>
  </si>
  <si>
    <t xml:space="preserve">Capacity</t>
  </si>
  <si>
    <t xml:space="preserve">WSJF rank</t>
  </si>
  <si>
    <t xml:space="preserve">Attention</t>
  </si>
  <si>
    <t xml:space="preserve">Attention key</t>
  </si>
  <si>
    <t xml:space="preserve">Jira</t>
  </si>
  <si>
    <t xml:space="preserve">Board order</t>
  </si>
  <si>
    <t xml:space="preserve">In this week</t>
  </si>
  <si>
    <t xml:space="preserve">Decided this week</t>
  </si>
  <si>
    <t xml:space="preserve">Decision</t>
  </si>
  <si>
    <t xml:space="preserve">Blocker key</t>
  </si>
  <si>
    <t xml:space="preserve">Council key</t>
  </si>
  <si>
    <t xml:space="preserve">Gate key</t>
  </si>
  <si>
    <t xml:space="preserve">AI-001</t>
  </si>
  <si>
    <t xml:space="preserve">Contact center call summarization</t>
  </si>
  <si>
    <t xml:space="preserve">Scaling</t>
  </si>
  <si>
    <t xml:space="preserve">Contact Center</t>
  </si>
  <si>
    <t xml:space="preserve">M. Alvarez</t>
  </si>
  <si>
    <t xml:space="preserve">Contact Center Ops</t>
  </si>
  <si>
    <t xml:space="preserve">cost | cycle</t>
  </si>
  <si>
    <t xml:space="preserve">Y</t>
  </si>
  <si>
    <t xml:space="preserve">ready</t>
  </si>
  <si>
    <t xml:space="preserve">call-summary</t>
  </si>
  <si>
    <t xml:space="preserve">AI-002</t>
  </si>
  <si>
    <t xml:space="preserve">Complaint triage and routing</t>
  </si>
  <si>
    <t xml:space="preserve">Customer Care</t>
  </si>
  <si>
    <t xml:space="preserve">J. Whitfield</t>
  </si>
  <si>
    <t xml:space="preserve">Head of Customer Care</t>
  </si>
  <si>
    <t xml:space="preserve">cycle | risk</t>
  </si>
  <si>
    <t xml:space="preserve">partial</t>
  </si>
  <si>
    <t xml:space="preserve">complaint-triage</t>
  </si>
  <si>
    <t xml:space="preserve">Fraud alert prioritization</t>
  </si>
  <si>
    <t xml:space="preserve">Fraud Operations</t>
  </si>
  <si>
    <t xml:space="preserve">S. Okafor</t>
  </si>
  <si>
    <t xml:space="preserve">Fraud Ops Director</t>
  </si>
  <si>
    <t xml:space="preserve">risk | insight</t>
  </si>
  <si>
    <t xml:space="preserve">MRM model designation</t>
  </si>
  <si>
    <t xml:space="preserve">fraud-alerts</t>
  </si>
  <si>
    <t xml:space="preserve">AI-004</t>
  </si>
  <si>
    <t xml:space="preserve">KYC document extraction</t>
  </si>
  <si>
    <t xml:space="preserve">Onboarding</t>
  </si>
  <si>
    <t xml:space="preserve">R. Patel</t>
  </si>
  <si>
    <t xml:space="preserve">Deposits Operations</t>
  </si>
  <si>
    <t xml:space="preserve">NPI | Reg report</t>
  </si>
  <si>
    <t xml:space="preserve">cost | cycle | risk</t>
  </si>
  <si>
    <t xml:space="preserve">Data access approval for KYC repository</t>
  </si>
  <si>
    <t xml:space="preserve">kyc-extract</t>
  </si>
  <si>
    <t xml:space="preserve">AI-005</t>
  </si>
  <si>
    <t xml:space="preserve">Collections outreach timing</t>
  </si>
  <si>
    <t xml:space="preserve">Governance Review</t>
  </si>
  <si>
    <t xml:space="preserve">Collections</t>
  </si>
  <si>
    <t xml:space="preserve">D. Kim</t>
  </si>
  <si>
    <t xml:space="preserve">Collections VP</t>
  </si>
  <si>
    <t xml:space="preserve">revenue | insight | cost</t>
  </si>
  <si>
    <t xml:space="preserve">vendor-copilot</t>
  </si>
  <si>
    <t xml:space="preserve">AI-006</t>
  </si>
  <si>
    <t xml:space="preserve">Branch staffing forecast</t>
  </si>
  <si>
    <t xml:space="preserve">Branch Network</t>
  </si>
  <si>
    <t xml:space="preserve">L. Nguyen</t>
  </si>
  <si>
    <t xml:space="preserve">Retail Distribution</t>
  </si>
  <si>
    <t xml:space="preserve">cost | insight</t>
  </si>
  <si>
    <t xml:space="preserve">AI-007</t>
  </si>
  <si>
    <t xml:space="preserve">Marketing copy assistant</t>
  </si>
  <si>
    <t xml:space="preserve">Marketing</t>
  </si>
  <si>
    <t xml:space="preserve">Intake team</t>
  </si>
  <si>
    <t xml:space="preserve">Consumer Marketing</t>
  </si>
  <si>
    <t xml:space="preserve">revenue | cost</t>
  </si>
  <si>
    <t xml:space="preserve">AI-008</t>
  </si>
  <si>
    <t xml:space="preserve">Chat deflection FAQ assistant</t>
  </si>
  <si>
    <t xml:space="preserve">In Delivery</t>
  </si>
  <si>
    <t xml:space="preserve">Digital Banking</t>
  </si>
  <si>
    <t xml:space="preserve">Digital Channels</t>
  </si>
  <si>
    <t xml:space="preserve">chat-deflection</t>
  </si>
  <si>
    <t xml:space="preserve">AI-009</t>
  </si>
  <si>
    <t xml:space="preserve">Wire fraud anomaly detection</t>
  </si>
  <si>
    <t xml:space="preserve">Payments</t>
  </si>
  <si>
    <t xml:space="preserve">Payments Risk</t>
  </si>
  <si>
    <t xml:space="preserve">AI-010</t>
  </si>
  <si>
    <t xml:space="preserve">Statement insight summaries</t>
  </si>
  <si>
    <t xml:space="preserve">(sponsor not named)</t>
  </si>
  <si>
    <t xml:space="preserve">Named business sponsor</t>
  </si>
  <si>
    <t xml:space="preserve">AI-011</t>
  </si>
  <si>
    <t xml:space="preserve">Loan document pre-fill</t>
  </si>
  <si>
    <t xml:space="preserve">Value Tracking</t>
  </si>
  <si>
    <t xml:space="preserve">Consumer Lending</t>
  </si>
  <si>
    <t xml:space="preserve">T. Brooks</t>
  </si>
  <si>
    <t xml:space="preserve">Lending Operations</t>
  </si>
  <si>
    <t xml:space="preserve">revenue | cycle | cost</t>
  </si>
  <si>
    <t xml:space="preserve">AI-012</t>
  </si>
  <si>
    <t xml:space="preserve">Teller balancing assistant</t>
  </si>
  <si>
    <t xml:space="preserve">Branch Operations</t>
  </si>
  <si>
    <t xml:space="preserve">Prep incomplete, deferred one cycle</t>
  </si>
  <si>
    <t xml:space="preserve">AI-013</t>
  </si>
  <si>
    <t xml:space="preserve">ATM cash forecasting</t>
  </si>
  <si>
    <t xml:space="preserve">Treasury Services</t>
  </si>
  <si>
    <t xml:space="preserve">AI-014</t>
  </si>
  <si>
    <t xml:space="preserve">Dispute intake summarizer</t>
  </si>
  <si>
    <t xml:space="preserve">Card Services</t>
  </si>
  <si>
    <t xml:space="preserve">cycle | cost</t>
  </si>
  <si>
    <t xml:space="preserve">AI-015</t>
  </si>
  <si>
    <t xml:space="preserve">RM email auto-drafting</t>
  </si>
  <si>
    <t xml:space="preserve">Declined</t>
  </si>
  <si>
    <t xml:space="preserve">Small Business</t>
  </si>
  <si>
    <t xml:space="preserve">Small Business Banking</t>
  </si>
  <si>
    <t xml:space="preserve">AI-016</t>
  </si>
  <si>
    <t xml:space="preserve">HR policy chatbot</t>
  </si>
  <si>
    <t xml:space="preserve">Transferred</t>
  </si>
  <si>
    <t xml:space="preserve">Human Resources</t>
  </si>
  <si>
    <t xml:space="preserve">HR Shared Services</t>
  </si>
  <si>
    <t xml:space="preserve">genai-policy</t>
  </si>
  <si>
    <t xml:space="preserve">Channel</t>
  </si>
  <si>
    <t xml:space="preserve">Confidence</t>
  </si>
  <si>
    <t xml:space="preserve">Ref</t>
  </si>
  <si>
    <t xml:space="preserve">Age (days)</t>
  </si>
  <si>
    <t xml:space="preserve">Rank key</t>
  </si>
  <si>
    <t xml:space="preserve">New this week</t>
  </si>
  <si>
    <t xml:space="preserve">Know this week</t>
  </si>
  <si>
    <t xml:space="preserve">Open decision key</t>
  </si>
  <si>
    <t xml:space="preserve">Selected use case</t>
  </si>
  <si>
    <t xml:space="preserve">INV-0001</t>
  </si>
  <si>
    <t xml:space="preserve">New</t>
  </si>
  <si>
    <t xml:space="preserve">council</t>
  </si>
  <si>
    <t xml:space="preserve">Portfolio Council keeps its Thursday 75-minute slot through Q4.</t>
  </si>
  <si>
    <t xml:space="preserve">M. Okafor</t>
  </si>
  <si>
    <t xml:space="preserve">Meeting</t>
  </si>
  <si>
    <t xml:space="preserve">Confirmed</t>
  </si>
  <si>
    <t xml:space="preserve">INV-0002</t>
  </si>
  <si>
    <t xml:space="preserve">Know</t>
  </si>
  <si>
    <t xml:space="preserve">mrm</t>
  </si>
  <si>
    <t xml:space="preserve">MRM wants the validation plan at Design exit, not at Approval.</t>
  </si>
  <si>
    <t xml:space="preserve">R. Chen</t>
  </si>
  <si>
    <t xml:space="preserve">Email</t>
  </si>
  <si>
    <t xml:space="preserve">INV-0003</t>
  </si>
  <si>
    <t xml:space="preserve">Confirm the value baseline with the sponsor before benefits reporting starts.</t>
  </si>
  <si>
    <t xml:space="preserve">INV-0004</t>
  </si>
  <si>
    <t xml:space="preserve">Vendor offering a 90-day no-cost agent-assist pilot for Collections.</t>
  </si>
  <si>
    <t xml:space="preserve">INV-0005</t>
  </si>
  <si>
    <t xml:space="preserve">GenAI policy v3 heard to ban NPI in prompts outright.</t>
  </si>
  <si>
    <t xml:space="preserve">T. Nguyen</t>
  </si>
  <si>
    <t xml:space="preserve">Teams</t>
  </si>
  <si>
    <t xml:space="preserve">Unconfirmed</t>
  </si>
  <si>
    <t xml:space="preserve">INV-0006</t>
  </si>
  <si>
    <t xml:space="preserve">Resolved</t>
  </si>
  <si>
    <t xml:space="preserve">Baseline agreed: 6.1 minutes after-call work, measured on Q2 calls.</t>
  </si>
  <si>
    <t xml:space="preserve">INV-0007</t>
  </si>
  <si>
    <t xml:space="preserve">Find a sponsor for AI-010 or decline it.</t>
  </si>
  <si>
    <t xml:space="preserve">INV-0008</t>
  </si>
  <si>
    <t xml:space="preserve">Compliance confirmed policy v3: no NPI in prompts.</t>
  </si>
  <si>
    <t xml:space="preserve">INV-0009</t>
  </si>
  <si>
    <t xml:space="preserve">Chase the MRM model designation for AI-003 or re-plan Design.</t>
  </si>
  <si>
    <t xml:space="preserve">INV-0010</t>
  </si>
  <si>
    <t xml:space="preserve">KYC repository access for AI-004 still unapproved; the discovery timebox closes next week.</t>
  </si>
  <si>
    <t xml:space="preserve">INV-0011</t>
  </si>
  <si>
    <t xml:space="preserve">Council wants a one-page value tracker for every use case in Value.</t>
  </si>
  <si>
    <t xml:space="preserve">INV-0012</t>
  </si>
  <si>
    <t xml:space="preserve">MRM may add a bias test for any credit-adjacent model.</t>
  </si>
  <si>
    <t xml:space="preserve">Call</t>
  </si>
  <si>
    <t xml:space="preserve">INV-0013</t>
  </si>
  <si>
    <t xml:space="preserve">Conflict</t>
  </si>
  <si>
    <t xml:space="preserve">Vendor says AI-003 build has started; Jira shows Design. Inventory stands until confirmed.</t>
  </si>
  <si>
    <t xml:space="preserve">Vendor PM</t>
  </si>
  <si>
    <t xml:space="preserve">INV-0014</t>
  </si>
  <si>
    <t xml:space="preserve">AI-012 returns to triage a second time: force a decision.</t>
  </si>
  <si>
    <t xml:space="preserve">INV-0015</t>
  </si>
  <si>
    <t xml:space="preserve">Chat deflection pilot hit 31% containment in week 2, above the 25% target.</t>
  </si>
  <si>
    <t xml:space="preserve">INV-0016</t>
  </si>
  <si>
    <t xml:space="preserve">Accept the vendor pilot or run a competitive eval first.</t>
  </si>
  <si>
    <t xml:space="preserve">INV-0017</t>
  </si>
  <si>
    <t xml:space="preserve">Three of the last four intake submissions arrived with no success metric.</t>
  </si>
  <si>
    <t xml:space="preserve">Document</t>
  </si>
  <si>
    <t xml:space="preserve">INV-0018</t>
  </si>
  <si>
    <t xml:space="preserve">Payments Risk submitted wire fraud anomaly detection (AI-009).</t>
  </si>
  <si>
    <t xml:space="preserve">Source</t>
  </si>
  <si>
    <t xml:space="preserve">This week</t>
  </si>
  <si>
    <t xml:space="preserve">Ran the first front-door triage: 6 ideas in, 2 declined with reasons logged.</t>
  </si>
  <si>
    <t xml:space="preserve">Session</t>
  </si>
  <si>
    <t xml:space="preserve">Published the eight-stage operating model to the team SharePoint.</t>
  </si>
  <si>
    <t xml:space="preserve">Closed MRM's questions on the call summarization validation plan.</t>
  </si>
  <si>
    <t xml:space="preserve">Set the complaint triage baseline: 4.2-day median time to route.</t>
  </si>
  <si>
    <t xml:space="preserve">Got Procurement to start the vendor risk review for KYC extraction.</t>
  </si>
  <si>
    <t xml:space="preserve">Council approved chat deflection into delivery.</t>
  </si>
  <si>
    <t xml:space="preserve">Calendar</t>
  </si>
  <si>
    <t xml:space="preserve">Retired the old intake spreadsheet; Jira is now the only intake path.</t>
  </si>
  <si>
    <t xml:space="preserve">Agreed staleness thresholds per stage with the delivery leads.</t>
  </si>
  <si>
    <t xml:space="preserve">Mapped GenAI policy v3 controls to every in-flight GenAI use case.</t>
  </si>
  <si>
    <t xml:space="preserve">Agreed the call summarization baseline with Contact Center Ops (INV-0006).</t>
  </si>
  <si>
    <t xml:space="preserve">Declined RM email auto-drafting; duplicates the enterprise CRM assistant.</t>
  </si>
  <si>
    <t xml:space="preserve">Wrote the data request for complaint triage labelled history.</t>
  </si>
  <si>
    <t xml:space="preserve">Ran the Review Gate on the Q4 roadmap deck; fixed 3 MECE gaps.</t>
  </si>
  <si>
    <t xml:space="preserve">Confirmed GenAI policy v3 wording with Compliance (INV-0008).</t>
  </si>
  <si>
    <t xml:space="preserve">Escalated the AI-003 MRM designation to the Council agenda.</t>
  </si>
  <si>
    <t xml:space="preserve">Built the value tracker template the Council asked for.</t>
  </si>
  <si>
    <t xml:space="preserve">Moved ATM cash forecasting into discovery with a four-week timebox.</t>
  </si>
  <si>
    <t xml:space="preserve">Sent the chat deflection week-2 readout to Digital leadership.</t>
  </si>
  <si>
    <t xml:space="preserve">Logged wire fraud anomaly detection at intake and assigned the high tier.</t>
  </si>
  <si>
    <t xml:space="preserve">Drafted the sponsor ask for statement insight summaries.</t>
  </si>
  <si>
    <t xml:space="preserve">Projected $K</t>
  </si>
  <si>
    <t xml:space="preserve">Realized $K</t>
  </si>
  <si>
    <t xml:space="preserve">Complete</t>
  </si>
  <si>
    <t xml:space="preserve">Q4 '25</t>
  </si>
  <si>
    <t xml:space="preserve">Q1 '26</t>
  </si>
  <si>
    <t xml:space="preserve">Q2 '26</t>
  </si>
  <si>
    <t xml:space="preserve">Q3 '26</t>
  </si>
  <si>
    <t xml:space="preserve">Question</t>
  </si>
  <si>
    <t xml:space="preserve">Kind</t>
  </si>
  <si>
    <t xml:space="preserve">Answer or route</t>
  </si>
  <si>
    <t xml:space="preserve">Asked by</t>
  </si>
  <si>
    <t xml:space="preserve">Times reused</t>
  </si>
  <si>
    <t xml:space="preserve">Q-0001</t>
  </si>
  <si>
    <t xml:space="preserve">Who approves a new GenAI use case?</t>
  </si>
  <si>
    <t xml:space="preserve">Answer</t>
  </si>
  <si>
    <t xml:space="preserve">The Portfolio Council at the Approval gate; the PM owner brings it.</t>
  </si>
  <si>
    <t xml:space="preserve">Operating model, gate table</t>
  </si>
  <si>
    <t xml:space="preserve">B. Ford</t>
  </si>
  <si>
    <t xml:space="preserve">Q-0002</t>
  </si>
  <si>
    <t xml:space="preserve">Can we use customer emails to fine-tune a model?</t>
  </si>
  <si>
    <t xml:space="preserve">Routed</t>
  </si>
  <si>
    <t xml:space="preserve">Routed to Compliance (T. Nguyen). Not answered here.</t>
  </si>
  <si>
    <t xml:space="preserve">Q-0003</t>
  </si>
  <si>
    <t xml:space="preserve">What does Model Risk need at Design exit?</t>
  </si>
  <si>
    <t xml:space="preserve">Validation plan, monitoring design, audit trail spec.</t>
  </si>
  <si>
    <t xml:space="preserve">INV-0002; MRM standard 4.3</t>
  </si>
  <si>
    <t xml:space="preserve">Q-0004</t>
  </si>
  <si>
    <t xml:space="preserve">Reuse</t>
  </si>
  <si>
    <t xml:space="preserve">Same as Q-0001.</t>
  </si>
  <si>
    <t xml:space="preserve">Q-0005</t>
  </si>
  <si>
    <t xml:space="preserve">How long should Triage take?</t>
  </si>
  <si>
    <t xml:space="preserve">Seven days before it reads as aging.</t>
  </si>
  <si>
    <t xml:space="preserve">Config, stage table</t>
  </si>
  <si>
    <t xml:space="preserve">Q-0006</t>
  </si>
  <si>
    <t xml:space="preserve">Where do I submit a new AI idea?</t>
  </si>
  <si>
    <t xml:space="preserve">The Jira intake form in project AI.</t>
  </si>
  <si>
    <t xml:space="preserve">AI intake form</t>
  </si>
  <si>
    <t xml:space="preserve">New hire</t>
  </si>
  <si>
    <t xml:space="preserve">Q-0007</t>
  </si>
  <si>
    <t xml:space="preserve">Same as Q-0003.</t>
  </si>
  <si>
    <t xml:space="preserve">Q-0008</t>
  </si>
  <si>
    <t xml:space="preserve">Can a vendor model go to Scale before its SOC 2 renewal?</t>
  </si>
  <si>
    <t xml:space="preserve">Routed to Third-Party Risk.</t>
  </si>
  <si>
    <t xml:space="preserve">Third-Party Risk team</t>
  </si>
  <si>
    <t xml:space="preserve">Artifact</t>
  </si>
  <si>
    <t xml:space="preserve">Author</t>
  </si>
  <si>
    <t xml:space="preserve">Passed</t>
  </si>
  <si>
    <t xml:space="preserve">Failed</t>
  </si>
  <si>
    <t xml:space="preserve">Verdict</t>
  </si>
  <si>
    <t xml:space="preserve">Top fix</t>
  </si>
  <si>
    <t xml:space="preserve">Q4 AI roadmap deck v2</t>
  </si>
  <si>
    <t xml:space="preserve">Sample PM</t>
  </si>
  <si>
    <t xml:space="preserve">Fix first</t>
  </si>
  <si>
    <t xml:space="preserve">Sections 2 and 4 overlap on capacity; merge them so the asks are MECE.</t>
  </si>
  <si>
    <t xml:space="preserve">Q4 AI roadmap deck v3</t>
  </si>
  <si>
    <t xml:space="preserve">Ready</t>
  </si>
  <si>
    <t xml:space="preserve">AI-003 MRM escalation memo</t>
  </si>
  <si>
    <t xml:space="preserve">The ask has no date or decider; say who decides by when.</t>
  </si>
  <si>
    <t xml:space="preserve">Chat deflection week-2 readout</t>
  </si>
  <si>
    <t xml:space="preserve">Containment number needs its source and date.</t>
  </si>
  <si>
    <t xml:space="preserve">What changed</t>
  </si>
  <si>
    <t xml:space="preserve">To</t>
  </si>
  <si>
    <t xml:space="preserve">References updated</t>
  </si>
  <si>
    <t xml:space="preserve">Approved by</t>
  </si>
  <si>
    <t xml:space="preserve">Retired old intake tracker</t>
  </si>
  <si>
    <t xml:space="preserve">OneDrive/AI/Intake.xlsx</t>
  </si>
  <si>
    <t xml:space="preserve">Archive/Intake-2026Q3.xlsx</t>
  </si>
  <si>
    <t xml:space="preserve">Topics: council notes doc; Answers Q-0006</t>
  </si>
  <si>
    <t xml:space="preserve">Moved fraud notes into topic doc</t>
  </si>
  <si>
    <t xml:space="preserve">Documents/fraud-notes.docx</t>
  </si>
  <si>
    <t xml:space="preserve">AI-OS/Topics/fraud-alerts.docx</t>
  </si>
  <si>
    <t xml:space="preserve">Topics row fraud-alerts</t>
  </si>
  <si>
    <t xml:space="preserve">Name</t>
  </si>
  <si>
    <t xml:space="preserve">Forum</t>
  </si>
  <si>
    <t xml:space="preserve">Use cases</t>
  </si>
  <si>
    <t xml:space="preserve">Notes doc</t>
  </si>
  <si>
    <t xml:space="preserve">Open items</t>
  </si>
  <si>
    <t xml:space="preserve">Portfolio Council and governance</t>
  </si>
  <si>
    <t xml:space="preserve">Active</t>
  </si>
  <si>
    <t xml:space="preserve">AI-OS/Topics/council.docx</t>
  </si>
  <si>
    <t xml:space="preserve">AI-OS/Topics/call-summary.docx</t>
  </si>
  <si>
    <t xml:space="preserve">Complaint and dispute handling</t>
  </si>
  <si>
    <t xml:space="preserve">AI-002, AI-014</t>
  </si>
  <si>
    <t xml:space="preserve">AI-OS/Topics/complaint-triage.docx</t>
  </si>
  <si>
    <t xml:space="preserve">Fraud models</t>
  </si>
  <si>
    <t xml:space="preserve">AI-003, AI-009</t>
  </si>
  <si>
    <t xml:space="preserve">AI-OS/Topics/kyc-extract.docx</t>
  </si>
  <si>
    <t xml:space="preserve">Model Risk Management requirements</t>
  </si>
  <si>
    <t xml:space="preserve">AI-OS/Topics/mrm.docx</t>
  </si>
  <si>
    <t xml:space="preserve">GenAI usage policy</t>
  </si>
  <si>
    <t xml:space="preserve">AI-OS/Topics/genai-policy.docx</t>
  </si>
  <si>
    <t xml:space="preserve">Collections vendor pilot</t>
  </si>
  <si>
    <t xml:space="preserve">AI-OS/Topics/vendor-copilot.docx</t>
  </si>
  <si>
    <t xml:space="preserve">AI-OS/Topics/chat-deflection.docx</t>
  </si>
  <si>
    <t xml:space="preserve">Role</t>
  </si>
  <si>
    <t xml:space="preserve">Team</t>
  </si>
  <si>
    <t xml:space="preserve">Works with me on</t>
  </si>
  <si>
    <t xml:space="preserve">How they work</t>
  </si>
  <si>
    <t xml:space="preserve">Last updated</t>
  </si>
  <si>
    <t xml:space="preserve">Portfolio Council chair</t>
  </si>
  <si>
    <t xml:space="preserve">Enterprise AI</t>
  </si>
  <si>
    <t xml:space="preserve">Wants decisions framed as options with a recommendation.</t>
  </si>
  <si>
    <t xml:space="preserve">Model Risk lead</t>
  </si>
  <si>
    <t xml:space="preserve">Model Risk Management</t>
  </si>
  <si>
    <t xml:space="preserve">mrm, fraud-alerts</t>
  </si>
  <si>
    <t xml:space="preserve">Prefers written questions by email; replies in two days.</t>
  </si>
  <si>
    <t xml:space="preserve">PM owner, contact center and digital</t>
  </si>
  <si>
    <t xml:space="preserve">AI Product</t>
  </si>
  <si>
    <t xml:space="preserve">call-summary, chat-deflection</t>
  </si>
  <si>
    <t xml:space="preserve">Teams first; likes a weekly number.</t>
  </si>
  <si>
    <t xml:space="preserve">Compliance partner, GenAI</t>
  </si>
  <si>
    <t xml:space="preserve">Compliance</t>
  </si>
  <si>
    <t xml:space="preserve">Needs the policy clause cited, not paraphrased.</t>
  </si>
  <si>
    <t xml:space="preserve">PM owner, fraud</t>
  </si>
  <si>
    <t xml:space="preserve">PM owner, collections and cards</t>
  </si>
  <si>
    <t xml:space="preserve">vendor-copilot, complaint-triage</t>
  </si>
  <si>
    <t xml:space="preserve">What happens</t>
  </si>
  <si>
    <t xml:space="preserve">Group</t>
  </si>
  <si>
    <t xml:space="preserve">start my day</t>
  </si>
  <si>
    <t xml:space="preserve">Refresh Jira if the snapshot is stale, read Home, sweep yesterday's email, Teams and calendar, and give me the Needs You list plus anything worth logging.</t>
  </si>
  <si>
    <t xml:space="preserve">Daily</t>
  </si>
  <si>
    <t xml:space="preserve">refresh dashboard</t>
  </si>
  <si>
    <t xml:space="preserve">Pull the use cases from Jira (connector or newest CSV export), rewrite the Use Cases sheet, stamp the snapshot.</t>
  </si>
  <si>
    <t xml:space="preserve">log this: &lt;note&gt;</t>
  </si>
  <si>
    <t xml:space="preserve">Capture a note into the Inventory as New, Know or Decision, with source, channel and confidence.</t>
  </si>
  <si>
    <t xml:space="preserve">Inventory</t>
  </si>
  <si>
    <t xml:space="preserve">add note to &lt;topic&gt;: &lt;note&gt;</t>
  </si>
  <si>
    <t xml:space="preserve">Same as log this, filed against a named topic.</t>
  </si>
  <si>
    <t xml:space="preserve">confirm &lt;INV-id&gt;</t>
  </si>
  <si>
    <t xml:space="preserve">Append a Confirmed row for a second-hand item.</t>
  </si>
  <si>
    <t xml:space="preserve">decide &lt;INV-id&gt;: &lt;outcome&gt;</t>
  </si>
  <si>
    <t xml:space="preserve">Close an open decision or conflict by appending a Resolved row.</t>
  </si>
  <si>
    <t xml:space="preserve">what's open on &lt;topic&gt;</t>
  </si>
  <si>
    <t xml:space="preserve">Open decisions, unconfirmed items, conflicts and use cases for one topic.</t>
  </si>
  <si>
    <t xml:space="preserve">show &lt;KEY&gt;</t>
  </si>
  <si>
    <t xml:space="preserve">Set the Use Case tab to that use case and summarise it: stage, health, gate, capacity, history.</t>
  </si>
  <si>
    <t xml:space="preserve">what fits this quarter</t>
  </si>
  <si>
    <t xml:space="preserve">The WSJF-ranked backlog against open capacity, from the Portfolio tab.</t>
  </si>
  <si>
    <t xml:space="preserve">done: &lt;accomplishment&gt;</t>
  </si>
  <si>
    <t xml:space="preserve">Append to the Done log under today.</t>
  </si>
  <si>
    <t xml:space="preserve">Reporting</t>
  </si>
  <si>
    <t xml:space="preserve">draft weekly report</t>
  </si>
  <si>
    <t xml:space="preserve">Write this week's report from the Weekly Status tab plus a sweep of email, Teams and calendar. Word draft, never sent.</t>
  </si>
  <si>
    <t xml:space="preserve">prep for &lt;meeting&gt;</t>
  </si>
  <si>
    <t xml:space="preserve">Agenda for that sitting from the Weekly Status tab and the open Inventory. Word draft.</t>
  </si>
  <si>
    <t xml:space="preserve">review this</t>
  </si>
  <si>
    <t xml:space="preserve">Run the Review Gate. Report what passes, what fails and the fix. Never rewrite.</t>
  </si>
  <si>
    <t xml:space="preserve">Quality</t>
  </si>
  <si>
    <t xml:space="preserve">support: &lt;question&gt;</t>
  </si>
  <si>
    <t xml:space="preserve">Answer from the Answers log or a traceable source, or route to a named person. Log it.</t>
  </si>
  <si>
    <t xml:space="preserve">draft Jira update for &lt;KEY&gt;</t>
  </si>
  <si>
    <t xml:space="preserve">Write a status comment for that issue as a draft. Never posted.</t>
  </si>
  <si>
    <t xml:space="preserve">what's stale in Jira</t>
  </si>
  <si>
    <t xml:space="preserve">Use cases past their stage's staleness limit, worst first, with owner.</t>
  </si>
  <si>
    <t xml:space="preserve">move &lt;file&gt; to &lt;folder&gt;</t>
  </si>
  <si>
    <t xml:space="preserve">Move it, fix every reference, log it on Changes.</t>
  </si>
  <si>
    <t xml:space="preserve">Upkeep</t>
  </si>
  <si>
    <t xml:space="preserve">check integrity</t>
  </si>
  <si>
    <t xml:space="preserve">Scan the workbook for broken refs, duplicate IDs, unmapped statuses, and anything that looks like customer data.</t>
  </si>
  <si>
    <t xml:space="preserve">Config</t>
  </si>
  <si>
    <t xml:space="preserve">Blue cells are yours to set once. Grey cells are written by Cowork or computed. Nothing here is a secret: no tokens or passwords, ever.</t>
  </si>
  <si>
    <t xml:space="preserve">Settings</t>
  </si>
  <si>
    <t xml:space="preserve">Your name (as Jira shows it)</t>
  </si>
  <si>
    <t xml:space="preserve">Picks out use cases you own.</t>
  </si>
  <si>
    <t xml:space="preserve">Jira site URL</t>
  </si>
  <si>
    <t xml:space="preserve">https://example.atlassian.net</t>
  </si>
  <si>
    <t xml:space="preserve">No trailing slash. Builds the issue links.</t>
  </si>
  <si>
    <t xml:space="preserve">Jira project key(s)</t>
  </si>
  <si>
    <t xml:space="preserve">AI</t>
  </si>
  <si>
    <t xml:space="preserve">Comma-separated.</t>
  </si>
  <si>
    <t xml:space="preserve">Jira scope in plain words</t>
  </si>
  <si>
    <t xml:space="preserve">All use cases in AI that are not Done, plus anything closed in the last 90 days</t>
  </si>
  <si>
    <t xml:space="preserve">What Cowork asks the connector for.</t>
  </si>
  <si>
    <t xml:space="preserve">Sample data as-of date</t>
  </si>
  <si>
    <t xml:space="preserve">Leave BLANK for real use.</t>
  </si>
  <si>
    <t xml:space="preserve">Today (computed)</t>
  </si>
  <si>
    <t xml:space="preserve">Do not edit.</t>
  </si>
  <si>
    <t xml:space="preserve">This week starts (computed)</t>
  </si>
  <si>
    <t xml:space="preserve">Monday of the current week.</t>
  </si>
  <si>
    <t xml:space="preserve">Thresholds and capacity</t>
  </si>
  <si>
    <t xml:space="preserve">Open decision: warning after (days)</t>
  </si>
  <si>
    <t xml:space="preserve">Open decision: critical after (days)</t>
  </si>
  <si>
    <t xml:space="preserve">Unconfirmed item: warning after (days)</t>
  </si>
  <si>
    <t xml:space="preserve">Jira snapshot: stale after (days)</t>
  </si>
  <si>
    <t xml:space="preserve">Delivery capacity this quarter (points)</t>
  </si>
  <si>
    <t xml:space="preserve">Work in Delivery and Value consumes it.</t>
  </si>
  <si>
    <t xml:space="preserve">Committed points (computed)</t>
  </si>
  <si>
    <t xml:space="preserve">Open points (computed)</t>
  </si>
  <si>
    <t xml:space="preserve">Jira snapshot (written by Cowork on every refresh)</t>
  </si>
  <si>
    <t xml:space="preserve">Snapshot pulled at</t>
  </si>
  <si>
    <t xml:space="preserve">Date and time.</t>
  </si>
  <si>
    <t xml:space="preserve">Snapshot source</t>
  </si>
  <si>
    <t xml:space="preserve">Copilot connector (Jira Cloud)</t>
  </si>
  <si>
    <t xml:space="preserve">Copilot connector, or CSV: &lt;file name&gt;.</t>
  </si>
  <si>
    <t xml:space="preserve">Use cases in snapshot</t>
  </si>
  <si>
    <t xml:space="preserve">Compared to the last refresh to catch a short pull.</t>
  </si>
  <si>
    <t xml:space="preserve">Snapshot age in days (computed)</t>
  </si>
  <si>
    <t xml:space="preserve">Stages (the operating model's eight)</t>
  </si>
  <si>
    <t xml:space="preserve">Jira status → stage</t>
  </si>
  <si>
    <t xml:space="preserve">Jira field map (what Cowork reads into each Use Cases column)</t>
  </si>
  <si>
    <t xml:space="preserve">Stale after (days)</t>
  </si>
  <si>
    <t xml:space="preserve">At-risk window</t>
  </si>
  <si>
    <t xml:space="preserve">Jira status (exact)</t>
  </si>
  <si>
    <t xml:space="preserve">Workbook column</t>
  </si>
  <si>
    <t xml:space="preserve">Jira field</t>
  </si>
  <si>
    <t xml:space="preserve">Note</t>
  </si>
  <si>
    <t xml:space="preserve">Portfolio Lead</t>
  </si>
  <si>
    <t xml:space="preserve">Backlog</t>
  </si>
  <si>
    <t xml:space="preserve">Issue key</t>
  </si>
  <si>
    <t xml:space="preserve">PM Owner</t>
  </si>
  <si>
    <t xml:space="preserve">To Do</t>
  </si>
  <si>
    <t xml:space="preserve">Mapped to a stage below</t>
  </si>
  <si>
    <t xml:space="preserve">Model Risk &amp; Monitoring</t>
  </si>
  <si>
    <t xml:space="preserve">Business Function</t>
  </si>
  <si>
    <t xml:space="preserve">Custom field. Or a component</t>
  </si>
  <si>
    <t xml:space="preserve">Director / Portfolio Council</t>
  </si>
  <si>
    <t xml:space="preserve">Assignee</t>
  </si>
  <si>
    <t xml:space="preserve">Tech Lead</t>
  </si>
  <si>
    <t xml:space="preserve">Business Sponsor</t>
  </si>
  <si>
    <t xml:space="preserve">Custom field</t>
  </si>
  <si>
    <t xml:space="preserve">Created</t>
  </si>
  <si>
    <t xml:space="preserve">Governance &amp; Audit</t>
  </si>
  <si>
    <t xml:space="preserve">In Review</t>
  </si>
  <si>
    <t xml:space="preserve">Stage Target Date</t>
  </si>
  <si>
    <t xml:space="preserve">Custom field. Or Due date</t>
  </si>
  <si>
    <t xml:space="preserve">Risk tiers (promised intake-to-approval window)</t>
  </si>
  <si>
    <t xml:space="preserve">Risk Flags</t>
  </si>
  <si>
    <t xml:space="preserve">Custom multi-select</t>
  </si>
  <si>
    <t xml:space="preserve">Promise (days)</t>
  </si>
  <si>
    <t xml:space="preserve">What</t>
  </si>
  <si>
    <t xml:space="preserve">In Progress</t>
  </si>
  <si>
    <t xml:space="preserve">Internal tools, employee-only access, minimal regulatory exposure.</t>
  </si>
  <si>
    <t xml:space="preserve">Estimated Annual Value</t>
  </si>
  <si>
    <t xml:space="preserve">Custom number, $K</t>
  </si>
  <si>
    <t xml:space="preserve">Revenue impact, internal process, regulatory review required.</t>
  </si>
  <si>
    <t xml:space="preserve">Build</t>
  </si>
  <si>
    <t xml:space="preserve">Job Size</t>
  </si>
  <si>
    <t xml:space="preserve">Or Story points</t>
  </si>
  <si>
    <t xml:space="preserve">Customer-facing, credit decisions, compliance-critical, regulatory gated.</t>
  </si>
  <si>
    <t xml:space="preserve">WSJF Score</t>
  </si>
  <si>
    <t xml:space="preserve">Custom number</t>
  </si>
  <si>
    <t xml:space="preserve">Rollout</t>
  </si>
  <si>
    <t xml:space="preserve">Success Metric Defined</t>
  </si>
  <si>
    <t xml:space="preserve">Custom yes/no</t>
  </si>
  <si>
    <t xml:space="preserve">Functions that are always high tier</t>
  </si>
  <si>
    <t xml:space="preserve">Data Readiness</t>
  </si>
  <si>
    <t xml:space="preserve">Custom select</t>
  </si>
  <si>
    <t xml:space="preserve">Measuring</t>
  </si>
  <si>
    <t xml:space="preserve">Baseline Measured</t>
  </si>
  <si>
    <t xml:space="preserve">Waiting On</t>
  </si>
  <si>
    <t xml:space="preserve">Custom text. Or the flag comment</t>
  </si>
  <si>
    <t xml:space="preserve">Triage Decision Date</t>
  </si>
  <si>
    <t xml:space="preserve">Custom date</t>
  </si>
  <si>
    <t xml:space="preserve">Resolution</t>
  </si>
  <si>
    <t xml:space="preserve">Declined / Transferred</t>
  </si>
  <si>
    <t xml:space="preserve">Won't Do</t>
  </si>
  <si>
    <t xml:space="preserve">Labels</t>
  </si>
  <si>
    <t xml:space="preserve">The label that matches a Topics slug</t>
  </si>
  <si>
    <t xml:space="preserve">Rename the Jira fields to whatever your project calls them.</t>
  </si>
  <si>
    <t xml:space="preserve">Add your workflow's statuses in the blank rows.</t>
  </si>
  <si>
    <t xml:space="preserve">SAMPLE</t>
  </si>
  <si>
    <t xml:space="preserve">This copy holds the site's sixteen illustrative use cases, dated around 2026-10-02. Every age is measured from that date (Config › Sample data as-of). Use AI-OS.xlsx for real work.</t>
  </si>
  <si>
    <t xml:space="preserve">What this is</t>
  </si>
  <si>
    <t xml:space="preserve">The system of record for an AI portfolio desk. Cowork appends rows to the log sheets and refreshes the Use Cases snapshot from Jira; the five dashboard tabs recompute from them against today's date. Nothing on a dashboard is typed by hand.</t>
  </si>
  <si>
    <t xml:space="preserve">Dashboards</t>
  </si>
  <si>
    <t xml:space="preserve">My desk: what needs me, which use cases need attention, what I did this week. Its tiles link to the other four.</t>
  </si>
  <si>
    <t xml:space="preserve">Health against the stage target, freshness, pipeline by stage, WSJF ranking against capacity, every open use case, value realized vs projected, and the portfolio mix.</t>
  </si>
  <si>
    <t xml:space="preserve">RAG for the portfolio and its three elements, then the week as the three sittings produce it: Weekly Intake, Tactical Standup, Portfolio Council.</t>
  </si>
  <si>
    <t xml:space="preserve">The eight stages with gate grades, overdue and stale counts; the tier clock; and every gate exception with what the gate owner needs.</t>
  </si>
  <si>
    <t xml:space="preserve">One use case end to end: pick a key at the top. Status, the eight-gate strip, the record, its Inventory and Done history, and the commands to run.</t>
  </si>
  <si>
    <t xml:space="preserve">Which cells</t>
  </si>
  <si>
    <t xml:space="preserve">Blue headers are inputs. Grey headers and grey cells are formulas: never type over them. Add a row by filling the first empty row's blue columns. Never insert, delete or edit rows on a log sheet: append a correction instead.</t>
  </si>
  <si>
    <t xml:space="preserve">Append-only</t>
  </si>
  <si>
    <t xml:space="preserve">Inventory, Done, Answers, Reviews and Changes are logs. A decision is closed by a new Resolved row pointing at it (Ref), a rumour by a Confirmed row. Use Cases is a snapshot of Jira, replaced in full on each refresh; OneDrive version history keeps every previous pull.</t>
  </si>
  <si>
    <t xml:space="preserve">Privacy</t>
  </si>
  <si>
    <t xml:space="preserve">Nothing from 1:1s, performance or career conversations goes in this workbook. That lives in AI-OS/Private. No customer data anywhere: case or ticket IDs only.</t>
  </si>
  <si>
    <t xml:space="preserve">Data sheets</t>
  </si>
  <si>
    <t xml:space="preserve">Use Cases</t>
  </si>
  <si>
    <t xml:space="preserve">One row per use case, from Jira. Example: AI-003 | Fraud alert prioritization | Design | Fraud Operations | S. Okafor | Fraud Ops Director | 2026-07-31 | 2026-09-30 | 2026-09-29 | NPI | risk | insight | 1200 | 8 | 6.8 | Y | ready | Y | MRM model designation | 2026-08-22 | | | Y | fraud-alerts</t>
  </si>
  <si>
    <t xml:space="preserve">Example: INV-0019 | 2026-10-05 | Decision | fraud-alerts | Approve a second data engineer or slip Design a month | S. Okafor | Meeting | Confirmed | | AI-003</t>
  </si>
  <si>
    <t xml:space="preserve">Example: 2026-10-05 | Got MRM sign-off on the call summarization validation plan | call-summary | AI-001 | Email</t>
  </si>
  <si>
    <t xml:space="preserve">One row per quarter: projected and realized $K, and Y once the quarter is closed and measured.</t>
  </si>
  <si>
    <t xml:space="preserve">Others</t>
  </si>
  <si>
    <t xml:space="preserve">Answers (Support Guide log), Reviews (Review Gate runs), Changes (file moves), Topics, People, Commands, Config.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</si>
</sst>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General"/>
    <numFmt numFmtId="167" formatCode="ddd\ d\ mmm"/>
    <numFmt numFmtId="168" formatCode="d\ mmm"/>
    <numFmt numFmtId="169" formatCode="0;\-0;;"/>
    <numFmt numFmtId="170" formatCode="0%"/>
    <numFmt numFmtId="171" formatCode="yyyy\-mm\-dd"/>
    <numFmt numFmtId="172" formatCode="mm/dd/yy"/>
    <numFmt numFmtId="173" formatCode="yyyy\-mm\-dd\ hh:mm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6B2C91"/>
      <name val="Arial"/>
      <family val="0"/>
      <charset val="1"/>
    </font>
    <font>
      <sz val="10"/>
      <color rgb="FF4A5160"/>
      <name val="Arial"/>
      <family val="0"/>
      <charset val="1"/>
    </font>
    <font>
      <b val="true"/>
      <sz val="9"/>
      <color rgb="FF7A52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F56A5"/>
      <name val="Arial"/>
      <family val="0"/>
      <charset val="1"/>
    </font>
    <font>
      <b val="true"/>
      <sz val="9"/>
      <color rgb="FF646C7A"/>
      <name val="Arial"/>
      <family val="0"/>
      <charset val="1"/>
    </font>
    <font>
      <b val="true"/>
      <sz val="9"/>
      <color rgb="FF0F56A5"/>
      <name val="Arial"/>
      <family val="0"/>
      <charset val="1"/>
    </font>
    <font>
      <b val="true"/>
      <sz val="20"/>
      <color rgb="FF16181D"/>
      <name val="Arial"/>
      <family val="0"/>
      <charset val="1"/>
    </font>
    <font>
      <sz val="9"/>
      <color rgb="FF4A5160"/>
      <name val="Arial"/>
      <family val="0"/>
      <charset val="1"/>
    </font>
    <font>
      <b val="true"/>
      <sz val="12"/>
      <color rgb="FF16181D"/>
      <name val="Arial"/>
      <family val="0"/>
      <charset val="1"/>
    </font>
    <font>
      <i val="true"/>
      <sz val="9"/>
      <color rgb="FF646C7A"/>
      <name val="Arial"/>
      <family val="0"/>
      <charset val="1"/>
    </font>
    <font>
      <sz val="9"/>
      <color rgb="FF646C7A"/>
      <name val="Arial"/>
      <family val="0"/>
      <charset val="1"/>
    </font>
    <font>
      <sz val="10"/>
      <color rgb="FF0F56A5"/>
      <name val="Arial"/>
      <family val="0"/>
      <charset val="1"/>
    </font>
    <font>
      <sz val="10"/>
      <color rgb="FF16181D"/>
      <name val="Arial"/>
      <family val="0"/>
      <charset val="1"/>
    </font>
    <font>
      <sz val="10"/>
      <color rgb="FF6B2C91"/>
      <name val="Arial"/>
      <family val="0"/>
      <charset val="1"/>
    </font>
    <font>
      <u val="single"/>
      <sz val="9"/>
      <color rgb="FF0F56A5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16181D"/>
      <name val="Arial"/>
      <family val="0"/>
      <charset val="1"/>
    </font>
    <font>
      <i val="true"/>
      <sz val="10"/>
      <color rgb="FF646C7A"/>
      <name val="Arial"/>
      <family val="0"/>
      <charset val="1"/>
    </font>
    <font>
      <b val="true"/>
      <sz val="16"/>
      <color rgb="FF16181D"/>
      <name val="Arial"/>
      <family val="0"/>
      <charset val="1"/>
    </font>
    <font>
      <b val="true"/>
      <sz val="13"/>
      <color rgb="FF6B2C91"/>
      <name val="Arial"/>
      <family val="0"/>
      <charset val="1"/>
    </font>
    <font>
      <b val="true"/>
      <sz val="10"/>
      <color rgb="FF4A5160"/>
      <name val="Arial"/>
      <family val="0"/>
      <charset val="1"/>
    </font>
    <font>
      <b val="true"/>
      <sz val="11"/>
      <color rgb="FF16181D"/>
      <name val="Arial"/>
      <family val="0"/>
      <charset val="1"/>
    </font>
    <font>
      <b val="true"/>
      <sz val="14"/>
      <color rgb="FF6B2C91"/>
      <name val="Arial"/>
      <family val="0"/>
      <charset val="1"/>
    </font>
    <font>
      <b val="true"/>
      <sz val="14"/>
      <color rgb="FF16181D"/>
      <name val="Arial"/>
      <family val="0"/>
      <charset val="1"/>
    </font>
    <font>
      <sz val="8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6B2C91"/>
      <name val="Arial"/>
      <family val="0"/>
      <charset val="1"/>
    </font>
    <font>
      <b val="true"/>
      <sz val="16"/>
      <color rgb="FF6B2C91"/>
      <name val="Arial"/>
      <family val="0"/>
      <charset val="1"/>
    </font>
    <font>
      <sz val="10"/>
      <color rgb="FF1F3FBF"/>
      <name val="Arial"/>
      <family val="0"/>
      <charset val="1"/>
    </font>
    <font>
      <b val="true"/>
      <u val="single"/>
      <sz val="10"/>
      <color rgb="FF0F56A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6B2C91"/>
        <bgColor rgb="FF800080"/>
      </patternFill>
    </fill>
    <fill>
      <patternFill patternType="solid">
        <fgColor rgb="FFF5F6F7"/>
        <bgColor rgb="FFF7F7F7"/>
      </patternFill>
    </fill>
    <fill>
      <patternFill patternType="solid">
        <fgColor rgb="FFE8EEF8"/>
        <bgColor rgb="FFEDEDED"/>
      </patternFill>
    </fill>
    <fill>
      <patternFill patternType="solid">
        <fgColor rgb="FFEDEDED"/>
        <bgColor rgb="FFE8EEF8"/>
      </patternFill>
    </fill>
    <fill>
      <patternFill patternType="solid">
        <fgColor rgb="FFF7F7F7"/>
        <bgColor rgb="FFF5F6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2E4E8"/>
      </bottom>
      <diagonal/>
    </border>
    <border diagonalUp="false" diagonalDown="false">
      <left/>
      <right/>
      <top/>
      <bottom style="medium">
        <color rgb="FF6B2C9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1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3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2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FFF4D6"/>
        </patternFill>
      </fill>
    </dxf>
    <dxf>
      <font>
        <name val="Arial"/>
        <charset val="1"/>
        <family val="0"/>
        <b val="1"/>
        <color rgb="FF9B1C1C"/>
      </font>
      <fill>
        <patternFill>
          <bgColor rgb="FFFBE3E3"/>
        </patternFill>
      </fill>
    </dxf>
    <dxf>
      <font>
        <name val="Arial"/>
        <charset val="1"/>
        <family val="0"/>
        <b val="1"/>
        <color rgb="FF7A5200"/>
      </font>
      <fill>
        <patternFill>
          <bgColor rgb="FFFFF1D0"/>
        </patternFill>
      </fill>
    </dxf>
    <dxf>
      <font>
        <name val="Arial"/>
        <charset val="1"/>
        <family val="0"/>
        <b val="1"/>
        <color rgb="FF1D6B1D"/>
      </font>
      <fill>
        <patternFill>
          <bgColor rgb="FFE2F4E2"/>
        </patternFill>
      </fill>
    </dxf>
    <dxf>
      <font>
        <name val="Arial"/>
        <charset val="1"/>
        <family val="0"/>
        <b val="1"/>
        <color rgb="FF4A516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9B1C1C"/>
        <sz val="16"/>
      </font>
      <fill>
        <patternFill>
          <bgColor rgb="FFFBE3E3"/>
        </patternFill>
      </fill>
    </dxf>
    <dxf>
      <font>
        <name val="Arial"/>
        <charset val="1"/>
        <family val="0"/>
        <b val="1"/>
        <color rgb="FF7A5200"/>
        <sz val="16"/>
      </font>
      <fill>
        <patternFill>
          <bgColor rgb="FFFFF1D0"/>
        </patternFill>
      </fill>
    </dxf>
    <dxf>
      <font>
        <name val="Arial"/>
        <charset val="1"/>
        <family val="0"/>
        <b val="1"/>
        <color rgb="FF1D6B1D"/>
        <sz val="16"/>
      </font>
      <fill>
        <patternFill>
          <bgColor rgb="FFE2F4E2"/>
        </patternFill>
      </fill>
    </dxf>
    <dxf>
      <fill>
        <patternFill patternType="solid">
          <fgColor rgb="FFE8EE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81D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4A5160"/>
          <bgColor rgb="FF000000"/>
        </patternFill>
      </fill>
    </dxf>
    <dxf>
      <fill>
        <patternFill patternType="solid">
          <fgColor rgb="FFE2F4E2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1D0"/>
          <bgColor rgb="FF000000"/>
        </patternFill>
      </fill>
    </dxf>
    <dxf>
      <fill>
        <patternFill patternType="solid">
          <fgColor rgb="FF1D6B1D"/>
          <bgColor rgb="FF000000"/>
        </patternFill>
      </fill>
    </dxf>
    <dxf>
      <fill>
        <patternFill patternType="solid">
          <fgColor rgb="FF7A5200"/>
          <bgColor rgb="FF000000"/>
        </patternFill>
      </fill>
    </dxf>
    <dxf>
      <fill>
        <patternFill patternType="solid">
          <fgColor rgb="FF9B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B1D"/>
      <rgbColor rgb="FF000080"/>
      <rgbColor rgb="FF7A5200"/>
      <rgbColor rgb="FF800080"/>
      <rgbColor rgb="FF008080"/>
      <rgbColor rgb="FFE2E4E8"/>
      <rgbColor rgb="FF878787"/>
      <rgbColor rgb="FF9999FF"/>
      <rgbColor rgb="FF6B2C91"/>
      <rgbColor rgb="FFFFF4D6"/>
      <rgbColor rgb="FFE8EEF8"/>
      <rgbColor rgb="FF660066"/>
      <rgbColor rgb="FFFF8080"/>
      <rgbColor rgb="FF0F56A5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4E2"/>
      <rgbColor rgb="FFFFF1D0"/>
      <rgbColor rgb="FFF5F6F7"/>
      <rgbColor rgb="FFF7F7F7"/>
      <rgbColor rgb="FFCC99FF"/>
      <rgbColor rgb="FFFBE3E3"/>
      <rgbColor rgb="FF2A78D6"/>
      <rgbColor rgb="FF33CCCC"/>
      <rgbColor rgb="FF99CC00"/>
      <rgbColor rgb="FFFFCC00"/>
      <rgbColor rgb="FFE8A317"/>
      <rgbColor rgb="FFEB6834"/>
      <rgbColor rgb="FF646C7A"/>
      <rgbColor rgb="FF8A91A0"/>
      <rgbColor rgb="FF003366"/>
      <rgbColor rgb="FF3A9E4A"/>
      <rgbColor rgb="FF16181D"/>
      <rgbColor rgb="FF333300"/>
      <rgbColor rgb="FF9B1C1C"/>
      <rgbColor rgb="FFD03B3B"/>
      <rgbColor rgb="FF1F3FBF"/>
      <rgbColor rgb="FF4A51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Home!D45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Home!$C$46:$C$53</c:f>
              <c:strCache>
                <c:ptCount val="8"/>
                <c:pt idx="0">
                  <c:v>10 Aug</c:v>
                </c:pt>
                <c:pt idx="1">
                  <c:v>17 Aug</c:v>
                </c:pt>
                <c:pt idx="2">
                  <c:v>24 Aug</c:v>
                </c:pt>
                <c:pt idx="3">
                  <c:v>31 Aug</c:v>
                </c:pt>
                <c:pt idx="4">
                  <c:v>7 Sep</c:v>
                </c:pt>
                <c:pt idx="5">
                  <c:v>14 Sep</c:v>
                </c:pt>
                <c:pt idx="6">
                  <c:v>21 Sep</c:v>
                </c:pt>
                <c:pt idx="7">
                  <c:v>28 Sep</c:v>
                </c:pt>
              </c:strCache>
            </c:strRef>
          </c:cat>
          <c:val>
            <c:numRef>
              <c:f>Home!$D$46:$D$53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</c:numCache>
            </c:numRef>
          </c:val>
        </c:ser>
        <c:gapWidth val="60"/>
        <c:overlap val="0"/>
        <c:axId val="57662256"/>
        <c:axId val="76917685"/>
      </c:barChart>
      <c:catAx>
        <c:axId val="57662256"/>
        <c:scaling>
          <c:orientation val="minMax"/>
        </c:scaling>
        <c:delete val="0"/>
        <c:axPos val="b"/>
        <c:numFmt formatCode="d\ 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17685"/>
        <c:crosses val="autoZero"/>
        <c:auto val="1"/>
        <c:lblAlgn val="ctr"/>
        <c:lblOffset val="100"/>
        <c:noMultiLvlLbl val="0"/>
      </c:catAx>
      <c:valAx>
        <c:axId val="7691768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62256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Portfolio!D10</c:f>
              <c:strCache>
                <c:ptCount val="1"/>
                <c:pt idx="0">
                  <c:v>On track</c:v>
                </c:pt>
              </c:strCache>
            </c:strRef>
          </c:tx>
          <c:spPr>
            <a:solidFill>
              <a:srgbClr val="3a9e4a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Portfolio!$C$11:$C$18</c:f>
              <c:strCache>
                <c:ptCount val="8"/>
                <c:pt idx="0">
                  <c:v>Intake</c:v>
                </c:pt>
                <c:pt idx="1">
                  <c:v>Triage</c:v>
                </c:pt>
                <c:pt idx="2">
                  <c:v>Discovery</c:v>
                </c:pt>
                <c:pt idx="3">
                  <c:v>Design</c:v>
                </c:pt>
                <c:pt idx="4">
                  <c:v>Approval</c:v>
                </c:pt>
                <c:pt idx="5">
                  <c:v>Delivery</c:v>
                </c:pt>
                <c:pt idx="6">
                  <c:v>Scale</c:v>
                </c:pt>
                <c:pt idx="7">
                  <c:v>Value</c:v>
                </c:pt>
              </c:strCache>
            </c:strRef>
          </c:cat>
          <c:val>
            <c:numRef>
              <c:f>Portfolio!$D$11:$D$18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</c:ser>
        <c:ser>
          <c:idx val="1"/>
          <c:order val="1"/>
          <c:tx>
            <c:strRef>
              <c:f>Portfolio!E10</c:f>
              <c:strCache>
                <c:ptCount val="1"/>
                <c:pt idx="0">
                  <c:v>At risk</c:v>
                </c:pt>
              </c:strCache>
            </c:strRef>
          </c:tx>
          <c:spPr>
            <a:solidFill>
              <a:srgbClr val="e8a317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Portfolio!$C$11:$C$18</c:f>
              <c:strCache>
                <c:ptCount val="8"/>
                <c:pt idx="0">
                  <c:v>Intake</c:v>
                </c:pt>
                <c:pt idx="1">
                  <c:v>Triage</c:v>
                </c:pt>
                <c:pt idx="2">
                  <c:v>Discovery</c:v>
                </c:pt>
                <c:pt idx="3">
                  <c:v>Design</c:v>
                </c:pt>
                <c:pt idx="4">
                  <c:v>Approval</c:v>
                </c:pt>
                <c:pt idx="5">
                  <c:v>Delivery</c:v>
                </c:pt>
                <c:pt idx="6">
                  <c:v>Scale</c:v>
                </c:pt>
                <c:pt idx="7">
                  <c:v>Value</c:v>
                </c:pt>
              </c:strCache>
            </c:strRef>
          </c:cat>
          <c:val>
            <c:numRef>
              <c:f>Portfolio!$E$11:$E$18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strRef>
              <c:f>Portfolio!F10</c:f>
              <c:strCache>
                <c:ptCount val="1"/>
                <c:pt idx="0">
                  <c:v>Overdue</c:v>
                </c:pt>
              </c:strCache>
            </c:strRef>
          </c:tx>
          <c:spPr>
            <a:solidFill>
              <a:srgbClr val="d03b3b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Portfolio!$C$11:$C$18</c:f>
              <c:strCache>
                <c:ptCount val="8"/>
                <c:pt idx="0">
                  <c:v>Intake</c:v>
                </c:pt>
                <c:pt idx="1">
                  <c:v>Triage</c:v>
                </c:pt>
                <c:pt idx="2">
                  <c:v>Discovery</c:v>
                </c:pt>
                <c:pt idx="3">
                  <c:v>Design</c:v>
                </c:pt>
                <c:pt idx="4">
                  <c:v>Approval</c:v>
                </c:pt>
                <c:pt idx="5">
                  <c:v>Delivery</c:v>
                </c:pt>
                <c:pt idx="6">
                  <c:v>Scale</c:v>
                </c:pt>
                <c:pt idx="7">
                  <c:v>Value</c:v>
                </c:pt>
              </c:strCache>
            </c:strRef>
          </c:cat>
          <c:val>
            <c:numRef>
              <c:f>Portfolio!$F$11:$F$18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100"/>
        <c:axId val="58196621"/>
        <c:axId val="29077928"/>
      </c:barChart>
      <c:catAx>
        <c:axId val="5819662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77928"/>
        <c:crosses val="autoZero"/>
        <c:auto val="1"/>
        <c:lblAlgn val="ctr"/>
        <c:lblOffset val="100"/>
        <c:noMultiLvlLbl val="0"/>
      </c:catAx>
      <c:valAx>
        <c:axId val="29077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96621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Portfolio!D53</c:f>
              <c:strCache>
                <c:ptCount val="1"/>
                <c:pt idx="0">
                  <c:v>Projected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Portfolio!$C$54:$C$59</c:f>
              <c:strCache>
                <c:ptCount val="6"/>
                <c:pt idx="0">
                  <c:v>Q4 '25</c:v>
                </c:pt>
                <c:pt idx="1">
                  <c:v>Q1 '26</c:v>
                </c:pt>
                <c:pt idx="2">
                  <c:v>Q2 '26</c:v>
                </c:pt>
                <c:pt idx="3">
                  <c:v>Q3 '26</c:v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Portfolio!$D$54:$D$59</c:f>
              <c:numCache>
                <c:formatCode>General</c:formatCode>
                <c:ptCount val="6"/>
                <c:pt idx="0">
                  <c:v>1800</c:v>
                </c:pt>
                <c:pt idx="1">
                  <c:v>2600</c:v>
                </c:pt>
                <c:pt idx="2">
                  <c:v>4200</c:v>
                </c:pt>
                <c:pt idx="3">
                  <c:v>5700</c:v>
                </c:pt>
              </c:numCache>
            </c:numRef>
          </c:val>
        </c:ser>
        <c:ser>
          <c:idx val="1"/>
          <c:order val="1"/>
          <c:tx>
            <c:strRef>
              <c:f>Portfolio!E53</c:f>
              <c:strCache>
                <c:ptCount val="1"/>
                <c:pt idx="0">
                  <c:v>Realized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0;\-0;;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Portfolio!$C$54:$C$59</c:f>
              <c:strCache>
                <c:ptCount val="6"/>
                <c:pt idx="0">
                  <c:v>Q4 '25</c:v>
                </c:pt>
                <c:pt idx="1">
                  <c:v>Q1 '26</c:v>
                </c:pt>
                <c:pt idx="2">
                  <c:v>Q2 '26</c:v>
                </c:pt>
                <c:pt idx="3">
                  <c:v>Q3 '26</c:v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Portfolio!$E$54:$E$59</c:f>
              <c:numCache>
                <c:formatCode>General</c:formatCode>
                <c:ptCount val="6"/>
                <c:pt idx="0">
                  <c:v>1650</c:v>
                </c:pt>
                <c:pt idx="1">
                  <c:v>2400</c:v>
                </c:pt>
                <c:pt idx="2">
                  <c:v>3900</c:v>
                </c:pt>
                <c:pt idx="3">
                  <c:v>3600</c:v>
                </c:pt>
              </c:numCache>
            </c:numRef>
          </c:val>
        </c:ser>
        <c:gapWidth val="60"/>
        <c:overlap val="0"/>
        <c:axId val="8091043"/>
        <c:axId val="7780650"/>
      </c:barChart>
      <c:catAx>
        <c:axId val="8091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0650"/>
        <c:crosses val="autoZero"/>
        <c:auto val="1"/>
        <c:lblAlgn val="ctr"/>
        <c:lblOffset val="100"/>
        <c:noMultiLvlLbl val="0"/>
      </c:catAx>
      <c:valAx>
        <c:axId val="778065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1043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41</xdr:row>
      <xdr:rowOff>9360</xdr:rowOff>
    </xdr:from>
    <xdr:to>
      <xdr:col>6</xdr:col>
      <xdr:colOff>763920</xdr:colOff>
      <xdr:row>50</xdr:row>
      <xdr:rowOff>166680</xdr:rowOff>
    </xdr:to>
    <xdr:graphicFrame>
      <xdr:nvGraphicFramePr>
        <xdr:cNvPr id="0" name="Chart 1"/>
        <xdr:cNvGraphicFramePr/>
      </xdr:nvGraphicFramePr>
      <xdr:xfrm>
        <a:off x="3822840" y="8820000"/>
        <a:ext cx="431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9</xdr:row>
      <xdr:rowOff>0</xdr:rowOff>
    </xdr:from>
    <xdr:to>
      <xdr:col>10</xdr:col>
      <xdr:colOff>225720</xdr:colOff>
      <xdr:row>18</xdr:row>
      <xdr:rowOff>49320</xdr:rowOff>
    </xdr:to>
    <xdr:graphicFrame>
      <xdr:nvGraphicFramePr>
        <xdr:cNvPr id="1" name="Chart 1"/>
        <xdr:cNvGraphicFramePr/>
      </xdr:nvGraphicFramePr>
      <xdr:xfrm>
        <a:off x="9334440" y="2152800"/>
        <a:ext cx="3959640" cy="17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52</xdr:row>
      <xdr:rowOff>0</xdr:rowOff>
    </xdr:from>
    <xdr:to>
      <xdr:col>9</xdr:col>
      <xdr:colOff>1656720</xdr:colOff>
      <xdr:row>62</xdr:row>
      <xdr:rowOff>110880</xdr:rowOff>
    </xdr:to>
    <xdr:graphicFrame>
      <xdr:nvGraphicFramePr>
        <xdr:cNvPr id="2" name="Chart 2"/>
        <xdr:cNvGraphicFramePr/>
      </xdr:nvGraphicFramePr>
      <xdr:xfrm>
        <a:off x="7378560" y="10344240"/>
        <a:ext cx="467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0</v>
      </c>
    </row>
    <row r="2" customFormat="false" ht="15" hidden="false" customHeight="false" outlineLevel="0" collapsed="false">
      <c r="B2" s="2" t="str">
        <f aca="false">"My desk  ·  as of "&amp;TEXT(AsOf,"ddd d mmm yyyy")</f>
        <v>My desk  ·  as of Fri 2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SAMPLE DATA. Use AI-OS.xlsx for real work.</v>
      </c>
      <c r="H2" s="3"/>
      <c r="I2" s="3"/>
      <c r="J2" s="3"/>
      <c r="K2" s="3"/>
    </row>
    <row r="3" customFormat="false" ht="19.5" hidden="false" customHeight="true" outlineLevel="0" collapsed="false">
      <c r="C3" s="4" t="s">
        <v>1</v>
      </c>
      <c r="D3" s="5" t="str">
        <f aca="false">HYPERLINK("#'Portfolio'!A1","Portfolio")</f>
        <v>Portfolio</v>
      </c>
      <c r="E3" s="5" t="str">
        <f aca="false">HYPERLINK("#'Weekly Status'!A1","Weekly Status")</f>
        <v>Weekly Status</v>
      </c>
      <c r="F3" s="5" t="str">
        <f aca="false">HYPERLINK("#'Gates'!A1","Gates")</f>
        <v>Gates</v>
      </c>
      <c r="G3" s="5" t="str">
        <f aca="false">HYPERLINK("#'Use Case'!A1","Use Case")</f>
        <v>Use Case</v>
      </c>
    </row>
    <row r="5" customFormat="false" ht="15" hidden="false" customHeight="false" outlineLevel="0" collapsed="false">
      <c r="C5" s="6" t="s">
        <v>2</v>
      </c>
      <c r="D5" s="6"/>
      <c r="E5" s="6"/>
      <c r="F5" s="7" t="str">
        <f aca="false">HYPERLINK("#'Portfolio'!A1","PORTFOLIO  ›")</f>
        <v>PORTFOLIO  ›</v>
      </c>
      <c r="G5" s="8" t="str">
        <f aca="false">HYPERLINK("#'Weekly Status'!A1","WEEKLY STATUS  ›")</f>
        <v>WEEKLY STATUS  ›</v>
      </c>
      <c r="H5" s="8"/>
      <c r="I5" s="8"/>
      <c r="J5" s="7" t="str">
        <f aca="false">HYPERLINK("#'Gates'!A1","GATES  ›")</f>
        <v>GATES  ›</v>
      </c>
      <c r="K5" s="9" t="s">
        <v>3</v>
      </c>
    </row>
    <row r="6" customFormat="false" ht="30" hidden="false" customHeight="true" outlineLevel="0" collapsed="false">
      <c r="C6" s="10" t="n">
        <f aca="false">COUNTIFS(Inventory!$K:$K,"Open")+COUNTIF(Inventory!$K:$K,"Unconfirmed")</f>
        <v>7</v>
      </c>
      <c r="D6" s="10"/>
      <c r="E6" s="10"/>
      <c r="F6" s="11" t="n">
        <f aca="false">COUNTIFS('Use Cases'!$AB$2:$AB$501,"Overdue")</f>
        <v>1</v>
      </c>
      <c r="G6" s="10" t="str">
        <f aca="false">'Weekly Status'!$C$6</f>
        <v>Amber</v>
      </c>
      <c r="H6" s="10"/>
      <c r="I6" s="10"/>
      <c r="J6" s="11" t="n">
        <f aca="false">COUNTIFS('Use Cases'!$AH$2:$AH$501,"Critical")</f>
        <v>5</v>
      </c>
      <c r="K6" s="11" t="n">
        <f aca="false">COUNTIF(Done!$G:$G,"Yes")</f>
        <v>6</v>
      </c>
    </row>
    <row r="7" customFormat="false" ht="15" hidden="false" customHeight="false" outlineLevel="0" collapsed="false">
      <c r="C7" s="12" t="str">
        <f aca="false">COUNTIFS(Inventory!$K:$K,"Open",Inventory!$C:$C,"Decision")&amp;" decisions · "&amp;COUNTIFS(Inventory!$K:$K,"Open",Inventory!$C:$C,"Conflict")&amp;" conflicts · "&amp;COUNTIF(Inventory!$K:$K,"Unconfirmed")&amp;" unconfirmed"</f>
        <v>4 decisions · 1 conflicts · 2 unconfirmed</v>
      </c>
      <c r="D7" s="12"/>
      <c r="E7" s="12"/>
      <c r="F7" s="13" t="str">
        <f aca="false">"overdue · "&amp;COUNTIFS('Use Cases'!$AB$2:$AB$501,"At risk")&amp;" at risk · "&amp;COUNTIFS('Use Cases'!$AC$2:$AC$501,"Stale")&amp;" stale"</f>
        <v>overdue · 2 at risk · 0 stale</v>
      </c>
      <c r="G7" s="12" t="str">
        <f aca="false">"Flow "&amp;'Weekly Status'!$F$6&amp;" · Value "&amp;'Weekly Status'!$G$6&amp;" · Risk "&amp;'Weekly Status'!$J$6</f>
        <v>Flow Amber · Value Green · Risk Amber</v>
      </c>
      <c r="H7" s="12"/>
      <c r="I7" s="12"/>
      <c r="J7" s="13" t="str">
        <f aca="false">"critical · "&amp;COUNTIFS('Use Cases'!$AG$2:$AG$501,"Over")&amp;" over tier window"</f>
        <v>critical · 3 over tier window</v>
      </c>
      <c r="K7" s="13" t="str">
        <f aca="false">COUNTIF(Done!$F:$F,WeekStart-7)&amp;" last week"</f>
        <v>3 last week</v>
      </c>
    </row>
    <row r="9" customFormat="false" ht="15" hidden="false" customHeight="false" outlineLevel="0" collapsed="false">
      <c r="B9" s="14" t="s">
        <v>4</v>
      </c>
      <c r="F9" s="15" t="s">
        <v>5</v>
      </c>
    </row>
    <row r="10" customFormat="false" ht="15" hidden="false" customHeight="false" outlineLevel="0" collapsed="false">
      <c r="B10" s="16" t="s">
        <v>6</v>
      </c>
      <c r="C10" s="16" t="s">
        <v>7</v>
      </c>
      <c r="D10" s="16" t="s">
        <v>8</v>
      </c>
      <c r="E10" s="16" t="s">
        <v>9</v>
      </c>
      <c r="F10" s="16" t="s">
        <v>10</v>
      </c>
      <c r="G10" s="16" t="s">
        <v>11</v>
      </c>
      <c r="H10" s="16" t="s">
        <v>12</v>
      </c>
      <c r="I10" s="16" t="s">
        <v>13</v>
      </c>
      <c r="J10" s="16" t="s">
        <v>14</v>
      </c>
      <c r="K10" s="16" t="s">
        <v>15</v>
      </c>
    </row>
    <row r="11" customFormat="false" ht="15" hidden="false" customHeight="false" outlineLevel="0" collapsed="false">
      <c r="B11" s="17" t="n">
        <v>1</v>
      </c>
      <c r="C11" s="18" t="str">
        <f aca="false">IFERROR(HYPERLINK("#'Inventory'!A"&amp;(MATCH(LARGE(Inventory!$N$2:$N$1001,1),Inventory!$N$2:$N$1001,0)+1),INDEX(Inventory!$A$2:$A$1001,MATCH(LARGE(Inventory!$N$2:$N$1001,1),Inventory!$N$2:$N$1001,0))),"")</f>
        <v>INV-0007</v>
      </c>
      <c r="D11" s="19" t="str">
        <f aca="false">IF($C11="","",INDEX(Inventory!$C$2:$C$1001,MATCH($C11,Inventory!$A$2:$A$1001,0))&amp;"")</f>
        <v>Decision</v>
      </c>
      <c r="E11" s="19" t="str">
        <f aca="false">IF($C11="","",INDEX(Inventory!$D$2:$D$1001,MATCH($C11,Inventory!$A$2:$A$1001,0))&amp;"")</f>
        <v>council</v>
      </c>
      <c r="F11" s="20" t="str">
        <f aca="false">IF(COUNT(Inventory!$N$2:$N$1001)=0,"Nothing open. The inventory is clear.",IF($C11="","",INDEX(Inventory!$E$2:$E$1001,MATCH($C11,Inventory!$A$2:$A$1001,0))&amp;""))</f>
        <v>Find a sponsor for AI-010 or decline it.</v>
      </c>
      <c r="G11" s="21" t="n">
        <f aca="false">IF($C11="","",INDEX(Inventory!$L$2:$L$1001,MATCH($C11,Inventory!$A$2:$A$1001,0)))</f>
        <v>11</v>
      </c>
      <c r="H11" s="19" t="str">
        <f aca="false">IF($C11="","",INDEX(Inventory!$M$2:$M$1001,MATCH($C11,Inventory!$A$2:$A$1001,0))&amp;"")</f>
        <v>Critical</v>
      </c>
      <c r="I11" s="19" t="str">
        <f aca="false">IF($C11="","",INDEX(Inventory!$J$2:$J$1001,MATCH($C11,Inventory!$A$2:$A$1001,0))&amp;"")</f>
        <v>AI-010</v>
      </c>
      <c r="J11" s="19" t="str">
        <f aca="false">IF($C11="","",INDEX(Inventory!$F$2:$F$1001,MATCH($C11,Inventory!$A$2:$A$1001,0))&amp;"")</f>
        <v>Portfolio Council</v>
      </c>
      <c r="K11" s="22" t="str">
        <f aca="false">IF($C11="","",INDEX(Inventory!$O$2:$O$1001,MATCH($C11,Inventory!$A$2:$A$1001,0))&amp;"")</f>
        <v>decide INV-0007: &lt;outcome&gt;</v>
      </c>
    </row>
    <row r="12" customFormat="false" ht="23.85" hidden="false" customHeight="false" outlineLevel="0" collapsed="false">
      <c r="B12" s="17" t="n">
        <v>2</v>
      </c>
      <c r="C12" s="18" t="str">
        <f aca="false">IFERROR(HYPERLINK("#'Inventory'!A"&amp;(MATCH(LARGE(Inventory!$N$2:$N$1001,2),Inventory!$N$2:$N$1001,0)+1),INDEX(Inventory!$A$2:$A$1001,MATCH(LARGE(Inventory!$N$2:$N$1001,2),Inventory!$N$2:$N$1001,0))),"")</f>
        <v>INV-0009</v>
      </c>
      <c r="D12" s="19" t="str">
        <f aca="false">IF($C12="","",INDEX(Inventory!$C$2:$C$1001,MATCH($C12,Inventory!$A$2:$A$1001,0))&amp;"")</f>
        <v>Decision</v>
      </c>
      <c r="E12" s="19" t="str">
        <f aca="false">IF($C12="","",INDEX(Inventory!$D$2:$D$1001,MATCH($C12,Inventory!$A$2:$A$1001,0))&amp;"")</f>
        <v>fraud-alerts</v>
      </c>
      <c r="F12" s="20" t="str">
        <f aca="false">IF($C12="","",INDEX(Inventory!$E$2:$E$1001,MATCH($C12,Inventory!$A$2:$A$1001,0))&amp;"")</f>
        <v>Chase the MRM model designation for AI-003 or re-plan Design.</v>
      </c>
      <c r="G12" s="21" t="n">
        <f aca="false">IF($C12="","",INDEX(Inventory!$L$2:$L$1001,MATCH($C12,Inventory!$A$2:$A$1001,0)))</f>
        <v>9</v>
      </c>
      <c r="H12" s="19" t="str">
        <f aca="false">IF($C12="","",INDEX(Inventory!$M$2:$M$1001,MATCH($C12,Inventory!$A$2:$A$1001,0))&amp;"")</f>
        <v>Critical</v>
      </c>
      <c r="I12" s="19" t="str">
        <f aca="false">IF($C12="","",INDEX(Inventory!$J$2:$J$1001,MATCH($C12,Inventory!$A$2:$A$1001,0))&amp;"")</f>
        <v>AI-003</v>
      </c>
      <c r="J12" s="19" t="str">
        <f aca="false">IF($C12="","",INDEX(Inventory!$F$2:$F$1001,MATCH($C12,Inventory!$A$2:$A$1001,0))&amp;"")</f>
        <v>S. Okafor</v>
      </c>
      <c r="K12" s="22" t="str">
        <f aca="false">IF($C12="","",INDEX(Inventory!$O$2:$O$1001,MATCH($C12,Inventory!$A$2:$A$1001,0))&amp;"")</f>
        <v>decide INV-0009: &lt;outcome&gt;</v>
      </c>
    </row>
    <row r="13" customFormat="false" ht="23.85" hidden="false" customHeight="false" outlineLevel="0" collapsed="false">
      <c r="B13" s="17" t="n">
        <v>3</v>
      </c>
      <c r="C13" s="18" t="str">
        <f aca="false">IFERROR(HYPERLINK("#'Inventory'!A"&amp;(MATCH(LARGE(Inventory!$N$2:$N$1001,3),Inventory!$N$2:$N$1001,0)+1),INDEX(Inventory!$A$2:$A$1001,MATCH(LARGE(Inventory!$N$2:$N$1001,3),Inventory!$N$2:$N$1001,0))),"")</f>
        <v>INV-0013</v>
      </c>
      <c r="D13" s="19" t="str">
        <f aca="false">IF($C13="","",INDEX(Inventory!$C$2:$C$1001,MATCH($C13,Inventory!$A$2:$A$1001,0))&amp;"")</f>
        <v>Conflict</v>
      </c>
      <c r="E13" s="19" t="str">
        <f aca="false">IF($C13="","",INDEX(Inventory!$D$2:$D$1001,MATCH($C13,Inventory!$A$2:$A$1001,0))&amp;"")</f>
        <v>fraud-alerts</v>
      </c>
      <c r="F13" s="20" t="str">
        <f aca="false">IF($C13="","",INDEX(Inventory!$E$2:$E$1001,MATCH($C13,Inventory!$A$2:$A$1001,0))&amp;"")</f>
        <v>Vendor says AI-003 build has started; Jira shows Design. Inventory stands until confirmed.</v>
      </c>
      <c r="G13" s="21" t="n">
        <f aca="false">IF($C13="","",INDEX(Inventory!$L$2:$L$1001,MATCH($C13,Inventory!$A$2:$A$1001,0)))</f>
        <v>5</v>
      </c>
      <c r="H13" s="19" t="str">
        <f aca="false">IF($C13="","",INDEX(Inventory!$M$2:$M$1001,MATCH($C13,Inventory!$A$2:$A$1001,0))&amp;"")</f>
        <v>Critical</v>
      </c>
      <c r="I13" s="19" t="str">
        <f aca="false">IF($C13="","",INDEX(Inventory!$J$2:$J$1001,MATCH($C13,Inventory!$A$2:$A$1001,0))&amp;"")</f>
        <v>AI-003</v>
      </c>
      <c r="J13" s="19" t="str">
        <f aca="false">IF($C13="","",INDEX(Inventory!$F$2:$F$1001,MATCH($C13,Inventory!$A$2:$A$1001,0))&amp;"")</f>
        <v>Vendor PM</v>
      </c>
      <c r="K13" s="22" t="str">
        <f aca="false">IF($C13="","",INDEX(Inventory!$O$2:$O$1001,MATCH($C13,Inventory!$A$2:$A$1001,0))&amp;"")</f>
        <v>decide INV-0013: &lt;which version stands&gt;</v>
      </c>
    </row>
    <row r="14" customFormat="false" ht="15" hidden="false" customHeight="false" outlineLevel="0" collapsed="false">
      <c r="B14" s="17" t="n">
        <v>4</v>
      </c>
      <c r="C14" s="18" t="str">
        <f aca="false">IFERROR(HYPERLINK("#'Inventory'!A"&amp;(MATCH(LARGE(Inventory!$N$2:$N$1001,4),Inventory!$N$2:$N$1001,0)+1),INDEX(Inventory!$A$2:$A$1001,MATCH(LARGE(Inventory!$N$2:$N$1001,4),Inventory!$N$2:$N$1001,0))),"")</f>
        <v>INV-0012</v>
      </c>
      <c r="D14" s="19" t="str">
        <f aca="false">IF($C14="","",INDEX(Inventory!$C$2:$C$1001,MATCH($C14,Inventory!$A$2:$A$1001,0))&amp;"")</f>
        <v>Know</v>
      </c>
      <c r="E14" s="19" t="str">
        <f aca="false">IF($C14="","",INDEX(Inventory!$D$2:$D$1001,MATCH($C14,Inventory!$A$2:$A$1001,0))&amp;"")</f>
        <v>mrm</v>
      </c>
      <c r="F14" s="20" t="str">
        <f aca="false">IF($C14="","",INDEX(Inventory!$E$2:$E$1001,MATCH($C14,Inventory!$A$2:$A$1001,0))&amp;"")</f>
        <v>MRM may add a bias test for any credit-adjacent model.</v>
      </c>
      <c r="G14" s="21" t="n">
        <f aca="false">IF($C14="","",INDEX(Inventory!$L$2:$L$1001,MATCH($C14,Inventory!$A$2:$A$1001,0)))</f>
        <v>6</v>
      </c>
      <c r="H14" s="19" t="str">
        <f aca="false">IF($C14="","",INDEX(Inventory!$M$2:$M$1001,MATCH($C14,Inventory!$A$2:$A$1001,0))&amp;"")</f>
        <v>Warning</v>
      </c>
      <c r="I14" s="19" t="str">
        <f aca="false">IF($C14="","",INDEX(Inventory!$J$2:$J$1001,MATCH($C14,Inventory!$A$2:$A$1001,0))&amp;"")</f>
        <v/>
      </c>
      <c r="J14" s="19" t="str">
        <f aca="false">IF($C14="","",INDEX(Inventory!$F$2:$F$1001,MATCH($C14,Inventory!$A$2:$A$1001,0))&amp;"")</f>
        <v>R. Chen</v>
      </c>
      <c r="K14" s="22" t="str">
        <f aca="false">IF($C14="","",INDEX(Inventory!$O$2:$O$1001,MATCH($C14,Inventory!$A$2:$A$1001,0))&amp;"")</f>
        <v>confirm INV-0012</v>
      </c>
    </row>
    <row r="15" customFormat="false" ht="15" hidden="false" customHeight="false" outlineLevel="0" collapsed="false">
      <c r="B15" s="17" t="n">
        <v>5</v>
      </c>
      <c r="C15" s="18" t="str">
        <f aca="false">IFERROR(HYPERLINK("#'Inventory'!A"&amp;(MATCH(LARGE(Inventory!$N$2:$N$1001,5),Inventory!$N$2:$N$1001,0)+1),INDEX(Inventory!$A$2:$A$1001,MATCH(LARGE(Inventory!$N$2:$N$1001,5),Inventory!$N$2:$N$1001,0))),"")</f>
        <v>INV-0014</v>
      </c>
      <c r="D15" s="19" t="str">
        <f aca="false">IF($C15="","",INDEX(Inventory!$C$2:$C$1001,MATCH($C15,Inventory!$A$2:$A$1001,0))&amp;"")</f>
        <v>Decision</v>
      </c>
      <c r="E15" s="19" t="str">
        <f aca="false">IF($C15="","",INDEX(Inventory!$D$2:$D$1001,MATCH($C15,Inventory!$A$2:$A$1001,0))&amp;"")</f>
        <v>council</v>
      </c>
      <c r="F15" s="20" t="str">
        <f aca="false">IF($C15="","",INDEX(Inventory!$E$2:$E$1001,MATCH($C15,Inventory!$A$2:$A$1001,0))&amp;"")</f>
        <v>AI-012 returns to triage a second time: force a decision.</v>
      </c>
      <c r="G15" s="21" t="n">
        <f aca="false">IF($C15="","",INDEX(Inventory!$L$2:$L$1001,MATCH($C15,Inventory!$A$2:$A$1001,0)))</f>
        <v>4</v>
      </c>
      <c r="H15" s="19" t="str">
        <f aca="false">IF($C15="","",INDEX(Inventory!$M$2:$M$1001,MATCH($C15,Inventory!$A$2:$A$1001,0))&amp;"")</f>
        <v>Warning</v>
      </c>
      <c r="I15" s="19" t="str">
        <f aca="false">IF($C15="","",INDEX(Inventory!$J$2:$J$1001,MATCH($C15,Inventory!$A$2:$A$1001,0))&amp;"")</f>
        <v>AI-012</v>
      </c>
      <c r="J15" s="19" t="str">
        <f aca="false">IF($C15="","",INDEX(Inventory!$F$2:$F$1001,MATCH($C15,Inventory!$A$2:$A$1001,0))&amp;"")</f>
        <v>Intake team</v>
      </c>
      <c r="K15" s="22" t="str">
        <f aca="false">IF($C15="","",INDEX(Inventory!$O$2:$O$1001,MATCH($C15,Inventory!$A$2:$A$1001,0))&amp;"")</f>
        <v>decide INV-0014: &lt;outcome&gt;</v>
      </c>
    </row>
    <row r="16" customFormat="false" ht="23.85" hidden="false" customHeight="false" outlineLevel="0" collapsed="false">
      <c r="B16" s="17" t="n">
        <v>6</v>
      </c>
      <c r="C16" s="18" t="str">
        <f aca="false">IFERROR(HYPERLINK("#'Inventory'!A"&amp;(MATCH(LARGE(Inventory!$N$2:$N$1001,6),Inventory!$N$2:$N$1001,0)+1),INDEX(Inventory!$A$2:$A$1001,MATCH(LARGE(Inventory!$N$2:$N$1001,6),Inventory!$N$2:$N$1001,0))),"")</f>
        <v>INV-0015</v>
      </c>
      <c r="D16" s="19" t="str">
        <f aca="false">IF($C16="","",INDEX(Inventory!$C$2:$C$1001,MATCH($C16,Inventory!$A$2:$A$1001,0))&amp;"")</f>
        <v>New</v>
      </c>
      <c r="E16" s="19" t="str">
        <f aca="false">IF($C16="","",INDEX(Inventory!$D$2:$D$1001,MATCH($C16,Inventory!$A$2:$A$1001,0))&amp;"")</f>
        <v>chat-deflection</v>
      </c>
      <c r="F16" s="20" t="str">
        <f aca="false">IF($C16="","",INDEX(Inventory!$E$2:$E$1001,MATCH($C16,Inventory!$A$2:$A$1001,0))&amp;"")</f>
        <v>Chat deflection pilot hit 31% containment in week 2, above the 25% target.</v>
      </c>
      <c r="G16" s="21" t="n">
        <f aca="false">IF($C16="","",INDEX(Inventory!$L$2:$L$1001,MATCH($C16,Inventory!$A$2:$A$1001,0)))</f>
        <v>3</v>
      </c>
      <c r="H16" s="19" t="str">
        <f aca="false">IF($C16="","",INDEX(Inventory!$M$2:$M$1001,MATCH($C16,Inventory!$A$2:$A$1001,0))&amp;"")</f>
        <v>On track</v>
      </c>
      <c r="I16" s="19" t="str">
        <f aca="false">IF($C16="","",INDEX(Inventory!$J$2:$J$1001,MATCH($C16,Inventory!$A$2:$A$1001,0))&amp;"")</f>
        <v>AI-008</v>
      </c>
      <c r="J16" s="19" t="str">
        <f aca="false">IF($C16="","",INDEX(Inventory!$F$2:$F$1001,MATCH($C16,Inventory!$A$2:$A$1001,0))&amp;"")</f>
        <v>Digital Channels</v>
      </c>
      <c r="K16" s="22" t="str">
        <f aca="false">IF($C16="","",INDEX(Inventory!$O$2:$O$1001,MATCH($C16,Inventory!$A$2:$A$1001,0))&amp;"")</f>
        <v>confirm INV-0015</v>
      </c>
    </row>
    <row r="17" customFormat="false" ht="15" hidden="false" customHeight="false" outlineLevel="0" collapsed="false">
      <c r="B17" s="17" t="n">
        <v>7</v>
      </c>
      <c r="C17" s="18" t="str">
        <f aca="false">IFERROR(HYPERLINK("#'Inventory'!A"&amp;(MATCH(LARGE(Inventory!$N$2:$N$1001,7),Inventory!$N$2:$N$1001,0)+1),INDEX(Inventory!$A$2:$A$1001,MATCH(LARGE(Inventory!$N$2:$N$1001,7),Inventory!$N$2:$N$1001,0))),"")</f>
        <v>INV-0016</v>
      </c>
      <c r="D17" s="19" t="str">
        <f aca="false">IF($C17="","",INDEX(Inventory!$C$2:$C$1001,MATCH($C17,Inventory!$A$2:$A$1001,0))&amp;"")</f>
        <v>Decision</v>
      </c>
      <c r="E17" s="19" t="str">
        <f aca="false">IF($C17="","",INDEX(Inventory!$D$2:$D$1001,MATCH($C17,Inventory!$A$2:$A$1001,0))&amp;"")</f>
        <v>vendor-copilot</v>
      </c>
      <c r="F17" s="20" t="str">
        <f aca="false">IF($C17="","",INDEX(Inventory!$E$2:$E$1001,MATCH($C17,Inventory!$A$2:$A$1001,0))&amp;"")</f>
        <v>Accept the vendor pilot or run a competitive eval first.</v>
      </c>
      <c r="G17" s="21" t="n">
        <f aca="false">IF($C17="","",INDEX(Inventory!$L$2:$L$1001,MATCH($C17,Inventory!$A$2:$A$1001,0)))</f>
        <v>2</v>
      </c>
      <c r="H17" s="19" t="str">
        <f aca="false">IF($C17="","",INDEX(Inventory!$M$2:$M$1001,MATCH($C17,Inventory!$A$2:$A$1001,0))&amp;"")</f>
        <v>On track</v>
      </c>
      <c r="I17" s="19" t="str">
        <f aca="false">IF($C17="","",INDEX(Inventory!$J$2:$J$1001,MATCH($C17,Inventory!$A$2:$A$1001,0))&amp;"")</f>
        <v>AI-005</v>
      </c>
      <c r="J17" s="19" t="str">
        <f aca="false">IF($C17="","",INDEX(Inventory!$F$2:$F$1001,MATCH($C17,Inventory!$A$2:$A$1001,0))&amp;"")</f>
        <v>D. Kim</v>
      </c>
      <c r="K17" s="22" t="str">
        <f aca="false">IF($C17="","",INDEX(Inventory!$O$2:$O$1001,MATCH($C17,Inventory!$A$2:$A$1001,0))&amp;"")</f>
        <v>decide INV-0016: &lt;outcome&gt;</v>
      </c>
    </row>
    <row r="18" customFormat="false" ht="15" hidden="false" customHeight="false" outlineLevel="0" collapsed="false">
      <c r="B18" s="17" t="n">
        <v>8</v>
      </c>
      <c r="C18" s="18" t="str">
        <f aca="false">IFERROR(HYPERLINK("#'Inventory'!A"&amp;(MATCH(LARGE(Inventory!$N$2:$N$1001,8),Inventory!$N$2:$N$1001,0)+1),INDEX(Inventory!$A$2:$A$1001,MATCH(LARGE(Inventory!$N$2:$N$1001,8),Inventory!$N$2:$N$1001,0))),"")</f>
        <v/>
      </c>
      <c r="D18" s="19" t="str">
        <f aca="false">IF($C18="","",INDEX(Inventory!$C$2:$C$1001,MATCH($C18,Inventory!$A$2:$A$1001,0))&amp;"")</f>
        <v/>
      </c>
      <c r="E18" s="19" t="str">
        <f aca="false">IF($C18="","",INDEX(Inventory!$D$2:$D$1001,MATCH($C18,Inventory!$A$2:$A$1001,0))&amp;"")</f>
        <v/>
      </c>
      <c r="F18" s="20" t="str">
        <f aca="false">IF($C18="","",INDEX(Inventory!$E$2:$E$1001,MATCH($C18,Inventory!$A$2:$A$1001,0))&amp;"")</f>
        <v/>
      </c>
      <c r="G18" s="21" t="str">
        <f aca="false">IF($C18="","",INDEX(Inventory!$L$2:$L$1001,MATCH($C18,Inventory!$A$2:$A$1001,0)))</f>
        <v/>
      </c>
      <c r="H18" s="19" t="str">
        <f aca="false">IF($C18="","",INDEX(Inventory!$M$2:$M$1001,MATCH($C18,Inventory!$A$2:$A$1001,0))&amp;"")</f>
        <v/>
      </c>
      <c r="I18" s="19" t="str">
        <f aca="false">IF($C18="","",INDEX(Inventory!$J$2:$J$1001,MATCH($C18,Inventory!$A$2:$A$1001,0))&amp;"")</f>
        <v/>
      </c>
      <c r="J18" s="19" t="str">
        <f aca="false">IF($C18="","",INDEX(Inventory!$F$2:$F$1001,MATCH($C18,Inventory!$A$2:$A$1001,0))&amp;"")</f>
        <v/>
      </c>
      <c r="K18" s="22" t="str">
        <f aca="false">IF($C18="","",INDEX(Inventory!$O$2:$O$1001,MATCH($C18,Inventory!$A$2:$A$1001,0))&amp;"")</f>
        <v/>
      </c>
    </row>
    <row r="19" customFormat="false" ht="15" hidden="false" customHeight="false" outlineLevel="0" collapsed="false">
      <c r="K19" s="23" t="str">
        <f aca="false">IF(COUNT(Inventory!$N$2:$N$1001)&gt;8,"+"&amp;(COUNT(Inventory!$N$2:$N$1001)-8)&amp;" more on the Inventory sheet","")</f>
        <v/>
      </c>
    </row>
    <row r="21" customFormat="false" ht="15" hidden="false" customHeight="false" outlineLevel="0" collapsed="false">
      <c r="B21" s="14" t="s">
        <v>16</v>
      </c>
      <c r="F21" s="15" t="s">
        <v>17</v>
      </c>
      <c r="K21" s="24" t="str">
        <f aca="false">HYPERLINK("#'Portfolio'!A1","Portfolio  ›")</f>
        <v>Portfolio  ›</v>
      </c>
    </row>
    <row r="22" customFormat="false" ht="15" hidden="false" customHeight="false" outlineLevel="0" collapsed="false">
      <c r="B22" s="16" t="s">
        <v>6</v>
      </c>
      <c r="C22" s="16" t="s">
        <v>18</v>
      </c>
      <c r="D22" s="16" t="s">
        <v>19</v>
      </c>
      <c r="E22" s="16" t="s">
        <v>20</v>
      </c>
      <c r="F22" s="16" t="s">
        <v>13</v>
      </c>
      <c r="G22" s="16" t="s">
        <v>21</v>
      </c>
      <c r="H22" s="16" t="s">
        <v>22</v>
      </c>
      <c r="I22" s="16" t="s">
        <v>23</v>
      </c>
      <c r="J22" s="16" t="s">
        <v>24</v>
      </c>
      <c r="K22" s="16" t="s">
        <v>15</v>
      </c>
    </row>
    <row r="23" customFormat="false" ht="15" hidden="false" customHeight="false" outlineLevel="0" collapsed="false">
      <c r="B23" s="17" t="n">
        <v>1</v>
      </c>
      <c r="C23" s="18" t="str">
        <f aca="false">IFERROR(HYPERLINK("#'Use Cases'!A"&amp;(MATCH(LARGE('Use Cases'!$AP$2:$AP$501,1),'Use Cases'!$AP$2:$AP$501,0)+1),INDEX('Use Cases'!$A$2:$A$501,MATCH(LARGE('Use Cases'!$AP$2:$AP$501,1),'Use Cases'!$AP$2:$AP$501,0))),"")</f>
        <v>AI-003</v>
      </c>
      <c r="D23" s="19" t="str">
        <f aca="false">IF($C23="","",INDEX('Use Cases'!$X$2:$X$501,MATCH($C23,'Use Cases'!$A$2:$A$501,0))&amp;"")</f>
        <v>Design</v>
      </c>
      <c r="E23" s="19" t="str">
        <f aca="false">IF($C23="","",INDEX('Use Cases'!$E$2:$E$501,MATCH($C23,'Use Cases'!$A$2:$A$501,0))&amp;"")</f>
        <v>S. Okafor</v>
      </c>
      <c r="F23" s="20" t="str">
        <f aca="false">IF(COUNT('Use Cases'!$AP$2:$AP$501)=0,"Nothing needs attention.",IF($C23="","",INDEX('Use Cases'!$B$2:$B$501,MATCH($C23,'Use Cases'!$A$2:$A$501,0))&amp;""))</f>
        <v>Fraud alert prioritization</v>
      </c>
      <c r="G23" s="21" t="n">
        <f aca="false">IF($C23="","",INDEX('Use Cases'!$Z$2:$Z$501,MATCH($C23,'Use Cases'!$A$2:$A$501,0)))</f>
        <v>-3</v>
      </c>
      <c r="H23" s="19" t="str">
        <f aca="false">IF($C23="","",INDEX('Use Cases'!$AB$2:$AB$501,MATCH($C23,'Use Cases'!$A$2:$A$501,0))&amp;"")</f>
        <v>Overdue</v>
      </c>
      <c r="I23" s="19" t="str">
        <f aca="false">IF($C23="","",INDEX('Use Cases'!$AH$2:$AH$501,MATCH($C23,'Use Cases'!$A$2:$A$501,0))&amp;"")</f>
        <v>Critical</v>
      </c>
      <c r="J23" s="20" t="str">
        <f aca="false">IF($C23="","",INDEX('Use Cases'!$AQ$2:$AQ$501,MATCH($C23,'Use Cases'!$A$2:$A$501,0))&amp;"")</f>
        <v>Flagged in Jira</v>
      </c>
      <c r="K23" s="22" t="str">
        <f aca="false">IF($C23="","",INDEX('Use Cases'!$AR$2:$AR$501,MATCH($C23,'Use Cases'!$A$2:$A$501,0))&amp;"")</f>
        <v>draft Jira update for AI-003</v>
      </c>
    </row>
    <row r="24" customFormat="false" ht="15" hidden="false" customHeight="false" outlineLevel="0" collapsed="false">
      <c r="B24" s="17" t="n">
        <v>2</v>
      </c>
      <c r="C24" s="18" t="str">
        <f aca="false">IFERROR(HYPERLINK("#'Use Cases'!A"&amp;(MATCH(LARGE('Use Cases'!$AP$2:$AP$501,2),'Use Cases'!$AP$2:$AP$501,0)+1),INDEX('Use Cases'!$A$2:$A$501,MATCH(LARGE('Use Cases'!$AP$2:$AP$501,2),'Use Cases'!$AP$2:$AP$501,0))),"")</f>
        <v>AI-010</v>
      </c>
      <c r="D24" s="19" t="str">
        <f aca="false">IF($C24="","",INDEX('Use Cases'!$X$2:$X$501,MATCH($C24,'Use Cases'!$A$2:$A$501,0))&amp;"")</f>
        <v>Intake</v>
      </c>
      <c r="E24" s="19" t="str">
        <f aca="false">IF($C24="","",INDEX('Use Cases'!$E$2:$E$501,MATCH($C24,'Use Cases'!$A$2:$A$501,0))&amp;"")</f>
        <v>Intake team</v>
      </c>
      <c r="F24" s="20" t="str">
        <f aca="false">IF($C24="","",INDEX('Use Cases'!$B$2:$B$501,MATCH($C24,'Use Cases'!$A$2:$A$501,0))&amp;"")</f>
        <v>Statement insight summaries</v>
      </c>
      <c r="G24" s="21" t="n">
        <f aca="false">IF($C24="","",INDEX('Use Cases'!$Z$2:$Z$501,MATCH($C24,'Use Cases'!$A$2:$A$501,0)))</f>
        <v>2</v>
      </c>
      <c r="H24" s="19" t="str">
        <f aca="false">IF($C24="","",INDEX('Use Cases'!$AB$2:$AB$501,MATCH($C24,'Use Cases'!$A$2:$A$501,0))&amp;"")</f>
        <v>At risk</v>
      </c>
      <c r="I24" s="19" t="str">
        <f aca="false">IF($C24="","",INDEX('Use Cases'!$AH$2:$AH$501,MATCH($C24,'Use Cases'!$A$2:$A$501,0))&amp;"")</f>
        <v>Critical</v>
      </c>
      <c r="J24" s="20" t="str">
        <f aca="false">IF($C24="","",INDEX('Use Cases'!$AQ$2:$AQ$501,MATCH($C24,'Use Cases'!$A$2:$A$501,0))&amp;"")</f>
        <v>Name a sponsor accountable for the value</v>
      </c>
      <c r="K24" s="22" t="str">
        <f aca="false">IF($C24="","",INDEX('Use Cases'!$AR$2:$AR$501,MATCH($C24,'Use Cases'!$A$2:$A$501,0))&amp;"")</f>
        <v>draft Jira update for AI-010</v>
      </c>
    </row>
    <row r="25" customFormat="false" ht="15" hidden="false" customHeight="false" outlineLevel="0" collapsed="false">
      <c r="B25" s="17" t="n">
        <v>3</v>
      </c>
      <c r="C25" s="18" t="str">
        <f aca="false">IFERROR(HYPERLINK("#'Use Cases'!A"&amp;(MATCH(LARGE('Use Cases'!$AP$2:$AP$501,3),'Use Cases'!$AP$2:$AP$501,0)+1),INDEX('Use Cases'!$A$2:$A$501,MATCH(LARGE('Use Cases'!$AP$2:$AP$501,3),'Use Cases'!$AP$2:$AP$501,0))),"")</f>
        <v>AI-004</v>
      </c>
      <c r="D25" s="19" t="str">
        <f aca="false">IF($C25="","",INDEX('Use Cases'!$X$2:$X$501,MATCH($C25,'Use Cases'!$A$2:$A$501,0))&amp;"")</f>
        <v>Discovery</v>
      </c>
      <c r="E25" s="19" t="str">
        <f aca="false">IF($C25="","",INDEX('Use Cases'!$E$2:$E$501,MATCH($C25,'Use Cases'!$A$2:$A$501,0))&amp;"")</f>
        <v>R. Patel</v>
      </c>
      <c r="F25" s="20" t="str">
        <f aca="false">IF($C25="","",INDEX('Use Cases'!$B$2:$B$501,MATCH($C25,'Use Cases'!$A$2:$A$501,0))&amp;"")</f>
        <v>KYC document extraction</v>
      </c>
      <c r="G25" s="21" t="n">
        <f aca="false">IF($C25="","",INDEX('Use Cases'!$Z$2:$Z$501,MATCH($C25,'Use Cases'!$A$2:$A$501,0)))</f>
        <v>4</v>
      </c>
      <c r="H25" s="19" t="str">
        <f aca="false">IF($C25="","",INDEX('Use Cases'!$AB$2:$AB$501,MATCH($C25,'Use Cases'!$A$2:$A$501,0))&amp;"")</f>
        <v>At risk</v>
      </c>
      <c r="I25" s="19" t="str">
        <f aca="false">IF($C25="","",INDEX('Use Cases'!$AH$2:$AH$501,MATCH($C25,'Use Cases'!$A$2:$A$501,0))&amp;"")</f>
        <v>Critical</v>
      </c>
      <c r="J25" s="20" t="str">
        <f aca="false">IF($C25="","",INDEX('Use Cases'!$AQ$2:$AQ$501,MATCH($C25,'Use Cases'!$A$2:$A$501,0))&amp;"")</f>
        <v>Assess data readiness and regulatory impact</v>
      </c>
      <c r="K25" s="22" t="str">
        <f aca="false">IF($C25="","",INDEX('Use Cases'!$AR$2:$AR$501,MATCH($C25,'Use Cases'!$A$2:$A$501,0))&amp;"")</f>
        <v>draft Jira update for AI-004</v>
      </c>
    </row>
    <row r="26" customFormat="false" ht="23.85" hidden="false" customHeight="false" outlineLevel="0" collapsed="false">
      <c r="B26" s="17" t="n">
        <v>4</v>
      </c>
      <c r="C26" s="18" t="str">
        <f aca="false">IFERROR(HYPERLINK("#'Use Cases'!A"&amp;(MATCH(LARGE('Use Cases'!$AP$2:$AP$501,4),'Use Cases'!$AP$2:$AP$501,0)+1),INDEX('Use Cases'!$A$2:$A$501,MATCH(LARGE('Use Cases'!$AP$2:$AP$501,4),'Use Cases'!$AP$2:$AP$501,0))),"")</f>
        <v>AI-007</v>
      </c>
      <c r="D26" s="19" t="str">
        <f aca="false">IF($C26="","",INDEX('Use Cases'!$X$2:$X$501,MATCH($C26,'Use Cases'!$A$2:$A$501,0))&amp;"")</f>
        <v>Triage</v>
      </c>
      <c r="E26" s="19" t="str">
        <f aca="false">IF($C26="","",INDEX('Use Cases'!$E$2:$E$501,MATCH($C26,'Use Cases'!$A$2:$A$501,0))&amp;"")</f>
        <v>Intake team</v>
      </c>
      <c r="F26" s="20" t="str">
        <f aca="false">IF($C26="","",INDEX('Use Cases'!$B$2:$B$501,MATCH($C26,'Use Cases'!$A$2:$A$501,0))&amp;"")</f>
        <v>Marketing copy assistant</v>
      </c>
      <c r="G26" s="21" t="n">
        <f aca="false">IF($C26="","",INDEX('Use Cases'!$Z$2:$Z$501,MATCH($C26,'Use Cases'!$A$2:$A$501,0)))</f>
        <v>5</v>
      </c>
      <c r="H26" s="19" t="str">
        <f aca="false">IF($C26="","",INDEX('Use Cases'!$AB$2:$AB$501,MATCH($C26,'Use Cases'!$A$2:$A$501,0))&amp;"")</f>
        <v>On track</v>
      </c>
      <c r="I26" s="19" t="str">
        <f aca="false">IF($C26="","",INDEX('Use Cases'!$AH$2:$AH$501,MATCH($C26,'Use Cases'!$A$2:$A$501,0))&amp;"")</f>
        <v>Critical</v>
      </c>
      <c r="J26" s="20" t="str">
        <f aca="false">IF($C26="","",INDEX('Use Cases'!$AQ$2:$AQ$501,MATCH($C26,'Use Cases'!$A$2:$A$501,0))&amp;"")</f>
        <v>State the success metric and the stop condition</v>
      </c>
      <c r="K26" s="22" t="str">
        <f aca="false">IF($C26="","",INDEX('Use Cases'!$AR$2:$AR$501,MATCH($C26,'Use Cases'!$A$2:$A$501,0))&amp;"")</f>
        <v>draft Jira update for AI-007</v>
      </c>
    </row>
    <row r="27" customFormat="false" ht="23.85" hidden="false" customHeight="false" outlineLevel="0" collapsed="false">
      <c r="B27" s="17" t="n">
        <v>5</v>
      </c>
      <c r="C27" s="18" t="str">
        <f aca="false">IFERROR(HYPERLINK("#'Use Cases'!A"&amp;(MATCH(LARGE('Use Cases'!$AP$2:$AP$501,5),'Use Cases'!$AP$2:$AP$501,0)+1),INDEX('Use Cases'!$A$2:$A$501,MATCH(LARGE('Use Cases'!$AP$2:$AP$501,5),'Use Cases'!$AP$2:$AP$501,0))),"")</f>
        <v>AI-012</v>
      </c>
      <c r="D27" s="19" t="str">
        <f aca="false">IF($C27="","",INDEX('Use Cases'!$X$2:$X$501,MATCH($C27,'Use Cases'!$A$2:$A$501,0))&amp;"")</f>
        <v>Triage</v>
      </c>
      <c r="E27" s="19" t="str">
        <f aca="false">IF($C27="","",INDEX('Use Cases'!$E$2:$E$501,MATCH($C27,'Use Cases'!$A$2:$A$501,0))&amp;"")</f>
        <v>Intake team</v>
      </c>
      <c r="F27" s="20" t="str">
        <f aca="false">IF($C27="","",INDEX('Use Cases'!$B$2:$B$501,MATCH($C27,'Use Cases'!$A$2:$A$501,0))&amp;"")</f>
        <v>Teller balancing assistant</v>
      </c>
      <c r="G27" s="21" t="n">
        <f aca="false">IF($C27="","",INDEX('Use Cases'!$Z$2:$Z$501,MATCH($C27,'Use Cases'!$A$2:$A$501,0)))</f>
        <v>8</v>
      </c>
      <c r="H27" s="19" t="str">
        <f aca="false">IF($C27="","",INDEX('Use Cases'!$AB$2:$AB$501,MATCH($C27,'Use Cases'!$A$2:$A$501,0))&amp;"")</f>
        <v>On track</v>
      </c>
      <c r="I27" s="19" t="str">
        <f aca="false">IF($C27="","",INDEX('Use Cases'!$AH$2:$AH$501,MATCH($C27,'Use Cases'!$A$2:$A$501,0))&amp;"")</f>
        <v>Critical</v>
      </c>
      <c r="J27" s="20" t="str">
        <f aca="false">IF($C27="","",INDEX('Use Cases'!$AQ$2:$AQ$501,MATCH($C27,'Use Cases'!$A$2:$A$501,0))&amp;"")</f>
        <v>State the success metric and the stop condition</v>
      </c>
      <c r="K27" s="22" t="str">
        <f aca="false">IF($C27="","",INDEX('Use Cases'!$AR$2:$AR$501,MATCH($C27,'Use Cases'!$A$2:$A$501,0))&amp;"")</f>
        <v>draft Jira update for AI-012</v>
      </c>
    </row>
    <row r="28" customFormat="false" ht="15" hidden="false" customHeight="false" outlineLevel="0" collapsed="false">
      <c r="B28" s="17" t="n">
        <v>6</v>
      </c>
      <c r="C28" s="18" t="str">
        <f aca="false">IFERROR(HYPERLINK("#'Use Cases'!A"&amp;(MATCH(LARGE('Use Cases'!$AP$2:$AP$501,6),'Use Cases'!$AP$2:$AP$501,0)+1),INDEX('Use Cases'!$A$2:$A$501,MATCH(LARGE('Use Cases'!$AP$2:$AP$501,6),'Use Cases'!$AP$2:$AP$501,0))),"")</f>
        <v>AI-006</v>
      </c>
      <c r="D28" s="19" t="str">
        <f aca="false">IF($C28="","",INDEX('Use Cases'!$X$2:$X$501,MATCH($C28,'Use Cases'!$A$2:$A$501,0))&amp;"")</f>
        <v>Approval</v>
      </c>
      <c r="E28" s="19" t="str">
        <f aca="false">IF($C28="","",INDEX('Use Cases'!$E$2:$E$501,MATCH($C28,'Use Cases'!$A$2:$A$501,0))&amp;"")</f>
        <v>L. Nguyen</v>
      </c>
      <c r="F28" s="20" t="str">
        <f aca="false">IF($C28="","",INDEX('Use Cases'!$B$2:$B$501,MATCH($C28,'Use Cases'!$A$2:$A$501,0))&amp;"")</f>
        <v>Branch staffing forecast</v>
      </c>
      <c r="G28" s="21" t="n">
        <f aca="false">IF($C28="","",INDEX('Use Cases'!$Z$2:$Z$501,MATCH($C28,'Use Cases'!$A$2:$A$501,0)))</f>
        <v>9</v>
      </c>
      <c r="H28" s="19" t="str">
        <f aca="false">IF($C28="","",INDEX('Use Cases'!$AB$2:$AB$501,MATCH($C28,'Use Cases'!$A$2:$A$501,0))&amp;"")</f>
        <v>On track</v>
      </c>
      <c r="I28" s="19" t="str">
        <f aca="false">IF($C28="","",INDEX('Use Cases'!$AH$2:$AH$501,MATCH($C28,'Use Cases'!$A$2:$A$501,0))&amp;"")</f>
        <v>Good</v>
      </c>
      <c r="J28" s="20" t="str">
        <f aca="false">IF($C28="","",INDEX('Use Cases'!$AQ$2:$AQ$501,MATCH($C28,'Use Cases'!$A$2:$A$501,0))&amp;"")</f>
        <v>Past its 21-day tier window</v>
      </c>
      <c r="K28" s="22" t="str">
        <f aca="false">IF($C28="","",INDEX('Use Cases'!$AR$2:$AR$501,MATCH($C28,'Use Cases'!$A$2:$A$501,0))&amp;"")</f>
        <v>draft Jira update for AI-006</v>
      </c>
    </row>
    <row r="29" customFormat="false" ht="15" hidden="false" customHeight="false" outlineLevel="0" collapsed="false">
      <c r="B29" s="17" t="n">
        <v>7</v>
      </c>
      <c r="C29" s="18" t="str">
        <f aca="false">IFERROR(HYPERLINK("#'Use Cases'!A"&amp;(MATCH(LARGE('Use Cases'!$AP$2:$AP$501,7),'Use Cases'!$AP$2:$AP$501,0)+1),INDEX('Use Cases'!$A$2:$A$501,MATCH(LARGE('Use Cases'!$AP$2:$AP$501,7),'Use Cases'!$AP$2:$AP$501,0))),"")</f>
        <v>AI-014</v>
      </c>
      <c r="D29" s="19" t="str">
        <f aca="false">IF($C29="","",INDEX('Use Cases'!$X$2:$X$501,MATCH($C29,'Use Cases'!$A$2:$A$501,0))&amp;"")</f>
        <v>Approval</v>
      </c>
      <c r="E29" s="19" t="str">
        <f aca="false">IF($C29="","",INDEX('Use Cases'!$E$2:$E$501,MATCH($C29,'Use Cases'!$A$2:$A$501,0))&amp;"")</f>
        <v>D. Kim</v>
      </c>
      <c r="F29" s="20" t="str">
        <f aca="false">IF($C29="","",INDEX('Use Cases'!$B$2:$B$501,MATCH($C29,'Use Cases'!$A$2:$A$501,0))&amp;"")</f>
        <v>Dispute intake summarizer</v>
      </c>
      <c r="G29" s="21" t="n">
        <f aca="false">IF($C29="","",INDEX('Use Cases'!$Z$2:$Z$501,MATCH($C29,'Use Cases'!$A$2:$A$501,0)))</f>
        <v>24</v>
      </c>
      <c r="H29" s="19" t="str">
        <f aca="false">IF($C29="","",INDEX('Use Cases'!$AB$2:$AB$501,MATCH($C29,'Use Cases'!$A$2:$A$501,0))&amp;"")</f>
        <v>On track</v>
      </c>
      <c r="I29" s="19" t="str">
        <f aca="false">IF($C29="","",INDEX('Use Cases'!$AH$2:$AH$501,MATCH($C29,'Use Cases'!$A$2:$A$501,0))&amp;"")</f>
        <v>Good</v>
      </c>
      <c r="J29" s="20" t="str">
        <f aca="false">IF($C29="","",INDEX('Use Cases'!$AQ$2:$AQ$501,MATCH($C29,'Use Cases'!$A$2:$A$501,0))&amp;"")</f>
        <v>Past its 45-day tier window</v>
      </c>
      <c r="K29" s="22" t="str">
        <f aca="false">IF($C29="","",INDEX('Use Cases'!$AR$2:$AR$501,MATCH($C29,'Use Cases'!$A$2:$A$501,0))&amp;"")</f>
        <v>draft Jira update for AI-014</v>
      </c>
    </row>
    <row r="30" customFormat="false" ht="15" hidden="false" customHeight="false" outlineLevel="0" collapsed="false">
      <c r="B30" s="17" t="n">
        <v>8</v>
      </c>
      <c r="C30" s="18" t="str">
        <f aca="false">IFERROR(HYPERLINK("#'Use Cases'!A"&amp;(MATCH(LARGE('Use Cases'!$AP$2:$AP$501,8),'Use Cases'!$AP$2:$AP$501,0)+1),INDEX('Use Cases'!$A$2:$A$501,MATCH(LARGE('Use Cases'!$AP$2:$AP$501,8),'Use Cases'!$AP$2:$AP$501,0))),"")</f>
        <v/>
      </c>
      <c r="D30" s="19" t="str">
        <f aca="false">IF($C30="","",INDEX('Use Cases'!$X$2:$X$501,MATCH($C30,'Use Cases'!$A$2:$A$501,0))&amp;"")</f>
        <v/>
      </c>
      <c r="E30" s="19" t="str">
        <f aca="false">IF($C30="","",INDEX('Use Cases'!$E$2:$E$501,MATCH($C30,'Use Cases'!$A$2:$A$501,0))&amp;"")</f>
        <v/>
      </c>
      <c r="F30" s="20" t="str">
        <f aca="false">IF($C30="","",INDEX('Use Cases'!$B$2:$B$501,MATCH($C30,'Use Cases'!$A$2:$A$501,0))&amp;"")</f>
        <v/>
      </c>
      <c r="G30" s="21" t="str">
        <f aca="false">IF($C30="","",INDEX('Use Cases'!$Z$2:$Z$501,MATCH($C30,'Use Cases'!$A$2:$A$501,0)))</f>
        <v/>
      </c>
      <c r="H30" s="19" t="str">
        <f aca="false">IF($C30="","",INDEX('Use Cases'!$AB$2:$AB$501,MATCH($C30,'Use Cases'!$A$2:$A$501,0))&amp;"")</f>
        <v/>
      </c>
      <c r="I30" s="19" t="str">
        <f aca="false">IF($C30="","",INDEX('Use Cases'!$AH$2:$AH$501,MATCH($C30,'Use Cases'!$A$2:$A$501,0))&amp;"")</f>
        <v/>
      </c>
      <c r="J30" s="20" t="str">
        <f aca="false">IF($C30="","",INDEX('Use Cases'!$AQ$2:$AQ$501,MATCH($C30,'Use Cases'!$A$2:$A$501,0))&amp;"")</f>
        <v/>
      </c>
      <c r="K30" s="22" t="str">
        <f aca="false">IF($C30="","",INDEX('Use Cases'!$AR$2:$AR$501,MATCH($C30,'Use Cases'!$A$2:$A$501,0))&amp;"")</f>
        <v/>
      </c>
    </row>
    <row r="31" customFormat="false" ht="15" hidden="false" customHeight="false" outlineLevel="0" collapsed="false">
      <c r="K31" s="23" t="str">
        <f aca="false">IF(COUNT('Use Cases'!$AP$2:$AP$501)&gt;8,"+"&amp;(COUNT('Use Cases'!$AP$2:$AP$501)-8)&amp;" more on the Use Cases sheet","")</f>
        <v/>
      </c>
    </row>
    <row r="33" customFormat="false" ht="15" hidden="false" customHeight="false" outlineLevel="0" collapsed="false">
      <c r="B33" s="14" t="s">
        <v>25</v>
      </c>
      <c r="F33" s="15" t="s">
        <v>26</v>
      </c>
      <c r="K33" s="24" t="str">
        <f aca="false">HYPERLINK("#'Weekly Status'!A1","Weekly status  ›")</f>
        <v>Weekly status  ›</v>
      </c>
    </row>
    <row r="34" customFormat="false" ht="15" hidden="false" customHeight="false" outlineLevel="0" collapsed="false">
      <c r="C34" s="16" t="s">
        <v>27</v>
      </c>
      <c r="D34" s="16" t="s">
        <v>13</v>
      </c>
      <c r="E34" s="16" t="s">
        <v>9</v>
      </c>
      <c r="F34" s="16" t="s">
        <v>28</v>
      </c>
    </row>
    <row r="35" customFormat="false" ht="15" hidden="false" customHeight="false" outlineLevel="0" collapsed="false">
      <c r="C35" s="25" t="n">
        <f aca="false">IFERROR(INDEX(Done!$A$2:$A$1001,MATCH(LARGE(Done!$H$2:$H$1001,1),Done!$H$2:$H$1001,0)),"")</f>
        <v>46297</v>
      </c>
      <c r="D35" s="26" t="str">
        <f aca="false">IF($C35="","",INDEX(Done!$D$2:$D$1001,MATCH(LARGE(Done!$H$2:$H$1001,1),Done!$H$2:$H$1001,0))&amp;"")</f>
        <v>AI-010</v>
      </c>
      <c r="E35" s="26" t="str">
        <f aca="false">IF($C35="","",INDEX(Done!$C$2:$C$1001,MATCH(LARGE(Done!$H$2:$H$1001,1),Done!$H$2:$H$1001,0))&amp;"")</f>
        <v/>
      </c>
      <c r="F35" s="26" t="str">
        <f aca="false">IF(COUNTIF(Done!$G:$G,"Yes")=0,"Nothing logged this week yet.",IF($C35="","",INDEX(Done!$B$2:$B$1001,MATCH(LARGE(Done!$H$2:$H$1001,1),Done!$H$2:$H$1001,0))&amp;""))</f>
        <v>Drafted the sponsor ask for statement insight summaries.</v>
      </c>
      <c r="G35" s="26"/>
      <c r="H35" s="26"/>
      <c r="I35" s="26"/>
      <c r="J35" s="26"/>
      <c r="K35" s="26"/>
    </row>
    <row r="36" customFormat="false" ht="15" hidden="false" customHeight="false" outlineLevel="0" collapsed="false">
      <c r="C36" s="25" t="n">
        <f aca="false">IFERROR(INDEX(Done!$A$2:$A$1001,MATCH(LARGE(Done!$H$2:$H$1001,2),Done!$H$2:$H$1001,0)),"")</f>
        <v>46296</v>
      </c>
      <c r="D36" s="26" t="str">
        <f aca="false">IF($C36="","",INDEX(Done!$D$2:$D$1001,MATCH(LARGE(Done!$H$2:$H$1001,2),Done!$H$2:$H$1001,0))&amp;"")</f>
        <v>AI-009</v>
      </c>
      <c r="E36" s="26" t="str">
        <f aca="false">IF($C36="","",INDEX(Done!$C$2:$C$1001,MATCH(LARGE(Done!$H$2:$H$1001,2),Done!$H$2:$H$1001,0))&amp;"")</f>
        <v>fraud-alerts</v>
      </c>
      <c r="F36" s="26" t="str">
        <f aca="false">IF($C36="","",INDEX(Done!$B$2:$B$1001,MATCH(LARGE(Done!$H$2:$H$1001,2),Done!$H$2:$H$1001,0))&amp;"")</f>
        <v>Logged wire fraud anomaly detection at intake and assigned the high tier.</v>
      </c>
      <c r="G36" s="26"/>
      <c r="H36" s="26"/>
      <c r="I36" s="26"/>
      <c r="J36" s="26"/>
      <c r="K36" s="26"/>
    </row>
    <row r="37" customFormat="false" ht="15" hidden="false" customHeight="false" outlineLevel="0" collapsed="false">
      <c r="C37" s="25" t="n">
        <f aca="false">IFERROR(INDEX(Done!$A$2:$A$1001,MATCH(LARGE(Done!$H$2:$H$1001,3),Done!$H$2:$H$1001,0)),"")</f>
        <v>46295</v>
      </c>
      <c r="D37" s="26" t="str">
        <f aca="false">IF($C37="","",INDEX(Done!$D$2:$D$1001,MATCH(LARGE(Done!$H$2:$H$1001,3),Done!$H$2:$H$1001,0))&amp;"")</f>
        <v>AI-008</v>
      </c>
      <c r="E37" s="26" t="str">
        <f aca="false">IF($C37="","",INDEX(Done!$C$2:$C$1001,MATCH(LARGE(Done!$H$2:$H$1001,3),Done!$H$2:$H$1001,0))&amp;"")</f>
        <v>chat-deflection</v>
      </c>
      <c r="F37" s="26" t="str">
        <f aca="false">IF($C37="","",INDEX(Done!$B$2:$B$1001,MATCH(LARGE(Done!$H$2:$H$1001,3),Done!$H$2:$H$1001,0))&amp;"")</f>
        <v>Sent the chat deflection week-2 readout to Digital leadership.</v>
      </c>
      <c r="G37" s="26"/>
      <c r="H37" s="26"/>
      <c r="I37" s="26"/>
      <c r="J37" s="26"/>
      <c r="K37" s="26"/>
    </row>
    <row r="38" customFormat="false" ht="15" hidden="false" customHeight="false" outlineLevel="0" collapsed="false">
      <c r="C38" s="25" t="n">
        <f aca="false">IFERROR(INDEX(Done!$A$2:$A$1001,MATCH(LARGE(Done!$H$2:$H$1001,4),Done!$H$2:$H$1001,0)),"")</f>
        <v>46294</v>
      </c>
      <c r="D38" s="26" t="str">
        <f aca="false">IF($C38="","",INDEX(Done!$D$2:$D$1001,MATCH(LARGE(Done!$H$2:$H$1001,4),Done!$H$2:$H$1001,0))&amp;"")</f>
        <v>AI-013</v>
      </c>
      <c r="E38" s="26" t="str">
        <f aca="false">IF($C38="","",INDEX(Done!$C$2:$C$1001,MATCH(LARGE(Done!$H$2:$H$1001,4),Done!$H$2:$H$1001,0))&amp;"")</f>
        <v/>
      </c>
      <c r="F38" s="26" t="str">
        <f aca="false">IF($C38="","",INDEX(Done!$B$2:$B$1001,MATCH(LARGE(Done!$H$2:$H$1001,4),Done!$H$2:$H$1001,0))&amp;"")</f>
        <v>Moved ATM cash forecasting into discovery with a four-week timebox.</v>
      </c>
      <c r="G38" s="26"/>
      <c r="H38" s="26"/>
      <c r="I38" s="26"/>
      <c r="J38" s="26"/>
      <c r="K38" s="26"/>
    </row>
    <row r="39" customFormat="false" ht="15" hidden="false" customHeight="false" outlineLevel="0" collapsed="false">
      <c r="C39" s="25" t="n">
        <f aca="false">IFERROR(INDEX(Done!$A$2:$A$1001,MATCH(LARGE(Done!$H$2:$H$1001,5),Done!$H$2:$H$1001,0)),"")</f>
        <v>46293</v>
      </c>
      <c r="D39" s="26" t="str">
        <f aca="false">IF($C39="","",INDEX(Done!$D$2:$D$1001,MATCH(LARGE(Done!$H$2:$H$1001,5),Done!$H$2:$H$1001,0))&amp;"")</f>
        <v/>
      </c>
      <c r="E39" s="26" t="str">
        <f aca="false">IF($C39="","",INDEX(Done!$C$2:$C$1001,MATCH(LARGE(Done!$H$2:$H$1001,5),Done!$H$2:$H$1001,0))&amp;"")</f>
        <v>council</v>
      </c>
      <c r="F39" s="26" t="str">
        <f aca="false">IF($C39="","",INDEX(Done!$B$2:$B$1001,MATCH(LARGE(Done!$H$2:$H$1001,5),Done!$H$2:$H$1001,0))&amp;"")</f>
        <v>Built the value tracker template the Council asked for.</v>
      </c>
      <c r="G39" s="26"/>
      <c r="H39" s="26"/>
      <c r="I39" s="26"/>
      <c r="J39" s="26"/>
      <c r="K39" s="26"/>
    </row>
    <row r="40" customFormat="false" ht="15" hidden="false" customHeight="false" outlineLevel="0" collapsed="false">
      <c r="C40" s="25" t="n">
        <f aca="false">IFERROR(INDEX(Done!$A$2:$A$1001,MATCH(LARGE(Done!$H$2:$H$1001,6),Done!$H$2:$H$1001,0)),"")</f>
        <v>46293</v>
      </c>
      <c r="D40" s="26" t="str">
        <f aca="false">IF($C40="","",INDEX(Done!$D$2:$D$1001,MATCH(LARGE(Done!$H$2:$H$1001,6),Done!$H$2:$H$1001,0))&amp;"")</f>
        <v>AI-003</v>
      </c>
      <c r="E40" s="26" t="str">
        <f aca="false">IF($C40="","",INDEX(Done!$C$2:$C$1001,MATCH(LARGE(Done!$H$2:$H$1001,6),Done!$H$2:$H$1001,0))&amp;"")</f>
        <v>fraud-alerts</v>
      </c>
      <c r="F40" s="26" t="str">
        <f aca="false">IF($C40="","",INDEX(Done!$B$2:$B$1001,MATCH(LARGE(Done!$H$2:$H$1001,6),Done!$H$2:$H$1001,0))&amp;"")</f>
        <v>Escalated the AI-003 MRM designation to the Council agenda.</v>
      </c>
      <c r="G40" s="26"/>
      <c r="H40" s="26"/>
      <c r="I40" s="26"/>
      <c r="J40" s="26"/>
      <c r="K40" s="26"/>
    </row>
    <row r="41" customFormat="false" ht="15" hidden="false" customHeight="false" outlineLevel="0" collapsed="false">
      <c r="C41" s="25" t="str">
        <f aca="false">IFERROR(INDEX(Done!$A$2:$A$1001,MATCH(LARGE(Done!$H$2:$H$1001,7),Done!$H$2:$H$1001,0)),"")</f>
        <v/>
      </c>
      <c r="D41" s="26" t="str">
        <f aca="false">IF($C41="","",INDEX(Done!$D$2:$D$1001,MATCH(LARGE(Done!$H$2:$H$1001,7),Done!$H$2:$H$1001,0))&amp;"")</f>
        <v/>
      </c>
      <c r="E41" s="26" t="str">
        <f aca="false">IF($C41="","",INDEX(Done!$C$2:$C$1001,MATCH(LARGE(Done!$H$2:$H$1001,7),Done!$H$2:$H$1001,0))&amp;"")</f>
        <v/>
      </c>
      <c r="F41" s="26" t="str">
        <f aca="false">IF($C41="","",INDEX(Done!$B$2:$B$1001,MATCH(LARGE(Done!$H$2:$H$1001,7),Done!$H$2:$H$1001,0))&amp;"")</f>
        <v/>
      </c>
      <c r="G41" s="26"/>
      <c r="H41" s="26"/>
      <c r="I41" s="26"/>
      <c r="J41" s="26"/>
      <c r="K41" s="26"/>
    </row>
    <row r="42" customFormat="false" ht="15" hidden="false" customHeight="false" outlineLevel="0" collapsed="false">
      <c r="C42" s="25" t="str">
        <f aca="false">IFERROR(INDEX(Done!$A$2:$A$1001,MATCH(LARGE(Done!$H$2:$H$1001,8),Done!$H$2:$H$1001,0)),"")</f>
        <v/>
      </c>
      <c r="D42" s="26" t="str">
        <f aca="false">IF($C42="","",INDEX(Done!$D$2:$D$1001,MATCH(LARGE(Done!$H$2:$H$1001,8),Done!$H$2:$H$1001,0))&amp;"")</f>
        <v/>
      </c>
      <c r="E42" s="26" t="str">
        <f aca="false">IF($C42="","",INDEX(Done!$C$2:$C$1001,MATCH(LARGE(Done!$H$2:$H$1001,8),Done!$H$2:$H$1001,0))&amp;"")</f>
        <v/>
      </c>
      <c r="F42" s="26" t="str">
        <f aca="false">IF($C42="","",INDEX(Done!$B$2:$B$1001,MATCH(LARGE(Done!$H$2:$H$1001,8),Done!$H$2:$H$1001,0))&amp;"")</f>
        <v/>
      </c>
      <c r="G42" s="26"/>
      <c r="H42" s="26"/>
      <c r="I42" s="26"/>
      <c r="J42" s="26"/>
      <c r="K42" s="26"/>
    </row>
    <row r="44" customFormat="false" ht="15" hidden="false" customHeight="false" outlineLevel="0" collapsed="false">
      <c r="B44" s="14" t="s">
        <v>29</v>
      </c>
      <c r="F44" s="15" t="s">
        <v>30</v>
      </c>
    </row>
    <row r="45" customFormat="false" ht="15" hidden="false" customHeight="false" outlineLevel="0" collapsed="false">
      <c r="C45" s="16" t="s">
        <v>31</v>
      </c>
      <c r="D45" s="16" t="s">
        <v>32</v>
      </c>
    </row>
    <row r="46" customFormat="false" ht="15" hidden="false" customHeight="false" outlineLevel="0" collapsed="false">
      <c r="C46" s="27" t="n">
        <f aca="false">WeekStart-7*7</f>
        <v>46244</v>
      </c>
      <c r="D46" s="28" t="n">
        <f aca="false">COUNTIF(Done!$F:$F,$C46)</f>
        <v>0</v>
      </c>
    </row>
    <row r="47" customFormat="false" ht="15" hidden="false" customHeight="false" outlineLevel="0" collapsed="false">
      <c r="C47" s="27" t="n">
        <f aca="false">WeekStart-7*6</f>
        <v>46251</v>
      </c>
      <c r="D47" s="28" t="n">
        <f aca="false">COUNTIF(Done!$F:$F,$C47)</f>
        <v>0</v>
      </c>
    </row>
    <row r="48" customFormat="false" ht="15" hidden="false" customHeight="false" outlineLevel="0" collapsed="false">
      <c r="C48" s="27" t="n">
        <f aca="false">WeekStart-7*5</f>
        <v>46258</v>
      </c>
      <c r="D48" s="28" t="n">
        <f aca="false">COUNTIF(Done!$F:$F,$C48)</f>
        <v>3</v>
      </c>
    </row>
    <row r="49" customFormat="false" ht="15" hidden="false" customHeight="false" outlineLevel="0" collapsed="false">
      <c r="C49" s="27" t="n">
        <f aca="false">WeekStart-7*4</f>
        <v>46265</v>
      </c>
      <c r="D49" s="28" t="n">
        <f aca="false">COUNTIF(Done!$F:$F,$C49)</f>
        <v>2</v>
      </c>
    </row>
    <row r="50" customFormat="false" ht="15" hidden="false" customHeight="false" outlineLevel="0" collapsed="false">
      <c r="C50" s="27" t="n">
        <f aca="false">WeekStart-7*3</f>
        <v>46272</v>
      </c>
      <c r="D50" s="28" t="n">
        <f aca="false">COUNTIF(Done!$F:$F,$C50)</f>
        <v>3</v>
      </c>
    </row>
    <row r="51" customFormat="false" ht="15" hidden="false" customHeight="false" outlineLevel="0" collapsed="false">
      <c r="C51" s="27" t="n">
        <f aca="false">WeekStart-7*2</f>
        <v>46279</v>
      </c>
      <c r="D51" s="28" t="n">
        <f aca="false">COUNTIF(Done!$F:$F,$C51)</f>
        <v>3</v>
      </c>
    </row>
    <row r="52" customFormat="false" ht="15" hidden="false" customHeight="false" outlineLevel="0" collapsed="false">
      <c r="C52" s="27" t="n">
        <f aca="false">WeekStart-7*1</f>
        <v>46286</v>
      </c>
      <c r="D52" s="28" t="n">
        <f aca="false">COUNTIF(Done!$F:$F,$C52)</f>
        <v>3</v>
      </c>
    </row>
    <row r="53" customFormat="false" ht="15" hidden="false" customHeight="false" outlineLevel="0" collapsed="false">
      <c r="C53" s="27" t="n">
        <f aca="false">WeekStart-7*0</f>
        <v>46293</v>
      </c>
      <c r="D53" s="28" t="n">
        <f aca="false">COUNTIF(Done!$F:$F,$C53)</f>
        <v>6</v>
      </c>
    </row>
  </sheetData>
  <mergeCells count="15">
    <mergeCell ref="G2:K2"/>
    <mergeCell ref="C5:E5"/>
    <mergeCell ref="G5:I5"/>
    <mergeCell ref="C6:E6"/>
    <mergeCell ref="G6:I6"/>
    <mergeCell ref="C7:E7"/>
    <mergeCell ref="G7:I7"/>
    <mergeCell ref="F35:K35"/>
    <mergeCell ref="F36:K36"/>
    <mergeCell ref="F37:K37"/>
    <mergeCell ref="F38:K38"/>
    <mergeCell ref="F39:K39"/>
    <mergeCell ref="F40:K40"/>
    <mergeCell ref="F41:K41"/>
    <mergeCell ref="F42:K42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G6:I6"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1">
      <formula>"Overdue"</formula>
    </cfRule>
    <cfRule type="cellIs" priority="5" operator="equal" aboveAverage="0" equalAverage="0" bottom="0" percent="0" rank="0" text="" dxfId="1">
      <formula>"Red"</formula>
    </cfRule>
    <cfRule type="cellIs" priority="6" operator="equal" aboveAverage="0" equalAverage="0" bottom="0" percent="0" rank="0" text="" dxfId="1">
      <formula>"Stale"</formula>
    </cfRule>
    <cfRule type="cellIs" priority="7" operator="equal" aboveAverage="0" equalAverage="0" bottom="0" percent="0" rank="0" text="" dxfId="2">
      <formula>"Warning"</formula>
    </cfRule>
    <cfRule type="cellIs" priority="8" operator="equal" aboveAverage="0" equalAverage="0" bottom="0" percent="0" rank="0" text="" dxfId="2">
      <formula>"At risk"</formula>
    </cfRule>
    <cfRule type="cellIs" priority="9" operator="equal" aboveAverage="0" equalAverage="0" bottom="0" percent="0" rank="0" text="" dxfId="2">
      <formula>"Amber"</formula>
    </cfRule>
    <cfRule type="cellIs" priority="10" operator="equal" aboveAverage="0" equalAverage="0" bottom="0" percent="0" rank="0" text="" dxfId="2">
      <formula>"Aging"</formula>
    </cfRule>
    <cfRule type="cellIs" priority="11" operator="equal" aboveAverage="0" equalAverage="0" bottom="0" percent="0" rank="0" text="" dxfId="2">
      <formula>"Over"</formula>
    </cfRule>
    <cfRule type="cellIs" priority="12" operator="equal" aboveAverage="0" equalAverage="0" bottom="0" percent="0" rank="0" text="" dxfId="2">
      <formula>"Unmapped"</formula>
    </cfRule>
    <cfRule type="cellIs" priority="13" operator="equal" aboveAverage="0" equalAverage="0" bottom="0" percent="0" rank="0" text="" dxfId="2">
      <formula>"Below line"</formula>
    </cfRule>
    <cfRule type="cellIs" priority="14" operator="equal" aboveAverage="0" equalAverage="0" bottom="0" percent="0" rank="0" text="" dxfId="3">
      <formula>"On track"</formula>
    </cfRule>
    <cfRule type="cellIs" priority="15" operator="equal" aboveAverage="0" equalAverage="0" bottom="0" percent="0" rank="0" text="" dxfId="3">
      <formula>"Good"</formula>
    </cfRule>
    <cfRule type="cellIs" priority="16" operator="equal" aboveAverage="0" equalAverage="0" bottom="0" percent="0" rank="0" text="" dxfId="3">
      <formula>"Green"</formula>
    </cfRule>
    <cfRule type="cellIs" priority="17" operator="equal" aboveAverage="0" equalAverage="0" bottom="0" percent="0" rank="0" text="" dxfId="3">
      <formula>"Fresh"</formula>
    </cfRule>
    <cfRule type="cellIs" priority="18" operator="equal" aboveAverage="0" equalAverage="0" bottom="0" percent="0" rank="0" text="" dxfId="3">
      <formula>"Fits"</formula>
    </cfRule>
    <cfRule type="cellIs" priority="19" operator="equal" aboveAverage="0" equalAverage="0" bottom="0" percent="0" rank="0" text="" dxfId="3">
      <formula>"Passed"</formula>
    </cfRule>
    <cfRule type="cellIs" priority="20" operator="equal" aboveAverage="0" equalAverage="0" bottom="0" percent="0" rank="0" text="" dxfId="3">
      <formula>"Inside"</formula>
    </cfRule>
    <cfRule type="cellIs" priority="21" operator="equal" aboveAverage="0" equalAverage="0" bottom="0" percent="0" rank="0" text="" dxfId="4">
      <formula>"Pending"</formula>
    </cfRule>
    <cfRule type="cellIs" priority="22" operator="equal" aboveAverage="0" equalAverage="0" bottom="0" percent="0" rank="0" text="" dxfId="4">
      <formula>"Closed"</formula>
    </cfRule>
    <cfRule type="cellIs" priority="23" operator="equal" aboveAverage="0" equalAverage="0" bottom="0" percent="0" rank="0" text="" dxfId="4">
      <formula>"Committed"</formula>
    </cfRule>
  </conditionalFormatting>
  <conditionalFormatting sqref="H11:H18">
    <cfRule type="cellIs" priority="24" operator="equal" aboveAverage="0" equalAverage="0" bottom="0" percent="0" rank="0" text="" dxfId="1">
      <formula>"Critical"</formula>
    </cfRule>
    <cfRule type="cellIs" priority="25" operator="equal" aboveAverage="0" equalAverage="0" bottom="0" percent="0" rank="0" text="" dxfId="1">
      <formula>"Overdue"</formula>
    </cfRule>
    <cfRule type="cellIs" priority="26" operator="equal" aboveAverage="0" equalAverage="0" bottom="0" percent="0" rank="0" text="" dxfId="1">
      <formula>"Red"</formula>
    </cfRule>
    <cfRule type="cellIs" priority="27" operator="equal" aboveAverage="0" equalAverage="0" bottom="0" percent="0" rank="0" text="" dxfId="1">
      <formula>"Stale"</formula>
    </cfRule>
    <cfRule type="cellIs" priority="28" operator="equal" aboveAverage="0" equalAverage="0" bottom="0" percent="0" rank="0" text="" dxfId="2">
      <formula>"Warning"</formula>
    </cfRule>
    <cfRule type="cellIs" priority="29" operator="equal" aboveAverage="0" equalAverage="0" bottom="0" percent="0" rank="0" text="" dxfId="2">
      <formula>"At risk"</formula>
    </cfRule>
    <cfRule type="cellIs" priority="30" operator="equal" aboveAverage="0" equalAverage="0" bottom="0" percent="0" rank="0" text="" dxfId="2">
      <formula>"Amber"</formula>
    </cfRule>
    <cfRule type="cellIs" priority="31" operator="equal" aboveAverage="0" equalAverage="0" bottom="0" percent="0" rank="0" text="" dxfId="2">
      <formula>"Aging"</formula>
    </cfRule>
    <cfRule type="cellIs" priority="32" operator="equal" aboveAverage="0" equalAverage="0" bottom="0" percent="0" rank="0" text="" dxfId="2">
      <formula>"Over"</formula>
    </cfRule>
    <cfRule type="cellIs" priority="33" operator="equal" aboveAverage="0" equalAverage="0" bottom="0" percent="0" rank="0" text="" dxfId="2">
      <formula>"Unmapped"</formula>
    </cfRule>
    <cfRule type="cellIs" priority="34" operator="equal" aboveAverage="0" equalAverage="0" bottom="0" percent="0" rank="0" text="" dxfId="2">
      <formula>"Below line"</formula>
    </cfRule>
    <cfRule type="cellIs" priority="35" operator="equal" aboveAverage="0" equalAverage="0" bottom="0" percent="0" rank="0" text="" dxfId="3">
      <formula>"On track"</formula>
    </cfRule>
    <cfRule type="cellIs" priority="36" operator="equal" aboveAverage="0" equalAverage="0" bottom="0" percent="0" rank="0" text="" dxfId="3">
      <formula>"Good"</formula>
    </cfRule>
    <cfRule type="cellIs" priority="37" operator="equal" aboveAverage="0" equalAverage="0" bottom="0" percent="0" rank="0" text="" dxfId="3">
      <formula>"Green"</formula>
    </cfRule>
    <cfRule type="cellIs" priority="38" operator="equal" aboveAverage="0" equalAverage="0" bottom="0" percent="0" rank="0" text="" dxfId="3">
      <formula>"Fresh"</formula>
    </cfRule>
    <cfRule type="cellIs" priority="39" operator="equal" aboveAverage="0" equalAverage="0" bottom="0" percent="0" rank="0" text="" dxfId="3">
      <formula>"Fits"</formula>
    </cfRule>
    <cfRule type="cellIs" priority="40" operator="equal" aboveAverage="0" equalAverage="0" bottom="0" percent="0" rank="0" text="" dxfId="3">
      <formula>"Passed"</formula>
    </cfRule>
    <cfRule type="cellIs" priority="41" operator="equal" aboveAverage="0" equalAverage="0" bottom="0" percent="0" rank="0" text="" dxfId="3">
      <formula>"Inside"</formula>
    </cfRule>
    <cfRule type="cellIs" priority="42" operator="equal" aboveAverage="0" equalAverage="0" bottom="0" percent="0" rank="0" text="" dxfId="4">
      <formula>"Pending"</formula>
    </cfRule>
    <cfRule type="cellIs" priority="43" operator="equal" aboveAverage="0" equalAverage="0" bottom="0" percent="0" rank="0" text="" dxfId="4">
      <formula>"Closed"</formula>
    </cfRule>
    <cfRule type="cellIs" priority="44" operator="equal" aboveAverage="0" equalAverage="0" bottom="0" percent="0" rank="0" text="" dxfId="4">
      <formula>"Committed"</formula>
    </cfRule>
  </conditionalFormatting>
  <conditionalFormatting sqref="H23:H30">
    <cfRule type="cellIs" priority="45" operator="equal" aboveAverage="0" equalAverage="0" bottom="0" percent="0" rank="0" text="" dxfId="1">
      <formula>"Critical"</formula>
    </cfRule>
    <cfRule type="cellIs" priority="46" operator="equal" aboveAverage="0" equalAverage="0" bottom="0" percent="0" rank="0" text="" dxfId="1">
      <formula>"Overdue"</formula>
    </cfRule>
    <cfRule type="cellIs" priority="47" operator="equal" aboveAverage="0" equalAverage="0" bottom="0" percent="0" rank="0" text="" dxfId="1">
      <formula>"Red"</formula>
    </cfRule>
    <cfRule type="cellIs" priority="48" operator="equal" aboveAverage="0" equalAverage="0" bottom="0" percent="0" rank="0" text="" dxfId="1">
      <formula>"Stale"</formula>
    </cfRule>
    <cfRule type="cellIs" priority="49" operator="equal" aboveAverage="0" equalAverage="0" bottom="0" percent="0" rank="0" text="" dxfId="2">
      <formula>"Warning"</formula>
    </cfRule>
    <cfRule type="cellIs" priority="50" operator="equal" aboveAverage="0" equalAverage="0" bottom="0" percent="0" rank="0" text="" dxfId="2">
      <formula>"At risk"</formula>
    </cfRule>
    <cfRule type="cellIs" priority="51" operator="equal" aboveAverage="0" equalAverage="0" bottom="0" percent="0" rank="0" text="" dxfId="2">
      <formula>"Amber"</formula>
    </cfRule>
    <cfRule type="cellIs" priority="52" operator="equal" aboveAverage="0" equalAverage="0" bottom="0" percent="0" rank="0" text="" dxfId="2">
      <formula>"Aging"</formula>
    </cfRule>
    <cfRule type="cellIs" priority="53" operator="equal" aboveAverage="0" equalAverage="0" bottom="0" percent="0" rank="0" text="" dxfId="2">
      <formula>"Over"</formula>
    </cfRule>
    <cfRule type="cellIs" priority="54" operator="equal" aboveAverage="0" equalAverage="0" bottom="0" percent="0" rank="0" text="" dxfId="2">
      <formula>"Unmapped"</formula>
    </cfRule>
    <cfRule type="cellIs" priority="55" operator="equal" aboveAverage="0" equalAverage="0" bottom="0" percent="0" rank="0" text="" dxfId="2">
      <formula>"Below line"</formula>
    </cfRule>
    <cfRule type="cellIs" priority="56" operator="equal" aboveAverage="0" equalAverage="0" bottom="0" percent="0" rank="0" text="" dxfId="3">
      <formula>"On track"</formula>
    </cfRule>
    <cfRule type="cellIs" priority="57" operator="equal" aboveAverage="0" equalAverage="0" bottom="0" percent="0" rank="0" text="" dxfId="3">
      <formula>"Good"</formula>
    </cfRule>
    <cfRule type="cellIs" priority="58" operator="equal" aboveAverage="0" equalAverage="0" bottom="0" percent="0" rank="0" text="" dxfId="3">
      <formula>"Green"</formula>
    </cfRule>
    <cfRule type="cellIs" priority="59" operator="equal" aboveAverage="0" equalAverage="0" bottom="0" percent="0" rank="0" text="" dxfId="3">
      <formula>"Fresh"</formula>
    </cfRule>
    <cfRule type="cellIs" priority="60" operator="equal" aboveAverage="0" equalAverage="0" bottom="0" percent="0" rank="0" text="" dxfId="3">
      <formula>"Fits"</formula>
    </cfRule>
    <cfRule type="cellIs" priority="61" operator="equal" aboveAverage="0" equalAverage="0" bottom="0" percent="0" rank="0" text="" dxfId="3">
      <formula>"Passed"</formula>
    </cfRule>
    <cfRule type="cellIs" priority="62" operator="equal" aboveAverage="0" equalAverage="0" bottom="0" percent="0" rank="0" text="" dxfId="3">
      <formula>"Inside"</formula>
    </cfRule>
    <cfRule type="cellIs" priority="63" operator="equal" aboveAverage="0" equalAverage="0" bottom="0" percent="0" rank="0" text="" dxfId="4">
      <formula>"Pending"</formula>
    </cfRule>
    <cfRule type="cellIs" priority="64" operator="equal" aboveAverage="0" equalAverage="0" bottom="0" percent="0" rank="0" text="" dxfId="4">
      <formula>"Closed"</formula>
    </cfRule>
    <cfRule type="cellIs" priority="65" operator="equal" aboveAverage="0" equalAverage="0" bottom="0" percent="0" rank="0" text="" dxfId="4">
      <formula>"Committed"</formula>
    </cfRule>
  </conditionalFormatting>
  <conditionalFormatting sqref="I23:I30">
    <cfRule type="cellIs" priority="66" operator="equal" aboveAverage="0" equalAverage="0" bottom="0" percent="0" rank="0" text="" dxfId="1">
      <formula>"Critical"</formula>
    </cfRule>
    <cfRule type="cellIs" priority="67" operator="equal" aboveAverage="0" equalAverage="0" bottom="0" percent="0" rank="0" text="" dxfId="1">
      <formula>"Overdue"</formula>
    </cfRule>
    <cfRule type="cellIs" priority="68" operator="equal" aboveAverage="0" equalAverage="0" bottom="0" percent="0" rank="0" text="" dxfId="1">
      <formula>"Red"</formula>
    </cfRule>
    <cfRule type="cellIs" priority="69" operator="equal" aboveAverage="0" equalAverage="0" bottom="0" percent="0" rank="0" text="" dxfId="1">
      <formula>"Stale"</formula>
    </cfRule>
    <cfRule type="cellIs" priority="70" operator="equal" aboveAverage="0" equalAverage="0" bottom="0" percent="0" rank="0" text="" dxfId="2">
      <formula>"Warning"</formula>
    </cfRule>
    <cfRule type="cellIs" priority="71" operator="equal" aboveAverage="0" equalAverage="0" bottom="0" percent="0" rank="0" text="" dxfId="2">
      <formula>"At risk"</formula>
    </cfRule>
    <cfRule type="cellIs" priority="72" operator="equal" aboveAverage="0" equalAverage="0" bottom="0" percent="0" rank="0" text="" dxfId="2">
      <formula>"Amber"</formula>
    </cfRule>
    <cfRule type="cellIs" priority="73" operator="equal" aboveAverage="0" equalAverage="0" bottom="0" percent="0" rank="0" text="" dxfId="2">
      <formula>"Aging"</formula>
    </cfRule>
    <cfRule type="cellIs" priority="74" operator="equal" aboveAverage="0" equalAverage="0" bottom="0" percent="0" rank="0" text="" dxfId="2">
      <formula>"Over"</formula>
    </cfRule>
    <cfRule type="cellIs" priority="75" operator="equal" aboveAverage="0" equalAverage="0" bottom="0" percent="0" rank="0" text="" dxfId="2">
      <formula>"Unmapped"</formula>
    </cfRule>
    <cfRule type="cellIs" priority="76" operator="equal" aboveAverage="0" equalAverage="0" bottom="0" percent="0" rank="0" text="" dxfId="2">
      <formula>"Below line"</formula>
    </cfRule>
    <cfRule type="cellIs" priority="77" operator="equal" aboveAverage="0" equalAverage="0" bottom="0" percent="0" rank="0" text="" dxfId="3">
      <formula>"On track"</formula>
    </cfRule>
    <cfRule type="cellIs" priority="78" operator="equal" aboveAverage="0" equalAverage="0" bottom="0" percent="0" rank="0" text="" dxfId="3">
      <formula>"Good"</formula>
    </cfRule>
    <cfRule type="cellIs" priority="79" operator="equal" aboveAverage="0" equalAverage="0" bottom="0" percent="0" rank="0" text="" dxfId="3">
      <formula>"Green"</formula>
    </cfRule>
    <cfRule type="cellIs" priority="80" operator="equal" aboveAverage="0" equalAverage="0" bottom="0" percent="0" rank="0" text="" dxfId="3">
      <formula>"Fresh"</formula>
    </cfRule>
    <cfRule type="cellIs" priority="81" operator="equal" aboveAverage="0" equalAverage="0" bottom="0" percent="0" rank="0" text="" dxfId="3">
      <formula>"Fits"</formula>
    </cfRule>
    <cfRule type="cellIs" priority="82" operator="equal" aboveAverage="0" equalAverage="0" bottom="0" percent="0" rank="0" text="" dxfId="3">
      <formula>"Passed"</formula>
    </cfRule>
    <cfRule type="cellIs" priority="83" operator="equal" aboveAverage="0" equalAverage="0" bottom="0" percent="0" rank="0" text="" dxfId="3">
      <formula>"Inside"</formula>
    </cfRule>
    <cfRule type="cellIs" priority="84" operator="equal" aboveAverage="0" equalAverage="0" bottom="0" percent="0" rank="0" text="" dxfId="4">
      <formula>"Pending"</formula>
    </cfRule>
    <cfRule type="cellIs" priority="85" operator="equal" aboveAverage="0" equalAverage="0" bottom="0" percent="0" rank="0" text="" dxfId="4">
      <formula>"Closed"</formula>
    </cfRule>
    <cfRule type="cellIs" priority="86" operator="equal" aboveAverage="0" equalAverage="0" bottom="0" percent="0" rank="0" text="" dxfId="4">
      <formula>"Committed"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33</v>
      </c>
    </row>
    <row r="2" customFormat="false" ht="15" hidden="false" customHeight="false" outlineLevel="0" collapsed="false">
      <c r="B2" s="2" t="str">
        <f aca="false">"Where every use case stands  ·  as of "&amp;TEXT(AsOf,"ddd d mmm yyyy")</f>
        <v>Where every use case stands  ·  as of Fri 2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SAMPLE DATA. Use AI-OS.xlsx for real work.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4" t="s">
        <v>33</v>
      </c>
      <c r="E3" s="5" t="str">
        <f aca="false">HYPERLINK("#'Weekly Status'!A1","Weekly Status")</f>
        <v>Weekly Status</v>
      </c>
      <c r="F3" s="5" t="str">
        <f aca="false">HYPERLINK("#'Gates'!A1","Gates")</f>
        <v>Gates</v>
      </c>
      <c r="G3" s="5" t="str">
        <f aca="false">HYPERLINK("#'Use Case'!A1","Use Case")</f>
        <v>Use Case</v>
      </c>
    </row>
    <row r="5" customFormat="false" ht="15" hidden="false" customHeight="false" outlineLevel="0" collapsed="false">
      <c r="C5" s="6" t="s">
        <v>34</v>
      </c>
      <c r="D5" s="6"/>
      <c r="E5" s="6"/>
      <c r="F5" s="7" t="str">
        <f aca="false">HYPERLINK("#'Weekly Status'!A1","OVERDUE  ›")</f>
        <v>OVERDUE  ›</v>
      </c>
      <c r="G5" s="6" t="s">
        <v>35</v>
      </c>
      <c r="H5" s="6"/>
      <c r="I5" s="6"/>
      <c r="J5" s="7" t="str">
        <f aca="false">HYPERLINK("#'Gates'!A1","GATES CRITICAL  ›")</f>
        <v>GATES CRITICAL  ›</v>
      </c>
      <c r="K5" s="9" t="s">
        <v>36</v>
      </c>
    </row>
    <row r="6" customFormat="false" ht="30" hidden="false" customHeight="true" outlineLevel="0" collapsed="false">
      <c r="C6" s="10" t="n">
        <f aca="false">COUNTIFS('Use Cases'!$Y$2:$Y$501,"&gt;0")</f>
        <v>14</v>
      </c>
      <c r="D6" s="10"/>
      <c r="E6" s="10"/>
      <c r="F6" s="11" t="n">
        <f aca="false">COUNTIFS('Use Cases'!$AB$2:$AB$501,"Overdue")</f>
        <v>1</v>
      </c>
      <c r="G6" s="10" t="n">
        <f aca="false">COUNTIFS('Use Cases'!$AC$2:$AC$501,"Stale")</f>
        <v>0</v>
      </c>
      <c r="H6" s="10"/>
      <c r="I6" s="10"/>
      <c r="J6" s="11" t="n">
        <f aca="false">COUNTIFS('Use Cases'!$AH$2:$AH$501,"Critical")</f>
        <v>5</v>
      </c>
      <c r="K6" s="11" t="str">
        <f aca="false">CapacityCommitted&amp;" of "&amp;CapacityPoints</f>
        <v>8 of 24</v>
      </c>
    </row>
    <row r="7" customFormat="false" ht="15" hidden="false" customHeight="false" outlineLevel="0" collapsed="false">
      <c r="C7" s="12" t="str">
        <f aca="false">COUNTIFS('Use Cases'!$AB$2:$AB$501,"On track")&amp;" on track · "&amp;COUNTIFS('Use Cases'!$X$2:$X$501,"Closed")&amp;" closed"</f>
        <v>11 on track · 2 closed</v>
      </c>
      <c r="D7" s="12"/>
      <c r="E7" s="12"/>
      <c r="F7" s="13" t="str">
        <f aca="false">COUNTIFS('Use Cases'!$AB$2:$AB$501,"At risk")&amp;" more at risk inside their window"</f>
        <v>2 more at risk inside their window</v>
      </c>
      <c r="G7" s="12" t="str">
        <f aca="false">COUNTIFS('Use Cases'!$AC$2:$AC$501,"Aging")&amp;" aging · no update past their stage cadence"</f>
        <v>2 aging · no update past their stage cadence</v>
      </c>
      <c r="H7" s="12"/>
      <c r="I7" s="12"/>
      <c r="J7" s="13" t="str">
        <f aca="false">"failing the gate for the stage they are in"</f>
        <v>failing the gate for the stage they are in</v>
      </c>
      <c r="K7" s="13" t="str">
        <f aca="false">"points committed · "&amp;CapacityOpen&amp;" open · "&amp;COUNTIFS('Use Cases'!$AN$2:$AN$501,"Fits")&amp;" fit"</f>
        <v>points committed · 16 open · 2 fit</v>
      </c>
    </row>
    <row r="9" customFormat="false" ht="15" hidden="false" customHeight="false" outlineLevel="0" collapsed="false">
      <c r="B9" s="14" t="s">
        <v>37</v>
      </c>
      <c r="F9" s="15" t="s">
        <v>38</v>
      </c>
      <c r="K9" s="24" t="str">
        <f aca="false">HYPERLINK("#'Gates'!A1","Gates by stage  ›")</f>
        <v>Gates by stage  ›</v>
      </c>
    </row>
    <row r="10" customFormat="false" ht="15" hidden="false" customHeight="false" outlineLevel="0" collapsed="false">
      <c r="C10" s="16" t="s">
        <v>19</v>
      </c>
      <c r="D10" s="16" t="s">
        <v>39</v>
      </c>
      <c r="E10" s="16" t="s">
        <v>40</v>
      </c>
      <c r="F10" s="16" t="s">
        <v>41</v>
      </c>
      <c r="G10" s="16" t="s">
        <v>42</v>
      </c>
      <c r="H10" s="16" t="s">
        <v>43</v>
      </c>
    </row>
    <row r="11" customFormat="false" ht="15" hidden="false" customHeight="false" outlineLevel="0" collapsed="false">
      <c r="C11" s="29" t="s">
        <v>44</v>
      </c>
      <c r="D11" s="30" t="n">
        <f aca="false">COUNTIFS('Use Cases'!$X$2:$X$501,$C11,'Use Cases'!$AB$2:$AB$501,"On track")</f>
        <v>1</v>
      </c>
      <c r="E11" s="30" t="n">
        <f aca="false">COUNTIFS('Use Cases'!$X$2:$X$501,$C11,'Use Cases'!$AB$2:$AB$501,"At risk")</f>
        <v>1</v>
      </c>
      <c r="F11" s="30" t="n">
        <f aca="false">COUNTIFS('Use Cases'!$X$2:$X$501,$C11,'Use Cases'!$AB$2:$AB$501,"Overdue")</f>
        <v>0</v>
      </c>
      <c r="G11" s="30" t="n">
        <f aca="false">SUM(D11:F11)</f>
        <v>2</v>
      </c>
      <c r="H11" s="30" t="n">
        <f aca="false">COUNTIFS('Use Cases'!$X$2:$X$501,$C11,'Use Cases'!$AC$2:$AC$501,"Stale")</f>
        <v>0</v>
      </c>
    </row>
    <row r="12" customFormat="false" ht="15" hidden="false" customHeight="false" outlineLevel="0" collapsed="false">
      <c r="C12" s="29" t="s">
        <v>45</v>
      </c>
      <c r="D12" s="30" t="n">
        <f aca="false">COUNTIFS('Use Cases'!$X$2:$X$501,$C12,'Use Cases'!$AB$2:$AB$501,"On track")</f>
        <v>2</v>
      </c>
      <c r="E12" s="30" t="n">
        <f aca="false">COUNTIFS('Use Cases'!$X$2:$X$501,$C12,'Use Cases'!$AB$2:$AB$501,"At risk")</f>
        <v>0</v>
      </c>
      <c r="F12" s="30" t="n">
        <f aca="false">COUNTIFS('Use Cases'!$X$2:$X$501,$C12,'Use Cases'!$AB$2:$AB$501,"Overdue")</f>
        <v>0</v>
      </c>
      <c r="G12" s="30" t="n">
        <f aca="false">SUM(D12:F12)</f>
        <v>2</v>
      </c>
      <c r="H12" s="30" t="n">
        <f aca="false">COUNTIFS('Use Cases'!$X$2:$X$501,$C12,'Use Cases'!$AC$2:$AC$501,"Stale")</f>
        <v>0</v>
      </c>
    </row>
    <row r="13" customFormat="false" ht="15" hidden="false" customHeight="false" outlineLevel="0" collapsed="false">
      <c r="C13" s="29" t="s">
        <v>46</v>
      </c>
      <c r="D13" s="30" t="n">
        <f aca="false">COUNTIFS('Use Cases'!$X$2:$X$501,$C13,'Use Cases'!$AB$2:$AB$501,"On track")</f>
        <v>2</v>
      </c>
      <c r="E13" s="30" t="n">
        <f aca="false">COUNTIFS('Use Cases'!$X$2:$X$501,$C13,'Use Cases'!$AB$2:$AB$501,"At risk")</f>
        <v>1</v>
      </c>
      <c r="F13" s="30" t="n">
        <f aca="false">COUNTIFS('Use Cases'!$X$2:$X$501,$C13,'Use Cases'!$AB$2:$AB$501,"Overdue")</f>
        <v>0</v>
      </c>
      <c r="G13" s="30" t="n">
        <f aca="false">SUM(D13:F13)</f>
        <v>3</v>
      </c>
      <c r="H13" s="30" t="n">
        <f aca="false">COUNTIFS('Use Cases'!$X$2:$X$501,$C13,'Use Cases'!$AC$2:$AC$501,"Stale")</f>
        <v>0</v>
      </c>
    </row>
    <row r="14" customFormat="false" ht="15" hidden="false" customHeight="false" outlineLevel="0" collapsed="false">
      <c r="C14" s="29" t="s">
        <v>47</v>
      </c>
      <c r="D14" s="30" t="n">
        <f aca="false">COUNTIFS('Use Cases'!$X$2:$X$501,$C14,'Use Cases'!$AB$2:$AB$501,"On track")</f>
        <v>0</v>
      </c>
      <c r="E14" s="30" t="n">
        <f aca="false">COUNTIFS('Use Cases'!$X$2:$X$501,$C14,'Use Cases'!$AB$2:$AB$501,"At risk")</f>
        <v>0</v>
      </c>
      <c r="F14" s="30" t="n">
        <f aca="false">COUNTIFS('Use Cases'!$X$2:$X$501,$C14,'Use Cases'!$AB$2:$AB$501,"Overdue")</f>
        <v>1</v>
      </c>
      <c r="G14" s="30" t="n">
        <f aca="false">SUM(D14:F14)</f>
        <v>1</v>
      </c>
      <c r="H14" s="30" t="n">
        <f aca="false">COUNTIFS('Use Cases'!$X$2:$X$501,$C14,'Use Cases'!$AC$2:$AC$501,"Stale")</f>
        <v>0</v>
      </c>
    </row>
    <row r="15" customFormat="false" ht="15" hidden="false" customHeight="false" outlineLevel="0" collapsed="false">
      <c r="C15" s="29" t="s">
        <v>48</v>
      </c>
      <c r="D15" s="30" t="n">
        <f aca="false">COUNTIFS('Use Cases'!$X$2:$X$501,$C15,'Use Cases'!$AB$2:$AB$501,"On track")</f>
        <v>3</v>
      </c>
      <c r="E15" s="30" t="n">
        <f aca="false">COUNTIFS('Use Cases'!$X$2:$X$501,$C15,'Use Cases'!$AB$2:$AB$501,"At risk")</f>
        <v>0</v>
      </c>
      <c r="F15" s="30" t="n">
        <f aca="false">COUNTIFS('Use Cases'!$X$2:$X$501,$C15,'Use Cases'!$AB$2:$AB$501,"Overdue")</f>
        <v>0</v>
      </c>
      <c r="G15" s="30" t="n">
        <f aca="false">SUM(D15:F15)</f>
        <v>3</v>
      </c>
      <c r="H15" s="30" t="n">
        <f aca="false">COUNTIFS('Use Cases'!$X$2:$X$501,$C15,'Use Cases'!$AC$2:$AC$501,"Stale")</f>
        <v>0</v>
      </c>
    </row>
    <row r="16" customFormat="false" ht="15" hidden="false" customHeight="false" outlineLevel="0" collapsed="false">
      <c r="C16" s="29" t="s">
        <v>49</v>
      </c>
      <c r="D16" s="30" t="n">
        <f aca="false">COUNTIFS('Use Cases'!$X$2:$X$501,$C16,'Use Cases'!$AB$2:$AB$501,"On track")</f>
        <v>1</v>
      </c>
      <c r="E16" s="30" t="n">
        <f aca="false">COUNTIFS('Use Cases'!$X$2:$X$501,$C16,'Use Cases'!$AB$2:$AB$501,"At risk")</f>
        <v>0</v>
      </c>
      <c r="F16" s="30" t="n">
        <f aca="false">COUNTIFS('Use Cases'!$X$2:$X$501,$C16,'Use Cases'!$AB$2:$AB$501,"Overdue")</f>
        <v>0</v>
      </c>
      <c r="G16" s="30" t="n">
        <f aca="false">SUM(D16:F16)</f>
        <v>1</v>
      </c>
      <c r="H16" s="30" t="n">
        <f aca="false">COUNTIFS('Use Cases'!$X$2:$X$501,$C16,'Use Cases'!$AC$2:$AC$501,"Stale")</f>
        <v>0</v>
      </c>
    </row>
    <row r="17" customFormat="false" ht="15" hidden="false" customHeight="false" outlineLevel="0" collapsed="false">
      <c r="C17" s="29" t="s">
        <v>50</v>
      </c>
      <c r="D17" s="30" t="n">
        <f aca="false">COUNTIFS('Use Cases'!$X$2:$X$501,$C17,'Use Cases'!$AB$2:$AB$501,"On track")</f>
        <v>1</v>
      </c>
      <c r="E17" s="30" t="n">
        <f aca="false">COUNTIFS('Use Cases'!$X$2:$X$501,$C17,'Use Cases'!$AB$2:$AB$501,"At risk")</f>
        <v>0</v>
      </c>
      <c r="F17" s="30" t="n">
        <f aca="false">COUNTIFS('Use Cases'!$X$2:$X$501,$C17,'Use Cases'!$AB$2:$AB$501,"Overdue")</f>
        <v>0</v>
      </c>
      <c r="G17" s="30" t="n">
        <f aca="false">SUM(D17:F17)</f>
        <v>1</v>
      </c>
      <c r="H17" s="30" t="n">
        <f aca="false">COUNTIFS('Use Cases'!$X$2:$X$501,$C17,'Use Cases'!$AC$2:$AC$501,"Stale")</f>
        <v>0</v>
      </c>
    </row>
    <row r="18" customFormat="false" ht="15" hidden="false" customHeight="false" outlineLevel="0" collapsed="false">
      <c r="C18" s="29" t="s">
        <v>51</v>
      </c>
      <c r="D18" s="30" t="n">
        <f aca="false">COUNTIFS('Use Cases'!$X$2:$X$501,$C18,'Use Cases'!$AB$2:$AB$501,"On track")</f>
        <v>1</v>
      </c>
      <c r="E18" s="30" t="n">
        <f aca="false">COUNTIFS('Use Cases'!$X$2:$X$501,$C18,'Use Cases'!$AB$2:$AB$501,"At risk")</f>
        <v>0</v>
      </c>
      <c r="F18" s="30" t="n">
        <f aca="false">COUNTIFS('Use Cases'!$X$2:$X$501,$C18,'Use Cases'!$AB$2:$AB$501,"Overdue")</f>
        <v>0</v>
      </c>
      <c r="G18" s="30" t="n">
        <f aca="false">SUM(D18:F18)</f>
        <v>1</v>
      </c>
      <c r="H18" s="30" t="n">
        <f aca="false">COUNTIFS('Use Cases'!$X$2:$X$501,$C18,'Use Cases'!$AC$2:$AC$501,"Stale")</f>
        <v>0</v>
      </c>
    </row>
    <row r="20" customFormat="false" ht="15" hidden="false" customHeight="false" outlineLevel="0" collapsed="false">
      <c r="B20" s="14" t="s">
        <v>52</v>
      </c>
      <c r="F20" s="15" t="s">
        <v>53</v>
      </c>
    </row>
    <row r="21" customFormat="false" ht="15" hidden="false" customHeight="false" outlineLevel="0" collapsed="false">
      <c r="C21" s="31" t="str">
        <f aca="false">"Committed "&amp;CapacityCommitted&amp;" of "&amp;CapacityPoints&amp;" points in Delivery and Value. Open: "&amp;CapacityOpen&amp;" points."</f>
        <v>Committed 8 of 24 points in Delivery and Value. Open: 16 points.</v>
      </c>
    </row>
    <row r="22" customFormat="false" ht="15" hidden="false" customHeight="false" outlineLevel="0" collapsed="false">
      <c r="B22" s="16" t="s">
        <v>6</v>
      </c>
      <c r="C22" s="16" t="s">
        <v>18</v>
      </c>
      <c r="D22" s="16" t="s">
        <v>19</v>
      </c>
      <c r="E22" s="16" t="s">
        <v>20</v>
      </c>
      <c r="F22" s="16" t="s">
        <v>13</v>
      </c>
      <c r="G22" s="16" t="s">
        <v>54</v>
      </c>
      <c r="H22" s="16" t="s">
        <v>55</v>
      </c>
      <c r="I22" s="16" t="s">
        <v>56</v>
      </c>
      <c r="J22" s="16" t="s">
        <v>57</v>
      </c>
      <c r="K22" s="16" t="s">
        <v>58</v>
      </c>
    </row>
    <row r="23" customFormat="false" ht="15" hidden="false" customHeight="false" outlineLevel="0" collapsed="false">
      <c r="B23" s="17" t="n">
        <v>1</v>
      </c>
      <c r="C23" s="18" t="str">
        <f aca="false">IFERROR(HYPERLINK("#'Use Cases'!A"&amp;(MATCH(SMALL('Use Cases'!$AL$2:$AL$501,1),'Use Cases'!$AL$2:$AL$501,0)+1),INDEX('Use Cases'!$A$2:$A$501,MATCH(SMALL('Use Cases'!$AL$2:$AL$501,1),'Use Cases'!$AL$2:$AL$501,0))),"")</f>
        <v>AI-005</v>
      </c>
      <c r="D23" s="19" t="str">
        <f aca="false">IF($C23="","",INDEX('Use Cases'!$X$2:$X$501,MATCH($C23,'Use Cases'!$A$2:$A$501,0))&amp;"")</f>
        <v>Approval</v>
      </c>
      <c r="E23" s="19" t="str">
        <f aca="false">IF($C23="","",INDEX('Use Cases'!$E$2:$E$501,MATCH($C23,'Use Cases'!$A$2:$A$501,0))&amp;"")</f>
        <v>D. Kim</v>
      </c>
      <c r="F23" s="20" t="str">
        <f aca="false">IF(COUNT('Use Cases'!$AL$2:$AL$501)=0,"Nothing scored yet.",IF($C23="","",INDEX('Use Cases'!$B$2:$B$501,MATCH($C23,'Use Cases'!$A$2:$A$501,0))&amp;""))</f>
        <v>Collections outreach timing</v>
      </c>
      <c r="G23" s="21" t="n">
        <f aca="false">IF($C23="","",INDEX('Use Cases'!$N$2:$N$501,MATCH($C23,'Use Cases'!$A$2:$A$501,0)))</f>
        <v>7.5</v>
      </c>
      <c r="H23" s="21" t="n">
        <f aca="false">IF($C23="","",INDEX('Use Cases'!$M$2:$M$501,MATCH($C23,'Use Cases'!$A$2:$A$501,0)))</f>
        <v>5</v>
      </c>
      <c r="I23" s="21" t="n">
        <f aca="false">IF($C23="","",INDEX('Use Cases'!$AM$2:$AM$501,MATCH($C23,'Use Cases'!$A$2:$A$501,0)))</f>
        <v>5</v>
      </c>
      <c r="J23" s="19" t="str">
        <f aca="false">IF($C23="","",INDEX('Use Cases'!$AN$2:$AN$501,MATCH($C23,'Use Cases'!$A$2:$A$501,0))&amp;"")</f>
        <v>Fits</v>
      </c>
      <c r="K23" s="21" t="n">
        <f aca="false">IF($C23="","",INDEX('Use Cases'!$L$2:$L$501,MATCH($C23,'Use Cases'!$A$2:$A$501,0)))</f>
        <v>950</v>
      </c>
    </row>
    <row r="24" customFormat="false" ht="15" hidden="false" customHeight="false" outlineLevel="0" collapsed="false">
      <c r="B24" s="17" t="n">
        <v>2</v>
      </c>
      <c r="C24" s="18" t="str">
        <f aca="false">IFERROR(HYPERLINK("#'Use Cases'!A"&amp;(MATCH(SMALL('Use Cases'!$AL$2:$AL$501,2),'Use Cases'!$AL$2:$AL$501,0)+1),INDEX('Use Cases'!$A$2:$A$501,MATCH(SMALL('Use Cases'!$AL$2:$AL$501,2),'Use Cases'!$AL$2:$AL$501,0))),"")</f>
        <v>AI-003</v>
      </c>
      <c r="D24" s="19" t="str">
        <f aca="false">IF($C24="","",INDEX('Use Cases'!$X$2:$X$501,MATCH($C24,'Use Cases'!$A$2:$A$501,0))&amp;"")</f>
        <v>Design</v>
      </c>
      <c r="E24" s="19" t="str">
        <f aca="false">IF($C24="","",INDEX('Use Cases'!$E$2:$E$501,MATCH($C24,'Use Cases'!$A$2:$A$501,0))&amp;"")</f>
        <v>S. Okafor</v>
      </c>
      <c r="F24" s="20" t="str">
        <f aca="false">IF($C24="","",INDEX('Use Cases'!$B$2:$B$501,MATCH($C24,'Use Cases'!$A$2:$A$501,0))&amp;"")</f>
        <v>Fraud alert prioritization</v>
      </c>
      <c r="G24" s="21" t="n">
        <f aca="false">IF($C24="","",INDEX('Use Cases'!$N$2:$N$501,MATCH($C24,'Use Cases'!$A$2:$A$501,0)))</f>
        <v>6.8</v>
      </c>
      <c r="H24" s="21" t="n">
        <f aca="false">IF($C24="","",INDEX('Use Cases'!$M$2:$M$501,MATCH($C24,'Use Cases'!$A$2:$A$501,0)))</f>
        <v>8</v>
      </c>
      <c r="I24" s="21" t="n">
        <f aca="false">IF($C24="","",INDEX('Use Cases'!$AM$2:$AM$501,MATCH($C24,'Use Cases'!$A$2:$A$501,0)))</f>
        <v>13</v>
      </c>
      <c r="J24" s="19" t="str">
        <f aca="false">IF($C24="","",INDEX('Use Cases'!$AN$2:$AN$501,MATCH($C24,'Use Cases'!$A$2:$A$501,0))&amp;"")</f>
        <v>Fits</v>
      </c>
      <c r="K24" s="21" t="n">
        <f aca="false">IF($C24="","",INDEX('Use Cases'!$L$2:$L$501,MATCH($C24,'Use Cases'!$A$2:$A$501,0)))</f>
        <v>1200</v>
      </c>
    </row>
    <row r="25" customFormat="false" ht="15" hidden="false" customHeight="false" outlineLevel="0" collapsed="false">
      <c r="B25" s="17" t="n">
        <v>3</v>
      </c>
      <c r="C25" s="18" t="str">
        <f aca="false">IFERROR(HYPERLINK("#'Use Cases'!A"&amp;(MATCH(SMALL('Use Cases'!$AL$2:$AL$501,3),'Use Cases'!$AL$2:$AL$501,0)+1),INDEX('Use Cases'!$A$2:$A$501,MATCH(SMALL('Use Cases'!$AL$2:$AL$501,3),'Use Cases'!$AL$2:$AL$501,0))),"")</f>
        <v>AI-006</v>
      </c>
      <c r="D25" s="19" t="str">
        <f aca="false">IF($C25="","",INDEX('Use Cases'!$X$2:$X$501,MATCH($C25,'Use Cases'!$A$2:$A$501,0))&amp;"")</f>
        <v>Approval</v>
      </c>
      <c r="E25" s="19" t="str">
        <f aca="false">IF($C25="","",INDEX('Use Cases'!$E$2:$E$501,MATCH($C25,'Use Cases'!$A$2:$A$501,0))&amp;"")</f>
        <v>L. Nguyen</v>
      </c>
      <c r="F25" s="20" t="str">
        <f aca="false">IF($C25="","",INDEX('Use Cases'!$B$2:$B$501,MATCH($C25,'Use Cases'!$A$2:$A$501,0))&amp;"")</f>
        <v>Branch staffing forecast</v>
      </c>
      <c r="G25" s="21" t="n">
        <f aca="false">IF($C25="","",INDEX('Use Cases'!$N$2:$N$501,MATCH($C25,'Use Cases'!$A$2:$A$501,0)))</f>
        <v>5.1</v>
      </c>
      <c r="H25" s="21" t="n">
        <f aca="false">IF($C25="","",INDEX('Use Cases'!$M$2:$M$501,MATCH($C25,'Use Cases'!$A$2:$A$501,0)))</f>
        <v>8</v>
      </c>
      <c r="I25" s="21" t="n">
        <f aca="false">IF($C25="","",INDEX('Use Cases'!$AM$2:$AM$501,MATCH($C25,'Use Cases'!$A$2:$A$501,0)))</f>
        <v>21</v>
      </c>
      <c r="J25" s="19" t="str">
        <f aca="false">IF($C25="","",INDEX('Use Cases'!$AN$2:$AN$501,MATCH($C25,'Use Cases'!$A$2:$A$501,0))&amp;"")</f>
        <v>Below line</v>
      </c>
      <c r="K25" s="21" t="n">
        <f aca="false">IF($C25="","",INDEX('Use Cases'!$L$2:$L$501,MATCH($C25,'Use Cases'!$A$2:$A$501,0)))</f>
        <v>400</v>
      </c>
    </row>
    <row r="26" customFormat="false" ht="15" hidden="false" customHeight="false" outlineLevel="0" collapsed="false">
      <c r="B26" s="17" t="n">
        <v>4</v>
      </c>
      <c r="C26" s="18" t="str">
        <f aca="false">IFERROR(HYPERLINK("#'Use Cases'!A"&amp;(MATCH(SMALL('Use Cases'!$AL$2:$AL$501,4),'Use Cases'!$AL$2:$AL$501,0)+1),INDEX('Use Cases'!$A$2:$A$501,MATCH(SMALL('Use Cases'!$AL$2:$AL$501,4),'Use Cases'!$AL$2:$AL$501,0))),"")</f>
        <v>AI-001</v>
      </c>
      <c r="D26" s="19" t="str">
        <f aca="false">IF($C26="","",INDEX('Use Cases'!$X$2:$X$501,MATCH($C26,'Use Cases'!$A$2:$A$501,0))&amp;"")</f>
        <v>Scale</v>
      </c>
      <c r="E26" s="19" t="str">
        <f aca="false">IF($C26="","",INDEX('Use Cases'!$E$2:$E$501,MATCH($C26,'Use Cases'!$A$2:$A$501,0))&amp;"")</f>
        <v>M. Alvarez</v>
      </c>
      <c r="F26" s="20" t="str">
        <f aca="false">IF($C26="","",INDEX('Use Cases'!$B$2:$B$501,MATCH($C26,'Use Cases'!$A$2:$A$501,0))&amp;"")</f>
        <v>Contact center call summarization</v>
      </c>
      <c r="G26" s="21" t="n">
        <f aca="false">IF($C26="","",INDEX('Use Cases'!$N$2:$N$501,MATCH($C26,'Use Cases'!$A$2:$A$501,0)))</f>
        <v>4.2</v>
      </c>
      <c r="H26" s="21" t="n">
        <f aca="false">IF($C26="","",INDEX('Use Cases'!$M$2:$M$501,MATCH($C26,'Use Cases'!$A$2:$A$501,0)))</f>
        <v>8</v>
      </c>
      <c r="I26" s="21" t="n">
        <f aca="false">IF($C26="","",INDEX('Use Cases'!$AM$2:$AM$501,MATCH($C26,'Use Cases'!$A$2:$A$501,0)))</f>
        <v>29</v>
      </c>
      <c r="J26" s="19" t="str">
        <f aca="false">IF($C26="","",INDEX('Use Cases'!$AN$2:$AN$501,MATCH($C26,'Use Cases'!$A$2:$A$501,0))&amp;"")</f>
        <v>Below line</v>
      </c>
      <c r="K26" s="21" t="n">
        <f aca="false">IF($C26="","",INDEX('Use Cases'!$L$2:$L$501,MATCH($C26,'Use Cases'!$A$2:$A$501,0)))</f>
        <v>850</v>
      </c>
    </row>
    <row r="27" customFormat="false" ht="15" hidden="false" customHeight="false" outlineLevel="0" collapsed="false">
      <c r="B27" s="17" t="n">
        <v>5</v>
      </c>
      <c r="C27" s="18" t="str">
        <f aca="false">IFERROR(HYPERLINK("#'Use Cases'!A"&amp;(MATCH(SMALL('Use Cases'!$AL$2:$AL$501,5),'Use Cases'!$AL$2:$AL$501,0)+1),INDEX('Use Cases'!$A$2:$A$501,MATCH(SMALL('Use Cases'!$AL$2:$AL$501,5),'Use Cases'!$AL$2:$AL$501,0))),"")</f>
        <v>AI-014</v>
      </c>
      <c r="D27" s="19" t="str">
        <f aca="false">IF($C27="","",INDEX('Use Cases'!$X$2:$X$501,MATCH($C27,'Use Cases'!$A$2:$A$501,0))&amp;"")</f>
        <v>Approval</v>
      </c>
      <c r="E27" s="19" t="str">
        <f aca="false">IF($C27="","",INDEX('Use Cases'!$E$2:$E$501,MATCH($C27,'Use Cases'!$A$2:$A$501,0))&amp;"")</f>
        <v>D. Kim</v>
      </c>
      <c r="F27" s="20" t="str">
        <f aca="false">IF($C27="","",INDEX('Use Cases'!$B$2:$B$501,MATCH($C27,'Use Cases'!$A$2:$A$501,0))&amp;"")</f>
        <v>Dispute intake summarizer</v>
      </c>
      <c r="G27" s="21" t="n">
        <f aca="false">IF($C27="","",INDEX('Use Cases'!$N$2:$N$501,MATCH($C27,'Use Cases'!$A$2:$A$501,0)))</f>
        <v>3.4</v>
      </c>
      <c r="H27" s="21" t="n">
        <f aca="false">IF($C27="","",INDEX('Use Cases'!$M$2:$M$501,MATCH($C27,'Use Cases'!$A$2:$A$501,0)))</f>
        <v>8</v>
      </c>
      <c r="I27" s="21" t="n">
        <f aca="false">IF($C27="","",INDEX('Use Cases'!$AM$2:$AM$501,MATCH($C27,'Use Cases'!$A$2:$A$501,0)))</f>
        <v>37</v>
      </c>
      <c r="J27" s="19" t="str">
        <f aca="false">IF($C27="","",INDEX('Use Cases'!$AN$2:$AN$501,MATCH($C27,'Use Cases'!$A$2:$A$501,0))&amp;"")</f>
        <v>Below line</v>
      </c>
      <c r="K27" s="21" t="n">
        <f aca="false">IF($C27="","",INDEX('Use Cases'!$L$2:$L$501,MATCH($C27,'Use Cases'!$A$2:$A$501,0)))</f>
        <v>300</v>
      </c>
    </row>
    <row r="28" customFormat="false" ht="15" hidden="false" customHeight="false" outlineLevel="0" collapsed="false">
      <c r="B28" s="17" t="n">
        <v>6</v>
      </c>
      <c r="C28" s="18" t="str">
        <f aca="false">IFERROR(HYPERLINK("#'Use Cases'!A"&amp;(MATCH(SMALL('Use Cases'!$AL$2:$AL$501,6),'Use Cases'!$AL$2:$AL$501,0)+1),INDEX('Use Cases'!$A$2:$A$501,MATCH(SMALL('Use Cases'!$AL$2:$AL$501,6),'Use Cases'!$AL$2:$AL$501,0))),"")</f>
        <v/>
      </c>
      <c r="D28" s="19" t="str">
        <f aca="false">IF($C28="","",INDEX('Use Cases'!$X$2:$X$501,MATCH($C28,'Use Cases'!$A$2:$A$501,0))&amp;"")</f>
        <v/>
      </c>
      <c r="E28" s="19" t="str">
        <f aca="false">IF($C28="","",INDEX('Use Cases'!$E$2:$E$501,MATCH($C28,'Use Cases'!$A$2:$A$501,0))&amp;"")</f>
        <v/>
      </c>
      <c r="F28" s="20" t="str">
        <f aca="false">IF($C28="","",INDEX('Use Cases'!$B$2:$B$501,MATCH($C28,'Use Cases'!$A$2:$A$501,0))&amp;"")</f>
        <v/>
      </c>
      <c r="G28" s="21" t="str">
        <f aca="false">IF($C28="","",INDEX('Use Cases'!$N$2:$N$501,MATCH($C28,'Use Cases'!$A$2:$A$501,0)))</f>
        <v/>
      </c>
      <c r="H28" s="21" t="str">
        <f aca="false">IF($C28="","",INDEX('Use Cases'!$M$2:$M$501,MATCH($C28,'Use Cases'!$A$2:$A$501,0)))</f>
        <v/>
      </c>
      <c r="I28" s="21" t="str">
        <f aca="false">IF($C28="","",INDEX('Use Cases'!$AM$2:$AM$501,MATCH($C28,'Use Cases'!$A$2:$A$501,0)))</f>
        <v/>
      </c>
      <c r="J28" s="19" t="str">
        <f aca="false">IF($C28="","",INDEX('Use Cases'!$AN$2:$AN$501,MATCH($C28,'Use Cases'!$A$2:$A$501,0))&amp;"")</f>
        <v/>
      </c>
      <c r="K28" s="21" t="str">
        <f aca="false">IF($C28="","",INDEX('Use Cases'!$L$2:$L$501,MATCH($C28,'Use Cases'!$A$2:$A$501,0)))</f>
        <v/>
      </c>
    </row>
    <row r="29" customFormat="false" ht="15" hidden="false" customHeight="false" outlineLevel="0" collapsed="false">
      <c r="B29" s="17" t="n">
        <v>7</v>
      </c>
      <c r="C29" s="18" t="str">
        <f aca="false">IFERROR(HYPERLINK("#'Use Cases'!A"&amp;(MATCH(SMALL('Use Cases'!$AL$2:$AL$501,7),'Use Cases'!$AL$2:$AL$501,0)+1),INDEX('Use Cases'!$A$2:$A$501,MATCH(SMALL('Use Cases'!$AL$2:$AL$501,7),'Use Cases'!$AL$2:$AL$501,0))),"")</f>
        <v/>
      </c>
      <c r="D29" s="19" t="str">
        <f aca="false">IF($C29="","",INDEX('Use Cases'!$X$2:$X$501,MATCH($C29,'Use Cases'!$A$2:$A$501,0))&amp;"")</f>
        <v/>
      </c>
      <c r="E29" s="19" t="str">
        <f aca="false">IF($C29="","",INDEX('Use Cases'!$E$2:$E$501,MATCH($C29,'Use Cases'!$A$2:$A$501,0))&amp;"")</f>
        <v/>
      </c>
      <c r="F29" s="20" t="str">
        <f aca="false">IF($C29="","",INDEX('Use Cases'!$B$2:$B$501,MATCH($C29,'Use Cases'!$A$2:$A$501,0))&amp;"")</f>
        <v/>
      </c>
      <c r="G29" s="21" t="str">
        <f aca="false">IF($C29="","",INDEX('Use Cases'!$N$2:$N$501,MATCH($C29,'Use Cases'!$A$2:$A$501,0)))</f>
        <v/>
      </c>
      <c r="H29" s="21" t="str">
        <f aca="false">IF($C29="","",INDEX('Use Cases'!$M$2:$M$501,MATCH($C29,'Use Cases'!$A$2:$A$501,0)))</f>
        <v/>
      </c>
      <c r="I29" s="21" t="str">
        <f aca="false">IF($C29="","",INDEX('Use Cases'!$AM$2:$AM$501,MATCH($C29,'Use Cases'!$A$2:$A$501,0)))</f>
        <v/>
      </c>
      <c r="J29" s="19" t="str">
        <f aca="false">IF($C29="","",INDEX('Use Cases'!$AN$2:$AN$501,MATCH($C29,'Use Cases'!$A$2:$A$501,0))&amp;"")</f>
        <v/>
      </c>
      <c r="K29" s="21" t="str">
        <f aca="false">IF($C29="","",INDEX('Use Cases'!$L$2:$L$501,MATCH($C29,'Use Cases'!$A$2:$A$501,0)))</f>
        <v/>
      </c>
    </row>
    <row r="30" customFormat="false" ht="15" hidden="false" customHeight="false" outlineLevel="0" collapsed="false">
      <c r="B30" s="17" t="n">
        <v>8</v>
      </c>
      <c r="C30" s="18" t="str">
        <f aca="false">IFERROR(HYPERLINK("#'Use Cases'!A"&amp;(MATCH(SMALL('Use Cases'!$AL$2:$AL$501,8),'Use Cases'!$AL$2:$AL$501,0)+1),INDEX('Use Cases'!$A$2:$A$501,MATCH(SMALL('Use Cases'!$AL$2:$AL$501,8),'Use Cases'!$AL$2:$AL$501,0))),"")</f>
        <v/>
      </c>
      <c r="D30" s="19" t="str">
        <f aca="false">IF($C30="","",INDEX('Use Cases'!$X$2:$X$501,MATCH($C30,'Use Cases'!$A$2:$A$501,0))&amp;"")</f>
        <v/>
      </c>
      <c r="E30" s="19" t="str">
        <f aca="false">IF($C30="","",INDEX('Use Cases'!$E$2:$E$501,MATCH($C30,'Use Cases'!$A$2:$A$501,0))&amp;"")</f>
        <v/>
      </c>
      <c r="F30" s="20" t="str">
        <f aca="false">IF($C30="","",INDEX('Use Cases'!$B$2:$B$501,MATCH($C30,'Use Cases'!$A$2:$A$501,0))&amp;"")</f>
        <v/>
      </c>
      <c r="G30" s="21" t="str">
        <f aca="false">IF($C30="","",INDEX('Use Cases'!$N$2:$N$501,MATCH($C30,'Use Cases'!$A$2:$A$501,0)))</f>
        <v/>
      </c>
      <c r="H30" s="21" t="str">
        <f aca="false">IF($C30="","",INDEX('Use Cases'!$M$2:$M$501,MATCH($C30,'Use Cases'!$A$2:$A$501,0)))</f>
        <v/>
      </c>
      <c r="I30" s="21" t="str">
        <f aca="false">IF($C30="","",INDEX('Use Cases'!$AM$2:$AM$501,MATCH($C30,'Use Cases'!$A$2:$A$501,0)))</f>
        <v/>
      </c>
      <c r="J30" s="19" t="str">
        <f aca="false">IF($C30="","",INDEX('Use Cases'!$AN$2:$AN$501,MATCH($C30,'Use Cases'!$A$2:$A$501,0))&amp;"")</f>
        <v/>
      </c>
      <c r="K30" s="21" t="str">
        <f aca="false">IF($C30="","",INDEX('Use Cases'!$L$2:$L$501,MATCH($C30,'Use Cases'!$A$2:$A$501,0)))</f>
        <v/>
      </c>
    </row>
    <row r="31" customFormat="false" ht="15" hidden="false" customHeight="false" outlineLevel="0" collapsed="false">
      <c r="K31" s="23" t="str">
        <f aca="false">IF(COUNT('Use Cases'!$AL$2:$AL$501)&gt;8,"+"&amp;(COUNT('Use Cases'!$AL$2:$AL$501)-8)&amp;" more on the Use Cases sheet","")</f>
        <v/>
      </c>
    </row>
    <row r="33" customFormat="false" ht="15" hidden="false" customHeight="false" outlineLevel="0" collapsed="false">
      <c r="B33" s="14" t="s">
        <v>59</v>
      </c>
      <c r="F33" s="15" t="s">
        <v>60</v>
      </c>
      <c r="K33" s="24" t="str">
        <f aca="false">HYPERLINK("#'Use Case'!A1","Use case detail  ›")</f>
        <v>Use case detail  ›</v>
      </c>
    </row>
    <row r="34" customFormat="false" ht="15" hidden="false" customHeight="false" outlineLevel="0" collapsed="false">
      <c r="B34" s="16"/>
      <c r="C34" s="16" t="s">
        <v>18</v>
      </c>
      <c r="D34" s="16" t="s">
        <v>19</v>
      </c>
      <c r="E34" s="16" t="s">
        <v>61</v>
      </c>
      <c r="F34" s="16" t="s">
        <v>13</v>
      </c>
      <c r="G34" s="16" t="s">
        <v>22</v>
      </c>
      <c r="H34" s="16" t="s">
        <v>62</v>
      </c>
      <c r="I34" s="16" t="s">
        <v>63</v>
      </c>
      <c r="J34" s="16" t="s">
        <v>23</v>
      </c>
      <c r="K34" s="16" t="s">
        <v>64</v>
      </c>
    </row>
    <row r="35" customFormat="false" ht="15" hidden="false" customHeight="false" outlineLevel="0" collapsed="false">
      <c r="C35" s="18" t="str">
        <f aca="false">IFERROR(HYPERLINK("#'Use Cases'!A"&amp;(MATCH(SMALL('Use Cases'!$AT$2:$AT$501,1),'Use Cases'!$AT$2:$AT$501,0)+1),INDEX('Use Cases'!$A$2:$A$501,MATCH(SMALL('Use Cases'!$AT$2:$AT$501,1),'Use Cases'!$AT$2:$AT$501,0))),"")</f>
        <v>AI-009</v>
      </c>
      <c r="D35" s="19" t="str">
        <f aca="false">IF($C35="","",INDEX('Use Cases'!$X$2:$X$501,MATCH($C35,'Use Cases'!$A$2:$A$501,0))&amp;"")</f>
        <v>Intake</v>
      </c>
      <c r="E35" s="19" t="str">
        <f aca="false">IF($C35="","",INDEX('Use Cases'!$D$2:$D$501,MATCH($C35,'Use Cases'!$A$2:$A$501,0))&amp;"")</f>
        <v>Payments</v>
      </c>
      <c r="F35" s="20" t="str">
        <f aca="false">IF(COUNT('Use Cases'!$AT$2:$AT$501)=0,"No open use cases. Say: refresh dashboard",IF($C35="","",INDEX('Use Cases'!$B$2:$B$501,MATCH($C35,'Use Cases'!$A$2:$A$501,0))&amp;""))</f>
        <v>Wire fraud anomaly detection</v>
      </c>
      <c r="G35" s="19" t="str">
        <f aca="false">IF($C35="","",INDEX('Use Cases'!$AB$2:$AB$501,MATCH($C35,'Use Cases'!$A$2:$A$501,0))&amp;"")</f>
        <v>On track</v>
      </c>
      <c r="H35" s="19" t="str">
        <f aca="false">IF($C35="","",INDEX('Use Cases'!$AC$2:$AC$501,MATCH($C35,'Use Cases'!$A$2:$A$501,0))&amp;"")</f>
        <v>Fresh</v>
      </c>
      <c r="I35" s="19" t="str">
        <f aca="false">IF($C35="","",INDEX('Use Cases'!$AD$2:$AD$501,MATCH($C35,'Use Cases'!$A$2:$A$501,0))&amp;"")</f>
        <v>High</v>
      </c>
      <c r="J35" s="19" t="str">
        <f aca="false">IF($C35="","",INDEX('Use Cases'!$AH$2:$AH$501,MATCH($C35,'Use Cases'!$A$2:$A$501,0))&amp;"")</f>
        <v>Good</v>
      </c>
      <c r="K35" s="19" t="str">
        <f aca="false">IF($C35="","",INDEX('Use Cases'!$AJ$2:$AJ$501,MATCH($C35,'Use Cases'!$A$2:$A$501,0))&amp;"")</f>
        <v>Weekly Intake</v>
      </c>
    </row>
    <row r="36" customFormat="false" ht="15" hidden="false" customHeight="false" outlineLevel="0" collapsed="false">
      <c r="C36" s="18" t="str">
        <f aca="false">IFERROR(HYPERLINK("#'Use Cases'!A"&amp;(MATCH(SMALL('Use Cases'!$AT$2:$AT$501,2),'Use Cases'!$AT$2:$AT$501,0)+1),INDEX('Use Cases'!$A$2:$A$501,MATCH(SMALL('Use Cases'!$AT$2:$AT$501,2),'Use Cases'!$AT$2:$AT$501,0))),"")</f>
        <v>AI-010</v>
      </c>
      <c r="D36" s="19" t="str">
        <f aca="false">IF($C36="","",INDEX('Use Cases'!$X$2:$X$501,MATCH($C36,'Use Cases'!$A$2:$A$501,0))&amp;"")</f>
        <v>Intake</v>
      </c>
      <c r="E36" s="19" t="str">
        <f aca="false">IF($C36="","",INDEX('Use Cases'!$D$2:$D$501,MATCH($C36,'Use Cases'!$A$2:$A$501,0))&amp;"")</f>
        <v>Digital Banking</v>
      </c>
      <c r="F36" s="20" t="str">
        <f aca="false">IF($C36="","",INDEX('Use Cases'!$B$2:$B$501,MATCH($C36,'Use Cases'!$A$2:$A$501,0))&amp;"")</f>
        <v>Statement insight summaries</v>
      </c>
      <c r="G36" s="19" t="str">
        <f aca="false">IF($C36="","",INDEX('Use Cases'!$AB$2:$AB$501,MATCH($C36,'Use Cases'!$A$2:$A$501,0))&amp;"")</f>
        <v>At risk</v>
      </c>
      <c r="H36" s="19" t="str">
        <f aca="false">IF($C36="","",INDEX('Use Cases'!$AC$2:$AC$501,MATCH($C36,'Use Cases'!$A$2:$A$501,0))&amp;"")</f>
        <v>Aging</v>
      </c>
      <c r="I36" s="19" t="str">
        <f aca="false">IF($C36="","",INDEX('Use Cases'!$AD$2:$AD$501,MATCH($C36,'Use Cases'!$A$2:$A$501,0))&amp;"")</f>
        <v>Low</v>
      </c>
      <c r="J36" s="19" t="str">
        <f aca="false">IF($C36="","",INDEX('Use Cases'!$AH$2:$AH$501,MATCH($C36,'Use Cases'!$A$2:$A$501,0))&amp;"")</f>
        <v>Critical</v>
      </c>
      <c r="K36" s="19" t="str">
        <f aca="false">IF($C36="","",INDEX('Use Cases'!$AJ$2:$AJ$501,MATCH($C36,'Use Cases'!$A$2:$A$501,0))&amp;"")</f>
        <v>Weekly Intake</v>
      </c>
    </row>
    <row r="37" customFormat="false" ht="15" hidden="false" customHeight="false" outlineLevel="0" collapsed="false">
      <c r="C37" s="18" t="str">
        <f aca="false">IFERROR(HYPERLINK("#'Use Cases'!A"&amp;(MATCH(SMALL('Use Cases'!$AT$2:$AT$501,3),'Use Cases'!$AT$2:$AT$501,0)+1),INDEX('Use Cases'!$A$2:$A$501,MATCH(SMALL('Use Cases'!$AT$2:$AT$501,3),'Use Cases'!$AT$2:$AT$501,0))),"")</f>
        <v>AI-007</v>
      </c>
      <c r="D37" s="19" t="str">
        <f aca="false">IF($C37="","",INDEX('Use Cases'!$X$2:$X$501,MATCH($C37,'Use Cases'!$A$2:$A$501,0))&amp;"")</f>
        <v>Triage</v>
      </c>
      <c r="E37" s="19" t="str">
        <f aca="false">IF($C37="","",INDEX('Use Cases'!$D$2:$D$501,MATCH($C37,'Use Cases'!$A$2:$A$501,0))&amp;"")</f>
        <v>Marketing</v>
      </c>
      <c r="F37" s="20" t="str">
        <f aca="false">IF($C37="","",INDEX('Use Cases'!$B$2:$B$501,MATCH($C37,'Use Cases'!$A$2:$A$501,0))&amp;"")</f>
        <v>Marketing copy assistant</v>
      </c>
      <c r="G37" s="19" t="str">
        <f aca="false">IF($C37="","",INDEX('Use Cases'!$AB$2:$AB$501,MATCH($C37,'Use Cases'!$A$2:$A$501,0))&amp;"")</f>
        <v>On track</v>
      </c>
      <c r="H37" s="19" t="str">
        <f aca="false">IF($C37="","",INDEX('Use Cases'!$AC$2:$AC$501,MATCH($C37,'Use Cases'!$A$2:$A$501,0))&amp;"")</f>
        <v>Fresh</v>
      </c>
      <c r="I37" s="19" t="str">
        <f aca="false">IF($C37="","",INDEX('Use Cases'!$AD$2:$AD$501,MATCH($C37,'Use Cases'!$A$2:$A$501,0))&amp;"")</f>
        <v>Medium</v>
      </c>
      <c r="J37" s="19" t="str">
        <f aca="false">IF($C37="","",INDEX('Use Cases'!$AH$2:$AH$501,MATCH($C37,'Use Cases'!$A$2:$A$501,0))&amp;"")</f>
        <v>Critical</v>
      </c>
      <c r="K37" s="19" t="str">
        <f aca="false">IF($C37="","",INDEX('Use Cases'!$AJ$2:$AJ$501,MATCH($C37,'Use Cases'!$A$2:$A$501,0))&amp;"")</f>
        <v>Weekly Intake</v>
      </c>
    </row>
    <row r="38" customFormat="false" ht="15" hidden="false" customHeight="false" outlineLevel="0" collapsed="false">
      <c r="C38" s="18" t="str">
        <f aca="false">IFERROR(HYPERLINK("#'Use Cases'!A"&amp;(MATCH(SMALL('Use Cases'!$AT$2:$AT$501,4),'Use Cases'!$AT$2:$AT$501,0)+1),INDEX('Use Cases'!$A$2:$A$501,MATCH(SMALL('Use Cases'!$AT$2:$AT$501,4),'Use Cases'!$AT$2:$AT$501,0))),"")</f>
        <v>AI-012</v>
      </c>
      <c r="D38" s="19" t="str">
        <f aca="false">IF($C38="","",INDEX('Use Cases'!$X$2:$X$501,MATCH($C38,'Use Cases'!$A$2:$A$501,0))&amp;"")</f>
        <v>Triage</v>
      </c>
      <c r="E38" s="19" t="str">
        <f aca="false">IF($C38="","",INDEX('Use Cases'!$D$2:$D$501,MATCH($C38,'Use Cases'!$A$2:$A$501,0))&amp;"")</f>
        <v>Branch Network</v>
      </c>
      <c r="F38" s="20" t="str">
        <f aca="false">IF($C38="","",INDEX('Use Cases'!$B$2:$B$501,MATCH($C38,'Use Cases'!$A$2:$A$501,0))&amp;"")</f>
        <v>Teller balancing assistant</v>
      </c>
      <c r="G38" s="19" t="str">
        <f aca="false">IF($C38="","",INDEX('Use Cases'!$AB$2:$AB$501,MATCH($C38,'Use Cases'!$A$2:$A$501,0))&amp;"")</f>
        <v>On track</v>
      </c>
      <c r="H38" s="19" t="str">
        <f aca="false">IF($C38="","",INDEX('Use Cases'!$AC$2:$AC$501,MATCH($C38,'Use Cases'!$A$2:$A$501,0))&amp;"")</f>
        <v>Aging</v>
      </c>
      <c r="I38" s="19" t="str">
        <f aca="false">IF($C38="","",INDEX('Use Cases'!$AD$2:$AD$501,MATCH($C38,'Use Cases'!$A$2:$A$501,0))&amp;"")</f>
        <v>Low</v>
      </c>
      <c r="J38" s="19" t="str">
        <f aca="false">IF($C38="","",INDEX('Use Cases'!$AH$2:$AH$501,MATCH($C38,'Use Cases'!$A$2:$A$501,0))&amp;"")</f>
        <v>Critical</v>
      </c>
      <c r="K38" s="19" t="str">
        <f aca="false">IF($C38="","",INDEX('Use Cases'!$AJ$2:$AJ$501,MATCH($C38,'Use Cases'!$A$2:$A$501,0))&amp;"")</f>
        <v>Weekly Intake</v>
      </c>
    </row>
    <row r="39" customFormat="false" ht="15" hidden="false" customHeight="false" outlineLevel="0" collapsed="false">
      <c r="C39" s="18" t="str">
        <f aca="false">IFERROR(HYPERLINK("#'Use Cases'!A"&amp;(MATCH(SMALL('Use Cases'!$AT$2:$AT$501,5),'Use Cases'!$AT$2:$AT$501,0)+1),INDEX('Use Cases'!$A$2:$A$501,MATCH(SMALL('Use Cases'!$AT$2:$AT$501,5),'Use Cases'!$AT$2:$AT$501,0))),"")</f>
        <v>AI-002</v>
      </c>
      <c r="D39" s="19" t="str">
        <f aca="false">IF($C39="","",INDEX('Use Cases'!$X$2:$X$501,MATCH($C39,'Use Cases'!$A$2:$A$501,0))&amp;"")</f>
        <v>Discovery</v>
      </c>
      <c r="E39" s="19" t="str">
        <f aca="false">IF($C39="","",INDEX('Use Cases'!$D$2:$D$501,MATCH($C39,'Use Cases'!$A$2:$A$501,0))&amp;"")</f>
        <v>Customer Care</v>
      </c>
      <c r="F39" s="20" t="str">
        <f aca="false">IF($C39="","",INDEX('Use Cases'!$B$2:$B$501,MATCH($C39,'Use Cases'!$A$2:$A$501,0))&amp;"")</f>
        <v>Complaint triage and routing</v>
      </c>
      <c r="G39" s="19" t="str">
        <f aca="false">IF($C39="","",INDEX('Use Cases'!$AB$2:$AB$501,MATCH($C39,'Use Cases'!$A$2:$A$501,0))&amp;"")</f>
        <v>On track</v>
      </c>
      <c r="H39" s="19" t="str">
        <f aca="false">IF($C39="","",INDEX('Use Cases'!$AC$2:$AC$501,MATCH($C39,'Use Cases'!$A$2:$A$501,0))&amp;"")</f>
        <v>Fresh</v>
      </c>
      <c r="I39" s="19" t="str">
        <f aca="false">IF($C39="","",INDEX('Use Cases'!$AD$2:$AD$501,MATCH($C39,'Use Cases'!$A$2:$A$501,0))&amp;"")</f>
        <v>Medium</v>
      </c>
      <c r="J39" s="19" t="str">
        <f aca="false">IF($C39="","",INDEX('Use Cases'!$AH$2:$AH$501,MATCH($C39,'Use Cases'!$A$2:$A$501,0))&amp;"")</f>
        <v>Warning</v>
      </c>
      <c r="K39" s="19" t="str">
        <f aca="false">IF($C39="","",INDEX('Use Cases'!$AJ$2:$AJ$501,MATCH($C39,'Use Cases'!$A$2:$A$501,0))&amp;"")</f>
        <v>Tactical Standup</v>
      </c>
    </row>
    <row r="40" customFormat="false" ht="15" hidden="false" customHeight="false" outlineLevel="0" collapsed="false">
      <c r="C40" s="18" t="str">
        <f aca="false">IFERROR(HYPERLINK("#'Use Cases'!A"&amp;(MATCH(SMALL('Use Cases'!$AT$2:$AT$501,6),'Use Cases'!$AT$2:$AT$501,0)+1),INDEX('Use Cases'!$A$2:$A$501,MATCH(SMALL('Use Cases'!$AT$2:$AT$501,6),'Use Cases'!$AT$2:$AT$501,0))),"")</f>
        <v>AI-004</v>
      </c>
      <c r="D40" s="19" t="str">
        <f aca="false">IF($C40="","",INDEX('Use Cases'!$X$2:$X$501,MATCH($C40,'Use Cases'!$A$2:$A$501,0))&amp;"")</f>
        <v>Discovery</v>
      </c>
      <c r="E40" s="19" t="str">
        <f aca="false">IF($C40="","",INDEX('Use Cases'!$D$2:$D$501,MATCH($C40,'Use Cases'!$A$2:$A$501,0))&amp;"")</f>
        <v>Onboarding</v>
      </c>
      <c r="F40" s="20" t="str">
        <f aca="false">IF($C40="","",INDEX('Use Cases'!$B$2:$B$501,MATCH($C40,'Use Cases'!$A$2:$A$501,0))&amp;"")</f>
        <v>KYC document extraction</v>
      </c>
      <c r="G40" s="19" t="str">
        <f aca="false">IF($C40="","",INDEX('Use Cases'!$AB$2:$AB$501,MATCH($C40,'Use Cases'!$A$2:$A$501,0))&amp;"")</f>
        <v>At risk</v>
      </c>
      <c r="H40" s="19" t="str">
        <f aca="false">IF($C40="","",INDEX('Use Cases'!$AC$2:$AC$501,MATCH($C40,'Use Cases'!$A$2:$A$501,0))&amp;"")</f>
        <v>Fresh</v>
      </c>
      <c r="I40" s="19" t="str">
        <f aca="false">IF($C40="","",INDEX('Use Cases'!$AD$2:$AD$501,MATCH($C40,'Use Cases'!$A$2:$A$501,0))&amp;"")</f>
        <v>High</v>
      </c>
      <c r="J40" s="19" t="str">
        <f aca="false">IF($C40="","",INDEX('Use Cases'!$AH$2:$AH$501,MATCH($C40,'Use Cases'!$A$2:$A$501,0))&amp;"")</f>
        <v>Critical</v>
      </c>
      <c r="K40" s="19" t="str">
        <f aca="false">IF($C40="","",INDEX('Use Cases'!$AJ$2:$AJ$501,MATCH($C40,'Use Cases'!$A$2:$A$501,0))&amp;"")</f>
        <v>Tactical Standup</v>
      </c>
    </row>
    <row r="41" customFormat="false" ht="15" hidden="false" customHeight="false" outlineLevel="0" collapsed="false">
      <c r="C41" s="18" t="str">
        <f aca="false">IFERROR(HYPERLINK("#'Use Cases'!A"&amp;(MATCH(SMALL('Use Cases'!$AT$2:$AT$501,7),'Use Cases'!$AT$2:$AT$501,0)+1),INDEX('Use Cases'!$A$2:$A$501,MATCH(SMALL('Use Cases'!$AT$2:$AT$501,7),'Use Cases'!$AT$2:$AT$501,0))),"")</f>
        <v>AI-013</v>
      </c>
      <c r="D41" s="19" t="str">
        <f aca="false">IF($C41="","",INDEX('Use Cases'!$X$2:$X$501,MATCH($C41,'Use Cases'!$A$2:$A$501,0))&amp;"")</f>
        <v>Discovery</v>
      </c>
      <c r="E41" s="19" t="str">
        <f aca="false">IF($C41="","",INDEX('Use Cases'!$D$2:$D$501,MATCH($C41,'Use Cases'!$A$2:$A$501,0))&amp;"")</f>
        <v>Branch Network</v>
      </c>
      <c r="F41" s="20" t="str">
        <f aca="false">IF($C41="","",INDEX('Use Cases'!$B$2:$B$501,MATCH($C41,'Use Cases'!$A$2:$A$501,0))&amp;"")</f>
        <v>ATM cash forecasting</v>
      </c>
      <c r="G41" s="19" t="str">
        <f aca="false">IF($C41="","",INDEX('Use Cases'!$AB$2:$AB$501,MATCH($C41,'Use Cases'!$A$2:$A$501,0))&amp;"")</f>
        <v>On track</v>
      </c>
      <c r="H41" s="19" t="str">
        <f aca="false">IF($C41="","",INDEX('Use Cases'!$AC$2:$AC$501,MATCH($C41,'Use Cases'!$A$2:$A$501,0))&amp;"")</f>
        <v>Fresh</v>
      </c>
      <c r="I41" s="19" t="str">
        <f aca="false">IF($C41="","",INDEX('Use Cases'!$AD$2:$AD$501,MATCH($C41,'Use Cases'!$A$2:$A$501,0))&amp;"")</f>
        <v>Low</v>
      </c>
      <c r="J41" s="19" t="str">
        <f aca="false">IF($C41="","",INDEX('Use Cases'!$AH$2:$AH$501,MATCH($C41,'Use Cases'!$A$2:$A$501,0))&amp;"")</f>
        <v>Warning</v>
      </c>
      <c r="K41" s="19" t="str">
        <f aca="false">IF($C41="","",INDEX('Use Cases'!$AJ$2:$AJ$501,MATCH($C41,'Use Cases'!$A$2:$A$501,0))&amp;"")</f>
        <v>Tactical Standup</v>
      </c>
    </row>
    <row r="42" customFormat="false" ht="15" hidden="false" customHeight="false" outlineLevel="0" collapsed="false">
      <c r="C42" s="18" t="str">
        <f aca="false">IFERROR(HYPERLINK("#'Use Cases'!A"&amp;(MATCH(SMALL('Use Cases'!$AT$2:$AT$501,8),'Use Cases'!$AT$2:$AT$501,0)+1),INDEX('Use Cases'!$A$2:$A$501,MATCH(SMALL('Use Cases'!$AT$2:$AT$501,8),'Use Cases'!$AT$2:$AT$501,0))),"")</f>
        <v>AI-003</v>
      </c>
      <c r="D42" s="19" t="str">
        <f aca="false">IF($C42="","",INDEX('Use Cases'!$X$2:$X$501,MATCH($C42,'Use Cases'!$A$2:$A$501,0))&amp;"")</f>
        <v>Design</v>
      </c>
      <c r="E42" s="19" t="str">
        <f aca="false">IF($C42="","",INDEX('Use Cases'!$D$2:$D$501,MATCH($C42,'Use Cases'!$A$2:$A$501,0))&amp;"")</f>
        <v>Fraud Operations</v>
      </c>
      <c r="F42" s="20" t="str">
        <f aca="false">IF($C42="","",INDEX('Use Cases'!$B$2:$B$501,MATCH($C42,'Use Cases'!$A$2:$A$501,0))&amp;"")</f>
        <v>Fraud alert prioritization</v>
      </c>
      <c r="G42" s="19" t="str">
        <f aca="false">IF($C42="","",INDEX('Use Cases'!$AB$2:$AB$501,MATCH($C42,'Use Cases'!$A$2:$A$501,0))&amp;"")</f>
        <v>Overdue</v>
      </c>
      <c r="H42" s="19" t="str">
        <f aca="false">IF($C42="","",INDEX('Use Cases'!$AC$2:$AC$501,MATCH($C42,'Use Cases'!$A$2:$A$501,0))&amp;"")</f>
        <v>Fresh</v>
      </c>
      <c r="I42" s="19" t="str">
        <f aca="false">IF($C42="","",INDEX('Use Cases'!$AD$2:$AD$501,MATCH($C42,'Use Cases'!$A$2:$A$501,0))&amp;"")</f>
        <v>High</v>
      </c>
      <c r="J42" s="19" t="str">
        <f aca="false">IF($C42="","",INDEX('Use Cases'!$AH$2:$AH$501,MATCH($C42,'Use Cases'!$A$2:$A$501,0))&amp;"")</f>
        <v>Critical</v>
      </c>
      <c r="K42" s="19" t="str">
        <f aca="false">IF($C42="","",INDEX('Use Cases'!$AJ$2:$AJ$501,MATCH($C42,'Use Cases'!$A$2:$A$501,0))&amp;"")</f>
        <v>Portfolio Council</v>
      </c>
    </row>
    <row r="43" customFormat="false" ht="15" hidden="false" customHeight="false" outlineLevel="0" collapsed="false">
      <c r="C43" s="18" t="str">
        <f aca="false">IFERROR(HYPERLINK("#'Use Cases'!A"&amp;(MATCH(SMALL('Use Cases'!$AT$2:$AT$501,9),'Use Cases'!$AT$2:$AT$501,0)+1),INDEX('Use Cases'!$A$2:$A$501,MATCH(SMALL('Use Cases'!$AT$2:$AT$501,9),'Use Cases'!$AT$2:$AT$501,0))),"")</f>
        <v>AI-005</v>
      </c>
      <c r="D43" s="19" t="str">
        <f aca="false">IF($C43="","",INDEX('Use Cases'!$X$2:$X$501,MATCH($C43,'Use Cases'!$A$2:$A$501,0))&amp;"")</f>
        <v>Approval</v>
      </c>
      <c r="E43" s="19" t="str">
        <f aca="false">IF($C43="","",INDEX('Use Cases'!$D$2:$D$501,MATCH($C43,'Use Cases'!$A$2:$A$501,0))&amp;"")</f>
        <v>Collections</v>
      </c>
      <c r="F43" s="20" t="str">
        <f aca="false">IF($C43="","",INDEX('Use Cases'!$B$2:$B$501,MATCH($C43,'Use Cases'!$A$2:$A$501,0))&amp;"")</f>
        <v>Collections outreach timing</v>
      </c>
      <c r="G43" s="19" t="str">
        <f aca="false">IF($C43="","",INDEX('Use Cases'!$AB$2:$AB$501,MATCH($C43,'Use Cases'!$A$2:$A$501,0))&amp;"")</f>
        <v>On track</v>
      </c>
      <c r="H43" s="19" t="str">
        <f aca="false">IF($C43="","",INDEX('Use Cases'!$AC$2:$AC$501,MATCH($C43,'Use Cases'!$A$2:$A$501,0))&amp;"")</f>
        <v>Fresh</v>
      </c>
      <c r="I43" s="19" t="str">
        <f aca="false">IF($C43="","",INDEX('Use Cases'!$AD$2:$AD$501,MATCH($C43,'Use Cases'!$A$2:$A$501,0))&amp;"")</f>
        <v>High</v>
      </c>
      <c r="J43" s="19" t="str">
        <f aca="false">IF($C43="","",INDEX('Use Cases'!$AH$2:$AH$501,MATCH($C43,'Use Cases'!$A$2:$A$501,0))&amp;"")</f>
        <v>Good</v>
      </c>
      <c r="K43" s="19" t="str">
        <f aca="false">IF($C43="","",INDEX('Use Cases'!$AJ$2:$AJ$501,MATCH($C43,'Use Cases'!$A$2:$A$501,0))&amp;"")</f>
        <v>Portfolio Council</v>
      </c>
    </row>
    <row r="44" customFormat="false" ht="15" hidden="false" customHeight="false" outlineLevel="0" collapsed="false">
      <c r="C44" s="18" t="str">
        <f aca="false">IFERROR(HYPERLINK("#'Use Cases'!A"&amp;(MATCH(SMALL('Use Cases'!$AT$2:$AT$501,10),'Use Cases'!$AT$2:$AT$501,0)+1),INDEX('Use Cases'!$A$2:$A$501,MATCH(SMALL('Use Cases'!$AT$2:$AT$501,10),'Use Cases'!$AT$2:$AT$501,0))),"")</f>
        <v>AI-006</v>
      </c>
      <c r="D44" s="19" t="str">
        <f aca="false">IF($C44="","",INDEX('Use Cases'!$X$2:$X$501,MATCH($C44,'Use Cases'!$A$2:$A$501,0))&amp;"")</f>
        <v>Approval</v>
      </c>
      <c r="E44" s="19" t="str">
        <f aca="false">IF($C44="","",INDEX('Use Cases'!$D$2:$D$501,MATCH($C44,'Use Cases'!$A$2:$A$501,0))&amp;"")</f>
        <v>Branch Network</v>
      </c>
      <c r="F44" s="20" t="str">
        <f aca="false">IF($C44="","",INDEX('Use Cases'!$B$2:$B$501,MATCH($C44,'Use Cases'!$A$2:$A$501,0))&amp;"")</f>
        <v>Branch staffing forecast</v>
      </c>
      <c r="G44" s="19" t="str">
        <f aca="false">IF($C44="","",INDEX('Use Cases'!$AB$2:$AB$501,MATCH($C44,'Use Cases'!$A$2:$A$501,0))&amp;"")</f>
        <v>On track</v>
      </c>
      <c r="H44" s="19" t="str">
        <f aca="false">IF($C44="","",INDEX('Use Cases'!$AC$2:$AC$501,MATCH($C44,'Use Cases'!$A$2:$A$501,0))&amp;"")</f>
        <v>Fresh</v>
      </c>
      <c r="I44" s="19" t="str">
        <f aca="false">IF($C44="","",INDEX('Use Cases'!$AD$2:$AD$501,MATCH($C44,'Use Cases'!$A$2:$A$501,0))&amp;"")</f>
        <v>Low</v>
      </c>
      <c r="J44" s="19" t="str">
        <f aca="false">IF($C44="","",INDEX('Use Cases'!$AH$2:$AH$501,MATCH($C44,'Use Cases'!$A$2:$A$501,0))&amp;"")</f>
        <v>Good</v>
      </c>
      <c r="K44" s="19" t="str">
        <f aca="false">IF($C44="","",INDEX('Use Cases'!$AJ$2:$AJ$501,MATCH($C44,'Use Cases'!$A$2:$A$501,0))&amp;"")</f>
        <v>Portfolio Council</v>
      </c>
    </row>
    <row r="45" customFormat="false" ht="15" hidden="false" customHeight="false" outlineLevel="0" collapsed="false">
      <c r="C45" s="18" t="str">
        <f aca="false">IFERROR(HYPERLINK("#'Use Cases'!A"&amp;(MATCH(SMALL('Use Cases'!$AT$2:$AT$501,11),'Use Cases'!$AT$2:$AT$501,0)+1),INDEX('Use Cases'!$A$2:$A$501,MATCH(SMALL('Use Cases'!$AT$2:$AT$501,11),'Use Cases'!$AT$2:$AT$501,0))),"")</f>
        <v>AI-014</v>
      </c>
      <c r="D45" s="19" t="str">
        <f aca="false">IF($C45="","",INDEX('Use Cases'!$X$2:$X$501,MATCH($C45,'Use Cases'!$A$2:$A$501,0))&amp;"")</f>
        <v>Approval</v>
      </c>
      <c r="E45" s="19" t="str">
        <f aca="false">IF($C45="","",INDEX('Use Cases'!$D$2:$D$501,MATCH($C45,'Use Cases'!$A$2:$A$501,0))&amp;"")</f>
        <v>Customer Care</v>
      </c>
      <c r="F45" s="20" t="str">
        <f aca="false">IF($C45="","",INDEX('Use Cases'!$B$2:$B$501,MATCH($C45,'Use Cases'!$A$2:$A$501,0))&amp;"")</f>
        <v>Dispute intake summarizer</v>
      </c>
      <c r="G45" s="19" t="str">
        <f aca="false">IF($C45="","",INDEX('Use Cases'!$AB$2:$AB$501,MATCH($C45,'Use Cases'!$A$2:$A$501,0))&amp;"")</f>
        <v>On track</v>
      </c>
      <c r="H45" s="19" t="str">
        <f aca="false">IF($C45="","",INDEX('Use Cases'!$AC$2:$AC$501,MATCH($C45,'Use Cases'!$A$2:$A$501,0))&amp;"")</f>
        <v>Fresh</v>
      </c>
      <c r="I45" s="19" t="str">
        <f aca="false">IF($C45="","",INDEX('Use Cases'!$AD$2:$AD$501,MATCH($C45,'Use Cases'!$A$2:$A$501,0))&amp;"")</f>
        <v>Medium</v>
      </c>
      <c r="J45" s="19" t="str">
        <f aca="false">IF($C45="","",INDEX('Use Cases'!$AH$2:$AH$501,MATCH($C45,'Use Cases'!$A$2:$A$501,0))&amp;"")</f>
        <v>Good</v>
      </c>
      <c r="K45" s="19" t="str">
        <f aca="false">IF($C45="","",INDEX('Use Cases'!$AJ$2:$AJ$501,MATCH($C45,'Use Cases'!$A$2:$A$501,0))&amp;"")</f>
        <v>Portfolio Council</v>
      </c>
    </row>
    <row r="46" customFormat="false" ht="15" hidden="false" customHeight="false" outlineLevel="0" collapsed="false">
      <c r="C46" s="18" t="str">
        <f aca="false">IFERROR(HYPERLINK("#'Use Cases'!A"&amp;(MATCH(SMALL('Use Cases'!$AT$2:$AT$501,12),'Use Cases'!$AT$2:$AT$501,0)+1),INDEX('Use Cases'!$A$2:$A$501,MATCH(SMALL('Use Cases'!$AT$2:$AT$501,12),'Use Cases'!$AT$2:$AT$501,0))),"")</f>
        <v>AI-008</v>
      </c>
      <c r="D46" s="19" t="str">
        <f aca="false">IF($C46="","",INDEX('Use Cases'!$X$2:$X$501,MATCH($C46,'Use Cases'!$A$2:$A$501,0))&amp;"")</f>
        <v>Delivery</v>
      </c>
      <c r="E46" s="19" t="str">
        <f aca="false">IF($C46="","",INDEX('Use Cases'!$D$2:$D$501,MATCH($C46,'Use Cases'!$A$2:$A$501,0))&amp;"")</f>
        <v>Digital Banking</v>
      </c>
      <c r="F46" s="20" t="str">
        <f aca="false">IF($C46="","",INDEX('Use Cases'!$B$2:$B$501,MATCH($C46,'Use Cases'!$A$2:$A$501,0))&amp;"")</f>
        <v>Chat deflection FAQ assistant</v>
      </c>
      <c r="G46" s="19" t="str">
        <f aca="false">IF($C46="","",INDEX('Use Cases'!$AB$2:$AB$501,MATCH($C46,'Use Cases'!$A$2:$A$501,0))&amp;"")</f>
        <v>On track</v>
      </c>
      <c r="H46" s="19" t="str">
        <f aca="false">IF($C46="","",INDEX('Use Cases'!$AC$2:$AC$501,MATCH($C46,'Use Cases'!$A$2:$A$501,0))&amp;"")</f>
        <v>Fresh</v>
      </c>
      <c r="I46" s="19" t="str">
        <f aca="false">IF($C46="","",INDEX('Use Cases'!$AD$2:$AD$501,MATCH($C46,'Use Cases'!$A$2:$A$501,0))&amp;"")</f>
        <v>High</v>
      </c>
      <c r="J46" s="19" t="str">
        <f aca="false">IF($C46="","",INDEX('Use Cases'!$AH$2:$AH$501,MATCH($C46,'Use Cases'!$A$2:$A$501,0))&amp;"")</f>
        <v>Warning</v>
      </c>
      <c r="K46" s="19" t="str">
        <f aca="false">IF($C46="","",INDEX('Use Cases'!$AJ$2:$AJ$501,MATCH($C46,'Use Cases'!$A$2:$A$501,0))&amp;"")</f>
        <v>Tactical Standup</v>
      </c>
    </row>
    <row r="47" customFormat="false" ht="15" hidden="false" customHeight="false" outlineLevel="0" collapsed="false">
      <c r="C47" s="18" t="str">
        <f aca="false">IFERROR(HYPERLINK("#'Use Cases'!A"&amp;(MATCH(SMALL('Use Cases'!$AT$2:$AT$501,13),'Use Cases'!$AT$2:$AT$501,0)+1),INDEX('Use Cases'!$A$2:$A$501,MATCH(SMALL('Use Cases'!$AT$2:$AT$501,13),'Use Cases'!$AT$2:$AT$501,0))),"")</f>
        <v>AI-001</v>
      </c>
      <c r="D47" s="19" t="str">
        <f aca="false">IF($C47="","",INDEX('Use Cases'!$X$2:$X$501,MATCH($C47,'Use Cases'!$A$2:$A$501,0))&amp;"")</f>
        <v>Scale</v>
      </c>
      <c r="E47" s="19" t="str">
        <f aca="false">IF($C47="","",INDEX('Use Cases'!$D$2:$D$501,MATCH($C47,'Use Cases'!$A$2:$A$501,0))&amp;"")</f>
        <v>Contact Center</v>
      </c>
      <c r="F47" s="20" t="str">
        <f aca="false">IF($C47="","",INDEX('Use Cases'!$B$2:$B$501,MATCH($C47,'Use Cases'!$A$2:$A$501,0))&amp;"")</f>
        <v>Contact center call summarization</v>
      </c>
      <c r="G47" s="19" t="str">
        <f aca="false">IF($C47="","",INDEX('Use Cases'!$AB$2:$AB$501,MATCH($C47,'Use Cases'!$A$2:$A$501,0))&amp;"")</f>
        <v>On track</v>
      </c>
      <c r="H47" s="19" t="str">
        <f aca="false">IF($C47="","",INDEX('Use Cases'!$AC$2:$AC$501,MATCH($C47,'Use Cases'!$A$2:$A$501,0))&amp;"")</f>
        <v>Fresh</v>
      </c>
      <c r="I47" s="19" t="str">
        <f aca="false">IF($C47="","",INDEX('Use Cases'!$AD$2:$AD$501,MATCH($C47,'Use Cases'!$A$2:$A$501,0))&amp;"")</f>
        <v>Medium</v>
      </c>
      <c r="J47" s="19" t="str">
        <f aca="false">IF($C47="","",INDEX('Use Cases'!$AH$2:$AH$501,MATCH($C47,'Use Cases'!$A$2:$A$501,0))&amp;"")</f>
        <v>Warning</v>
      </c>
      <c r="K47" s="19" t="str">
        <f aca="false">IF($C47="","",INDEX('Use Cases'!$AJ$2:$AJ$501,MATCH($C47,'Use Cases'!$A$2:$A$501,0))&amp;"")</f>
        <v>Tactical Standup</v>
      </c>
    </row>
    <row r="48" customFormat="false" ht="15" hidden="false" customHeight="false" outlineLevel="0" collapsed="false">
      <c r="C48" s="18" t="str">
        <f aca="false">IFERROR(HYPERLINK("#'Use Cases'!A"&amp;(MATCH(SMALL('Use Cases'!$AT$2:$AT$501,14),'Use Cases'!$AT$2:$AT$501,0)+1),INDEX('Use Cases'!$A$2:$A$501,MATCH(SMALL('Use Cases'!$AT$2:$AT$501,14),'Use Cases'!$AT$2:$AT$501,0))),"")</f>
        <v>AI-011</v>
      </c>
      <c r="D48" s="19" t="str">
        <f aca="false">IF($C48="","",INDEX('Use Cases'!$X$2:$X$501,MATCH($C48,'Use Cases'!$A$2:$A$501,0))&amp;"")</f>
        <v>Value</v>
      </c>
      <c r="E48" s="19" t="str">
        <f aca="false">IF($C48="","",INDEX('Use Cases'!$D$2:$D$501,MATCH($C48,'Use Cases'!$A$2:$A$501,0))&amp;"")</f>
        <v>Consumer Lending</v>
      </c>
      <c r="F48" s="20" t="str">
        <f aca="false">IF($C48="","",INDEX('Use Cases'!$B$2:$B$501,MATCH($C48,'Use Cases'!$A$2:$A$501,0))&amp;"")</f>
        <v>Loan document pre-fill</v>
      </c>
      <c r="G48" s="19" t="str">
        <f aca="false">IF($C48="","",INDEX('Use Cases'!$AB$2:$AB$501,MATCH($C48,'Use Cases'!$A$2:$A$501,0))&amp;"")</f>
        <v>On track</v>
      </c>
      <c r="H48" s="19" t="str">
        <f aca="false">IF($C48="","",INDEX('Use Cases'!$AC$2:$AC$501,MATCH($C48,'Use Cases'!$A$2:$A$501,0))&amp;"")</f>
        <v>Fresh</v>
      </c>
      <c r="I48" s="19" t="str">
        <f aca="false">IF($C48="","",INDEX('Use Cases'!$AD$2:$AD$501,MATCH($C48,'Use Cases'!$A$2:$A$501,0))&amp;"")</f>
        <v>High</v>
      </c>
      <c r="J48" s="19" t="str">
        <f aca="false">IF($C48="","",INDEX('Use Cases'!$AH$2:$AH$501,MATCH($C48,'Use Cases'!$A$2:$A$501,0))&amp;"")</f>
        <v>Good</v>
      </c>
      <c r="K48" s="19" t="str">
        <f aca="false">IF($C48="","",INDEX('Use Cases'!$AJ$2:$AJ$501,MATCH($C48,'Use Cases'!$A$2:$A$501,0))&amp;"")</f>
        <v>Portfolio Council</v>
      </c>
    </row>
    <row r="49" customFormat="false" ht="15" hidden="false" customHeight="false" outlineLevel="0" collapsed="false">
      <c r="C49" s="18" t="str">
        <f aca="false">IFERROR(HYPERLINK("#'Use Cases'!A"&amp;(MATCH(SMALL('Use Cases'!$AT$2:$AT$501,15),'Use Cases'!$AT$2:$AT$501,0)+1),INDEX('Use Cases'!$A$2:$A$501,MATCH(SMALL('Use Cases'!$AT$2:$AT$501,15),'Use Cases'!$AT$2:$AT$501,0))),"")</f>
        <v/>
      </c>
      <c r="D49" s="19" t="str">
        <f aca="false">IF($C49="","",INDEX('Use Cases'!$X$2:$X$501,MATCH($C49,'Use Cases'!$A$2:$A$501,0))&amp;"")</f>
        <v/>
      </c>
      <c r="E49" s="19" t="str">
        <f aca="false">IF($C49="","",INDEX('Use Cases'!$D$2:$D$501,MATCH($C49,'Use Cases'!$A$2:$A$501,0))&amp;"")</f>
        <v/>
      </c>
      <c r="F49" s="20" t="str">
        <f aca="false">IF($C49="","",INDEX('Use Cases'!$B$2:$B$501,MATCH($C49,'Use Cases'!$A$2:$A$501,0))&amp;"")</f>
        <v/>
      </c>
      <c r="G49" s="19" t="str">
        <f aca="false">IF($C49="","",INDEX('Use Cases'!$AB$2:$AB$501,MATCH($C49,'Use Cases'!$A$2:$A$501,0))&amp;"")</f>
        <v/>
      </c>
      <c r="H49" s="19" t="str">
        <f aca="false">IF($C49="","",INDEX('Use Cases'!$AC$2:$AC$501,MATCH($C49,'Use Cases'!$A$2:$A$501,0))&amp;"")</f>
        <v/>
      </c>
      <c r="I49" s="19" t="str">
        <f aca="false">IF($C49="","",INDEX('Use Cases'!$AD$2:$AD$501,MATCH($C49,'Use Cases'!$A$2:$A$501,0))&amp;"")</f>
        <v/>
      </c>
      <c r="J49" s="19" t="str">
        <f aca="false">IF($C49="","",INDEX('Use Cases'!$AH$2:$AH$501,MATCH($C49,'Use Cases'!$A$2:$A$501,0))&amp;"")</f>
        <v/>
      </c>
      <c r="K49" s="19" t="str">
        <f aca="false">IF($C49="","",INDEX('Use Cases'!$AJ$2:$AJ$501,MATCH($C49,'Use Cases'!$A$2:$A$501,0))&amp;"")</f>
        <v/>
      </c>
    </row>
    <row r="50" customFormat="false" ht="15" hidden="false" customHeight="false" outlineLevel="0" collapsed="false">
      <c r="C50" s="18" t="str">
        <f aca="false">IFERROR(HYPERLINK("#'Use Cases'!A"&amp;(MATCH(SMALL('Use Cases'!$AT$2:$AT$501,16),'Use Cases'!$AT$2:$AT$501,0)+1),INDEX('Use Cases'!$A$2:$A$501,MATCH(SMALL('Use Cases'!$AT$2:$AT$501,16),'Use Cases'!$AT$2:$AT$501,0))),"")</f>
        <v/>
      </c>
      <c r="D50" s="19" t="str">
        <f aca="false">IF($C50="","",INDEX('Use Cases'!$X$2:$X$501,MATCH($C50,'Use Cases'!$A$2:$A$501,0))&amp;"")</f>
        <v/>
      </c>
      <c r="E50" s="19" t="str">
        <f aca="false">IF($C50="","",INDEX('Use Cases'!$D$2:$D$501,MATCH($C50,'Use Cases'!$A$2:$A$501,0))&amp;"")</f>
        <v/>
      </c>
      <c r="F50" s="20" t="str">
        <f aca="false">IF($C50="","",INDEX('Use Cases'!$B$2:$B$501,MATCH($C50,'Use Cases'!$A$2:$A$501,0))&amp;"")</f>
        <v/>
      </c>
      <c r="G50" s="19" t="str">
        <f aca="false">IF($C50="","",INDEX('Use Cases'!$AB$2:$AB$501,MATCH($C50,'Use Cases'!$A$2:$A$501,0))&amp;"")</f>
        <v/>
      </c>
      <c r="H50" s="19" t="str">
        <f aca="false">IF($C50="","",INDEX('Use Cases'!$AC$2:$AC$501,MATCH($C50,'Use Cases'!$A$2:$A$501,0))&amp;"")</f>
        <v/>
      </c>
      <c r="I50" s="19" t="str">
        <f aca="false">IF($C50="","",INDEX('Use Cases'!$AD$2:$AD$501,MATCH($C50,'Use Cases'!$A$2:$A$501,0))&amp;"")</f>
        <v/>
      </c>
      <c r="J50" s="19" t="str">
        <f aca="false">IF($C50="","",INDEX('Use Cases'!$AH$2:$AH$501,MATCH($C50,'Use Cases'!$A$2:$A$501,0))&amp;"")</f>
        <v/>
      </c>
      <c r="K50" s="19" t="str">
        <f aca="false">IF($C50="","",INDEX('Use Cases'!$AJ$2:$AJ$501,MATCH($C50,'Use Cases'!$A$2:$A$501,0))&amp;"")</f>
        <v/>
      </c>
    </row>
    <row r="51" customFormat="false" ht="15" hidden="false" customHeight="false" outlineLevel="0" collapsed="false">
      <c r="K51" s="23" t="str">
        <f aca="false">IF(COUNT('Use Cases'!$AT$2:$AT$501)&gt;16,"+"&amp;(COUNT('Use Cases'!$AT$2:$AT$501)-16)&amp;" more on the Use Cases sheet","")</f>
        <v/>
      </c>
    </row>
    <row r="52" customFormat="false" ht="15" hidden="false" customHeight="false" outlineLevel="0" collapsed="false">
      <c r="B52" s="14" t="s">
        <v>65</v>
      </c>
      <c r="F52" s="15" t="s">
        <v>66</v>
      </c>
    </row>
    <row r="53" customFormat="false" ht="15" hidden="false" customHeight="false" outlineLevel="0" collapsed="false">
      <c r="C53" s="16" t="s">
        <v>67</v>
      </c>
      <c r="D53" s="16" t="s">
        <v>68</v>
      </c>
      <c r="E53" s="16" t="s">
        <v>69</v>
      </c>
      <c r="F53" s="16" t="s">
        <v>70</v>
      </c>
    </row>
    <row r="54" customFormat="false" ht="15" hidden="false" customHeight="false" outlineLevel="0" collapsed="false">
      <c r="C54" s="32" t="str">
        <f aca="false">IF(MAX(0,COUNT(Value!$B$2:$B$41)-6)+1&gt;COUNT(Value!$B$2:$B$41),"",INDEX(Value!$A$2:$A$41,MAX(0,COUNT(Value!$B$2:$B$41)-6)+1))</f>
        <v>Q4 '25</v>
      </c>
      <c r="D54" s="32" t="n">
        <f aca="false">IF(MAX(0,COUNT(Value!$B$2:$B$41)-6)+1&gt;COUNT(Value!$B$2:$B$41),"",INDEX(Value!$B$2:$B$41,MAX(0,COUNT(Value!$B$2:$B$41)-6)+1))</f>
        <v>1800</v>
      </c>
      <c r="E54" s="32" t="n">
        <f aca="false">IF(MAX(0,COUNT(Value!$B$2:$B$41)-6)+1&gt;COUNT(Value!$B$2:$B$41),"",INDEX(Value!$C$2:$C$41,MAX(0,COUNT(Value!$B$2:$B$41)-6)+1))</f>
        <v>1650</v>
      </c>
      <c r="F54" s="33" t="n">
        <f aca="false">IF(OR(C54="",D54=0),"",E54/D54)</f>
        <v>0.916666666666667</v>
      </c>
    </row>
    <row r="55" customFormat="false" ht="15" hidden="false" customHeight="false" outlineLevel="0" collapsed="false">
      <c r="C55" s="32" t="str">
        <f aca="false">IF(MAX(0,COUNT(Value!$B$2:$B$41)-6)+2&gt;COUNT(Value!$B$2:$B$41),"",INDEX(Value!$A$2:$A$41,MAX(0,COUNT(Value!$B$2:$B$41)-6)+2))</f>
        <v>Q1 '26</v>
      </c>
      <c r="D55" s="32" t="n">
        <f aca="false">IF(MAX(0,COUNT(Value!$B$2:$B$41)-6)+2&gt;COUNT(Value!$B$2:$B$41),"",INDEX(Value!$B$2:$B$41,MAX(0,COUNT(Value!$B$2:$B$41)-6)+2))</f>
        <v>2600</v>
      </c>
      <c r="E55" s="32" t="n">
        <f aca="false">IF(MAX(0,COUNT(Value!$B$2:$B$41)-6)+2&gt;COUNT(Value!$B$2:$B$41),"",INDEX(Value!$C$2:$C$41,MAX(0,COUNT(Value!$B$2:$B$41)-6)+2))</f>
        <v>2400</v>
      </c>
      <c r="F55" s="33" t="n">
        <f aca="false">IF(OR(C55="",D55=0),"",E55/D55)</f>
        <v>0.923076923076923</v>
      </c>
    </row>
    <row r="56" customFormat="false" ht="15" hidden="false" customHeight="false" outlineLevel="0" collapsed="false">
      <c r="C56" s="32" t="str">
        <f aca="false">IF(MAX(0,COUNT(Value!$B$2:$B$41)-6)+3&gt;COUNT(Value!$B$2:$B$41),"",INDEX(Value!$A$2:$A$41,MAX(0,COUNT(Value!$B$2:$B$41)-6)+3))</f>
        <v>Q2 '26</v>
      </c>
      <c r="D56" s="32" t="n">
        <f aca="false">IF(MAX(0,COUNT(Value!$B$2:$B$41)-6)+3&gt;COUNT(Value!$B$2:$B$41),"",INDEX(Value!$B$2:$B$41,MAX(0,COUNT(Value!$B$2:$B$41)-6)+3))</f>
        <v>4200</v>
      </c>
      <c r="E56" s="32" t="n">
        <f aca="false">IF(MAX(0,COUNT(Value!$B$2:$B$41)-6)+3&gt;COUNT(Value!$B$2:$B$41),"",INDEX(Value!$C$2:$C$41,MAX(0,COUNT(Value!$B$2:$B$41)-6)+3))</f>
        <v>3900</v>
      </c>
      <c r="F56" s="33" t="n">
        <f aca="false">IF(OR(C56="",D56=0),"",E56/D56)</f>
        <v>0.928571428571429</v>
      </c>
    </row>
    <row r="57" customFormat="false" ht="15" hidden="false" customHeight="false" outlineLevel="0" collapsed="false">
      <c r="C57" s="32" t="str">
        <f aca="false">IF(MAX(0,COUNT(Value!$B$2:$B$41)-6)+4&gt;COUNT(Value!$B$2:$B$41),"",INDEX(Value!$A$2:$A$41,MAX(0,COUNT(Value!$B$2:$B$41)-6)+4))</f>
        <v>Q3 '26</v>
      </c>
      <c r="D57" s="32" t="n">
        <f aca="false">IF(MAX(0,COUNT(Value!$B$2:$B$41)-6)+4&gt;COUNT(Value!$B$2:$B$41),"",INDEX(Value!$B$2:$B$41,MAX(0,COUNT(Value!$B$2:$B$41)-6)+4))</f>
        <v>5700</v>
      </c>
      <c r="E57" s="32" t="n">
        <f aca="false">IF(MAX(0,COUNT(Value!$B$2:$B$41)-6)+4&gt;COUNT(Value!$B$2:$B$41),"",INDEX(Value!$C$2:$C$41,MAX(0,COUNT(Value!$B$2:$B$41)-6)+4))</f>
        <v>3600</v>
      </c>
      <c r="F57" s="33" t="n">
        <f aca="false">IF(OR(C57="",D57=0),"",E57/D57)</f>
        <v>0.631578947368421</v>
      </c>
    </row>
    <row r="58" customFormat="false" ht="15" hidden="false" customHeight="false" outlineLevel="0" collapsed="false">
      <c r="C58" s="32" t="str">
        <f aca="false">IF(MAX(0,COUNT(Value!$B$2:$B$41)-6)+5&gt;COUNT(Value!$B$2:$B$41),"",INDEX(Value!$A$2:$A$41,MAX(0,COUNT(Value!$B$2:$B$41)-6)+5))</f>
        <v/>
      </c>
      <c r="D58" s="32" t="str">
        <f aca="false">IF(MAX(0,COUNT(Value!$B$2:$B$41)-6)+5&gt;COUNT(Value!$B$2:$B$41),"",INDEX(Value!$B$2:$B$41,MAX(0,COUNT(Value!$B$2:$B$41)-6)+5))</f>
        <v/>
      </c>
      <c r="E58" s="32" t="str">
        <f aca="false">IF(MAX(0,COUNT(Value!$B$2:$B$41)-6)+5&gt;COUNT(Value!$B$2:$B$41),"",INDEX(Value!$C$2:$C$41,MAX(0,COUNT(Value!$B$2:$B$41)-6)+5))</f>
        <v/>
      </c>
      <c r="F58" s="33" t="str">
        <f aca="false">IF(OR(C58="",D58=0),"",E58/D58)</f>
        <v/>
      </c>
    </row>
    <row r="59" customFormat="false" ht="15" hidden="false" customHeight="false" outlineLevel="0" collapsed="false">
      <c r="C59" s="32" t="str">
        <f aca="false">IF(MAX(0,COUNT(Value!$B$2:$B$41)-6)+6&gt;COUNT(Value!$B$2:$B$41),"",INDEX(Value!$A$2:$A$41,MAX(0,COUNT(Value!$B$2:$B$41)-6)+6))</f>
        <v/>
      </c>
      <c r="D59" s="32" t="str">
        <f aca="false">IF(MAX(0,COUNT(Value!$B$2:$B$41)-6)+6&gt;COUNT(Value!$B$2:$B$41),"",INDEX(Value!$B$2:$B$41,MAX(0,COUNT(Value!$B$2:$B$41)-6)+6))</f>
        <v/>
      </c>
      <c r="E59" s="32" t="str">
        <f aca="false">IF(MAX(0,COUNT(Value!$B$2:$B$41)-6)+6&gt;COUNT(Value!$B$2:$B$41),"",INDEX(Value!$C$2:$C$41,MAX(0,COUNT(Value!$B$2:$B$41)-6)+6))</f>
        <v/>
      </c>
      <c r="F59" s="33" t="str">
        <f aca="false">IF(OR(C59="",D59=0),"",E59/D59)</f>
        <v/>
      </c>
    </row>
    <row r="64" customFormat="false" ht="15" hidden="false" customHeight="false" outlineLevel="0" collapsed="false">
      <c r="B64" s="14" t="s">
        <v>71</v>
      </c>
      <c r="F64" s="15" t="s">
        <v>72</v>
      </c>
    </row>
    <row r="65" customFormat="false" ht="15" hidden="false" customHeight="false" outlineLevel="0" collapsed="false">
      <c r="C65" s="16" t="s">
        <v>73</v>
      </c>
      <c r="D65" s="16" t="s">
        <v>74</v>
      </c>
      <c r="E65" s="16"/>
      <c r="F65" s="16" t="s">
        <v>75</v>
      </c>
      <c r="G65" s="16" t="s">
        <v>74</v>
      </c>
      <c r="H65" s="16"/>
      <c r="I65" s="16" t="s">
        <v>76</v>
      </c>
      <c r="J65" s="16" t="s">
        <v>74</v>
      </c>
    </row>
    <row r="66" customFormat="false" ht="15" hidden="false" customHeight="false" outlineLevel="0" collapsed="false">
      <c r="C66" s="32" t="s">
        <v>77</v>
      </c>
      <c r="D66" s="32" t="n">
        <f aca="false">COUNTIFS('Use Cases'!$Y$2:$Y$501,"&gt;0",'Use Cases'!$AD$2:$AD$501,$C66)</f>
        <v>4</v>
      </c>
      <c r="F66" s="32" t="s">
        <v>78</v>
      </c>
      <c r="G66" s="32" t="n">
        <f aca="false">COUNTIFS('Use Cases'!$Y$2:$Y$501,"&gt;0",'Use Cases'!$K$2:$K$501,"*revenue*")</f>
        <v>3</v>
      </c>
      <c r="I66" s="32" t="s">
        <v>79</v>
      </c>
      <c r="J66" s="32" t="n">
        <f aca="false">COUNTIFS('Use Cases'!$Y$2:$Y$501,"&gt;0",'Use Cases'!$J$2:$J$501,"*NPI*")</f>
        <v>7</v>
      </c>
    </row>
    <row r="67" customFormat="false" ht="15" hidden="false" customHeight="false" outlineLevel="0" collapsed="false">
      <c r="C67" s="32" t="s">
        <v>80</v>
      </c>
      <c r="D67" s="32" t="n">
        <f aca="false">COUNTIFS('Use Cases'!$Y$2:$Y$501,"&gt;0",'Use Cases'!$AD$2:$AD$501,$C67)</f>
        <v>4</v>
      </c>
      <c r="F67" s="32" t="s">
        <v>81</v>
      </c>
      <c r="G67" s="32" t="n">
        <f aca="false">COUNTIFS('Use Cases'!$Y$2:$Y$501,"&gt;0",'Use Cases'!$K$2:$K$501,"*cost*")</f>
        <v>10</v>
      </c>
      <c r="I67" s="32" t="s">
        <v>82</v>
      </c>
      <c r="J67" s="32" t="n">
        <f aca="false">COUNTIFS('Use Cases'!$Y$2:$Y$501,"&gt;0",'Use Cases'!$J$2:$J$501,"*Reg report*")</f>
        <v>1</v>
      </c>
    </row>
    <row r="68" customFormat="false" ht="15" hidden="false" customHeight="false" outlineLevel="0" collapsed="false">
      <c r="C68" s="32" t="s">
        <v>83</v>
      </c>
      <c r="D68" s="32" t="n">
        <f aca="false">COUNTIFS('Use Cases'!$Y$2:$Y$501,"&gt;0",'Use Cases'!$AD$2:$AD$501,$C68)</f>
        <v>6</v>
      </c>
      <c r="F68" s="32" t="s">
        <v>84</v>
      </c>
      <c r="G68" s="32" t="n">
        <f aca="false">COUNTIFS('Use Cases'!$Y$2:$Y$501,"&gt;0",'Use Cases'!$K$2:$K$501,"*cycle*")</f>
        <v>6</v>
      </c>
      <c r="I68" s="32" t="s">
        <v>85</v>
      </c>
      <c r="J68" s="32" t="n">
        <f aca="false">COUNTIFS('Use Cases'!$Y$2:$Y$501,"&gt;0",'Use Cases'!$J$2:$J$501,"*No human review*")</f>
        <v>1</v>
      </c>
    </row>
    <row r="69" customFormat="false" ht="15" hidden="false" customHeight="false" outlineLevel="0" collapsed="false">
      <c r="C69" s="32"/>
      <c r="D69" s="32"/>
      <c r="F69" s="32" t="s">
        <v>86</v>
      </c>
      <c r="G69" s="32" t="n">
        <f aca="false">COUNTIFS('Use Cases'!$Y$2:$Y$501,"&gt;0",'Use Cases'!$K$2:$K$501,"*risk*")</f>
        <v>4</v>
      </c>
      <c r="I69" s="32"/>
      <c r="J69" s="32"/>
    </row>
    <row r="70" customFormat="false" ht="15" hidden="false" customHeight="false" outlineLevel="0" collapsed="false">
      <c r="C70" s="32"/>
      <c r="D70" s="32"/>
      <c r="F70" s="32" t="s">
        <v>87</v>
      </c>
      <c r="G70" s="32" t="n">
        <f aca="false">COUNTIFS('Use Cases'!$Y$2:$Y$501,"&gt;0",'Use Cases'!$K$2:$K$501,"*insight*")</f>
        <v>6</v>
      </c>
      <c r="I70" s="32"/>
      <c r="J70" s="32"/>
    </row>
  </sheetData>
  <mergeCells count="7">
    <mergeCell ref="G2:K2"/>
    <mergeCell ref="C5:E5"/>
    <mergeCell ref="G5:I5"/>
    <mergeCell ref="C6:E6"/>
    <mergeCell ref="G6:I6"/>
    <mergeCell ref="C7:E7"/>
    <mergeCell ref="G7:I7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J23:J30"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1">
      <formula>"Overdue"</formula>
    </cfRule>
    <cfRule type="cellIs" priority="5" operator="equal" aboveAverage="0" equalAverage="0" bottom="0" percent="0" rank="0" text="" dxfId="1">
      <formula>"Red"</formula>
    </cfRule>
    <cfRule type="cellIs" priority="6" operator="equal" aboveAverage="0" equalAverage="0" bottom="0" percent="0" rank="0" text="" dxfId="1">
      <formula>"Stale"</formula>
    </cfRule>
    <cfRule type="cellIs" priority="7" operator="equal" aboveAverage="0" equalAverage="0" bottom="0" percent="0" rank="0" text="" dxfId="2">
      <formula>"Warning"</formula>
    </cfRule>
    <cfRule type="cellIs" priority="8" operator="equal" aboveAverage="0" equalAverage="0" bottom="0" percent="0" rank="0" text="" dxfId="2">
      <formula>"At risk"</formula>
    </cfRule>
    <cfRule type="cellIs" priority="9" operator="equal" aboveAverage="0" equalAverage="0" bottom="0" percent="0" rank="0" text="" dxfId="2">
      <formula>"Amber"</formula>
    </cfRule>
    <cfRule type="cellIs" priority="10" operator="equal" aboveAverage="0" equalAverage="0" bottom="0" percent="0" rank="0" text="" dxfId="2">
      <formula>"Aging"</formula>
    </cfRule>
    <cfRule type="cellIs" priority="11" operator="equal" aboveAverage="0" equalAverage="0" bottom="0" percent="0" rank="0" text="" dxfId="2">
      <formula>"Over"</formula>
    </cfRule>
    <cfRule type="cellIs" priority="12" operator="equal" aboveAverage="0" equalAverage="0" bottom="0" percent="0" rank="0" text="" dxfId="2">
      <formula>"Unmapped"</formula>
    </cfRule>
    <cfRule type="cellIs" priority="13" operator="equal" aboveAverage="0" equalAverage="0" bottom="0" percent="0" rank="0" text="" dxfId="2">
      <formula>"Below line"</formula>
    </cfRule>
    <cfRule type="cellIs" priority="14" operator="equal" aboveAverage="0" equalAverage="0" bottom="0" percent="0" rank="0" text="" dxfId="3">
      <formula>"On track"</formula>
    </cfRule>
    <cfRule type="cellIs" priority="15" operator="equal" aboveAverage="0" equalAverage="0" bottom="0" percent="0" rank="0" text="" dxfId="3">
      <formula>"Good"</formula>
    </cfRule>
    <cfRule type="cellIs" priority="16" operator="equal" aboveAverage="0" equalAverage="0" bottom="0" percent="0" rank="0" text="" dxfId="3">
      <formula>"Green"</formula>
    </cfRule>
    <cfRule type="cellIs" priority="17" operator="equal" aboveAverage="0" equalAverage="0" bottom="0" percent="0" rank="0" text="" dxfId="3">
      <formula>"Fresh"</formula>
    </cfRule>
    <cfRule type="cellIs" priority="18" operator="equal" aboveAverage="0" equalAverage="0" bottom="0" percent="0" rank="0" text="" dxfId="3">
      <formula>"Fits"</formula>
    </cfRule>
    <cfRule type="cellIs" priority="19" operator="equal" aboveAverage="0" equalAverage="0" bottom="0" percent="0" rank="0" text="" dxfId="3">
      <formula>"Passed"</formula>
    </cfRule>
    <cfRule type="cellIs" priority="20" operator="equal" aboveAverage="0" equalAverage="0" bottom="0" percent="0" rank="0" text="" dxfId="3">
      <formula>"Inside"</formula>
    </cfRule>
    <cfRule type="cellIs" priority="21" operator="equal" aboveAverage="0" equalAverage="0" bottom="0" percent="0" rank="0" text="" dxfId="4">
      <formula>"Pending"</formula>
    </cfRule>
    <cfRule type="cellIs" priority="22" operator="equal" aboveAverage="0" equalAverage="0" bottom="0" percent="0" rank="0" text="" dxfId="4">
      <formula>"Closed"</formula>
    </cfRule>
    <cfRule type="cellIs" priority="23" operator="equal" aboveAverage="0" equalAverage="0" bottom="0" percent="0" rank="0" text="" dxfId="4">
      <formula>"Committed"</formula>
    </cfRule>
  </conditionalFormatting>
  <conditionalFormatting sqref="G35:G50">
    <cfRule type="cellIs" priority="24" operator="equal" aboveAverage="0" equalAverage="0" bottom="0" percent="0" rank="0" text="" dxfId="1">
      <formula>"Critical"</formula>
    </cfRule>
    <cfRule type="cellIs" priority="25" operator="equal" aboveAverage="0" equalAverage="0" bottom="0" percent="0" rank="0" text="" dxfId="1">
      <formula>"Overdue"</formula>
    </cfRule>
    <cfRule type="cellIs" priority="26" operator="equal" aboveAverage="0" equalAverage="0" bottom="0" percent="0" rank="0" text="" dxfId="1">
      <formula>"Red"</formula>
    </cfRule>
    <cfRule type="cellIs" priority="27" operator="equal" aboveAverage="0" equalAverage="0" bottom="0" percent="0" rank="0" text="" dxfId="1">
      <formula>"Stale"</formula>
    </cfRule>
    <cfRule type="cellIs" priority="28" operator="equal" aboveAverage="0" equalAverage="0" bottom="0" percent="0" rank="0" text="" dxfId="2">
      <formula>"Warning"</formula>
    </cfRule>
    <cfRule type="cellIs" priority="29" operator="equal" aboveAverage="0" equalAverage="0" bottom="0" percent="0" rank="0" text="" dxfId="2">
      <formula>"At risk"</formula>
    </cfRule>
    <cfRule type="cellIs" priority="30" operator="equal" aboveAverage="0" equalAverage="0" bottom="0" percent="0" rank="0" text="" dxfId="2">
      <formula>"Amber"</formula>
    </cfRule>
    <cfRule type="cellIs" priority="31" operator="equal" aboveAverage="0" equalAverage="0" bottom="0" percent="0" rank="0" text="" dxfId="2">
      <formula>"Aging"</formula>
    </cfRule>
    <cfRule type="cellIs" priority="32" operator="equal" aboveAverage="0" equalAverage="0" bottom="0" percent="0" rank="0" text="" dxfId="2">
      <formula>"Over"</formula>
    </cfRule>
    <cfRule type="cellIs" priority="33" operator="equal" aboveAverage="0" equalAverage="0" bottom="0" percent="0" rank="0" text="" dxfId="2">
      <formula>"Unmapped"</formula>
    </cfRule>
    <cfRule type="cellIs" priority="34" operator="equal" aboveAverage="0" equalAverage="0" bottom="0" percent="0" rank="0" text="" dxfId="2">
      <formula>"Below line"</formula>
    </cfRule>
    <cfRule type="cellIs" priority="35" operator="equal" aboveAverage="0" equalAverage="0" bottom="0" percent="0" rank="0" text="" dxfId="3">
      <formula>"On track"</formula>
    </cfRule>
    <cfRule type="cellIs" priority="36" operator="equal" aboveAverage="0" equalAverage="0" bottom="0" percent="0" rank="0" text="" dxfId="3">
      <formula>"Good"</formula>
    </cfRule>
    <cfRule type="cellIs" priority="37" operator="equal" aboveAverage="0" equalAverage="0" bottom="0" percent="0" rank="0" text="" dxfId="3">
      <formula>"Green"</formula>
    </cfRule>
    <cfRule type="cellIs" priority="38" operator="equal" aboveAverage="0" equalAverage="0" bottom="0" percent="0" rank="0" text="" dxfId="3">
      <formula>"Fresh"</formula>
    </cfRule>
    <cfRule type="cellIs" priority="39" operator="equal" aboveAverage="0" equalAverage="0" bottom="0" percent="0" rank="0" text="" dxfId="3">
      <formula>"Fits"</formula>
    </cfRule>
    <cfRule type="cellIs" priority="40" operator="equal" aboveAverage="0" equalAverage="0" bottom="0" percent="0" rank="0" text="" dxfId="3">
      <formula>"Passed"</formula>
    </cfRule>
    <cfRule type="cellIs" priority="41" operator="equal" aboveAverage="0" equalAverage="0" bottom="0" percent="0" rank="0" text="" dxfId="3">
      <formula>"Inside"</formula>
    </cfRule>
    <cfRule type="cellIs" priority="42" operator="equal" aboveAverage="0" equalAverage="0" bottom="0" percent="0" rank="0" text="" dxfId="4">
      <formula>"Pending"</formula>
    </cfRule>
    <cfRule type="cellIs" priority="43" operator="equal" aboveAverage="0" equalAverage="0" bottom="0" percent="0" rank="0" text="" dxfId="4">
      <formula>"Closed"</formula>
    </cfRule>
    <cfRule type="cellIs" priority="44" operator="equal" aboveAverage="0" equalAverage="0" bottom="0" percent="0" rank="0" text="" dxfId="4">
      <formula>"Committed"</formula>
    </cfRule>
  </conditionalFormatting>
  <conditionalFormatting sqref="H35:H50">
    <cfRule type="cellIs" priority="45" operator="equal" aboveAverage="0" equalAverage="0" bottom="0" percent="0" rank="0" text="" dxfId="1">
      <formula>"Critical"</formula>
    </cfRule>
    <cfRule type="cellIs" priority="46" operator="equal" aboveAverage="0" equalAverage="0" bottom="0" percent="0" rank="0" text="" dxfId="1">
      <formula>"Overdue"</formula>
    </cfRule>
    <cfRule type="cellIs" priority="47" operator="equal" aboveAverage="0" equalAverage="0" bottom="0" percent="0" rank="0" text="" dxfId="1">
      <formula>"Red"</formula>
    </cfRule>
    <cfRule type="cellIs" priority="48" operator="equal" aboveAverage="0" equalAverage="0" bottom="0" percent="0" rank="0" text="" dxfId="1">
      <formula>"Stale"</formula>
    </cfRule>
    <cfRule type="cellIs" priority="49" operator="equal" aboveAverage="0" equalAverage="0" bottom="0" percent="0" rank="0" text="" dxfId="2">
      <formula>"Warning"</formula>
    </cfRule>
    <cfRule type="cellIs" priority="50" operator="equal" aboveAverage="0" equalAverage="0" bottom="0" percent="0" rank="0" text="" dxfId="2">
      <formula>"At risk"</formula>
    </cfRule>
    <cfRule type="cellIs" priority="51" operator="equal" aboveAverage="0" equalAverage="0" bottom="0" percent="0" rank="0" text="" dxfId="2">
      <formula>"Amber"</formula>
    </cfRule>
    <cfRule type="cellIs" priority="52" operator="equal" aboveAverage="0" equalAverage="0" bottom="0" percent="0" rank="0" text="" dxfId="2">
      <formula>"Aging"</formula>
    </cfRule>
    <cfRule type="cellIs" priority="53" operator="equal" aboveAverage="0" equalAverage="0" bottom="0" percent="0" rank="0" text="" dxfId="2">
      <formula>"Over"</formula>
    </cfRule>
    <cfRule type="cellIs" priority="54" operator="equal" aboveAverage="0" equalAverage="0" bottom="0" percent="0" rank="0" text="" dxfId="2">
      <formula>"Unmapped"</formula>
    </cfRule>
    <cfRule type="cellIs" priority="55" operator="equal" aboveAverage="0" equalAverage="0" bottom="0" percent="0" rank="0" text="" dxfId="2">
      <formula>"Below line"</formula>
    </cfRule>
    <cfRule type="cellIs" priority="56" operator="equal" aboveAverage="0" equalAverage="0" bottom="0" percent="0" rank="0" text="" dxfId="3">
      <formula>"On track"</formula>
    </cfRule>
    <cfRule type="cellIs" priority="57" operator="equal" aboveAverage="0" equalAverage="0" bottom="0" percent="0" rank="0" text="" dxfId="3">
      <formula>"Good"</formula>
    </cfRule>
    <cfRule type="cellIs" priority="58" operator="equal" aboveAverage="0" equalAverage="0" bottom="0" percent="0" rank="0" text="" dxfId="3">
      <formula>"Green"</formula>
    </cfRule>
    <cfRule type="cellIs" priority="59" operator="equal" aboveAverage="0" equalAverage="0" bottom="0" percent="0" rank="0" text="" dxfId="3">
      <formula>"Fresh"</formula>
    </cfRule>
    <cfRule type="cellIs" priority="60" operator="equal" aboveAverage="0" equalAverage="0" bottom="0" percent="0" rank="0" text="" dxfId="3">
      <formula>"Fits"</formula>
    </cfRule>
    <cfRule type="cellIs" priority="61" operator="equal" aboveAverage="0" equalAverage="0" bottom="0" percent="0" rank="0" text="" dxfId="3">
      <formula>"Passed"</formula>
    </cfRule>
    <cfRule type="cellIs" priority="62" operator="equal" aboveAverage="0" equalAverage="0" bottom="0" percent="0" rank="0" text="" dxfId="3">
      <formula>"Inside"</formula>
    </cfRule>
    <cfRule type="cellIs" priority="63" operator="equal" aboveAverage="0" equalAverage="0" bottom="0" percent="0" rank="0" text="" dxfId="4">
      <formula>"Pending"</formula>
    </cfRule>
    <cfRule type="cellIs" priority="64" operator="equal" aboveAverage="0" equalAverage="0" bottom="0" percent="0" rank="0" text="" dxfId="4">
      <formula>"Closed"</formula>
    </cfRule>
    <cfRule type="cellIs" priority="65" operator="equal" aboveAverage="0" equalAverage="0" bottom="0" percent="0" rank="0" text="" dxfId="4">
      <formula>"Committed"</formula>
    </cfRule>
  </conditionalFormatting>
  <conditionalFormatting sqref="J35:J50">
    <cfRule type="cellIs" priority="66" operator="equal" aboveAverage="0" equalAverage="0" bottom="0" percent="0" rank="0" text="" dxfId="1">
      <formula>"Critical"</formula>
    </cfRule>
    <cfRule type="cellIs" priority="67" operator="equal" aboveAverage="0" equalAverage="0" bottom="0" percent="0" rank="0" text="" dxfId="1">
      <formula>"Overdue"</formula>
    </cfRule>
    <cfRule type="cellIs" priority="68" operator="equal" aboveAverage="0" equalAverage="0" bottom="0" percent="0" rank="0" text="" dxfId="1">
      <formula>"Red"</formula>
    </cfRule>
    <cfRule type="cellIs" priority="69" operator="equal" aboveAverage="0" equalAverage="0" bottom="0" percent="0" rank="0" text="" dxfId="1">
      <formula>"Stale"</formula>
    </cfRule>
    <cfRule type="cellIs" priority="70" operator="equal" aboveAverage="0" equalAverage="0" bottom="0" percent="0" rank="0" text="" dxfId="2">
      <formula>"Warning"</formula>
    </cfRule>
    <cfRule type="cellIs" priority="71" operator="equal" aboveAverage="0" equalAverage="0" bottom="0" percent="0" rank="0" text="" dxfId="2">
      <formula>"At risk"</formula>
    </cfRule>
    <cfRule type="cellIs" priority="72" operator="equal" aboveAverage="0" equalAverage="0" bottom="0" percent="0" rank="0" text="" dxfId="2">
      <formula>"Amber"</formula>
    </cfRule>
    <cfRule type="cellIs" priority="73" operator="equal" aboveAverage="0" equalAverage="0" bottom="0" percent="0" rank="0" text="" dxfId="2">
      <formula>"Aging"</formula>
    </cfRule>
    <cfRule type="cellIs" priority="74" operator="equal" aboveAverage="0" equalAverage="0" bottom="0" percent="0" rank="0" text="" dxfId="2">
      <formula>"Over"</formula>
    </cfRule>
    <cfRule type="cellIs" priority="75" operator="equal" aboveAverage="0" equalAverage="0" bottom="0" percent="0" rank="0" text="" dxfId="2">
      <formula>"Unmapped"</formula>
    </cfRule>
    <cfRule type="cellIs" priority="76" operator="equal" aboveAverage="0" equalAverage="0" bottom="0" percent="0" rank="0" text="" dxfId="2">
      <formula>"Below line"</formula>
    </cfRule>
    <cfRule type="cellIs" priority="77" operator="equal" aboveAverage="0" equalAverage="0" bottom="0" percent="0" rank="0" text="" dxfId="3">
      <formula>"On track"</formula>
    </cfRule>
    <cfRule type="cellIs" priority="78" operator="equal" aboveAverage="0" equalAverage="0" bottom="0" percent="0" rank="0" text="" dxfId="3">
      <formula>"Good"</formula>
    </cfRule>
    <cfRule type="cellIs" priority="79" operator="equal" aboveAverage="0" equalAverage="0" bottom="0" percent="0" rank="0" text="" dxfId="3">
      <formula>"Green"</formula>
    </cfRule>
    <cfRule type="cellIs" priority="80" operator="equal" aboveAverage="0" equalAverage="0" bottom="0" percent="0" rank="0" text="" dxfId="3">
      <formula>"Fresh"</formula>
    </cfRule>
    <cfRule type="cellIs" priority="81" operator="equal" aboveAverage="0" equalAverage="0" bottom="0" percent="0" rank="0" text="" dxfId="3">
      <formula>"Fits"</formula>
    </cfRule>
    <cfRule type="cellIs" priority="82" operator="equal" aboveAverage="0" equalAverage="0" bottom="0" percent="0" rank="0" text="" dxfId="3">
      <formula>"Passed"</formula>
    </cfRule>
    <cfRule type="cellIs" priority="83" operator="equal" aboveAverage="0" equalAverage="0" bottom="0" percent="0" rank="0" text="" dxfId="3">
      <formula>"Inside"</formula>
    </cfRule>
    <cfRule type="cellIs" priority="84" operator="equal" aboveAverage="0" equalAverage="0" bottom="0" percent="0" rank="0" text="" dxfId="4">
      <formula>"Pending"</formula>
    </cfRule>
    <cfRule type="cellIs" priority="85" operator="equal" aboveAverage="0" equalAverage="0" bottom="0" percent="0" rank="0" text="" dxfId="4">
      <formula>"Closed"</formula>
    </cfRule>
    <cfRule type="cellIs" priority="86" operator="equal" aboveAverage="0" equalAverage="0" bottom="0" percent="0" rank="0" text="" dxfId="4">
      <formula>"Committed"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88</v>
      </c>
    </row>
    <row r="2" customFormat="false" ht="15" hidden="false" customHeight="false" outlineLevel="0" collapsed="false">
      <c r="B2" s="2" t="str">
        <f aca="false">"The output of the three sittings  ·  as of "&amp;TEXT(AsOf,"ddd d mmm yyyy")</f>
        <v>The output of the three sittings  ·  as of Fri 2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SAMPLE DATA. Use AI-OS.xlsx for real work.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5" t="str">
        <f aca="false">HYPERLINK("#'Portfolio'!A1","Portfolio")</f>
        <v>Portfolio</v>
      </c>
      <c r="E3" s="4" t="s">
        <v>88</v>
      </c>
      <c r="F3" s="5" t="str">
        <f aca="false">HYPERLINK("#'Gates'!A1","Gates")</f>
        <v>Gates</v>
      </c>
      <c r="G3" s="5" t="str">
        <f aca="false">HYPERLINK("#'Use Case'!A1","Use Case")</f>
        <v>Use Case</v>
      </c>
    </row>
    <row r="4" customFormat="false" ht="15" hidden="false" customHeight="false" outlineLevel="0" collapsed="false">
      <c r="B4" s="34" t="str">
        <f aca="false">"Week of "&amp;TEXT(WeekStart,"d mmm yyyy")&amp;". Every line is computed from the Use Cases and Inventory sheets."</f>
        <v>Week of 28 Sep 2026. Every line is computed from the Use Cases and Inventory sheets.</v>
      </c>
    </row>
    <row r="5" customFormat="false" ht="15" hidden="false" customHeight="true" outlineLevel="0" collapsed="false">
      <c r="C5" s="35" t="s">
        <v>89</v>
      </c>
      <c r="D5" s="35"/>
      <c r="E5" s="35"/>
      <c r="F5" s="36" t="s">
        <v>90</v>
      </c>
      <c r="G5" s="35" t="s">
        <v>91</v>
      </c>
      <c r="H5" s="35"/>
      <c r="I5" s="35"/>
      <c r="J5" s="35" t="s">
        <v>92</v>
      </c>
      <c r="K5" s="35"/>
    </row>
    <row r="6" customFormat="false" ht="25.5" hidden="false" customHeight="true" outlineLevel="0" collapsed="false">
      <c r="C6" s="37" t="str">
        <f aca="false">IF(OR(F6="Red",G6="Red",J6="Red"),"Red",IF(OR(F6="Amber",G6="Amber",J6="Amber"),"Amber","Green"))</f>
        <v>Amber</v>
      </c>
      <c r="D6" s="37"/>
      <c r="E6" s="37"/>
      <c r="F6" s="38" t="str">
        <f aca="false">IF(COUNTIFS('Use Cases'!$AB$2:$AB$501,"Overdue")=0,"Green",IF(COUNTIFS('Use Cases'!$AB$2:$AB$501,"Overdue")&lt;=2,"Amber","Red"))</f>
        <v>Amber</v>
      </c>
      <c r="G6" s="37" t="str">
        <f aca="false">IF(IFERROR(SUMIFS(Value!$C$2:$C$41,Value!$D$2:$D$41,"Y")/SUMIFS(Value!$B$2:$B$41,Value!$D$2:$D$41,"Y"),"")="","Amber",IF(IFERROR(SUMIFS(Value!$C$2:$C$41,Value!$D$2:$D$41,"Y")/SUMIFS(Value!$B$2:$B$41,Value!$D$2:$D$41,"Y"),"")&gt;=0.9,"Green",IF(IFERROR(SUMIFS(Value!$C$2:$C$41,Value!$D$2:$D$41,"Y")/SUMIFS(Value!$B$2:$B$41,Value!$D$2:$D$41,"Y"),"")&gt;=0.75,"Amber","Red")))</f>
        <v>Green</v>
      </c>
      <c r="H6" s="37"/>
      <c r="I6" s="37"/>
      <c r="J6" s="37" t="str">
        <f aca="false">IF(COUNTIFS('Use Cases'!$X$2:$X$501,"Design",'Use Cases'!$AH$2:$AH$501,"Critical")&gt;0,"Amber","Green")</f>
        <v>Amber</v>
      </c>
      <c r="K6" s="37"/>
    </row>
    <row r="7" customFormat="false" ht="15" hidden="false" customHeight="false" outlineLevel="0" collapsed="false">
      <c r="C7" s="39" t="str">
        <f aca="false">"worst of the three"</f>
        <v>worst of the three</v>
      </c>
      <c r="D7" s="39"/>
      <c r="E7" s="39"/>
      <c r="F7" s="40" t="str">
        <f aca="false">COUNTIFS('Use Cases'!$AB$2:$AB$501,"Overdue")&amp;" overdue"</f>
        <v>1 overdue</v>
      </c>
      <c r="G7" s="39" t="str">
        <f aca="false">IF(IFERROR(SUMIFS(Value!$C$2:$C$41,Value!$D$2:$D$41,"Y")/SUMIFS(Value!$B$2:$B$41,Value!$D$2:$D$41,"Y"),"")="","not measured",TEXT(IFERROR(SUMIFS(Value!$C$2:$C$41,Value!$D$2:$D$41,"Y")/SUMIFS(Value!$B$2:$B$41,Value!$D$2:$D$41,"Y"),""),"0%")&amp;" realized")</f>
        <v>92% realized</v>
      </c>
      <c r="H7" s="39"/>
      <c r="I7" s="39"/>
      <c r="J7" s="39" t="str">
        <f aca="false">(COUNTIFS('Use Cases'!$Y$2:$Y$501,"&gt;0")-COUNTIFS('Use Cases'!$Y$2:$Y$501,"&gt;0",'Use Cases'!$J$2:$J$501,""))&amp;" of "&amp;COUNTIFS('Use Cases'!$Y$2:$Y$501,"&gt;0")&amp;" carry a risk flag"</f>
        <v>8 of 14 carry a risk flag</v>
      </c>
      <c r="K7" s="39"/>
    </row>
    <row r="8" customFormat="false" ht="27.75" hidden="false" customHeight="true" outlineLevel="0" collapsed="false">
      <c r="C8" s="41" t="str">
        <f aca="false">""</f>
        <v/>
      </c>
      <c r="D8" s="41"/>
      <c r="E8" s="41"/>
      <c r="F8" s="42" t="str">
        <f aca="false">COUNTIFS('Use Cases'!$AB$2:$AB$501,"At risk")&amp;" more inside their at-risk window."</f>
        <v>2 more inside their at-risk window.</v>
      </c>
      <c r="G8" s="41" t="str">
        <f aca="false">"of projected value across closed quarters: $"&amp;TEXT(SUMIFS(Value!$C$2:$C$41,Value!$D$2:$D$41,"Y")/1000,"0.0")&amp;"M of $"&amp;TEXT(SUMIFS(Value!$B$2:$B$41,Value!$D$2:$D$41,"Y")/1000,"0.0")&amp;"M."</f>
        <v>of projected value across closed quarters: $8.0M of $8.6M.</v>
      </c>
      <c r="H8" s="41"/>
      <c r="I8" s="41"/>
      <c r="J8" s="41" t="str">
        <f aca="false">IF(COUNTIFS('Use Cases'!$X$2:$X$501,"Design",'Use Cases'!$AH$2:$AH$501,"Critical")&gt;0,COUNTIFS('Use Cases'!$X$2:$X$501,"Design",'Use Cases'!$AH$2:$AH$501,"Critical")&amp;" held at the design gate.","Nothing held at the design gate.")</f>
        <v>1 held at the design gate.</v>
      </c>
      <c r="K8" s="41"/>
    </row>
    <row r="10" customFormat="false" ht="16.15" hidden="false" customHeight="false" outlineLevel="0" collapsed="false">
      <c r="B10" s="43" t="s">
        <v>93</v>
      </c>
      <c r="C10" s="44"/>
      <c r="D10" s="44"/>
      <c r="E10" s="44"/>
      <c r="F10" s="45" t="s">
        <v>94</v>
      </c>
      <c r="G10" s="44"/>
      <c r="H10" s="44"/>
      <c r="I10" s="44"/>
      <c r="J10" s="44"/>
      <c r="K10" s="44"/>
    </row>
    <row r="11" customFormat="false" ht="15" hidden="false" customHeight="false" outlineLevel="0" collapsed="false">
      <c r="C11" s="46" t="s">
        <v>95</v>
      </c>
    </row>
    <row r="12" customFormat="false" ht="15" hidden="false" customHeight="false" outlineLevel="0" collapsed="false">
      <c r="C12" s="47" t="str">
        <f aca="false">IFERROR(HYPERLINK("#'Use Cases'!A"&amp;(MATCH(LARGE('Use Cases'!$AU$2:$AU$501,1),'Use Cases'!$AU$2:$AU$501,0)+1),INDEX('Use Cases'!$A$2:$A$501,MATCH(LARGE('Use Cases'!$AU$2:$AU$501,1),'Use Cases'!$AU$2:$AU$501,0))),"")</f>
        <v>AI-009</v>
      </c>
      <c r="D12" s="20" t="str">
        <f aca="false">IF($C12="",IF(COUNT('Use Cases'!$AU$2:$AU$501)=0,"Nothing new at the front door.",""),INDEX('Use Cases'!$B$2:$B$501,MATCH($C12,'Use Cases'!$A$2:$A$501,0))&amp;" · from "&amp;INDEX('Use Cases'!$F$2:$F$501,MATCH($C12,'Use Cases'!$A$2:$A$501,0))&amp;", "&amp;INDEX('Use Cases'!$D$2:$D$501,MATCH($C12,'Use Cases'!$A$2:$A$501,0)))</f>
        <v>Wire fraud anomaly detection · from Payments Risk, Payments</v>
      </c>
      <c r="E12" s="20"/>
      <c r="F12" s="20"/>
      <c r="G12" s="20"/>
      <c r="H12" s="20"/>
      <c r="I12" s="20"/>
      <c r="J12" s="20"/>
      <c r="K12" s="20"/>
    </row>
    <row r="13" customFormat="false" ht="15" hidden="false" customHeight="false" outlineLevel="0" collapsed="false">
      <c r="C13" s="47" t="str">
        <f aca="false">IFERROR(HYPERLINK("#'Use Cases'!A"&amp;(MATCH(LARGE('Use Cases'!$AU$2:$AU$501,2),'Use Cases'!$AU$2:$AU$501,0)+1),INDEX('Use Cases'!$A$2:$A$501,MATCH(LARGE('Use Cases'!$AU$2:$AU$501,2),'Use Cases'!$AU$2:$AU$501,0))),"")</f>
        <v/>
      </c>
      <c r="D13" s="20" t="str">
        <f aca="false">IF($C13="","",INDEX('Use Cases'!$B$2:$B$501,MATCH($C13,'Use Cases'!$A$2:$A$501,0))&amp;" · from "&amp;INDEX('Use Cases'!$F$2:$F$501,MATCH($C13,'Use Cases'!$A$2:$A$501,0))&amp;", "&amp;INDEX('Use Cases'!$D$2:$D$501,MATCH($C13,'Use Cases'!$A$2:$A$501,0)))</f>
        <v/>
      </c>
      <c r="E13" s="20"/>
      <c r="F13" s="20"/>
      <c r="G13" s="20"/>
      <c r="H13" s="20"/>
      <c r="I13" s="20"/>
      <c r="J13" s="20"/>
      <c r="K13" s="20"/>
    </row>
    <row r="14" customFormat="false" ht="15" hidden="false" customHeight="false" outlineLevel="0" collapsed="false">
      <c r="C14" s="47" t="str">
        <f aca="false">IFERROR(HYPERLINK("#'Use Cases'!A"&amp;(MATCH(LARGE('Use Cases'!$AU$2:$AU$501,3),'Use Cases'!$AU$2:$AU$501,0)+1),INDEX('Use Cases'!$A$2:$A$501,MATCH(LARGE('Use Cases'!$AU$2:$AU$501,3),'Use Cases'!$AU$2:$AU$501,0))),"")</f>
        <v/>
      </c>
      <c r="D14" s="20" t="str">
        <f aca="false">IF($C14="","",INDEX('Use Cases'!$B$2:$B$501,MATCH($C14,'Use Cases'!$A$2:$A$501,0))&amp;" · from "&amp;INDEX('Use Cases'!$F$2:$F$501,MATCH($C14,'Use Cases'!$A$2:$A$501,0))&amp;", "&amp;INDEX('Use Cases'!$D$2:$D$501,MATCH($C14,'Use Cases'!$A$2:$A$501,0)))</f>
        <v/>
      </c>
      <c r="E14" s="20"/>
      <c r="F14" s="20"/>
      <c r="G14" s="20"/>
      <c r="H14" s="20"/>
      <c r="I14" s="20"/>
      <c r="J14" s="20"/>
      <c r="K14" s="20"/>
    </row>
    <row r="15" customFormat="false" ht="15" hidden="false" customHeight="false" outlineLevel="0" collapsed="false">
      <c r="C15" s="47" t="str">
        <f aca="false">IFERROR(HYPERLINK("#'Use Cases'!A"&amp;(MATCH(LARGE('Use Cases'!$AU$2:$AU$501,4),'Use Cases'!$AU$2:$AU$501,0)+1),INDEX('Use Cases'!$A$2:$A$501,MATCH(LARGE('Use Cases'!$AU$2:$AU$501,4),'Use Cases'!$AU$2:$AU$501,0))),"")</f>
        <v/>
      </c>
      <c r="D15" s="20" t="str">
        <f aca="false">IF($C15="","",INDEX('Use Cases'!$B$2:$B$501,MATCH($C15,'Use Cases'!$A$2:$A$501,0))&amp;" · from "&amp;INDEX('Use Cases'!$F$2:$F$501,MATCH($C15,'Use Cases'!$A$2:$A$501,0))&amp;", "&amp;INDEX('Use Cases'!$D$2:$D$501,MATCH($C15,'Use Cases'!$A$2:$A$501,0)))</f>
        <v/>
      </c>
      <c r="E15" s="20"/>
      <c r="F15" s="20"/>
      <c r="G15" s="20"/>
      <c r="H15" s="20"/>
      <c r="I15" s="20"/>
      <c r="J15" s="20"/>
      <c r="K15" s="20"/>
    </row>
    <row r="17" customFormat="false" ht="15" hidden="false" customHeight="false" outlineLevel="0" collapsed="false">
      <c r="C17" s="46" t="s">
        <v>96</v>
      </c>
    </row>
    <row r="18" customFormat="false" ht="15" hidden="false" customHeight="false" outlineLevel="0" collapsed="false">
      <c r="C18" s="47" t="str">
        <f aca="false">IFERROR(HYPERLINK("#'Use Cases'!A"&amp;(MATCH(LARGE('Use Cases'!$AV$2:$AV$501,1),'Use Cases'!$AV$2:$AV$501,0)+1),INDEX('Use Cases'!$A$2:$A$501,MATCH(LARGE('Use Cases'!$AV$2:$AV$501,1),'Use Cases'!$AV$2:$AV$501,0))),"")</f>
        <v>AI-013</v>
      </c>
      <c r="D18" s="20" t="str">
        <f aca="false">IF($C18="",IF(COUNT('Use Cases'!$AV$2:$AV$501)=0,"No triage decisions this week.",""),INDEX('Use Cases'!$B$2:$B$501,MATCH($C18,'Use Cases'!$A$2:$A$501,0))&amp;" · "&amp;INDEX('Use Cases'!$AW$2:$AW$501,MATCH($C18,'Use Cases'!$A$2:$A$501,0)))</f>
        <v>ATM cash forecasting · Accepted to Discovery</v>
      </c>
      <c r="E18" s="20"/>
      <c r="F18" s="20"/>
      <c r="G18" s="20"/>
      <c r="H18" s="20"/>
      <c r="I18" s="20"/>
      <c r="J18" s="20"/>
      <c r="K18" s="20"/>
    </row>
    <row r="19" customFormat="false" ht="15" hidden="false" customHeight="false" outlineLevel="0" collapsed="false">
      <c r="C19" s="47" t="str">
        <f aca="false">IFERROR(HYPERLINK("#'Use Cases'!A"&amp;(MATCH(LARGE('Use Cases'!$AV$2:$AV$501,2),'Use Cases'!$AV$2:$AV$501,0)+1),INDEX('Use Cases'!$A$2:$A$501,MATCH(LARGE('Use Cases'!$AV$2:$AV$501,2),'Use Cases'!$AV$2:$AV$501,0))),"")</f>
        <v/>
      </c>
      <c r="D19" s="20" t="str">
        <f aca="false">IF($C19="","",INDEX('Use Cases'!$B$2:$B$501,MATCH($C19,'Use Cases'!$A$2:$A$501,0))&amp;" · "&amp;INDEX('Use Cases'!$AW$2:$AW$501,MATCH($C19,'Use Cases'!$A$2:$A$501,0)))</f>
        <v/>
      </c>
      <c r="E19" s="20"/>
      <c r="F19" s="20"/>
      <c r="G19" s="20"/>
      <c r="H19" s="20"/>
      <c r="I19" s="20"/>
      <c r="J19" s="20"/>
      <c r="K19" s="20"/>
    </row>
    <row r="20" customFormat="false" ht="15" hidden="false" customHeight="false" outlineLevel="0" collapsed="false">
      <c r="C20" s="47" t="str">
        <f aca="false">IFERROR(HYPERLINK("#'Use Cases'!A"&amp;(MATCH(LARGE('Use Cases'!$AV$2:$AV$501,3),'Use Cases'!$AV$2:$AV$501,0)+1),INDEX('Use Cases'!$A$2:$A$501,MATCH(LARGE('Use Cases'!$AV$2:$AV$501,3),'Use Cases'!$AV$2:$AV$501,0))),"")</f>
        <v/>
      </c>
      <c r="D20" s="20" t="str">
        <f aca="false">IF($C20="","",INDEX('Use Cases'!$B$2:$B$501,MATCH($C20,'Use Cases'!$A$2:$A$501,0))&amp;" · "&amp;INDEX('Use Cases'!$AW$2:$AW$501,MATCH($C20,'Use Cases'!$A$2:$A$501,0)))</f>
        <v/>
      </c>
      <c r="E20" s="20"/>
      <c r="F20" s="20"/>
      <c r="G20" s="20"/>
      <c r="H20" s="20"/>
      <c r="I20" s="20"/>
      <c r="J20" s="20"/>
      <c r="K20" s="20"/>
    </row>
    <row r="21" customFormat="false" ht="15" hidden="false" customHeight="false" outlineLevel="0" collapsed="false">
      <c r="C21" s="47" t="str">
        <f aca="false">IFERROR(HYPERLINK("#'Use Cases'!A"&amp;(MATCH(LARGE('Use Cases'!$AV$2:$AV$501,4),'Use Cases'!$AV$2:$AV$501,0)+1),INDEX('Use Cases'!$A$2:$A$501,MATCH(LARGE('Use Cases'!$AV$2:$AV$501,4),'Use Cases'!$AV$2:$AV$501,0))),"")</f>
        <v/>
      </c>
      <c r="D21" s="20" t="str">
        <f aca="false">IF($C21="","",INDEX('Use Cases'!$B$2:$B$501,MATCH($C21,'Use Cases'!$A$2:$A$501,0))&amp;" · "&amp;INDEX('Use Cases'!$AW$2:$AW$501,MATCH($C21,'Use Cases'!$A$2:$A$501,0)))</f>
        <v/>
      </c>
      <c r="E21" s="20"/>
      <c r="F21" s="20"/>
      <c r="G21" s="20"/>
      <c r="H21" s="20"/>
      <c r="I21" s="20"/>
      <c r="J21" s="20"/>
      <c r="K21" s="20"/>
    </row>
    <row r="23" customFormat="false" ht="15" hidden="false" customHeight="false" outlineLevel="0" collapsed="false">
      <c r="C23" s="46" t="s">
        <v>97</v>
      </c>
    </row>
    <row r="24" customFormat="false" ht="15" hidden="false" customHeight="false" outlineLevel="0" collapsed="false">
      <c r="C24" s="47" t="str">
        <f aca="false">IFERROR(HYPERLINK("#'Use Cases'!A"&amp;(MATCH(LARGE('Use Cases'!$AU$2:$AU$501,1),'Use Cases'!$AU$2:$AU$501,0)+1),INDEX('Use Cases'!$A$2:$A$501,MATCH(LARGE('Use Cases'!$AU$2:$AU$501,1),'Use Cases'!$AU$2:$AU$501,0))),"")</f>
        <v>AI-009</v>
      </c>
      <c r="D24" s="20" t="str">
        <f aca="false">IF($C24="",IF(COUNT('Use Cases'!$AU$2:$AU$501)=0,"Nothing to assign.",""),INDEX('Use Cases'!$B$2:$B$501,MATCH($C24,'Use Cases'!$A$2:$A$501,0))&amp;" · "&amp;INDEX('Use Cases'!$AD$2:$AD$501,MATCH($C24,'Use Cases'!$A$2:$A$501,0))&amp;" risk, "&amp;INDEX('Use Cases'!$AE$2:$AE$501,MATCH($C24,'Use Cases'!$A$2:$A$501,0))&amp;" days. Owner "&amp;INDEX('Use Cases'!$E$2:$E$501,MATCH($C24,'Use Cases'!$A$2:$A$501,0))&amp;", sponsor "&amp;INDEX('Use Cases'!$F$2:$F$501,MATCH($C24,'Use Cases'!$A$2:$A$501,0)))</f>
        <v>Wire fraud anomaly detection · High risk, 70 days. Owner Intake team, sponsor Payments Risk</v>
      </c>
      <c r="E24" s="20"/>
      <c r="F24" s="20"/>
      <c r="G24" s="20"/>
      <c r="H24" s="20"/>
      <c r="I24" s="20"/>
      <c r="J24" s="20"/>
      <c r="K24" s="20"/>
    </row>
    <row r="25" customFormat="false" ht="15" hidden="false" customHeight="false" outlineLevel="0" collapsed="false">
      <c r="C25" s="47" t="str">
        <f aca="false">IFERROR(HYPERLINK("#'Use Cases'!A"&amp;(MATCH(LARGE('Use Cases'!$AU$2:$AU$501,2),'Use Cases'!$AU$2:$AU$501,0)+1),INDEX('Use Cases'!$A$2:$A$501,MATCH(LARGE('Use Cases'!$AU$2:$AU$501,2),'Use Cases'!$AU$2:$AU$501,0))),"")</f>
        <v/>
      </c>
      <c r="D25" s="20" t="str">
        <f aca="false">IF($C25="","",INDEX('Use Cases'!$B$2:$B$501,MATCH($C25,'Use Cases'!$A$2:$A$501,0))&amp;" · "&amp;INDEX('Use Cases'!$AD$2:$AD$501,MATCH($C25,'Use Cases'!$A$2:$A$501,0))&amp;" risk, "&amp;INDEX('Use Cases'!$AE$2:$AE$501,MATCH($C25,'Use Cases'!$A$2:$A$501,0))&amp;" days. Owner "&amp;INDEX('Use Cases'!$E$2:$E$501,MATCH($C25,'Use Cases'!$A$2:$A$501,0))&amp;", sponsor "&amp;INDEX('Use Cases'!$F$2:$F$501,MATCH($C25,'Use Cases'!$A$2:$A$501,0)))</f>
        <v/>
      </c>
      <c r="E25" s="20"/>
      <c r="F25" s="20"/>
      <c r="G25" s="20"/>
      <c r="H25" s="20"/>
      <c r="I25" s="20"/>
      <c r="J25" s="20"/>
      <c r="K25" s="20"/>
    </row>
    <row r="26" customFormat="false" ht="15" hidden="false" customHeight="false" outlineLevel="0" collapsed="false">
      <c r="C26" s="47" t="str">
        <f aca="false">IFERROR(HYPERLINK("#'Use Cases'!A"&amp;(MATCH(LARGE('Use Cases'!$AU$2:$AU$501,3),'Use Cases'!$AU$2:$AU$501,0)+1),INDEX('Use Cases'!$A$2:$A$501,MATCH(LARGE('Use Cases'!$AU$2:$AU$501,3),'Use Cases'!$AU$2:$AU$501,0))),"")</f>
        <v/>
      </c>
      <c r="D26" s="20" t="str">
        <f aca="false">IF($C26="","",INDEX('Use Cases'!$B$2:$B$501,MATCH($C26,'Use Cases'!$A$2:$A$501,0))&amp;" · "&amp;INDEX('Use Cases'!$AD$2:$AD$501,MATCH($C26,'Use Cases'!$A$2:$A$501,0))&amp;" risk, "&amp;INDEX('Use Cases'!$AE$2:$AE$501,MATCH($C26,'Use Cases'!$A$2:$A$501,0))&amp;" days. Owner "&amp;INDEX('Use Cases'!$E$2:$E$501,MATCH($C26,'Use Cases'!$A$2:$A$501,0))&amp;", sponsor "&amp;INDEX('Use Cases'!$F$2:$F$501,MATCH($C26,'Use Cases'!$A$2:$A$501,0)))</f>
        <v/>
      </c>
      <c r="E26" s="20"/>
      <c r="F26" s="20"/>
      <c r="G26" s="20"/>
      <c r="H26" s="20"/>
      <c r="I26" s="20"/>
      <c r="J26" s="20"/>
      <c r="K26" s="20"/>
    </row>
    <row r="27" customFormat="false" ht="15" hidden="false" customHeight="false" outlineLevel="0" collapsed="false">
      <c r="C27" s="47" t="str">
        <f aca="false">IFERROR(HYPERLINK("#'Use Cases'!A"&amp;(MATCH(LARGE('Use Cases'!$AU$2:$AU$501,4),'Use Cases'!$AU$2:$AU$501,0)+1),INDEX('Use Cases'!$A$2:$A$501,MATCH(LARGE('Use Cases'!$AU$2:$AU$501,4),'Use Cases'!$AU$2:$AU$501,0))),"")</f>
        <v/>
      </c>
      <c r="D27" s="20" t="str">
        <f aca="false">IF($C27="","",INDEX('Use Cases'!$B$2:$B$501,MATCH($C27,'Use Cases'!$A$2:$A$501,0))&amp;" · "&amp;INDEX('Use Cases'!$AD$2:$AD$501,MATCH($C27,'Use Cases'!$A$2:$A$501,0))&amp;" risk, "&amp;INDEX('Use Cases'!$AE$2:$AE$501,MATCH($C27,'Use Cases'!$A$2:$A$501,0))&amp;" days. Owner "&amp;INDEX('Use Cases'!$E$2:$E$501,MATCH($C27,'Use Cases'!$A$2:$A$501,0))&amp;", sponsor "&amp;INDEX('Use Cases'!$F$2:$F$501,MATCH($C27,'Use Cases'!$A$2:$A$501,0)))</f>
        <v/>
      </c>
      <c r="E27" s="20"/>
      <c r="F27" s="20"/>
      <c r="G27" s="20"/>
      <c r="H27" s="20"/>
      <c r="I27" s="20"/>
      <c r="J27" s="20"/>
      <c r="K27" s="20"/>
    </row>
    <row r="29" customFormat="false" ht="16.15" hidden="false" customHeight="false" outlineLevel="0" collapsed="false">
      <c r="B29" s="43" t="s">
        <v>98</v>
      </c>
      <c r="C29" s="44"/>
      <c r="D29" s="44"/>
      <c r="E29" s="44"/>
      <c r="F29" s="45" t="s">
        <v>99</v>
      </c>
      <c r="G29" s="44"/>
      <c r="H29" s="44"/>
      <c r="I29" s="44"/>
      <c r="J29" s="44"/>
      <c r="K29" s="44"/>
    </row>
    <row r="30" customFormat="false" ht="15" hidden="false" customHeight="false" outlineLevel="0" collapsed="false">
      <c r="C30" s="46" t="s">
        <v>100</v>
      </c>
    </row>
    <row r="31" customFormat="false" ht="15" hidden="false" customHeight="false" outlineLevel="0" collapsed="false">
      <c r="D31" s="48" t="str">
        <f aca="false">"Discovery: "&amp;COUNTIFS('Use Cases'!$X$2:$X$501,"Discovery")&amp;" use case"&amp;IF(COUNTIFS('Use Cases'!$X$2:$X$501,"Discovery")=1,"","s")&amp;IF((COUNTIFS('Use Cases'!$X$2:$X$501,"Discovery",'Use Cases'!$AB$2:$AB$501,"Overdue")+COUNTIFS('Use Cases'!$X$2:$X$501,"Discovery",'Use Cases'!$AB$2:$AB$501,"&lt;&gt;Overdue",'Use Cases'!$AH$2:$AH$501,"Critical"))&gt;0,", "&amp;(COUNTIFS('Use Cases'!$X$2:$X$501,"Discovery",'Use Cases'!$AB$2:$AB$501,"Overdue")+COUNTIFS('Use Cases'!$X$2:$X$501,"Discovery",'Use Cases'!$AB$2:$AB$501,"&lt;&gt;Overdue",'Use Cases'!$AH$2:$AH$501,"Critical"))&amp;" red","")&amp;"."</f>
        <v>Discovery: 3 use cases, 1 red.</v>
      </c>
      <c r="E31" s="48"/>
      <c r="F31" s="48"/>
      <c r="G31" s="48"/>
      <c r="H31" s="48"/>
      <c r="I31" s="48"/>
      <c r="J31" s="48"/>
      <c r="K31" s="48"/>
    </row>
    <row r="32" customFormat="false" ht="15" hidden="false" customHeight="false" outlineLevel="0" collapsed="false">
      <c r="D32" s="48" t="str">
        <f aca="false">"Design: "&amp;COUNTIFS('Use Cases'!$X$2:$X$501,"Design")&amp;" use case"&amp;IF(COUNTIFS('Use Cases'!$X$2:$X$501,"Design")=1,"","s")&amp;IF((COUNTIFS('Use Cases'!$X$2:$X$501,"Design",'Use Cases'!$AB$2:$AB$501,"Overdue")+COUNTIFS('Use Cases'!$X$2:$X$501,"Design",'Use Cases'!$AB$2:$AB$501,"&lt;&gt;Overdue",'Use Cases'!$AH$2:$AH$501,"Critical"))&gt;0,", "&amp;(COUNTIFS('Use Cases'!$X$2:$X$501,"Design",'Use Cases'!$AB$2:$AB$501,"Overdue")+COUNTIFS('Use Cases'!$X$2:$X$501,"Design",'Use Cases'!$AB$2:$AB$501,"&lt;&gt;Overdue",'Use Cases'!$AH$2:$AH$501,"Critical"))&amp;" red","")&amp;"."</f>
        <v>Design: 1 use case, 1 red.</v>
      </c>
      <c r="E32" s="48"/>
      <c r="F32" s="48"/>
      <c r="G32" s="48"/>
      <c r="H32" s="48"/>
      <c r="I32" s="48"/>
      <c r="J32" s="48"/>
      <c r="K32" s="48"/>
    </row>
    <row r="33" customFormat="false" ht="15" hidden="false" customHeight="false" outlineLevel="0" collapsed="false">
      <c r="D33" s="48" t="str">
        <f aca="false">"Delivery: "&amp;COUNTIFS('Use Cases'!$X$2:$X$501,"Delivery")&amp;" use case"&amp;IF(COUNTIFS('Use Cases'!$X$2:$X$501,"Delivery")=1,"","s")&amp;IF((COUNTIFS('Use Cases'!$X$2:$X$501,"Delivery",'Use Cases'!$AB$2:$AB$501,"Overdue")+COUNTIFS('Use Cases'!$X$2:$X$501,"Delivery",'Use Cases'!$AB$2:$AB$501,"&lt;&gt;Overdue",'Use Cases'!$AH$2:$AH$501,"Critical"))&gt;0,", "&amp;(COUNTIFS('Use Cases'!$X$2:$X$501,"Delivery",'Use Cases'!$AB$2:$AB$501,"Overdue")+COUNTIFS('Use Cases'!$X$2:$X$501,"Delivery",'Use Cases'!$AB$2:$AB$501,"&lt;&gt;Overdue",'Use Cases'!$AH$2:$AH$501,"Critical"))&amp;" red","")&amp;"."</f>
        <v>Delivery: 1 use case.</v>
      </c>
      <c r="E33" s="48"/>
      <c r="F33" s="48"/>
      <c r="G33" s="48"/>
      <c r="H33" s="48"/>
      <c r="I33" s="48"/>
      <c r="J33" s="48"/>
      <c r="K33" s="48"/>
    </row>
    <row r="34" customFormat="false" ht="15" hidden="false" customHeight="false" outlineLevel="0" collapsed="false">
      <c r="D34" s="48" t="str">
        <f aca="false">"Scale: "&amp;COUNTIFS('Use Cases'!$X$2:$X$501,"Scale")&amp;" use case"&amp;IF(COUNTIFS('Use Cases'!$X$2:$X$501,"Scale")=1,"","s")&amp;IF((COUNTIFS('Use Cases'!$X$2:$X$501,"Scale",'Use Cases'!$AB$2:$AB$501,"Overdue")+COUNTIFS('Use Cases'!$X$2:$X$501,"Scale",'Use Cases'!$AB$2:$AB$501,"&lt;&gt;Overdue",'Use Cases'!$AH$2:$AH$501,"Critical"))&gt;0,", "&amp;(COUNTIFS('Use Cases'!$X$2:$X$501,"Scale",'Use Cases'!$AB$2:$AB$501,"Overdue")+COUNTIFS('Use Cases'!$X$2:$X$501,"Scale",'Use Cases'!$AB$2:$AB$501,"&lt;&gt;Overdue",'Use Cases'!$AH$2:$AH$501,"Critical"))&amp;" red","")&amp;"."</f>
        <v>Scale: 1 use case.</v>
      </c>
      <c r="E34" s="48"/>
      <c r="F34" s="48"/>
      <c r="G34" s="48"/>
      <c r="H34" s="48"/>
      <c r="I34" s="48"/>
      <c r="J34" s="48"/>
      <c r="K34" s="48"/>
    </row>
    <row r="36" customFormat="false" ht="15" hidden="false" customHeight="false" outlineLevel="0" collapsed="false">
      <c r="C36" s="46" t="s">
        <v>101</v>
      </c>
    </row>
    <row r="37" customFormat="false" ht="15" hidden="false" customHeight="false" outlineLevel="0" collapsed="false">
      <c r="C37" s="47" t="str">
        <f aca="false">IFERROR(HYPERLINK("#'Use Cases'!A"&amp;(MATCH(LARGE('Use Cases'!$AX$2:$AX$501,1),'Use Cases'!$AX$2:$AX$501,0)+1),INDEX('Use Cases'!$A$2:$A$501,MATCH(LARGE('Use Cases'!$AX$2:$AX$501,1),'Use Cases'!$AX$2:$AX$501,0))),"")</f>
        <v>AI-004</v>
      </c>
      <c r="D37" s="20" t="str">
        <f aca="false">IF($C37="",IF(COUNT('Use Cases'!$AX$2:$AX$501)=0,"Nothing is waiting on anyone outside the team.",""),INDEX('Use Cases'!$B$2:$B$501,MATCH($C37,'Use Cases'!$A$2:$A$501,0))&amp;": waiting on "&amp;INDEX('Use Cases'!$R$2:$R$501,MATCH($C37,'Use Cases'!$A$2:$A$501,0))&amp;" ("&amp;INDEX('Use Cases'!$X$2:$X$501,MATCH($C37,'Use Cases'!$A$2:$A$501,0))&amp;")")</f>
        <v>KYC document extraction: waiting on Data access approval for KYC repository (Discovery)</v>
      </c>
      <c r="E37" s="20"/>
      <c r="F37" s="20"/>
      <c r="G37" s="20"/>
      <c r="H37" s="20"/>
      <c r="I37" s="20"/>
      <c r="J37" s="20"/>
      <c r="K37" s="20"/>
    </row>
    <row r="38" customFormat="false" ht="15" hidden="false" customHeight="false" outlineLevel="0" collapsed="false">
      <c r="C38" s="47" t="str">
        <f aca="false">IFERROR(HYPERLINK("#'Use Cases'!A"&amp;(MATCH(LARGE('Use Cases'!$AX$2:$AX$501,2),'Use Cases'!$AX$2:$AX$501,0)+1),INDEX('Use Cases'!$A$2:$A$501,MATCH(LARGE('Use Cases'!$AX$2:$AX$501,2),'Use Cases'!$AX$2:$AX$501,0))),"")</f>
        <v>AI-003</v>
      </c>
      <c r="D38" s="20" t="str">
        <f aca="false">IF($C38="","",INDEX('Use Cases'!$B$2:$B$501,MATCH($C38,'Use Cases'!$A$2:$A$501,0))&amp;": waiting on "&amp;INDEX('Use Cases'!$R$2:$R$501,MATCH($C38,'Use Cases'!$A$2:$A$501,0))&amp;" ("&amp;INDEX('Use Cases'!$X$2:$X$501,MATCH($C38,'Use Cases'!$A$2:$A$501,0))&amp;")")</f>
        <v>Fraud alert prioritization: waiting on MRM model designation (Design)</v>
      </c>
      <c r="E38" s="20"/>
      <c r="F38" s="20"/>
      <c r="G38" s="20"/>
      <c r="H38" s="20"/>
      <c r="I38" s="20"/>
      <c r="J38" s="20"/>
      <c r="K38" s="20"/>
    </row>
    <row r="39" customFormat="false" ht="15" hidden="false" customHeight="false" outlineLevel="0" collapsed="false">
      <c r="C39" s="47" t="str">
        <f aca="false">IFERROR(HYPERLINK("#'Use Cases'!A"&amp;(MATCH(LARGE('Use Cases'!$AX$2:$AX$501,3),'Use Cases'!$AX$2:$AX$501,0)+1),INDEX('Use Cases'!$A$2:$A$501,MATCH(LARGE('Use Cases'!$AX$2:$AX$501,3),'Use Cases'!$AX$2:$AX$501,0))),"")</f>
        <v>AI-010</v>
      </c>
      <c r="D39" s="20" t="str">
        <f aca="false">IF($C39="","",INDEX('Use Cases'!$B$2:$B$501,MATCH($C39,'Use Cases'!$A$2:$A$501,0))&amp;": waiting on "&amp;INDEX('Use Cases'!$R$2:$R$501,MATCH($C39,'Use Cases'!$A$2:$A$501,0))&amp;" ("&amp;INDEX('Use Cases'!$X$2:$X$501,MATCH($C39,'Use Cases'!$A$2:$A$501,0))&amp;")")</f>
        <v>Statement insight summaries: waiting on Named business sponsor (Intake)</v>
      </c>
      <c r="E39" s="20"/>
      <c r="F39" s="20"/>
      <c r="G39" s="20"/>
      <c r="H39" s="20"/>
      <c r="I39" s="20"/>
      <c r="J39" s="20"/>
      <c r="K39" s="20"/>
    </row>
    <row r="40" customFormat="false" ht="15" hidden="false" customHeight="false" outlineLevel="0" collapsed="false">
      <c r="C40" s="47" t="str">
        <f aca="false">IFERROR(HYPERLINK("#'Use Cases'!A"&amp;(MATCH(LARGE('Use Cases'!$AX$2:$AX$501,4),'Use Cases'!$AX$2:$AX$501,0)+1),INDEX('Use Cases'!$A$2:$A$501,MATCH(LARGE('Use Cases'!$AX$2:$AX$501,4),'Use Cases'!$AX$2:$AX$501,0))),"")</f>
        <v>AI-012</v>
      </c>
      <c r="D40" s="20" t="str">
        <f aca="false">IF($C40="","",INDEX('Use Cases'!$B$2:$B$501,MATCH($C40,'Use Cases'!$A$2:$A$501,0))&amp;": waiting on "&amp;INDEX('Use Cases'!$R$2:$R$501,MATCH($C40,'Use Cases'!$A$2:$A$501,0))&amp;" ("&amp;INDEX('Use Cases'!$X$2:$X$501,MATCH($C40,'Use Cases'!$A$2:$A$501,0))&amp;")")</f>
        <v>Teller balancing assistant: waiting on Prep incomplete, deferred one cycle (Triage)</v>
      </c>
      <c r="E40" s="20"/>
      <c r="F40" s="20"/>
      <c r="G40" s="20"/>
      <c r="H40" s="20"/>
      <c r="I40" s="20"/>
      <c r="J40" s="20"/>
      <c r="K40" s="20"/>
    </row>
    <row r="42" customFormat="false" ht="15" hidden="false" customHeight="false" outlineLevel="0" collapsed="false">
      <c r="C42" s="46" t="s">
        <v>102</v>
      </c>
    </row>
    <row r="43" customFormat="false" ht="15" hidden="false" customHeight="false" outlineLevel="0" collapsed="false">
      <c r="C43" s="47" t="str">
        <f aca="false">IFERROR(HYPERLINK("#'Use Cases'!A"&amp;(MATCH(LARGE('Use Cases'!$AY$2:$AY$501,1),'Use Cases'!$AY$2:$AY$501,0)+1),INDEX('Use Cases'!$A$2:$A$501,MATCH(LARGE('Use Cases'!$AY$2:$AY$501,1),'Use Cases'!$AY$2:$AY$501,0))),"")</f>
        <v>AI-004</v>
      </c>
      <c r="D43" s="20" t="str">
        <f aca="false">IF($C43="",IF(COUNT('Use Cases'!$AY$2:$AY$501)=0,"Nothing to escalate.",""),INDEX('Use Cases'!$B$2:$B$501,MATCH($C43,'Use Cases'!$A$2:$A$501,0))&amp;": "&amp;INDEX('Use Cases'!$AQ$2:$AQ$501,MATCH($C43,'Use Cases'!$A$2:$A$501,0)))</f>
        <v>KYC document extraction: Assess data readiness and regulatory impact</v>
      </c>
      <c r="E43" s="20"/>
      <c r="F43" s="20"/>
      <c r="G43" s="20"/>
      <c r="H43" s="20"/>
      <c r="I43" s="20"/>
      <c r="J43" s="20"/>
      <c r="K43" s="20"/>
    </row>
    <row r="44" customFormat="false" ht="15" hidden="false" customHeight="false" outlineLevel="0" collapsed="false">
      <c r="C44" s="47" t="str">
        <f aca="false">IFERROR(HYPERLINK("#'Use Cases'!A"&amp;(MATCH(LARGE('Use Cases'!$AY$2:$AY$501,2),'Use Cases'!$AY$2:$AY$501,0)+1),INDEX('Use Cases'!$A$2:$A$501,MATCH(LARGE('Use Cases'!$AY$2:$AY$501,2),'Use Cases'!$AY$2:$AY$501,0))),"")</f>
        <v>AI-003</v>
      </c>
      <c r="D44" s="20" t="str">
        <f aca="false">IF($C44="","",INDEX('Use Cases'!$B$2:$B$501,MATCH($C44,'Use Cases'!$A$2:$A$501,0))&amp;": "&amp;INDEX('Use Cases'!$AQ$2:$AQ$501,MATCH($C44,'Use Cases'!$A$2:$A$501,0)))</f>
        <v>Fraud alert prioritization: Flagged in Jira</v>
      </c>
      <c r="E44" s="20"/>
      <c r="F44" s="20"/>
      <c r="G44" s="20"/>
      <c r="H44" s="20"/>
      <c r="I44" s="20"/>
      <c r="J44" s="20"/>
      <c r="K44" s="20"/>
    </row>
    <row r="45" customFormat="false" ht="15" hidden="false" customHeight="false" outlineLevel="0" collapsed="false">
      <c r="C45" s="47" t="str">
        <f aca="false">IFERROR(HYPERLINK("#'Use Cases'!A"&amp;(MATCH(LARGE('Use Cases'!$AY$2:$AY$501,3),'Use Cases'!$AY$2:$AY$501,0)+1),INDEX('Use Cases'!$A$2:$A$501,MATCH(LARGE('Use Cases'!$AY$2:$AY$501,3),'Use Cases'!$AY$2:$AY$501,0))),"")</f>
        <v>AI-010</v>
      </c>
      <c r="D45" s="20" t="str">
        <f aca="false">IF($C45="","",INDEX('Use Cases'!$B$2:$B$501,MATCH($C45,'Use Cases'!$A$2:$A$501,0))&amp;": "&amp;INDEX('Use Cases'!$AQ$2:$AQ$501,MATCH($C45,'Use Cases'!$A$2:$A$501,0)))</f>
        <v>Statement insight summaries: Name a sponsor accountable for the value</v>
      </c>
      <c r="E45" s="20"/>
      <c r="F45" s="20"/>
      <c r="G45" s="20"/>
      <c r="H45" s="20"/>
      <c r="I45" s="20"/>
      <c r="J45" s="20"/>
      <c r="K45" s="20"/>
    </row>
    <row r="46" customFormat="false" ht="15" hidden="false" customHeight="false" outlineLevel="0" collapsed="false">
      <c r="C46" s="47" t="str">
        <f aca="false">IFERROR(HYPERLINK("#'Use Cases'!A"&amp;(MATCH(LARGE('Use Cases'!$AY$2:$AY$501,4),'Use Cases'!$AY$2:$AY$501,0)+1),INDEX('Use Cases'!$A$2:$A$501,MATCH(LARGE('Use Cases'!$AY$2:$AY$501,4),'Use Cases'!$AY$2:$AY$501,0))),"")</f>
        <v>AI-012</v>
      </c>
      <c r="D46" s="20" t="str">
        <f aca="false">IF($C46="","",INDEX('Use Cases'!$B$2:$B$501,MATCH($C46,'Use Cases'!$A$2:$A$501,0))&amp;": "&amp;INDEX('Use Cases'!$AQ$2:$AQ$501,MATCH($C46,'Use Cases'!$A$2:$A$501,0)))</f>
        <v>Teller balancing assistant: State the success metric and the stop condition</v>
      </c>
      <c r="E46" s="20"/>
      <c r="F46" s="20"/>
      <c r="G46" s="20"/>
      <c r="H46" s="20"/>
      <c r="I46" s="20"/>
      <c r="J46" s="20"/>
      <c r="K46" s="20"/>
    </row>
    <row r="48" customFormat="false" ht="16.15" hidden="false" customHeight="false" outlineLevel="0" collapsed="false">
      <c r="B48" s="43" t="s">
        <v>103</v>
      </c>
      <c r="C48" s="44"/>
      <c r="D48" s="44"/>
      <c r="E48" s="44"/>
      <c r="F48" s="45" t="s">
        <v>104</v>
      </c>
      <c r="G48" s="44"/>
      <c r="H48" s="44"/>
      <c r="I48" s="44"/>
      <c r="J48" s="44"/>
      <c r="K48" s="44"/>
    </row>
    <row r="49" customFormat="false" ht="15" hidden="false" customHeight="false" outlineLevel="0" collapsed="false">
      <c r="C49" s="46" t="s">
        <v>105</v>
      </c>
    </row>
    <row r="50" customFormat="false" ht="15" hidden="false" customHeight="false" outlineLevel="0" collapsed="false">
      <c r="C50" s="47" t="str">
        <f aca="false">IFERROR(HYPERLINK("#'Inventory'!A"&amp;(MATCH(LARGE(Inventory!$P$2:$P$1001,1),Inventory!$P$2:$P$1001,0)+1),INDEX(Inventory!$A$2:$A$1001,MATCH(LARGE(Inventory!$P$2:$P$1001,1),Inventory!$P$2:$P$1001,0))),"")</f>
        <v>INV-0018</v>
      </c>
      <c r="D50" s="20" t="str">
        <f aca="false">IF($C50="",IF(COUNT(Inventory!$P$2:$P$1001)=0,"Nothing new logged this week.",""),INDEX(Inventory!$E$2:$E$1001,MATCH($C50,Inventory!$A$2:$A$1001,0))&amp;" ("&amp;INDEX(Inventory!$F$2:$F$1001,MATCH($C50,Inventory!$A$2:$A$1001,0))&amp;IF(INDEX(Inventory!$H$2:$H$1001,MATCH($C50,Inventory!$A$2:$A$1001,0))="Unconfirmed",", unconfirmed","")&amp;")")</f>
        <v>Payments Risk submitted wire fraud anomaly detection (AI-009). (Payments Risk)</v>
      </c>
      <c r="E50" s="20"/>
      <c r="F50" s="20"/>
      <c r="G50" s="20"/>
      <c r="H50" s="20"/>
      <c r="I50" s="20"/>
      <c r="J50" s="20"/>
      <c r="K50" s="20"/>
    </row>
    <row r="51" customFormat="false" ht="15" hidden="false" customHeight="false" outlineLevel="0" collapsed="false">
      <c r="C51" s="47" t="str">
        <f aca="false">IFERROR(HYPERLINK("#'Inventory'!A"&amp;(MATCH(LARGE(Inventory!$P$2:$P$1001,2),Inventory!$P$2:$P$1001,0)+1),INDEX(Inventory!$A$2:$A$1001,MATCH(LARGE(Inventory!$P$2:$P$1001,2),Inventory!$P$2:$P$1001,0))),"")</f>
        <v>INV-0015</v>
      </c>
      <c r="D51" s="20" t="str">
        <f aca="false">IF($C51="","",INDEX(Inventory!$E$2:$E$1001,MATCH($C51,Inventory!$A$2:$A$1001,0))&amp;" ("&amp;INDEX(Inventory!$F$2:$F$1001,MATCH($C51,Inventory!$A$2:$A$1001,0))&amp;IF(INDEX(Inventory!$H$2:$H$1001,MATCH($C51,Inventory!$A$2:$A$1001,0))="Unconfirmed",", unconfirmed","")&amp;")")</f>
        <v>Chat deflection pilot hit 31% containment in week 2, above the 25% target. (Digital Channels, unconfirmed)</v>
      </c>
      <c r="E51" s="20"/>
      <c r="F51" s="20"/>
      <c r="G51" s="20"/>
      <c r="H51" s="20"/>
      <c r="I51" s="20"/>
      <c r="J51" s="20"/>
      <c r="K51" s="20"/>
    </row>
    <row r="52" customFormat="false" ht="15" hidden="false" customHeight="false" outlineLevel="0" collapsed="false">
      <c r="C52" s="47" t="str">
        <f aca="false">IFERROR(HYPERLINK("#'Inventory'!A"&amp;(MATCH(LARGE(Inventory!$P$2:$P$1001,3),Inventory!$P$2:$P$1001,0)+1),INDEX(Inventory!$A$2:$A$1001,MATCH(LARGE(Inventory!$P$2:$P$1001,3),Inventory!$P$2:$P$1001,0))),"")</f>
        <v/>
      </c>
      <c r="D52" s="20" t="str">
        <f aca="false">IF($C52="","",INDEX(Inventory!$E$2:$E$1001,MATCH($C52,Inventory!$A$2:$A$1001,0))&amp;" ("&amp;INDEX(Inventory!$F$2:$F$1001,MATCH($C52,Inventory!$A$2:$A$1001,0))&amp;IF(INDEX(Inventory!$H$2:$H$1001,MATCH($C52,Inventory!$A$2:$A$1001,0))="Unconfirmed",", unconfirmed","")&amp;")")</f>
        <v/>
      </c>
      <c r="E52" s="20"/>
      <c r="F52" s="20"/>
      <c r="G52" s="20"/>
      <c r="H52" s="20"/>
      <c r="I52" s="20"/>
      <c r="J52" s="20"/>
      <c r="K52" s="20"/>
    </row>
    <row r="53" customFormat="false" ht="15" hidden="false" customHeight="false" outlineLevel="0" collapsed="false">
      <c r="C53" s="47" t="str">
        <f aca="false">IFERROR(HYPERLINK("#'Inventory'!A"&amp;(MATCH(LARGE(Inventory!$P$2:$P$1001,4),Inventory!$P$2:$P$1001,0)+1),INDEX(Inventory!$A$2:$A$1001,MATCH(LARGE(Inventory!$P$2:$P$1001,4),Inventory!$P$2:$P$1001,0))),"")</f>
        <v/>
      </c>
      <c r="D53" s="20" t="str">
        <f aca="false">IF($C53="","",INDEX(Inventory!$E$2:$E$1001,MATCH($C53,Inventory!$A$2:$A$1001,0))&amp;" ("&amp;INDEX(Inventory!$F$2:$F$1001,MATCH($C53,Inventory!$A$2:$A$1001,0))&amp;IF(INDEX(Inventory!$H$2:$H$1001,MATCH($C53,Inventory!$A$2:$A$1001,0))="Unconfirmed",", unconfirmed","")&amp;")")</f>
        <v/>
      </c>
      <c r="E53" s="20"/>
      <c r="F53" s="20"/>
      <c r="G53" s="20"/>
      <c r="H53" s="20"/>
      <c r="I53" s="20"/>
      <c r="J53" s="20"/>
      <c r="K53" s="20"/>
    </row>
    <row r="55" customFormat="false" ht="15" hidden="false" customHeight="false" outlineLevel="0" collapsed="false">
      <c r="C55" s="46" t="s">
        <v>106</v>
      </c>
    </row>
    <row r="56" customFormat="false" ht="15" hidden="false" customHeight="false" outlineLevel="0" collapsed="false">
      <c r="D56" s="48" t="str">
        <f aca="false">G7&amp;" of projected value. "&amp;COUNTIFS('Use Cases'!$AB$2:$AB$501,"At risk")&amp;" use cases at risk, "&amp;COUNTIFS('Use Cases'!$AB$2:$AB$501,"Overdue")&amp;" overdue."</f>
        <v>92% realized of projected value. 2 use cases at risk, 1 overdue.</v>
      </c>
      <c r="E56" s="48"/>
      <c r="F56" s="48"/>
      <c r="G56" s="48"/>
      <c r="H56" s="48"/>
      <c r="I56" s="48"/>
      <c r="J56" s="48"/>
      <c r="K56" s="48"/>
    </row>
    <row r="57" customFormat="false" ht="15" hidden="false" customHeight="false" outlineLevel="0" collapsed="false">
      <c r="C57" s="47" t="str">
        <f aca="false">IFERROR(HYPERLINK("#'Inventory'!A"&amp;(MATCH(LARGE(Inventory!$Q$2:$Q$1001,1),Inventory!$Q$2:$Q$1001,0)+1),INDEX(Inventory!$A$2:$A$1001,MATCH(LARGE(Inventory!$Q$2:$Q$1001,1),Inventory!$Q$2:$Q$1001,0))),"")</f>
        <v>INV-0017</v>
      </c>
      <c r="D57" s="20" t="str">
        <f aca="false">IF($C57="",IF(COUNT(Inventory!$Q$2:$Q$1001)=0,"Nothing else logged this week.",""),INDEX(Inventory!$E$2:$E$1001,MATCH($C57,Inventory!$A$2:$A$1001,0))&amp;" ("&amp;INDEX(Inventory!$F$2:$F$1001,MATCH($C57,Inventory!$A$2:$A$1001,0))&amp;IF(INDEX(Inventory!$H$2:$H$1001,MATCH($C57,Inventory!$A$2:$A$1001,0))="Unconfirmed",", unconfirmed","")&amp;")")</f>
        <v>Three of the last four intake submissions arrived with no success metric. (Intake team)</v>
      </c>
      <c r="E57" s="20"/>
      <c r="F57" s="20"/>
      <c r="G57" s="20"/>
      <c r="H57" s="20"/>
      <c r="I57" s="20"/>
      <c r="J57" s="20"/>
      <c r="K57" s="20"/>
    </row>
    <row r="58" customFormat="false" ht="15" hidden="false" customHeight="false" outlineLevel="0" collapsed="false">
      <c r="C58" s="47" t="str">
        <f aca="false">IFERROR(HYPERLINK("#'Inventory'!A"&amp;(MATCH(LARGE(Inventory!$Q$2:$Q$1001,2),Inventory!$Q$2:$Q$1001,0)+1),INDEX(Inventory!$A$2:$A$1001,MATCH(LARGE(Inventory!$Q$2:$Q$1001,2),Inventory!$Q$2:$Q$1001,0))),"")</f>
        <v/>
      </c>
      <c r="D58" s="20" t="str">
        <f aca="false">IF($C58="","",INDEX(Inventory!$E$2:$E$1001,MATCH($C58,Inventory!$A$2:$A$1001,0))&amp;" ("&amp;INDEX(Inventory!$F$2:$F$1001,MATCH($C58,Inventory!$A$2:$A$1001,0))&amp;IF(INDEX(Inventory!$H$2:$H$1001,MATCH($C58,Inventory!$A$2:$A$1001,0))="Unconfirmed",", unconfirmed","")&amp;")")</f>
        <v/>
      </c>
      <c r="E58" s="20"/>
      <c r="F58" s="20"/>
      <c r="G58" s="20"/>
      <c r="H58" s="20"/>
      <c r="I58" s="20"/>
      <c r="J58" s="20"/>
      <c r="K58" s="20"/>
    </row>
    <row r="59" customFormat="false" ht="15" hidden="false" customHeight="false" outlineLevel="0" collapsed="false">
      <c r="C59" s="47" t="str">
        <f aca="false">IFERROR(HYPERLINK("#'Inventory'!A"&amp;(MATCH(LARGE(Inventory!$Q$2:$Q$1001,3),Inventory!$Q$2:$Q$1001,0)+1),INDEX(Inventory!$A$2:$A$1001,MATCH(LARGE(Inventory!$Q$2:$Q$1001,3),Inventory!$Q$2:$Q$1001,0))),"")</f>
        <v/>
      </c>
      <c r="D59" s="20" t="str">
        <f aca="false">IF($C59="","",INDEX(Inventory!$E$2:$E$1001,MATCH($C59,Inventory!$A$2:$A$1001,0))&amp;" ("&amp;INDEX(Inventory!$F$2:$F$1001,MATCH($C59,Inventory!$A$2:$A$1001,0))&amp;IF(INDEX(Inventory!$H$2:$H$1001,MATCH($C59,Inventory!$A$2:$A$1001,0))="Unconfirmed",", unconfirmed","")&amp;")")</f>
        <v/>
      </c>
      <c r="E59" s="20"/>
      <c r="F59" s="20"/>
      <c r="G59" s="20"/>
      <c r="H59" s="20"/>
      <c r="I59" s="20"/>
      <c r="J59" s="20"/>
      <c r="K59" s="20"/>
    </row>
    <row r="60" customFormat="false" ht="15" hidden="false" customHeight="false" outlineLevel="0" collapsed="false">
      <c r="C60" s="47" t="str">
        <f aca="false">IFERROR(HYPERLINK("#'Inventory'!A"&amp;(MATCH(LARGE(Inventory!$Q$2:$Q$1001,4),Inventory!$Q$2:$Q$1001,0)+1),INDEX(Inventory!$A$2:$A$1001,MATCH(LARGE(Inventory!$Q$2:$Q$1001,4),Inventory!$Q$2:$Q$1001,0))),"")</f>
        <v/>
      </c>
      <c r="D60" s="20" t="str">
        <f aca="false">IF($C60="","",INDEX(Inventory!$E$2:$E$1001,MATCH($C60,Inventory!$A$2:$A$1001,0))&amp;" ("&amp;INDEX(Inventory!$F$2:$F$1001,MATCH($C60,Inventory!$A$2:$A$1001,0))&amp;IF(INDEX(Inventory!$H$2:$H$1001,MATCH($C60,Inventory!$A$2:$A$1001,0))="Unconfirmed",", unconfirmed","")&amp;")")</f>
        <v/>
      </c>
      <c r="E60" s="20"/>
      <c r="F60" s="20"/>
      <c r="G60" s="20"/>
      <c r="H60" s="20"/>
      <c r="I60" s="20"/>
      <c r="J60" s="20"/>
      <c r="K60" s="20"/>
    </row>
    <row r="62" customFormat="false" ht="15" hidden="false" customHeight="false" outlineLevel="0" collapsed="false">
      <c r="C62" s="46" t="s">
        <v>107</v>
      </c>
    </row>
    <row r="63" customFormat="false" ht="15" hidden="false" customHeight="false" outlineLevel="0" collapsed="false">
      <c r="C63" s="47" t="str">
        <f aca="false">IFERROR(HYPERLINK("#'Inventory'!A"&amp;(MATCH(LARGE(Inventory!$R$2:$R$1001,1),Inventory!$R$2:$R$1001,0)+1),INDEX(Inventory!$A$2:$A$1001,MATCH(LARGE(Inventory!$R$2:$R$1001,1),Inventory!$R$2:$R$1001,0))),"")</f>
        <v>INV-0007</v>
      </c>
      <c r="D63" s="20" t="str">
        <f aca="false">IF($C63="",IF(COUNT(Inventory!$R$2:$R$1001)=0,"No open decisions.",""),INDEX(Inventory!$E$2:$E$1001,MATCH($C63,Inventory!$A$2:$A$1001,0))&amp;" Open "&amp;INDEX(Inventory!$L$2:$L$1001,MATCH($C63,Inventory!$A$2:$A$1001,0))&amp;" days.")</f>
        <v>Find a sponsor for AI-010 or decline it. Open 11 days.</v>
      </c>
      <c r="E63" s="20"/>
      <c r="F63" s="20"/>
      <c r="G63" s="20"/>
      <c r="H63" s="20"/>
      <c r="I63" s="20"/>
      <c r="J63" s="20"/>
      <c r="K63" s="20"/>
    </row>
    <row r="64" customFormat="false" ht="15" hidden="false" customHeight="false" outlineLevel="0" collapsed="false">
      <c r="C64" s="47" t="str">
        <f aca="false">IFERROR(HYPERLINK("#'Inventory'!A"&amp;(MATCH(LARGE(Inventory!$R$2:$R$1001,2),Inventory!$R$2:$R$1001,0)+1),INDEX(Inventory!$A$2:$A$1001,MATCH(LARGE(Inventory!$R$2:$R$1001,2),Inventory!$R$2:$R$1001,0))),"")</f>
        <v>INV-0009</v>
      </c>
      <c r="D64" s="20" t="str">
        <f aca="false">IF($C64="","",INDEX(Inventory!$E$2:$E$1001,MATCH($C64,Inventory!$A$2:$A$1001,0))&amp;" Open "&amp;INDEX(Inventory!$L$2:$L$1001,MATCH($C64,Inventory!$A$2:$A$1001,0))&amp;" days.")</f>
        <v>Chase the MRM model designation for AI-003 or re-plan Design. Open 9 days.</v>
      </c>
      <c r="E64" s="20"/>
      <c r="F64" s="20"/>
      <c r="G64" s="20"/>
      <c r="H64" s="20"/>
      <c r="I64" s="20"/>
      <c r="J64" s="20"/>
      <c r="K64" s="20"/>
    </row>
    <row r="65" customFormat="false" ht="15" hidden="false" customHeight="false" outlineLevel="0" collapsed="false">
      <c r="C65" s="47" t="str">
        <f aca="false">IFERROR(HYPERLINK("#'Inventory'!A"&amp;(MATCH(LARGE(Inventory!$R$2:$R$1001,3),Inventory!$R$2:$R$1001,0)+1),INDEX(Inventory!$A$2:$A$1001,MATCH(LARGE(Inventory!$R$2:$R$1001,3),Inventory!$R$2:$R$1001,0))),"")</f>
        <v>INV-0014</v>
      </c>
      <c r="D65" s="20" t="str">
        <f aca="false">IF($C65="","",INDEX(Inventory!$E$2:$E$1001,MATCH($C65,Inventory!$A$2:$A$1001,0))&amp;" Open "&amp;INDEX(Inventory!$L$2:$L$1001,MATCH($C65,Inventory!$A$2:$A$1001,0))&amp;" days.")</f>
        <v>AI-012 returns to triage a second time: force a decision. Open 4 days.</v>
      </c>
      <c r="E65" s="20"/>
      <c r="F65" s="20"/>
      <c r="G65" s="20"/>
      <c r="H65" s="20"/>
      <c r="I65" s="20"/>
      <c r="J65" s="20"/>
      <c r="K65" s="20"/>
    </row>
    <row r="66" customFormat="false" ht="15" hidden="false" customHeight="false" outlineLevel="0" collapsed="false">
      <c r="C66" s="47" t="str">
        <f aca="false">IFERROR(HYPERLINK("#'Inventory'!A"&amp;(MATCH(LARGE(Inventory!$R$2:$R$1001,4),Inventory!$R$2:$R$1001,0)+1),INDEX(Inventory!$A$2:$A$1001,MATCH(LARGE(Inventory!$R$2:$R$1001,4),Inventory!$R$2:$R$1001,0))),"")</f>
        <v>INV-0016</v>
      </c>
      <c r="D66" s="20" t="str">
        <f aca="false">IF($C66="","",INDEX(Inventory!$E$2:$E$1001,MATCH($C66,Inventory!$A$2:$A$1001,0))&amp;" Open "&amp;INDEX(Inventory!$L$2:$L$1001,MATCH($C66,Inventory!$A$2:$A$1001,0))&amp;" days.")</f>
        <v>Accept the vendor pilot or run a competitive eval first. Open 2 days.</v>
      </c>
      <c r="E66" s="20"/>
      <c r="F66" s="20"/>
      <c r="G66" s="20"/>
      <c r="H66" s="20"/>
      <c r="I66" s="20"/>
      <c r="J66" s="20"/>
      <c r="K66" s="20"/>
    </row>
    <row r="67" customFormat="false" ht="15" hidden="false" customHeight="false" outlineLevel="0" collapsed="false">
      <c r="C67" s="47" t="str">
        <f aca="false">IFERROR(HYPERLINK("#'Inventory'!A"&amp;(MATCH(LARGE(Inventory!$R$2:$R$1001,5),Inventory!$R$2:$R$1001,0)+1),INDEX(Inventory!$A$2:$A$1001,MATCH(LARGE(Inventory!$R$2:$R$1001,5),Inventory!$R$2:$R$1001,0))),"")</f>
        <v/>
      </c>
      <c r="D67" s="20" t="str">
        <f aca="false">IF($C67="","",INDEX(Inventory!$E$2:$E$1001,MATCH($C67,Inventory!$A$2:$A$1001,0))&amp;" Open "&amp;INDEX(Inventory!$L$2:$L$1001,MATCH($C67,Inventory!$A$2:$A$1001,0))&amp;" days.")</f>
        <v/>
      </c>
      <c r="E67" s="20"/>
      <c r="F67" s="20"/>
      <c r="G67" s="20"/>
      <c r="H67" s="20"/>
      <c r="I67" s="20"/>
      <c r="J67" s="20"/>
      <c r="K67" s="20"/>
    </row>
    <row r="68" customFormat="false" ht="15" hidden="false" customHeight="false" outlineLevel="0" collapsed="false">
      <c r="C68" s="47" t="str">
        <f aca="false">IFERROR(HYPERLINK("#'Inventory'!A"&amp;(MATCH(LARGE(Inventory!$R$2:$R$1001,6),Inventory!$R$2:$R$1001,0)+1),INDEX(Inventory!$A$2:$A$1001,MATCH(LARGE(Inventory!$R$2:$R$1001,6),Inventory!$R$2:$R$1001,0))),"")</f>
        <v/>
      </c>
      <c r="D68" s="20" t="str">
        <f aca="false">IF($C68="","",INDEX(Inventory!$E$2:$E$1001,MATCH($C68,Inventory!$A$2:$A$1001,0))&amp;" Open "&amp;INDEX(Inventory!$L$2:$L$1001,MATCH($C68,Inventory!$A$2:$A$1001,0))&amp;" days.")</f>
        <v/>
      </c>
      <c r="E68" s="20"/>
      <c r="F68" s="20"/>
      <c r="G68" s="20"/>
      <c r="H68" s="20"/>
      <c r="I68" s="20"/>
      <c r="J68" s="20"/>
      <c r="K68" s="20"/>
    </row>
    <row r="70" customFormat="false" ht="15" hidden="false" customHeight="false" outlineLevel="0" collapsed="false">
      <c r="C70" s="15" t="s">
        <v>108</v>
      </c>
    </row>
  </sheetData>
  <mergeCells count="52">
    <mergeCell ref="G2:K2"/>
    <mergeCell ref="C5:E5"/>
    <mergeCell ref="G5:I5"/>
    <mergeCell ref="J5:K5"/>
    <mergeCell ref="C6:E6"/>
    <mergeCell ref="G6:I6"/>
    <mergeCell ref="J6:K6"/>
    <mergeCell ref="C7:E7"/>
    <mergeCell ref="G7:I7"/>
    <mergeCell ref="J7:K7"/>
    <mergeCell ref="C8:E8"/>
    <mergeCell ref="G8:I8"/>
    <mergeCell ref="J8:K8"/>
    <mergeCell ref="D12:K12"/>
    <mergeCell ref="D13:K13"/>
    <mergeCell ref="D14:K14"/>
    <mergeCell ref="D15:K15"/>
    <mergeCell ref="D18:K18"/>
    <mergeCell ref="D19:K19"/>
    <mergeCell ref="D20:K20"/>
    <mergeCell ref="D21:K21"/>
    <mergeCell ref="D24:K24"/>
    <mergeCell ref="D25:K25"/>
    <mergeCell ref="D26:K26"/>
    <mergeCell ref="D27:K27"/>
    <mergeCell ref="D31:K31"/>
    <mergeCell ref="D32:K32"/>
    <mergeCell ref="D33:K33"/>
    <mergeCell ref="D34:K34"/>
    <mergeCell ref="D37:K37"/>
    <mergeCell ref="D38:K38"/>
    <mergeCell ref="D39:K39"/>
    <mergeCell ref="D40:K40"/>
    <mergeCell ref="D43:K43"/>
    <mergeCell ref="D44:K44"/>
    <mergeCell ref="D45:K45"/>
    <mergeCell ref="D46:K46"/>
    <mergeCell ref="D50:K50"/>
    <mergeCell ref="D51:K51"/>
    <mergeCell ref="D52:K52"/>
    <mergeCell ref="D53:K53"/>
    <mergeCell ref="D56:K56"/>
    <mergeCell ref="D57:K57"/>
    <mergeCell ref="D58:K58"/>
    <mergeCell ref="D59:K59"/>
    <mergeCell ref="D60:K60"/>
    <mergeCell ref="D63:K63"/>
    <mergeCell ref="D64:K64"/>
    <mergeCell ref="D65:K65"/>
    <mergeCell ref="D66:K66"/>
    <mergeCell ref="D67:K67"/>
    <mergeCell ref="D68:K68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C6">
    <cfRule type="cellIs" priority="3" operator="equal" aboveAverage="0" equalAverage="0" bottom="0" percent="0" rank="0" text="" dxfId="5">
      <formula>"Red"</formula>
    </cfRule>
    <cfRule type="cellIs" priority="4" operator="equal" aboveAverage="0" equalAverage="0" bottom="0" percent="0" rank="0" text="" dxfId="6">
      <formula>"Amber"</formula>
    </cfRule>
    <cfRule type="cellIs" priority="5" operator="equal" aboveAverage="0" equalAverage="0" bottom="0" percent="0" rank="0" text="" dxfId="7">
      <formula>"Green"</formula>
    </cfRule>
  </conditionalFormatting>
  <conditionalFormatting sqref="F6">
    <cfRule type="cellIs" priority="6" operator="equal" aboveAverage="0" equalAverage="0" bottom="0" percent="0" rank="0" text="" dxfId="5">
      <formula>"Red"</formula>
    </cfRule>
    <cfRule type="cellIs" priority="7" operator="equal" aboveAverage="0" equalAverage="0" bottom="0" percent="0" rank="0" text="" dxfId="6">
      <formula>"Amber"</formula>
    </cfRule>
    <cfRule type="cellIs" priority="8" operator="equal" aboveAverage="0" equalAverage="0" bottom="0" percent="0" rank="0" text="" dxfId="7">
      <formula>"Green"</formula>
    </cfRule>
  </conditionalFormatting>
  <conditionalFormatting sqref="G6">
    <cfRule type="cellIs" priority="9" operator="equal" aboveAverage="0" equalAverage="0" bottom="0" percent="0" rank="0" text="" dxfId="5">
      <formula>"Red"</formula>
    </cfRule>
    <cfRule type="cellIs" priority="10" operator="equal" aboveAverage="0" equalAverage="0" bottom="0" percent="0" rank="0" text="" dxfId="6">
      <formula>"Amber"</formula>
    </cfRule>
    <cfRule type="cellIs" priority="11" operator="equal" aboveAverage="0" equalAverage="0" bottom="0" percent="0" rank="0" text="" dxfId="7">
      <formula>"Green"</formula>
    </cfRule>
  </conditionalFormatting>
  <conditionalFormatting sqref="J6">
    <cfRule type="cellIs" priority="12" operator="equal" aboveAverage="0" equalAverage="0" bottom="0" percent="0" rank="0" text="" dxfId="5">
      <formula>"Red"</formula>
    </cfRule>
    <cfRule type="cellIs" priority="13" operator="equal" aboveAverage="0" equalAverage="0" bottom="0" percent="0" rank="0" text="" dxfId="6">
      <formula>"Amber"</formula>
    </cfRule>
    <cfRule type="cellIs" priority="14" operator="equal" aboveAverage="0" equalAverage="0" bottom="0" percent="0" rank="0" text="" dxfId="7">
      <formula>"Green"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109</v>
      </c>
    </row>
    <row r="2" customFormat="false" ht="15" hidden="false" customHeight="false" outlineLevel="0" collapsed="false">
      <c r="B2" s="2" t="str">
        <f aca="false">"The eight stages and what each gate needs  ·  as of "&amp;TEXT(AsOf,"ddd d mmm yyyy")</f>
        <v>The eight stages and what each gate needs  ·  as of Fri 2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SAMPLE DATA. Use AI-OS.xlsx for real work.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5" t="str">
        <f aca="false">HYPERLINK("#'Portfolio'!A1","Portfolio")</f>
        <v>Portfolio</v>
      </c>
      <c r="E3" s="5" t="str">
        <f aca="false">HYPERLINK("#'Weekly Status'!A1","Weekly Status")</f>
        <v>Weekly Status</v>
      </c>
      <c r="F3" s="4" t="s">
        <v>109</v>
      </c>
      <c r="G3" s="5" t="str">
        <f aca="false">HYPERLINK("#'Use Case'!A1","Use Case")</f>
        <v>Use Case</v>
      </c>
    </row>
    <row r="5" customFormat="false" ht="15" hidden="false" customHeight="false" outlineLevel="0" collapsed="false">
      <c r="C5" s="6" t="s">
        <v>110</v>
      </c>
      <c r="D5" s="6"/>
      <c r="E5" s="6"/>
      <c r="F5" s="9" t="s">
        <v>111</v>
      </c>
      <c r="G5" s="6" t="s">
        <v>112</v>
      </c>
      <c r="H5" s="6"/>
      <c r="I5" s="6"/>
      <c r="J5" s="9" t="s">
        <v>113</v>
      </c>
      <c r="K5" s="9" t="s">
        <v>114</v>
      </c>
    </row>
    <row r="6" customFormat="false" ht="30" hidden="false" customHeight="true" outlineLevel="0" collapsed="false">
      <c r="C6" s="10" t="n">
        <f aca="false">COUNTIFS('Use Cases'!$AH$2:$AH$501,"Critical")</f>
        <v>5</v>
      </c>
      <c r="D6" s="10"/>
      <c r="E6" s="10"/>
      <c r="F6" s="11" t="n">
        <f aca="false">COUNTIFS('Use Cases'!$AH$2:$AH$501,"Warning")</f>
        <v>4</v>
      </c>
      <c r="G6" s="10" t="n">
        <f aca="false">COUNTIFS('Use Cases'!$AG$2:$AG$501,"Over")</f>
        <v>3</v>
      </c>
      <c r="H6" s="10"/>
      <c r="I6" s="10"/>
      <c r="J6" s="11" t="n">
        <f aca="false">IFERROR(ROUND(SUMPRODUCT(('Use Cases'!$S$2:$S$501&lt;&gt;"")*('Use Cases'!$G$2:$G$501&lt;&gt;""),'Use Cases'!$S$2:$S$501-'Use Cases'!$G$2:$G$501)/SUMPRODUCT(('Use Cases'!$S$2:$S$501&lt;&gt;"")*('Use Cases'!$G$2:$G$501&lt;&gt;"")),0),"")</f>
        <v>22</v>
      </c>
      <c r="K6" s="11" t="n">
        <f aca="false">COUNTIFS('Use Cases'!$X$2:$X$501,"Closed")</f>
        <v>2</v>
      </c>
    </row>
    <row r="7" customFormat="false" ht="15" hidden="false" customHeight="false" outlineLevel="0" collapsed="false">
      <c r="C7" s="12" t="str">
        <f aca="false">"failing the gate for their current stage"</f>
        <v>failing the gate for their current stage</v>
      </c>
      <c r="D7" s="12"/>
      <c r="E7" s="12"/>
      <c r="F7" s="13" t="str">
        <f aca="false">"work still to do before the gate"</f>
        <v>work still to do before the gate</v>
      </c>
      <c r="G7" s="12" t="str">
        <f aca="false">"of "&amp;COUNTIFS('Use Cases'!$AG$2:$AG$501,"&lt;&gt;Past approval",'Use Cases'!$Y$2:$Y$501,"&gt;0")&amp;" short of approval"</f>
        <v>of 11 short of approval</v>
      </c>
      <c r="H7" s="12"/>
      <c r="I7" s="12"/>
      <c r="J7" s="13" t="str">
        <f aca="false">"average days, all decided use cases"</f>
        <v>average days, all decided use cases</v>
      </c>
      <c r="K7" s="13" t="str">
        <f aca="false">COUNTIFS('Use Cases'!$T$2:$T$501,"Declined")&amp;" declined · "&amp;COUNTIFS('Use Cases'!$T$2:$T$501,"Transferred")&amp;" transferred"</f>
        <v>1 declined · 1 transferred</v>
      </c>
    </row>
    <row r="9" customFormat="false" ht="15" hidden="false" customHeight="false" outlineLevel="0" collapsed="false">
      <c r="B9" s="14" t="s">
        <v>115</v>
      </c>
      <c r="F9" s="15" t="s">
        <v>116</v>
      </c>
      <c r="K9" s="24" t="str">
        <f aca="false">HYPERLINK("#'Portfolio'!A1","Portfolio  ›")</f>
        <v>Portfolio  ›</v>
      </c>
    </row>
    <row r="10" customFormat="false" ht="15" hidden="false" customHeight="false" outlineLevel="0" collapsed="false">
      <c r="C10" s="16" t="s">
        <v>19</v>
      </c>
      <c r="D10" s="16" t="s">
        <v>117</v>
      </c>
      <c r="E10" s="16" t="s">
        <v>118</v>
      </c>
      <c r="F10" s="16" t="s">
        <v>119</v>
      </c>
      <c r="G10" s="16" t="s">
        <v>120</v>
      </c>
      <c r="H10" s="16" t="s">
        <v>121</v>
      </c>
      <c r="I10" s="16" t="s">
        <v>41</v>
      </c>
      <c r="J10" s="16" t="s">
        <v>43</v>
      </c>
      <c r="K10" s="16" t="s">
        <v>64</v>
      </c>
    </row>
    <row r="11" customFormat="false" ht="15" hidden="false" customHeight="false" outlineLevel="0" collapsed="false">
      <c r="C11" s="29" t="str">
        <f aca="false">INDEX(StageName,1)</f>
        <v>Intake</v>
      </c>
      <c r="D11" s="29" t="str">
        <f aca="false">INDEX(StageOwner,1)</f>
        <v>Portfolio Lead</v>
      </c>
      <c r="E11" s="30" t="n">
        <f aca="false">COUNTIFS('Use Cases'!$X$2:$X$501,$C11)</f>
        <v>2</v>
      </c>
      <c r="F11" s="30" t="n">
        <f aca="false">COUNTIFS('Use Cases'!$X$2:$X$501,$C11,'Use Cases'!$AH$2:$AH$501,"Good")</f>
        <v>1</v>
      </c>
      <c r="G11" s="30" t="n">
        <f aca="false">COUNTIFS('Use Cases'!$X$2:$X$501,$C11,'Use Cases'!$AH$2:$AH$501,"Warning")</f>
        <v>0</v>
      </c>
      <c r="H11" s="30" t="n">
        <f aca="false">COUNTIFS('Use Cases'!$X$2:$X$501,$C11,'Use Cases'!$AH$2:$AH$501,"Critical")</f>
        <v>1</v>
      </c>
      <c r="I11" s="30" t="n">
        <f aca="false">COUNTIFS('Use Cases'!$X$2:$X$501,$C11,'Use Cases'!$AB$2:$AB$501,"Overdue")</f>
        <v>0</v>
      </c>
      <c r="J11" s="30" t="n">
        <f aca="false">COUNTIFS('Use Cases'!$X$2:$X$501,$C11,'Use Cases'!$AC$2:$AC$501,"Stale")</f>
        <v>0</v>
      </c>
      <c r="K11" s="29" t="str">
        <f aca="false">INDEX(StageForum,1)</f>
        <v>Weekly Intake</v>
      </c>
    </row>
    <row r="12" customFormat="false" ht="15" hidden="false" customHeight="false" outlineLevel="0" collapsed="false">
      <c r="C12" s="29" t="str">
        <f aca="false">INDEX(StageName,2)</f>
        <v>Triage</v>
      </c>
      <c r="D12" s="29" t="str">
        <f aca="false">INDEX(StageOwner,2)</f>
        <v>PM Owner</v>
      </c>
      <c r="E12" s="30" t="n">
        <f aca="false">COUNTIFS('Use Cases'!$X$2:$X$501,$C12)</f>
        <v>2</v>
      </c>
      <c r="F12" s="30" t="n">
        <f aca="false">COUNTIFS('Use Cases'!$X$2:$X$501,$C12,'Use Cases'!$AH$2:$AH$501,"Good")</f>
        <v>0</v>
      </c>
      <c r="G12" s="30" t="n">
        <f aca="false">COUNTIFS('Use Cases'!$X$2:$X$501,$C12,'Use Cases'!$AH$2:$AH$501,"Warning")</f>
        <v>0</v>
      </c>
      <c r="H12" s="30" t="n">
        <f aca="false">COUNTIFS('Use Cases'!$X$2:$X$501,$C12,'Use Cases'!$AH$2:$AH$501,"Critical")</f>
        <v>2</v>
      </c>
      <c r="I12" s="30" t="n">
        <f aca="false">COUNTIFS('Use Cases'!$X$2:$X$501,$C12,'Use Cases'!$AB$2:$AB$501,"Overdue")</f>
        <v>0</v>
      </c>
      <c r="J12" s="30" t="n">
        <f aca="false">COUNTIFS('Use Cases'!$X$2:$X$501,$C12,'Use Cases'!$AC$2:$AC$501,"Stale")</f>
        <v>0</v>
      </c>
      <c r="K12" s="29" t="str">
        <f aca="false">INDEX(StageForum,2)</f>
        <v>Weekly Intake</v>
      </c>
    </row>
    <row r="13" customFormat="false" ht="15" hidden="false" customHeight="false" outlineLevel="0" collapsed="false">
      <c r="C13" s="29" t="str">
        <f aca="false">INDEX(StageName,3)</f>
        <v>Discovery</v>
      </c>
      <c r="D13" s="29" t="str">
        <f aca="false">INDEX(StageOwner,3)</f>
        <v>PM Owner</v>
      </c>
      <c r="E13" s="30" t="n">
        <f aca="false">COUNTIFS('Use Cases'!$X$2:$X$501,$C13)</f>
        <v>3</v>
      </c>
      <c r="F13" s="30" t="n">
        <f aca="false">COUNTIFS('Use Cases'!$X$2:$X$501,$C13,'Use Cases'!$AH$2:$AH$501,"Good")</f>
        <v>0</v>
      </c>
      <c r="G13" s="30" t="n">
        <f aca="false">COUNTIFS('Use Cases'!$X$2:$X$501,$C13,'Use Cases'!$AH$2:$AH$501,"Warning")</f>
        <v>2</v>
      </c>
      <c r="H13" s="30" t="n">
        <f aca="false">COUNTIFS('Use Cases'!$X$2:$X$501,$C13,'Use Cases'!$AH$2:$AH$501,"Critical")</f>
        <v>1</v>
      </c>
      <c r="I13" s="30" t="n">
        <f aca="false">COUNTIFS('Use Cases'!$X$2:$X$501,$C13,'Use Cases'!$AB$2:$AB$501,"Overdue")</f>
        <v>0</v>
      </c>
      <c r="J13" s="30" t="n">
        <f aca="false">COUNTIFS('Use Cases'!$X$2:$X$501,$C13,'Use Cases'!$AC$2:$AC$501,"Stale")</f>
        <v>0</v>
      </c>
      <c r="K13" s="29" t="str">
        <f aca="false">INDEX(StageForum,3)</f>
        <v>Tactical Standup</v>
      </c>
    </row>
    <row r="14" customFormat="false" ht="15" hidden="false" customHeight="false" outlineLevel="0" collapsed="false">
      <c r="C14" s="29" t="str">
        <f aca="false">INDEX(StageName,4)</f>
        <v>Design</v>
      </c>
      <c r="D14" s="29" t="str">
        <f aca="false">INDEX(StageOwner,4)</f>
        <v>Model Risk &amp; Monitoring</v>
      </c>
      <c r="E14" s="30" t="n">
        <f aca="false">COUNTIFS('Use Cases'!$X$2:$X$501,$C14)</f>
        <v>1</v>
      </c>
      <c r="F14" s="30" t="n">
        <f aca="false">COUNTIFS('Use Cases'!$X$2:$X$501,$C14,'Use Cases'!$AH$2:$AH$501,"Good")</f>
        <v>0</v>
      </c>
      <c r="G14" s="30" t="n">
        <f aca="false">COUNTIFS('Use Cases'!$X$2:$X$501,$C14,'Use Cases'!$AH$2:$AH$501,"Warning")</f>
        <v>0</v>
      </c>
      <c r="H14" s="30" t="n">
        <f aca="false">COUNTIFS('Use Cases'!$X$2:$X$501,$C14,'Use Cases'!$AH$2:$AH$501,"Critical")</f>
        <v>1</v>
      </c>
      <c r="I14" s="30" t="n">
        <f aca="false">COUNTIFS('Use Cases'!$X$2:$X$501,$C14,'Use Cases'!$AB$2:$AB$501,"Overdue")</f>
        <v>1</v>
      </c>
      <c r="J14" s="30" t="n">
        <f aca="false">COUNTIFS('Use Cases'!$X$2:$X$501,$C14,'Use Cases'!$AC$2:$AC$501,"Stale")</f>
        <v>0</v>
      </c>
      <c r="K14" s="29" t="str">
        <f aca="false">INDEX(StageForum,4)</f>
        <v>Portfolio Council</v>
      </c>
    </row>
    <row r="15" customFormat="false" ht="15" hidden="false" customHeight="false" outlineLevel="0" collapsed="false">
      <c r="C15" s="29" t="str">
        <f aca="false">INDEX(StageName,5)</f>
        <v>Approval</v>
      </c>
      <c r="D15" s="29" t="str">
        <f aca="false">INDEX(StageOwner,5)</f>
        <v>Director / Portfolio Council</v>
      </c>
      <c r="E15" s="30" t="n">
        <f aca="false">COUNTIFS('Use Cases'!$X$2:$X$501,$C15)</f>
        <v>3</v>
      </c>
      <c r="F15" s="30" t="n">
        <f aca="false">COUNTIFS('Use Cases'!$X$2:$X$501,$C15,'Use Cases'!$AH$2:$AH$501,"Good")</f>
        <v>3</v>
      </c>
      <c r="G15" s="30" t="n">
        <f aca="false">COUNTIFS('Use Cases'!$X$2:$X$501,$C15,'Use Cases'!$AH$2:$AH$501,"Warning")</f>
        <v>0</v>
      </c>
      <c r="H15" s="30" t="n">
        <f aca="false">COUNTIFS('Use Cases'!$X$2:$X$501,$C15,'Use Cases'!$AH$2:$AH$501,"Critical")</f>
        <v>0</v>
      </c>
      <c r="I15" s="30" t="n">
        <f aca="false">COUNTIFS('Use Cases'!$X$2:$X$501,$C15,'Use Cases'!$AB$2:$AB$501,"Overdue")</f>
        <v>0</v>
      </c>
      <c r="J15" s="30" t="n">
        <f aca="false">COUNTIFS('Use Cases'!$X$2:$X$501,$C15,'Use Cases'!$AC$2:$AC$501,"Stale")</f>
        <v>0</v>
      </c>
      <c r="K15" s="29" t="str">
        <f aca="false">INDEX(StageForum,5)</f>
        <v>Portfolio Council</v>
      </c>
    </row>
    <row r="16" customFormat="false" ht="15" hidden="false" customHeight="false" outlineLevel="0" collapsed="false">
      <c r="C16" s="29" t="str">
        <f aca="false">INDEX(StageName,6)</f>
        <v>Delivery</v>
      </c>
      <c r="D16" s="29" t="str">
        <f aca="false">INDEX(StageOwner,6)</f>
        <v>Tech Lead</v>
      </c>
      <c r="E16" s="30" t="n">
        <f aca="false">COUNTIFS('Use Cases'!$X$2:$X$501,$C16)</f>
        <v>1</v>
      </c>
      <c r="F16" s="30" t="n">
        <f aca="false">COUNTIFS('Use Cases'!$X$2:$X$501,$C16,'Use Cases'!$AH$2:$AH$501,"Good")</f>
        <v>0</v>
      </c>
      <c r="G16" s="30" t="n">
        <f aca="false">COUNTIFS('Use Cases'!$X$2:$X$501,$C16,'Use Cases'!$AH$2:$AH$501,"Warning")</f>
        <v>1</v>
      </c>
      <c r="H16" s="30" t="n">
        <f aca="false">COUNTIFS('Use Cases'!$X$2:$X$501,$C16,'Use Cases'!$AH$2:$AH$501,"Critical")</f>
        <v>0</v>
      </c>
      <c r="I16" s="30" t="n">
        <f aca="false">COUNTIFS('Use Cases'!$X$2:$X$501,$C16,'Use Cases'!$AB$2:$AB$501,"Overdue")</f>
        <v>0</v>
      </c>
      <c r="J16" s="30" t="n">
        <f aca="false">COUNTIFS('Use Cases'!$X$2:$X$501,$C16,'Use Cases'!$AC$2:$AC$501,"Stale")</f>
        <v>0</v>
      </c>
      <c r="K16" s="29" t="str">
        <f aca="false">INDEX(StageForum,6)</f>
        <v>Tactical Standup</v>
      </c>
    </row>
    <row r="17" customFormat="false" ht="15" hidden="false" customHeight="false" outlineLevel="0" collapsed="false">
      <c r="C17" s="29" t="str">
        <f aca="false">INDEX(StageName,7)</f>
        <v>Scale</v>
      </c>
      <c r="D17" s="29" t="str">
        <f aca="false">INDEX(StageOwner,7)</f>
        <v>Model Risk &amp; Monitoring</v>
      </c>
      <c r="E17" s="30" t="n">
        <f aca="false">COUNTIFS('Use Cases'!$X$2:$X$501,$C17)</f>
        <v>1</v>
      </c>
      <c r="F17" s="30" t="n">
        <f aca="false">COUNTIFS('Use Cases'!$X$2:$X$501,$C17,'Use Cases'!$AH$2:$AH$501,"Good")</f>
        <v>0</v>
      </c>
      <c r="G17" s="30" t="n">
        <f aca="false">COUNTIFS('Use Cases'!$X$2:$X$501,$C17,'Use Cases'!$AH$2:$AH$501,"Warning")</f>
        <v>1</v>
      </c>
      <c r="H17" s="30" t="n">
        <f aca="false">COUNTIFS('Use Cases'!$X$2:$X$501,$C17,'Use Cases'!$AH$2:$AH$501,"Critical")</f>
        <v>0</v>
      </c>
      <c r="I17" s="30" t="n">
        <f aca="false">COUNTIFS('Use Cases'!$X$2:$X$501,$C17,'Use Cases'!$AB$2:$AB$501,"Overdue")</f>
        <v>0</v>
      </c>
      <c r="J17" s="30" t="n">
        <f aca="false">COUNTIFS('Use Cases'!$X$2:$X$501,$C17,'Use Cases'!$AC$2:$AC$501,"Stale")</f>
        <v>0</v>
      </c>
      <c r="K17" s="29" t="str">
        <f aca="false">INDEX(StageForum,7)</f>
        <v>Tactical Standup</v>
      </c>
    </row>
    <row r="18" customFormat="false" ht="15" hidden="false" customHeight="false" outlineLevel="0" collapsed="false">
      <c r="C18" s="29" t="str">
        <f aca="false">INDEX(StageName,8)</f>
        <v>Value</v>
      </c>
      <c r="D18" s="29" t="str">
        <f aca="false">INDEX(StageOwner,8)</f>
        <v>Governance &amp; Audit</v>
      </c>
      <c r="E18" s="30" t="n">
        <f aca="false">COUNTIFS('Use Cases'!$X$2:$X$501,$C18)</f>
        <v>1</v>
      </c>
      <c r="F18" s="30" t="n">
        <f aca="false">COUNTIFS('Use Cases'!$X$2:$X$501,$C18,'Use Cases'!$AH$2:$AH$501,"Good")</f>
        <v>1</v>
      </c>
      <c r="G18" s="30" t="n">
        <f aca="false">COUNTIFS('Use Cases'!$X$2:$X$501,$C18,'Use Cases'!$AH$2:$AH$501,"Warning")</f>
        <v>0</v>
      </c>
      <c r="H18" s="30" t="n">
        <f aca="false">COUNTIFS('Use Cases'!$X$2:$X$501,$C18,'Use Cases'!$AH$2:$AH$501,"Critical")</f>
        <v>0</v>
      </c>
      <c r="I18" s="30" t="n">
        <f aca="false">COUNTIFS('Use Cases'!$X$2:$X$501,$C18,'Use Cases'!$AB$2:$AB$501,"Overdue")</f>
        <v>0</v>
      </c>
      <c r="J18" s="30" t="n">
        <f aca="false">COUNTIFS('Use Cases'!$X$2:$X$501,$C18,'Use Cases'!$AC$2:$AC$501,"Stale")</f>
        <v>0</v>
      </c>
      <c r="K18" s="29" t="str">
        <f aca="false">INDEX(StageForum,8)</f>
        <v>Portfolio Council</v>
      </c>
    </row>
    <row r="20" customFormat="false" ht="15" hidden="false" customHeight="false" outlineLevel="0" collapsed="false">
      <c r="B20" s="14" t="s">
        <v>122</v>
      </c>
      <c r="F20" s="15" t="s">
        <v>123</v>
      </c>
    </row>
    <row r="21" customFormat="false" ht="15" hidden="false" customHeight="false" outlineLevel="0" collapsed="false">
      <c r="C21" s="16" t="s">
        <v>63</v>
      </c>
      <c r="D21" s="16" t="s">
        <v>124</v>
      </c>
      <c r="E21" s="16" t="s">
        <v>125</v>
      </c>
      <c r="F21" s="16" t="s">
        <v>126</v>
      </c>
      <c r="G21" s="16" t="s">
        <v>127</v>
      </c>
      <c r="H21" s="16" t="s">
        <v>128</v>
      </c>
    </row>
    <row r="22" customFormat="false" ht="15" hidden="false" customHeight="false" outlineLevel="0" collapsed="false">
      <c r="C22" s="29" t="str">
        <f aca="false">INDEX(TierName,1)</f>
        <v>Low</v>
      </c>
      <c r="D22" s="29" t="str">
        <f aca="false">INDEX(TierDays,1)&amp;" days"</f>
        <v>21 days</v>
      </c>
      <c r="E22" s="30" t="n">
        <f aca="false">COUNTIFS('Use Cases'!$AD$2:$AD$501,$C22,'Use Cases'!$AG$2:$AG$501,"&lt;&gt;Past approval",'Use Cases'!$Y$2:$Y$501,"&gt;0")</f>
        <v>4</v>
      </c>
      <c r="F22" s="30" t="n">
        <f aca="false">COUNTIFS('Use Cases'!$AD$2:$AD$501,$C22,'Use Cases'!$AG$2:$AG$501,"Over")</f>
        <v>1</v>
      </c>
      <c r="G22" s="30" t="str">
        <f aca="false">IFERROR(ROUND(AVERAGEIFS('Use Cases'!$AF$2:$AF$501,'Use Cases'!$AD$2:$AD$501,$C22,'Use Cases'!$AG$2:$AG$501,"&lt;&gt;Past approval",'Use Cases'!$Y$2:$Y$501,"&gt;0"),0)&amp;" days","")</f>
        <v>24 days</v>
      </c>
      <c r="H22" s="30" t="str">
        <f aca="false">IFERROR(ROUND(SUMPRODUCT(('Use Cases'!$AD$2:$AD$501=$C22)*('Use Cases'!$S$2:$S$501&lt;&gt;""),'Use Cases'!$S$2:$S$501-'Use Cases'!$G$2:$G$501)/SUMPRODUCT(('Use Cases'!$AD$2:$AD$501=$C22)*('Use Cases'!$S$2:$S$501&lt;&gt;"")),0)&amp;" days","")</f>
        <v>13 days</v>
      </c>
    </row>
    <row r="23" customFormat="false" ht="15" hidden="false" customHeight="false" outlineLevel="0" collapsed="false">
      <c r="C23" s="29" t="str">
        <f aca="false">INDEX(TierName,2)</f>
        <v>Medium</v>
      </c>
      <c r="D23" s="29" t="str">
        <f aca="false">INDEX(TierDays,2)&amp;" days"</f>
        <v>45 days</v>
      </c>
      <c r="E23" s="30" t="n">
        <f aca="false">COUNTIFS('Use Cases'!$AD$2:$AD$501,$C23,'Use Cases'!$AG$2:$AG$501,"&lt;&gt;Past approval",'Use Cases'!$Y$2:$Y$501,"&gt;0")</f>
        <v>3</v>
      </c>
      <c r="F23" s="30" t="n">
        <f aca="false">COUNTIFS('Use Cases'!$AD$2:$AD$501,$C23,'Use Cases'!$AG$2:$AG$501,"Over")</f>
        <v>1</v>
      </c>
      <c r="G23" s="30" t="str">
        <f aca="false">IFERROR(ROUND(AVERAGEIFS('Use Cases'!$AF$2:$AF$501,'Use Cases'!$AD$2:$AD$501,$C23,'Use Cases'!$AG$2:$AG$501,"&lt;&gt;Past approval",'Use Cases'!$Y$2:$Y$501,"&gt;0"),0)&amp;" days","")</f>
        <v>33 days</v>
      </c>
      <c r="H23" s="30" t="str">
        <f aca="false">IFERROR(ROUND(SUMPRODUCT(('Use Cases'!$AD$2:$AD$501=$C23)*('Use Cases'!$S$2:$S$501&lt;&gt;""),'Use Cases'!$S$2:$S$501-'Use Cases'!$G$2:$G$501)/SUMPRODUCT(('Use Cases'!$AD$2:$AD$501=$C23)*('Use Cases'!$S$2:$S$501&lt;&gt;"")),0)&amp;" days","")</f>
        <v>24 days</v>
      </c>
    </row>
    <row r="24" customFormat="false" ht="15" hidden="false" customHeight="false" outlineLevel="0" collapsed="false">
      <c r="C24" s="29" t="str">
        <f aca="false">INDEX(TierName,3)</f>
        <v>High</v>
      </c>
      <c r="D24" s="29" t="str">
        <f aca="false">INDEX(TierDays,3)&amp;" days"</f>
        <v>70 days</v>
      </c>
      <c r="E24" s="30" t="n">
        <f aca="false">COUNTIFS('Use Cases'!$AD$2:$AD$501,$C24,'Use Cases'!$AG$2:$AG$501,"&lt;&gt;Past approval",'Use Cases'!$Y$2:$Y$501,"&gt;0")</f>
        <v>4</v>
      </c>
      <c r="F24" s="30" t="n">
        <f aca="false">COUNTIFS('Use Cases'!$AD$2:$AD$501,$C24,'Use Cases'!$AG$2:$AG$501,"Over")</f>
        <v>1</v>
      </c>
      <c r="G24" s="30" t="str">
        <f aca="false">IFERROR(ROUND(AVERAGEIFS('Use Cases'!$AF$2:$AF$501,'Use Cases'!$AD$2:$AD$501,$C24,'Use Cases'!$AG$2:$AG$501,"&lt;&gt;Past approval",'Use Cases'!$Y$2:$Y$501,"&gt;0"),0)&amp;" days","")</f>
        <v>49 days</v>
      </c>
      <c r="H24" s="30" t="str">
        <f aca="false">IFERROR(ROUND(SUMPRODUCT(('Use Cases'!$AD$2:$AD$501=$C24)*('Use Cases'!$S$2:$S$501&lt;&gt;""),'Use Cases'!$S$2:$S$501-'Use Cases'!$G$2:$G$501)/SUMPRODUCT(('Use Cases'!$AD$2:$AD$501=$C24)*('Use Cases'!$S$2:$S$501&lt;&gt;"")),0)&amp;" days","")</f>
        <v>27 days</v>
      </c>
    </row>
    <row r="26" customFormat="false" ht="15" hidden="false" customHeight="false" outlineLevel="0" collapsed="false">
      <c r="B26" s="14" t="s">
        <v>129</v>
      </c>
      <c r="F26" s="15" t="s">
        <v>130</v>
      </c>
    </row>
    <row r="27" customFormat="false" ht="15" hidden="false" customHeight="false" outlineLevel="0" collapsed="false">
      <c r="B27" s="16" t="s">
        <v>6</v>
      </c>
      <c r="C27" s="16" t="s">
        <v>18</v>
      </c>
      <c r="D27" s="16" t="s">
        <v>19</v>
      </c>
      <c r="E27" s="16" t="s">
        <v>20</v>
      </c>
      <c r="F27" s="16" t="s">
        <v>13</v>
      </c>
      <c r="G27" s="16" t="s">
        <v>63</v>
      </c>
      <c r="H27" s="16" t="s">
        <v>23</v>
      </c>
      <c r="I27" s="16" t="s">
        <v>117</v>
      </c>
      <c r="J27" s="16" t="s">
        <v>131</v>
      </c>
      <c r="K27" s="16" t="s">
        <v>15</v>
      </c>
    </row>
    <row r="28" customFormat="false" ht="15" hidden="false" customHeight="false" outlineLevel="0" collapsed="false">
      <c r="B28" s="17" t="n">
        <v>1</v>
      </c>
      <c r="C28" s="18" t="str">
        <f aca="false">IFERROR(HYPERLINK("#'Use Cases'!A"&amp;(MATCH(LARGE('Use Cases'!$AZ$2:$AZ$501,1),'Use Cases'!$AZ$2:$AZ$501,0)+1),INDEX('Use Cases'!$A$2:$A$501,MATCH(LARGE('Use Cases'!$AZ$2:$AZ$501,1),'Use Cases'!$AZ$2:$AZ$501,0))),"")</f>
        <v>AI-004</v>
      </c>
      <c r="D28" s="19" t="str">
        <f aca="false">IF($C28="","",INDEX('Use Cases'!$X$2:$X$501,MATCH($C28,'Use Cases'!$A$2:$A$501,0))&amp;"")</f>
        <v>Discovery</v>
      </c>
      <c r="E28" s="19" t="str">
        <f aca="false">IF($C28="","",INDEX('Use Cases'!$E$2:$E$501,MATCH($C28,'Use Cases'!$A$2:$A$501,0))&amp;"")</f>
        <v>R. Patel</v>
      </c>
      <c r="F28" s="20" t="str">
        <f aca="false">IF(COUNT('Use Cases'!$AZ$2:$AZ$501)=0,"No gate exceptions.",IF($C28="","",INDEX('Use Cases'!$B$2:$B$501,MATCH($C28,'Use Cases'!$A$2:$A$501,0))&amp;""))</f>
        <v>KYC document extraction</v>
      </c>
      <c r="G28" s="19" t="str">
        <f aca="false">IF($C28="","",INDEX('Use Cases'!$AD$2:$AD$501,MATCH($C28,'Use Cases'!$A$2:$A$501,0))&amp;"")</f>
        <v>High</v>
      </c>
      <c r="H28" s="19" t="str">
        <f aca="false">IF($C28="","",INDEX('Use Cases'!$AH$2:$AH$501,MATCH($C28,'Use Cases'!$A$2:$A$501,0))&amp;"")</f>
        <v>Critical</v>
      </c>
      <c r="I28" s="19" t="str">
        <f aca="false">IF($C28="","",IFERROR(INDEX(StageOwner,MATCH($D28,StageName,0)),""))</f>
        <v>PM Owner</v>
      </c>
      <c r="J28" s="20" t="str">
        <f aca="false">IF($C28="","",INDEX('Use Cases'!$AI$2:$AI$501,MATCH($C28,'Use Cases'!$A$2:$A$501,0))&amp;"")</f>
        <v>Assess data readiness and regulatory impact</v>
      </c>
      <c r="K28" s="22" t="str">
        <f aca="false">IF($C28="","",INDEX('Use Cases'!$AR$2:$AR$501,MATCH($C28,'Use Cases'!$A$2:$A$501,0))&amp;"")</f>
        <v>draft Jira update for AI-004</v>
      </c>
    </row>
    <row r="29" customFormat="false" ht="15" hidden="false" customHeight="false" outlineLevel="0" collapsed="false">
      <c r="B29" s="17" t="n">
        <v>2</v>
      </c>
      <c r="C29" s="18" t="str">
        <f aca="false">IFERROR(HYPERLINK("#'Use Cases'!A"&amp;(MATCH(LARGE('Use Cases'!$AZ$2:$AZ$501,2),'Use Cases'!$AZ$2:$AZ$501,0)+1),INDEX('Use Cases'!$A$2:$A$501,MATCH(LARGE('Use Cases'!$AZ$2:$AZ$501,2),'Use Cases'!$AZ$2:$AZ$501,0))),"")</f>
        <v>AI-003</v>
      </c>
      <c r="D29" s="19" t="str">
        <f aca="false">IF($C29="","",INDEX('Use Cases'!$X$2:$X$501,MATCH($C29,'Use Cases'!$A$2:$A$501,0))&amp;"")</f>
        <v>Design</v>
      </c>
      <c r="E29" s="19" t="str">
        <f aca="false">IF($C29="","",INDEX('Use Cases'!$E$2:$E$501,MATCH($C29,'Use Cases'!$A$2:$A$501,0))&amp;"")</f>
        <v>S. Okafor</v>
      </c>
      <c r="F29" s="20" t="str">
        <f aca="false">IF($C29="","",INDEX('Use Cases'!$B$2:$B$501,MATCH($C29,'Use Cases'!$A$2:$A$501,0))&amp;"")</f>
        <v>Fraud alert prioritization</v>
      </c>
      <c r="G29" s="19" t="str">
        <f aca="false">IF($C29="","",INDEX('Use Cases'!$AD$2:$AD$501,MATCH($C29,'Use Cases'!$A$2:$A$501,0))&amp;"")</f>
        <v>High</v>
      </c>
      <c r="H29" s="19" t="str">
        <f aca="false">IF($C29="","",INDEX('Use Cases'!$AH$2:$AH$501,MATCH($C29,'Use Cases'!$A$2:$A$501,0))&amp;"")</f>
        <v>Critical</v>
      </c>
      <c r="I29" s="19" t="str">
        <f aca="false">IF($C29="","",IFERROR(INDEX(StageOwner,MATCH($D29,StageName,0)),""))</f>
        <v>Model Risk &amp; Monitoring</v>
      </c>
      <c r="J29" s="20" t="str">
        <f aca="false">IF($C29="","",INDEX('Use Cases'!$AI$2:$AI$501,MATCH($C29,'Use Cases'!$A$2:$A$501,0))&amp;"")</f>
        <v>Awaiting MRM model designation</v>
      </c>
      <c r="K29" s="22" t="str">
        <f aca="false">IF($C29="","",INDEX('Use Cases'!$AR$2:$AR$501,MATCH($C29,'Use Cases'!$A$2:$A$501,0))&amp;"")</f>
        <v>draft Jira update for AI-003</v>
      </c>
    </row>
    <row r="30" customFormat="false" ht="15" hidden="false" customHeight="false" outlineLevel="0" collapsed="false">
      <c r="B30" s="17" t="n">
        <v>3</v>
      </c>
      <c r="C30" s="18" t="str">
        <f aca="false">IFERROR(HYPERLINK("#'Use Cases'!A"&amp;(MATCH(LARGE('Use Cases'!$AZ$2:$AZ$501,3),'Use Cases'!$AZ$2:$AZ$501,0)+1),INDEX('Use Cases'!$A$2:$A$501,MATCH(LARGE('Use Cases'!$AZ$2:$AZ$501,3),'Use Cases'!$AZ$2:$AZ$501,0))),"")</f>
        <v>AI-010</v>
      </c>
      <c r="D30" s="19" t="str">
        <f aca="false">IF($C30="","",INDEX('Use Cases'!$X$2:$X$501,MATCH($C30,'Use Cases'!$A$2:$A$501,0))&amp;"")</f>
        <v>Intake</v>
      </c>
      <c r="E30" s="19" t="str">
        <f aca="false">IF($C30="","",INDEX('Use Cases'!$E$2:$E$501,MATCH($C30,'Use Cases'!$A$2:$A$501,0))&amp;"")</f>
        <v>Intake team</v>
      </c>
      <c r="F30" s="20" t="str">
        <f aca="false">IF($C30="","",INDEX('Use Cases'!$B$2:$B$501,MATCH($C30,'Use Cases'!$A$2:$A$501,0))&amp;"")</f>
        <v>Statement insight summaries</v>
      </c>
      <c r="G30" s="19" t="str">
        <f aca="false">IF($C30="","",INDEX('Use Cases'!$AD$2:$AD$501,MATCH($C30,'Use Cases'!$A$2:$A$501,0))&amp;"")</f>
        <v>Low</v>
      </c>
      <c r="H30" s="19" t="str">
        <f aca="false">IF($C30="","",INDEX('Use Cases'!$AH$2:$AH$501,MATCH($C30,'Use Cases'!$A$2:$A$501,0))&amp;"")</f>
        <v>Critical</v>
      </c>
      <c r="I30" s="19" t="str">
        <f aca="false">IF($C30="","",IFERROR(INDEX(StageOwner,MATCH($D30,StageName,0)),""))</f>
        <v>Portfolio Lead</v>
      </c>
      <c r="J30" s="20" t="str">
        <f aca="false">IF($C30="","",INDEX('Use Cases'!$AI$2:$AI$501,MATCH($C30,'Use Cases'!$A$2:$A$501,0))&amp;"")</f>
        <v>Name a sponsor accountable for the value</v>
      </c>
      <c r="K30" s="22" t="str">
        <f aca="false">IF($C30="","",INDEX('Use Cases'!$AR$2:$AR$501,MATCH($C30,'Use Cases'!$A$2:$A$501,0))&amp;"")</f>
        <v>draft Jira update for AI-010</v>
      </c>
    </row>
    <row r="31" customFormat="false" ht="23.85" hidden="false" customHeight="false" outlineLevel="0" collapsed="false">
      <c r="B31" s="17" t="n">
        <v>4</v>
      </c>
      <c r="C31" s="18" t="str">
        <f aca="false">IFERROR(HYPERLINK("#'Use Cases'!A"&amp;(MATCH(LARGE('Use Cases'!$AZ$2:$AZ$501,4),'Use Cases'!$AZ$2:$AZ$501,0)+1),INDEX('Use Cases'!$A$2:$A$501,MATCH(LARGE('Use Cases'!$AZ$2:$AZ$501,4),'Use Cases'!$AZ$2:$AZ$501,0))),"")</f>
        <v>AI-012</v>
      </c>
      <c r="D31" s="19" t="str">
        <f aca="false">IF($C31="","",INDEX('Use Cases'!$X$2:$X$501,MATCH($C31,'Use Cases'!$A$2:$A$501,0))&amp;"")</f>
        <v>Triage</v>
      </c>
      <c r="E31" s="19" t="str">
        <f aca="false">IF($C31="","",INDEX('Use Cases'!$E$2:$E$501,MATCH($C31,'Use Cases'!$A$2:$A$501,0))&amp;"")</f>
        <v>Intake team</v>
      </c>
      <c r="F31" s="20" t="str">
        <f aca="false">IF($C31="","",INDEX('Use Cases'!$B$2:$B$501,MATCH($C31,'Use Cases'!$A$2:$A$501,0))&amp;"")</f>
        <v>Teller balancing assistant</v>
      </c>
      <c r="G31" s="19" t="str">
        <f aca="false">IF($C31="","",INDEX('Use Cases'!$AD$2:$AD$501,MATCH($C31,'Use Cases'!$A$2:$A$501,0))&amp;"")</f>
        <v>Low</v>
      </c>
      <c r="H31" s="19" t="str">
        <f aca="false">IF($C31="","",INDEX('Use Cases'!$AH$2:$AH$501,MATCH($C31,'Use Cases'!$A$2:$A$501,0))&amp;"")</f>
        <v>Critical</v>
      </c>
      <c r="I31" s="19" t="str">
        <f aca="false">IF($C31="","",IFERROR(INDEX(StageOwner,MATCH($D31,StageName,0)),""))</f>
        <v>PM Owner</v>
      </c>
      <c r="J31" s="20" t="str">
        <f aca="false">IF($C31="","",INDEX('Use Cases'!$AI$2:$AI$501,MATCH($C31,'Use Cases'!$A$2:$A$501,0))&amp;"")</f>
        <v>State the success metric and the stop condition</v>
      </c>
      <c r="K31" s="22" t="str">
        <f aca="false">IF($C31="","",INDEX('Use Cases'!$AR$2:$AR$501,MATCH($C31,'Use Cases'!$A$2:$A$501,0))&amp;"")</f>
        <v>draft Jira update for AI-012</v>
      </c>
    </row>
    <row r="32" customFormat="false" ht="23.85" hidden="false" customHeight="false" outlineLevel="0" collapsed="false">
      <c r="B32" s="17" t="n">
        <v>5</v>
      </c>
      <c r="C32" s="18" t="str">
        <f aca="false">IFERROR(HYPERLINK("#'Use Cases'!A"&amp;(MATCH(LARGE('Use Cases'!$AZ$2:$AZ$501,5),'Use Cases'!$AZ$2:$AZ$501,0)+1),INDEX('Use Cases'!$A$2:$A$501,MATCH(LARGE('Use Cases'!$AZ$2:$AZ$501,5),'Use Cases'!$AZ$2:$AZ$501,0))),"")</f>
        <v>AI-007</v>
      </c>
      <c r="D32" s="19" t="str">
        <f aca="false">IF($C32="","",INDEX('Use Cases'!$X$2:$X$501,MATCH($C32,'Use Cases'!$A$2:$A$501,0))&amp;"")</f>
        <v>Triage</v>
      </c>
      <c r="E32" s="19" t="str">
        <f aca="false">IF($C32="","",INDEX('Use Cases'!$E$2:$E$501,MATCH($C32,'Use Cases'!$A$2:$A$501,0))&amp;"")</f>
        <v>Intake team</v>
      </c>
      <c r="F32" s="20" t="str">
        <f aca="false">IF($C32="","",INDEX('Use Cases'!$B$2:$B$501,MATCH($C32,'Use Cases'!$A$2:$A$501,0))&amp;"")</f>
        <v>Marketing copy assistant</v>
      </c>
      <c r="G32" s="19" t="str">
        <f aca="false">IF($C32="","",INDEX('Use Cases'!$AD$2:$AD$501,MATCH($C32,'Use Cases'!$A$2:$A$501,0))&amp;"")</f>
        <v>Medium</v>
      </c>
      <c r="H32" s="19" t="str">
        <f aca="false">IF($C32="","",INDEX('Use Cases'!$AH$2:$AH$501,MATCH($C32,'Use Cases'!$A$2:$A$501,0))&amp;"")</f>
        <v>Critical</v>
      </c>
      <c r="I32" s="19" t="str">
        <f aca="false">IF($C32="","",IFERROR(INDEX(StageOwner,MATCH($D32,StageName,0)),""))</f>
        <v>PM Owner</v>
      </c>
      <c r="J32" s="20" t="str">
        <f aca="false">IF($C32="","",INDEX('Use Cases'!$AI$2:$AI$501,MATCH($C32,'Use Cases'!$A$2:$A$501,0))&amp;"")</f>
        <v>State the success metric and the stop condition</v>
      </c>
      <c r="K32" s="22" t="str">
        <f aca="false">IF($C32="","",INDEX('Use Cases'!$AR$2:$AR$501,MATCH($C32,'Use Cases'!$A$2:$A$501,0))&amp;"")</f>
        <v>draft Jira update for AI-007</v>
      </c>
    </row>
    <row r="33" customFormat="false" ht="15" hidden="false" customHeight="false" outlineLevel="0" collapsed="false">
      <c r="B33" s="17" t="n">
        <v>6</v>
      </c>
      <c r="C33" s="18" t="str">
        <f aca="false">IFERROR(HYPERLINK("#'Use Cases'!A"&amp;(MATCH(LARGE('Use Cases'!$AZ$2:$AZ$501,6),'Use Cases'!$AZ$2:$AZ$501,0)+1),INDEX('Use Cases'!$A$2:$A$501,MATCH(LARGE('Use Cases'!$AZ$2:$AZ$501,6),'Use Cases'!$AZ$2:$AZ$501,0))),"")</f>
        <v/>
      </c>
      <c r="D33" s="19" t="str">
        <f aca="false">IF($C33="","",INDEX('Use Cases'!$X$2:$X$501,MATCH($C33,'Use Cases'!$A$2:$A$501,0))&amp;"")</f>
        <v/>
      </c>
      <c r="E33" s="19" t="str">
        <f aca="false">IF($C33="","",INDEX('Use Cases'!$E$2:$E$501,MATCH($C33,'Use Cases'!$A$2:$A$501,0))&amp;"")</f>
        <v/>
      </c>
      <c r="F33" s="20" t="str">
        <f aca="false">IF($C33="","",INDEX('Use Cases'!$B$2:$B$501,MATCH($C33,'Use Cases'!$A$2:$A$501,0))&amp;"")</f>
        <v/>
      </c>
      <c r="G33" s="19" t="str">
        <f aca="false">IF($C33="","",INDEX('Use Cases'!$AD$2:$AD$501,MATCH($C33,'Use Cases'!$A$2:$A$501,0))&amp;"")</f>
        <v/>
      </c>
      <c r="H33" s="19" t="str">
        <f aca="false">IF($C33="","",INDEX('Use Cases'!$AH$2:$AH$501,MATCH($C33,'Use Cases'!$A$2:$A$501,0))&amp;"")</f>
        <v/>
      </c>
      <c r="I33" s="19" t="str">
        <f aca="false">IF($C33="","",IFERROR(INDEX(StageOwner,MATCH($D33,StageName,0)),""))</f>
        <v/>
      </c>
      <c r="J33" s="20" t="str">
        <f aca="false">IF($C33="","",INDEX('Use Cases'!$AI$2:$AI$501,MATCH($C33,'Use Cases'!$A$2:$A$501,0))&amp;"")</f>
        <v/>
      </c>
      <c r="K33" s="22" t="str">
        <f aca="false">IF($C33="","",INDEX('Use Cases'!$AR$2:$AR$501,MATCH($C33,'Use Cases'!$A$2:$A$501,0))&amp;"")</f>
        <v/>
      </c>
    </row>
    <row r="34" customFormat="false" ht="15" hidden="false" customHeight="false" outlineLevel="0" collapsed="false">
      <c r="B34" s="17" t="n">
        <v>7</v>
      </c>
      <c r="C34" s="18" t="str">
        <f aca="false">IFERROR(HYPERLINK("#'Use Cases'!A"&amp;(MATCH(LARGE('Use Cases'!$AZ$2:$AZ$501,7),'Use Cases'!$AZ$2:$AZ$501,0)+1),INDEX('Use Cases'!$A$2:$A$501,MATCH(LARGE('Use Cases'!$AZ$2:$AZ$501,7),'Use Cases'!$AZ$2:$AZ$501,0))),"")</f>
        <v/>
      </c>
      <c r="D34" s="19" t="str">
        <f aca="false">IF($C34="","",INDEX('Use Cases'!$X$2:$X$501,MATCH($C34,'Use Cases'!$A$2:$A$501,0))&amp;"")</f>
        <v/>
      </c>
      <c r="E34" s="19" t="str">
        <f aca="false">IF($C34="","",INDEX('Use Cases'!$E$2:$E$501,MATCH($C34,'Use Cases'!$A$2:$A$501,0))&amp;"")</f>
        <v/>
      </c>
      <c r="F34" s="20" t="str">
        <f aca="false">IF($C34="","",INDEX('Use Cases'!$B$2:$B$501,MATCH($C34,'Use Cases'!$A$2:$A$501,0))&amp;"")</f>
        <v/>
      </c>
      <c r="G34" s="19" t="str">
        <f aca="false">IF($C34="","",INDEX('Use Cases'!$AD$2:$AD$501,MATCH($C34,'Use Cases'!$A$2:$A$501,0))&amp;"")</f>
        <v/>
      </c>
      <c r="H34" s="19" t="str">
        <f aca="false">IF($C34="","",INDEX('Use Cases'!$AH$2:$AH$501,MATCH($C34,'Use Cases'!$A$2:$A$501,0))&amp;"")</f>
        <v/>
      </c>
      <c r="I34" s="19" t="str">
        <f aca="false">IF($C34="","",IFERROR(INDEX(StageOwner,MATCH($D34,StageName,0)),""))</f>
        <v/>
      </c>
      <c r="J34" s="20" t="str">
        <f aca="false">IF($C34="","",INDEX('Use Cases'!$AI$2:$AI$501,MATCH($C34,'Use Cases'!$A$2:$A$501,0))&amp;"")</f>
        <v/>
      </c>
      <c r="K34" s="22" t="str">
        <f aca="false">IF($C34="","",INDEX('Use Cases'!$AR$2:$AR$501,MATCH($C34,'Use Cases'!$A$2:$A$501,0))&amp;"")</f>
        <v/>
      </c>
    </row>
    <row r="35" customFormat="false" ht="15" hidden="false" customHeight="false" outlineLevel="0" collapsed="false">
      <c r="B35" s="17" t="n">
        <v>8</v>
      </c>
      <c r="C35" s="18" t="str">
        <f aca="false">IFERROR(HYPERLINK("#'Use Cases'!A"&amp;(MATCH(LARGE('Use Cases'!$AZ$2:$AZ$501,8),'Use Cases'!$AZ$2:$AZ$501,0)+1),INDEX('Use Cases'!$A$2:$A$501,MATCH(LARGE('Use Cases'!$AZ$2:$AZ$501,8),'Use Cases'!$AZ$2:$AZ$501,0))),"")</f>
        <v/>
      </c>
      <c r="D35" s="19" t="str">
        <f aca="false">IF($C35="","",INDEX('Use Cases'!$X$2:$X$501,MATCH($C35,'Use Cases'!$A$2:$A$501,0))&amp;"")</f>
        <v/>
      </c>
      <c r="E35" s="19" t="str">
        <f aca="false">IF($C35="","",INDEX('Use Cases'!$E$2:$E$501,MATCH($C35,'Use Cases'!$A$2:$A$501,0))&amp;"")</f>
        <v/>
      </c>
      <c r="F35" s="20" t="str">
        <f aca="false">IF($C35="","",INDEX('Use Cases'!$B$2:$B$501,MATCH($C35,'Use Cases'!$A$2:$A$501,0))&amp;"")</f>
        <v/>
      </c>
      <c r="G35" s="19" t="str">
        <f aca="false">IF($C35="","",INDEX('Use Cases'!$AD$2:$AD$501,MATCH($C35,'Use Cases'!$A$2:$A$501,0))&amp;"")</f>
        <v/>
      </c>
      <c r="H35" s="19" t="str">
        <f aca="false">IF($C35="","",INDEX('Use Cases'!$AH$2:$AH$501,MATCH($C35,'Use Cases'!$A$2:$A$501,0))&amp;"")</f>
        <v/>
      </c>
      <c r="I35" s="19" t="str">
        <f aca="false">IF($C35="","",IFERROR(INDEX(StageOwner,MATCH($D35,StageName,0)),""))</f>
        <v/>
      </c>
      <c r="J35" s="20" t="str">
        <f aca="false">IF($C35="","",INDEX('Use Cases'!$AI$2:$AI$501,MATCH($C35,'Use Cases'!$A$2:$A$501,0))&amp;"")</f>
        <v/>
      </c>
      <c r="K35" s="22" t="str">
        <f aca="false">IF($C35="","",INDEX('Use Cases'!$AR$2:$AR$501,MATCH($C35,'Use Cases'!$A$2:$A$501,0))&amp;"")</f>
        <v/>
      </c>
    </row>
    <row r="36" customFormat="false" ht="15" hidden="false" customHeight="false" outlineLevel="0" collapsed="false">
      <c r="B36" s="17" t="n">
        <v>9</v>
      </c>
      <c r="C36" s="18" t="str">
        <f aca="false">IFERROR(HYPERLINK("#'Use Cases'!A"&amp;(MATCH(LARGE('Use Cases'!$AZ$2:$AZ$501,9),'Use Cases'!$AZ$2:$AZ$501,0)+1),INDEX('Use Cases'!$A$2:$A$501,MATCH(LARGE('Use Cases'!$AZ$2:$AZ$501,9),'Use Cases'!$AZ$2:$AZ$501,0))),"")</f>
        <v/>
      </c>
      <c r="D36" s="19" t="str">
        <f aca="false">IF($C36="","",INDEX('Use Cases'!$X$2:$X$501,MATCH($C36,'Use Cases'!$A$2:$A$501,0))&amp;"")</f>
        <v/>
      </c>
      <c r="E36" s="19" t="str">
        <f aca="false">IF($C36="","",INDEX('Use Cases'!$E$2:$E$501,MATCH($C36,'Use Cases'!$A$2:$A$501,0))&amp;"")</f>
        <v/>
      </c>
      <c r="F36" s="20" t="str">
        <f aca="false">IF($C36="","",INDEX('Use Cases'!$B$2:$B$501,MATCH($C36,'Use Cases'!$A$2:$A$501,0))&amp;"")</f>
        <v/>
      </c>
      <c r="G36" s="19" t="str">
        <f aca="false">IF($C36="","",INDEX('Use Cases'!$AD$2:$AD$501,MATCH($C36,'Use Cases'!$A$2:$A$501,0))&amp;"")</f>
        <v/>
      </c>
      <c r="H36" s="19" t="str">
        <f aca="false">IF($C36="","",INDEX('Use Cases'!$AH$2:$AH$501,MATCH($C36,'Use Cases'!$A$2:$A$501,0))&amp;"")</f>
        <v/>
      </c>
      <c r="I36" s="19" t="str">
        <f aca="false">IF($C36="","",IFERROR(INDEX(StageOwner,MATCH($D36,StageName,0)),""))</f>
        <v/>
      </c>
      <c r="J36" s="20" t="str">
        <f aca="false">IF($C36="","",INDEX('Use Cases'!$AI$2:$AI$501,MATCH($C36,'Use Cases'!$A$2:$A$501,0))&amp;"")</f>
        <v/>
      </c>
      <c r="K36" s="22" t="str">
        <f aca="false">IF($C36="","",INDEX('Use Cases'!$AR$2:$AR$501,MATCH($C36,'Use Cases'!$A$2:$A$501,0))&amp;"")</f>
        <v/>
      </c>
    </row>
    <row r="37" customFormat="false" ht="15" hidden="false" customHeight="false" outlineLevel="0" collapsed="false">
      <c r="B37" s="17" t="n">
        <v>10</v>
      </c>
      <c r="C37" s="18" t="str">
        <f aca="false">IFERROR(HYPERLINK("#'Use Cases'!A"&amp;(MATCH(LARGE('Use Cases'!$AZ$2:$AZ$501,10),'Use Cases'!$AZ$2:$AZ$501,0)+1),INDEX('Use Cases'!$A$2:$A$501,MATCH(LARGE('Use Cases'!$AZ$2:$AZ$501,10),'Use Cases'!$AZ$2:$AZ$501,0))),"")</f>
        <v/>
      </c>
      <c r="D37" s="19" t="str">
        <f aca="false">IF($C37="","",INDEX('Use Cases'!$X$2:$X$501,MATCH($C37,'Use Cases'!$A$2:$A$501,0))&amp;"")</f>
        <v/>
      </c>
      <c r="E37" s="19" t="str">
        <f aca="false">IF($C37="","",INDEX('Use Cases'!$E$2:$E$501,MATCH($C37,'Use Cases'!$A$2:$A$501,0))&amp;"")</f>
        <v/>
      </c>
      <c r="F37" s="20" t="str">
        <f aca="false">IF($C37="","",INDEX('Use Cases'!$B$2:$B$501,MATCH($C37,'Use Cases'!$A$2:$A$501,0))&amp;"")</f>
        <v/>
      </c>
      <c r="G37" s="19" t="str">
        <f aca="false">IF($C37="","",INDEX('Use Cases'!$AD$2:$AD$501,MATCH($C37,'Use Cases'!$A$2:$A$501,0))&amp;"")</f>
        <v/>
      </c>
      <c r="H37" s="19" t="str">
        <f aca="false">IF($C37="","",INDEX('Use Cases'!$AH$2:$AH$501,MATCH($C37,'Use Cases'!$A$2:$A$501,0))&amp;"")</f>
        <v/>
      </c>
      <c r="I37" s="19" t="str">
        <f aca="false">IF($C37="","",IFERROR(INDEX(StageOwner,MATCH($D37,StageName,0)),""))</f>
        <v/>
      </c>
      <c r="J37" s="20" t="str">
        <f aca="false">IF($C37="","",INDEX('Use Cases'!$AI$2:$AI$501,MATCH($C37,'Use Cases'!$A$2:$A$501,0))&amp;"")</f>
        <v/>
      </c>
      <c r="K37" s="22" t="str">
        <f aca="false">IF($C37="","",INDEX('Use Cases'!$AR$2:$AR$501,MATCH($C37,'Use Cases'!$A$2:$A$501,0))&amp;"")</f>
        <v/>
      </c>
    </row>
    <row r="38" customFormat="false" ht="15" hidden="false" customHeight="false" outlineLevel="0" collapsed="false">
      <c r="K38" s="23" t="str">
        <f aca="false">IF(COUNT('Use Cases'!$AZ$2:$AZ$501)&gt;10,"+"&amp;(COUNT('Use Cases'!$AZ$2:$AZ$501)-10)&amp;" more on the Use Cases sheet","")</f>
        <v/>
      </c>
    </row>
    <row r="39" customFormat="false" ht="15" hidden="false" customHeight="false" outlineLevel="0" collapsed="false">
      <c r="C39" s="15" t="s">
        <v>132</v>
      </c>
    </row>
  </sheetData>
  <mergeCells count="7">
    <mergeCell ref="G2:K2"/>
    <mergeCell ref="C5:E5"/>
    <mergeCell ref="G5:I5"/>
    <mergeCell ref="C6:E6"/>
    <mergeCell ref="G6:I6"/>
    <mergeCell ref="C7:E7"/>
    <mergeCell ref="G7:I7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H11:H18">
    <cfRule type="cellIs" priority="3" operator="greaterThan" aboveAverage="0" equalAverage="0" bottom="0" percent="0" rank="0" text="" dxfId="1">
      <formula>0</formula>
    </cfRule>
  </conditionalFormatting>
  <conditionalFormatting sqref="G11:G18">
    <cfRule type="cellIs" priority="4" operator="greaterThan" aboveAverage="0" equalAverage="0" bottom="0" percent="0" rank="0" text="" dxfId="2">
      <formula>0</formula>
    </cfRule>
  </conditionalFormatting>
  <conditionalFormatting sqref="I11:I18">
    <cfRule type="cellIs" priority="5" operator="greaterThan" aboveAverage="0" equalAverage="0" bottom="0" percent="0" rank="0" text="" dxfId="1">
      <formula>0</formula>
    </cfRule>
  </conditionalFormatting>
  <conditionalFormatting sqref="F22:F24">
    <cfRule type="cellIs" priority="6" operator="greaterThan" aboveAverage="0" equalAverage="0" bottom="0" percent="0" rank="0" text="" dxfId="2">
      <formula>0</formula>
    </cfRule>
  </conditionalFormatting>
  <conditionalFormatting sqref="H28:H37">
    <cfRule type="cellIs" priority="7" operator="equal" aboveAverage="0" equalAverage="0" bottom="0" percent="0" rank="0" text="" dxfId="1">
      <formula>"Critical"</formula>
    </cfRule>
    <cfRule type="cellIs" priority="8" operator="equal" aboveAverage="0" equalAverage="0" bottom="0" percent="0" rank="0" text="" dxfId="1">
      <formula>"Overdue"</formula>
    </cfRule>
    <cfRule type="cellIs" priority="9" operator="equal" aboveAverage="0" equalAverage="0" bottom="0" percent="0" rank="0" text="" dxfId="1">
      <formula>"Red"</formula>
    </cfRule>
    <cfRule type="cellIs" priority="10" operator="equal" aboveAverage="0" equalAverage="0" bottom="0" percent="0" rank="0" text="" dxfId="1">
      <formula>"Stale"</formula>
    </cfRule>
    <cfRule type="cellIs" priority="11" operator="equal" aboveAverage="0" equalAverage="0" bottom="0" percent="0" rank="0" text="" dxfId="2">
      <formula>"Warning"</formula>
    </cfRule>
    <cfRule type="cellIs" priority="12" operator="equal" aboveAverage="0" equalAverage="0" bottom="0" percent="0" rank="0" text="" dxfId="2">
      <formula>"At risk"</formula>
    </cfRule>
    <cfRule type="cellIs" priority="13" operator="equal" aboveAverage="0" equalAverage="0" bottom="0" percent="0" rank="0" text="" dxfId="2">
      <formula>"Amber"</formula>
    </cfRule>
    <cfRule type="cellIs" priority="14" operator="equal" aboveAverage="0" equalAverage="0" bottom="0" percent="0" rank="0" text="" dxfId="2">
      <formula>"Aging"</formula>
    </cfRule>
    <cfRule type="cellIs" priority="15" operator="equal" aboveAverage="0" equalAverage="0" bottom="0" percent="0" rank="0" text="" dxfId="2">
      <formula>"Over"</formula>
    </cfRule>
    <cfRule type="cellIs" priority="16" operator="equal" aboveAverage="0" equalAverage="0" bottom="0" percent="0" rank="0" text="" dxfId="2">
      <formula>"Unmapped"</formula>
    </cfRule>
    <cfRule type="cellIs" priority="17" operator="equal" aboveAverage="0" equalAverage="0" bottom="0" percent="0" rank="0" text="" dxfId="2">
      <formula>"Below line"</formula>
    </cfRule>
    <cfRule type="cellIs" priority="18" operator="equal" aboveAverage="0" equalAverage="0" bottom="0" percent="0" rank="0" text="" dxfId="3">
      <formula>"On track"</formula>
    </cfRule>
    <cfRule type="cellIs" priority="19" operator="equal" aboveAverage="0" equalAverage="0" bottom="0" percent="0" rank="0" text="" dxfId="3">
      <formula>"Good"</formula>
    </cfRule>
    <cfRule type="cellIs" priority="20" operator="equal" aboveAverage="0" equalAverage="0" bottom="0" percent="0" rank="0" text="" dxfId="3">
      <formula>"Green"</formula>
    </cfRule>
    <cfRule type="cellIs" priority="21" operator="equal" aboveAverage="0" equalAverage="0" bottom="0" percent="0" rank="0" text="" dxfId="3">
      <formula>"Fresh"</formula>
    </cfRule>
    <cfRule type="cellIs" priority="22" operator="equal" aboveAverage="0" equalAverage="0" bottom="0" percent="0" rank="0" text="" dxfId="3">
      <formula>"Fits"</formula>
    </cfRule>
    <cfRule type="cellIs" priority="23" operator="equal" aboveAverage="0" equalAverage="0" bottom="0" percent="0" rank="0" text="" dxfId="3">
      <formula>"Passed"</formula>
    </cfRule>
    <cfRule type="cellIs" priority="24" operator="equal" aboveAverage="0" equalAverage="0" bottom="0" percent="0" rank="0" text="" dxfId="3">
      <formula>"Inside"</formula>
    </cfRule>
    <cfRule type="cellIs" priority="25" operator="equal" aboveAverage="0" equalAverage="0" bottom="0" percent="0" rank="0" text="" dxfId="4">
      <formula>"Pending"</formula>
    </cfRule>
    <cfRule type="cellIs" priority="26" operator="equal" aboveAverage="0" equalAverage="0" bottom="0" percent="0" rank="0" text="" dxfId="4">
      <formula>"Closed"</formula>
    </cfRule>
    <cfRule type="cellIs" priority="27" operator="equal" aboveAverage="0" equalAverage="0" bottom="0" percent="0" rank="0" text="" dxfId="4">
      <formula>"Committed"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2C91"/>
    <pageSetUpPr fitToPage="true"/>
  </sheetPr>
  <dimension ref="B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5" min="4" style="0" width="13"/>
    <col collapsed="false" customWidth="true" hidden="false" outlineLevel="0" max="6" min="6" style="0" width="40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1" min="10" style="0" width="30"/>
    <col collapsed="false" customWidth="true" hidden="false" outlineLevel="0" max="12" min="12" style="0" width="2"/>
  </cols>
  <sheetData>
    <row r="1" customFormat="false" ht="30" hidden="false" customHeight="true" outlineLevel="0" collapsed="false">
      <c r="B1" s="1" t="s">
        <v>133</v>
      </c>
    </row>
    <row r="2" customFormat="false" ht="15" hidden="false" customHeight="false" outlineLevel="0" collapsed="false">
      <c r="B2" s="2" t="str">
        <f aca="false">"One use case, end to end  ·  as of "&amp;TEXT(AsOf,"ddd d mmm yyyy")</f>
        <v>One use case, end to end  ·  as of Fri 2 Oct 2026</v>
      </c>
      <c r="G2" s="3" t="str">
        <f aca="false">IF(SampleAsOf&lt;&gt;"","SAMPLE DATA. Use AI-OS.xlsx for real work.",IF(SnapshotAt="","No Jira snapshot yet. Say: refresh dashboard",IF(SnapshotAge&gt;SnapshotMaxAge,"Jira snapshot is "&amp;SnapshotAge&amp;" days old. Say: refresh dashboard","Jira snapshot "&amp;TEXT(SnapshotAt,"d mmm hh:mm"))))</f>
        <v>SAMPLE DATA. Use AI-OS.xlsx for real work.</v>
      </c>
      <c r="H2" s="3"/>
      <c r="I2" s="3"/>
      <c r="J2" s="3"/>
      <c r="K2" s="3"/>
    </row>
    <row r="3" customFormat="false" ht="19.5" hidden="false" customHeight="true" outlineLevel="0" collapsed="false">
      <c r="C3" s="5" t="str">
        <f aca="false">HYPERLINK("#'Home'!A1","Home")</f>
        <v>Home</v>
      </c>
      <c r="D3" s="5" t="str">
        <f aca="false">HYPERLINK("#'Portfolio'!A1","Portfolio")</f>
        <v>Portfolio</v>
      </c>
      <c r="E3" s="5" t="str">
        <f aca="false">HYPERLINK("#'Weekly Status'!A1","Weekly Status")</f>
        <v>Weekly Status</v>
      </c>
      <c r="F3" s="5" t="str">
        <f aca="false">HYPERLINK("#'Gates'!A1","Gates")</f>
        <v>Gates</v>
      </c>
      <c r="G3" s="4" t="s">
        <v>133</v>
      </c>
    </row>
    <row r="5" customFormat="false" ht="17.35" hidden="false" customHeight="false" outlineLevel="0" collapsed="false">
      <c r="B5" s="49" t="s">
        <v>134</v>
      </c>
      <c r="E5" s="50" t="s">
        <v>135</v>
      </c>
      <c r="F5" s="51" t="str">
        <f aca="false">IF(E5="","Choose a key from the list, or say: show &lt;KEY&gt;",IF(UCRow="","Not found on the Use Cases sheet",INDEX('Use Cases'!$B$2:$B$501,UCRow)))</f>
        <v>Fraud alert prioritization</v>
      </c>
      <c r="K5" s="24" t="str">
        <f aca="false">IF(UCRow="","",HYPERLINK("#'Use Cases'!A"&amp;(UCRow+1),"Record on Use Cases  ›"))</f>
        <v>Record on Use Cases  ›</v>
      </c>
      <c r="L5" s="52" t="n">
        <f aca="false">IFERROR(MATCH(E5,'Use Cases'!$A$2:$A$501,0),"")</f>
        <v>3</v>
      </c>
    </row>
    <row r="7" customFormat="false" ht="15" hidden="false" customHeight="false" outlineLevel="0" collapsed="false">
      <c r="C7" s="8" t="str">
        <f aca="false">HYPERLINK("#'Gates'!A1","STAGE  ›")</f>
        <v>STAGE  ›</v>
      </c>
      <c r="D7" s="8"/>
      <c r="E7" s="8"/>
      <c r="F7" s="9" t="s">
        <v>136</v>
      </c>
      <c r="G7" s="6" t="s">
        <v>137</v>
      </c>
      <c r="H7" s="6"/>
      <c r="I7" s="6"/>
      <c r="J7" s="9" t="s">
        <v>138</v>
      </c>
      <c r="K7" s="7" t="str">
        <f aca="false">HYPERLINK("#'Portfolio'!A1","CAPACITY  ›")</f>
        <v>CAPACITY  ›</v>
      </c>
    </row>
    <row r="8" customFormat="false" ht="30" hidden="false" customHeight="true" outlineLevel="0" collapsed="false">
      <c r="C8" s="10" t="str">
        <f aca="false">IF(UCRow="","",INDEX('Use Cases'!$X$2:$X$501,UCRow)&amp;"")</f>
        <v>Design</v>
      </c>
      <c r="D8" s="10"/>
      <c r="E8" s="10"/>
      <c r="F8" s="11" t="str">
        <f aca="false">IF(UCRow="","",INDEX('Use Cases'!$AB$2:$AB$501,UCRow)&amp;"")</f>
        <v>Overdue</v>
      </c>
      <c r="G8" s="10" t="str">
        <f aca="false">IF(UCRow="","",INDEX('Use Cases'!$AC$2:$AC$501,UCRow)&amp;"")</f>
        <v>Fresh</v>
      </c>
      <c r="H8" s="10"/>
      <c r="I8" s="10"/>
      <c r="J8" s="11" t="str">
        <f aca="false">IF(UCRow="","",INDEX('Use Cases'!$AD$2:$AD$501,UCRow)&amp;"")</f>
        <v>High</v>
      </c>
      <c r="K8" s="11" t="str">
        <f aca="false">IF(UCRow="","",IF(INDEX('Use Cases'!$AK$2:$AK$501,UCRow)="","Not ranked",INDEX('Use Cases'!$AK$2:$AK$501,UCRow)))</f>
        <v>Candidate</v>
      </c>
    </row>
    <row r="9" customFormat="false" ht="15" hidden="false" customHeight="false" outlineLevel="0" collapsed="false">
      <c r="C9" s="12" t="str">
        <f aca="false">IF(UCRow="","","Jira: "&amp;INDEX('Use Cases'!$C$2:$C$501,UCRow)&amp;" · next: "&amp;INDEX('Use Cases'!$AJ$2:$AJ$501,UCRow))</f>
        <v>Jira: Design · next: Portfolio Council</v>
      </c>
      <c r="D9" s="12"/>
      <c r="E9" s="12"/>
      <c r="F9" s="13" t="str">
        <f aca="false">IF(UCRow="","",IF(INDEX('Use Cases'!$Z$2:$Z$501,UCRow)="","no target",INDEX('Use Cases'!$Z$2:$Z$501,UCRow)&amp;" days to target, "&amp;TEXT(INDEX('Use Cases'!$I$2:$I$501,UCRow),"d mmm")))</f>
        <v>-3 days to target, 29 Sep</v>
      </c>
      <c r="G9" s="12" t="str">
        <f aca="false">IF(UCRow="","","last update "&amp;INDEX('Use Cases'!$AA$2:$AA$501,UCRow)&amp;" days ago")</f>
        <v>last update 2 days ago</v>
      </c>
      <c r="H9" s="12"/>
      <c r="I9" s="12"/>
      <c r="J9" s="13" t="str">
        <f aca="false">IF(UCRow="","",INDEX('Use Cases'!$AE$2:$AE$501,UCRow)&amp;"-day promise · "&amp;INDEX('Use Cases'!$AF$2:$AF$501,UCRow)&amp;" days open · "&amp;INDEX('Use Cases'!$AG$2:$AG$501,UCRow))</f>
        <v>70-day promise · 62 days open · Inside</v>
      </c>
      <c r="K9" s="13" t="str">
        <f aca="false">IF(UCRow="","",IF(INDEX('Use Cases'!$AL$2:$AL$501,UCRow)="","WSJF "&amp;IF(INDEX('Use Cases'!$N$2:$N$501,UCRow)="","not scored",INDEX('Use Cases'!$N$2:$N$501,UCRow)),"WSJF rank "&amp;INDEX('Use Cases'!$AL$2:$AL$501,UCRow)&amp;" · "&amp;INDEX('Use Cases'!$AN$2:$AN$501,UCRow)))</f>
        <v>WSJF rank 2 · Fits</v>
      </c>
    </row>
    <row r="11" customFormat="false" ht="15" hidden="false" customHeight="false" outlineLevel="0" collapsed="false">
      <c r="B11" s="14" t="s">
        <v>139</v>
      </c>
      <c r="F11" s="15" t="s">
        <v>140</v>
      </c>
    </row>
    <row r="12" customFormat="false" ht="15" hidden="false" customHeight="false" outlineLevel="0" collapsed="false">
      <c r="C12" s="53" t="str">
        <f aca="false">INDEX(StageName,1)</f>
        <v>Intake</v>
      </c>
      <c r="D12" s="53" t="str">
        <f aca="false">INDEX(StageName,2)</f>
        <v>Triage</v>
      </c>
      <c r="E12" s="53" t="str">
        <f aca="false">INDEX(StageName,3)</f>
        <v>Discovery</v>
      </c>
      <c r="F12" s="53" t="str">
        <f aca="false">INDEX(StageName,4)</f>
        <v>Design</v>
      </c>
      <c r="G12" s="53" t="str">
        <f aca="false">INDEX(StageName,5)</f>
        <v>Approval</v>
      </c>
      <c r="H12" s="53" t="str">
        <f aca="false">INDEX(StageName,6)</f>
        <v>Delivery</v>
      </c>
      <c r="I12" s="53" t="str">
        <f aca="false">INDEX(StageName,7)</f>
        <v>Scale</v>
      </c>
      <c r="J12" s="53" t="str">
        <f aca="false">INDEX(StageName,8)</f>
        <v>Value</v>
      </c>
    </row>
    <row r="13" customFormat="false" ht="15" hidden="false" customHeight="false" outlineLevel="0" collapsed="false">
      <c r="C13" s="54" t="str">
        <f aca="false">IF(UCRow="","",IF(INDEX('Use Cases'!$X$2:$X$501,UCRow)="Closed","Closed",IF(INDEX('Use Cases'!$Y$2:$Y$501,UCRow)="","Pending",IF(INDEX('Use Cases'!$Y$2:$Y$501,UCRow)&gt;1,"Passed",IF(INDEX('Use Cases'!$Y$2:$Y$501,UCRow)=1,INDEX('Use Cases'!$AH$2:$AH$501,UCRow),"Pending")))))</f>
        <v>Passed</v>
      </c>
      <c r="D13" s="54" t="str">
        <f aca="false">IF(UCRow="","",IF(INDEX('Use Cases'!$X$2:$X$501,UCRow)="Closed","Closed",IF(INDEX('Use Cases'!$Y$2:$Y$501,UCRow)="","Pending",IF(INDEX('Use Cases'!$Y$2:$Y$501,UCRow)&gt;2,"Passed",IF(INDEX('Use Cases'!$Y$2:$Y$501,UCRow)=2,INDEX('Use Cases'!$AH$2:$AH$501,UCRow),"Pending")))))</f>
        <v>Passed</v>
      </c>
      <c r="E13" s="54" t="str">
        <f aca="false">IF(UCRow="","",IF(INDEX('Use Cases'!$X$2:$X$501,UCRow)="Closed","Closed",IF(INDEX('Use Cases'!$Y$2:$Y$501,UCRow)="","Pending",IF(INDEX('Use Cases'!$Y$2:$Y$501,UCRow)&gt;3,"Passed",IF(INDEX('Use Cases'!$Y$2:$Y$501,UCRow)=3,INDEX('Use Cases'!$AH$2:$AH$501,UCRow),"Pending")))))</f>
        <v>Passed</v>
      </c>
      <c r="F13" s="54" t="str">
        <f aca="false">IF(UCRow="","",IF(INDEX('Use Cases'!$X$2:$X$501,UCRow)="Closed","Closed",IF(INDEX('Use Cases'!$Y$2:$Y$501,UCRow)="","Pending",IF(INDEX('Use Cases'!$Y$2:$Y$501,UCRow)&gt;4,"Passed",IF(INDEX('Use Cases'!$Y$2:$Y$501,UCRow)=4,INDEX('Use Cases'!$AH$2:$AH$501,UCRow),"Pending")))))</f>
        <v>Critical</v>
      </c>
      <c r="G13" s="54" t="str">
        <f aca="false">IF(UCRow="","",IF(INDEX('Use Cases'!$X$2:$X$501,UCRow)="Closed","Closed",IF(INDEX('Use Cases'!$Y$2:$Y$501,UCRow)="","Pending",IF(INDEX('Use Cases'!$Y$2:$Y$501,UCRow)&gt;5,"Passed",IF(INDEX('Use Cases'!$Y$2:$Y$501,UCRow)=5,INDEX('Use Cases'!$AH$2:$AH$501,UCRow),"Pending")))))</f>
        <v>Pending</v>
      </c>
      <c r="H13" s="54" t="str">
        <f aca="false">IF(UCRow="","",IF(INDEX('Use Cases'!$X$2:$X$501,UCRow)="Closed","Closed",IF(INDEX('Use Cases'!$Y$2:$Y$501,UCRow)="","Pending",IF(INDEX('Use Cases'!$Y$2:$Y$501,UCRow)&gt;6,"Passed",IF(INDEX('Use Cases'!$Y$2:$Y$501,UCRow)=6,INDEX('Use Cases'!$AH$2:$AH$501,UCRow),"Pending")))))</f>
        <v>Pending</v>
      </c>
      <c r="I13" s="54" t="str">
        <f aca="false">IF(UCRow="","",IF(INDEX('Use Cases'!$X$2:$X$501,UCRow)="Closed","Closed",IF(INDEX('Use Cases'!$Y$2:$Y$501,UCRow)="","Pending",IF(INDEX('Use Cases'!$Y$2:$Y$501,UCRow)&gt;7,"Passed",IF(INDEX('Use Cases'!$Y$2:$Y$501,UCRow)=7,INDEX('Use Cases'!$AH$2:$AH$501,UCRow),"Pending")))))</f>
        <v>Pending</v>
      </c>
      <c r="J13" s="54" t="str">
        <f aca="false">IF(UCRow="","",IF(INDEX('Use Cases'!$X$2:$X$501,UCRow)="Closed","Closed",IF(INDEX('Use Cases'!$Y$2:$Y$501,UCRow)="","Pending",IF(INDEX('Use Cases'!$Y$2:$Y$501,UCRow)&gt;8,"Passed",IF(INDEX('Use Cases'!$Y$2:$Y$501,UCRow)=8,INDEX('Use Cases'!$AH$2:$AH$501,UCRow),"Pending")))))</f>
        <v>Pending</v>
      </c>
    </row>
    <row r="14" customFormat="false" ht="15" hidden="false" customHeight="false" outlineLevel="0" collapsed="false">
      <c r="C14" s="55" t="str">
        <f aca="false">IF(UCRow="","",IF(INDEX('Use Cases'!$AI$2:$AI$501,UCRow)="","Nothing outstanding at this gate.","Gate needs: "&amp;INDEX('Use Cases'!$AI$2:$AI$501,UCRow)&amp;" (gate owner: "&amp;IFERROR(INDEX(StageOwner,INDEX('Use Cases'!$Y$2:$Y$501,UCRow)),"")&amp;")"))</f>
        <v>Gate needs: Awaiting MRM model designation (gate owner: Model Risk &amp; Monitoring)</v>
      </c>
      <c r="D14" s="55"/>
      <c r="E14" s="55"/>
      <c r="F14" s="55"/>
      <c r="G14" s="55"/>
      <c r="H14" s="55"/>
      <c r="I14" s="55"/>
      <c r="J14" s="55"/>
      <c r="K14" s="55"/>
    </row>
    <row r="16" customFormat="false" ht="15" hidden="false" customHeight="false" outlineLevel="0" collapsed="false">
      <c r="B16" s="14" t="s">
        <v>141</v>
      </c>
      <c r="F16" s="15" t="s">
        <v>142</v>
      </c>
    </row>
    <row r="17" customFormat="false" ht="15" hidden="false" customHeight="false" outlineLevel="0" collapsed="false">
      <c r="C17" s="16" t="s">
        <v>61</v>
      </c>
      <c r="D17" s="56"/>
      <c r="E17" s="57" t="str">
        <f aca="false">IF(UCRow="","",INDEX('Use Cases'!$D$2:$D$501,UCRow)&amp;"")</f>
        <v>Fraud Operations</v>
      </c>
      <c r="F17" s="57"/>
      <c r="G17" s="16" t="s">
        <v>58</v>
      </c>
      <c r="H17" s="56"/>
      <c r="I17" s="57" t="str">
        <f aca="false">IF(UCRow="","",INDEX('Use Cases'!$L$2:$L$501,UCRow)&amp;"")</f>
        <v>1200</v>
      </c>
      <c r="J17" s="57"/>
      <c r="K17" s="57"/>
    </row>
    <row r="18" customFormat="false" ht="15" hidden="false" customHeight="false" outlineLevel="0" collapsed="false">
      <c r="C18" s="16" t="s">
        <v>20</v>
      </c>
      <c r="D18" s="56"/>
      <c r="E18" s="57" t="str">
        <f aca="false">IF(UCRow="","",INDEX('Use Cases'!$E$2:$E$501,UCRow)&amp;"")</f>
        <v>S. Okafor</v>
      </c>
      <c r="F18" s="57"/>
      <c r="G18" s="16" t="s">
        <v>143</v>
      </c>
      <c r="H18" s="56"/>
      <c r="I18" s="57" t="str">
        <f aca="false">IF(UCRow="","",INDEX('Use Cases'!$M$2:$M$501,UCRow)&amp;"")</f>
        <v>8</v>
      </c>
      <c r="J18" s="57"/>
      <c r="K18" s="57"/>
    </row>
    <row r="19" customFormat="false" ht="15" hidden="false" customHeight="false" outlineLevel="0" collapsed="false">
      <c r="C19" s="16" t="s">
        <v>144</v>
      </c>
      <c r="D19" s="56"/>
      <c r="E19" s="57" t="str">
        <f aca="false">IF(UCRow="","",INDEX('Use Cases'!$F$2:$F$501,UCRow)&amp;"")</f>
        <v>Fraud Ops Director</v>
      </c>
      <c r="F19" s="57"/>
      <c r="G19" s="16" t="s">
        <v>54</v>
      </c>
      <c r="H19" s="56"/>
      <c r="I19" s="57" t="str">
        <f aca="false">IF(UCRow="","",INDEX('Use Cases'!$N$2:$N$501,UCRow)&amp;"")</f>
        <v>6.8</v>
      </c>
      <c r="J19" s="57"/>
      <c r="K19" s="57"/>
    </row>
    <row r="20" customFormat="false" ht="15" hidden="false" customHeight="false" outlineLevel="0" collapsed="false">
      <c r="C20" s="16" t="s">
        <v>145</v>
      </c>
      <c r="D20" s="56"/>
      <c r="E20" s="58" t="n">
        <f aca="false">IF(UCRow="","",INDEX('Use Cases'!$G$2:$G$501,UCRow))</f>
        <v>46235</v>
      </c>
      <c r="F20" s="58"/>
      <c r="G20" s="16" t="s">
        <v>146</v>
      </c>
      <c r="H20" s="56"/>
      <c r="I20" s="57" t="str">
        <f aca="false">IF(UCRow="","",INDEX('Use Cases'!$J$2:$J$501,UCRow)&amp;"")</f>
        <v>NPI</v>
      </c>
      <c r="J20" s="57"/>
      <c r="K20" s="57"/>
    </row>
    <row r="21" customFormat="false" ht="15" hidden="false" customHeight="false" outlineLevel="0" collapsed="false">
      <c r="C21" s="16" t="s">
        <v>147</v>
      </c>
      <c r="D21" s="56"/>
      <c r="E21" s="58" t="n">
        <f aca="false">IF(UCRow="","",INDEX('Use Cases'!$H$2:$H$501,UCRow))</f>
        <v>46295</v>
      </c>
      <c r="F21" s="58"/>
      <c r="G21" s="16" t="s">
        <v>75</v>
      </c>
      <c r="H21" s="56"/>
      <c r="I21" s="57" t="str">
        <f aca="false">IF(UCRow="","",INDEX('Use Cases'!$K$2:$K$501,UCRow)&amp;"")</f>
        <v>risk | insight</v>
      </c>
      <c r="J21" s="57"/>
      <c r="K21" s="57"/>
    </row>
    <row r="22" customFormat="false" ht="15" hidden="false" customHeight="false" outlineLevel="0" collapsed="false">
      <c r="C22" s="16" t="s">
        <v>148</v>
      </c>
      <c r="D22" s="56"/>
      <c r="E22" s="58" t="n">
        <f aca="false">IF(UCRow="","",INDEX('Use Cases'!$I$2:$I$501,UCRow))</f>
        <v>46294</v>
      </c>
      <c r="F22" s="58"/>
      <c r="G22" s="16" t="s">
        <v>149</v>
      </c>
      <c r="H22" s="56"/>
      <c r="I22" s="57" t="str">
        <f aca="false">IF(UCRow="","",INDEX('Use Cases'!$O$2:$O$501,UCRow)&amp;"")</f>
        <v>Y</v>
      </c>
      <c r="J22" s="57"/>
      <c r="K22" s="57"/>
    </row>
    <row r="23" customFormat="false" ht="15" hidden="false" customHeight="false" outlineLevel="0" collapsed="false">
      <c r="C23" s="16" t="s">
        <v>150</v>
      </c>
      <c r="D23" s="56"/>
      <c r="E23" s="58" t="n">
        <f aca="false">IF(UCRow="","",INDEX('Use Cases'!$S$2:$S$501,UCRow))</f>
        <v>46256</v>
      </c>
      <c r="F23" s="58"/>
      <c r="G23" s="16" t="s">
        <v>151</v>
      </c>
      <c r="H23" s="56"/>
      <c r="I23" s="57" t="str">
        <f aca="false">IF(UCRow="","",INDEX('Use Cases'!$P$2:$P$501,UCRow)&amp;"")</f>
        <v>ready</v>
      </c>
      <c r="J23" s="57"/>
      <c r="K23" s="57"/>
    </row>
    <row r="24" customFormat="false" ht="15" hidden="false" customHeight="false" outlineLevel="0" collapsed="false">
      <c r="C24" s="16" t="s">
        <v>152</v>
      </c>
      <c r="D24" s="56"/>
      <c r="E24" s="57" t="str">
        <f aca="false">IF(UCRow="","",INDEX('Use Cases'!$R$2:$R$501,UCRow)&amp;"")</f>
        <v>MRM model designation</v>
      </c>
      <c r="F24" s="57"/>
      <c r="G24" s="16" t="s">
        <v>153</v>
      </c>
      <c r="H24" s="56"/>
      <c r="I24" s="57" t="str">
        <f aca="false">IF(UCRow="","",INDEX('Use Cases'!$Q$2:$Q$501,UCRow)&amp;"")</f>
        <v>Y</v>
      </c>
      <c r="J24" s="57"/>
      <c r="K24" s="57"/>
    </row>
    <row r="26" customFormat="false" ht="15" hidden="false" customHeight="false" outlineLevel="0" collapsed="false">
      <c r="B26" s="14" t="s">
        <v>154</v>
      </c>
      <c r="F26" s="15" t="s">
        <v>155</v>
      </c>
    </row>
    <row r="27" customFormat="false" ht="15" hidden="false" customHeight="false" outlineLevel="0" collapsed="false">
      <c r="B27" s="16"/>
      <c r="C27" s="16" t="s">
        <v>7</v>
      </c>
      <c r="D27" s="16" t="s">
        <v>8</v>
      </c>
      <c r="E27" s="16" t="s">
        <v>27</v>
      </c>
      <c r="F27" s="16" t="s">
        <v>10</v>
      </c>
      <c r="G27" s="16"/>
      <c r="H27" s="16" t="s">
        <v>156</v>
      </c>
      <c r="I27" s="16" t="s">
        <v>14</v>
      </c>
      <c r="J27" s="16"/>
      <c r="K27" s="16" t="s">
        <v>15</v>
      </c>
    </row>
    <row r="28" customFormat="false" ht="23.85" hidden="false" customHeight="false" outlineLevel="0" collapsed="false">
      <c r="C28" s="18" t="str">
        <f aca="false">IFERROR(HYPERLINK("#'Inventory'!A"&amp;(MATCH(LARGE(Inventory!$S$2:$S$1001,1),Inventory!$S$2:$S$1001,0)+1),INDEX(Inventory!$A$2:$A$1001,MATCH(LARGE(Inventory!$S$2:$S$1001,1),Inventory!$S$2:$S$1001,0))),"")</f>
        <v>INV-0013</v>
      </c>
      <c r="D28" s="19" t="str">
        <f aca="false">IF($C28="","",INDEX(Inventory!$C$2:$C$1001,MATCH($C28,Inventory!$A$2:$A$1001,0))&amp;"")</f>
        <v>Conflict</v>
      </c>
      <c r="E28" s="59" t="n">
        <f aca="false">IF($C28="","",INDEX(Inventory!$B$2:$B$1001,MATCH($C28,Inventory!$A$2:$A$1001,0)))</f>
        <v>46292</v>
      </c>
      <c r="F28" s="20" t="str">
        <f aca="false">IF(COUNT(Inventory!$S$2:$S$1001)=0,"Nothing logged against this use case.",IF($C28="","",INDEX(Inventory!$E$2:$E$1001,MATCH($C28,Inventory!$A$2:$A$1001,0))&amp;""))</f>
        <v>Vendor says AI-003 build has started; Jira shows Design. Inventory stands until confirmed.</v>
      </c>
      <c r="G28" s="20"/>
      <c r="H28" s="19" t="str">
        <f aca="false">IF($C28="","",INDEX(Inventory!$K$2:$K$1001,MATCH($C28,Inventory!$A$2:$A$1001,0))&amp;"")</f>
        <v>Open</v>
      </c>
      <c r="I28" s="19" t="str">
        <f aca="false">IF($C28="","",INDEX(Inventory!$F$2:$F$1001,MATCH($C28,Inventory!$A$2:$A$1001,0))&amp;"")</f>
        <v>Vendor PM</v>
      </c>
      <c r="J28" s="19"/>
      <c r="K28" s="22" t="str">
        <f aca="false">IF($C28="","",INDEX(Inventory!$O$2:$O$1001,MATCH($C28,Inventory!$A$2:$A$1001,0))&amp;"")</f>
        <v>decide INV-0013: &lt;which version stands&gt;</v>
      </c>
    </row>
    <row r="29" customFormat="false" ht="15" hidden="false" customHeight="false" outlineLevel="0" collapsed="false">
      <c r="C29" s="18" t="str">
        <f aca="false">IFERROR(HYPERLINK("#'Inventory'!A"&amp;(MATCH(LARGE(Inventory!$S$2:$S$1001,2),Inventory!$S$2:$S$1001,0)+1),INDEX(Inventory!$A$2:$A$1001,MATCH(LARGE(Inventory!$S$2:$S$1001,2),Inventory!$S$2:$S$1001,0))),"")</f>
        <v>INV-0009</v>
      </c>
      <c r="D29" s="19" t="str">
        <f aca="false">IF($C29="","",INDEX(Inventory!$C$2:$C$1001,MATCH($C29,Inventory!$A$2:$A$1001,0))&amp;"")</f>
        <v>Decision</v>
      </c>
      <c r="E29" s="59" t="n">
        <f aca="false">IF($C29="","",INDEX(Inventory!$B$2:$B$1001,MATCH($C29,Inventory!$A$2:$A$1001,0)))</f>
        <v>46288</v>
      </c>
      <c r="F29" s="20" t="str">
        <f aca="false">IF($C29="","",INDEX(Inventory!$E$2:$E$1001,MATCH($C29,Inventory!$A$2:$A$1001,0))&amp;"")</f>
        <v>Chase the MRM model designation for AI-003 or re-plan Design.</v>
      </c>
      <c r="G29" s="20"/>
      <c r="H29" s="19" t="str">
        <f aca="false">IF($C29="","",INDEX(Inventory!$K$2:$K$1001,MATCH($C29,Inventory!$A$2:$A$1001,0))&amp;"")</f>
        <v>Open</v>
      </c>
      <c r="I29" s="19" t="str">
        <f aca="false">IF($C29="","",INDEX(Inventory!$F$2:$F$1001,MATCH($C29,Inventory!$A$2:$A$1001,0))&amp;"")</f>
        <v>S. Okafor</v>
      </c>
      <c r="J29" s="19"/>
      <c r="K29" s="22" t="str">
        <f aca="false">IF($C29="","",INDEX(Inventory!$O$2:$O$1001,MATCH($C29,Inventory!$A$2:$A$1001,0))&amp;"")</f>
        <v>decide INV-0009: &lt;outcome&gt;</v>
      </c>
    </row>
    <row r="30" customFormat="false" ht="15" hidden="false" customHeight="false" outlineLevel="0" collapsed="false">
      <c r="C30" s="18" t="str">
        <f aca="false">IFERROR(HYPERLINK("#'Inventory'!A"&amp;(MATCH(LARGE(Inventory!$S$2:$S$1001,3),Inventory!$S$2:$S$1001,0)+1),INDEX(Inventory!$A$2:$A$1001,MATCH(LARGE(Inventory!$S$2:$S$1001,3),Inventory!$S$2:$S$1001,0))),"")</f>
        <v/>
      </c>
      <c r="D30" s="19" t="str">
        <f aca="false">IF($C30="","",INDEX(Inventory!$C$2:$C$1001,MATCH($C30,Inventory!$A$2:$A$1001,0))&amp;"")</f>
        <v/>
      </c>
      <c r="E30" s="59" t="str">
        <f aca="false">IF($C30="","",INDEX(Inventory!$B$2:$B$1001,MATCH($C30,Inventory!$A$2:$A$1001,0)))</f>
        <v/>
      </c>
      <c r="F30" s="20" t="str">
        <f aca="false">IF($C30="","",INDEX(Inventory!$E$2:$E$1001,MATCH($C30,Inventory!$A$2:$A$1001,0))&amp;"")</f>
        <v/>
      </c>
      <c r="G30" s="20"/>
      <c r="H30" s="19" t="str">
        <f aca="false">IF($C30="","",INDEX(Inventory!$K$2:$K$1001,MATCH($C30,Inventory!$A$2:$A$1001,0))&amp;"")</f>
        <v/>
      </c>
      <c r="I30" s="19" t="str">
        <f aca="false">IF($C30="","",INDEX(Inventory!$F$2:$F$1001,MATCH($C30,Inventory!$A$2:$A$1001,0))&amp;"")</f>
        <v/>
      </c>
      <c r="J30" s="19"/>
      <c r="K30" s="22" t="str">
        <f aca="false">IF($C30="","",INDEX(Inventory!$O$2:$O$1001,MATCH($C30,Inventory!$A$2:$A$1001,0))&amp;"")</f>
        <v/>
      </c>
    </row>
    <row r="31" customFormat="false" ht="15" hidden="false" customHeight="false" outlineLevel="0" collapsed="false">
      <c r="C31" s="18" t="str">
        <f aca="false">IFERROR(HYPERLINK("#'Inventory'!A"&amp;(MATCH(LARGE(Inventory!$S$2:$S$1001,4),Inventory!$S$2:$S$1001,0)+1),INDEX(Inventory!$A$2:$A$1001,MATCH(LARGE(Inventory!$S$2:$S$1001,4),Inventory!$S$2:$S$1001,0))),"")</f>
        <v/>
      </c>
      <c r="D31" s="19" t="str">
        <f aca="false">IF($C31="","",INDEX(Inventory!$C$2:$C$1001,MATCH($C31,Inventory!$A$2:$A$1001,0))&amp;"")</f>
        <v/>
      </c>
      <c r="E31" s="59" t="str">
        <f aca="false">IF($C31="","",INDEX(Inventory!$B$2:$B$1001,MATCH($C31,Inventory!$A$2:$A$1001,0)))</f>
        <v/>
      </c>
      <c r="F31" s="20" t="str">
        <f aca="false">IF($C31="","",INDEX(Inventory!$E$2:$E$1001,MATCH($C31,Inventory!$A$2:$A$1001,0))&amp;"")</f>
        <v/>
      </c>
      <c r="G31" s="20"/>
      <c r="H31" s="19" t="str">
        <f aca="false">IF($C31="","",INDEX(Inventory!$K$2:$K$1001,MATCH($C31,Inventory!$A$2:$A$1001,0))&amp;"")</f>
        <v/>
      </c>
      <c r="I31" s="19" t="str">
        <f aca="false">IF($C31="","",INDEX(Inventory!$F$2:$F$1001,MATCH($C31,Inventory!$A$2:$A$1001,0))&amp;"")</f>
        <v/>
      </c>
      <c r="J31" s="19"/>
      <c r="K31" s="22" t="str">
        <f aca="false">IF($C31="","",INDEX(Inventory!$O$2:$O$1001,MATCH($C31,Inventory!$A$2:$A$1001,0))&amp;"")</f>
        <v/>
      </c>
    </row>
    <row r="32" customFormat="false" ht="15" hidden="false" customHeight="false" outlineLevel="0" collapsed="false">
      <c r="C32" s="18" t="str">
        <f aca="false">IFERROR(HYPERLINK("#'Inventory'!A"&amp;(MATCH(LARGE(Inventory!$S$2:$S$1001,5),Inventory!$S$2:$S$1001,0)+1),INDEX(Inventory!$A$2:$A$1001,MATCH(LARGE(Inventory!$S$2:$S$1001,5),Inventory!$S$2:$S$1001,0))),"")</f>
        <v/>
      </c>
      <c r="D32" s="19" t="str">
        <f aca="false">IF($C32="","",INDEX(Inventory!$C$2:$C$1001,MATCH($C32,Inventory!$A$2:$A$1001,0))&amp;"")</f>
        <v/>
      </c>
      <c r="E32" s="59" t="str">
        <f aca="false">IF($C32="","",INDEX(Inventory!$B$2:$B$1001,MATCH($C32,Inventory!$A$2:$A$1001,0)))</f>
        <v/>
      </c>
      <c r="F32" s="20" t="str">
        <f aca="false">IF($C32="","",INDEX(Inventory!$E$2:$E$1001,MATCH($C32,Inventory!$A$2:$A$1001,0))&amp;"")</f>
        <v/>
      </c>
      <c r="G32" s="20"/>
      <c r="H32" s="19" t="str">
        <f aca="false">IF($C32="","",INDEX(Inventory!$K$2:$K$1001,MATCH($C32,Inventory!$A$2:$A$1001,0))&amp;"")</f>
        <v/>
      </c>
      <c r="I32" s="19" t="str">
        <f aca="false">IF($C32="","",INDEX(Inventory!$F$2:$F$1001,MATCH($C32,Inventory!$A$2:$A$1001,0))&amp;"")</f>
        <v/>
      </c>
      <c r="J32" s="19"/>
      <c r="K32" s="22" t="str">
        <f aca="false">IF($C32="","",INDEX(Inventory!$O$2:$O$1001,MATCH($C32,Inventory!$A$2:$A$1001,0))&amp;"")</f>
        <v/>
      </c>
    </row>
    <row r="33" customFormat="false" ht="15" hidden="false" customHeight="false" outlineLevel="0" collapsed="false">
      <c r="C33" s="18" t="str">
        <f aca="false">IFERROR(HYPERLINK("#'Inventory'!A"&amp;(MATCH(LARGE(Inventory!$S$2:$S$1001,6),Inventory!$S$2:$S$1001,0)+1),INDEX(Inventory!$A$2:$A$1001,MATCH(LARGE(Inventory!$S$2:$S$1001,6),Inventory!$S$2:$S$1001,0))),"")</f>
        <v/>
      </c>
      <c r="D33" s="19" t="str">
        <f aca="false">IF($C33="","",INDEX(Inventory!$C$2:$C$1001,MATCH($C33,Inventory!$A$2:$A$1001,0))&amp;"")</f>
        <v/>
      </c>
      <c r="E33" s="59" t="str">
        <f aca="false">IF($C33="","",INDEX(Inventory!$B$2:$B$1001,MATCH($C33,Inventory!$A$2:$A$1001,0)))</f>
        <v/>
      </c>
      <c r="F33" s="20" t="str">
        <f aca="false">IF($C33="","",INDEX(Inventory!$E$2:$E$1001,MATCH($C33,Inventory!$A$2:$A$1001,0))&amp;"")</f>
        <v/>
      </c>
      <c r="G33" s="20"/>
      <c r="H33" s="19" t="str">
        <f aca="false">IF($C33="","",INDEX(Inventory!$K$2:$K$1001,MATCH($C33,Inventory!$A$2:$A$1001,0))&amp;"")</f>
        <v/>
      </c>
      <c r="I33" s="19" t="str">
        <f aca="false">IF($C33="","",INDEX(Inventory!$F$2:$F$1001,MATCH($C33,Inventory!$A$2:$A$1001,0))&amp;"")</f>
        <v/>
      </c>
      <c r="J33" s="19"/>
      <c r="K33" s="22" t="str">
        <f aca="false">IF($C33="","",INDEX(Inventory!$O$2:$O$1001,MATCH($C33,Inventory!$A$2:$A$1001,0))&amp;"")</f>
        <v/>
      </c>
    </row>
    <row r="34" customFormat="false" ht="15" hidden="false" customHeight="false" outlineLevel="0" collapsed="false">
      <c r="K34" s="23" t="str">
        <f aca="false">IF(COUNT(Inventory!$S$2:$S$1001)&gt;6,"+"&amp;(COUNT(Inventory!$S$2:$S$1001)-6)&amp;" more on the Inventory sheet","")</f>
        <v/>
      </c>
    </row>
    <row r="36" customFormat="false" ht="15" hidden="false" customHeight="false" outlineLevel="0" collapsed="false">
      <c r="B36" s="14" t="s">
        <v>157</v>
      </c>
      <c r="F36" s="15" t="s">
        <v>158</v>
      </c>
    </row>
    <row r="37" customFormat="false" ht="15" hidden="false" customHeight="false" outlineLevel="0" collapsed="false">
      <c r="C37" s="58" t="n">
        <f aca="false">IFERROR(INDEX(Done!$A$2:$A$1001,MATCH(LARGE(Done!$I$2:$I$1001,1),Done!$I$2:$I$1001,0)),"")</f>
        <v>46293</v>
      </c>
      <c r="D37" s="29" t="str">
        <f aca="false">IF($C37="","Nothing logged yet.",INDEX(Done!$B$2:$B$1001,MATCH(LARGE(Done!$I$2:$I$1001,1),Done!$I$2:$I$1001,0))&amp;"")</f>
        <v>Escalated the AI-003 MRM designation to the Council agenda.</v>
      </c>
      <c r="E37" s="29"/>
      <c r="F37" s="29"/>
      <c r="G37" s="29"/>
      <c r="H37" s="29"/>
      <c r="I37" s="29"/>
      <c r="J37" s="29"/>
      <c r="K37" s="29"/>
    </row>
    <row r="38" customFormat="false" ht="15" hidden="false" customHeight="false" outlineLevel="0" collapsed="false">
      <c r="C38" s="58" t="str">
        <f aca="false">IFERROR(INDEX(Done!$A$2:$A$1001,MATCH(LARGE(Done!$I$2:$I$1001,2),Done!$I$2:$I$1001,0)),"")</f>
        <v/>
      </c>
      <c r="D38" s="29" t="str">
        <f aca="false">IF($C38="","",INDEX(Done!$B$2:$B$1001,MATCH(LARGE(Done!$I$2:$I$1001,2),Done!$I$2:$I$1001,0))&amp;"")</f>
        <v/>
      </c>
      <c r="E38" s="29"/>
      <c r="F38" s="29"/>
      <c r="G38" s="29"/>
      <c r="H38" s="29"/>
      <c r="I38" s="29"/>
      <c r="J38" s="29"/>
      <c r="K38" s="29"/>
    </row>
    <row r="39" customFormat="false" ht="15" hidden="false" customHeight="false" outlineLevel="0" collapsed="false">
      <c r="C39" s="58" t="str">
        <f aca="false">IFERROR(INDEX(Done!$A$2:$A$1001,MATCH(LARGE(Done!$I$2:$I$1001,3),Done!$I$2:$I$1001,0)),"")</f>
        <v/>
      </c>
      <c r="D39" s="29" t="str">
        <f aca="false">IF($C39="","",INDEX(Done!$B$2:$B$1001,MATCH(LARGE(Done!$I$2:$I$1001,3),Done!$I$2:$I$1001,0))&amp;"")</f>
        <v/>
      </c>
      <c r="E39" s="29"/>
      <c r="F39" s="29"/>
      <c r="G39" s="29"/>
      <c r="H39" s="29"/>
      <c r="I39" s="29"/>
      <c r="J39" s="29"/>
      <c r="K39" s="29"/>
    </row>
    <row r="40" customFormat="false" ht="15" hidden="false" customHeight="false" outlineLevel="0" collapsed="false">
      <c r="C40" s="58" t="str">
        <f aca="false">IFERROR(INDEX(Done!$A$2:$A$1001,MATCH(LARGE(Done!$I$2:$I$1001,4),Done!$I$2:$I$1001,0)),"")</f>
        <v/>
      </c>
      <c r="D40" s="29" t="str">
        <f aca="false">IF($C40="","",INDEX(Done!$B$2:$B$1001,MATCH(LARGE(Done!$I$2:$I$1001,4),Done!$I$2:$I$1001,0))&amp;"")</f>
        <v/>
      </c>
      <c r="E40" s="29"/>
      <c r="F40" s="29"/>
      <c r="G40" s="29"/>
      <c r="H40" s="29"/>
      <c r="I40" s="29"/>
      <c r="J40" s="29"/>
      <c r="K40" s="29"/>
    </row>
    <row r="41" customFormat="false" ht="15" hidden="false" customHeight="false" outlineLevel="0" collapsed="false">
      <c r="C41" s="58" t="str">
        <f aca="false">IFERROR(INDEX(Done!$A$2:$A$1001,MATCH(LARGE(Done!$I$2:$I$1001,5),Done!$I$2:$I$1001,0)),"")</f>
        <v/>
      </c>
      <c r="D41" s="29" t="str">
        <f aca="false">IF($C41="","",INDEX(Done!$B$2:$B$1001,MATCH(LARGE(Done!$I$2:$I$1001,5),Done!$I$2:$I$1001,0))&amp;"")</f>
        <v/>
      </c>
      <c r="E41" s="29"/>
      <c r="F41" s="29"/>
      <c r="G41" s="29"/>
      <c r="H41" s="29"/>
      <c r="I41" s="29"/>
      <c r="J41" s="29"/>
      <c r="K41" s="29"/>
    </row>
    <row r="43" customFormat="false" ht="15" hidden="false" customHeight="false" outlineLevel="0" collapsed="false">
      <c r="B43" s="14" t="s">
        <v>159</v>
      </c>
    </row>
    <row r="44" customFormat="false" ht="15" hidden="false" customHeight="false" outlineLevel="0" collapsed="false">
      <c r="C44" s="60" t="str">
        <f aca="false">"draft Jira update for "&amp;E5</f>
        <v>draft Jira update for AI-003</v>
      </c>
    </row>
    <row r="45" customFormat="false" ht="15" hidden="false" customHeight="false" outlineLevel="0" collapsed="false">
      <c r="C45" s="60" t="str">
        <f aca="false">"what's open on "&amp;IF(UCRow="","&lt;topic&gt;",IF(INDEX('Use Cases'!$W$2:$W$501,UCRow)="","&lt;topic&gt;",INDEX('Use Cases'!$W$2:$W$501,UCRow)))</f>
        <v>what's open on fraud-alerts</v>
      </c>
    </row>
    <row r="46" customFormat="false" ht="15" hidden="false" customHeight="false" outlineLevel="0" collapsed="false">
      <c r="C46" s="60" t="str">
        <f aca="false">"log this: &lt;note about "&amp;E5&amp;"&gt;"</f>
        <v>log this: &lt;note about AI-003&gt;</v>
      </c>
    </row>
    <row r="47" customFormat="false" ht="15" hidden="false" customHeight="false" outlineLevel="0" collapsed="false">
      <c r="C47" s="60" t="str">
        <f aca="false">"prep for "&amp;IF(UCRow="","&lt;sitting&gt;",INDEX('Use Cases'!$AJ$2:$AJ$501,UCRow))</f>
        <v>prep for Portfolio Council</v>
      </c>
    </row>
  </sheetData>
  <mergeCells count="35">
    <mergeCell ref="G2:K2"/>
    <mergeCell ref="C7:E7"/>
    <mergeCell ref="G7:I7"/>
    <mergeCell ref="C8:E8"/>
    <mergeCell ref="G8:I8"/>
    <mergeCell ref="C9:E9"/>
    <mergeCell ref="G9:I9"/>
    <mergeCell ref="C14:K14"/>
    <mergeCell ref="E17:F17"/>
    <mergeCell ref="I17:K17"/>
    <mergeCell ref="E18:F18"/>
    <mergeCell ref="I18:K18"/>
    <mergeCell ref="E19:F19"/>
    <mergeCell ref="I19:K19"/>
    <mergeCell ref="E20:F20"/>
    <mergeCell ref="I20:K20"/>
    <mergeCell ref="E21:F21"/>
    <mergeCell ref="I21:K21"/>
    <mergeCell ref="E22:F22"/>
    <mergeCell ref="I22:K22"/>
    <mergeCell ref="E23:F23"/>
    <mergeCell ref="I23:K23"/>
    <mergeCell ref="E24:F24"/>
    <mergeCell ref="I24:K24"/>
    <mergeCell ref="F28:G28"/>
    <mergeCell ref="F29:G29"/>
    <mergeCell ref="F30:G30"/>
    <mergeCell ref="F31:G31"/>
    <mergeCell ref="F32:G32"/>
    <mergeCell ref="F33:G33"/>
    <mergeCell ref="D37:K37"/>
    <mergeCell ref="D38:K38"/>
    <mergeCell ref="D39:K39"/>
    <mergeCell ref="D40:K40"/>
    <mergeCell ref="D41:K41"/>
  </mergeCells>
  <conditionalFormatting sqref="G2:K2">
    <cfRule type="expression" priority="2" aboveAverage="0" equalAverage="0" bottom="0" percent="0" rank="0" text="" dxfId="0">
      <formula>OR(SampleAsOf&lt;&gt;"",SnapshotAt="",SnapshotAge&gt;SnapshotMaxAge)</formula>
    </cfRule>
  </conditionalFormatting>
  <conditionalFormatting sqref="C8:K8"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1">
      <formula>"Overdue"</formula>
    </cfRule>
    <cfRule type="cellIs" priority="5" operator="equal" aboveAverage="0" equalAverage="0" bottom="0" percent="0" rank="0" text="" dxfId="1">
      <formula>"Red"</formula>
    </cfRule>
    <cfRule type="cellIs" priority="6" operator="equal" aboveAverage="0" equalAverage="0" bottom="0" percent="0" rank="0" text="" dxfId="1">
      <formula>"Stale"</formula>
    </cfRule>
    <cfRule type="cellIs" priority="7" operator="equal" aboveAverage="0" equalAverage="0" bottom="0" percent="0" rank="0" text="" dxfId="2">
      <formula>"Warning"</formula>
    </cfRule>
    <cfRule type="cellIs" priority="8" operator="equal" aboveAverage="0" equalAverage="0" bottom="0" percent="0" rank="0" text="" dxfId="2">
      <formula>"At risk"</formula>
    </cfRule>
    <cfRule type="cellIs" priority="9" operator="equal" aboveAverage="0" equalAverage="0" bottom="0" percent="0" rank="0" text="" dxfId="2">
      <formula>"Amber"</formula>
    </cfRule>
    <cfRule type="cellIs" priority="10" operator="equal" aboveAverage="0" equalAverage="0" bottom="0" percent="0" rank="0" text="" dxfId="2">
      <formula>"Aging"</formula>
    </cfRule>
    <cfRule type="cellIs" priority="11" operator="equal" aboveAverage="0" equalAverage="0" bottom="0" percent="0" rank="0" text="" dxfId="2">
      <formula>"Over"</formula>
    </cfRule>
    <cfRule type="cellIs" priority="12" operator="equal" aboveAverage="0" equalAverage="0" bottom="0" percent="0" rank="0" text="" dxfId="2">
      <formula>"Unmapped"</formula>
    </cfRule>
    <cfRule type="cellIs" priority="13" operator="equal" aboveAverage="0" equalAverage="0" bottom="0" percent="0" rank="0" text="" dxfId="2">
      <formula>"Below line"</formula>
    </cfRule>
    <cfRule type="cellIs" priority="14" operator="equal" aboveAverage="0" equalAverage="0" bottom="0" percent="0" rank="0" text="" dxfId="3">
      <formula>"On track"</formula>
    </cfRule>
    <cfRule type="cellIs" priority="15" operator="equal" aboveAverage="0" equalAverage="0" bottom="0" percent="0" rank="0" text="" dxfId="3">
      <formula>"Good"</formula>
    </cfRule>
    <cfRule type="cellIs" priority="16" operator="equal" aboveAverage="0" equalAverage="0" bottom="0" percent="0" rank="0" text="" dxfId="3">
      <formula>"Green"</formula>
    </cfRule>
    <cfRule type="cellIs" priority="17" operator="equal" aboveAverage="0" equalAverage="0" bottom="0" percent="0" rank="0" text="" dxfId="3">
      <formula>"Fresh"</formula>
    </cfRule>
    <cfRule type="cellIs" priority="18" operator="equal" aboveAverage="0" equalAverage="0" bottom="0" percent="0" rank="0" text="" dxfId="3">
      <formula>"Fits"</formula>
    </cfRule>
    <cfRule type="cellIs" priority="19" operator="equal" aboveAverage="0" equalAverage="0" bottom="0" percent="0" rank="0" text="" dxfId="3">
      <formula>"Passed"</formula>
    </cfRule>
    <cfRule type="cellIs" priority="20" operator="equal" aboveAverage="0" equalAverage="0" bottom="0" percent="0" rank="0" text="" dxfId="3">
      <formula>"Inside"</formula>
    </cfRule>
    <cfRule type="cellIs" priority="21" operator="equal" aboveAverage="0" equalAverage="0" bottom="0" percent="0" rank="0" text="" dxfId="4">
      <formula>"Pending"</formula>
    </cfRule>
    <cfRule type="cellIs" priority="22" operator="equal" aboveAverage="0" equalAverage="0" bottom="0" percent="0" rank="0" text="" dxfId="4">
      <formula>"Closed"</formula>
    </cfRule>
    <cfRule type="cellIs" priority="23" operator="equal" aboveAverage="0" equalAverage="0" bottom="0" percent="0" rank="0" text="" dxfId="4">
      <formula>"Committed"</formula>
    </cfRule>
  </conditionalFormatting>
  <conditionalFormatting sqref="C13:J13">
    <cfRule type="cellIs" priority="24" operator="equal" aboveAverage="0" equalAverage="0" bottom="0" percent="0" rank="0" text="" dxfId="1">
      <formula>"Critical"</formula>
    </cfRule>
    <cfRule type="cellIs" priority="25" operator="equal" aboveAverage="0" equalAverage="0" bottom="0" percent="0" rank="0" text="" dxfId="1">
      <formula>"Overdue"</formula>
    </cfRule>
    <cfRule type="cellIs" priority="26" operator="equal" aboveAverage="0" equalAverage="0" bottom="0" percent="0" rank="0" text="" dxfId="1">
      <formula>"Red"</formula>
    </cfRule>
    <cfRule type="cellIs" priority="27" operator="equal" aboveAverage="0" equalAverage="0" bottom="0" percent="0" rank="0" text="" dxfId="1">
      <formula>"Stale"</formula>
    </cfRule>
    <cfRule type="cellIs" priority="28" operator="equal" aboveAverage="0" equalAverage="0" bottom="0" percent="0" rank="0" text="" dxfId="2">
      <formula>"Warning"</formula>
    </cfRule>
    <cfRule type="cellIs" priority="29" operator="equal" aboveAverage="0" equalAverage="0" bottom="0" percent="0" rank="0" text="" dxfId="2">
      <formula>"At risk"</formula>
    </cfRule>
    <cfRule type="cellIs" priority="30" operator="equal" aboveAverage="0" equalAverage="0" bottom="0" percent="0" rank="0" text="" dxfId="2">
      <formula>"Amber"</formula>
    </cfRule>
    <cfRule type="cellIs" priority="31" operator="equal" aboveAverage="0" equalAverage="0" bottom="0" percent="0" rank="0" text="" dxfId="2">
      <formula>"Aging"</formula>
    </cfRule>
    <cfRule type="cellIs" priority="32" operator="equal" aboveAverage="0" equalAverage="0" bottom="0" percent="0" rank="0" text="" dxfId="2">
      <formula>"Over"</formula>
    </cfRule>
    <cfRule type="cellIs" priority="33" operator="equal" aboveAverage="0" equalAverage="0" bottom="0" percent="0" rank="0" text="" dxfId="2">
      <formula>"Unmapped"</formula>
    </cfRule>
    <cfRule type="cellIs" priority="34" operator="equal" aboveAverage="0" equalAverage="0" bottom="0" percent="0" rank="0" text="" dxfId="2">
      <formula>"Below line"</formula>
    </cfRule>
    <cfRule type="cellIs" priority="35" operator="equal" aboveAverage="0" equalAverage="0" bottom="0" percent="0" rank="0" text="" dxfId="3">
      <formula>"On track"</formula>
    </cfRule>
    <cfRule type="cellIs" priority="36" operator="equal" aboveAverage="0" equalAverage="0" bottom="0" percent="0" rank="0" text="" dxfId="3">
      <formula>"Good"</formula>
    </cfRule>
    <cfRule type="cellIs" priority="37" operator="equal" aboveAverage="0" equalAverage="0" bottom="0" percent="0" rank="0" text="" dxfId="3">
      <formula>"Green"</formula>
    </cfRule>
    <cfRule type="cellIs" priority="38" operator="equal" aboveAverage="0" equalAverage="0" bottom="0" percent="0" rank="0" text="" dxfId="3">
      <formula>"Fresh"</formula>
    </cfRule>
    <cfRule type="cellIs" priority="39" operator="equal" aboveAverage="0" equalAverage="0" bottom="0" percent="0" rank="0" text="" dxfId="3">
      <formula>"Fits"</formula>
    </cfRule>
    <cfRule type="cellIs" priority="40" operator="equal" aboveAverage="0" equalAverage="0" bottom="0" percent="0" rank="0" text="" dxfId="3">
      <formula>"Passed"</formula>
    </cfRule>
    <cfRule type="cellIs" priority="41" operator="equal" aboveAverage="0" equalAverage="0" bottom="0" percent="0" rank="0" text="" dxfId="3">
      <formula>"Inside"</formula>
    </cfRule>
    <cfRule type="cellIs" priority="42" operator="equal" aboveAverage="0" equalAverage="0" bottom="0" percent="0" rank="0" text="" dxfId="4">
      <formula>"Pending"</formula>
    </cfRule>
    <cfRule type="cellIs" priority="43" operator="equal" aboveAverage="0" equalAverage="0" bottom="0" percent="0" rank="0" text="" dxfId="4">
      <formula>"Closed"</formula>
    </cfRule>
    <cfRule type="cellIs" priority="44" operator="equal" aboveAverage="0" equalAverage="0" bottom="0" percent="0" rank="0" text="" dxfId="4">
      <formula>"Committed"</formula>
    </cfRule>
  </conditionalFormatting>
  <dataValidations count="1">
    <dataValidation allowBlank="true" errorStyle="stop" operator="between" showDropDown="false" showErrorMessage="false" showInputMessage="false" sqref="E5" type="list">
      <formula1>'Use Cases'!$A$2:$A$501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A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9" min="7" style="0" width="10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8"/>
    <col collapsed="false" customWidth="true" hidden="false" outlineLevel="0" max="14" min="13" style="0" width="6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22"/>
    <col collapsed="false" customWidth="true" hidden="false" outlineLevel="0" max="21" min="19" style="0" width="10"/>
    <col collapsed="false" customWidth="true" hidden="false" outlineLevel="0" max="22" min="22" style="0" width="7"/>
    <col collapsed="false" customWidth="true" hidden="false" outlineLevel="0" max="23" min="23" style="0" width="14"/>
    <col collapsed="false" customWidth="true" hidden="false" outlineLevel="0" max="24" min="24" style="0" width="10"/>
    <col collapsed="false" customWidth="true" hidden="false" outlineLevel="0" max="25" min="25" style="0" width="7"/>
    <col collapsed="false" customWidth="true" hidden="false" outlineLevel="0" max="27" min="26" style="0" width="8"/>
    <col collapsed="false" customWidth="true" hidden="false" outlineLevel="0" max="29" min="28" style="0" width="9"/>
    <col collapsed="false" customWidth="true" hidden="false" outlineLevel="0" max="30" min="30" style="0" width="8"/>
    <col collapsed="false" customWidth="true" hidden="false" outlineLevel="0" max="31" min="31" style="0" width="7"/>
    <col collapsed="false" customWidth="true" hidden="false" outlineLevel="0" max="32" min="32" style="0" width="6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34"/>
    <col collapsed="false" customWidth="true" hidden="false" outlineLevel="0" max="36" min="36" style="0" width="14"/>
    <col collapsed="false" customWidth="true" hidden="false" outlineLevel="0" max="37" min="37" style="0" width="10"/>
    <col collapsed="false" customWidth="true" hidden="false" outlineLevel="0" max="38" min="38" style="0" width="7"/>
    <col collapsed="false" customWidth="true" hidden="false" outlineLevel="0" max="39" min="39" style="0" width="8"/>
    <col collapsed="false" customWidth="true" hidden="false" outlineLevel="0" max="40" min="40" style="0" width="10"/>
    <col collapsed="false" customWidth="true" hidden="false" outlineLevel="0" max="42" min="41" style="0" width="9"/>
    <col collapsed="false" customWidth="true" hidden="false" outlineLevel="0" max="43" min="43" style="0" width="34"/>
    <col collapsed="false" customWidth="true" hidden="false" outlineLevel="0" max="44" min="44" style="0" width="26"/>
    <col collapsed="false" customWidth="true" hidden="false" outlineLevel="0" max="45" min="45" style="0" width="6"/>
    <col collapsed="false" customWidth="true" hidden="false" outlineLevel="0" max="48" min="46" style="0" width="8"/>
    <col collapsed="false" customWidth="true" hidden="false" outlineLevel="0" max="49" min="49" style="0" width="18"/>
    <col collapsed="false" customWidth="true" hidden="false" outlineLevel="0" max="52" min="50" style="0" width="8"/>
  </cols>
  <sheetData>
    <row r="1" customFormat="false" ht="30" hidden="false" customHeight="true" outlineLevel="0" collapsed="false">
      <c r="A1" s="61" t="s">
        <v>18</v>
      </c>
      <c r="B1" s="61" t="s">
        <v>13</v>
      </c>
      <c r="C1" s="61" t="s">
        <v>160</v>
      </c>
      <c r="D1" s="61" t="s">
        <v>61</v>
      </c>
      <c r="E1" s="61" t="s">
        <v>20</v>
      </c>
      <c r="F1" s="61" t="s">
        <v>144</v>
      </c>
      <c r="G1" s="61" t="s">
        <v>145</v>
      </c>
      <c r="H1" s="61" t="s">
        <v>147</v>
      </c>
      <c r="I1" s="61" t="s">
        <v>161</v>
      </c>
      <c r="J1" s="61" t="s">
        <v>146</v>
      </c>
      <c r="K1" s="61" t="s">
        <v>75</v>
      </c>
      <c r="L1" s="61" t="s">
        <v>58</v>
      </c>
      <c r="M1" s="61" t="s">
        <v>55</v>
      </c>
      <c r="N1" s="61" t="s">
        <v>54</v>
      </c>
      <c r="O1" s="61" t="s">
        <v>162</v>
      </c>
      <c r="P1" s="61" t="s">
        <v>151</v>
      </c>
      <c r="Q1" s="61" t="s">
        <v>153</v>
      </c>
      <c r="R1" s="61" t="s">
        <v>152</v>
      </c>
      <c r="S1" s="61" t="s">
        <v>150</v>
      </c>
      <c r="T1" s="61" t="s">
        <v>163</v>
      </c>
      <c r="U1" s="61" t="s">
        <v>164</v>
      </c>
      <c r="V1" s="61" t="s">
        <v>165</v>
      </c>
      <c r="W1" s="61" t="s">
        <v>9</v>
      </c>
      <c r="X1" s="62" t="s">
        <v>19</v>
      </c>
      <c r="Y1" s="62" t="s">
        <v>166</v>
      </c>
      <c r="Z1" s="62" t="s">
        <v>21</v>
      </c>
      <c r="AA1" s="62" t="s">
        <v>167</v>
      </c>
      <c r="AB1" s="62" t="s">
        <v>22</v>
      </c>
      <c r="AC1" s="62" t="s">
        <v>62</v>
      </c>
      <c r="AD1" s="62" t="s">
        <v>63</v>
      </c>
      <c r="AE1" s="62" t="s">
        <v>168</v>
      </c>
      <c r="AF1" s="62" t="s">
        <v>11</v>
      </c>
      <c r="AG1" s="62" t="s">
        <v>122</v>
      </c>
      <c r="AH1" s="62" t="s">
        <v>23</v>
      </c>
      <c r="AI1" s="62" t="s">
        <v>131</v>
      </c>
      <c r="AJ1" s="62" t="s">
        <v>64</v>
      </c>
      <c r="AK1" s="62" t="s">
        <v>169</v>
      </c>
      <c r="AL1" s="62" t="s">
        <v>170</v>
      </c>
      <c r="AM1" s="62" t="s">
        <v>56</v>
      </c>
      <c r="AN1" s="62" t="s">
        <v>57</v>
      </c>
      <c r="AO1" s="62" t="s">
        <v>171</v>
      </c>
      <c r="AP1" s="62" t="s">
        <v>172</v>
      </c>
      <c r="AQ1" s="62" t="s">
        <v>24</v>
      </c>
      <c r="AR1" s="62" t="s">
        <v>15</v>
      </c>
      <c r="AS1" s="62" t="s">
        <v>173</v>
      </c>
      <c r="AT1" s="62" t="s">
        <v>174</v>
      </c>
      <c r="AU1" s="62" t="s">
        <v>175</v>
      </c>
      <c r="AV1" s="62" t="s">
        <v>176</v>
      </c>
      <c r="AW1" s="62" t="s">
        <v>177</v>
      </c>
      <c r="AX1" s="62" t="s">
        <v>178</v>
      </c>
      <c r="AY1" s="62" t="s">
        <v>179</v>
      </c>
      <c r="AZ1" s="62" t="s">
        <v>180</v>
      </c>
    </row>
    <row r="2" customFormat="false" ht="15" hidden="false" customHeight="false" outlineLevel="0" collapsed="false">
      <c r="A2" s="28" t="s">
        <v>181</v>
      </c>
      <c r="B2" s="28" t="s">
        <v>182</v>
      </c>
      <c r="C2" s="28" t="s">
        <v>183</v>
      </c>
      <c r="D2" s="28" t="s">
        <v>184</v>
      </c>
      <c r="E2" s="28" t="s">
        <v>185</v>
      </c>
      <c r="F2" s="28" t="s">
        <v>186</v>
      </c>
      <c r="G2" s="63" t="n">
        <v>46115</v>
      </c>
      <c r="H2" s="63" t="n">
        <v>46293</v>
      </c>
      <c r="I2" s="63" t="n">
        <v>46342</v>
      </c>
      <c r="J2" s="28" t="s">
        <v>79</v>
      </c>
      <c r="K2" s="28" t="s">
        <v>187</v>
      </c>
      <c r="L2" s="28" t="n">
        <v>850</v>
      </c>
      <c r="M2" s="28" t="n">
        <v>8</v>
      </c>
      <c r="N2" s="28" t="n">
        <v>4.2</v>
      </c>
      <c r="O2" s="64" t="s">
        <v>188</v>
      </c>
      <c r="P2" s="64" t="s">
        <v>189</v>
      </c>
      <c r="Q2" s="64" t="s">
        <v>188</v>
      </c>
      <c r="R2" s="28"/>
      <c r="S2" s="63" t="n">
        <v>46153</v>
      </c>
      <c r="T2" s="64"/>
      <c r="U2" s="63"/>
      <c r="V2" s="64"/>
      <c r="W2" s="28" t="s">
        <v>190</v>
      </c>
      <c r="X2" s="65" t="str">
        <f aca="false">IF($A2="","",IF(OR($T2&lt;&gt;"",$U2&lt;&gt;""),"Closed",IFERROR(INDEX(MapStage,MATCH($C2,MapStatus,0)),"Unmapped")))</f>
        <v>Scale</v>
      </c>
      <c r="Y2" s="65" t="n">
        <f aca="false">IF(OR($X2="",$X2="Closed",$X2="Unmapped"),"",MATCH($X2,StageName,0))</f>
        <v>7</v>
      </c>
      <c r="Z2" s="65" t="n">
        <f aca="false">IF(OR($Y2="",$I2=""),"",$I2-AsOf)</f>
        <v>45</v>
      </c>
      <c r="AA2" s="65" t="n">
        <f aca="false">IF($A2="","",AsOf-$H2)</f>
        <v>4</v>
      </c>
      <c r="AB2" s="65" t="str">
        <f aca="false">IF($A2="","",IF($X2="Closed","Closed",IF($X2="Unmapped","Unmapped",IF($I2="","No target",IF($Z2&lt;0,"Overdue",IF($Z2&lt;=INDEX(StageWindow,$Y2),"At risk","On track"))))))</f>
        <v>On track</v>
      </c>
      <c r="AC2" s="65" t="str">
        <f aca="false">IF($Y2="","",IF($AA2&gt;2*INDEX(StageStale,$Y2),"Stale",IF($AA2&gt;INDEX(StageStale,$Y2),"Aging","Fresh")))</f>
        <v>Fresh</v>
      </c>
      <c r="AD2" s="65" t="str">
        <f aca="false">IF($A2="","",IF(OR(ISNUMBER(SEARCH("Reg report",$J2)),ISNUMBER(SEARCH("No human review",$J2)),COUNTIF(TierFuncs,$D2)&gt;0),"High",IF(OR(TRIM($J2)&lt;&gt;"",ISNUMBER(SEARCH("revenue",$K2))),"Medium","Low")))</f>
        <v>Medium</v>
      </c>
      <c r="AE2" s="65" t="n">
        <f aca="false">IF($A2="","",INDEX(TierDays,MATCH($AD2,TierName,0)))</f>
        <v>45</v>
      </c>
      <c r="AF2" s="65" t="n">
        <f aca="false">IF($A2="","",AsOf-$G2)</f>
        <v>182</v>
      </c>
      <c r="AG2" s="65" t="str">
        <f aca="false">IF($Y2="","",IF($Y2&lt;=5,IF($AF2&gt;$AE2,"Over","Inside"),"Past approval"))</f>
        <v>Past approval</v>
      </c>
      <c r="AH2" s="65" t="str">
        <f aca="false">IF($Y2="","",CHOOSE($Y2,IF(OR(TRIM($F2)="",ISNUMBER(SEARCH("not named",$F2))),"Critical","Good"),IF($O2&lt;&gt;"Y","Critical",IF($Q2&lt;&gt;"Y","Warning","Good")),IF($P2="","Critical",IF($P2="partial","Warning",IF($P2="ready","Good","Critical"))),IF($R2&lt;&gt;"","Critical","Warning"),IF($L2="","Critical",IF($N2="","Warning","Good")),IF($R2&lt;&gt;"","Critical","Warning"),IF($R2&lt;&gt;"","Critical","Warning"),IF($Q2="Y","Good","Critical")))</f>
        <v>Warning</v>
      </c>
      <c r="AI2" s="65" t="str">
        <f aca="false">IF($Y2="","",CHOOSE($Y2,IF(OR(TRIM($F2)="",ISNUMBER(SEARCH("not named",$F2))),"Name a sponsor accountable for the value",""),IF($O2&lt;&gt;"Y","State the success metric and the stop condition",IF($Q2&lt;&gt;"Y","Set the baseline the benefit will be measured against","")),IF($P2="","Assess data readiness and regulatory impact",IF($P2="partial","Close the known data gaps",IF($P2="ready","","Data is not available; reshape or park"))),IF($R2&lt;&gt;"",IF(OR(ISNUMBER(SEARCH("mrm",$R2)),ISNUMBER(SEARCH("model",$R2)),ISNUMBER(SEARCH("risk",$R2)),ISNUMBER(SEARCH("legal",$R2)),ISNUMBER(SEARCH("complian",$R2))),"Awaiting ","Held at the design gate: ")&amp;$R2,"Map the governance framework for its tier"),IF($L2="","Size the annual benefit",IF($N2="","Score it so it can be ranked against capacity","")),IF($R2&lt;&gt;"","Build held: "&amp;$R2,"In build, not yet through test"),IF($R2&lt;&gt;"","Not ready to scale: "&amp;$R2,"Monitoring and third-party review not yet signed off"),IF($Q2="Y","","Live without a measured baseline to judge it against")))</f>
        <v>Monitoring and third-party review not yet signed off</v>
      </c>
      <c r="AJ2" s="65" t="str">
        <f aca="false">IF($Y2="","",INDEX(StageForum,$Y2))</f>
        <v>Tactical Standup</v>
      </c>
      <c r="AK2" s="65" t="str">
        <f aca="false">IF($Y2="","",IF(OR($X2="Delivery",$X2="Value"),"Committed",IF($N2&lt;&gt;"","Candidate","")))</f>
        <v>Candidate</v>
      </c>
      <c r="AL2" s="65" t="n">
        <f aca="false">IF($AK2&lt;&gt;"Candidate","",COUNTIFS($AK$2:$AK$501,"Candidate",$N$2:$N$501,"&gt;"&amp;$N2)+COUNTIFS($AK$2:$AK$501,"Candidate",$N$2:$N$501,$N2,$A$2:$A$501,"&lt;"&amp;$A2)+1)</f>
        <v>4</v>
      </c>
      <c r="AM2" s="65" t="n">
        <f aca="false">IF($AL2="","",SUMIFS($M$2:$M$501,$AK$2:$AK$501,"Candidate",$AL$2:$AL$501,"&lt;="&amp;$AL2))</f>
        <v>29</v>
      </c>
      <c r="AN2" s="65" t="str">
        <f aca="false">IF($AL2="","",IF($AM2&lt;=CapacityOpen,"Fits","Below line"))</f>
        <v>Below line</v>
      </c>
      <c r="AO2" s="65" t="str">
        <f aca="false">IF($A2="","",IF($X2="Closed","",IF($X2="Unmapped","Warning",IF(OR($AB2="Overdue",$V2="Y",$AH2="Critical"),"Critical",IF(OR($AB2="At risk",$AC2="Stale",$AG2="Over"),"Warning","")))))</f>
        <v/>
      </c>
      <c r="AP2" s="65" t="str">
        <f aca="false">IF($AO2="","",IF($AO2="Critical",3000,2000)-IF($Z2="",0,$Z2)+ROW()/100000)</f>
        <v/>
      </c>
      <c r="AQ2" s="65" t="str">
        <f aca="false">IF($AO2="","",IF($X2="Unmapped","Status '"&amp;$C2&amp;"' is not in the Config map",IF($V2="Y","Flagged in Jira",IF($AB2="Overdue",-$Z2&amp;" days past its "&amp;$X2&amp;" target",IF($AH2="Critical",$AI2,IF($AB2="At risk","Target in "&amp;$Z2&amp;" days",IF($AC2="Stale","No update in "&amp;$AA2&amp;" days","Past its "&amp;$AE2&amp;"-day tier window")))))))</f>
        <v/>
      </c>
      <c r="AR2" s="65" t="str">
        <f aca="false">IF($AO2="","","draft Jira update for "&amp;$A2)</f>
        <v/>
      </c>
      <c r="AS2" s="65" t="str">
        <f aca="false">IF($A2="","",HYPERLINK(JiraSite&amp;"/browse/"&amp;$A2,"open"))</f>
        <v>open</v>
      </c>
      <c r="AT2" s="65" t="n">
        <f aca="false">IF($Y2="","",$Y2*1000+ROW())</f>
        <v>7002</v>
      </c>
      <c r="AU2" s="65" t="str">
        <f aca="false">IF(AND($A2&lt;&gt;"",$G2&gt;=WeekStart),$G2+ROW()/100000,"")</f>
        <v/>
      </c>
      <c r="AV2" s="65" t="str">
        <f aca="false">IF($A2="","",IF(OR(AND($S2&lt;&gt;"",$S2&gt;=WeekStart),AND($U2&lt;&gt;"",$U2&gt;=WeekStart)),MAX($S2,$U2)+ROW()/100000,""))</f>
        <v/>
      </c>
      <c r="AW2" s="65" t="str">
        <f aca="false">IF($AV2="","",IF($T2&lt;&gt;"",$T2,IF($X2="Closed","Closed","Accepted to "&amp;$X2)))</f>
        <v/>
      </c>
      <c r="AX2" s="65" t="str">
        <f aca="false">IF(AND($Y2&lt;&gt;"",$R2&lt;&gt;""),$AF2+ROW()/100000,"")</f>
        <v/>
      </c>
      <c r="AY2" s="65" t="str">
        <f aca="false">IF(AND($Y2&lt;&gt;"",OR($AB2="Overdue",AND($AH2="Critical",$R2&lt;&gt;""))),$AF2+ROW()/100000,"")</f>
        <v/>
      </c>
      <c r="AZ2" s="65" t="str">
        <f aca="false">IF($AH2="Critical",$AF2+ROW()/100000,"")</f>
        <v/>
      </c>
    </row>
    <row r="3" customFormat="false" ht="15" hidden="false" customHeight="false" outlineLevel="0" collapsed="false">
      <c r="A3" s="28" t="s">
        <v>191</v>
      </c>
      <c r="B3" s="28" t="s">
        <v>192</v>
      </c>
      <c r="C3" s="28" t="s">
        <v>46</v>
      </c>
      <c r="D3" s="28" t="s">
        <v>193</v>
      </c>
      <c r="E3" s="28" t="s">
        <v>194</v>
      </c>
      <c r="F3" s="28" t="s">
        <v>195</v>
      </c>
      <c r="G3" s="63" t="n">
        <v>46260</v>
      </c>
      <c r="H3" s="63" t="n">
        <v>46294</v>
      </c>
      <c r="I3" s="63" t="n">
        <v>46309</v>
      </c>
      <c r="J3" s="28" t="s">
        <v>79</v>
      </c>
      <c r="K3" s="28" t="s">
        <v>196</v>
      </c>
      <c r="L3" s="28"/>
      <c r="M3" s="28" t="n">
        <v>5</v>
      </c>
      <c r="N3" s="28"/>
      <c r="O3" s="64" t="s">
        <v>188</v>
      </c>
      <c r="P3" s="64" t="s">
        <v>197</v>
      </c>
      <c r="Q3" s="64"/>
      <c r="R3" s="28"/>
      <c r="S3" s="63" t="n">
        <v>46275</v>
      </c>
      <c r="T3" s="64"/>
      <c r="U3" s="63"/>
      <c r="V3" s="64"/>
      <c r="W3" s="28" t="s">
        <v>198</v>
      </c>
      <c r="X3" s="65" t="str">
        <f aca="false">IF($A3="","",IF(OR($T3&lt;&gt;"",$U3&lt;&gt;""),"Closed",IFERROR(INDEX(MapStage,MATCH($C3,MapStatus,0)),"Unmapped")))</f>
        <v>Discovery</v>
      </c>
      <c r="Y3" s="65" t="n">
        <f aca="false">IF(OR($X3="",$X3="Closed",$X3="Unmapped"),"",MATCH($X3,StageName,0))</f>
        <v>3</v>
      </c>
      <c r="Z3" s="65" t="n">
        <f aca="false">IF(OR($Y3="",$I3=""),"",$I3-AsOf)</f>
        <v>12</v>
      </c>
      <c r="AA3" s="65" t="n">
        <f aca="false">IF($A3="","",AsOf-$H3)</f>
        <v>3</v>
      </c>
      <c r="AB3" s="65" t="str">
        <f aca="false">IF($A3="","",IF($X3="Closed","Closed",IF($X3="Unmapped","Unmapped",IF($I3="","No target",IF($Z3&lt;0,"Overdue",IF($Z3&lt;=INDEX(StageWindow,$Y3),"At risk","On track"))))))</f>
        <v>On track</v>
      </c>
      <c r="AC3" s="65" t="str">
        <f aca="false">IF($Y3="","",IF($AA3&gt;2*INDEX(StageStale,$Y3),"Stale",IF($AA3&gt;INDEX(StageStale,$Y3),"Aging","Fresh")))</f>
        <v>Fresh</v>
      </c>
      <c r="AD3" s="65" t="str">
        <f aca="false">IF($A3="","",IF(OR(ISNUMBER(SEARCH("Reg report",$J3)),ISNUMBER(SEARCH("No human review",$J3)),COUNTIF(TierFuncs,$D3)&gt;0),"High",IF(OR(TRIM($J3)&lt;&gt;"",ISNUMBER(SEARCH("revenue",$K3))),"Medium","Low")))</f>
        <v>Medium</v>
      </c>
      <c r="AE3" s="65" t="n">
        <f aca="false">IF($A3="","",INDEX(TierDays,MATCH($AD3,TierName,0)))</f>
        <v>45</v>
      </c>
      <c r="AF3" s="65" t="n">
        <f aca="false">IF($A3="","",AsOf-$G3)</f>
        <v>37</v>
      </c>
      <c r="AG3" s="65" t="str">
        <f aca="false">IF($Y3="","",IF($Y3&lt;=5,IF($AF3&gt;$AE3,"Over","Inside"),"Past approval"))</f>
        <v>Inside</v>
      </c>
      <c r="AH3" s="65" t="str">
        <f aca="false">IF($Y3="","",CHOOSE($Y3,IF(OR(TRIM($F3)="",ISNUMBER(SEARCH("not named",$F3))),"Critical","Good"),IF($O3&lt;&gt;"Y","Critical",IF($Q3&lt;&gt;"Y","Warning","Good")),IF($P3="","Critical",IF($P3="partial","Warning",IF($P3="ready","Good","Critical"))),IF($R3&lt;&gt;"","Critical","Warning"),IF($L3="","Critical",IF($N3="","Warning","Good")),IF($R3&lt;&gt;"","Critical","Warning"),IF($R3&lt;&gt;"","Critical","Warning"),IF($Q3="Y","Good","Critical")))</f>
        <v>Warning</v>
      </c>
      <c r="AI3" s="65" t="str">
        <f aca="false">IF($Y3="","",CHOOSE($Y3,IF(OR(TRIM($F3)="",ISNUMBER(SEARCH("not named",$F3))),"Name a sponsor accountable for the value",""),IF($O3&lt;&gt;"Y","State the success metric and the stop condition",IF($Q3&lt;&gt;"Y","Set the baseline the benefit will be measured against","")),IF($P3="","Assess data readiness and regulatory impact",IF($P3="partial","Close the known data gaps",IF($P3="ready","","Data is not available; reshape or park"))),IF($R3&lt;&gt;"",IF(OR(ISNUMBER(SEARCH("mrm",$R3)),ISNUMBER(SEARCH("model",$R3)),ISNUMBER(SEARCH("risk",$R3)),ISNUMBER(SEARCH("legal",$R3)),ISNUMBER(SEARCH("complian",$R3))),"Awaiting ","Held at the design gate: ")&amp;$R3,"Map the governance framework for its tier"),IF($L3="","Size the annual benefit",IF($N3="","Score it so it can be ranked against capacity","")),IF($R3&lt;&gt;"","Build held: "&amp;$R3,"In build, not yet through test"),IF($R3&lt;&gt;"","Not ready to scale: "&amp;$R3,"Monitoring and third-party review not yet signed off"),IF($Q3="Y","","Live without a measured baseline to judge it against")))</f>
        <v>Close the known data gaps</v>
      </c>
      <c r="AJ3" s="65" t="str">
        <f aca="false">IF($Y3="","",INDEX(StageForum,$Y3))</f>
        <v>Tactical Standup</v>
      </c>
      <c r="AK3" s="65" t="str">
        <f aca="false">IF($Y3="","",IF(OR($X3="Delivery",$X3="Value"),"Committed",IF($N3&lt;&gt;"","Candidate","")))</f>
        <v/>
      </c>
      <c r="AL3" s="65" t="str">
        <f aca="false">IF($AK3&lt;&gt;"Candidate","",COUNTIFS($AK$2:$AK$501,"Candidate",$N$2:$N$501,"&gt;"&amp;$N3)+COUNTIFS($AK$2:$AK$501,"Candidate",$N$2:$N$501,$N3,$A$2:$A$501,"&lt;"&amp;$A3)+1)</f>
        <v/>
      </c>
      <c r="AM3" s="65" t="str">
        <f aca="false">IF($AL3="","",SUMIFS($M$2:$M$501,$AK$2:$AK$501,"Candidate",$AL$2:$AL$501,"&lt;="&amp;$AL3))</f>
        <v/>
      </c>
      <c r="AN3" s="65" t="str">
        <f aca="false">IF($AL3="","",IF($AM3&lt;=CapacityOpen,"Fits","Below line"))</f>
        <v/>
      </c>
      <c r="AO3" s="65" t="str">
        <f aca="false">IF($A3="","",IF($X3="Closed","",IF($X3="Unmapped","Warning",IF(OR($AB3="Overdue",$V3="Y",$AH3="Critical"),"Critical",IF(OR($AB3="At risk",$AC3="Stale",$AG3="Over"),"Warning","")))))</f>
        <v/>
      </c>
      <c r="AP3" s="65" t="str">
        <f aca="false">IF($AO3="","",IF($AO3="Critical",3000,2000)-IF($Z3="",0,$Z3)+ROW()/100000)</f>
        <v/>
      </c>
      <c r="AQ3" s="65" t="str">
        <f aca="false">IF($AO3="","",IF($X3="Unmapped","Status '"&amp;$C3&amp;"' is not in the Config map",IF($V3="Y","Flagged in Jira",IF($AB3="Overdue",-$Z3&amp;" days past its "&amp;$X3&amp;" target",IF($AH3="Critical",$AI3,IF($AB3="At risk","Target in "&amp;$Z3&amp;" days",IF($AC3="Stale","No update in "&amp;$AA3&amp;" days","Past its "&amp;$AE3&amp;"-day tier window")))))))</f>
        <v/>
      </c>
      <c r="AR3" s="65" t="str">
        <f aca="false">IF($AO3="","","draft Jira update for "&amp;$A3)</f>
        <v/>
      </c>
      <c r="AS3" s="65" t="str">
        <f aca="false">IF($A3="","",HYPERLINK(JiraSite&amp;"/browse/"&amp;$A3,"open"))</f>
        <v>open</v>
      </c>
      <c r="AT3" s="65" t="n">
        <f aca="false">IF($Y3="","",$Y3*1000+ROW())</f>
        <v>3003</v>
      </c>
      <c r="AU3" s="65" t="str">
        <f aca="false">IF(AND($A3&lt;&gt;"",$G3&gt;=WeekStart),$G3+ROW()/100000,"")</f>
        <v/>
      </c>
      <c r="AV3" s="65" t="str">
        <f aca="false">IF($A3="","",IF(OR(AND($S3&lt;&gt;"",$S3&gt;=WeekStart),AND($U3&lt;&gt;"",$U3&gt;=WeekStart)),MAX($S3,$U3)+ROW()/100000,""))</f>
        <v/>
      </c>
      <c r="AW3" s="65" t="str">
        <f aca="false">IF($AV3="","",IF($T3&lt;&gt;"",$T3,IF($X3="Closed","Closed","Accepted to "&amp;$X3)))</f>
        <v/>
      </c>
      <c r="AX3" s="65" t="str">
        <f aca="false">IF(AND($Y3&lt;&gt;"",$R3&lt;&gt;""),$AF3+ROW()/100000,"")</f>
        <v/>
      </c>
      <c r="AY3" s="65" t="str">
        <f aca="false">IF(AND($Y3&lt;&gt;"",OR($AB3="Overdue",AND($AH3="Critical",$R3&lt;&gt;""))),$AF3+ROW()/100000,"")</f>
        <v/>
      </c>
      <c r="AZ3" s="65" t="str">
        <f aca="false">IF($AH3="Critical",$AF3+ROW()/100000,"")</f>
        <v/>
      </c>
    </row>
    <row r="4" customFormat="false" ht="15" hidden="false" customHeight="false" outlineLevel="0" collapsed="false">
      <c r="A4" s="28" t="s">
        <v>135</v>
      </c>
      <c r="B4" s="28" t="s">
        <v>199</v>
      </c>
      <c r="C4" s="28" t="s">
        <v>47</v>
      </c>
      <c r="D4" s="28" t="s">
        <v>200</v>
      </c>
      <c r="E4" s="28" t="s">
        <v>201</v>
      </c>
      <c r="F4" s="28" t="s">
        <v>202</v>
      </c>
      <c r="G4" s="63" t="n">
        <v>46235</v>
      </c>
      <c r="H4" s="63" t="n">
        <v>46295</v>
      </c>
      <c r="I4" s="63" t="n">
        <v>46294</v>
      </c>
      <c r="J4" s="28" t="s">
        <v>79</v>
      </c>
      <c r="K4" s="28" t="s">
        <v>203</v>
      </c>
      <c r="L4" s="28" t="n">
        <v>1200</v>
      </c>
      <c r="M4" s="28" t="n">
        <v>8</v>
      </c>
      <c r="N4" s="28" t="n">
        <v>6.8</v>
      </c>
      <c r="O4" s="64" t="s">
        <v>188</v>
      </c>
      <c r="P4" s="64" t="s">
        <v>189</v>
      </c>
      <c r="Q4" s="64" t="s">
        <v>188</v>
      </c>
      <c r="R4" s="28" t="s">
        <v>204</v>
      </c>
      <c r="S4" s="63" t="n">
        <v>46256</v>
      </c>
      <c r="T4" s="64"/>
      <c r="U4" s="63"/>
      <c r="V4" s="64" t="s">
        <v>188</v>
      </c>
      <c r="W4" s="28" t="s">
        <v>205</v>
      </c>
      <c r="X4" s="65" t="str">
        <f aca="false">IF($A4="","",IF(OR($T4&lt;&gt;"",$U4&lt;&gt;""),"Closed",IFERROR(INDEX(MapStage,MATCH($C4,MapStatus,0)),"Unmapped")))</f>
        <v>Design</v>
      </c>
      <c r="Y4" s="65" t="n">
        <f aca="false">IF(OR($X4="",$X4="Closed",$X4="Unmapped"),"",MATCH($X4,StageName,0))</f>
        <v>4</v>
      </c>
      <c r="Z4" s="65" t="n">
        <f aca="false">IF(OR($Y4="",$I4=""),"",$I4-AsOf)</f>
        <v>-3</v>
      </c>
      <c r="AA4" s="65" t="n">
        <f aca="false">IF($A4="","",AsOf-$H4)</f>
        <v>2</v>
      </c>
      <c r="AB4" s="65" t="str">
        <f aca="false">IF($A4="","",IF($X4="Closed","Closed",IF($X4="Unmapped","Unmapped",IF($I4="","No target",IF($Z4&lt;0,"Overdue",IF($Z4&lt;=INDEX(StageWindow,$Y4),"At risk","On track"))))))</f>
        <v>Overdue</v>
      </c>
      <c r="AC4" s="65" t="str">
        <f aca="false">IF($Y4="","",IF($AA4&gt;2*INDEX(StageStale,$Y4),"Stale",IF($AA4&gt;INDEX(StageStale,$Y4),"Aging","Fresh")))</f>
        <v>Fresh</v>
      </c>
      <c r="AD4" s="65" t="str">
        <f aca="false">IF($A4="","",IF(OR(ISNUMBER(SEARCH("Reg report",$J4)),ISNUMBER(SEARCH("No human review",$J4)),COUNTIF(TierFuncs,$D4)&gt;0),"High",IF(OR(TRIM($J4)&lt;&gt;"",ISNUMBER(SEARCH("revenue",$K4))),"Medium","Low")))</f>
        <v>High</v>
      </c>
      <c r="AE4" s="65" t="n">
        <f aca="false">IF($A4="","",INDEX(TierDays,MATCH($AD4,TierName,0)))</f>
        <v>70</v>
      </c>
      <c r="AF4" s="65" t="n">
        <f aca="false">IF($A4="","",AsOf-$G4)</f>
        <v>62</v>
      </c>
      <c r="AG4" s="65" t="str">
        <f aca="false">IF($Y4="","",IF($Y4&lt;=5,IF($AF4&gt;$AE4,"Over","Inside"),"Past approval"))</f>
        <v>Inside</v>
      </c>
      <c r="AH4" s="65" t="str">
        <f aca="false">IF($Y4="","",CHOOSE($Y4,IF(OR(TRIM($F4)="",ISNUMBER(SEARCH("not named",$F4))),"Critical","Good"),IF($O4&lt;&gt;"Y","Critical",IF($Q4&lt;&gt;"Y","Warning","Good")),IF($P4="","Critical",IF($P4="partial","Warning",IF($P4="ready","Good","Critical"))),IF($R4&lt;&gt;"","Critical","Warning"),IF($L4="","Critical",IF($N4="","Warning","Good")),IF($R4&lt;&gt;"","Critical","Warning"),IF($R4&lt;&gt;"","Critical","Warning"),IF($Q4="Y","Good","Critical")))</f>
        <v>Critical</v>
      </c>
      <c r="AI4" s="65" t="str">
        <f aca="false">IF($Y4="","",CHOOSE($Y4,IF(OR(TRIM($F4)="",ISNUMBER(SEARCH("not named",$F4))),"Name a sponsor accountable for the value",""),IF($O4&lt;&gt;"Y","State the success metric and the stop condition",IF($Q4&lt;&gt;"Y","Set the baseline the benefit will be measured against","")),IF($P4="","Assess data readiness and regulatory impact",IF($P4="partial","Close the known data gaps",IF($P4="ready","","Data is not available; reshape or park"))),IF($R4&lt;&gt;"",IF(OR(ISNUMBER(SEARCH("mrm",$R4)),ISNUMBER(SEARCH("model",$R4)),ISNUMBER(SEARCH("risk",$R4)),ISNUMBER(SEARCH("legal",$R4)),ISNUMBER(SEARCH("complian",$R4))),"Awaiting ","Held at the design gate: ")&amp;$R4,"Map the governance framework for its tier"),IF($L4="","Size the annual benefit",IF($N4="","Score it so it can be ranked against capacity","")),IF($R4&lt;&gt;"","Build held: "&amp;$R4,"In build, not yet through test"),IF($R4&lt;&gt;"","Not ready to scale: "&amp;$R4,"Monitoring and third-party review not yet signed off"),IF($Q4="Y","","Live without a measured baseline to judge it against")))</f>
        <v>Awaiting MRM model designation</v>
      </c>
      <c r="AJ4" s="65" t="str">
        <f aca="false">IF($Y4="","",INDEX(StageForum,$Y4))</f>
        <v>Portfolio Council</v>
      </c>
      <c r="AK4" s="65" t="str">
        <f aca="false">IF($Y4="","",IF(OR($X4="Delivery",$X4="Value"),"Committed",IF($N4&lt;&gt;"","Candidate","")))</f>
        <v>Candidate</v>
      </c>
      <c r="AL4" s="65" t="n">
        <f aca="false">IF($AK4&lt;&gt;"Candidate","",COUNTIFS($AK$2:$AK$501,"Candidate",$N$2:$N$501,"&gt;"&amp;$N4)+COUNTIFS($AK$2:$AK$501,"Candidate",$N$2:$N$501,$N4,$A$2:$A$501,"&lt;"&amp;$A4)+1)</f>
        <v>2</v>
      </c>
      <c r="AM4" s="65" t="n">
        <f aca="false">IF($AL4="","",SUMIFS($M$2:$M$501,$AK$2:$AK$501,"Candidate",$AL$2:$AL$501,"&lt;="&amp;$AL4))</f>
        <v>13</v>
      </c>
      <c r="AN4" s="65" t="str">
        <f aca="false">IF($AL4="","",IF($AM4&lt;=CapacityOpen,"Fits","Below line"))</f>
        <v>Fits</v>
      </c>
      <c r="AO4" s="65" t="str">
        <f aca="false">IF($A4="","",IF($X4="Closed","",IF($X4="Unmapped","Warning",IF(OR($AB4="Overdue",$V4="Y",$AH4="Critical"),"Critical",IF(OR($AB4="At risk",$AC4="Stale",$AG4="Over"),"Warning","")))))</f>
        <v>Critical</v>
      </c>
      <c r="AP4" s="65" t="n">
        <f aca="false">IF($AO4="","",IF($AO4="Critical",3000,2000)-IF($Z4="",0,$Z4)+ROW()/100000)</f>
        <v>3003.00004</v>
      </c>
      <c r="AQ4" s="65" t="str">
        <f aca="false">IF($AO4="","",IF($X4="Unmapped","Status '"&amp;$C4&amp;"' is not in the Config map",IF($V4="Y","Flagged in Jira",IF($AB4="Overdue",-$Z4&amp;" days past its "&amp;$X4&amp;" target",IF($AH4="Critical",$AI4,IF($AB4="At risk","Target in "&amp;$Z4&amp;" days",IF($AC4="Stale","No update in "&amp;$AA4&amp;" days","Past its "&amp;$AE4&amp;"-day tier window")))))))</f>
        <v>Flagged in Jira</v>
      </c>
      <c r="AR4" s="65" t="str">
        <f aca="false">IF($AO4="","","draft Jira update for "&amp;$A4)</f>
        <v>draft Jira update for AI-003</v>
      </c>
      <c r="AS4" s="65" t="str">
        <f aca="false">IF($A4="","",HYPERLINK(JiraSite&amp;"/browse/"&amp;$A4,"open"))</f>
        <v>open</v>
      </c>
      <c r="AT4" s="65" t="n">
        <f aca="false">IF($Y4="","",$Y4*1000+ROW())</f>
        <v>4004</v>
      </c>
      <c r="AU4" s="65" t="str">
        <f aca="false">IF(AND($A4&lt;&gt;"",$G4&gt;=WeekStart),$G4+ROW()/100000,"")</f>
        <v/>
      </c>
      <c r="AV4" s="65" t="str">
        <f aca="false">IF($A4="","",IF(OR(AND($S4&lt;&gt;"",$S4&gt;=WeekStart),AND($U4&lt;&gt;"",$U4&gt;=WeekStart)),MAX($S4,$U4)+ROW()/100000,""))</f>
        <v/>
      </c>
      <c r="AW4" s="65" t="str">
        <f aca="false">IF($AV4="","",IF($T4&lt;&gt;"",$T4,IF($X4="Closed","Closed","Accepted to "&amp;$X4)))</f>
        <v/>
      </c>
      <c r="AX4" s="65" t="n">
        <f aca="false">IF(AND($Y4&lt;&gt;"",$R4&lt;&gt;""),$AF4+ROW()/100000,"")</f>
        <v>62.00004</v>
      </c>
      <c r="AY4" s="65" t="n">
        <f aca="false">IF(AND($Y4&lt;&gt;"",OR($AB4="Overdue",AND($AH4="Critical",$R4&lt;&gt;""))),$AF4+ROW()/100000,"")</f>
        <v>62.00004</v>
      </c>
      <c r="AZ4" s="65" t="n">
        <f aca="false">IF($AH4="Critical",$AF4+ROW()/100000,"")</f>
        <v>62.00004</v>
      </c>
    </row>
    <row r="5" customFormat="false" ht="15" hidden="false" customHeight="false" outlineLevel="0" collapsed="false">
      <c r="A5" s="28" t="s">
        <v>206</v>
      </c>
      <c r="B5" s="28" t="s">
        <v>207</v>
      </c>
      <c r="C5" s="28" t="s">
        <v>46</v>
      </c>
      <c r="D5" s="28" t="s">
        <v>208</v>
      </c>
      <c r="E5" s="28" t="s">
        <v>209</v>
      </c>
      <c r="F5" s="28" t="s">
        <v>210</v>
      </c>
      <c r="G5" s="63" t="n">
        <v>46214</v>
      </c>
      <c r="H5" s="63" t="n">
        <v>46291</v>
      </c>
      <c r="I5" s="63" t="n">
        <v>46301</v>
      </c>
      <c r="J5" s="28" t="s">
        <v>211</v>
      </c>
      <c r="K5" s="28" t="s">
        <v>212</v>
      </c>
      <c r="L5" s="28"/>
      <c r="M5" s="28" t="n">
        <v>13</v>
      </c>
      <c r="N5" s="28"/>
      <c r="O5" s="64" t="s">
        <v>188</v>
      </c>
      <c r="P5" s="64"/>
      <c r="Q5" s="64"/>
      <c r="R5" s="28" t="s">
        <v>213</v>
      </c>
      <c r="S5" s="63" t="n">
        <v>46240</v>
      </c>
      <c r="T5" s="64"/>
      <c r="U5" s="63"/>
      <c r="V5" s="64"/>
      <c r="W5" s="28" t="s">
        <v>214</v>
      </c>
      <c r="X5" s="65" t="str">
        <f aca="false">IF($A5="","",IF(OR($T5&lt;&gt;"",$U5&lt;&gt;""),"Closed",IFERROR(INDEX(MapStage,MATCH($C5,MapStatus,0)),"Unmapped")))</f>
        <v>Discovery</v>
      </c>
      <c r="Y5" s="65" t="n">
        <f aca="false">IF(OR($X5="",$X5="Closed",$X5="Unmapped"),"",MATCH($X5,StageName,0))</f>
        <v>3</v>
      </c>
      <c r="Z5" s="65" t="n">
        <f aca="false">IF(OR($Y5="",$I5=""),"",$I5-AsOf)</f>
        <v>4</v>
      </c>
      <c r="AA5" s="65" t="n">
        <f aca="false">IF($A5="","",AsOf-$H5)</f>
        <v>6</v>
      </c>
      <c r="AB5" s="65" t="str">
        <f aca="false">IF($A5="","",IF($X5="Closed","Closed",IF($X5="Unmapped","Unmapped",IF($I5="","No target",IF($Z5&lt;0,"Overdue",IF($Z5&lt;=INDEX(StageWindow,$Y5),"At risk","On track"))))))</f>
        <v>At risk</v>
      </c>
      <c r="AC5" s="65" t="str">
        <f aca="false">IF($Y5="","",IF($AA5&gt;2*INDEX(StageStale,$Y5),"Stale",IF($AA5&gt;INDEX(StageStale,$Y5),"Aging","Fresh")))</f>
        <v>Fresh</v>
      </c>
      <c r="AD5" s="65" t="str">
        <f aca="false">IF($A5="","",IF(OR(ISNUMBER(SEARCH("Reg report",$J5)),ISNUMBER(SEARCH("No human review",$J5)),COUNTIF(TierFuncs,$D5)&gt;0),"High",IF(OR(TRIM($J5)&lt;&gt;"",ISNUMBER(SEARCH("revenue",$K5))),"Medium","Low")))</f>
        <v>High</v>
      </c>
      <c r="AE5" s="65" t="n">
        <f aca="false">IF($A5="","",INDEX(TierDays,MATCH($AD5,TierName,0)))</f>
        <v>70</v>
      </c>
      <c r="AF5" s="65" t="n">
        <f aca="false">IF($A5="","",AsOf-$G5)</f>
        <v>83</v>
      </c>
      <c r="AG5" s="65" t="str">
        <f aca="false">IF($Y5="","",IF($Y5&lt;=5,IF($AF5&gt;$AE5,"Over","Inside"),"Past approval"))</f>
        <v>Over</v>
      </c>
      <c r="AH5" s="65" t="str">
        <f aca="false">IF($Y5="","",CHOOSE($Y5,IF(OR(TRIM($F5)="",ISNUMBER(SEARCH("not named",$F5))),"Critical","Good"),IF($O5&lt;&gt;"Y","Critical",IF($Q5&lt;&gt;"Y","Warning","Good")),IF($P5="","Critical",IF($P5="partial","Warning",IF($P5="ready","Good","Critical"))),IF($R5&lt;&gt;"","Critical","Warning"),IF($L5="","Critical",IF($N5="","Warning","Good")),IF($R5&lt;&gt;"","Critical","Warning"),IF($R5&lt;&gt;"","Critical","Warning"),IF($Q5="Y","Good","Critical")))</f>
        <v>Critical</v>
      </c>
      <c r="AI5" s="65" t="str">
        <f aca="false">IF($Y5="","",CHOOSE($Y5,IF(OR(TRIM($F5)="",ISNUMBER(SEARCH("not named",$F5))),"Name a sponsor accountable for the value",""),IF($O5&lt;&gt;"Y","State the success metric and the stop condition",IF($Q5&lt;&gt;"Y","Set the baseline the benefit will be measured against","")),IF($P5="","Assess data readiness and regulatory impact",IF($P5="partial","Close the known data gaps",IF($P5="ready","","Data is not available; reshape or park"))),IF($R5&lt;&gt;"",IF(OR(ISNUMBER(SEARCH("mrm",$R5)),ISNUMBER(SEARCH("model",$R5)),ISNUMBER(SEARCH("risk",$R5)),ISNUMBER(SEARCH("legal",$R5)),ISNUMBER(SEARCH("complian",$R5))),"Awaiting ","Held at the design gate: ")&amp;$R5,"Map the governance framework for its tier"),IF($L5="","Size the annual benefit",IF($N5="","Score it so it can be ranked against capacity","")),IF($R5&lt;&gt;"","Build held: "&amp;$R5,"In build, not yet through test"),IF($R5&lt;&gt;"","Not ready to scale: "&amp;$R5,"Monitoring and third-party review not yet signed off"),IF($Q5="Y","","Live without a measured baseline to judge it against")))</f>
        <v>Assess data readiness and regulatory impact</v>
      </c>
      <c r="AJ5" s="65" t="str">
        <f aca="false">IF($Y5="","",INDEX(StageForum,$Y5))</f>
        <v>Tactical Standup</v>
      </c>
      <c r="AK5" s="65" t="str">
        <f aca="false">IF($Y5="","",IF(OR($X5="Delivery",$X5="Value"),"Committed",IF($N5&lt;&gt;"","Candidate","")))</f>
        <v/>
      </c>
      <c r="AL5" s="65" t="str">
        <f aca="false">IF($AK5&lt;&gt;"Candidate","",COUNTIFS($AK$2:$AK$501,"Candidate",$N$2:$N$501,"&gt;"&amp;$N5)+COUNTIFS($AK$2:$AK$501,"Candidate",$N$2:$N$501,$N5,$A$2:$A$501,"&lt;"&amp;$A5)+1)</f>
        <v/>
      </c>
      <c r="AM5" s="65" t="str">
        <f aca="false">IF($AL5="","",SUMIFS($M$2:$M$501,$AK$2:$AK$501,"Candidate",$AL$2:$AL$501,"&lt;="&amp;$AL5))</f>
        <v/>
      </c>
      <c r="AN5" s="65" t="str">
        <f aca="false">IF($AL5="","",IF($AM5&lt;=CapacityOpen,"Fits","Below line"))</f>
        <v/>
      </c>
      <c r="AO5" s="65" t="str">
        <f aca="false">IF($A5="","",IF($X5="Closed","",IF($X5="Unmapped","Warning",IF(OR($AB5="Overdue",$V5="Y",$AH5="Critical"),"Critical",IF(OR($AB5="At risk",$AC5="Stale",$AG5="Over"),"Warning","")))))</f>
        <v>Critical</v>
      </c>
      <c r="AP5" s="65" t="n">
        <f aca="false">IF($AO5="","",IF($AO5="Critical",3000,2000)-IF($Z5="",0,$Z5)+ROW()/100000)</f>
        <v>2996.00005</v>
      </c>
      <c r="AQ5" s="65" t="str">
        <f aca="false">IF($AO5="","",IF($X5="Unmapped","Status '"&amp;$C5&amp;"' is not in the Config map",IF($V5="Y","Flagged in Jira",IF($AB5="Overdue",-$Z5&amp;" days past its "&amp;$X5&amp;" target",IF($AH5="Critical",$AI5,IF($AB5="At risk","Target in "&amp;$Z5&amp;" days",IF($AC5="Stale","No update in "&amp;$AA5&amp;" days","Past its "&amp;$AE5&amp;"-day tier window")))))))</f>
        <v>Assess data readiness and regulatory impact</v>
      </c>
      <c r="AR5" s="65" t="str">
        <f aca="false">IF($AO5="","","draft Jira update for "&amp;$A5)</f>
        <v>draft Jira update for AI-004</v>
      </c>
      <c r="AS5" s="65" t="str">
        <f aca="false">IF($A5="","",HYPERLINK(JiraSite&amp;"/browse/"&amp;$A5,"open"))</f>
        <v>open</v>
      </c>
      <c r="AT5" s="65" t="n">
        <f aca="false">IF($Y5="","",$Y5*1000+ROW())</f>
        <v>3005</v>
      </c>
      <c r="AU5" s="65" t="str">
        <f aca="false">IF(AND($A5&lt;&gt;"",$G5&gt;=WeekStart),$G5+ROW()/100000,"")</f>
        <v/>
      </c>
      <c r="AV5" s="65" t="str">
        <f aca="false">IF($A5="","",IF(OR(AND($S5&lt;&gt;"",$S5&gt;=WeekStart),AND($U5&lt;&gt;"",$U5&gt;=WeekStart)),MAX($S5,$U5)+ROW()/100000,""))</f>
        <v/>
      </c>
      <c r="AW5" s="65" t="str">
        <f aca="false">IF($AV5="","",IF($T5&lt;&gt;"",$T5,IF($X5="Closed","Closed","Accepted to "&amp;$X5)))</f>
        <v/>
      </c>
      <c r="AX5" s="65" t="n">
        <f aca="false">IF(AND($Y5&lt;&gt;"",$R5&lt;&gt;""),$AF5+ROW()/100000,"")</f>
        <v>83.00005</v>
      </c>
      <c r="AY5" s="65" t="n">
        <f aca="false">IF(AND($Y5&lt;&gt;"",OR($AB5="Overdue",AND($AH5="Critical",$R5&lt;&gt;""))),$AF5+ROW()/100000,"")</f>
        <v>83.00005</v>
      </c>
      <c r="AZ5" s="65" t="n">
        <f aca="false">IF($AH5="Critical",$AF5+ROW()/100000,"")</f>
        <v>83.00005</v>
      </c>
    </row>
    <row r="6" customFormat="false" ht="15" hidden="false" customHeight="false" outlineLevel="0" collapsed="false">
      <c r="A6" s="28" t="s">
        <v>215</v>
      </c>
      <c r="B6" s="28" t="s">
        <v>216</v>
      </c>
      <c r="C6" s="28" t="s">
        <v>217</v>
      </c>
      <c r="D6" s="28" t="s">
        <v>218</v>
      </c>
      <c r="E6" s="28" t="s">
        <v>219</v>
      </c>
      <c r="F6" s="28" t="s">
        <v>220</v>
      </c>
      <c r="G6" s="63" t="n">
        <v>46250</v>
      </c>
      <c r="H6" s="63" t="n">
        <v>46294</v>
      </c>
      <c r="I6" s="63" t="n">
        <v>46313</v>
      </c>
      <c r="J6" s="28"/>
      <c r="K6" s="28" t="s">
        <v>221</v>
      </c>
      <c r="L6" s="28" t="n">
        <v>950</v>
      </c>
      <c r="M6" s="28" t="n">
        <v>5</v>
      </c>
      <c r="N6" s="28" t="n">
        <v>7.5</v>
      </c>
      <c r="O6" s="64" t="s">
        <v>188</v>
      </c>
      <c r="P6" s="64" t="s">
        <v>189</v>
      </c>
      <c r="Q6" s="64" t="s">
        <v>188</v>
      </c>
      <c r="R6" s="28"/>
      <c r="S6" s="63" t="n">
        <v>46265</v>
      </c>
      <c r="T6" s="64"/>
      <c r="U6" s="63"/>
      <c r="V6" s="64"/>
      <c r="W6" s="28" t="s">
        <v>222</v>
      </c>
      <c r="X6" s="65" t="str">
        <f aca="false">IF($A6="","",IF(OR($T6&lt;&gt;"",$U6&lt;&gt;""),"Closed",IFERROR(INDEX(MapStage,MATCH($C6,MapStatus,0)),"Unmapped")))</f>
        <v>Approval</v>
      </c>
      <c r="Y6" s="65" t="n">
        <f aca="false">IF(OR($X6="",$X6="Closed",$X6="Unmapped"),"",MATCH($X6,StageName,0))</f>
        <v>5</v>
      </c>
      <c r="Z6" s="65" t="n">
        <f aca="false">IF(OR($Y6="",$I6=""),"",$I6-AsOf)</f>
        <v>16</v>
      </c>
      <c r="AA6" s="65" t="n">
        <f aca="false">IF($A6="","",AsOf-$H6)</f>
        <v>3</v>
      </c>
      <c r="AB6" s="65" t="str">
        <f aca="false">IF($A6="","",IF($X6="Closed","Closed",IF($X6="Unmapped","Unmapped",IF($I6="","No target",IF($Z6&lt;0,"Overdue",IF($Z6&lt;=INDEX(StageWindow,$Y6),"At risk","On track"))))))</f>
        <v>On track</v>
      </c>
      <c r="AC6" s="65" t="str">
        <f aca="false">IF($Y6="","",IF($AA6&gt;2*INDEX(StageStale,$Y6),"Stale",IF($AA6&gt;INDEX(StageStale,$Y6),"Aging","Fresh")))</f>
        <v>Fresh</v>
      </c>
      <c r="AD6" s="65" t="str">
        <f aca="false">IF($A6="","",IF(OR(ISNUMBER(SEARCH("Reg report",$J6)),ISNUMBER(SEARCH("No human review",$J6)),COUNTIF(TierFuncs,$D6)&gt;0),"High",IF(OR(TRIM($J6)&lt;&gt;"",ISNUMBER(SEARCH("revenue",$K6))),"Medium","Low")))</f>
        <v>High</v>
      </c>
      <c r="AE6" s="65" t="n">
        <f aca="false">IF($A6="","",INDEX(TierDays,MATCH($AD6,TierName,0)))</f>
        <v>70</v>
      </c>
      <c r="AF6" s="65" t="n">
        <f aca="false">IF($A6="","",AsOf-$G6)</f>
        <v>47</v>
      </c>
      <c r="AG6" s="65" t="str">
        <f aca="false">IF($Y6="","",IF($Y6&lt;=5,IF($AF6&gt;$AE6,"Over","Inside"),"Past approval"))</f>
        <v>Inside</v>
      </c>
      <c r="AH6" s="65" t="str">
        <f aca="false">IF($Y6="","",CHOOSE($Y6,IF(OR(TRIM($F6)="",ISNUMBER(SEARCH("not named",$F6))),"Critical","Good"),IF($O6&lt;&gt;"Y","Critical",IF($Q6&lt;&gt;"Y","Warning","Good")),IF($P6="","Critical",IF($P6="partial","Warning",IF($P6="ready","Good","Critical"))),IF($R6&lt;&gt;"","Critical","Warning"),IF($L6="","Critical",IF($N6="","Warning","Good")),IF($R6&lt;&gt;"","Critical","Warning"),IF($R6&lt;&gt;"","Critical","Warning"),IF($Q6="Y","Good","Critical")))</f>
        <v>Good</v>
      </c>
      <c r="AI6" s="65" t="str">
        <f aca="false">IF($Y6="","",CHOOSE($Y6,IF(OR(TRIM($F6)="",ISNUMBER(SEARCH("not named",$F6))),"Name a sponsor accountable for the value",""),IF($O6&lt;&gt;"Y","State the success metric and the stop condition",IF($Q6&lt;&gt;"Y","Set the baseline the benefit will be measured against","")),IF($P6="","Assess data readiness and regulatory impact",IF($P6="partial","Close the known data gaps",IF($P6="ready","","Data is not available; reshape or park"))),IF($R6&lt;&gt;"",IF(OR(ISNUMBER(SEARCH("mrm",$R6)),ISNUMBER(SEARCH("model",$R6)),ISNUMBER(SEARCH("risk",$R6)),ISNUMBER(SEARCH("legal",$R6)),ISNUMBER(SEARCH("complian",$R6))),"Awaiting ","Held at the design gate: ")&amp;$R6,"Map the governance framework for its tier"),IF($L6="","Size the annual benefit",IF($N6="","Score it so it can be ranked against capacity","")),IF($R6&lt;&gt;"","Build held: "&amp;$R6,"In build, not yet through test"),IF($R6&lt;&gt;"","Not ready to scale: "&amp;$R6,"Monitoring and third-party review not yet signed off"),IF($Q6="Y","","Live without a measured baseline to judge it against")))</f>
        <v/>
      </c>
      <c r="AJ6" s="65" t="str">
        <f aca="false">IF($Y6="","",INDEX(StageForum,$Y6))</f>
        <v>Portfolio Council</v>
      </c>
      <c r="AK6" s="65" t="str">
        <f aca="false">IF($Y6="","",IF(OR($X6="Delivery",$X6="Value"),"Committed",IF($N6&lt;&gt;"","Candidate","")))</f>
        <v>Candidate</v>
      </c>
      <c r="AL6" s="65" t="n">
        <f aca="false">IF($AK6&lt;&gt;"Candidate","",COUNTIFS($AK$2:$AK$501,"Candidate",$N$2:$N$501,"&gt;"&amp;$N6)+COUNTIFS($AK$2:$AK$501,"Candidate",$N$2:$N$501,$N6,$A$2:$A$501,"&lt;"&amp;$A6)+1)</f>
        <v>1</v>
      </c>
      <c r="AM6" s="65" t="n">
        <f aca="false">IF($AL6="","",SUMIFS($M$2:$M$501,$AK$2:$AK$501,"Candidate",$AL$2:$AL$501,"&lt;="&amp;$AL6))</f>
        <v>5</v>
      </c>
      <c r="AN6" s="65" t="str">
        <f aca="false">IF($AL6="","",IF($AM6&lt;=CapacityOpen,"Fits","Below line"))</f>
        <v>Fits</v>
      </c>
      <c r="AO6" s="65" t="str">
        <f aca="false">IF($A6="","",IF($X6="Closed","",IF($X6="Unmapped","Warning",IF(OR($AB6="Overdue",$V6="Y",$AH6="Critical"),"Critical",IF(OR($AB6="At risk",$AC6="Stale",$AG6="Over"),"Warning","")))))</f>
        <v/>
      </c>
      <c r="AP6" s="65" t="str">
        <f aca="false">IF($AO6="","",IF($AO6="Critical",3000,2000)-IF($Z6="",0,$Z6)+ROW()/100000)</f>
        <v/>
      </c>
      <c r="AQ6" s="65" t="str">
        <f aca="false">IF($AO6="","",IF($X6="Unmapped","Status '"&amp;$C6&amp;"' is not in the Config map",IF($V6="Y","Flagged in Jira",IF($AB6="Overdue",-$Z6&amp;" days past its "&amp;$X6&amp;" target",IF($AH6="Critical",$AI6,IF($AB6="At risk","Target in "&amp;$Z6&amp;" days",IF($AC6="Stale","No update in "&amp;$AA6&amp;" days","Past its "&amp;$AE6&amp;"-day tier window")))))))</f>
        <v/>
      </c>
      <c r="AR6" s="65" t="str">
        <f aca="false">IF($AO6="","","draft Jira update for "&amp;$A6)</f>
        <v/>
      </c>
      <c r="AS6" s="65" t="str">
        <f aca="false">IF($A6="","",HYPERLINK(JiraSite&amp;"/browse/"&amp;$A6,"open"))</f>
        <v>open</v>
      </c>
      <c r="AT6" s="65" t="n">
        <f aca="false">IF($Y6="","",$Y6*1000+ROW())</f>
        <v>5006</v>
      </c>
      <c r="AU6" s="65" t="str">
        <f aca="false">IF(AND($A6&lt;&gt;"",$G6&gt;=WeekStart),$G6+ROW()/100000,"")</f>
        <v/>
      </c>
      <c r="AV6" s="65" t="str">
        <f aca="false">IF($A6="","",IF(OR(AND($S6&lt;&gt;"",$S6&gt;=WeekStart),AND($U6&lt;&gt;"",$U6&gt;=WeekStart)),MAX($S6,$U6)+ROW()/100000,""))</f>
        <v/>
      </c>
      <c r="AW6" s="65" t="str">
        <f aca="false">IF($AV6="","",IF($T6&lt;&gt;"",$T6,IF($X6="Closed","Closed","Accepted to "&amp;$X6)))</f>
        <v/>
      </c>
      <c r="AX6" s="65" t="str">
        <f aca="false">IF(AND($Y6&lt;&gt;"",$R6&lt;&gt;""),$AF6+ROW()/100000,"")</f>
        <v/>
      </c>
      <c r="AY6" s="65" t="str">
        <f aca="false">IF(AND($Y6&lt;&gt;"",OR($AB6="Overdue",AND($AH6="Critical",$R6&lt;&gt;""))),$AF6+ROW()/100000,"")</f>
        <v/>
      </c>
      <c r="AZ6" s="65" t="str">
        <f aca="false">IF($AH6="Critical",$AF6+ROW()/100000,"")</f>
        <v/>
      </c>
    </row>
    <row r="7" customFormat="false" ht="15" hidden="false" customHeight="false" outlineLevel="0" collapsed="false">
      <c r="A7" s="28" t="s">
        <v>223</v>
      </c>
      <c r="B7" s="28" t="s">
        <v>224</v>
      </c>
      <c r="C7" s="28" t="s">
        <v>217</v>
      </c>
      <c r="D7" s="28" t="s">
        <v>225</v>
      </c>
      <c r="E7" s="28" t="s">
        <v>226</v>
      </c>
      <c r="F7" s="28" t="s">
        <v>227</v>
      </c>
      <c r="G7" s="63" t="n">
        <v>46255</v>
      </c>
      <c r="H7" s="63" t="n">
        <v>46285</v>
      </c>
      <c r="I7" s="63" t="n">
        <v>46306</v>
      </c>
      <c r="J7" s="28"/>
      <c r="K7" s="28" t="s">
        <v>228</v>
      </c>
      <c r="L7" s="28" t="n">
        <v>400</v>
      </c>
      <c r="M7" s="28" t="n">
        <v>8</v>
      </c>
      <c r="N7" s="28" t="n">
        <v>5.1</v>
      </c>
      <c r="O7" s="64" t="s">
        <v>188</v>
      </c>
      <c r="P7" s="64" t="s">
        <v>197</v>
      </c>
      <c r="Q7" s="64" t="s">
        <v>188</v>
      </c>
      <c r="R7" s="28"/>
      <c r="S7" s="63" t="n">
        <v>46269</v>
      </c>
      <c r="T7" s="64"/>
      <c r="U7" s="63"/>
      <c r="V7" s="64"/>
      <c r="W7" s="28"/>
      <c r="X7" s="65" t="str">
        <f aca="false">IF($A7="","",IF(OR($T7&lt;&gt;"",$U7&lt;&gt;""),"Closed",IFERROR(INDEX(MapStage,MATCH($C7,MapStatus,0)),"Unmapped")))</f>
        <v>Approval</v>
      </c>
      <c r="Y7" s="65" t="n">
        <f aca="false">IF(OR($X7="",$X7="Closed",$X7="Unmapped"),"",MATCH($X7,StageName,0))</f>
        <v>5</v>
      </c>
      <c r="Z7" s="65" t="n">
        <f aca="false">IF(OR($Y7="",$I7=""),"",$I7-AsOf)</f>
        <v>9</v>
      </c>
      <c r="AA7" s="65" t="n">
        <f aca="false">IF($A7="","",AsOf-$H7)</f>
        <v>12</v>
      </c>
      <c r="AB7" s="65" t="str">
        <f aca="false">IF($A7="","",IF($X7="Closed","Closed",IF($X7="Unmapped","Unmapped",IF($I7="","No target",IF($Z7&lt;0,"Overdue",IF($Z7&lt;=INDEX(StageWindow,$Y7),"At risk","On track"))))))</f>
        <v>On track</v>
      </c>
      <c r="AC7" s="65" t="str">
        <f aca="false">IF($Y7="","",IF($AA7&gt;2*INDEX(StageStale,$Y7),"Stale",IF($AA7&gt;INDEX(StageStale,$Y7),"Aging","Fresh")))</f>
        <v>Fresh</v>
      </c>
      <c r="AD7" s="65" t="str">
        <f aca="false">IF($A7="","",IF(OR(ISNUMBER(SEARCH("Reg report",$J7)),ISNUMBER(SEARCH("No human review",$J7)),COUNTIF(TierFuncs,$D7)&gt;0),"High",IF(OR(TRIM($J7)&lt;&gt;"",ISNUMBER(SEARCH("revenue",$K7))),"Medium","Low")))</f>
        <v>Low</v>
      </c>
      <c r="AE7" s="65" t="n">
        <f aca="false">IF($A7="","",INDEX(TierDays,MATCH($AD7,TierName,0)))</f>
        <v>21</v>
      </c>
      <c r="AF7" s="65" t="n">
        <f aca="false">IF($A7="","",AsOf-$G7)</f>
        <v>42</v>
      </c>
      <c r="AG7" s="65" t="str">
        <f aca="false">IF($Y7="","",IF($Y7&lt;=5,IF($AF7&gt;$AE7,"Over","Inside"),"Past approval"))</f>
        <v>Over</v>
      </c>
      <c r="AH7" s="65" t="str">
        <f aca="false">IF($Y7="","",CHOOSE($Y7,IF(OR(TRIM($F7)="",ISNUMBER(SEARCH("not named",$F7))),"Critical","Good"),IF($O7&lt;&gt;"Y","Critical",IF($Q7&lt;&gt;"Y","Warning","Good")),IF($P7="","Critical",IF($P7="partial","Warning",IF($P7="ready","Good","Critical"))),IF($R7&lt;&gt;"","Critical","Warning"),IF($L7="","Critical",IF($N7="","Warning","Good")),IF($R7&lt;&gt;"","Critical","Warning"),IF($R7&lt;&gt;"","Critical","Warning"),IF($Q7="Y","Good","Critical")))</f>
        <v>Good</v>
      </c>
      <c r="AI7" s="65" t="str">
        <f aca="false">IF($Y7="","",CHOOSE($Y7,IF(OR(TRIM($F7)="",ISNUMBER(SEARCH("not named",$F7))),"Name a sponsor accountable for the value",""),IF($O7&lt;&gt;"Y","State the success metric and the stop condition",IF($Q7&lt;&gt;"Y","Set the baseline the benefit will be measured against","")),IF($P7="","Assess data readiness and regulatory impact",IF($P7="partial","Close the known data gaps",IF($P7="ready","","Data is not available; reshape or park"))),IF($R7&lt;&gt;"",IF(OR(ISNUMBER(SEARCH("mrm",$R7)),ISNUMBER(SEARCH("model",$R7)),ISNUMBER(SEARCH("risk",$R7)),ISNUMBER(SEARCH("legal",$R7)),ISNUMBER(SEARCH("complian",$R7))),"Awaiting ","Held at the design gate: ")&amp;$R7,"Map the governance framework for its tier"),IF($L7="","Size the annual benefit",IF($N7="","Score it so it can be ranked against capacity","")),IF($R7&lt;&gt;"","Build held: "&amp;$R7,"In build, not yet through test"),IF($R7&lt;&gt;"","Not ready to scale: "&amp;$R7,"Monitoring and third-party review not yet signed off"),IF($Q7="Y","","Live without a measured baseline to judge it against")))</f>
        <v/>
      </c>
      <c r="AJ7" s="65" t="str">
        <f aca="false">IF($Y7="","",INDEX(StageForum,$Y7))</f>
        <v>Portfolio Council</v>
      </c>
      <c r="AK7" s="65" t="str">
        <f aca="false">IF($Y7="","",IF(OR($X7="Delivery",$X7="Value"),"Committed",IF($N7&lt;&gt;"","Candidate","")))</f>
        <v>Candidate</v>
      </c>
      <c r="AL7" s="65" t="n">
        <f aca="false">IF($AK7&lt;&gt;"Candidate","",COUNTIFS($AK$2:$AK$501,"Candidate",$N$2:$N$501,"&gt;"&amp;$N7)+COUNTIFS($AK$2:$AK$501,"Candidate",$N$2:$N$501,$N7,$A$2:$A$501,"&lt;"&amp;$A7)+1)</f>
        <v>3</v>
      </c>
      <c r="AM7" s="65" t="n">
        <f aca="false">IF($AL7="","",SUMIFS($M$2:$M$501,$AK$2:$AK$501,"Candidate",$AL$2:$AL$501,"&lt;="&amp;$AL7))</f>
        <v>21</v>
      </c>
      <c r="AN7" s="65" t="str">
        <f aca="false">IF($AL7="","",IF($AM7&lt;=CapacityOpen,"Fits","Below line"))</f>
        <v>Below line</v>
      </c>
      <c r="AO7" s="65" t="str">
        <f aca="false">IF($A7="","",IF($X7="Closed","",IF($X7="Unmapped","Warning",IF(OR($AB7="Overdue",$V7="Y",$AH7="Critical"),"Critical",IF(OR($AB7="At risk",$AC7="Stale",$AG7="Over"),"Warning","")))))</f>
        <v>Warning</v>
      </c>
      <c r="AP7" s="65" t="n">
        <f aca="false">IF($AO7="","",IF($AO7="Critical",3000,2000)-IF($Z7="",0,$Z7)+ROW()/100000)</f>
        <v>1991.00007</v>
      </c>
      <c r="AQ7" s="65" t="str">
        <f aca="false">IF($AO7="","",IF($X7="Unmapped","Status '"&amp;$C7&amp;"' is not in the Config map",IF($V7="Y","Flagged in Jira",IF($AB7="Overdue",-$Z7&amp;" days past its "&amp;$X7&amp;" target",IF($AH7="Critical",$AI7,IF($AB7="At risk","Target in "&amp;$Z7&amp;" days",IF($AC7="Stale","No update in "&amp;$AA7&amp;" days","Past its "&amp;$AE7&amp;"-day tier window")))))))</f>
        <v>Past its 21-day tier window</v>
      </c>
      <c r="AR7" s="65" t="str">
        <f aca="false">IF($AO7="","","draft Jira update for "&amp;$A7)</f>
        <v>draft Jira update for AI-006</v>
      </c>
      <c r="AS7" s="65" t="str">
        <f aca="false">IF($A7="","",HYPERLINK(JiraSite&amp;"/browse/"&amp;$A7,"open"))</f>
        <v>open</v>
      </c>
      <c r="AT7" s="65" t="n">
        <f aca="false">IF($Y7="","",$Y7*1000+ROW())</f>
        <v>5007</v>
      </c>
      <c r="AU7" s="65" t="str">
        <f aca="false">IF(AND($A7&lt;&gt;"",$G7&gt;=WeekStart),$G7+ROW()/100000,"")</f>
        <v/>
      </c>
      <c r="AV7" s="65" t="str">
        <f aca="false">IF($A7="","",IF(OR(AND($S7&lt;&gt;"",$S7&gt;=WeekStart),AND($U7&lt;&gt;"",$U7&gt;=WeekStart)),MAX($S7,$U7)+ROW()/100000,""))</f>
        <v/>
      </c>
      <c r="AW7" s="65" t="str">
        <f aca="false">IF($AV7="","",IF($T7&lt;&gt;"",$T7,IF($X7="Closed","Closed","Accepted to "&amp;$X7)))</f>
        <v/>
      </c>
      <c r="AX7" s="65" t="str">
        <f aca="false">IF(AND($Y7&lt;&gt;"",$R7&lt;&gt;""),$AF7+ROW()/100000,"")</f>
        <v/>
      </c>
      <c r="AY7" s="65" t="str">
        <f aca="false">IF(AND($Y7&lt;&gt;"",OR($AB7="Overdue",AND($AH7="Critical",$R7&lt;&gt;""))),$AF7+ROW()/100000,"")</f>
        <v/>
      </c>
      <c r="AZ7" s="65" t="str">
        <f aca="false">IF($AH7="Critical",$AF7+ROW()/100000,"")</f>
        <v/>
      </c>
    </row>
    <row r="8" customFormat="false" ht="15" hidden="false" customHeight="false" outlineLevel="0" collapsed="false">
      <c r="A8" s="28" t="s">
        <v>229</v>
      </c>
      <c r="B8" s="28" t="s">
        <v>230</v>
      </c>
      <c r="C8" s="28" t="s">
        <v>45</v>
      </c>
      <c r="D8" s="28" t="s">
        <v>231</v>
      </c>
      <c r="E8" s="28" t="s">
        <v>232</v>
      </c>
      <c r="F8" s="28" t="s">
        <v>233</v>
      </c>
      <c r="G8" s="63" t="n">
        <v>46287</v>
      </c>
      <c r="H8" s="63" t="n">
        <v>46295</v>
      </c>
      <c r="I8" s="63" t="n">
        <v>46302</v>
      </c>
      <c r="J8" s="28"/>
      <c r="K8" s="28" t="s">
        <v>234</v>
      </c>
      <c r="L8" s="28"/>
      <c r="M8" s="28" t="n">
        <v>2</v>
      </c>
      <c r="N8" s="28"/>
      <c r="O8" s="64"/>
      <c r="P8" s="64"/>
      <c r="Q8" s="64"/>
      <c r="R8" s="28"/>
      <c r="S8" s="63"/>
      <c r="T8" s="64"/>
      <c r="U8" s="63"/>
      <c r="V8" s="64"/>
      <c r="W8" s="28"/>
      <c r="X8" s="65" t="str">
        <f aca="false">IF($A8="","",IF(OR($T8&lt;&gt;"",$U8&lt;&gt;""),"Closed",IFERROR(INDEX(MapStage,MATCH($C8,MapStatus,0)),"Unmapped")))</f>
        <v>Triage</v>
      </c>
      <c r="Y8" s="65" t="n">
        <f aca="false">IF(OR($X8="",$X8="Closed",$X8="Unmapped"),"",MATCH($X8,StageName,0))</f>
        <v>2</v>
      </c>
      <c r="Z8" s="65" t="n">
        <f aca="false">IF(OR($Y8="",$I8=""),"",$I8-AsOf)</f>
        <v>5</v>
      </c>
      <c r="AA8" s="65" t="n">
        <f aca="false">IF($A8="","",AsOf-$H8)</f>
        <v>2</v>
      </c>
      <c r="AB8" s="65" t="str">
        <f aca="false">IF($A8="","",IF($X8="Closed","Closed",IF($X8="Unmapped","Unmapped",IF($I8="","No target",IF($Z8&lt;0,"Overdue",IF($Z8&lt;=INDEX(StageWindow,$Y8),"At risk","On track"))))))</f>
        <v>On track</v>
      </c>
      <c r="AC8" s="65" t="str">
        <f aca="false">IF($Y8="","",IF($AA8&gt;2*INDEX(StageStale,$Y8),"Stale",IF($AA8&gt;INDEX(StageStale,$Y8),"Aging","Fresh")))</f>
        <v>Fresh</v>
      </c>
      <c r="AD8" s="65" t="str">
        <f aca="false">IF($A8="","",IF(OR(ISNUMBER(SEARCH("Reg report",$J8)),ISNUMBER(SEARCH("No human review",$J8)),COUNTIF(TierFuncs,$D8)&gt;0),"High",IF(OR(TRIM($J8)&lt;&gt;"",ISNUMBER(SEARCH("revenue",$K8))),"Medium","Low")))</f>
        <v>Medium</v>
      </c>
      <c r="AE8" s="65" t="n">
        <f aca="false">IF($A8="","",INDEX(TierDays,MATCH($AD8,TierName,0)))</f>
        <v>45</v>
      </c>
      <c r="AF8" s="65" t="n">
        <f aca="false">IF($A8="","",AsOf-$G8)</f>
        <v>10</v>
      </c>
      <c r="AG8" s="65" t="str">
        <f aca="false">IF($Y8="","",IF($Y8&lt;=5,IF($AF8&gt;$AE8,"Over","Inside"),"Past approval"))</f>
        <v>Inside</v>
      </c>
      <c r="AH8" s="65" t="str">
        <f aca="false">IF($Y8="","",CHOOSE($Y8,IF(OR(TRIM($F8)="",ISNUMBER(SEARCH("not named",$F8))),"Critical","Good"),IF($O8&lt;&gt;"Y","Critical",IF($Q8&lt;&gt;"Y","Warning","Good")),IF($P8="","Critical",IF($P8="partial","Warning",IF($P8="ready","Good","Critical"))),IF($R8&lt;&gt;"","Critical","Warning"),IF($L8="","Critical",IF($N8="","Warning","Good")),IF($R8&lt;&gt;"","Critical","Warning"),IF($R8&lt;&gt;"","Critical","Warning"),IF($Q8="Y","Good","Critical")))</f>
        <v>Critical</v>
      </c>
      <c r="AI8" s="65" t="str">
        <f aca="false">IF($Y8="","",CHOOSE($Y8,IF(OR(TRIM($F8)="",ISNUMBER(SEARCH("not named",$F8))),"Name a sponsor accountable for the value",""),IF($O8&lt;&gt;"Y","State the success metric and the stop condition",IF($Q8&lt;&gt;"Y","Set the baseline the benefit will be measured against","")),IF($P8="","Assess data readiness and regulatory impact",IF($P8="partial","Close the known data gaps",IF($P8="ready","","Data is not available; reshape or park"))),IF($R8&lt;&gt;"",IF(OR(ISNUMBER(SEARCH("mrm",$R8)),ISNUMBER(SEARCH("model",$R8)),ISNUMBER(SEARCH("risk",$R8)),ISNUMBER(SEARCH("legal",$R8)),ISNUMBER(SEARCH("complian",$R8))),"Awaiting ","Held at the design gate: ")&amp;$R8,"Map the governance framework for its tier"),IF($L8="","Size the annual benefit",IF($N8="","Score it so it can be ranked against capacity","")),IF($R8&lt;&gt;"","Build held: "&amp;$R8,"In build, not yet through test"),IF($R8&lt;&gt;"","Not ready to scale: "&amp;$R8,"Monitoring and third-party review not yet signed off"),IF($Q8="Y","","Live without a measured baseline to judge it against")))</f>
        <v>State the success metric and the stop condition</v>
      </c>
      <c r="AJ8" s="65" t="str">
        <f aca="false">IF($Y8="","",INDEX(StageForum,$Y8))</f>
        <v>Weekly Intake</v>
      </c>
      <c r="AK8" s="65" t="str">
        <f aca="false">IF($Y8="","",IF(OR($X8="Delivery",$X8="Value"),"Committed",IF($N8&lt;&gt;"","Candidate","")))</f>
        <v/>
      </c>
      <c r="AL8" s="65" t="str">
        <f aca="false">IF($AK8&lt;&gt;"Candidate","",COUNTIFS($AK$2:$AK$501,"Candidate",$N$2:$N$501,"&gt;"&amp;$N8)+COUNTIFS($AK$2:$AK$501,"Candidate",$N$2:$N$501,$N8,$A$2:$A$501,"&lt;"&amp;$A8)+1)</f>
        <v/>
      </c>
      <c r="AM8" s="65" t="str">
        <f aca="false">IF($AL8="","",SUMIFS($M$2:$M$501,$AK$2:$AK$501,"Candidate",$AL$2:$AL$501,"&lt;="&amp;$AL8))</f>
        <v/>
      </c>
      <c r="AN8" s="65" t="str">
        <f aca="false">IF($AL8="","",IF($AM8&lt;=CapacityOpen,"Fits","Below line"))</f>
        <v/>
      </c>
      <c r="AO8" s="65" t="str">
        <f aca="false">IF($A8="","",IF($X8="Closed","",IF($X8="Unmapped","Warning",IF(OR($AB8="Overdue",$V8="Y",$AH8="Critical"),"Critical",IF(OR($AB8="At risk",$AC8="Stale",$AG8="Over"),"Warning","")))))</f>
        <v>Critical</v>
      </c>
      <c r="AP8" s="65" t="n">
        <f aca="false">IF($AO8="","",IF($AO8="Critical",3000,2000)-IF($Z8="",0,$Z8)+ROW()/100000)</f>
        <v>2995.00008</v>
      </c>
      <c r="AQ8" s="65" t="str">
        <f aca="false">IF($AO8="","",IF($X8="Unmapped","Status '"&amp;$C8&amp;"' is not in the Config map",IF($V8="Y","Flagged in Jira",IF($AB8="Overdue",-$Z8&amp;" days past its "&amp;$X8&amp;" target",IF($AH8="Critical",$AI8,IF($AB8="At risk","Target in "&amp;$Z8&amp;" days",IF($AC8="Stale","No update in "&amp;$AA8&amp;" days","Past its "&amp;$AE8&amp;"-day tier window")))))))</f>
        <v>State the success metric and the stop condition</v>
      </c>
      <c r="AR8" s="65" t="str">
        <f aca="false">IF($AO8="","","draft Jira update for "&amp;$A8)</f>
        <v>draft Jira update for AI-007</v>
      </c>
      <c r="AS8" s="65" t="str">
        <f aca="false">IF($A8="","",HYPERLINK(JiraSite&amp;"/browse/"&amp;$A8,"open"))</f>
        <v>open</v>
      </c>
      <c r="AT8" s="65" t="n">
        <f aca="false">IF($Y8="","",$Y8*1000+ROW())</f>
        <v>2008</v>
      </c>
      <c r="AU8" s="65" t="str">
        <f aca="false">IF(AND($A8&lt;&gt;"",$G8&gt;=WeekStart),$G8+ROW()/100000,"")</f>
        <v/>
      </c>
      <c r="AV8" s="65" t="str">
        <f aca="false">IF($A8="","",IF(OR(AND($S8&lt;&gt;"",$S8&gt;=WeekStart),AND($U8&lt;&gt;"",$U8&gt;=WeekStart)),MAX($S8,$U8)+ROW()/100000,""))</f>
        <v/>
      </c>
      <c r="AW8" s="65" t="str">
        <f aca="false">IF($AV8="","",IF($T8&lt;&gt;"",$T8,IF($X8="Closed","Closed","Accepted to "&amp;$X8)))</f>
        <v/>
      </c>
      <c r="AX8" s="65" t="str">
        <f aca="false">IF(AND($Y8&lt;&gt;"",$R8&lt;&gt;""),$AF8+ROW()/100000,"")</f>
        <v/>
      </c>
      <c r="AY8" s="65" t="str">
        <f aca="false">IF(AND($Y8&lt;&gt;"",OR($AB8="Overdue",AND($AH8="Critical",$R8&lt;&gt;""))),$AF8+ROW()/100000,"")</f>
        <v/>
      </c>
      <c r="AZ8" s="65" t="n">
        <f aca="false">IF($AH8="Critical",$AF8+ROW()/100000,"")</f>
        <v>10.00008</v>
      </c>
    </row>
    <row r="9" customFormat="false" ht="15" hidden="false" customHeight="false" outlineLevel="0" collapsed="false">
      <c r="A9" s="28" t="s">
        <v>235</v>
      </c>
      <c r="B9" s="28" t="s">
        <v>236</v>
      </c>
      <c r="C9" s="28" t="s">
        <v>237</v>
      </c>
      <c r="D9" s="28" t="s">
        <v>238</v>
      </c>
      <c r="E9" s="28" t="s">
        <v>185</v>
      </c>
      <c r="F9" s="28" t="s">
        <v>239</v>
      </c>
      <c r="G9" s="63" t="n">
        <v>46148</v>
      </c>
      <c r="H9" s="63" t="n">
        <v>46292</v>
      </c>
      <c r="I9" s="63" t="n">
        <v>46318</v>
      </c>
      <c r="J9" s="28" t="s">
        <v>85</v>
      </c>
      <c r="K9" s="28" t="s">
        <v>187</v>
      </c>
      <c r="L9" s="28" t="n">
        <v>600</v>
      </c>
      <c r="M9" s="28" t="n">
        <v>5</v>
      </c>
      <c r="N9" s="28" t="n">
        <v>5.9</v>
      </c>
      <c r="O9" s="64" t="s">
        <v>188</v>
      </c>
      <c r="P9" s="64" t="s">
        <v>189</v>
      </c>
      <c r="Q9" s="64" t="s">
        <v>188</v>
      </c>
      <c r="R9" s="28"/>
      <c r="S9" s="63" t="n">
        <v>46184</v>
      </c>
      <c r="T9" s="64"/>
      <c r="U9" s="63"/>
      <c r="V9" s="64"/>
      <c r="W9" s="28" t="s">
        <v>240</v>
      </c>
      <c r="X9" s="65" t="str">
        <f aca="false">IF($A9="","",IF(OR($T9&lt;&gt;"",$U9&lt;&gt;""),"Closed",IFERROR(INDEX(MapStage,MATCH($C9,MapStatus,0)),"Unmapped")))</f>
        <v>Delivery</v>
      </c>
      <c r="Y9" s="65" t="n">
        <f aca="false">IF(OR($X9="",$X9="Closed",$X9="Unmapped"),"",MATCH($X9,StageName,0))</f>
        <v>6</v>
      </c>
      <c r="Z9" s="65" t="n">
        <f aca="false">IF(OR($Y9="",$I9=""),"",$I9-AsOf)</f>
        <v>21</v>
      </c>
      <c r="AA9" s="65" t="n">
        <f aca="false">IF($A9="","",AsOf-$H9)</f>
        <v>5</v>
      </c>
      <c r="AB9" s="65" t="str">
        <f aca="false">IF($A9="","",IF($X9="Closed","Closed",IF($X9="Unmapped","Unmapped",IF($I9="","No target",IF($Z9&lt;0,"Overdue",IF($Z9&lt;=INDEX(StageWindow,$Y9),"At risk","On track"))))))</f>
        <v>On track</v>
      </c>
      <c r="AC9" s="65" t="str">
        <f aca="false">IF($Y9="","",IF($AA9&gt;2*INDEX(StageStale,$Y9),"Stale",IF($AA9&gt;INDEX(StageStale,$Y9),"Aging","Fresh")))</f>
        <v>Fresh</v>
      </c>
      <c r="AD9" s="65" t="str">
        <f aca="false">IF($A9="","",IF(OR(ISNUMBER(SEARCH("Reg report",$J9)),ISNUMBER(SEARCH("No human review",$J9)),COUNTIF(TierFuncs,$D9)&gt;0),"High",IF(OR(TRIM($J9)&lt;&gt;"",ISNUMBER(SEARCH("revenue",$K9))),"Medium","Low")))</f>
        <v>High</v>
      </c>
      <c r="AE9" s="65" t="n">
        <f aca="false">IF($A9="","",INDEX(TierDays,MATCH($AD9,TierName,0)))</f>
        <v>70</v>
      </c>
      <c r="AF9" s="65" t="n">
        <f aca="false">IF($A9="","",AsOf-$G9)</f>
        <v>149</v>
      </c>
      <c r="AG9" s="65" t="str">
        <f aca="false">IF($Y9="","",IF($Y9&lt;=5,IF($AF9&gt;$AE9,"Over","Inside"),"Past approval"))</f>
        <v>Past approval</v>
      </c>
      <c r="AH9" s="65" t="str">
        <f aca="false">IF($Y9="","",CHOOSE($Y9,IF(OR(TRIM($F9)="",ISNUMBER(SEARCH("not named",$F9))),"Critical","Good"),IF($O9&lt;&gt;"Y","Critical",IF($Q9&lt;&gt;"Y","Warning","Good")),IF($P9="","Critical",IF($P9="partial","Warning",IF($P9="ready","Good","Critical"))),IF($R9&lt;&gt;"","Critical","Warning"),IF($L9="","Critical",IF($N9="","Warning","Good")),IF($R9&lt;&gt;"","Critical","Warning"),IF($R9&lt;&gt;"","Critical","Warning"),IF($Q9="Y","Good","Critical")))</f>
        <v>Warning</v>
      </c>
      <c r="AI9" s="65" t="str">
        <f aca="false">IF($Y9="","",CHOOSE($Y9,IF(OR(TRIM($F9)="",ISNUMBER(SEARCH("not named",$F9))),"Name a sponsor accountable for the value",""),IF($O9&lt;&gt;"Y","State the success metric and the stop condition",IF($Q9&lt;&gt;"Y","Set the baseline the benefit will be measured against","")),IF($P9="","Assess data readiness and regulatory impact",IF($P9="partial","Close the known data gaps",IF($P9="ready","","Data is not available; reshape or park"))),IF($R9&lt;&gt;"",IF(OR(ISNUMBER(SEARCH("mrm",$R9)),ISNUMBER(SEARCH("model",$R9)),ISNUMBER(SEARCH("risk",$R9)),ISNUMBER(SEARCH("legal",$R9)),ISNUMBER(SEARCH("complian",$R9))),"Awaiting ","Held at the design gate: ")&amp;$R9,"Map the governance framework for its tier"),IF($L9="","Size the annual benefit",IF($N9="","Score it so it can be ranked against capacity","")),IF($R9&lt;&gt;"","Build held: "&amp;$R9,"In build, not yet through test"),IF($R9&lt;&gt;"","Not ready to scale: "&amp;$R9,"Monitoring and third-party review not yet signed off"),IF($Q9="Y","","Live without a measured baseline to judge it against")))</f>
        <v>In build, not yet through test</v>
      </c>
      <c r="AJ9" s="65" t="str">
        <f aca="false">IF($Y9="","",INDEX(StageForum,$Y9))</f>
        <v>Tactical Standup</v>
      </c>
      <c r="AK9" s="65" t="str">
        <f aca="false">IF($Y9="","",IF(OR($X9="Delivery",$X9="Value"),"Committed",IF($N9&lt;&gt;"","Candidate","")))</f>
        <v>Committed</v>
      </c>
      <c r="AL9" s="65" t="str">
        <f aca="false">IF($AK9&lt;&gt;"Candidate","",COUNTIFS($AK$2:$AK$501,"Candidate",$N$2:$N$501,"&gt;"&amp;$N9)+COUNTIFS($AK$2:$AK$501,"Candidate",$N$2:$N$501,$N9,$A$2:$A$501,"&lt;"&amp;$A9)+1)</f>
        <v/>
      </c>
      <c r="AM9" s="65" t="str">
        <f aca="false">IF($AL9="","",SUMIFS($M$2:$M$501,$AK$2:$AK$501,"Candidate",$AL$2:$AL$501,"&lt;="&amp;$AL9))</f>
        <v/>
      </c>
      <c r="AN9" s="65" t="str">
        <f aca="false">IF($AL9="","",IF($AM9&lt;=CapacityOpen,"Fits","Below line"))</f>
        <v/>
      </c>
      <c r="AO9" s="65" t="str">
        <f aca="false">IF($A9="","",IF($X9="Closed","",IF($X9="Unmapped","Warning",IF(OR($AB9="Overdue",$V9="Y",$AH9="Critical"),"Critical",IF(OR($AB9="At risk",$AC9="Stale",$AG9="Over"),"Warning","")))))</f>
        <v/>
      </c>
      <c r="AP9" s="65" t="str">
        <f aca="false">IF($AO9="","",IF($AO9="Critical",3000,2000)-IF($Z9="",0,$Z9)+ROW()/100000)</f>
        <v/>
      </c>
      <c r="AQ9" s="65" t="str">
        <f aca="false">IF($AO9="","",IF($X9="Unmapped","Status '"&amp;$C9&amp;"' is not in the Config map",IF($V9="Y","Flagged in Jira",IF($AB9="Overdue",-$Z9&amp;" days past its "&amp;$X9&amp;" target",IF($AH9="Critical",$AI9,IF($AB9="At risk","Target in "&amp;$Z9&amp;" days",IF($AC9="Stale","No update in "&amp;$AA9&amp;" days","Past its "&amp;$AE9&amp;"-day tier window")))))))</f>
        <v/>
      </c>
      <c r="AR9" s="65" t="str">
        <f aca="false">IF($AO9="","","draft Jira update for "&amp;$A9)</f>
        <v/>
      </c>
      <c r="AS9" s="65" t="str">
        <f aca="false">IF($A9="","",HYPERLINK(JiraSite&amp;"/browse/"&amp;$A9,"open"))</f>
        <v>open</v>
      </c>
      <c r="AT9" s="65" t="n">
        <f aca="false">IF($Y9="","",$Y9*1000+ROW())</f>
        <v>6009</v>
      </c>
      <c r="AU9" s="65" t="str">
        <f aca="false">IF(AND($A9&lt;&gt;"",$G9&gt;=WeekStart),$G9+ROW()/100000,"")</f>
        <v/>
      </c>
      <c r="AV9" s="65" t="str">
        <f aca="false">IF($A9="","",IF(OR(AND($S9&lt;&gt;"",$S9&gt;=WeekStart),AND($U9&lt;&gt;"",$U9&gt;=WeekStart)),MAX($S9,$U9)+ROW()/100000,""))</f>
        <v/>
      </c>
      <c r="AW9" s="65" t="str">
        <f aca="false">IF($AV9="","",IF($T9&lt;&gt;"",$T9,IF($X9="Closed","Closed","Accepted to "&amp;$X9)))</f>
        <v/>
      </c>
      <c r="AX9" s="65" t="str">
        <f aca="false">IF(AND($Y9&lt;&gt;"",$R9&lt;&gt;""),$AF9+ROW()/100000,"")</f>
        <v/>
      </c>
      <c r="AY9" s="65" t="str">
        <f aca="false">IF(AND($Y9&lt;&gt;"",OR($AB9="Overdue",AND($AH9="Critical",$R9&lt;&gt;""))),$AF9+ROW()/100000,"")</f>
        <v/>
      </c>
      <c r="AZ9" s="65" t="str">
        <f aca="false">IF($AH9="Critical",$AF9+ROW()/100000,"")</f>
        <v/>
      </c>
    </row>
    <row r="10" customFormat="false" ht="15" hidden="false" customHeight="false" outlineLevel="0" collapsed="false">
      <c r="A10" s="28" t="s">
        <v>241</v>
      </c>
      <c r="B10" s="28" t="s">
        <v>242</v>
      </c>
      <c r="C10" s="28" t="s">
        <v>44</v>
      </c>
      <c r="D10" s="28" t="s">
        <v>243</v>
      </c>
      <c r="E10" s="28" t="s">
        <v>232</v>
      </c>
      <c r="F10" s="28" t="s">
        <v>244</v>
      </c>
      <c r="G10" s="63" t="n">
        <v>46294</v>
      </c>
      <c r="H10" s="63" t="n">
        <v>46296</v>
      </c>
      <c r="I10" s="63" t="n">
        <v>46303</v>
      </c>
      <c r="J10" s="28" t="s">
        <v>79</v>
      </c>
      <c r="K10" s="28" t="s">
        <v>203</v>
      </c>
      <c r="L10" s="28"/>
      <c r="M10" s="28" t="n">
        <v>8</v>
      </c>
      <c r="N10" s="28"/>
      <c r="O10" s="64"/>
      <c r="P10" s="64" t="s">
        <v>197</v>
      </c>
      <c r="Q10" s="64"/>
      <c r="R10" s="28"/>
      <c r="S10" s="63"/>
      <c r="T10" s="64"/>
      <c r="U10" s="63"/>
      <c r="V10" s="64"/>
      <c r="W10" s="28" t="s">
        <v>205</v>
      </c>
      <c r="X10" s="65" t="str">
        <f aca="false">IF($A10="","",IF(OR($T10&lt;&gt;"",$U10&lt;&gt;""),"Closed",IFERROR(INDEX(MapStage,MATCH($C10,MapStatus,0)),"Unmapped")))</f>
        <v>Intake</v>
      </c>
      <c r="Y10" s="65" t="n">
        <f aca="false">IF(OR($X10="",$X10="Closed",$X10="Unmapped"),"",MATCH($X10,StageName,0))</f>
        <v>1</v>
      </c>
      <c r="Z10" s="65" t="n">
        <f aca="false">IF(OR($Y10="",$I10=""),"",$I10-AsOf)</f>
        <v>6</v>
      </c>
      <c r="AA10" s="65" t="n">
        <f aca="false">IF($A10="","",AsOf-$H10)</f>
        <v>1</v>
      </c>
      <c r="AB10" s="65" t="str">
        <f aca="false">IF($A10="","",IF($X10="Closed","Closed",IF($X10="Unmapped","Unmapped",IF($I10="","No target",IF($Z10&lt;0,"Overdue",IF($Z10&lt;=INDEX(StageWindow,$Y10),"At risk","On track"))))))</f>
        <v>On track</v>
      </c>
      <c r="AC10" s="65" t="str">
        <f aca="false">IF($Y10="","",IF($AA10&gt;2*INDEX(StageStale,$Y10),"Stale",IF($AA10&gt;INDEX(StageStale,$Y10),"Aging","Fresh")))</f>
        <v>Fresh</v>
      </c>
      <c r="AD10" s="65" t="str">
        <f aca="false">IF($A10="","",IF(OR(ISNUMBER(SEARCH("Reg report",$J10)),ISNUMBER(SEARCH("No human review",$J10)),COUNTIF(TierFuncs,$D10)&gt;0),"High",IF(OR(TRIM($J10)&lt;&gt;"",ISNUMBER(SEARCH("revenue",$K10))),"Medium","Low")))</f>
        <v>High</v>
      </c>
      <c r="AE10" s="65" t="n">
        <f aca="false">IF($A10="","",INDEX(TierDays,MATCH($AD10,TierName,0)))</f>
        <v>70</v>
      </c>
      <c r="AF10" s="65" t="n">
        <f aca="false">IF($A10="","",AsOf-$G10)</f>
        <v>3</v>
      </c>
      <c r="AG10" s="65" t="str">
        <f aca="false">IF($Y10="","",IF($Y10&lt;=5,IF($AF10&gt;$AE10,"Over","Inside"),"Past approval"))</f>
        <v>Inside</v>
      </c>
      <c r="AH10" s="65" t="str">
        <f aca="false">IF($Y10="","",CHOOSE($Y10,IF(OR(TRIM($F10)="",ISNUMBER(SEARCH("not named",$F10))),"Critical","Good"),IF($O10&lt;&gt;"Y","Critical",IF($Q10&lt;&gt;"Y","Warning","Good")),IF($P10="","Critical",IF($P10="partial","Warning",IF($P10="ready","Good","Critical"))),IF($R10&lt;&gt;"","Critical","Warning"),IF($L10="","Critical",IF($N10="","Warning","Good")),IF($R10&lt;&gt;"","Critical","Warning"),IF($R10&lt;&gt;"","Critical","Warning"),IF($Q10="Y","Good","Critical")))</f>
        <v>Good</v>
      </c>
      <c r="AI10" s="65" t="str">
        <f aca="false">IF($Y10="","",CHOOSE($Y10,IF(OR(TRIM($F10)="",ISNUMBER(SEARCH("not named",$F10))),"Name a sponsor accountable for the value",""),IF($O10&lt;&gt;"Y","State the success metric and the stop condition",IF($Q10&lt;&gt;"Y","Set the baseline the benefit will be measured against","")),IF($P10="","Assess data readiness and regulatory impact",IF($P10="partial","Close the known data gaps",IF($P10="ready","","Data is not available; reshape or park"))),IF($R10&lt;&gt;"",IF(OR(ISNUMBER(SEARCH("mrm",$R10)),ISNUMBER(SEARCH("model",$R10)),ISNUMBER(SEARCH("risk",$R10)),ISNUMBER(SEARCH("legal",$R10)),ISNUMBER(SEARCH("complian",$R10))),"Awaiting ","Held at the design gate: ")&amp;$R10,"Map the governance framework for its tier"),IF($L10="","Size the annual benefit",IF($N10="","Score it so it can be ranked against capacity","")),IF($R10&lt;&gt;"","Build held: "&amp;$R10,"In build, not yet through test"),IF($R10&lt;&gt;"","Not ready to scale: "&amp;$R10,"Monitoring and third-party review not yet signed off"),IF($Q10="Y","","Live without a measured baseline to judge it against")))</f>
        <v/>
      </c>
      <c r="AJ10" s="65" t="str">
        <f aca="false">IF($Y10="","",INDEX(StageForum,$Y10))</f>
        <v>Weekly Intake</v>
      </c>
      <c r="AK10" s="65" t="str">
        <f aca="false">IF($Y10="","",IF(OR($X10="Delivery",$X10="Value"),"Committed",IF($N10&lt;&gt;"","Candidate","")))</f>
        <v/>
      </c>
      <c r="AL10" s="65" t="str">
        <f aca="false">IF($AK10&lt;&gt;"Candidate","",COUNTIFS($AK$2:$AK$501,"Candidate",$N$2:$N$501,"&gt;"&amp;$N10)+COUNTIFS($AK$2:$AK$501,"Candidate",$N$2:$N$501,$N10,$A$2:$A$501,"&lt;"&amp;$A10)+1)</f>
        <v/>
      </c>
      <c r="AM10" s="65" t="str">
        <f aca="false">IF($AL10="","",SUMIFS($M$2:$M$501,$AK$2:$AK$501,"Candidate",$AL$2:$AL$501,"&lt;="&amp;$AL10))</f>
        <v/>
      </c>
      <c r="AN10" s="65" t="str">
        <f aca="false">IF($AL10="","",IF($AM10&lt;=CapacityOpen,"Fits","Below line"))</f>
        <v/>
      </c>
      <c r="AO10" s="65" t="str">
        <f aca="false">IF($A10="","",IF($X10="Closed","",IF($X10="Unmapped","Warning",IF(OR($AB10="Overdue",$V10="Y",$AH10="Critical"),"Critical",IF(OR($AB10="At risk",$AC10="Stale",$AG10="Over"),"Warning","")))))</f>
        <v/>
      </c>
      <c r="AP10" s="65" t="str">
        <f aca="false">IF($AO10="","",IF($AO10="Critical",3000,2000)-IF($Z10="",0,$Z10)+ROW()/100000)</f>
        <v/>
      </c>
      <c r="AQ10" s="65" t="str">
        <f aca="false">IF($AO10="","",IF($X10="Unmapped","Status '"&amp;$C10&amp;"' is not in the Config map",IF($V10="Y","Flagged in Jira",IF($AB10="Overdue",-$Z10&amp;" days past its "&amp;$X10&amp;" target",IF($AH10="Critical",$AI10,IF($AB10="At risk","Target in "&amp;$Z10&amp;" days",IF($AC10="Stale","No update in "&amp;$AA10&amp;" days","Past its "&amp;$AE10&amp;"-day tier window")))))))</f>
        <v/>
      </c>
      <c r="AR10" s="65" t="str">
        <f aca="false">IF($AO10="","","draft Jira update for "&amp;$A10)</f>
        <v/>
      </c>
      <c r="AS10" s="65" t="str">
        <f aca="false">IF($A10="","",HYPERLINK(JiraSite&amp;"/browse/"&amp;$A10,"open"))</f>
        <v>open</v>
      </c>
      <c r="AT10" s="65" t="n">
        <f aca="false">IF($Y10="","",$Y10*1000+ROW())</f>
        <v>1010</v>
      </c>
      <c r="AU10" s="66" t="n">
        <f aca="false">IF(AND($A10&lt;&gt;"",$G10&gt;=WeekStart),$G10+ROW()/100000,"")</f>
        <v>46294.0001</v>
      </c>
      <c r="AV10" s="65" t="str">
        <f aca="false">IF($A10="","",IF(OR(AND($S10&lt;&gt;"",$S10&gt;=WeekStart),AND($U10&lt;&gt;"",$U10&gt;=WeekStart)),MAX($S10,$U10)+ROW()/100000,""))</f>
        <v/>
      </c>
      <c r="AW10" s="65" t="str">
        <f aca="false">IF($AV10="","",IF($T10&lt;&gt;"",$T10,IF($X10="Closed","Closed","Accepted to "&amp;$X10)))</f>
        <v/>
      </c>
      <c r="AX10" s="65" t="str">
        <f aca="false">IF(AND($Y10&lt;&gt;"",$R10&lt;&gt;""),$AF10+ROW()/100000,"")</f>
        <v/>
      </c>
      <c r="AY10" s="65" t="str">
        <f aca="false">IF(AND($Y10&lt;&gt;"",OR($AB10="Overdue",AND($AH10="Critical",$R10&lt;&gt;""))),$AF10+ROW()/100000,"")</f>
        <v/>
      </c>
      <c r="AZ10" s="65" t="str">
        <f aca="false">IF($AH10="Critical",$AF10+ROW()/100000,"")</f>
        <v/>
      </c>
    </row>
    <row r="11" customFormat="false" ht="15" hidden="false" customHeight="false" outlineLevel="0" collapsed="false">
      <c r="A11" s="28" t="s">
        <v>245</v>
      </c>
      <c r="B11" s="28" t="s">
        <v>246</v>
      </c>
      <c r="C11" s="28" t="s">
        <v>44</v>
      </c>
      <c r="D11" s="28" t="s">
        <v>238</v>
      </c>
      <c r="E11" s="28" t="s">
        <v>232</v>
      </c>
      <c r="F11" s="28" t="s">
        <v>247</v>
      </c>
      <c r="G11" s="63" t="n">
        <v>46276</v>
      </c>
      <c r="H11" s="63" t="n">
        <v>46288</v>
      </c>
      <c r="I11" s="63" t="n">
        <v>46299</v>
      </c>
      <c r="J11" s="28"/>
      <c r="K11" s="28" t="s">
        <v>87</v>
      </c>
      <c r="L11" s="28"/>
      <c r="M11" s="28" t="n">
        <v>3</v>
      </c>
      <c r="N11" s="28"/>
      <c r="O11" s="64"/>
      <c r="P11" s="64"/>
      <c r="Q11" s="64"/>
      <c r="R11" s="28" t="s">
        <v>248</v>
      </c>
      <c r="S11" s="63"/>
      <c r="T11" s="64"/>
      <c r="U11" s="63"/>
      <c r="V11" s="64"/>
      <c r="W11" s="28"/>
      <c r="X11" s="65" t="str">
        <f aca="false">IF($A11="","",IF(OR($T11&lt;&gt;"",$U11&lt;&gt;""),"Closed",IFERROR(INDEX(MapStage,MATCH($C11,MapStatus,0)),"Unmapped")))</f>
        <v>Intake</v>
      </c>
      <c r="Y11" s="65" t="n">
        <f aca="false">IF(OR($X11="",$X11="Closed",$X11="Unmapped"),"",MATCH($X11,StageName,0))</f>
        <v>1</v>
      </c>
      <c r="Z11" s="65" t="n">
        <f aca="false">IF(OR($Y11="",$I11=""),"",$I11-AsOf)</f>
        <v>2</v>
      </c>
      <c r="AA11" s="65" t="n">
        <f aca="false">IF($A11="","",AsOf-$H11)</f>
        <v>9</v>
      </c>
      <c r="AB11" s="65" t="str">
        <f aca="false">IF($A11="","",IF($X11="Closed","Closed",IF($X11="Unmapped","Unmapped",IF($I11="","No target",IF($Z11&lt;0,"Overdue",IF($Z11&lt;=INDEX(StageWindow,$Y11),"At risk","On track"))))))</f>
        <v>At risk</v>
      </c>
      <c r="AC11" s="65" t="str">
        <f aca="false">IF($Y11="","",IF($AA11&gt;2*INDEX(StageStale,$Y11),"Stale",IF($AA11&gt;INDEX(StageStale,$Y11),"Aging","Fresh")))</f>
        <v>Aging</v>
      </c>
      <c r="AD11" s="65" t="str">
        <f aca="false">IF($A11="","",IF(OR(ISNUMBER(SEARCH("Reg report",$J11)),ISNUMBER(SEARCH("No human review",$J11)),COUNTIF(TierFuncs,$D11)&gt;0),"High",IF(OR(TRIM($J11)&lt;&gt;"",ISNUMBER(SEARCH("revenue",$K11))),"Medium","Low")))</f>
        <v>Low</v>
      </c>
      <c r="AE11" s="65" t="n">
        <f aca="false">IF($A11="","",INDEX(TierDays,MATCH($AD11,TierName,0)))</f>
        <v>21</v>
      </c>
      <c r="AF11" s="65" t="n">
        <f aca="false">IF($A11="","",AsOf-$G11)</f>
        <v>21</v>
      </c>
      <c r="AG11" s="65" t="str">
        <f aca="false">IF($Y11="","",IF($Y11&lt;=5,IF($AF11&gt;$AE11,"Over","Inside"),"Past approval"))</f>
        <v>Inside</v>
      </c>
      <c r="AH11" s="65" t="str">
        <f aca="false">IF($Y11="","",CHOOSE($Y11,IF(OR(TRIM($F11)="",ISNUMBER(SEARCH("not named",$F11))),"Critical","Good"),IF($O11&lt;&gt;"Y","Critical",IF($Q11&lt;&gt;"Y","Warning","Good")),IF($P11="","Critical",IF($P11="partial","Warning",IF($P11="ready","Good","Critical"))),IF($R11&lt;&gt;"","Critical","Warning"),IF($L11="","Critical",IF($N11="","Warning","Good")),IF($R11&lt;&gt;"","Critical","Warning"),IF($R11&lt;&gt;"","Critical","Warning"),IF($Q11="Y","Good","Critical")))</f>
        <v>Critical</v>
      </c>
      <c r="AI11" s="65" t="str">
        <f aca="false">IF($Y11="","",CHOOSE($Y11,IF(OR(TRIM($F11)="",ISNUMBER(SEARCH("not named",$F11))),"Name a sponsor accountable for the value",""),IF($O11&lt;&gt;"Y","State the success metric and the stop condition",IF($Q11&lt;&gt;"Y","Set the baseline the benefit will be measured against","")),IF($P11="","Assess data readiness and regulatory impact",IF($P11="partial","Close the known data gaps",IF($P11="ready","","Data is not available; reshape or park"))),IF($R11&lt;&gt;"",IF(OR(ISNUMBER(SEARCH("mrm",$R11)),ISNUMBER(SEARCH("model",$R11)),ISNUMBER(SEARCH("risk",$R11)),ISNUMBER(SEARCH("legal",$R11)),ISNUMBER(SEARCH("complian",$R11))),"Awaiting ","Held at the design gate: ")&amp;$R11,"Map the governance framework for its tier"),IF($L11="","Size the annual benefit",IF($N11="","Score it so it can be ranked against capacity","")),IF($R11&lt;&gt;"","Build held: "&amp;$R11,"In build, not yet through test"),IF($R11&lt;&gt;"","Not ready to scale: "&amp;$R11,"Monitoring and third-party review not yet signed off"),IF($Q11="Y","","Live without a measured baseline to judge it against")))</f>
        <v>Name a sponsor accountable for the value</v>
      </c>
      <c r="AJ11" s="65" t="str">
        <f aca="false">IF($Y11="","",INDEX(StageForum,$Y11))</f>
        <v>Weekly Intake</v>
      </c>
      <c r="AK11" s="65" t="str">
        <f aca="false">IF($Y11="","",IF(OR($X11="Delivery",$X11="Value"),"Committed",IF($N11&lt;&gt;"","Candidate","")))</f>
        <v/>
      </c>
      <c r="AL11" s="65" t="str">
        <f aca="false">IF($AK11&lt;&gt;"Candidate","",COUNTIFS($AK$2:$AK$501,"Candidate",$N$2:$N$501,"&gt;"&amp;$N11)+COUNTIFS($AK$2:$AK$501,"Candidate",$N$2:$N$501,$N11,$A$2:$A$501,"&lt;"&amp;$A11)+1)</f>
        <v/>
      </c>
      <c r="AM11" s="65" t="str">
        <f aca="false">IF($AL11="","",SUMIFS($M$2:$M$501,$AK$2:$AK$501,"Candidate",$AL$2:$AL$501,"&lt;="&amp;$AL11))</f>
        <v/>
      </c>
      <c r="AN11" s="65" t="str">
        <f aca="false">IF($AL11="","",IF($AM11&lt;=CapacityOpen,"Fits","Below line"))</f>
        <v/>
      </c>
      <c r="AO11" s="65" t="str">
        <f aca="false">IF($A11="","",IF($X11="Closed","",IF($X11="Unmapped","Warning",IF(OR($AB11="Overdue",$V11="Y",$AH11="Critical"),"Critical",IF(OR($AB11="At risk",$AC11="Stale",$AG11="Over"),"Warning","")))))</f>
        <v>Critical</v>
      </c>
      <c r="AP11" s="65" t="n">
        <f aca="false">IF($AO11="","",IF($AO11="Critical",3000,2000)-IF($Z11="",0,$Z11)+ROW()/100000)</f>
        <v>2998.00011</v>
      </c>
      <c r="AQ11" s="65" t="str">
        <f aca="false">IF($AO11="","",IF($X11="Unmapped","Status '"&amp;$C11&amp;"' is not in the Config map",IF($V11="Y","Flagged in Jira",IF($AB11="Overdue",-$Z11&amp;" days past its "&amp;$X11&amp;" target",IF($AH11="Critical",$AI11,IF($AB11="At risk","Target in "&amp;$Z11&amp;" days",IF($AC11="Stale","No update in "&amp;$AA11&amp;" days","Past its "&amp;$AE11&amp;"-day tier window")))))))</f>
        <v>Name a sponsor accountable for the value</v>
      </c>
      <c r="AR11" s="65" t="str">
        <f aca="false">IF($AO11="","","draft Jira update for "&amp;$A11)</f>
        <v>draft Jira update for AI-010</v>
      </c>
      <c r="AS11" s="65" t="str">
        <f aca="false">IF($A11="","",HYPERLINK(JiraSite&amp;"/browse/"&amp;$A11,"open"))</f>
        <v>open</v>
      </c>
      <c r="AT11" s="65" t="n">
        <f aca="false">IF($Y11="","",$Y11*1000+ROW())</f>
        <v>1011</v>
      </c>
      <c r="AU11" s="65" t="str">
        <f aca="false">IF(AND($A11&lt;&gt;"",$G11&gt;=WeekStart),$G11+ROW()/100000,"")</f>
        <v/>
      </c>
      <c r="AV11" s="65" t="str">
        <f aca="false">IF($A11="","",IF(OR(AND($S11&lt;&gt;"",$S11&gt;=WeekStart),AND($U11&lt;&gt;"",$U11&gt;=WeekStart)),MAX($S11,$U11)+ROW()/100000,""))</f>
        <v/>
      </c>
      <c r="AW11" s="65" t="str">
        <f aca="false">IF($AV11="","",IF($T11&lt;&gt;"",$T11,IF($X11="Closed","Closed","Accepted to "&amp;$X11)))</f>
        <v/>
      </c>
      <c r="AX11" s="65" t="n">
        <f aca="false">IF(AND($Y11&lt;&gt;"",$R11&lt;&gt;""),$AF11+ROW()/100000,"")</f>
        <v>21.00011</v>
      </c>
      <c r="AY11" s="65" t="n">
        <f aca="false">IF(AND($Y11&lt;&gt;"",OR($AB11="Overdue",AND($AH11="Critical",$R11&lt;&gt;""))),$AF11+ROW()/100000,"")</f>
        <v>21.00011</v>
      </c>
      <c r="AZ11" s="65" t="n">
        <f aca="false">IF($AH11="Critical",$AF11+ROW()/100000,"")</f>
        <v>21.00011</v>
      </c>
    </row>
    <row r="12" customFormat="false" ht="15" hidden="false" customHeight="false" outlineLevel="0" collapsed="false">
      <c r="A12" s="28" t="s">
        <v>249</v>
      </c>
      <c r="B12" s="28" t="s">
        <v>250</v>
      </c>
      <c r="C12" s="28" t="s">
        <v>251</v>
      </c>
      <c r="D12" s="28" t="s">
        <v>252</v>
      </c>
      <c r="E12" s="28" t="s">
        <v>253</v>
      </c>
      <c r="F12" s="28" t="s">
        <v>254</v>
      </c>
      <c r="G12" s="63" t="n">
        <v>46094</v>
      </c>
      <c r="H12" s="63" t="n">
        <v>46287</v>
      </c>
      <c r="I12" s="63" t="n">
        <v>46347</v>
      </c>
      <c r="J12" s="28" t="s">
        <v>79</v>
      </c>
      <c r="K12" s="28" t="s">
        <v>255</v>
      </c>
      <c r="L12" s="28" t="n">
        <v>1400</v>
      </c>
      <c r="M12" s="28" t="n">
        <v>3</v>
      </c>
      <c r="N12" s="28" t="n">
        <v>8.9</v>
      </c>
      <c r="O12" s="64" t="s">
        <v>188</v>
      </c>
      <c r="P12" s="64" t="s">
        <v>189</v>
      </c>
      <c r="Q12" s="64" t="s">
        <v>188</v>
      </c>
      <c r="R12" s="28"/>
      <c r="S12" s="63" t="n">
        <v>46130</v>
      </c>
      <c r="T12" s="64"/>
      <c r="U12" s="63"/>
      <c r="V12" s="64"/>
      <c r="W12" s="28"/>
      <c r="X12" s="65" t="str">
        <f aca="false">IF($A12="","",IF(OR($T12&lt;&gt;"",$U12&lt;&gt;""),"Closed",IFERROR(INDEX(MapStage,MATCH($C12,MapStatus,0)),"Unmapped")))</f>
        <v>Value</v>
      </c>
      <c r="Y12" s="65" t="n">
        <f aca="false">IF(OR($X12="",$X12="Closed",$X12="Unmapped"),"",MATCH($X12,StageName,0))</f>
        <v>8</v>
      </c>
      <c r="Z12" s="65" t="n">
        <f aca="false">IF(OR($Y12="",$I12=""),"",$I12-AsOf)</f>
        <v>50</v>
      </c>
      <c r="AA12" s="65" t="n">
        <f aca="false">IF($A12="","",AsOf-$H12)</f>
        <v>10</v>
      </c>
      <c r="AB12" s="65" t="str">
        <f aca="false">IF($A12="","",IF($X12="Closed","Closed",IF($X12="Unmapped","Unmapped",IF($I12="","No target",IF($Z12&lt;0,"Overdue",IF($Z12&lt;=INDEX(StageWindow,$Y12),"At risk","On track"))))))</f>
        <v>On track</v>
      </c>
      <c r="AC12" s="65" t="str">
        <f aca="false">IF($Y12="","",IF($AA12&gt;2*INDEX(StageStale,$Y12),"Stale",IF($AA12&gt;INDEX(StageStale,$Y12),"Aging","Fresh")))</f>
        <v>Fresh</v>
      </c>
      <c r="AD12" s="65" t="str">
        <f aca="false">IF($A12="","",IF(OR(ISNUMBER(SEARCH("Reg report",$J12)),ISNUMBER(SEARCH("No human review",$J12)),COUNTIF(TierFuncs,$D12)&gt;0),"High",IF(OR(TRIM($J12)&lt;&gt;"",ISNUMBER(SEARCH("revenue",$K12))),"Medium","Low")))</f>
        <v>High</v>
      </c>
      <c r="AE12" s="65" t="n">
        <f aca="false">IF($A12="","",INDEX(TierDays,MATCH($AD12,TierName,0)))</f>
        <v>70</v>
      </c>
      <c r="AF12" s="65" t="n">
        <f aca="false">IF($A12="","",AsOf-$G12)</f>
        <v>203</v>
      </c>
      <c r="AG12" s="65" t="str">
        <f aca="false">IF($Y12="","",IF($Y12&lt;=5,IF($AF12&gt;$AE12,"Over","Inside"),"Past approval"))</f>
        <v>Past approval</v>
      </c>
      <c r="AH12" s="65" t="str">
        <f aca="false">IF($Y12="","",CHOOSE($Y12,IF(OR(TRIM($F12)="",ISNUMBER(SEARCH("not named",$F12))),"Critical","Good"),IF($O12&lt;&gt;"Y","Critical",IF($Q12&lt;&gt;"Y","Warning","Good")),IF($P12="","Critical",IF($P12="partial","Warning",IF($P12="ready","Good","Critical"))),IF($R12&lt;&gt;"","Critical","Warning"),IF($L12="","Critical",IF($N12="","Warning","Good")),IF($R12&lt;&gt;"","Critical","Warning"),IF($R12&lt;&gt;"","Critical","Warning"),IF($Q12="Y","Good","Critical")))</f>
        <v>Good</v>
      </c>
      <c r="AI12" s="65" t="str">
        <f aca="false">IF($Y12="","",CHOOSE($Y12,IF(OR(TRIM($F12)="",ISNUMBER(SEARCH("not named",$F12))),"Name a sponsor accountable for the value",""),IF($O12&lt;&gt;"Y","State the success metric and the stop condition",IF($Q12&lt;&gt;"Y","Set the baseline the benefit will be measured against","")),IF($P12="","Assess data readiness and regulatory impact",IF($P12="partial","Close the known data gaps",IF($P12="ready","","Data is not available; reshape or park"))),IF($R12&lt;&gt;"",IF(OR(ISNUMBER(SEARCH("mrm",$R12)),ISNUMBER(SEARCH("model",$R12)),ISNUMBER(SEARCH("risk",$R12)),ISNUMBER(SEARCH("legal",$R12)),ISNUMBER(SEARCH("complian",$R12))),"Awaiting ","Held at the design gate: ")&amp;$R12,"Map the governance framework for its tier"),IF($L12="","Size the annual benefit",IF($N12="","Score it so it can be ranked against capacity","")),IF($R12&lt;&gt;"","Build held: "&amp;$R12,"In build, not yet through test"),IF($R12&lt;&gt;"","Not ready to scale: "&amp;$R12,"Monitoring and third-party review not yet signed off"),IF($Q12="Y","","Live without a measured baseline to judge it against")))</f>
        <v/>
      </c>
      <c r="AJ12" s="65" t="str">
        <f aca="false">IF($Y12="","",INDEX(StageForum,$Y12))</f>
        <v>Portfolio Council</v>
      </c>
      <c r="AK12" s="65" t="str">
        <f aca="false">IF($Y12="","",IF(OR($X12="Delivery",$X12="Value"),"Committed",IF($N12&lt;&gt;"","Candidate","")))</f>
        <v>Committed</v>
      </c>
      <c r="AL12" s="65" t="str">
        <f aca="false">IF($AK12&lt;&gt;"Candidate","",COUNTIFS($AK$2:$AK$501,"Candidate",$N$2:$N$501,"&gt;"&amp;$N12)+COUNTIFS($AK$2:$AK$501,"Candidate",$N$2:$N$501,$N12,$A$2:$A$501,"&lt;"&amp;$A12)+1)</f>
        <v/>
      </c>
      <c r="AM12" s="65" t="str">
        <f aca="false">IF($AL12="","",SUMIFS($M$2:$M$501,$AK$2:$AK$501,"Candidate",$AL$2:$AL$501,"&lt;="&amp;$AL12))</f>
        <v/>
      </c>
      <c r="AN12" s="65" t="str">
        <f aca="false">IF($AL12="","",IF($AM12&lt;=CapacityOpen,"Fits","Below line"))</f>
        <v/>
      </c>
      <c r="AO12" s="65" t="str">
        <f aca="false">IF($A12="","",IF($X12="Closed","",IF($X12="Unmapped","Warning",IF(OR($AB12="Overdue",$V12="Y",$AH12="Critical"),"Critical",IF(OR($AB12="At risk",$AC12="Stale",$AG12="Over"),"Warning","")))))</f>
        <v/>
      </c>
      <c r="AP12" s="65" t="str">
        <f aca="false">IF($AO12="","",IF($AO12="Critical",3000,2000)-IF($Z12="",0,$Z12)+ROW()/100000)</f>
        <v/>
      </c>
      <c r="AQ12" s="65" t="str">
        <f aca="false">IF($AO12="","",IF($X12="Unmapped","Status '"&amp;$C12&amp;"' is not in the Config map",IF($V12="Y","Flagged in Jira",IF($AB12="Overdue",-$Z12&amp;" days past its "&amp;$X12&amp;" target",IF($AH12="Critical",$AI12,IF($AB12="At risk","Target in "&amp;$Z12&amp;" days",IF($AC12="Stale","No update in "&amp;$AA12&amp;" days","Past its "&amp;$AE12&amp;"-day tier window")))))))</f>
        <v/>
      </c>
      <c r="AR12" s="65" t="str">
        <f aca="false">IF($AO12="","","draft Jira update for "&amp;$A12)</f>
        <v/>
      </c>
      <c r="AS12" s="65" t="str">
        <f aca="false">IF($A12="","",HYPERLINK(JiraSite&amp;"/browse/"&amp;$A12,"open"))</f>
        <v>open</v>
      </c>
      <c r="AT12" s="65" t="n">
        <f aca="false">IF($Y12="","",$Y12*1000+ROW())</f>
        <v>8012</v>
      </c>
      <c r="AU12" s="65" t="str">
        <f aca="false">IF(AND($A12&lt;&gt;"",$G12&gt;=WeekStart),$G12+ROW()/100000,"")</f>
        <v/>
      </c>
      <c r="AV12" s="65" t="str">
        <f aca="false">IF($A12="","",IF(OR(AND($S12&lt;&gt;"",$S12&gt;=WeekStart),AND($U12&lt;&gt;"",$U12&gt;=WeekStart)),MAX($S12,$U12)+ROW()/100000,""))</f>
        <v/>
      </c>
      <c r="AW12" s="65" t="str">
        <f aca="false">IF($AV12="","",IF($T12&lt;&gt;"",$T12,IF($X12="Closed","Closed","Accepted to "&amp;$X12)))</f>
        <v/>
      </c>
      <c r="AX12" s="65" t="str">
        <f aca="false">IF(AND($Y12&lt;&gt;"",$R12&lt;&gt;""),$AF12+ROW()/100000,"")</f>
        <v/>
      </c>
      <c r="AY12" s="65" t="str">
        <f aca="false">IF(AND($Y12&lt;&gt;"",OR($AB12="Overdue",AND($AH12="Critical",$R12&lt;&gt;""))),$AF12+ROW()/100000,"")</f>
        <v/>
      </c>
      <c r="AZ12" s="65" t="str">
        <f aca="false">IF($AH12="Critical",$AF12+ROW()/100000,"")</f>
        <v/>
      </c>
    </row>
    <row r="13" customFormat="false" ht="15" hidden="false" customHeight="false" outlineLevel="0" collapsed="false">
      <c r="A13" s="28" t="s">
        <v>256</v>
      </c>
      <c r="B13" s="28" t="s">
        <v>257</v>
      </c>
      <c r="C13" s="28" t="s">
        <v>45</v>
      </c>
      <c r="D13" s="28" t="s">
        <v>225</v>
      </c>
      <c r="E13" s="28" t="s">
        <v>232</v>
      </c>
      <c r="F13" s="28" t="s">
        <v>258</v>
      </c>
      <c r="G13" s="63" t="n">
        <v>46279</v>
      </c>
      <c r="H13" s="63" t="n">
        <v>46289</v>
      </c>
      <c r="I13" s="63" t="n">
        <v>46305</v>
      </c>
      <c r="J13" s="28"/>
      <c r="K13" s="28" t="s">
        <v>81</v>
      </c>
      <c r="L13" s="28"/>
      <c r="M13" s="28" t="n">
        <v>3</v>
      </c>
      <c r="N13" s="28"/>
      <c r="O13" s="64"/>
      <c r="P13" s="64"/>
      <c r="Q13" s="64"/>
      <c r="R13" s="28" t="s">
        <v>259</v>
      </c>
      <c r="S13" s="63"/>
      <c r="T13" s="64"/>
      <c r="U13" s="63"/>
      <c r="V13" s="64"/>
      <c r="W13" s="28"/>
      <c r="X13" s="65" t="str">
        <f aca="false">IF($A13="","",IF(OR($T13&lt;&gt;"",$U13&lt;&gt;""),"Closed",IFERROR(INDEX(MapStage,MATCH($C13,MapStatus,0)),"Unmapped")))</f>
        <v>Triage</v>
      </c>
      <c r="Y13" s="65" t="n">
        <f aca="false">IF(OR($X13="",$X13="Closed",$X13="Unmapped"),"",MATCH($X13,StageName,0))</f>
        <v>2</v>
      </c>
      <c r="Z13" s="65" t="n">
        <f aca="false">IF(OR($Y13="",$I13=""),"",$I13-AsOf)</f>
        <v>8</v>
      </c>
      <c r="AA13" s="65" t="n">
        <f aca="false">IF($A13="","",AsOf-$H13)</f>
        <v>8</v>
      </c>
      <c r="AB13" s="65" t="str">
        <f aca="false">IF($A13="","",IF($X13="Closed","Closed",IF($X13="Unmapped","Unmapped",IF($I13="","No target",IF($Z13&lt;0,"Overdue",IF($Z13&lt;=INDEX(StageWindow,$Y13),"At risk","On track"))))))</f>
        <v>On track</v>
      </c>
      <c r="AC13" s="65" t="str">
        <f aca="false">IF($Y13="","",IF($AA13&gt;2*INDEX(StageStale,$Y13),"Stale",IF($AA13&gt;INDEX(StageStale,$Y13),"Aging","Fresh")))</f>
        <v>Aging</v>
      </c>
      <c r="AD13" s="65" t="str">
        <f aca="false">IF($A13="","",IF(OR(ISNUMBER(SEARCH("Reg report",$J13)),ISNUMBER(SEARCH("No human review",$J13)),COUNTIF(TierFuncs,$D13)&gt;0),"High",IF(OR(TRIM($J13)&lt;&gt;"",ISNUMBER(SEARCH("revenue",$K13))),"Medium","Low")))</f>
        <v>Low</v>
      </c>
      <c r="AE13" s="65" t="n">
        <f aca="false">IF($A13="","",INDEX(TierDays,MATCH($AD13,TierName,0)))</f>
        <v>21</v>
      </c>
      <c r="AF13" s="65" t="n">
        <f aca="false">IF($A13="","",AsOf-$G13)</f>
        <v>18</v>
      </c>
      <c r="AG13" s="65" t="str">
        <f aca="false">IF($Y13="","",IF($Y13&lt;=5,IF($AF13&gt;$AE13,"Over","Inside"),"Past approval"))</f>
        <v>Inside</v>
      </c>
      <c r="AH13" s="65" t="str">
        <f aca="false">IF($Y13="","",CHOOSE($Y13,IF(OR(TRIM($F13)="",ISNUMBER(SEARCH("not named",$F13))),"Critical","Good"),IF($O13&lt;&gt;"Y","Critical",IF($Q13&lt;&gt;"Y","Warning","Good")),IF($P13="","Critical",IF($P13="partial","Warning",IF($P13="ready","Good","Critical"))),IF($R13&lt;&gt;"","Critical","Warning"),IF($L13="","Critical",IF($N13="","Warning","Good")),IF($R13&lt;&gt;"","Critical","Warning"),IF($R13&lt;&gt;"","Critical","Warning"),IF($Q13="Y","Good","Critical")))</f>
        <v>Critical</v>
      </c>
      <c r="AI13" s="65" t="str">
        <f aca="false">IF($Y13="","",CHOOSE($Y13,IF(OR(TRIM($F13)="",ISNUMBER(SEARCH("not named",$F13))),"Name a sponsor accountable for the value",""),IF($O13&lt;&gt;"Y","State the success metric and the stop condition",IF($Q13&lt;&gt;"Y","Set the baseline the benefit will be measured against","")),IF($P13="","Assess data readiness and regulatory impact",IF($P13="partial","Close the known data gaps",IF($P13="ready","","Data is not available; reshape or park"))),IF($R13&lt;&gt;"",IF(OR(ISNUMBER(SEARCH("mrm",$R13)),ISNUMBER(SEARCH("model",$R13)),ISNUMBER(SEARCH("risk",$R13)),ISNUMBER(SEARCH("legal",$R13)),ISNUMBER(SEARCH("complian",$R13))),"Awaiting ","Held at the design gate: ")&amp;$R13,"Map the governance framework for its tier"),IF($L13="","Size the annual benefit",IF($N13="","Score it so it can be ranked against capacity","")),IF($R13&lt;&gt;"","Build held: "&amp;$R13,"In build, not yet through test"),IF($R13&lt;&gt;"","Not ready to scale: "&amp;$R13,"Monitoring and third-party review not yet signed off"),IF($Q13="Y","","Live without a measured baseline to judge it against")))</f>
        <v>State the success metric and the stop condition</v>
      </c>
      <c r="AJ13" s="65" t="str">
        <f aca="false">IF($Y13="","",INDEX(StageForum,$Y13))</f>
        <v>Weekly Intake</v>
      </c>
      <c r="AK13" s="65" t="str">
        <f aca="false">IF($Y13="","",IF(OR($X13="Delivery",$X13="Value"),"Committed",IF($N13&lt;&gt;"","Candidate","")))</f>
        <v/>
      </c>
      <c r="AL13" s="65" t="str">
        <f aca="false">IF($AK13&lt;&gt;"Candidate","",COUNTIFS($AK$2:$AK$501,"Candidate",$N$2:$N$501,"&gt;"&amp;$N13)+COUNTIFS($AK$2:$AK$501,"Candidate",$N$2:$N$501,$N13,$A$2:$A$501,"&lt;"&amp;$A13)+1)</f>
        <v/>
      </c>
      <c r="AM13" s="65" t="str">
        <f aca="false">IF($AL13="","",SUMIFS($M$2:$M$501,$AK$2:$AK$501,"Candidate",$AL$2:$AL$501,"&lt;="&amp;$AL13))</f>
        <v/>
      </c>
      <c r="AN13" s="65" t="str">
        <f aca="false">IF($AL13="","",IF($AM13&lt;=CapacityOpen,"Fits","Below line"))</f>
        <v/>
      </c>
      <c r="AO13" s="65" t="str">
        <f aca="false">IF($A13="","",IF($X13="Closed","",IF($X13="Unmapped","Warning",IF(OR($AB13="Overdue",$V13="Y",$AH13="Critical"),"Critical",IF(OR($AB13="At risk",$AC13="Stale",$AG13="Over"),"Warning","")))))</f>
        <v>Critical</v>
      </c>
      <c r="AP13" s="65" t="n">
        <f aca="false">IF($AO13="","",IF($AO13="Critical",3000,2000)-IF($Z13="",0,$Z13)+ROW()/100000)</f>
        <v>2992.00013</v>
      </c>
      <c r="AQ13" s="65" t="str">
        <f aca="false">IF($AO13="","",IF($X13="Unmapped","Status '"&amp;$C13&amp;"' is not in the Config map",IF($V13="Y","Flagged in Jira",IF($AB13="Overdue",-$Z13&amp;" days past its "&amp;$X13&amp;" target",IF($AH13="Critical",$AI13,IF($AB13="At risk","Target in "&amp;$Z13&amp;" days",IF($AC13="Stale","No update in "&amp;$AA13&amp;" days","Past its "&amp;$AE13&amp;"-day tier window")))))))</f>
        <v>State the success metric and the stop condition</v>
      </c>
      <c r="AR13" s="65" t="str">
        <f aca="false">IF($AO13="","","draft Jira update for "&amp;$A13)</f>
        <v>draft Jira update for AI-012</v>
      </c>
      <c r="AS13" s="65" t="str">
        <f aca="false">IF($A13="","",HYPERLINK(JiraSite&amp;"/browse/"&amp;$A13,"open"))</f>
        <v>open</v>
      </c>
      <c r="AT13" s="65" t="n">
        <f aca="false">IF($Y13="","",$Y13*1000+ROW())</f>
        <v>2013</v>
      </c>
      <c r="AU13" s="65" t="str">
        <f aca="false">IF(AND($A13&lt;&gt;"",$G13&gt;=WeekStart),$G13+ROW()/100000,"")</f>
        <v/>
      </c>
      <c r="AV13" s="65" t="str">
        <f aca="false">IF($A13="","",IF(OR(AND($S13&lt;&gt;"",$S13&gt;=WeekStart),AND($U13&lt;&gt;"",$U13&gt;=WeekStart)),MAX($S13,$U13)+ROW()/100000,""))</f>
        <v/>
      </c>
      <c r="AW13" s="65" t="str">
        <f aca="false">IF($AV13="","",IF($T13&lt;&gt;"",$T13,IF($X13="Closed","Closed","Accepted to "&amp;$X13)))</f>
        <v/>
      </c>
      <c r="AX13" s="65" t="n">
        <f aca="false">IF(AND($Y13&lt;&gt;"",$R13&lt;&gt;""),$AF13+ROW()/100000,"")</f>
        <v>18.00013</v>
      </c>
      <c r="AY13" s="65" t="n">
        <f aca="false">IF(AND($Y13&lt;&gt;"",OR($AB13="Overdue",AND($AH13="Critical",$R13&lt;&gt;""))),$AF13+ROW()/100000,"")</f>
        <v>18.00013</v>
      </c>
      <c r="AZ13" s="65" t="n">
        <f aca="false">IF($AH13="Critical",$AF13+ROW()/100000,"")</f>
        <v>18.00013</v>
      </c>
    </row>
    <row r="14" customFormat="false" ht="15" hidden="false" customHeight="false" outlineLevel="0" collapsed="false">
      <c r="A14" s="28" t="s">
        <v>260</v>
      </c>
      <c r="B14" s="28" t="s">
        <v>261</v>
      </c>
      <c r="C14" s="28" t="s">
        <v>46</v>
      </c>
      <c r="D14" s="28" t="s">
        <v>225</v>
      </c>
      <c r="E14" s="28" t="s">
        <v>209</v>
      </c>
      <c r="F14" s="28" t="s">
        <v>262</v>
      </c>
      <c r="G14" s="63" t="n">
        <v>46283</v>
      </c>
      <c r="H14" s="63" t="n">
        <v>46293</v>
      </c>
      <c r="I14" s="63" t="n">
        <v>46315</v>
      </c>
      <c r="J14" s="28"/>
      <c r="K14" s="28" t="s">
        <v>228</v>
      </c>
      <c r="L14" s="28"/>
      <c r="M14" s="28" t="n">
        <v>5</v>
      </c>
      <c r="N14" s="28"/>
      <c r="O14" s="64" t="s">
        <v>188</v>
      </c>
      <c r="P14" s="64" t="s">
        <v>197</v>
      </c>
      <c r="Q14" s="64"/>
      <c r="R14" s="28"/>
      <c r="S14" s="63" t="n">
        <v>46294</v>
      </c>
      <c r="T14" s="64"/>
      <c r="U14" s="63"/>
      <c r="V14" s="64"/>
      <c r="W14" s="28"/>
      <c r="X14" s="65" t="str">
        <f aca="false">IF($A14="","",IF(OR($T14&lt;&gt;"",$U14&lt;&gt;""),"Closed",IFERROR(INDEX(MapStage,MATCH($C14,MapStatus,0)),"Unmapped")))</f>
        <v>Discovery</v>
      </c>
      <c r="Y14" s="65" t="n">
        <f aca="false">IF(OR($X14="",$X14="Closed",$X14="Unmapped"),"",MATCH($X14,StageName,0))</f>
        <v>3</v>
      </c>
      <c r="Z14" s="65" t="n">
        <f aca="false">IF(OR($Y14="",$I14=""),"",$I14-AsOf)</f>
        <v>18</v>
      </c>
      <c r="AA14" s="65" t="n">
        <f aca="false">IF($A14="","",AsOf-$H14)</f>
        <v>4</v>
      </c>
      <c r="AB14" s="65" t="str">
        <f aca="false">IF($A14="","",IF($X14="Closed","Closed",IF($X14="Unmapped","Unmapped",IF($I14="","No target",IF($Z14&lt;0,"Overdue",IF($Z14&lt;=INDEX(StageWindow,$Y14),"At risk","On track"))))))</f>
        <v>On track</v>
      </c>
      <c r="AC14" s="65" t="str">
        <f aca="false">IF($Y14="","",IF($AA14&gt;2*INDEX(StageStale,$Y14),"Stale",IF($AA14&gt;INDEX(StageStale,$Y14),"Aging","Fresh")))</f>
        <v>Fresh</v>
      </c>
      <c r="AD14" s="65" t="str">
        <f aca="false">IF($A14="","",IF(OR(ISNUMBER(SEARCH("Reg report",$J14)),ISNUMBER(SEARCH("No human review",$J14)),COUNTIF(TierFuncs,$D14)&gt;0),"High",IF(OR(TRIM($J14)&lt;&gt;"",ISNUMBER(SEARCH("revenue",$K14))),"Medium","Low")))</f>
        <v>Low</v>
      </c>
      <c r="AE14" s="65" t="n">
        <f aca="false">IF($A14="","",INDEX(TierDays,MATCH($AD14,TierName,0)))</f>
        <v>21</v>
      </c>
      <c r="AF14" s="65" t="n">
        <f aca="false">IF($A14="","",AsOf-$G14)</f>
        <v>14</v>
      </c>
      <c r="AG14" s="65" t="str">
        <f aca="false">IF($Y14="","",IF($Y14&lt;=5,IF($AF14&gt;$AE14,"Over","Inside"),"Past approval"))</f>
        <v>Inside</v>
      </c>
      <c r="AH14" s="65" t="str">
        <f aca="false">IF($Y14="","",CHOOSE($Y14,IF(OR(TRIM($F14)="",ISNUMBER(SEARCH("not named",$F14))),"Critical","Good"),IF($O14&lt;&gt;"Y","Critical",IF($Q14&lt;&gt;"Y","Warning","Good")),IF($P14="","Critical",IF($P14="partial","Warning",IF($P14="ready","Good","Critical"))),IF($R14&lt;&gt;"","Critical","Warning"),IF($L14="","Critical",IF($N14="","Warning","Good")),IF($R14&lt;&gt;"","Critical","Warning"),IF($R14&lt;&gt;"","Critical","Warning"),IF($Q14="Y","Good","Critical")))</f>
        <v>Warning</v>
      </c>
      <c r="AI14" s="65" t="str">
        <f aca="false">IF($Y14="","",CHOOSE($Y14,IF(OR(TRIM($F14)="",ISNUMBER(SEARCH("not named",$F14))),"Name a sponsor accountable for the value",""),IF($O14&lt;&gt;"Y","State the success metric and the stop condition",IF($Q14&lt;&gt;"Y","Set the baseline the benefit will be measured against","")),IF($P14="","Assess data readiness and regulatory impact",IF($P14="partial","Close the known data gaps",IF($P14="ready","","Data is not available; reshape or park"))),IF($R14&lt;&gt;"",IF(OR(ISNUMBER(SEARCH("mrm",$R14)),ISNUMBER(SEARCH("model",$R14)),ISNUMBER(SEARCH("risk",$R14)),ISNUMBER(SEARCH("legal",$R14)),ISNUMBER(SEARCH("complian",$R14))),"Awaiting ","Held at the design gate: ")&amp;$R14,"Map the governance framework for its tier"),IF($L14="","Size the annual benefit",IF($N14="","Score it so it can be ranked against capacity","")),IF($R14&lt;&gt;"","Build held: "&amp;$R14,"In build, not yet through test"),IF($R14&lt;&gt;"","Not ready to scale: "&amp;$R14,"Monitoring and third-party review not yet signed off"),IF($Q14="Y","","Live without a measured baseline to judge it against")))</f>
        <v>Close the known data gaps</v>
      </c>
      <c r="AJ14" s="65" t="str">
        <f aca="false">IF($Y14="","",INDEX(StageForum,$Y14))</f>
        <v>Tactical Standup</v>
      </c>
      <c r="AK14" s="65" t="str">
        <f aca="false">IF($Y14="","",IF(OR($X14="Delivery",$X14="Value"),"Committed",IF($N14&lt;&gt;"","Candidate","")))</f>
        <v/>
      </c>
      <c r="AL14" s="65" t="str">
        <f aca="false">IF($AK14&lt;&gt;"Candidate","",COUNTIFS($AK$2:$AK$501,"Candidate",$N$2:$N$501,"&gt;"&amp;$N14)+COUNTIFS($AK$2:$AK$501,"Candidate",$N$2:$N$501,$N14,$A$2:$A$501,"&lt;"&amp;$A14)+1)</f>
        <v/>
      </c>
      <c r="AM14" s="65" t="str">
        <f aca="false">IF($AL14="","",SUMIFS($M$2:$M$501,$AK$2:$AK$501,"Candidate",$AL$2:$AL$501,"&lt;="&amp;$AL14))</f>
        <v/>
      </c>
      <c r="AN14" s="65" t="str">
        <f aca="false">IF($AL14="","",IF($AM14&lt;=CapacityOpen,"Fits","Below line"))</f>
        <v/>
      </c>
      <c r="AO14" s="65" t="str">
        <f aca="false">IF($A14="","",IF($X14="Closed","",IF($X14="Unmapped","Warning",IF(OR($AB14="Overdue",$V14="Y",$AH14="Critical"),"Critical",IF(OR($AB14="At risk",$AC14="Stale",$AG14="Over"),"Warning","")))))</f>
        <v/>
      </c>
      <c r="AP14" s="65" t="str">
        <f aca="false">IF($AO14="","",IF($AO14="Critical",3000,2000)-IF($Z14="",0,$Z14)+ROW()/100000)</f>
        <v/>
      </c>
      <c r="AQ14" s="65" t="str">
        <f aca="false">IF($AO14="","",IF($X14="Unmapped","Status '"&amp;$C14&amp;"' is not in the Config map",IF($V14="Y","Flagged in Jira",IF($AB14="Overdue",-$Z14&amp;" days past its "&amp;$X14&amp;" target",IF($AH14="Critical",$AI14,IF($AB14="At risk","Target in "&amp;$Z14&amp;" days",IF($AC14="Stale","No update in "&amp;$AA14&amp;" days","Past its "&amp;$AE14&amp;"-day tier window")))))))</f>
        <v/>
      </c>
      <c r="AR14" s="65" t="str">
        <f aca="false">IF($AO14="","","draft Jira update for "&amp;$A14)</f>
        <v/>
      </c>
      <c r="AS14" s="65" t="str">
        <f aca="false">IF($A14="","",HYPERLINK(JiraSite&amp;"/browse/"&amp;$A14,"open"))</f>
        <v>open</v>
      </c>
      <c r="AT14" s="65" t="n">
        <f aca="false">IF($Y14="","",$Y14*1000+ROW())</f>
        <v>3014</v>
      </c>
      <c r="AU14" s="65" t="str">
        <f aca="false">IF(AND($A14&lt;&gt;"",$G14&gt;=WeekStart),$G14+ROW()/100000,"")</f>
        <v/>
      </c>
      <c r="AV14" s="66" t="n">
        <f aca="false">IF($A14="","",IF(OR(AND($S14&lt;&gt;"",$S14&gt;=WeekStart),AND($U14&lt;&gt;"",$U14&gt;=WeekStart)),MAX($S14,$U14)+ROW()/100000,""))</f>
        <v>46294.00014</v>
      </c>
      <c r="AW14" s="65" t="str">
        <f aca="false">IF($AV14="","",IF($T14&lt;&gt;"",$T14,IF($X14="Closed","Closed","Accepted to "&amp;$X14)))</f>
        <v>Accepted to Discovery</v>
      </c>
      <c r="AX14" s="65" t="str">
        <f aca="false">IF(AND($Y14&lt;&gt;"",$R14&lt;&gt;""),$AF14+ROW()/100000,"")</f>
        <v/>
      </c>
      <c r="AY14" s="65" t="str">
        <f aca="false">IF(AND($Y14&lt;&gt;"",OR($AB14="Overdue",AND($AH14="Critical",$R14&lt;&gt;""))),$AF14+ROW()/100000,"")</f>
        <v/>
      </c>
      <c r="AZ14" s="65" t="str">
        <f aca="false">IF($AH14="Critical",$AF14+ROW()/100000,"")</f>
        <v/>
      </c>
    </row>
    <row r="15" customFormat="false" ht="15" hidden="false" customHeight="false" outlineLevel="0" collapsed="false">
      <c r="A15" s="28" t="s">
        <v>263</v>
      </c>
      <c r="B15" s="28" t="s">
        <v>264</v>
      </c>
      <c r="C15" s="28" t="s">
        <v>217</v>
      </c>
      <c r="D15" s="28" t="s">
        <v>193</v>
      </c>
      <c r="E15" s="28" t="s">
        <v>219</v>
      </c>
      <c r="F15" s="28" t="s">
        <v>265</v>
      </c>
      <c r="G15" s="63" t="n">
        <v>46245</v>
      </c>
      <c r="H15" s="63" t="n">
        <v>46291</v>
      </c>
      <c r="I15" s="63" t="n">
        <v>46321</v>
      </c>
      <c r="J15" s="28" t="s">
        <v>79</v>
      </c>
      <c r="K15" s="28" t="s">
        <v>266</v>
      </c>
      <c r="L15" s="28" t="n">
        <v>300</v>
      </c>
      <c r="M15" s="28" t="n">
        <v>8</v>
      </c>
      <c r="N15" s="28" t="n">
        <v>3.4</v>
      </c>
      <c r="O15" s="64" t="s">
        <v>188</v>
      </c>
      <c r="P15" s="64" t="s">
        <v>189</v>
      </c>
      <c r="Q15" s="64" t="s">
        <v>188</v>
      </c>
      <c r="R15" s="28"/>
      <c r="S15" s="63" t="n">
        <v>46263</v>
      </c>
      <c r="T15" s="64"/>
      <c r="U15" s="63"/>
      <c r="V15" s="64"/>
      <c r="W15" s="28" t="s">
        <v>198</v>
      </c>
      <c r="X15" s="65" t="str">
        <f aca="false">IF($A15="","",IF(OR($T15&lt;&gt;"",$U15&lt;&gt;""),"Closed",IFERROR(INDEX(MapStage,MATCH($C15,MapStatus,0)),"Unmapped")))</f>
        <v>Approval</v>
      </c>
      <c r="Y15" s="65" t="n">
        <f aca="false">IF(OR($X15="",$X15="Closed",$X15="Unmapped"),"",MATCH($X15,StageName,0))</f>
        <v>5</v>
      </c>
      <c r="Z15" s="65" t="n">
        <f aca="false">IF(OR($Y15="",$I15=""),"",$I15-AsOf)</f>
        <v>24</v>
      </c>
      <c r="AA15" s="65" t="n">
        <f aca="false">IF($A15="","",AsOf-$H15)</f>
        <v>6</v>
      </c>
      <c r="AB15" s="65" t="str">
        <f aca="false">IF($A15="","",IF($X15="Closed","Closed",IF($X15="Unmapped","Unmapped",IF($I15="","No target",IF($Z15&lt;0,"Overdue",IF($Z15&lt;=INDEX(StageWindow,$Y15),"At risk","On track"))))))</f>
        <v>On track</v>
      </c>
      <c r="AC15" s="65" t="str">
        <f aca="false">IF($Y15="","",IF($AA15&gt;2*INDEX(StageStale,$Y15),"Stale",IF($AA15&gt;INDEX(StageStale,$Y15),"Aging","Fresh")))</f>
        <v>Fresh</v>
      </c>
      <c r="AD15" s="65" t="str">
        <f aca="false">IF($A15="","",IF(OR(ISNUMBER(SEARCH("Reg report",$J15)),ISNUMBER(SEARCH("No human review",$J15)),COUNTIF(TierFuncs,$D15)&gt;0),"High",IF(OR(TRIM($J15)&lt;&gt;"",ISNUMBER(SEARCH("revenue",$K15))),"Medium","Low")))</f>
        <v>Medium</v>
      </c>
      <c r="AE15" s="65" t="n">
        <f aca="false">IF($A15="","",INDEX(TierDays,MATCH($AD15,TierName,0)))</f>
        <v>45</v>
      </c>
      <c r="AF15" s="65" t="n">
        <f aca="false">IF($A15="","",AsOf-$G15)</f>
        <v>52</v>
      </c>
      <c r="AG15" s="65" t="str">
        <f aca="false">IF($Y15="","",IF($Y15&lt;=5,IF($AF15&gt;$AE15,"Over","Inside"),"Past approval"))</f>
        <v>Over</v>
      </c>
      <c r="AH15" s="65" t="str">
        <f aca="false">IF($Y15="","",CHOOSE($Y15,IF(OR(TRIM($F15)="",ISNUMBER(SEARCH("not named",$F15))),"Critical","Good"),IF($O15&lt;&gt;"Y","Critical",IF($Q15&lt;&gt;"Y","Warning","Good")),IF($P15="","Critical",IF($P15="partial","Warning",IF($P15="ready","Good","Critical"))),IF($R15&lt;&gt;"","Critical","Warning"),IF($L15="","Critical",IF($N15="","Warning","Good")),IF($R15&lt;&gt;"","Critical","Warning"),IF($R15&lt;&gt;"","Critical","Warning"),IF($Q15="Y","Good","Critical")))</f>
        <v>Good</v>
      </c>
      <c r="AI15" s="65" t="str">
        <f aca="false">IF($Y15="","",CHOOSE($Y15,IF(OR(TRIM($F15)="",ISNUMBER(SEARCH("not named",$F15))),"Name a sponsor accountable for the value",""),IF($O15&lt;&gt;"Y","State the success metric and the stop condition",IF($Q15&lt;&gt;"Y","Set the baseline the benefit will be measured against","")),IF($P15="","Assess data readiness and regulatory impact",IF($P15="partial","Close the known data gaps",IF($P15="ready","","Data is not available; reshape or park"))),IF($R15&lt;&gt;"",IF(OR(ISNUMBER(SEARCH("mrm",$R15)),ISNUMBER(SEARCH("model",$R15)),ISNUMBER(SEARCH("risk",$R15)),ISNUMBER(SEARCH("legal",$R15)),ISNUMBER(SEARCH("complian",$R15))),"Awaiting ","Held at the design gate: ")&amp;$R15,"Map the governance framework for its tier"),IF($L15="","Size the annual benefit",IF($N15="","Score it so it can be ranked against capacity","")),IF($R15&lt;&gt;"","Build held: "&amp;$R15,"In build, not yet through test"),IF($R15&lt;&gt;"","Not ready to scale: "&amp;$R15,"Monitoring and third-party review not yet signed off"),IF($Q15="Y","","Live without a measured baseline to judge it against")))</f>
        <v/>
      </c>
      <c r="AJ15" s="65" t="str">
        <f aca="false">IF($Y15="","",INDEX(StageForum,$Y15))</f>
        <v>Portfolio Council</v>
      </c>
      <c r="AK15" s="65" t="str">
        <f aca="false">IF($Y15="","",IF(OR($X15="Delivery",$X15="Value"),"Committed",IF($N15&lt;&gt;"","Candidate","")))</f>
        <v>Candidate</v>
      </c>
      <c r="AL15" s="65" t="n">
        <f aca="false">IF($AK15&lt;&gt;"Candidate","",COUNTIFS($AK$2:$AK$501,"Candidate",$N$2:$N$501,"&gt;"&amp;$N15)+COUNTIFS($AK$2:$AK$501,"Candidate",$N$2:$N$501,$N15,$A$2:$A$501,"&lt;"&amp;$A15)+1)</f>
        <v>5</v>
      </c>
      <c r="AM15" s="65" t="n">
        <f aca="false">IF($AL15="","",SUMIFS($M$2:$M$501,$AK$2:$AK$501,"Candidate",$AL$2:$AL$501,"&lt;="&amp;$AL15))</f>
        <v>37</v>
      </c>
      <c r="AN15" s="65" t="str">
        <f aca="false">IF($AL15="","",IF($AM15&lt;=CapacityOpen,"Fits","Below line"))</f>
        <v>Below line</v>
      </c>
      <c r="AO15" s="65" t="str">
        <f aca="false">IF($A15="","",IF($X15="Closed","",IF($X15="Unmapped","Warning",IF(OR($AB15="Overdue",$V15="Y",$AH15="Critical"),"Critical",IF(OR($AB15="At risk",$AC15="Stale",$AG15="Over"),"Warning","")))))</f>
        <v>Warning</v>
      </c>
      <c r="AP15" s="65" t="n">
        <f aca="false">IF($AO15="","",IF($AO15="Critical",3000,2000)-IF($Z15="",0,$Z15)+ROW()/100000)</f>
        <v>1976.00015</v>
      </c>
      <c r="AQ15" s="65" t="str">
        <f aca="false">IF($AO15="","",IF($X15="Unmapped","Status '"&amp;$C15&amp;"' is not in the Config map",IF($V15="Y","Flagged in Jira",IF($AB15="Overdue",-$Z15&amp;" days past its "&amp;$X15&amp;" target",IF($AH15="Critical",$AI15,IF($AB15="At risk","Target in "&amp;$Z15&amp;" days",IF($AC15="Stale","No update in "&amp;$AA15&amp;" days","Past its "&amp;$AE15&amp;"-day tier window")))))))</f>
        <v>Past its 45-day tier window</v>
      </c>
      <c r="AR15" s="65" t="str">
        <f aca="false">IF($AO15="","","draft Jira update for "&amp;$A15)</f>
        <v>draft Jira update for AI-014</v>
      </c>
      <c r="AS15" s="65" t="str">
        <f aca="false">IF($A15="","",HYPERLINK(JiraSite&amp;"/browse/"&amp;$A15,"open"))</f>
        <v>open</v>
      </c>
      <c r="AT15" s="65" t="n">
        <f aca="false">IF($Y15="","",$Y15*1000+ROW())</f>
        <v>5015</v>
      </c>
      <c r="AU15" s="65" t="str">
        <f aca="false">IF(AND($A15&lt;&gt;"",$G15&gt;=WeekStart),$G15+ROW()/100000,"")</f>
        <v/>
      </c>
      <c r="AV15" s="65" t="str">
        <f aca="false">IF($A15="","",IF(OR(AND($S15&lt;&gt;"",$S15&gt;=WeekStart),AND($U15&lt;&gt;"",$U15&gt;=WeekStart)),MAX($S15,$U15)+ROW()/100000,""))</f>
        <v/>
      </c>
      <c r="AW15" s="65" t="str">
        <f aca="false">IF($AV15="","",IF($T15&lt;&gt;"",$T15,IF($X15="Closed","Closed","Accepted to "&amp;$X15)))</f>
        <v/>
      </c>
      <c r="AX15" s="65" t="str">
        <f aca="false">IF(AND($Y15&lt;&gt;"",$R15&lt;&gt;""),$AF15+ROW()/100000,"")</f>
        <v/>
      </c>
      <c r="AY15" s="65" t="str">
        <f aca="false">IF(AND($Y15&lt;&gt;"",OR($AB15="Overdue",AND($AH15="Critical",$R15&lt;&gt;""))),$AF15+ROW()/100000,"")</f>
        <v/>
      </c>
      <c r="AZ15" s="65" t="str">
        <f aca="false">IF($AH15="Critical",$AF15+ROW()/100000,"")</f>
        <v/>
      </c>
    </row>
    <row r="16" customFormat="false" ht="15" hidden="false" customHeight="false" outlineLevel="0" collapsed="false">
      <c r="A16" s="28" t="s">
        <v>267</v>
      </c>
      <c r="B16" s="28" t="s">
        <v>268</v>
      </c>
      <c r="C16" s="28" t="s">
        <v>269</v>
      </c>
      <c r="D16" s="28" t="s">
        <v>270</v>
      </c>
      <c r="E16" s="28" t="s">
        <v>232</v>
      </c>
      <c r="F16" s="28" t="s">
        <v>271</v>
      </c>
      <c r="G16" s="63" t="n">
        <v>46263</v>
      </c>
      <c r="H16" s="63" t="n">
        <v>46279</v>
      </c>
      <c r="I16" s="63" t="n">
        <v>46277</v>
      </c>
      <c r="J16" s="28"/>
      <c r="K16" s="28" t="s">
        <v>81</v>
      </c>
      <c r="L16" s="28"/>
      <c r="M16" s="28" t="n">
        <v>2</v>
      </c>
      <c r="N16" s="28"/>
      <c r="O16" s="64"/>
      <c r="P16" s="64"/>
      <c r="Q16" s="64"/>
      <c r="R16" s="28"/>
      <c r="S16" s="63" t="n">
        <v>46277</v>
      </c>
      <c r="T16" s="64" t="s">
        <v>269</v>
      </c>
      <c r="U16" s="63" t="n">
        <v>46277</v>
      </c>
      <c r="V16" s="64"/>
      <c r="W16" s="28"/>
      <c r="X16" s="65" t="str">
        <f aca="false">IF($A16="","",IF(OR($T16&lt;&gt;"",$U16&lt;&gt;""),"Closed",IFERROR(INDEX(MapStage,MATCH($C16,MapStatus,0)),"Unmapped")))</f>
        <v>Closed</v>
      </c>
      <c r="Y16" s="65" t="str">
        <f aca="false">IF(OR($X16="",$X16="Closed",$X16="Unmapped"),"",MATCH($X16,StageName,0))</f>
        <v/>
      </c>
      <c r="Z16" s="65" t="str">
        <f aca="false">IF(OR($Y16="",$I16=""),"",$I16-AsOf)</f>
        <v/>
      </c>
      <c r="AA16" s="65" t="n">
        <f aca="false">IF($A16="","",AsOf-$H16)</f>
        <v>18</v>
      </c>
      <c r="AB16" s="65" t="str">
        <f aca="false">IF($A16="","",IF($X16="Closed","Closed",IF($X16="Unmapped","Unmapped",IF($I16="","No target",IF($Z16&lt;0,"Overdue",IF($Z16&lt;=INDEX(StageWindow,$Y16),"At risk","On track"))))))</f>
        <v>Closed</v>
      </c>
      <c r="AC16" s="65" t="str">
        <f aca="false">IF($Y16="","",IF($AA16&gt;2*INDEX(StageStale,$Y16),"Stale",IF($AA16&gt;INDEX(StageStale,$Y16),"Aging","Fresh")))</f>
        <v/>
      </c>
      <c r="AD16" s="65" t="str">
        <f aca="false">IF($A16="","",IF(OR(ISNUMBER(SEARCH("Reg report",$J16)),ISNUMBER(SEARCH("No human review",$J16)),COUNTIF(TierFuncs,$D16)&gt;0),"High",IF(OR(TRIM($J16)&lt;&gt;"",ISNUMBER(SEARCH("revenue",$K16))),"Medium","Low")))</f>
        <v>Low</v>
      </c>
      <c r="AE16" s="65" t="n">
        <f aca="false">IF($A16="","",INDEX(TierDays,MATCH($AD16,TierName,0)))</f>
        <v>21</v>
      </c>
      <c r="AF16" s="65" t="n">
        <f aca="false">IF($A16="","",AsOf-$G16)</f>
        <v>34</v>
      </c>
      <c r="AG16" s="65" t="str">
        <f aca="false">IF($Y16="","",IF($Y16&lt;=5,IF($AF16&gt;$AE16,"Over","Inside"),"Past approval"))</f>
        <v/>
      </c>
      <c r="AH16" s="65" t="str">
        <f aca="false">IF($Y16="","",CHOOSE($Y16,IF(OR(TRIM($F16)="",ISNUMBER(SEARCH("not named",$F16))),"Critical","Good"),IF($O16&lt;&gt;"Y","Critical",IF($Q16&lt;&gt;"Y","Warning","Good")),IF($P16="","Critical",IF($P16="partial","Warning",IF($P16="ready","Good","Critical"))),IF($R16&lt;&gt;"","Critical","Warning"),IF($L16="","Critical",IF($N16="","Warning","Good")),IF($R16&lt;&gt;"","Critical","Warning"),IF($R16&lt;&gt;"","Critical","Warning"),IF($Q16="Y","Good","Critical")))</f>
        <v/>
      </c>
      <c r="AI16" s="65" t="str">
        <f aca="false">IF($Y16="","",CHOOSE($Y16,IF(OR(TRIM($F16)="",ISNUMBER(SEARCH("not named",$F16))),"Name a sponsor accountable for the value",""),IF($O16&lt;&gt;"Y","State the success metric and the stop condition",IF($Q16&lt;&gt;"Y","Set the baseline the benefit will be measured against","")),IF($P16="","Assess data readiness and regulatory impact",IF($P16="partial","Close the known data gaps",IF($P16="ready","","Data is not available; reshape or park"))),IF($R16&lt;&gt;"",IF(OR(ISNUMBER(SEARCH("mrm",$R16)),ISNUMBER(SEARCH("model",$R16)),ISNUMBER(SEARCH("risk",$R16)),ISNUMBER(SEARCH("legal",$R16)),ISNUMBER(SEARCH("complian",$R16))),"Awaiting ","Held at the design gate: ")&amp;$R16,"Map the governance framework for its tier"),IF($L16="","Size the annual benefit",IF($N16="","Score it so it can be ranked against capacity","")),IF($R16&lt;&gt;"","Build held: "&amp;$R16,"In build, not yet through test"),IF($R16&lt;&gt;"","Not ready to scale: "&amp;$R16,"Monitoring and third-party review not yet signed off"),IF($Q16="Y","","Live without a measured baseline to judge it against")))</f>
        <v/>
      </c>
      <c r="AJ16" s="65" t="str">
        <f aca="false">IF($Y16="","",INDEX(StageForum,$Y16))</f>
        <v/>
      </c>
      <c r="AK16" s="65" t="str">
        <f aca="false">IF($Y16="","",IF(OR($X16="Delivery",$X16="Value"),"Committed",IF($N16&lt;&gt;"","Candidate","")))</f>
        <v/>
      </c>
      <c r="AL16" s="65" t="str">
        <f aca="false">IF($AK16&lt;&gt;"Candidate","",COUNTIFS($AK$2:$AK$501,"Candidate",$N$2:$N$501,"&gt;"&amp;$N16)+COUNTIFS($AK$2:$AK$501,"Candidate",$N$2:$N$501,$N16,$A$2:$A$501,"&lt;"&amp;$A16)+1)</f>
        <v/>
      </c>
      <c r="AM16" s="65" t="str">
        <f aca="false">IF($AL16="","",SUMIFS($M$2:$M$501,$AK$2:$AK$501,"Candidate",$AL$2:$AL$501,"&lt;="&amp;$AL16))</f>
        <v/>
      </c>
      <c r="AN16" s="65" t="str">
        <f aca="false">IF($AL16="","",IF($AM16&lt;=CapacityOpen,"Fits","Below line"))</f>
        <v/>
      </c>
      <c r="AO16" s="65" t="str">
        <f aca="false">IF($A16="","",IF($X16="Closed","",IF($X16="Unmapped","Warning",IF(OR($AB16="Overdue",$V16="Y",$AH16="Critical"),"Critical",IF(OR($AB16="At risk",$AC16="Stale",$AG16="Over"),"Warning","")))))</f>
        <v/>
      </c>
      <c r="AP16" s="65" t="str">
        <f aca="false">IF($AO16="","",IF($AO16="Critical",3000,2000)-IF($Z16="",0,$Z16)+ROW()/100000)</f>
        <v/>
      </c>
      <c r="AQ16" s="65" t="str">
        <f aca="false">IF($AO16="","",IF($X16="Unmapped","Status '"&amp;$C16&amp;"' is not in the Config map",IF($V16="Y","Flagged in Jira",IF($AB16="Overdue",-$Z16&amp;" days past its "&amp;$X16&amp;" target",IF($AH16="Critical",$AI16,IF($AB16="At risk","Target in "&amp;$Z16&amp;" days",IF($AC16="Stale","No update in "&amp;$AA16&amp;" days","Past its "&amp;$AE16&amp;"-day tier window")))))))</f>
        <v/>
      </c>
      <c r="AR16" s="65" t="str">
        <f aca="false">IF($AO16="","","draft Jira update for "&amp;$A16)</f>
        <v/>
      </c>
      <c r="AS16" s="65" t="str">
        <f aca="false">IF($A16="","",HYPERLINK(JiraSite&amp;"/browse/"&amp;$A16,"open"))</f>
        <v>open</v>
      </c>
      <c r="AT16" s="65" t="str">
        <f aca="false">IF($Y16="","",$Y16*1000+ROW())</f>
        <v/>
      </c>
      <c r="AU16" s="65" t="str">
        <f aca="false">IF(AND($A16&lt;&gt;"",$G16&gt;=WeekStart),$G16+ROW()/100000,"")</f>
        <v/>
      </c>
      <c r="AV16" s="65" t="str">
        <f aca="false">IF($A16="","",IF(OR(AND($S16&lt;&gt;"",$S16&gt;=WeekStart),AND($U16&lt;&gt;"",$U16&gt;=WeekStart)),MAX($S16,$U16)+ROW()/100000,""))</f>
        <v/>
      </c>
      <c r="AW16" s="65" t="str">
        <f aca="false">IF($AV16="","",IF($T16&lt;&gt;"",$T16,IF($X16="Closed","Closed","Accepted to "&amp;$X16)))</f>
        <v/>
      </c>
      <c r="AX16" s="65" t="str">
        <f aca="false">IF(AND($Y16&lt;&gt;"",$R16&lt;&gt;""),$AF16+ROW()/100000,"")</f>
        <v/>
      </c>
      <c r="AY16" s="65" t="str">
        <f aca="false">IF(AND($Y16&lt;&gt;"",OR($AB16="Overdue",AND($AH16="Critical",$R16&lt;&gt;""))),$AF16+ROW()/100000,"")</f>
        <v/>
      </c>
      <c r="AZ16" s="65" t="str">
        <f aca="false">IF($AH16="Critical",$AF16+ROW()/100000,"")</f>
        <v/>
      </c>
    </row>
    <row r="17" customFormat="false" ht="15" hidden="false" customHeight="false" outlineLevel="0" collapsed="false">
      <c r="A17" s="28" t="s">
        <v>272</v>
      </c>
      <c r="B17" s="28" t="s">
        <v>273</v>
      </c>
      <c r="C17" s="28" t="s">
        <v>274</v>
      </c>
      <c r="D17" s="28" t="s">
        <v>275</v>
      </c>
      <c r="E17" s="28" t="s">
        <v>232</v>
      </c>
      <c r="F17" s="28" t="s">
        <v>276</v>
      </c>
      <c r="G17" s="63" t="n">
        <v>46256</v>
      </c>
      <c r="H17" s="63" t="n">
        <v>46270</v>
      </c>
      <c r="I17" s="63" t="n">
        <v>46270</v>
      </c>
      <c r="J17" s="28"/>
      <c r="K17" s="28" t="s">
        <v>81</v>
      </c>
      <c r="L17" s="28"/>
      <c r="M17" s="28" t="n">
        <v>3</v>
      </c>
      <c r="N17" s="28"/>
      <c r="O17" s="64"/>
      <c r="P17" s="64"/>
      <c r="Q17" s="64"/>
      <c r="R17" s="28"/>
      <c r="S17" s="63" t="n">
        <v>46270</v>
      </c>
      <c r="T17" s="64" t="s">
        <v>274</v>
      </c>
      <c r="U17" s="63" t="n">
        <v>46270</v>
      </c>
      <c r="V17" s="64"/>
      <c r="W17" s="28" t="s">
        <v>277</v>
      </c>
      <c r="X17" s="65" t="str">
        <f aca="false">IF($A17="","",IF(OR($T17&lt;&gt;"",$U17&lt;&gt;""),"Closed",IFERROR(INDEX(MapStage,MATCH($C17,MapStatus,0)),"Unmapped")))</f>
        <v>Closed</v>
      </c>
      <c r="Y17" s="65" t="str">
        <f aca="false">IF(OR($X17="",$X17="Closed",$X17="Unmapped"),"",MATCH($X17,StageName,0))</f>
        <v/>
      </c>
      <c r="Z17" s="65" t="str">
        <f aca="false">IF(OR($Y17="",$I17=""),"",$I17-AsOf)</f>
        <v/>
      </c>
      <c r="AA17" s="65" t="n">
        <f aca="false">IF($A17="","",AsOf-$H17)</f>
        <v>27</v>
      </c>
      <c r="AB17" s="65" t="str">
        <f aca="false">IF($A17="","",IF($X17="Closed","Closed",IF($X17="Unmapped","Unmapped",IF($I17="","No target",IF($Z17&lt;0,"Overdue",IF($Z17&lt;=INDEX(StageWindow,$Y17),"At risk","On track"))))))</f>
        <v>Closed</v>
      </c>
      <c r="AC17" s="65" t="str">
        <f aca="false">IF($Y17="","",IF($AA17&gt;2*INDEX(StageStale,$Y17),"Stale",IF($AA17&gt;INDEX(StageStale,$Y17),"Aging","Fresh")))</f>
        <v/>
      </c>
      <c r="AD17" s="65" t="str">
        <f aca="false">IF($A17="","",IF(OR(ISNUMBER(SEARCH("Reg report",$J17)),ISNUMBER(SEARCH("No human review",$J17)),COUNTIF(TierFuncs,$D17)&gt;0),"High",IF(OR(TRIM($J17)&lt;&gt;"",ISNUMBER(SEARCH("revenue",$K17))),"Medium","Low")))</f>
        <v>Low</v>
      </c>
      <c r="AE17" s="65" t="n">
        <f aca="false">IF($A17="","",INDEX(TierDays,MATCH($AD17,TierName,0)))</f>
        <v>21</v>
      </c>
      <c r="AF17" s="65" t="n">
        <f aca="false">IF($A17="","",AsOf-$G17)</f>
        <v>41</v>
      </c>
      <c r="AG17" s="65" t="str">
        <f aca="false">IF($Y17="","",IF($Y17&lt;=5,IF($AF17&gt;$AE17,"Over","Inside"),"Past approval"))</f>
        <v/>
      </c>
      <c r="AH17" s="65" t="str">
        <f aca="false">IF($Y17="","",CHOOSE($Y17,IF(OR(TRIM($F17)="",ISNUMBER(SEARCH("not named",$F17))),"Critical","Good"),IF($O17&lt;&gt;"Y","Critical",IF($Q17&lt;&gt;"Y","Warning","Good")),IF($P17="","Critical",IF($P17="partial","Warning",IF($P17="ready","Good","Critical"))),IF($R17&lt;&gt;"","Critical","Warning"),IF($L17="","Critical",IF($N17="","Warning","Good")),IF($R17&lt;&gt;"","Critical","Warning"),IF($R17&lt;&gt;"","Critical","Warning"),IF($Q17="Y","Good","Critical")))</f>
        <v/>
      </c>
      <c r="AI17" s="65" t="str">
        <f aca="false">IF($Y17="","",CHOOSE($Y17,IF(OR(TRIM($F17)="",ISNUMBER(SEARCH("not named",$F17))),"Name a sponsor accountable for the value",""),IF($O17&lt;&gt;"Y","State the success metric and the stop condition",IF($Q17&lt;&gt;"Y","Set the baseline the benefit will be measured against","")),IF($P17="","Assess data readiness and regulatory impact",IF($P17="partial","Close the known data gaps",IF($P17="ready","","Data is not available; reshape or park"))),IF($R17&lt;&gt;"",IF(OR(ISNUMBER(SEARCH("mrm",$R17)),ISNUMBER(SEARCH("model",$R17)),ISNUMBER(SEARCH("risk",$R17)),ISNUMBER(SEARCH("legal",$R17)),ISNUMBER(SEARCH("complian",$R17))),"Awaiting ","Held at the design gate: ")&amp;$R17,"Map the governance framework for its tier"),IF($L17="","Size the annual benefit",IF($N17="","Score it so it can be ranked against capacity","")),IF($R17&lt;&gt;"","Build held: "&amp;$R17,"In build, not yet through test"),IF($R17&lt;&gt;"","Not ready to scale: "&amp;$R17,"Monitoring and third-party review not yet signed off"),IF($Q17="Y","","Live without a measured baseline to judge it against")))</f>
        <v/>
      </c>
      <c r="AJ17" s="65" t="str">
        <f aca="false">IF($Y17="","",INDEX(StageForum,$Y17))</f>
        <v/>
      </c>
      <c r="AK17" s="65" t="str">
        <f aca="false">IF($Y17="","",IF(OR($X17="Delivery",$X17="Value"),"Committed",IF($N17&lt;&gt;"","Candidate","")))</f>
        <v/>
      </c>
      <c r="AL17" s="65" t="str">
        <f aca="false">IF($AK17&lt;&gt;"Candidate","",COUNTIFS($AK$2:$AK$501,"Candidate",$N$2:$N$501,"&gt;"&amp;$N17)+COUNTIFS($AK$2:$AK$501,"Candidate",$N$2:$N$501,$N17,$A$2:$A$501,"&lt;"&amp;$A17)+1)</f>
        <v/>
      </c>
      <c r="AM17" s="65" t="str">
        <f aca="false">IF($AL17="","",SUMIFS($M$2:$M$501,$AK$2:$AK$501,"Candidate",$AL$2:$AL$501,"&lt;="&amp;$AL17))</f>
        <v/>
      </c>
      <c r="AN17" s="65" t="str">
        <f aca="false">IF($AL17="","",IF($AM17&lt;=CapacityOpen,"Fits","Below line"))</f>
        <v/>
      </c>
      <c r="AO17" s="65" t="str">
        <f aca="false">IF($A17="","",IF($X17="Closed","",IF($X17="Unmapped","Warning",IF(OR($AB17="Overdue",$V17="Y",$AH17="Critical"),"Critical",IF(OR($AB17="At risk",$AC17="Stale",$AG17="Over"),"Warning","")))))</f>
        <v/>
      </c>
      <c r="AP17" s="65" t="str">
        <f aca="false">IF($AO17="","",IF($AO17="Critical",3000,2000)-IF($Z17="",0,$Z17)+ROW()/100000)</f>
        <v/>
      </c>
      <c r="AQ17" s="65" t="str">
        <f aca="false">IF($AO17="","",IF($X17="Unmapped","Status '"&amp;$C17&amp;"' is not in the Config map",IF($V17="Y","Flagged in Jira",IF($AB17="Overdue",-$Z17&amp;" days past its "&amp;$X17&amp;" target",IF($AH17="Critical",$AI17,IF($AB17="At risk","Target in "&amp;$Z17&amp;" days",IF($AC17="Stale","No update in "&amp;$AA17&amp;" days","Past its "&amp;$AE17&amp;"-day tier window")))))))</f>
        <v/>
      </c>
      <c r="AR17" s="65" t="str">
        <f aca="false">IF($AO17="","","draft Jira update for "&amp;$A17)</f>
        <v/>
      </c>
      <c r="AS17" s="65" t="str">
        <f aca="false">IF($A17="","",HYPERLINK(JiraSite&amp;"/browse/"&amp;$A17,"open"))</f>
        <v>open</v>
      </c>
      <c r="AT17" s="65" t="str">
        <f aca="false">IF($Y17="","",$Y17*1000+ROW())</f>
        <v/>
      </c>
      <c r="AU17" s="65" t="str">
        <f aca="false">IF(AND($A17&lt;&gt;"",$G17&gt;=WeekStart),$G17+ROW()/100000,"")</f>
        <v/>
      </c>
      <c r="AV17" s="65" t="str">
        <f aca="false">IF($A17="","",IF(OR(AND($S17&lt;&gt;"",$S17&gt;=WeekStart),AND($U17&lt;&gt;"",$U17&gt;=WeekStart)),MAX($S17,$U17)+ROW()/100000,""))</f>
        <v/>
      </c>
      <c r="AW17" s="65" t="str">
        <f aca="false">IF($AV17="","",IF($T17&lt;&gt;"",$T17,IF($X17="Closed","Closed","Accepted to "&amp;$X17)))</f>
        <v/>
      </c>
      <c r="AX17" s="65" t="str">
        <f aca="false">IF(AND($Y17&lt;&gt;"",$R17&lt;&gt;""),$AF17+ROW()/100000,"")</f>
        <v/>
      </c>
      <c r="AY17" s="65" t="str">
        <f aca="false">IF(AND($Y17&lt;&gt;"",OR($AB17="Overdue",AND($AH17="Critical",$R17&lt;&gt;""))),$AF17+ROW()/100000,"")</f>
        <v/>
      </c>
      <c r="AZ17" s="65" t="str">
        <f aca="false">IF($AH17="Critical",$AF17+ROW()/100000,"")</f>
        <v/>
      </c>
    </row>
    <row r="18" customFormat="false" ht="15" hidden="false" customHeight="false" outlineLevel="0" collapsed="false">
      <c r="A18" s="28"/>
      <c r="B18" s="28"/>
      <c r="C18" s="28"/>
      <c r="D18" s="28"/>
      <c r="E18" s="28"/>
      <c r="F18" s="28"/>
      <c r="G18" s="63"/>
      <c r="H18" s="63"/>
      <c r="I18" s="63"/>
      <c r="J18" s="28"/>
      <c r="K18" s="28"/>
      <c r="L18" s="28"/>
      <c r="M18" s="28"/>
      <c r="N18" s="28"/>
      <c r="O18" s="64"/>
      <c r="P18" s="64"/>
      <c r="Q18" s="64"/>
      <c r="R18" s="28"/>
      <c r="S18" s="63"/>
      <c r="T18" s="64"/>
      <c r="U18" s="63"/>
      <c r="V18" s="64"/>
      <c r="W18" s="28"/>
      <c r="X18" s="65" t="str">
        <f aca="false">IF($A18="","",IF(OR($T18&lt;&gt;"",$U18&lt;&gt;""),"Closed",IFERROR(INDEX(MapStage,MATCH($C18,MapStatus,0)),"Unmapped")))</f>
        <v/>
      </c>
      <c r="Y18" s="65" t="str">
        <f aca="false">IF(OR($X18="",$X18="Closed",$X18="Unmapped"),"",MATCH($X18,StageName,0))</f>
        <v/>
      </c>
      <c r="Z18" s="65" t="str">
        <f aca="false">IF(OR($Y18="",$I18=""),"",$I18-AsOf)</f>
        <v/>
      </c>
      <c r="AA18" s="65" t="str">
        <f aca="false">IF($A18="","",AsOf-$H18)</f>
        <v/>
      </c>
      <c r="AB18" s="65" t="str">
        <f aca="false">IF($A18="","",IF($X18="Closed","Closed",IF($X18="Unmapped","Unmapped",IF($I18="","No target",IF($Z18&lt;0,"Overdue",IF($Z18&lt;=INDEX(StageWindow,$Y18),"At risk","On track"))))))</f>
        <v/>
      </c>
      <c r="AC18" s="65" t="str">
        <f aca="false">IF($Y18="","",IF($AA18&gt;2*INDEX(StageStale,$Y18),"Stale",IF($AA18&gt;INDEX(StageStale,$Y18),"Aging","Fresh")))</f>
        <v/>
      </c>
      <c r="AD18" s="65" t="str">
        <f aca="false">IF($A18="","",IF(OR(ISNUMBER(SEARCH("Reg report",$J18)),ISNUMBER(SEARCH("No human review",$J18)),COUNTIF(TierFuncs,$D18)&gt;0),"High",IF(OR(TRIM($J18)&lt;&gt;"",ISNUMBER(SEARCH("revenue",$K18))),"Medium","Low")))</f>
        <v/>
      </c>
      <c r="AE18" s="65" t="str">
        <f aca="false">IF($A18="","",INDEX(TierDays,MATCH($AD18,TierName,0)))</f>
        <v/>
      </c>
      <c r="AF18" s="65" t="str">
        <f aca="false">IF($A18="","",AsOf-$G18)</f>
        <v/>
      </c>
      <c r="AG18" s="65" t="str">
        <f aca="false">IF($Y18="","",IF($Y18&lt;=5,IF($AF18&gt;$AE18,"Over","Inside"),"Past approval"))</f>
        <v/>
      </c>
      <c r="AH18" s="65" t="str">
        <f aca="false">IF($Y18="","",CHOOSE($Y18,IF(OR(TRIM($F18)="",ISNUMBER(SEARCH("not named",$F18))),"Critical","Good"),IF($O18&lt;&gt;"Y","Critical",IF($Q18&lt;&gt;"Y","Warning","Good")),IF($P18="","Critical",IF($P18="partial","Warning",IF($P18="ready","Good","Critical"))),IF($R18&lt;&gt;"","Critical","Warning"),IF($L18="","Critical",IF($N18="","Warning","Good")),IF($R18&lt;&gt;"","Critical","Warning"),IF($R18&lt;&gt;"","Critical","Warning"),IF($Q18="Y","Good","Critical")))</f>
        <v/>
      </c>
      <c r="AI18" s="65" t="str">
        <f aca="false">IF($Y18="","",CHOOSE($Y18,IF(OR(TRIM($F18)="",ISNUMBER(SEARCH("not named",$F18))),"Name a sponsor accountable for the value",""),IF($O18&lt;&gt;"Y","State the success metric and the stop condition",IF($Q18&lt;&gt;"Y","Set the baseline the benefit will be measured against","")),IF($P18="","Assess data readiness and regulatory impact",IF($P18="partial","Close the known data gaps",IF($P18="ready","","Data is not available; reshape or park"))),IF($R18&lt;&gt;"",IF(OR(ISNUMBER(SEARCH("mrm",$R18)),ISNUMBER(SEARCH("model",$R18)),ISNUMBER(SEARCH("risk",$R18)),ISNUMBER(SEARCH("legal",$R18)),ISNUMBER(SEARCH("complian",$R18))),"Awaiting ","Held at the design gate: ")&amp;$R18,"Map the governance framework for its tier"),IF($L18="","Size the annual benefit",IF($N18="","Score it so it can be ranked against capacity","")),IF($R18&lt;&gt;"","Build held: "&amp;$R18,"In build, not yet through test"),IF($R18&lt;&gt;"","Not ready to scale: "&amp;$R18,"Monitoring and third-party review not yet signed off"),IF($Q18="Y","","Live without a measured baseline to judge it against")))</f>
        <v/>
      </c>
      <c r="AJ18" s="65" t="str">
        <f aca="false">IF($Y18="","",INDEX(StageForum,$Y18))</f>
        <v/>
      </c>
      <c r="AK18" s="65" t="str">
        <f aca="false">IF($Y18="","",IF(OR($X18="Delivery",$X18="Value"),"Committed",IF($N18&lt;&gt;"","Candidate","")))</f>
        <v/>
      </c>
      <c r="AL18" s="65" t="str">
        <f aca="false">IF($AK18&lt;&gt;"Candidate","",COUNTIFS($AK$2:$AK$501,"Candidate",$N$2:$N$501,"&gt;"&amp;$N18)+COUNTIFS($AK$2:$AK$501,"Candidate",$N$2:$N$501,$N18,$A$2:$A$501,"&lt;"&amp;$A18)+1)</f>
        <v/>
      </c>
      <c r="AM18" s="65" t="str">
        <f aca="false">IF($AL18="","",SUMIFS($M$2:$M$501,$AK$2:$AK$501,"Candidate",$AL$2:$AL$501,"&lt;="&amp;$AL18))</f>
        <v/>
      </c>
      <c r="AN18" s="65" t="str">
        <f aca="false">IF($AL18="","",IF($AM18&lt;=CapacityOpen,"Fits","Below line"))</f>
        <v/>
      </c>
      <c r="AO18" s="65" t="str">
        <f aca="false">IF($A18="","",IF($X18="Closed","",IF($X18="Unmapped","Warning",IF(OR($AB18="Overdue",$V18="Y",$AH18="Critical"),"Critical",IF(OR($AB18="At risk",$AC18="Stale",$AG18="Over"),"Warning","")))))</f>
        <v/>
      </c>
      <c r="AP18" s="65" t="str">
        <f aca="false">IF($AO18="","",IF($AO18="Critical",3000,2000)-IF($Z18="",0,$Z18)+ROW()/100000)</f>
        <v/>
      </c>
      <c r="AQ18" s="65" t="str">
        <f aca="false">IF($AO18="","",IF($X18="Unmapped","Status '"&amp;$C18&amp;"' is not in the Config map",IF($V18="Y","Flagged in Jira",IF($AB18="Overdue",-$Z18&amp;" days past its "&amp;$X18&amp;" target",IF($AH18="Critical",$AI18,IF($AB18="At risk","Target in "&amp;$Z18&amp;" days",IF($AC18="Stale","No update in "&amp;$AA18&amp;" days","Past its "&amp;$AE18&amp;"-day tier window")))))))</f>
        <v/>
      </c>
      <c r="AR18" s="65" t="str">
        <f aca="false">IF($AO18="","","draft Jira update for "&amp;$A18)</f>
        <v/>
      </c>
      <c r="AS18" s="65" t="str">
        <f aca="false">IF($A18="","",HYPERLINK(JiraSite&amp;"/browse/"&amp;$A18,"open"))</f>
        <v/>
      </c>
      <c r="AT18" s="65" t="str">
        <f aca="false">IF($Y18="","",$Y18*1000+ROW())</f>
        <v/>
      </c>
      <c r="AU18" s="65" t="str">
        <f aca="false">IF(AND($A18&lt;&gt;"",$G18&gt;=WeekStart),$G18+ROW()/100000,"")</f>
        <v/>
      </c>
      <c r="AV18" s="65" t="str">
        <f aca="false">IF($A18="","",IF(OR(AND($S18&lt;&gt;"",$S18&gt;=WeekStart),AND($U18&lt;&gt;"",$U18&gt;=WeekStart)),MAX($S18,$U18)+ROW()/100000,""))</f>
        <v/>
      </c>
      <c r="AW18" s="65" t="str">
        <f aca="false">IF($AV18="","",IF($T18&lt;&gt;"",$T18,IF($X18="Closed","Closed","Accepted to "&amp;$X18)))</f>
        <v/>
      </c>
      <c r="AX18" s="65" t="str">
        <f aca="false">IF(AND($Y18&lt;&gt;"",$R18&lt;&gt;""),$AF18+ROW()/100000,"")</f>
        <v/>
      </c>
      <c r="AY18" s="65" t="str">
        <f aca="false">IF(AND($Y18&lt;&gt;"",OR($AB18="Overdue",AND($AH18="Critical",$R18&lt;&gt;""))),$AF18+ROW()/100000,"")</f>
        <v/>
      </c>
      <c r="AZ18" s="65" t="str">
        <f aca="false">IF($AH18="Critical",$AF18+ROW()/100000,"")</f>
        <v/>
      </c>
    </row>
    <row r="19" customFormat="false" ht="15" hidden="false" customHeight="false" outlineLevel="0" collapsed="false">
      <c r="A19" s="28"/>
      <c r="B19" s="28"/>
      <c r="C19" s="28"/>
      <c r="D19" s="28"/>
      <c r="E19" s="28"/>
      <c r="F19" s="28"/>
      <c r="G19" s="63"/>
      <c r="H19" s="63"/>
      <c r="I19" s="63"/>
      <c r="J19" s="28"/>
      <c r="K19" s="28"/>
      <c r="L19" s="28"/>
      <c r="M19" s="28"/>
      <c r="N19" s="28"/>
      <c r="O19" s="64"/>
      <c r="P19" s="64"/>
      <c r="Q19" s="64"/>
      <c r="R19" s="28"/>
      <c r="S19" s="63"/>
      <c r="T19" s="64"/>
      <c r="U19" s="63"/>
      <c r="V19" s="64"/>
      <c r="W19" s="28"/>
      <c r="X19" s="65" t="str">
        <f aca="false">IF($A19="","",IF(OR($T19&lt;&gt;"",$U19&lt;&gt;""),"Closed",IFERROR(INDEX(MapStage,MATCH($C19,MapStatus,0)),"Unmapped")))</f>
        <v/>
      </c>
      <c r="Y19" s="65" t="str">
        <f aca="false">IF(OR($X19="",$X19="Closed",$X19="Unmapped"),"",MATCH($X19,StageName,0))</f>
        <v/>
      </c>
      <c r="Z19" s="65" t="str">
        <f aca="false">IF(OR($Y19="",$I19=""),"",$I19-AsOf)</f>
        <v/>
      </c>
      <c r="AA19" s="65" t="str">
        <f aca="false">IF($A19="","",AsOf-$H19)</f>
        <v/>
      </c>
      <c r="AB19" s="65" t="str">
        <f aca="false">IF($A19="","",IF($X19="Closed","Closed",IF($X19="Unmapped","Unmapped",IF($I19="","No target",IF($Z19&lt;0,"Overdue",IF($Z19&lt;=INDEX(StageWindow,$Y19),"At risk","On track"))))))</f>
        <v/>
      </c>
      <c r="AC19" s="65" t="str">
        <f aca="false">IF($Y19="","",IF($AA19&gt;2*INDEX(StageStale,$Y19),"Stale",IF($AA19&gt;INDEX(StageStale,$Y19),"Aging","Fresh")))</f>
        <v/>
      </c>
      <c r="AD19" s="65" t="str">
        <f aca="false">IF($A19="","",IF(OR(ISNUMBER(SEARCH("Reg report",$J19)),ISNUMBER(SEARCH("No human review",$J19)),COUNTIF(TierFuncs,$D19)&gt;0),"High",IF(OR(TRIM($J19)&lt;&gt;"",ISNUMBER(SEARCH("revenue",$K19))),"Medium","Low")))</f>
        <v/>
      </c>
      <c r="AE19" s="65" t="str">
        <f aca="false">IF($A19="","",INDEX(TierDays,MATCH($AD19,TierName,0)))</f>
        <v/>
      </c>
      <c r="AF19" s="65" t="str">
        <f aca="false">IF($A19="","",AsOf-$G19)</f>
        <v/>
      </c>
      <c r="AG19" s="65" t="str">
        <f aca="false">IF($Y19="","",IF($Y19&lt;=5,IF($AF19&gt;$AE19,"Over","Inside"),"Past approval"))</f>
        <v/>
      </c>
      <c r="AH19" s="65" t="str">
        <f aca="false">IF($Y19="","",CHOOSE($Y19,IF(OR(TRIM($F19)="",ISNUMBER(SEARCH("not named",$F19))),"Critical","Good"),IF($O19&lt;&gt;"Y","Critical",IF($Q19&lt;&gt;"Y","Warning","Good")),IF($P19="","Critical",IF($P19="partial","Warning",IF($P19="ready","Good","Critical"))),IF($R19&lt;&gt;"","Critical","Warning"),IF($L19="","Critical",IF($N19="","Warning","Good")),IF($R19&lt;&gt;"","Critical","Warning"),IF($R19&lt;&gt;"","Critical","Warning"),IF($Q19="Y","Good","Critical")))</f>
        <v/>
      </c>
      <c r="AI19" s="65" t="str">
        <f aca="false">IF($Y19="","",CHOOSE($Y19,IF(OR(TRIM($F19)="",ISNUMBER(SEARCH("not named",$F19))),"Name a sponsor accountable for the value",""),IF($O19&lt;&gt;"Y","State the success metric and the stop condition",IF($Q19&lt;&gt;"Y","Set the baseline the benefit will be measured against","")),IF($P19="","Assess data readiness and regulatory impact",IF($P19="partial","Close the known data gaps",IF($P19="ready","","Data is not available; reshape or park"))),IF($R19&lt;&gt;"",IF(OR(ISNUMBER(SEARCH("mrm",$R19)),ISNUMBER(SEARCH("model",$R19)),ISNUMBER(SEARCH("risk",$R19)),ISNUMBER(SEARCH("legal",$R19)),ISNUMBER(SEARCH("complian",$R19))),"Awaiting ","Held at the design gate: ")&amp;$R19,"Map the governance framework for its tier"),IF($L19="","Size the annual benefit",IF($N19="","Score it so it can be ranked against capacity","")),IF($R19&lt;&gt;"","Build held: "&amp;$R19,"In build, not yet through test"),IF($R19&lt;&gt;"","Not ready to scale: "&amp;$R19,"Monitoring and third-party review not yet signed off"),IF($Q19="Y","","Live without a measured baseline to judge it against")))</f>
        <v/>
      </c>
      <c r="AJ19" s="65" t="str">
        <f aca="false">IF($Y19="","",INDEX(StageForum,$Y19))</f>
        <v/>
      </c>
      <c r="AK19" s="65" t="str">
        <f aca="false">IF($Y19="","",IF(OR($X19="Delivery",$X19="Value"),"Committed",IF($N19&lt;&gt;"","Candidate","")))</f>
        <v/>
      </c>
      <c r="AL19" s="65" t="str">
        <f aca="false">IF($AK19&lt;&gt;"Candidate","",COUNTIFS($AK$2:$AK$501,"Candidate",$N$2:$N$501,"&gt;"&amp;$N19)+COUNTIFS($AK$2:$AK$501,"Candidate",$N$2:$N$501,$N19,$A$2:$A$501,"&lt;"&amp;$A19)+1)</f>
        <v/>
      </c>
      <c r="AM19" s="65" t="str">
        <f aca="false">IF($AL19="","",SUMIFS($M$2:$M$501,$AK$2:$AK$501,"Candidate",$AL$2:$AL$501,"&lt;="&amp;$AL19))</f>
        <v/>
      </c>
      <c r="AN19" s="65" t="str">
        <f aca="false">IF($AL19="","",IF($AM19&lt;=CapacityOpen,"Fits","Below line"))</f>
        <v/>
      </c>
      <c r="AO19" s="65" t="str">
        <f aca="false">IF($A19="","",IF($X19="Closed","",IF($X19="Unmapped","Warning",IF(OR($AB19="Overdue",$V19="Y",$AH19="Critical"),"Critical",IF(OR($AB19="At risk",$AC19="Stale",$AG19="Over"),"Warning","")))))</f>
        <v/>
      </c>
      <c r="AP19" s="65" t="str">
        <f aca="false">IF($AO19="","",IF($AO19="Critical",3000,2000)-IF($Z19="",0,$Z19)+ROW()/100000)</f>
        <v/>
      </c>
      <c r="AQ19" s="65" t="str">
        <f aca="false">IF($AO19="","",IF($X19="Unmapped","Status '"&amp;$C19&amp;"' is not in the Config map",IF($V19="Y","Flagged in Jira",IF($AB19="Overdue",-$Z19&amp;" days past its "&amp;$X19&amp;" target",IF($AH19="Critical",$AI19,IF($AB19="At risk","Target in "&amp;$Z19&amp;" days",IF($AC19="Stale","No update in "&amp;$AA19&amp;" days","Past its "&amp;$AE19&amp;"-day tier window")))))))</f>
        <v/>
      </c>
      <c r="AR19" s="65" t="str">
        <f aca="false">IF($AO19="","","draft Jira update for "&amp;$A19)</f>
        <v/>
      </c>
      <c r="AS19" s="65" t="str">
        <f aca="false">IF($A19="","",HYPERLINK(JiraSite&amp;"/browse/"&amp;$A19,"open"))</f>
        <v/>
      </c>
      <c r="AT19" s="65" t="str">
        <f aca="false">IF($Y19="","",$Y19*1000+ROW())</f>
        <v/>
      </c>
      <c r="AU19" s="65" t="str">
        <f aca="false">IF(AND($A19&lt;&gt;"",$G19&gt;=WeekStart),$G19+ROW()/100000,"")</f>
        <v/>
      </c>
      <c r="AV19" s="65" t="str">
        <f aca="false">IF($A19="","",IF(OR(AND($S19&lt;&gt;"",$S19&gt;=WeekStart),AND($U19&lt;&gt;"",$U19&gt;=WeekStart)),MAX($S19,$U19)+ROW()/100000,""))</f>
        <v/>
      </c>
      <c r="AW19" s="65" t="str">
        <f aca="false">IF($AV19="","",IF($T19&lt;&gt;"",$T19,IF($X19="Closed","Closed","Accepted to "&amp;$X19)))</f>
        <v/>
      </c>
      <c r="AX19" s="65" t="str">
        <f aca="false">IF(AND($Y19&lt;&gt;"",$R19&lt;&gt;""),$AF19+ROW()/100000,"")</f>
        <v/>
      </c>
      <c r="AY19" s="65" t="str">
        <f aca="false">IF(AND($Y19&lt;&gt;"",OR($AB19="Overdue",AND($AH19="Critical",$R19&lt;&gt;""))),$AF19+ROW()/100000,"")</f>
        <v/>
      </c>
      <c r="AZ19" s="65" t="str">
        <f aca="false">IF($AH19="Critical",$AF19+ROW()/100000,"")</f>
        <v/>
      </c>
    </row>
    <row r="20" customFormat="false" ht="15" hidden="false" customHeight="false" outlineLevel="0" collapsed="false">
      <c r="A20" s="28"/>
      <c r="B20" s="28"/>
      <c r="C20" s="28"/>
      <c r="D20" s="28"/>
      <c r="E20" s="28"/>
      <c r="F20" s="28"/>
      <c r="G20" s="63"/>
      <c r="H20" s="63"/>
      <c r="I20" s="63"/>
      <c r="J20" s="28"/>
      <c r="K20" s="28"/>
      <c r="L20" s="28"/>
      <c r="M20" s="28"/>
      <c r="N20" s="28"/>
      <c r="O20" s="64"/>
      <c r="P20" s="64"/>
      <c r="Q20" s="64"/>
      <c r="R20" s="28"/>
      <c r="S20" s="63"/>
      <c r="T20" s="64"/>
      <c r="U20" s="63"/>
      <c r="V20" s="64"/>
      <c r="W20" s="28"/>
      <c r="X20" s="65" t="str">
        <f aca="false">IF($A20="","",IF(OR($T20&lt;&gt;"",$U20&lt;&gt;""),"Closed",IFERROR(INDEX(MapStage,MATCH($C20,MapStatus,0)),"Unmapped")))</f>
        <v/>
      </c>
      <c r="Y20" s="65" t="str">
        <f aca="false">IF(OR($X20="",$X20="Closed",$X20="Unmapped"),"",MATCH($X20,StageName,0))</f>
        <v/>
      </c>
      <c r="Z20" s="65" t="str">
        <f aca="false">IF(OR($Y20="",$I20=""),"",$I20-AsOf)</f>
        <v/>
      </c>
      <c r="AA20" s="65" t="str">
        <f aca="false">IF($A20="","",AsOf-$H20)</f>
        <v/>
      </c>
      <c r="AB20" s="65" t="str">
        <f aca="false">IF($A20="","",IF($X20="Closed","Closed",IF($X20="Unmapped","Unmapped",IF($I20="","No target",IF($Z20&lt;0,"Overdue",IF($Z20&lt;=INDEX(StageWindow,$Y20),"At risk","On track"))))))</f>
        <v/>
      </c>
      <c r="AC20" s="65" t="str">
        <f aca="false">IF($Y20="","",IF($AA20&gt;2*INDEX(StageStale,$Y20),"Stale",IF($AA20&gt;INDEX(StageStale,$Y20),"Aging","Fresh")))</f>
        <v/>
      </c>
      <c r="AD20" s="65" t="str">
        <f aca="false">IF($A20="","",IF(OR(ISNUMBER(SEARCH("Reg report",$J20)),ISNUMBER(SEARCH("No human review",$J20)),COUNTIF(TierFuncs,$D20)&gt;0),"High",IF(OR(TRIM($J20)&lt;&gt;"",ISNUMBER(SEARCH("revenue",$K20))),"Medium","Low")))</f>
        <v/>
      </c>
      <c r="AE20" s="65" t="str">
        <f aca="false">IF($A20="","",INDEX(TierDays,MATCH($AD20,TierName,0)))</f>
        <v/>
      </c>
      <c r="AF20" s="65" t="str">
        <f aca="false">IF($A20="","",AsOf-$G20)</f>
        <v/>
      </c>
      <c r="AG20" s="65" t="str">
        <f aca="false">IF($Y20="","",IF($Y20&lt;=5,IF($AF20&gt;$AE20,"Over","Inside"),"Past approval"))</f>
        <v/>
      </c>
      <c r="AH20" s="65" t="str">
        <f aca="false">IF($Y20="","",CHOOSE($Y20,IF(OR(TRIM($F20)="",ISNUMBER(SEARCH("not named",$F20))),"Critical","Good"),IF($O20&lt;&gt;"Y","Critical",IF($Q20&lt;&gt;"Y","Warning","Good")),IF($P20="","Critical",IF($P20="partial","Warning",IF($P20="ready","Good","Critical"))),IF($R20&lt;&gt;"","Critical","Warning"),IF($L20="","Critical",IF($N20="","Warning","Good")),IF($R20&lt;&gt;"","Critical","Warning"),IF($R20&lt;&gt;"","Critical","Warning"),IF($Q20="Y","Good","Critical")))</f>
        <v/>
      </c>
      <c r="AI20" s="65" t="str">
        <f aca="false">IF($Y20="","",CHOOSE($Y20,IF(OR(TRIM($F20)="",ISNUMBER(SEARCH("not named",$F20))),"Name a sponsor accountable for the value",""),IF($O20&lt;&gt;"Y","State the success metric and the stop condition",IF($Q20&lt;&gt;"Y","Set the baseline the benefit will be measured against","")),IF($P20="","Assess data readiness and regulatory impact",IF($P20="partial","Close the known data gaps",IF($P20="ready","","Data is not available; reshape or park"))),IF($R20&lt;&gt;"",IF(OR(ISNUMBER(SEARCH("mrm",$R20)),ISNUMBER(SEARCH("model",$R20)),ISNUMBER(SEARCH("risk",$R20)),ISNUMBER(SEARCH("legal",$R20)),ISNUMBER(SEARCH("complian",$R20))),"Awaiting ","Held at the design gate: ")&amp;$R20,"Map the governance framework for its tier"),IF($L20="","Size the annual benefit",IF($N20="","Score it so it can be ranked against capacity","")),IF($R20&lt;&gt;"","Build held: "&amp;$R20,"In build, not yet through test"),IF($R20&lt;&gt;"","Not ready to scale: "&amp;$R20,"Monitoring and third-party review not yet signed off"),IF($Q20="Y","","Live without a measured baseline to judge it against")))</f>
        <v/>
      </c>
      <c r="AJ20" s="65" t="str">
        <f aca="false">IF($Y20="","",INDEX(StageForum,$Y20))</f>
        <v/>
      </c>
      <c r="AK20" s="65" t="str">
        <f aca="false">IF($Y20="","",IF(OR($X20="Delivery",$X20="Value"),"Committed",IF($N20&lt;&gt;"","Candidate","")))</f>
        <v/>
      </c>
      <c r="AL20" s="65" t="str">
        <f aca="false">IF($AK20&lt;&gt;"Candidate","",COUNTIFS($AK$2:$AK$501,"Candidate",$N$2:$N$501,"&gt;"&amp;$N20)+COUNTIFS($AK$2:$AK$501,"Candidate",$N$2:$N$501,$N20,$A$2:$A$501,"&lt;"&amp;$A20)+1)</f>
        <v/>
      </c>
      <c r="AM20" s="65" t="str">
        <f aca="false">IF($AL20="","",SUMIFS($M$2:$M$501,$AK$2:$AK$501,"Candidate",$AL$2:$AL$501,"&lt;="&amp;$AL20))</f>
        <v/>
      </c>
      <c r="AN20" s="65" t="str">
        <f aca="false">IF($AL20="","",IF($AM20&lt;=CapacityOpen,"Fits","Below line"))</f>
        <v/>
      </c>
      <c r="AO20" s="65" t="str">
        <f aca="false">IF($A20="","",IF($X20="Closed","",IF($X20="Unmapped","Warning",IF(OR($AB20="Overdue",$V20="Y",$AH20="Critical"),"Critical",IF(OR($AB20="At risk",$AC20="Stale",$AG20="Over"),"Warning","")))))</f>
        <v/>
      </c>
      <c r="AP20" s="65" t="str">
        <f aca="false">IF($AO20="","",IF($AO20="Critical",3000,2000)-IF($Z20="",0,$Z20)+ROW()/100000)</f>
        <v/>
      </c>
      <c r="AQ20" s="65" t="str">
        <f aca="false">IF($AO20="","",IF($X20="Unmapped","Status '"&amp;$C20&amp;"' is not in the Config map",IF($V20="Y","Flagged in Jira",IF($AB20="Overdue",-$Z20&amp;" days past its "&amp;$X20&amp;" target",IF($AH20="Critical",$AI20,IF($AB20="At risk","Target in "&amp;$Z20&amp;" days",IF($AC20="Stale","No update in "&amp;$AA20&amp;" days","Past its "&amp;$AE20&amp;"-day tier window")))))))</f>
        <v/>
      </c>
      <c r="AR20" s="65" t="str">
        <f aca="false">IF($AO20="","","draft Jira update for "&amp;$A20)</f>
        <v/>
      </c>
      <c r="AS20" s="65" t="str">
        <f aca="false">IF($A20="","",HYPERLINK(JiraSite&amp;"/browse/"&amp;$A20,"open"))</f>
        <v/>
      </c>
      <c r="AT20" s="65" t="str">
        <f aca="false">IF($Y20="","",$Y20*1000+ROW())</f>
        <v/>
      </c>
      <c r="AU20" s="65" t="str">
        <f aca="false">IF(AND($A20&lt;&gt;"",$G20&gt;=WeekStart),$G20+ROW()/100000,"")</f>
        <v/>
      </c>
      <c r="AV20" s="65" t="str">
        <f aca="false">IF($A20="","",IF(OR(AND($S20&lt;&gt;"",$S20&gt;=WeekStart),AND($U20&lt;&gt;"",$U20&gt;=WeekStart)),MAX($S20,$U20)+ROW()/100000,""))</f>
        <v/>
      </c>
      <c r="AW20" s="65" t="str">
        <f aca="false">IF($AV20="","",IF($T20&lt;&gt;"",$T20,IF($X20="Closed","Closed","Accepted to "&amp;$X20)))</f>
        <v/>
      </c>
      <c r="AX20" s="65" t="str">
        <f aca="false">IF(AND($Y20&lt;&gt;"",$R20&lt;&gt;""),$AF20+ROW()/100000,"")</f>
        <v/>
      </c>
      <c r="AY20" s="65" t="str">
        <f aca="false">IF(AND($Y20&lt;&gt;"",OR($AB20="Overdue",AND($AH20="Critical",$R20&lt;&gt;""))),$AF20+ROW()/100000,"")</f>
        <v/>
      </c>
      <c r="AZ20" s="65" t="str">
        <f aca="false">IF($AH20="Critical",$AF20+ROW()/100000,"")</f>
        <v/>
      </c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63"/>
      <c r="H21" s="63"/>
      <c r="I21" s="63"/>
      <c r="J21" s="28"/>
      <c r="K21" s="28"/>
      <c r="L21" s="28"/>
      <c r="M21" s="28"/>
      <c r="N21" s="28"/>
      <c r="O21" s="64"/>
      <c r="P21" s="64"/>
      <c r="Q21" s="64"/>
      <c r="R21" s="28"/>
      <c r="S21" s="63"/>
      <c r="T21" s="64"/>
      <c r="U21" s="63"/>
      <c r="V21" s="64"/>
      <c r="W21" s="28"/>
      <c r="X21" s="65" t="str">
        <f aca="false">IF($A21="","",IF(OR($T21&lt;&gt;"",$U21&lt;&gt;""),"Closed",IFERROR(INDEX(MapStage,MATCH($C21,MapStatus,0)),"Unmapped")))</f>
        <v/>
      </c>
      <c r="Y21" s="65" t="str">
        <f aca="false">IF(OR($X21="",$X21="Closed",$X21="Unmapped"),"",MATCH($X21,StageName,0))</f>
        <v/>
      </c>
      <c r="Z21" s="65" t="str">
        <f aca="false">IF(OR($Y21="",$I21=""),"",$I21-AsOf)</f>
        <v/>
      </c>
      <c r="AA21" s="65" t="str">
        <f aca="false">IF($A21="","",AsOf-$H21)</f>
        <v/>
      </c>
      <c r="AB21" s="65" t="str">
        <f aca="false">IF($A21="","",IF($X21="Closed","Closed",IF($X21="Unmapped","Unmapped",IF($I21="","No target",IF($Z21&lt;0,"Overdue",IF($Z21&lt;=INDEX(StageWindow,$Y21),"At risk","On track"))))))</f>
        <v/>
      </c>
      <c r="AC21" s="65" t="str">
        <f aca="false">IF($Y21="","",IF($AA21&gt;2*INDEX(StageStale,$Y21),"Stale",IF($AA21&gt;INDEX(StageStale,$Y21),"Aging","Fresh")))</f>
        <v/>
      </c>
      <c r="AD21" s="65" t="str">
        <f aca="false">IF($A21="","",IF(OR(ISNUMBER(SEARCH("Reg report",$J21)),ISNUMBER(SEARCH("No human review",$J21)),COUNTIF(TierFuncs,$D21)&gt;0),"High",IF(OR(TRIM($J21)&lt;&gt;"",ISNUMBER(SEARCH("revenue",$K21))),"Medium","Low")))</f>
        <v/>
      </c>
      <c r="AE21" s="65" t="str">
        <f aca="false">IF($A21="","",INDEX(TierDays,MATCH($AD21,TierName,0)))</f>
        <v/>
      </c>
      <c r="AF21" s="65" t="str">
        <f aca="false">IF($A21="","",AsOf-$G21)</f>
        <v/>
      </c>
      <c r="AG21" s="65" t="str">
        <f aca="false">IF($Y21="","",IF($Y21&lt;=5,IF($AF21&gt;$AE21,"Over","Inside"),"Past approval"))</f>
        <v/>
      </c>
      <c r="AH21" s="65" t="str">
        <f aca="false">IF($Y21="","",CHOOSE($Y21,IF(OR(TRIM($F21)="",ISNUMBER(SEARCH("not named",$F21))),"Critical","Good"),IF($O21&lt;&gt;"Y","Critical",IF($Q21&lt;&gt;"Y","Warning","Good")),IF($P21="","Critical",IF($P21="partial","Warning",IF($P21="ready","Good","Critical"))),IF($R21&lt;&gt;"","Critical","Warning"),IF($L21="","Critical",IF($N21="","Warning","Good")),IF($R21&lt;&gt;"","Critical","Warning"),IF($R21&lt;&gt;"","Critical","Warning"),IF($Q21="Y","Good","Critical")))</f>
        <v/>
      </c>
      <c r="AI21" s="65" t="str">
        <f aca="false">IF($Y21="","",CHOOSE($Y21,IF(OR(TRIM($F21)="",ISNUMBER(SEARCH("not named",$F21))),"Name a sponsor accountable for the value",""),IF($O21&lt;&gt;"Y","State the success metric and the stop condition",IF($Q21&lt;&gt;"Y","Set the baseline the benefit will be measured against","")),IF($P21="","Assess data readiness and regulatory impact",IF($P21="partial","Close the known data gaps",IF($P21="ready","","Data is not available; reshape or park"))),IF($R21&lt;&gt;"",IF(OR(ISNUMBER(SEARCH("mrm",$R21)),ISNUMBER(SEARCH("model",$R21)),ISNUMBER(SEARCH("risk",$R21)),ISNUMBER(SEARCH("legal",$R21)),ISNUMBER(SEARCH("complian",$R21))),"Awaiting ","Held at the design gate: ")&amp;$R21,"Map the governance framework for its tier"),IF($L21="","Size the annual benefit",IF($N21="","Score it so it can be ranked against capacity","")),IF($R21&lt;&gt;"","Build held: "&amp;$R21,"In build, not yet through test"),IF($R21&lt;&gt;"","Not ready to scale: "&amp;$R21,"Monitoring and third-party review not yet signed off"),IF($Q21="Y","","Live without a measured baseline to judge it against")))</f>
        <v/>
      </c>
      <c r="AJ21" s="65" t="str">
        <f aca="false">IF($Y21="","",INDEX(StageForum,$Y21))</f>
        <v/>
      </c>
      <c r="AK21" s="65" t="str">
        <f aca="false">IF($Y21="","",IF(OR($X21="Delivery",$X21="Value"),"Committed",IF($N21&lt;&gt;"","Candidate","")))</f>
        <v/>
      </c>
      <c r="AL21" s="65" t="str">
        <f aca="false">IF($AK21&lt;&gt;"Candidate","",COUNTIFS($AK$2:$AK$501,"Candidate",$N$2:$N$501,"&gt;"&amp;$N21)+COUNTIFS($AK$2:$AK$501,"Candidate",$N$2:$N$501,$N21,$A$2:$A$501,"&lt;"&amp;$A21)+1)</f>
        <v/>
      </c>
      <c r="AM21" s="65" t="str">
        <f aca="false">IF($AL21="","",SUMIFS($M$2:$M$501,$AK$2:$AK$501,"Candidate",$AL$2:$AL$501,"&lt;="&amp;$AL21))</f>
        <v/>
      </c>
      <c r="AN21" s="65" t="str">
        <f aca="false">IF($AL21="","",IF($AM21&lt;=CapacityOpen,"Fits","Below line"))</f>
        <v/>
      </c>
      <c r="AO21" s="65" t="str">
        <f aca="false">IF($A21="","",IF($X21="Closed","",IF($X21="Unmapped","Warning",IF(OR($AB21="Overdue",$V21="Y",$AH21="Critical"),"Critical",IF(OR($AB21="At risk",$AC21="Stale",$AG21="Over"),"Warning","")))))</f>
        <v/>
      </c>
      <c r="AP21" s="65" t="str">
        <f aca="false">IF($AO21="","",IF($AO21="Critical",3000,2000)-IF($Z21="",0,$Z21)+ROW()/100000)</f>
        <v/>
      </c>
      <c r="AQ21" s="65" t="str">
        <f aca="false">IF($AO21="","",IF($X21="Unmapped","Status '"&amp;$C21&amp;"' is not in the Config map",IF($V21="Y","Flagged in Jira",IF($AB21="Overdue",-$Z21&amp;" days past its "&amp;$X21&amp;" target",IF($AH21="Critical",$AI21,IF($AB21="At risk","Target in "&amp;$Z21&amp;" days",IF($AC21="Stale","No update in "&amp;$AA21&amp;" days","Past its "&amp;$AE21&amp;"-day tier window")))))))</f>
        <v/>
      </c>
      <c r="AR21" s="65" t="str">
        <f aca="false">IF($AO21="","","draft Jira update for "&amp;$A21)</f>
        <v/>
      </c>
      <c r="AS21" s="65" t="str">
        <f aca="false">IF($A21="","",HYPERLINK(JiraSite&amp;"/browse/"&amp;$A21,"open"))</f>
        <v/>
      </c>
      <c r="AT21" s="65" t="str">
        <f aca="false">IF($Y21="","",$Y21*1000+ROW())</f>
        <v/>
      </c>
      <c r="AU21" s="65" t="str">
        <f aca="false">IF(AND($A21&lt;&gt;"",$G21&gt;=WeekStart),$G21+ROW()/100000,"")</f>
        <v/>
      </c>
      <c r="AV21" s="65" t="str">
        <f aca="false">IF($A21="","",IF(OR(AND($S21&lt;&gt;"",$S21&gt;=WeekStart),AND($U21&lt;&gt;"",$U21&gt;=WeekStart)),MAX($S21,$U21)+ROW()/100000,""))</f>
        <v/>
      </c>
      <c r="AW21" s="65" t="str">
        <f aca="false">IF($AV21="","",IF($T21&lt;&gt;"",$T21,IF($X21="Closed","Closed","Accepted to "&amp;$X21)))</f>
        <v/>
      </c>
      <c r="AX21" s="65" t="str">
        <f aca="false">IF(AND($Y21&lt;&gt;"",$R21&lt;&gt;""),$AF21+ROW()/100000,"")</f>
        <v/>
      </c>
      <c r="AY21" s="65" t="str">
        <f aca="false">IF(AND($Y21&lt;&gt;"",OR($AB21="Overdue",AND($AH21="Critical",$R21&lt;&gt;""))),$AF21+ROW()/100000,"")</f>
        <v/>
      </c>
      <c r="AZ21" s="65" t="str">
        <f aca="false">IF($AH21="Critical",$AF21+ROW()/100000,"")</f>
        <v/>
      </c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/>
      <c r="G22" s="63"/>
      <c r="H22" s="63"/>
      <c r="I22" s="63"/>
      <c r="J22" s="28"/>
      <c r="K22" s="28"/>
      <c r="L22" s="28"/>
      <c r="M22" s="28"/>
      <c r="N22" s="28"/>
      <c r="O22" s="64"/>
      <c r="P22" s="64"/>
      <c r="Q22" s="64"/>
      <c r="R22" s="28"/>
      <c r="S22" s="63"/>
      <c r="T22" s="64"/>
      <c r="U22" s="63"/>
      <c r="V22" s="64"/>
      <c r="W22" s="28"/>
      <c r="X22" s="65" t="str">
        <f aca="false">IF($A22="","",IF(OR($T22&lt;&gt;"",$U22&lt;&gt;""),"Closed",IFERROR(INDEX(MapStage,MATCH($C22,MapStatus,0)),"Unmapped")))</f>
        <v/>
      </c>
      <c r="Y22" s="65" t="str">
        <f aca="false">IF(OR($X22="",$X22="Closed",$X22="Unmapped"),"",MATCH($X22,StageName,0))</f>
        <v/>
      </c>
      <c r="Z22" s="65" t="str">
        <f aca="false">IF(OR($Y22="",$I22=""),"",$I22-AsOf)</f>
        <v/>
      </c>
      <c r="AA22" s="65" t="str">
        <f aca="false">IF($A22="","",AsOf-$H22)</f>
        <v/>
      </c>
      <c r="AB22" s="65" t="str">
        <f aca="false">IF($A22="","",IF($X22="Closed","Closed",IF($X22="Unmapped","Unmapped",IF($I22="","No target",IF($Z22&lt;0,"Overdue",IF($Z22&lt;=INDEX(StageWindow,$Y22),"At risk","On track"))))))</f>
        <v/>
      </c>
      <c r="AC22" s="65" t="str">
        <f aca="false">IF($Y22="","",IF($AA22&gt;2*INDEX(StageStale,$Y22),"Stale",IF($AA22&gt;INDEX(StageStale,$Y22),"Aging","Fresh")))</f>
        <v/>
      </c>
      <c r="AD22" s="65" t="str">
        <f aca="false">IF($A22="","",IF(OR(ISNUMBER(SEARCH("Reg report",$J22)),ISNUMBER(SEARCH("No human review",$J22)),COUNTIF(TierFuncs,$D22)&gt;0),"High",IF(OR(TRIM($J22)&lt;&gt;"",ISNUMBER(SEARCH("revenue",$K22))),"Medium","Low")))</f>
        <v/>
      </c>
      <c r="AE22" s="65" t="str">
        <f aca="false">IF($A22="","",INDEX(TierDays,MATCH($AD22,TierName,0)))</f>
        <v/>
      </c>
      <c r="AF22" s="65" t="str">
        <f aca="false">IF($A22="","",AsOf-$G22)</f>
        <v/>
      </c>
      <c r="AG22" s="65" t="str">
        <f aca="false">IF($Y22="","",IF($Y22&lt;=5,IF($AF22&gt;$AE22,"Over","Inside"),"Past approval"))</f>
        <v/>
      </c>
      <c r="AH22" s="65" t="str">
        <f aca="false">IF($Y22="","",CHOOSE($Y22,IF(OR(TRIM($F22)="",ISNUMBER(SEARCH("not named",$F22))),"Critical","Good"),IF($O22&lt;&gt;"Y","Critical",IF($Q22&lt;&gt;"Y","Warning","Good")),IF($P22="","Critical",IF($P22="partial","Warning",IF($P22="ready","Good","Critical"))),IF($R22&lt;&gt;"","Critical","Warning"),IF($L22="","Critical",IF($N22="","Warning","Good")),IF($R22&lt;&gt;"","Critical","Warning"),IF($R22&lt;&gt;"","Critical","Warning"),IF($Q22="Y","Good","Critical")))</f>
        <v/>
      </c>
      <c r="AI22" s="65" t="str">
        <f aca="false">IF($Y22="","",CHOOSE($Y22,IF(OR(TRIM($F22)="",ISNUMBER(SEARCH("not named",$F22))),"Name a sponsor accountable for the value",""),IF($O22&lt;&gt;"Y","State the success metric and the stop condition",IF($Q22&lt;&gt;"Y","Set the baseline the benefit will be measured against","")),IF($P22="","Assess data readiness and regulatory impact",IF($P22="partial","Close the known data gaps",IF($P22="ready","","Data is not available; reshape or park"))),IF($R22&lt;&gt;"",IF(OR(ISNUMBER(SEARCH("mrm",$R22)),ISNUMBER(SEARCH("model",$R22)),ISNUMBER(SEARCH("risk",$R22)),ISNUMBER(SEARCH("legal",$R22)),ISNUMBER(SEARCH("complian",$R22))),"Awaiting ","Held at the design gate: ")&amp;$R22,"Map the governance framework for its tier"),IF($L22="","Size the annual benefit",IF($N22="","Score it so it can be ranked against capacity","")),IF($R22&lt;&gt;"","Build held: "&amp;$R22,"In build, not yet through test"),IF($R22&lt;&gt;"","Not ready to scale: "&amp;$R22,"Monitoring and third-party review not yet signed off"),IF($Q22="Y","","Live without a measured baseline to judge it against")))</f>
        <v/>
      </c>
      <c r="AJ22" s="65" t="str">
        <f aca="false">IF($Y22="","",INDEX(StageForum,$Y22))</f>
        <v/>
      </c>
      <c r="AK22" s="65" t="str">
        <f aca="false">IF($Y22="","",IF(OR($X22="Delivery",$X22="Value"),"Committed",IF($N22&lt;&gt;"","Candidate","")))</f>
        <v/>
      </c>
      <c r="AL22" s="65" t="str">
        <f aca="false">IF($AK22&lt;&gt;"Candidate","",COUNTIFS($AK$2:$AK$501,"Candidate",$N$2:$N$501,"&gt;"&amp;$N22)+COUNTIFS($AK$2:$AK$501,"Candidate",$N$2:$N$501,$N22,$A$2:$A$501,"&lt;"&amp;$A22)+1)</f>
        <v/>
      </c>
      <c r="AM22" s="65" t="str">
        <f aca="false">IF($AL22="","",SUMIFS($M$2:$M$501,$AK$2:$AK$501,"Candidate",$AL$2:$AL$501,"&lt;="&amp;$AL22))</f>
        <v/>
      </c>
      <c r="AN22" s="65" t="str">
        <f aca="false">IF($AL22="","",IF($AM22&lt;=CapacityOpen,"Fits","Below line"))</f>
        <v/>
      </c>
      <c r="AO22" s="65" t="str">
        <f aca="false">IF($A22="","",IF($X22="Closed","",IF($X22="Unmapped","Warning",IF(OR($AB22="Overdue",$V22="Y",$AH22="Critical"),"Critical",IF(OR($AB22="At risk",$AC22="Stale",$AG22="Over"),"Warning","")))))</f>
        <v/>
      </c>
      <c r="AP22" s="65" t="str">
        <f aca="false">IF($AO22="","",IF($AO22="Critical",3000,2000)-IF($Z22="",0,$Z22)+ROW()/100000)</f>
        <v/>
      </c>
      <c r="AQ22" s="65" t="str">
        <f aca="false">IF($AO22="","",IF($X22="Unmapped","Status '"&amp;$C22&amp;"' is not in the Config map",IF($V22="Y","Flagged in Jira",IF($AB22="Overdue",-$Z22&amp;" days past its "&amp;$X22&amp;" target",IF($AH22="Critical",$AI22,IF($AB22="At risk","Target in "&amp;$Z22&amp;" days",IF($AC22="Stale","No update in "&amp;$AA22&amp;" days","Past its "&amp;$AE22&amp;"-day tier window")))))))</f>
        <v/>
      </c>
      <c r="AR22" s="65" t="str">
        <f aca="false">IF($AO22="","","draft Jira update for "&amp;$A22)</f>
        <v/>
      </c>
      <c r="AS22" s="65" t="str">
        <f aca="false">IF($A22="","",HYPERLINK(JiraSite&amp;"/browse/"&amp;$A22,"open"))</f>
        <v/>
      </c>
      <c r="AT22" s="65" t="str">
        <f aca="false">IF($Y22="","",$Y22*1000+ROW())</f>
        <v/>
      </c>
      <c r="AU22" s="65" t="str">
        <f aca="false">IF(AND($A22&lt;&gt;"",$G22&gt;=WeekStart),$G22+ROW()/100000,"")</f>
        <v/>
      </c>
      <c r="AV22" s="65" t="str">
        <f aca="false">IF($A22="","",IF(OR(AND($S22&lt;&gt;"",$S22&gt;=WeekStart),AND($U22&lt;&gt;"",$U22&gt;=WeekStart)),MAX($S22,$U22)+ROW()/100000,""))</f>
        <v/>
      </c>
      <c r="AW22" s="65" t="str">
        <f aca="false">IF($AV22="","",IF($T22&lt;&gt;"",$T22,IF($X22="Closed","Closed","Accepted to "&amp;$X22)))</f>
        <v/>
      </c>
      <c r="AX22" s="65" t="str">
        <f aca="false">IF(AND($Y22&lt;&gt;"",$R22&lt;&gt;""),$AF22+ROW()/100000,"")</f>
        <v/>
      </c>
      <c r="AY22" s="65" t="str">
        <f aca="false">IF(AND($Y22&lt;&gt;"",OR($AB22="Overdue",AND($AH22="Critical",$R22&lt;&gt;""))),$AF22+ROW()/100000,"")</f>
        <v/>
      </c>
      <c r="AZ22" s="65" t="str">
        <f aca="false">IF($AH22="Critical",$AF22+ROW()/100000,"")</f>
        <v/>
      </c>
    </row>
    <row r="23" customFormat="false" ht="15" hidden="false" customHeight="false" outlineLevel="0" collapsed="false">
      <c r="A23" s="28"/>
      <c r="B23" s="28"/>
      <c r="C23" s="28"/>
      <c r="D23" s="28"/>
      <c r="E23" s="28"/>
      <c r="F23" s="28"/>
      <c r="G23" s="63"/>
      <c r="H23" s="63"/>
      <c r="I23" s="63"/>
      <c r="J23" s="28"/>
      <c r="K23" s="28"/>
      <c r="L23" s="28"/>
      <c r="M23" s="28"/>
      <c r="N23" s="28"/>
      <c r="O23" s="64"/>
      <c r="P23" s="64"/>
      <c r="Q23" s="64"/>
      <c r="R23" s="28"/>
      <c r="S23" s="63"/>
      <c r="T23" s="64"/>
      <c r="U23" s="63"/>
      <c r="V23" s="64"/>
      <c r="W23" s="28"/>
      <c r="X23" s="65" t="str">
        <f aca="false">IF($A23="","",IF(OR($T23&lt;&gt;"",$U23&lt;&gt;""),"Closed",IFERROR(INDEX(MapStage,MATCH($C23,MapStatus,0)),"Unmapped")))</f>
        <v/>
      </c>
      <c r="Y23" s="65" t="str">
        <f aca="false">IF(OR($X23="",$X23="Closed",$X23="Unmapped"),"",MATCH($X23,StageName,0))</f>
        <v/>
      </c>
      <c r="Z23" s="65" t="str">
        <f aca="false">IF(OR($Y23="",$I23=""),"",$I23-AsOf)</f>
        <v/>
      </c>
      <c r="AA23" s="65" t="str">
        <f aca="false">IF($A23="","",AsOf-$H23)</f>
        <v/>
      </c>
      <c r="AB23" s="65" t="str">
        <f aca="false">IF($A23="","",IF($X23="Closed","Closed",IF($X23="Unmapped","Unmapped",IF($I23="","No target",IF($Z23&lt;0,"Overdue",IF($Z23&lt;=INDEX(StageWindow,$Y23),"At risk","On track"))))))</f>
        <v/>
      </c>
      <c r="AC23" s="65" t="str">
        <f aca="false">IF($Y23="","",IF($AA23&gt;2*INDEX(StageStale,$Y23),"Stale",IF($AA23&gt;INDEX(StageStale,$Y23),"Aging","Fresh")))</f>
        <v/>
      </c>
      <c r="AD23" s="65" t="str">
        <f aca="false">IF($A23="","",IF(OR(ISNUMBER(SEARCH("Reg report",$J23)),ISNUMBER(SEARCH("No human review",$J23)),COUNTIF(TierFuncs,$D23)&gt;0),"High",IF(OR(TRIM($J23)&lt;&gt;"",ISNUMBER(SEARCH("revenue",$K23))),"Medium","Low")))</f>
        <v/>
      </c>
      <c r="AE23" s="65" t="str">
        <f aca="false">IF($A23="","",INDEX(TierDays,MATCH($AD23,TierName,0)))</f>
        <v/>
      </c>
      <c r="AF23" s="65" t="str">
        <f aca="false">IF($A23="","",AsOf-$G23)</f>
        <v/>
      </c>
      <c r="AG23" s="65" t="str">
        <f aca="false">IF($Y23="","",IF($Y23&lt;=5,IF($AF23&gt;$AE23,"Over","Inside"),"Past approval"))</f>
        <v/>
      </c>
      <c r="AH23" s="65" t="str">
        <f aca="false">IF($Y23="","",CHOOSE($Y23,IF(OR(TRIM($F23)="",ISNUMBER(SEARCH("not named",$F23))),"Critical","Good"),IF($O23&lt;&gt;"Y","Critical",IF($Q23&lt;&gt;"Y","Warning","Good")),IF($P23="","Critical",IF($P23="partial","Warning",IF($P23="ready","Good","Critical"))),IF($R23&lt;&gt;"","Critical","Warning"),IF($L23="","Critical",IF($N23="","Warning","Good")),IF($R23&lt;&gt;"","Critical","Warning"),IF($R23&lt;&gt;"","Critical","Warning"),IF($Q23="Y","Good","Critical")))</f>
        <v/>
      </c>
      <c r="AI23" s="65" t="str">
        <f aca="false">IF($Y23="","",CHOOSE($Y23,IF(OR(TRIM($F23)="",ISNUMBER(SEARCH("not named",$F23))),"Name a sponsor accountable for the value",""),IF($O23&lt;&gt;"Y","State the success metric and the stop condition",IF($Q23&lt;&gt;"Y","Set the baseline the benefit will be measured against","")),IF($P23="","Assess data readiness and regulatory impact",IF($P23="partial","Close the known data gaps",IF($P23="ready","","Data is not available; reshape or park"))),IF($R23&lt;&gt;"",IF(OR(ISNUMBER(SEARCH("mrm",$R23)),ISNUMBER(SEARCH("model",$R23)),ISNUMBER(SEARCH("risk",$R23)),ISNUMBER(SEARCH("legal",$R23)),ISNUMBER(SEARCH("complian",$R23))),"Awaiting ","Held at the design gate: ")&amp;$R23,"Map the governance framework for its tier"),IF($L23="","Size the annual benefit",IF($N23="","Score it so it can be ranked against capacity","")),IF($R23&lt;&gt;"","Build held: "&amp;$R23,"In build, not yet through test"),IF($R23&lt;&gt;"","Not ready to scale: "&amp;$R23,"Monitoring and third-party review not yet signed off"),IF($Q23="Y","","Live without a measured baseline to judge it against")))</f>
        <v/>
      </c>
      <c r="AJ23" s="65" t="str">
        <f aca="false">IF($Y23="","",INDEX(StageForum,$Y23))</f>
        <v/>
      </c>
      <c r="AK23" s="65" t="str">
        <f aca="false">IF($Y23="","",IF(OR($X23="Delivery",$X23="Value"),"Committed",IF($N23&lt;&gt;"","Candidate","")))</f>
        <v/>
      </c>
      <c r="AL23" s="65" t="str">
        <f aca="false">IF($AK23&lt;&gt;"Candidate","",COUNTIFS($AK$2:$AK$501,"Candidate",$N$2:$N$501,"&gt;"&amp;$N23)+COUNTIFS($AK$2:$AK$501,"Candidate",$N$2:$N$501,$N23,$A$2:$A$501,"&lt;"&amp;$A23)+1)</f>
        <v/>
      </c>
      <c r="AM23" s="65" t="str">
        <f aca="false">IF($AL23="","",SUMIFS($M$2:$M$501,$AK$2:$AK$501,"Candidate",$AL$2:$AL$501,"&lt;="&amp;$AL23))</f>
        <v/>
      </c>
      <c r="AN23" s="65" t="str">
        <f aca="false">IF($AL23="","",IF($AM23&lt;=CapacityOpen,"Fits","Below line"))</f>
        <v/>
      </c>
      <c r="AO23" s="65" t="str">
        <f aca="false">IF($A23="","",IF($X23="Closed","",IF($X23="Unmapped","Warning",IF(OR($AB23="Overdue",$V23="Y",$AH23="Critical"),"Critical",IF(OR($AB23="At risk",$AC23="Stale",$AG23="Over"),"Warning","")))))</f>
        <v/>
      </c>
      <c r="AP23" s="65" t="str">
        <f aca="false">IF($AO23="","",IF($AO23="Critical",3000,2000)-IF($Z23="",0,$Z23)+ROW()/100000)</f>
        <v/>
      </c>
      <c r="AQ23" s="65" t="str">
        <f aca="false">IF($AO23="","",IF($X23="Unmapped","Status '"&amp;$C23&amp;"' is not in the Config map",IF($V23="Y","Flagged in Jira",IF($AB23="Overdue",-$Z23&amp;" days past its "&amp;$X23&amp;" target",IF($AH23="Critical",$AI23,IF($AB23="At risk","Target in "&amp;$Z23&amp;" days",IF($AC23="Stale","No update in "&amp;$AA23&amp;" days","Past its "&amp;$AE23&amp;"-day tier window")))))))</f>
        <v/>
      </c>
      <c r="AR23" s="65" t="str">
        <f aca="false">IF($AO23="","","draft Jira update for "&amp;$A23)</f>
        <v/>
      </c>
      <c r="AS23" s="65" t="str">
        <f aca="false">IF($A23="","",HYPERLINK(JiraSite&amp;"/browse/"&amp;$A23,"open"))</f>
        <v/>
      </c>
      <c r="AT23" s="65" t="str">
        <f aca="false">IF($Y23="","",$Y23*1000+ROW())</f>
        <v/>
      </c>
      <c r="AU23" s="65" t="str">
        <f aca="false">IF(AND($A23&lt;&gt;"",$G23&gt;=WeekStart),$G23+ROW()/100000,"")</f>
        <v/>
      </c>
      <c r="AV23" s="65" t="str">
        <f aca="false">IF($A23="","",IF(OR(AND($S23&lt;&gt;"",$S23&gt;=WeekStart),AND($U23&lt;&gt;"",$U23&gt;=WeekStart)),MAX($S23,$U23)+ROW()/100000,""))</f>
        <v/>
      </c>
      <c r="AW23" s="65" t="str">
        <f aca="false">IF($AV23="","",IF($T23&lt;&gt;"",$T23,IF($X23="Closed","Closed","Accepted to "&amp;$X23)))</f>
        <v/>
      </c>
      <c r="AX23" s="65" t="str">
        <f aca="false">IF(AND($Y23&lt;&gt;"",$R23&lt;&gt;""),$AF23+ROW()/100000,"")</f>
        <v/>
      </c>
      <c r="AY23" s="65" t="str">
        <f aca="false">IF(AND($Y23&lt;&gt;"",OR($AB23="Overdue",AND($AH23="Critical",$R23&lt;&gt;""))),$AF23+ROW()/100000,"")</f>
        <v/>
      </c>
      <c r="AZ23" s="65" t="str">
        <f aca="false">IF($AH23="Critical",$AF23+ROW()/100000,"")</f>
        <v/>
      </c>
    </row>
    <row r="24" customFormat="false" ht="15" hidden="false" customHeight="false" outlineLevel="0" collapsed="false">
      <c r="A24" s="28"/>
      <c r="B24" s="28"/>
      <c r="C24" s="28"/>
      <c r="D24" s="28"/>
      <c r="E24" s="28"/>
      <c r="F24" s="28"/>
      <c r="G24" s="63"/>
      <c r="H24" s="63"/>
      <c r="I24" s="63"/>
      <c r="J24" s="28"/>
      <c r="K24" s="28"/>
      <c r="L24" s="28"/>
      <c r="M24" s="28"/>
      <c r="N24" s="28"/>
      <c r="O24" s="64"/>
      <c r="P24" s="64"/>
      <c r="Q24" s="64"/>
      <c r="R24" s="28"/>
      <c r="S24" s="63"/>
      <c r="T24" s="64"/>
      <c r="U24" s="63"/>
      <c r="V24" s="64"/>
      <c r="W24" s="28"/>
      <c r="X24" s="65" t="str">
        <f aca="false">IF($A24="","",IF(OR($T24&lt;&gt;"",$U24&lt;&gt;""),"Closed",IFERROR(INDEX(MapStage,MATCH($C24,MapStatus,0)),"Unmapped")))</f>
        <v/>
      </c>
      <c r="Y24" s="65" t="str">
        <f aca="false">IF(OR($X24="",$X24="Closed",$X24="Unmapped"),"",MATCH($X24,StageName,0))</f>
        <v/>
      </c>
      <c r="Z24" s="65" t="str">
        <f aca="false">IF(OR($Y24="",$I24=""),"",$I24-AsOf)</f>
        <v/>
      </c>
      <c r="AA24" s="65" t="str">
        <f aca="false">IF($A24="","",AsOf-$H24)</f>
        <v/>
      </c>
      <c r="AB24" s="65" t="str">
        <f aca="false">IF($A24="","",IF($X24="Closed","Closed",IF($X24="Unmapped","Unmapped",IF($I24="","No target",IF($Z24&lt;0,"Overdue",IF($Z24&lt;=INDEX(StageWindow,$Y24),"At risk","On track"))))))</f>
        <v/>
      </c>
      <c r="AC24" s="65" t="str">
        <f aca="false">IF($Y24="","",IF($AA24&gt;2*INDEX(StageStale,$Y24),"Stale",IF($AA24&gt;INDEX(StageStale,$Y24),"Aging","Fresh")))</f>
        <v/>
      </c>
      <c r="AD24" s="65" t="str">
        <f aca="false">IF($A24="","",IF(OR(ISNUMBER(SEARCH("Reg report",$J24)),ISNUMBER(SEARCH("No human review",$J24)),COUNTIF(TierFuncs,$D24)&gt;0),"High",IF(OR(TRIM($J24)&lt;&gt;"",ISNUMBER(SEARCH("revenue",$K24))),"Medium","Low")))</f>
        <v/>
      </c>
      <c r="AE24" s="65" t="str">
        <f aca="false">IF($A24="","",INDEX(TierDays,MATCH($AD24,TierName,0)))</f>
        <v/>
      </c>
      <c r="AF24" s="65" t="str">
        <f aca="false">IF($A24="","",AsOf-$G24)</f>
        <v/>
      </c>
      <c r="AG24" s="65" t="str">
        <f aca="false">IF($Y24="","",IF($Y24&lt;=5,IF($AF24&gt;$AE24,"Over","Inside"),"Past approval"))</f>
        <v/>
      </c>
      <c r="AH24" s="65" t="str">
        <f aca="false">IF($Y24="","",CHOOSE($Y24,IF(OR(TRIM($F24)="",ISNUMBER(SEARCH("not named",$F24))),"Critical","Good"),IF($O24&lt;&gt;"Y","Critical",IF($Q24&lt;&gt;"Y","Warning","Good")),IF($P24="","Critical",IF($P24="partial","Warning",IF($P24="ready","Good","Critical"))),IF($R24&lt;&gt;"","Critical","Warning"),IF($L24="","Critical",IF($N24="","Warning","Good")),IF($R24&lt;&gt;"","Critical","Warning"),IF($R24&lt;&gt;"","Critical","Warning"),IF($Q24="Y","Good","Critical")))</f>
        <v/>
      </c>
      <c r="AI24" s="65" t="str">
        <f aca="false">IF($Y24="","",CHOOSE($Y24,IF(OR(TRIM($F24)="",ISNUMBER(SEARCH("not named",$F24))),"Name a sponsor accountable for the value",""),IF($O24&lt;&gt;"Y","State the success metric and the stop condition",IF($Q24&lt;&gt;"Y","Set the baseline the benefit will be measured against","")),IF($P24="","Assess data readiness and regulatory impact",IF($P24="partial","Close the known data gaps",IF($P24="ready","","Data is not available; reshape or park"))),IF($R24&lt;&gt;"",IF(OR(ISNUMBER(SEARCH("mrm",$R24)),ISNUMBER(SEARCH("model",$R24)),ISNUMBER(SEARCH("risk",$R24)),ISNUMBER(SEARCH("legal",$R24)),ISNUMBER(SEARCH("complian",$R24))),"Awaiting ","Held at the design gate: ")&amp;$R24,"Map the governance framework for its tier"),IF($L24="","Size the annual benefit",IF($N24="","Score it so it can be ranked against capacity","")),IF($R24&lt;&gt;"","Build held: "&amp;$R24,"In build, not yet through test"),IF($R24&lt;&gt;"","Not ready to scale: "&amp;$R24,"Monitoring and third-party review not yet signed off"),IF($Q24="Y","","Live without a measured baseline to judge it against")))</f>
        <v/>
      </c>
      <c r="AJ24" s="65" t="str">
        <f aca="false">IF($Y24="","",INDEX(StageForum,$Y24))</f>
        <v/>
      </c>
      <c r="AK24" s="65" t="str">
        <f aca="false">IF($Y24="","",IF(OR($X24="Delivery",$X24="Value"),"Committed",IF($N24&lt;&gt;"","Candidate","")))</f>
        <v/>
      </c>
      <c r="AL24" s="65" t="str">
        <f aca="false">IF($AK24&lt;&gt;"Candidate","",COUNTIFS($AK$2:$AK$501,"Candidate",$N$2:$N$501,"&gt;"&amp;$N24)+COUNTIFS($AK$2:$AK$501,"Candidate",$N$2:$N$501,$N24,$A$2:$A$501,"&lt;"&amp;$A24)+1)</f>
        <v/>
      </c>
      <c r="AM24" s="65" t="str">
        <f aca="false">IF($AL24="","",SUMIFS($M$2:$M$501,$AK$2:$AK$501,"Candidate",$AL$2:$AL$501,"&lt;="&amp;$AL24))</f>
        <v/>
      </c>
      <c r="AN24" s="65" t="str">
        <f aca="false">IF($AL24="","",IF($AM24&lt;=CapacityOpen,"Fits","Below line"))</f>
        <v/>
      </c>
      <c r="AO24" s="65" t="str">
        <f aca="false">IF($A24="","",IF($X24="Closed","",IF($X24="Unmapped","Warning",IF(OR($AB24="Overdue",$V24="Y",$AH24="Critical"),"Critical",IF(OR($AB24="At risk",$AC24="Stale",$AG24="Over"),"Warning","")))))</f>
        <v/>
      </c>
      <c r="AP24" s="65" t="str">
        <f aca="false">IF($AO24="","",IF($AO24="Critical",3000,2000)-IF($Z24="",0,$Z24)+ROW()/100000)</f>
        <v/>
      </c>
      <c r="AQ24" s="65" t="str">
        <f aca="false">IF($AO24="","",IF($X24="Unmapped","Status '"&amp;$C24&amp;"' is not in the Config map",IF($V24="Y","Flagged in Jira",IF($AB24="Overdue",-$Z24&amp;" days past its "&amp;$X24&amp;" target",IF($AH24="Critical",$AI24,IF($AB24="At risk","Target in "&amp;$Z24&amp;" days",IF($AC24="Stale","No update in "&amp;$AA24&amp;" days","Past its "&amp;$AE24&amp;"-day tier window")))))))</f>
        <v/>
      </c>
      <c r="AR24" s="65" t="str">
        <f aca="false">IF($AO24="","","draft Jira update for "&amp;$A24)</f>
        <v/>
      </c>
      <c r="AS24" s="65" t="str">
        <f aca="false">IF($A24="","",HYPERLINK(JiraSite&amp;"/browse/"&amp;$A24,"open"))</f>
        <v/>
      </c>
      <c r="AT24" s="65" t="str">
        <f aca="false">IF($Y24="","",$Y24*1000+ROW())</f>
        <v/>
      </c>
      <c r="AU24" s="65" t="str">
        <f aca="false">IF(AND($A24&lt;&gt;"",$G24&gt;=WeekStart),$G24+ROW()/100000,"")</f>
        <v/>
      </c>
      <c r="AV24" s="65" t="str">
        <f aca="false">IF($A24="","",IF(OR(AND($S24&lt;&gt;"",$S24&gt;=WeekStart),AND($U24&lt;&gt;"",$U24&gt;=WeekStart)),MAX($S24,$U24)+ROW()/100000,""))</f>
        <v/>
      </c>
      <c r="AW24" s="65" t="str">
        <f aca="false">IF($AV24="","",IF($T24&lt;&gt;"",$T24,IF($X24="Closed","Closed","Accepted to "&amp;$X24)))</f>
        <v/>
      </c>
      <c r="AX24" s="65" t="str">
        <f aca="false">IF(AND($Y24&lt;&gt;"",$R24&lt;&gt;""),$AF24+ROW()/100000,"")</f>
        <v/>
      </c>
      <c r="AY24" s="65" t="str">
        <f aca="false">IF(AND($Y24&lt;&gt;"",OR($AB24="Overdue",AND($AH24="Critical",$R24&lt;&gt;""))),$AF24+ROW()/100000,"")</f>
        <v/>
      </c>
      <c r="AZ24" s="65" t="str">
        <f aca="false">IF($AH24="Critical",$AF24+ROW()/100000,"")</f>
        <v/>
      </c>
    </row>
    <row r="25" customFormat="false" ht="15" hidden="false" customHeight="false" outlineLevel="0" collapsed="false">
      <c r="A25" s="28"/>
      <c r="B25" s="28"/>
      <c r="C25" s="28"/>
      <c r="D25" s="28"/>
      <c r="E25" s="28"/>
      <c r="F25" s="28"/>
      <c r="G25" s="63"/>
      <c r="H25" s="63"/>
      <c r="I25" s="63"/>
      <c r="J25" s="28"/>
      <c r="K25" s="28"/>
      <c r="L25" s="28"/>
      <c r="M25" s="28"/>
      <c r="N25" s="28"/>
      <c r="O25" s="64"/>
      <c r="P25" s="64"/>
      <c r="Q25" s="64"/>
      <c r="R25" s="28"/>
      <c r="S25" s="63"/>
      <c r="T25" s="64"/>
      <c r="U25" s="63"/>
      <c r="V25" s="64"/>
      <c r="W25" s="28"/>
      <c r="X25" s="65" t="str">
        <f aca="false">IF($A25="","",IF(OR($T25&lt;&gt;"",$U25&lt;&gt;""),"Closed",IFERROR(INDEX(MapStage,MATCH($C25,MapStatus,0)),"Unmapped")))</f>
        <v/>
      </c>
      <c r="Y25" s="65" t="str">
        <f aca="false">IF(OR($X25="",$X25="Closed",$X25="Unmapped"),"",MATCH($X25,StageName,0))</f>
        <v/>
      </c>
      <c r="Z25" s="65" t="str">
        <f aca="false">IF(OR($Y25="",$I25=""),"",$I25-AsOf)</f>
        <v/>
      </c>
      <c r="AA25" s="65" t="str">
        <f aca="false">IF($A25="","",AsOf-$H25)</f>
        <v/>
      </c>
      <c r="AB25" s="65" t="str">
        <f aca="false">IF($A25="","",IF($X25="Closed","Closed",IF($X25="Unmapped","Unmapped",IF($I25="","No target",IF($Z25&lt;0,"Overdue",IF($Z25&lt;=INDEX(StageWindow,$Y25),"At risk","On track"))))))</f>
        <v/>
      </c>
      <c r="AC25" s="65" t="str">
        <f aca="false">IF($Y25="","",IF($AA25&gt;2*INDEX(StageStale,$Y25),"Stale",IF($AA25&gt;INDEX(StageStale,$Y25),"Aging","Fresh")))</f>
        <v/>
      </c>
      <c r="AD25" s="65" t="str">
        <f aca="false">IF($A25="","",IF(OR(ISNUMBER(SEARCH("Reg report",$J25)),ISNUMBER(SEARCH("No human review",$J25)),COUNTIF(TierFuncs,$D25)&gt;0),"High",IF(OR(TRIM($J25)&lt;&gt;"",ISNUMBER(SEARCH("revenue",$K25))),"Medium","Low")))</f>
        <v/>
      </c>
      <c r="AE25" s="65" t="str">
        <f aca="false">IF($A25="","",INDEX(TierDays,MATCH($AD25,TierName,0)))</f>
        <v/>
      </c>
      <c r="AF25" s="65" t="str">
        <f aca="false">IF($A25="","",AsOf-$G25)</f>
        <v/>
      </c>
      <c r="AG25" s="65" t="str">
        <f aca="false">IF($Y25="","",IF($Y25&lt;=5,IF($AF25&gt;$AE25,"Over","Inside"),"Past approval"))</f>
        <v/>
      </c>
      <c r="AH25" s="65" t="str">
        <f aca="false">IF($Y25="","",CHOOSE($Y25,IF(OR(TRIM($F25)="",ISNUMBER(SEARCH("not named",$F25))),"Critical","Good"),IF($O25&lt;&gt;"Y","Critical",IF($Q25&lt;&gt;"Y","Warning","Good")),IF($P25="","Critical",IF($P25="partial","Warning",IF($P25="ready","Good","Critical"))),IF($R25&lt;&gt;"","Critical","Warning"),IF($L25="","Critical",IF($N25="","Warning","Good")),IF($R25&lt;&gt;"","Critical","Warning"),IF($R25&lt;&gt;"","Critical","Warning"),IF($Q25="Y","Good","Critical")))</f>
        <v/>
      </c>
      <c r="AI25" s="65" t="str">
        <f aca="false">IF($Y25="","",CHOOSE($Y25,IF(OR(TRIM($F25)="",ISNUMBER(SEARCH("not named",$F25))),"Name a sponsor accountable for the value",""),IF($O25&lt;&gt;"Y","State the success metric and the stop condition",IF($Q25&lt;&gt;"Y","Set the baseline the benefit will be measured against","")),IF($P25="","Assess data readiness and regulatory impact",IF($P25="partial","Close the known data gaps",IF($P25="ready","","Data is not available; reshape or park"))),IF($R25&lt;&gt;"",IF(OR(ISNUMBER(SEARCH("mrm",$R25)),ISNUMBER(SEARCH("model",$R25)),ISNUMBER(SEARCH("risk",$R25)),ISNUMBER(SEARCH("legal",$R25)),ISNUMBER(SEARCH("complian",$R25))),"Awaiting ","Held at the design gate: ")&amp;$R25,"Map the governance framework for its tier"),IF($L25="","Size the annual benefit",IF($N25="","Score it so it can be ranked against capacity","")),IF($R25&lt;&gt;"","Build held: "&amp;$R25,"In build, not yet through test"),IF($R25&lt;&gt;"","Not ready to scale: "&amp;$R25,"Monitoring and third-party review not yet signed off"),IF($Q25="Y","","Live without a measured baseline to judge it against")))</f>
        <v/>
      </c>
      <c r="AJ25" s="65" t="str">
        <f aca="false">IF($Y25="","",INDEX(StageForum,$Y25))</f>
        <v/>
      </c>
      <c r="AK25" s="65" t="str">
        <f aca="false">IF($Y25="","",IF(OR($X25="Delivery",$X25="Value"),"Committed",IF($N25&lt;&gt;"","Candidate","")))</f>
        <v/>
      </c>
      <c r="AL25" s="65" t="str">
        <f aca="false">IF($AK25&lt;&gt;"Candidate","",COUNTIFS($AK$2:$AK$501,"Candidate",$N$2:$N$501,"&gt;"&amp;$N25)+COUNTIFS($AK$2:$AK$501,"Candidate",$N$2:$N$501,$N25,$A$2:$A$501,"&lt;"&amp;$A25)+1)</f>
        <v/>
      </c>
      <c r="AM25" s="65" t="str">
        <f aca="false">IF($AL25="","",SUMIFS($M$2:$M$501,$AK$2:$AK$501,"Candidate",$AL$2:$AL$501,"&lt;="&amp;$AL25))</f>
        <v/>
      </c>
      <c r="AN25" s="65" t="str">
        <f aca="false">IF($AL25="","",IF($AM25&lt;=CapacityOpen,"Fits","Below line"))</f>
        <v/>
      </c>
      <c r="AO25" s="65" t="str">
        <f aca="false">IF($A25="","",IF($X25="Closed","",IF($X25="Unmapped","Warning",IF(OR($AB25="Overdue",$V25="Y",$AH25="Critical"),"Critical",IF(OR($AB25="At risk",$AC25="Stale",$AG25="Over"),"Warning","")))))</f>
        <v/>
      </c>
      <c r="AP25" s="65" t="str">
        <f aca="false">IF($AO25="","",IF($AO25="Critical",3000,2000)-IF($Z25="",0,$Z25)+ROW()/100000)</f>
        <v/>
      </c>
      <c r="AQ25" s="65" t="str">
        <f aca="false">IF($AO25="","",IF($X25="Unmapped","Status '"&amp;$C25&amp;"' is not in the Config map",IF($V25="Y","Flagged in Jira",IF($AB25="Overdue",-$Z25&amp;" days past its "&amp;$X25&amp;" target",IF($AH25="Critical",$AI25,IF($AB25="At risk","Target in "&amp;$Z25&amp;" days",IF($AC25="Stale","No update in "&amp;$AA25&amp;" days","Past its "&amp;$AE25&amp;"-day tier window")))))))</f>
        <v/>
      </c>
      <c r="AR25" s="65" t="str">
        <f aca="false">IF($AO25="","","draft Jira update for "&amp;$A25)</f>
        <v/>
      </c>
      <c r="AS25" s="65" t="str">
        <f aca="false">IF($A25="","",HYPERLINK(JiraSite&amp;"/browse/"&amp;$A25,"open"))</f>
        <v/>
      </c>
      <c r="AT25" s="65" t="str">
        <f aca="false">IF($Y25="","",$Y25*1000+ROW())</f>
        <v/>
      </c>
      <c r="AU25" s="65" t="str">
        <f aca="false">IF(AND($A25&lt;&gt;"",$G25&gt;=WeekStart),$G25+ROW()/100000,"")</f>
        <v/>
      </c>
      <c r="AV25" s="65" t="str">
        <f aca="false">IF($A25="","",IF(OR(AND($S25&lt;&gt;"",$S25&gt;=WeekStart),AND($U25&lt;&gt;"",$U25&gt;=WeekStart)),MAX($S25,$U25)+ROW()/100000,""))</f>
        <v/>
      </c>
      <c r="AW25" s="65" t="str">
        <f aca="false">IF($AV25="","",IF($T25&lt;&gt;"",$T25,IF($X25="Closed","Closed","Accepted to "&amp;$X25)))</f>
        <v/>
      </c>
      <c r="AX25" s="65" t="str">
        <f aca="false">IF(AND($Y25&lt;&gt;"",$R25&lt;&gt;""),$AF25+ROW()/100000,"")</f>
        <v/>
      </c>
      <c r="AY25" s="65" t="str">
        <f aca="false">IF(AND($Y25&lt;&gt;"",OR($AB25="Overdue",AND($AH25="Critical",$R25&lt;&gt;""))),$AF25+ROW()/100000,"")</f>
        <v/>
      </c>
      <c r="AZ25" s="65" t="str">
        <f aca="false">IF($AH25="Critical",$AF25+ROW()/100000,"")</f>
        <v/>
      </c>
    </row>
    <row r="26" customFormat="false" ht="15" hidden="false" customHeight="false" outlineLevel="0" collapsed="false">
      <c r="A26" s="28"/>
      <c r="B26" s="28"/>
      <c r="C26" s="28"/>
      <c r="D26" s="28"/>
      <c r="E26" s="28"/>
      <c r="F26" s="28"/>
      <c r="G26" s="63"/>
      <c r="H26" s="63"/>
      <c r="I26" s="63"/>
      <c r="J26" s="28"/>
      <c r="K26" s="28"/>
      <c r="L26" s="28"/>
      <c r="M26" s="28"/>
      <c r="N26" s="28"/>
      <c r="O26" s="64"/>
      <c r="P26" s="64"/>
      <c r="Q26" s="64"/>
      <c r="R26" s="28"/>
      <c r="S26" s="63"/>
      <c r="T26" s="64"/>
      <c r="U26" s="63"/>
      <c r="V26" s="64"/>
      <c r="W26" s="28"/>
      <c r="X26" s="65" t="str">
        <f aca="false">IF($A26="","",IF(OR($T26&lt;&gt;"",$U26&lt;&gt;""),"Closed",IFERROR(INDEX(MapStage,MATCH($C26,MapStatus,0)),"Unmapped")))</f>
        <v/>
      </c>
      <c r="Y26" s="65" t="str">
        <f aca="false">IF(OR($X26="",$X26="Closed",$X26="Unmapped"),"",MATCH($X26,StageName,0))</f>
        <v/>
      </c>
      <c r="Z26" s="65" t="str">
        <f aca="false">IF(OR($Y26="",$I26=""),"",$I26-AsOf)</f>
        <v/>
      </c>
      <c r="AA26" s="65" t="str">
        <f aca="false">IF($A26="","",AsOf-$H26)</f>
        <v/>
      </c>
      <c r="AB26" s="65" t="str">
        <f aca="false">IF($A26="","",IF($X26="Closed","Closed",IF($X26="Unmapped","Unmapped",IF($I26="","No target",IF($Z26&lt;0,"Overdue",IF($Z26&lt;=INDEX(StageWindow,$Y26),"At risk","On track"))))))</f>
        <v/>
      </c>
      <c r="AC26" s="65" t="str">
        <f aca="false">IF($Y26="","",IF($AA26&gt;2*INDEX(StageStale,$Y26),"Stale",IF($AA26&gt;INDEX(StageStale,$Y26),"Aging","Fresh")))</f>
        <v/>
      </c>
      <c r="AD26" s="65" t="str">
        <f aca="false">IF($A26="","",IF(OR(ISNUMBER(SEARCH("Reg report",$J26)),ISNUMBER(SEARCH("No human review",$J26)),COUNTIF(TierFuncs,$D26)&gt;0),"High",IF(OR(TRIM($J26)&lt;&gt;"",ISNUMBER(SEARCH("revenue",$K26))),"Medium","Low")))</f>
        <v/>
      </c>
      <c r="AE26" s="65" t="str">
        <f aca="false">IF($A26="","",INDEX(TierDays,MATCH($AD26,TierName,0)))</f>
        <v/>
      </c>
      <c r="AF26" s="65" t="str">
        <f aca="false">IF($A26="","",AsOf-$G26)</f>
        <v/>
      </c>
      <c r="AG26" s="65" t="str">
        <f aca="false">IF($Y26="","",IF($Y26&lt;=5,IF($AF26&gt;$AE26,"Over","Inside"),"Past approval"))</f>
        <v/>
      </c>
      <c r="AH26" s="65" t="str">
        <f aca="false">IF($Y26="","",CHOOSE($Y26,IF(OR(TRIM($F26)="",ISNUMBER(SEARCH("not named",$F26))),"Critical","Good"),IF($O26&lt;&gt;"Y","Critical",IF($Q26&lt;&gt;"Y","Warning","Good")),IF($P26="","Critical",IF($P26="partial","Warning",IF($P26="ready","Good","Critical"))),IF($R26&lt;&gt;"","Critical","Warning"),IF($L26="","Critical",IF($N26="","Warning","Good")),IF($R26&lt;&gt;"","Critical","Warning"),IF($R26&lt;&gt;"","Critical","Warning"),IF($Q26="Y","Good","Critical")))</f>
        <v/>
      </c>
      <c r="AI26" s="65" t="str">
        <f aca="false">IF($Y26="","",CHOOSE($Y26,IF(OR(TRIM($F26)="",ISNUMBER(SEARCH("not named",$F26))),"Name a sponsor accountable for the value",""),IF($O26&lt;&gt;"Y","State the success metric and the stop condition",IF($Q26&lt;&gt;"Y","Set the baseline the benefit will be measured against","")),IF($P26="","Assess data readiness and regulatory impact",IF($P26="partial","Close the known data gaps",IF($P26="ready","","Data is not available; reshape or park"))),IF($R26&lt;&gt;"",IF(OR(ISNUMBER(SEARCH("mrm",$R26)),ISNUMBER(SEARCH("model",$R26)),ISNUMBER(SEARCH("risk",$R26)),ISNUMBER(SEARCH("legal",$R26)),ISNUMBER(SEARCH("complian",$R26))),"Awaiting ","Held at the design gate: ")&amp;$R26,"Map the governance framework for its tier"),IF($L26="","Size the annual benefit",IF($N26="","Score it so it can be ranked against capacity","")),IF($R26&lt;&gt;"","Build held: "&amp;$R26,"In build, not yet through test"),IF($R26&lt;&gt;"","Not ready to scale: "&amp;$R26,"Monitoring and third-party review not yet signed off"),IF($Q26="Y","","Live without a measured baseline to judge it against")))</f>
        <v/>
      </c>
      <c r="AJ26" s="65" t="str">
        <f aca="false">IF($Y26="","",INDEX(StageForum,$Y26))</f>
        <v/>
      </c>
      <c r="AK26" s="65" t="str">
        <f aca="false">IF($Y26="","",IF(OR($X26="Delivery",$X26="Value"),"Committed",IF($N26&lt;&gt;"","Candidate","")))</f>
        <v/>
      </c>
      <c r="AL26" s="65" t="str">
        <f aca="false">IF($AK26&lt;&gt;"Candidate","",COUNTIFS($AK$2:$AK$501,"Candidate",$N$2:$N$501,"&gt;"&amp;$N26)+COUNTIFS($AK$2:$AK$501,"Candidate",$N$2:$N$501,$N26,$A$2:$A$501,"&lt;"&amp;$A26)+1)</f>
        <v/>
      </c>
      <c r="AM26" s="65" t="str">
        <f aca="false">IF($AL26="","",SUMIFS($M$2:$M$501,$AK$2:$AK$501,"Candidate",$AL$2:$AL$501,"&lt;="&amp;$AL26))</f>
        <v/>
      </c>
      <c r="AN26" s="65" t="str">
        <f aca="false">IF($AL26="","",IF($AM26&lt;=CapacityOpen,"Fits","Below line"))</f>
        <v/>
      </c>
      <c r="AO26" s="65" t="str">
        <f aca="false">IF($A26="","",IF($X26="Closed","",IF($X26="Unmapped","Warning",IF(OR($AB26="Overdue",$V26="Y",$AH26="Critical"),"Critical",IF(OR($AB26="At risk",$AC26="Stale",$AG26="Over"),"Warning","")))))</f>
        <v/>
      </c>
      <c r="AP26" s="65" t="str">
        <f aca="false">IF($AO26="","",IF($AO26="Critical",3000,2000)-IF($Z26="",0,$Z26)+ROW()/100000)</f>
        <v/>
      </c>
      <c r="AQ26" s="65" t="str">
        <f aca="false">IF($AO26="","",IF($X26="Unmapped","Status '"&amp;$C26&amp;"' is not in the Config map",IF($V26="Y","Flagged in Jira",IF($AB26="Overdue",-$Z26&amp;" days past its "&amp;$X26&amp;" target",IF($AH26="Critical",$AI26,IF($AB26="At risk","Target in "&amp;$Z26&amp;" days",IF($AC26="Stale","No update in "&amp;$AA26&amp;" days","Past its "&amp;$AE26&amp;"-day tier window")))))))</f>
        <v/>
      </c>
      <c r="AR26" s="65" t="str">
        <f aca="false">IF($AO26="","","draft Jira update for "&amp;$A26)</f>
        <v/>
      </c>
      <c r="AS26" s="65" t="str">
        <f aca="false">IF($A26="","",HYPERLINK(JiraSite&amp;"/browse/"&amp;$A26,"open"))</f>
        <v/>
      </c>
      <c r="AT26" s="65" t="str">
        <f aca="false">IF($Y26="","",$Y26*1000+ROW())</f>
        <v/>
      </c>
      <c r="AU26" s="65" t="str">
        <f aca="false">IF(AND($A26&lt;&gt;"",$G26&gt;=WeekStart),$G26+ROW()/100000,"")</f>
        <v/>
      </c>
      <c r="AV26" s="65" t="str">
        <f aca="false">IF($A26="","",IF(OR(AND($S26&lt;&gt;"",$S26&gt;=WeekStart),AND($U26&lt;&gt;"",$U26&gt;=WeekStart)),MAX($S26,$U26)+ROW()/100000,""))</f>
        <v/>
      </c>
      <c r="AW26" s="65" t="str">
        <f aca="false">IF($AV26="","",IF($T26&lt;&gt;"",$T26,IF($X26="Closed","Closed","Accepted to "&amp;$X26)))</f>
        <v/>
      </c>
      <c r="AX26" s="65" t="str">
        <f aca="false">IF(AND($Y26&lt;&gt;"",$R26&lt;&gt;""),$AF26+ROW()/100000,"")</f>
        <v/>
      </c>
      <c r="AY26" s="65" t="str">
        <f aca="false">IF(AND($Y26&lt;&gt;"",OR($AB26="Overdue",AND($AH26="Critical",$R26&lt;&gt;""))),$AF26+ROW()/100000,"")</f>
        <v/>
      </c>
      <c r="AZ26" s="65" t="str">
        <f aca="false">IF($AH26="Critical",$AF26+ROW()/100000,"")</f>
        <v/>
      </c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63"/>
      <c r="H27" s="63"/>
      <c r="I27" s="63"/>
      <c r="J27" s="28"/>
      <c r="K27" s="28"/>
      <c r="L27" s="28"/>
      <c r="M27" s="28"/>
      <c r="N27" s="28"/>
      <c r="O27" s="64"/>
      <c r="P27" s="64"/>
      <c r="Q27" s="64"/>
      <c r="R27" s="28"/>
      <c r="S27" s="63"/>
      <c r="T27" s="64"/>
      <c r="U27" s="63"/>
      <c r="V27" s="64"/>
      <c r="W27" s="28"/>
      <c r="X27" s="65" t="str">
        <f aca="false">IF($A27="","",IF(OR($T27&lt;&gt;"",$U27&lt;&gt;""),"Closed",IFERROR(INDEX(MapStage,MATCH($C27,MapStatus,0)),"Unmapped")))</f>
        <v/>
      </c>
      <c r="Y27" s="65" t="str">
        <f aca="false">IF(OR($X27="",$X27="Closed",$X27="Unmapped"),"",MATCH($X27,StageName,0))</f>
        <v/>
      </c>
      <c r="Z27" s="65" t="str">
        <f aca="false">IF(OR($Y27="",$I27=""),"",$I27-AsOf)</f>
        <v/>
      </c>
      <c r="AA27" s="65" t="str">
        <f aca="false">IF($A27="","",AsOf-$H27)</f>
        <v/>
      </c>
      <c r="AB27" s="65" t="str">
        <f aca="false">IF($A27="","",IF($X27="Closed","Closed",IF($X27="Unmapped","Unmapped",IF($I27="","No target",IF($Z27&lt;0,"Overdue",IF($Z27&lt;=INDEX(StageWindow,$Y27),"At risk","On track"))))))</f>
        <v/>
      </c>
      <c r="AC27" s="65" t="str">
        <f aca="false">IF($Y27="","",IF($AA27&gt;2*INDEX(StageStale,$Y27),"Stale",IF($AA27&gt;INDEX(StageStale,$Y27),"Aging","Fresh")))</f>
        <v/>
      </c>
      <c r="AD27" s="65" t="str">
        <f aca="false">IF($A27="","",IF(OR(ISNUMBER(SEARCH("Reg report",$J27)),ISNUMBER(SEARCH("No human review",$J27)),COUNTIF(TierFuncs,$D27)&gt;0),"High",IF(OR(TRIM($J27)&lt;&gt;"",ISNUMBER(SEARCH("revenue",$K27))),"Medium","Low")))</f>
        <v/>
      </c>
      <c r="AE27" s="65" t="str">
        <f aca="false">IF($A27="","",INDEX(TierDays,MATCH($AD27,TierName,0)))</f>
        <v/>
      </c>
      <c r="AF27" s="65" t="str">
        <f aca="false">IF($A27="","",AsOf-$G27)</f>
        <v/>
      </c>
      <c r="AG27" s="65" t="str">
        <f aca="false">IF($Y27="","",IF($Y27&lt;=5,IF($AF27&gt;$AE27,"Over","Inside"),"Past approval"))</f>
        <v/>
      </c>
      <c r="AH27" s="65" t="str">
        <f aca="false">IF($Y27="","",CHOOSE($Y27,IF(OR(TRIM($F27)="",ISNUMBER(SEARCH("not named",$F27))),"Critical","Good"),IF($O27&lt;&gt;"Y","Critical",IF($Q27&lt;&gt;"Y","Warning","Good")),IF($P27="","Critical",IF($P27="partial","Warning",IF($P27="ready","Good","Critical"))),IF($R27&lt;&gt;"","Critical","Warning"),IF($L27="","Critical",IF($N27="","Warning","Good")),IF($R27&lt;&gt;"","Critical","Warning"),IF($R27&lt;&gt;"","Critical","Warning"),IF($Q27="Y","Good","Critical")))</f>
        <v/>
      </c>
      <c r="AI27" s="65" t="str">
        <f aca="false">IF($Y27="","",CHOOSE($Y27,IF(OR(TRIM($F27)="",ISNUMBER(SEARCH("not named",$F27))),"Name a sponsor accountable for the value",""),IF($O27&lt;&gt;"Y","State the success metric and the stop condition",IF($Q27&lt;&gt;"Y","Set the baseline the benefit will be measured against","")),IF($P27="","Assess data readiness and regulatory impact",IF($P27="partial","Close the known data gaps",IF($P27="ready","","Data is not available; reshape or park"))),IF($R27&lt;&gt;"",IF(OR(ISNUMBER(SEARCH("mrm",$R27)),ISNUMBER(SEARCH("model",$R27)),ISNUMBER(SEARCH("risk",$R27)),ISNUMBER(SEARCH("legal",$R27)),ISNUMBER(SEARCH("complian",$R27))),"Awaiting ","Held at the design gate: ")&amp;$R27,"Map the governance framework for its tier"),IF($L27="","Size the annual benefit",IF($N27="","Score it so it can be ranked against capacity","")),IF($R27&lt;&gt;"","Build held: "&amp;$R27,"In build, not yet through test"),IF($R27&lt;&gt;"","Not ready to scale: "&amp;$R27,"Monitoring and third-party review not yet signed off"),IF($Q27="Y","","Live without a measured baseline to judge it against")))</f>
        <v/>
      </c>
      <c r="AJ27" s="65" t="str">
        <f aca="false">IF($Y27="","",INDEX(StageForum,$Y27))</f>
        <v/>
      </c>
      <c r="AK27" s="65" t="str">
        <f aca="false">IF($Y27="","",IF(OR($X27="Delivery",$X27="Value"),"Committed",IF($N27&lt;&gt;"","Candidate","")))</f>
        <v/>
      </c>
      <c r="AL27" s="65" t="str">
        <f aca="false">IF($AK27&lt;&gt;"Candidate","",COUNTIFS($AK$2:$AK$501,"Candidate",$N$2:$N$501,"&gt;"&amp;$N27)+COUNTIFS($AK$2:$AK$501,"Candidate",$N$2:$N$501,$N27,$A$2:$A$501,"&lt;"&amp;$A27)+1)</f>
        <v/>
      </c>
      <c r="AM27" s="65" t="str">
        <f aca="false">IF($AL27="","",SUMIFS($M$2:$M$501,$AK$2:$AK$501,"Candidate",$AL$2:$AL$501,"&lt;="&amp;$AL27))</f>
        <v/>
      </c>
      <c r="AN27" s="65" t="str">
        <f aca="false">IF($AL27="","",IF($AM27&lt;=CapacityOpen,"Fits","Below line"))</f>
        <v/>
      </c>
      <c r="AO27" s="65" t="str">
        <f aca="false">IF($A27="","",IF($X27="Closed","",IF($X27="Unmapped","Warning",IF(OR($AB27="Overdue",$V27="Y",$AH27="Critical"),"Critical",IF(OR($AB27="At risk",$AC27="Stale",$AG27="Over"),"Warning","")))))</f>
        <v/>
      </c>
      <c r="AP27" s="65" t="str">
        <f aca="false">IF($AO27="","",IF($AO27="Critical",3000,2000)-IF($Z27="",0,$Z27)+ROW()/100000)</f>
        <v/>
      </c>
      <c r="AQ27" s="65" t="str">
        <f aca="false">IF($AO27="","",IF($X27="Unmapped","Status '"&amp;$C27&amp;"' is not in the Config map",IF($V27="Y","Flagged in Jira",IF($AB27="Overdue",-$Z27&amp;" days past its "&amp;$X27&amp;" target",IF($AH27="Critical",$AI27,IF($AB27="At risk","Target in "&amp;$Z27&amp;" days",IF($AC27="Stale","No update in "&amp;$AA27&amp;" days","Past its "&amp;$AE27&amp;"-day tier window")))))))</f>
        <v/>
      </c>
      <c r="AR27" s="65" t="str">
        <f aca="false">IF($AO27="","","draft Jira update for "&amp;$A27)</f>
        <v/>
      </c>
      <c r="AS27" s="65" t="str">
        <f aca="false">IF($A27="","",HYPERLINK(JiraSite&amp;"/browse/"&amp;$A27,"open"))</f>
        <v/>
      </c>
      <c r="AT27" s="65" t="str">
        <f aca="false">IF($Y27="","",$Y27*1000+ROW())</f>
        <v/>
      </c>
      <c r="AU27" s="65" t="str">
        <f aca="false">IF(AND($A27&lt;&gt;"",$G27&gt;=WeekStart),$G27+ROW()/100000,"")</f>
        <v/>
      </c>
      <c r="AV27" s="65" t="str">
        <f aca="false">IF($A27="","",IF(OR(AND($S27&lt;&gt;"",$S27&gt;=WeekStart),AND($U27&lt;&gt;"",$U27&gt;=WeekStart)),MAX($S27,$U27)+ROW()/100000,""))</f>
        <v/>
      </c>
      <c r="AW27" s="65" t="str">
        <f aca="false">IF($AV27="","",IF($T27&lt;&gt;"",$T27,IF($X27="Closed","Closed","Accepted to "&amp;$X27)))</f>
        <v/>
      </c>
      <c r="AX27" s="65" t="str">
        <f aca="false">IF(AND($Y27&lt;&gt;"",$R27&lt;&gt;""),$AF27+ROW()/100000,"")</f>
        <v/>
      </c>
      <c r="AY27" s="65" t="str">
        <f aca="false">IF(AND($Y27&lt;&gt;"",OR($AB27="Overdue",AND($AH27="Critical",$R27&lt;&gt;""))),$AF27+ROW()/100000,"")</f>
        <v/>
      </c>
      <c r="AZ27" s="65" t="str">
        <f aca="false">IF($AH27="Critical",$AF27+ROW()/100000,"")</f>
        <v/>
      </c>
    </row>
    <row r="28" customFormat="false" ht="15" hidden="false" customHeight="false" outlineLevel="0" collapsed="false">
      <c r="A28" s="28"/>
      <c r="B28" s="28"/>
      <c r="C28" s="28"/>
      <c r="D28" s="28"/>
      <c r="E28" s="28"/>
      <c r="F28" s="28"/>
      <c r="G28" s="63"/>
      <c r="H28" s="63"/>
      <c r="I28" s="63"/>
      <c r="J28" s="28"/>
      <c r="K28" s="28"/>
      <c r="L28" s="28"/>
      <c r="M28" s="28"/>
      <c r="N28" s="28"/>
      <c r="O28" s="64"/>
      <c r="P28" s="64"/>
      <c r="Q28" s="64"/>
      <c r="R28" s="28"/>
      <c r="S28" s="63"/>
      <c r="T28" s="64"/>
      <c r="U28" s="63"/>
      <c r="V28" s="64"/>
      <c r="W28" s="28"/>
      <c r="X28" s="65" t="str">
        <f aca="false">IF($A28="","",IF(OR($T28&lt;&gt;"",$U28&lt;&gt;""),"Closed",IFERROR(INDEX(MapStage,MATCH($C28,MapStatus,0)),"Unmapped")))</f>
        <v/>
      </c>
      <c r="Y28" s="65" t="str">
        <f aca="false">IF(OR($X28="",$X28="Closed",$X28="Unmapped"),"",MATCH($X28,StageName,0))</f>
        <v/>
      </c>
      <c r="Z28" s="65" t="str">
        <f aca="false">IF(OR($Y28="",$I28=""),"",$I28-AsOf)</f>
        <v/>
      </c>
      <c r="AA28" s="65" t="str">
        <f aca="false">IF($A28="","",AsOf-$H28)</f>
        <v/>
      </c>
      <c r="AB28" s="65" t="str">
        <f aca="false">IF($A28="","",IF($X28="Closed","Closed",IF($X28="Unmapped","Unmapped",IF($I28="","No target",IF($Z28&lt;0,"Overdue",IF($Z28&lt;=INDEX(StageWindow,$Y28),"At risk","On track"))))))</f>
        <v/>
      </c>
      <c r="AC28" s="65" t="str">
        <f aca="false">IF($Y28="","",IF($AA28&gt;2*INDEX(StageStale,$Y28),"Stale",IF($AA28&gt;INDEX(StageStale,$Y28),"Aging","Fresh")))</f>
        <v/>
      </c>
      <c r="AD28" s="65" t="str">
        <f aca="false">IF($A28="","",IF(OR(ISNUMBER(SEARCH("Reg report",$J28)),ISNUMBER(SEARCH("No human review",$J28)),COUNTIF(TierFuncs,$D28)&gt;0),"High",IF(OR(TRIM($J28)&lt;&gt;"",ISNUMBER(SEARCH("revenue",$K28))),"Medium","Low")))</f>
        <v/>
      </c>
      <c r="AE28" s="65" t="str">
        <f aca="false">IF($A28="","",INDEX(TierDays,MATCH($AD28,TierName,0)))</f>
        <v/>
      </c>
      <c r="AF28" s="65" t="str">
        <f aca="false">IF($A28="","",AsOf-$G28)</f>
        <v/>
      </c>
      <c r="AG28" s="65" t="str">
        <f aca="false">IF($Y28="","",IF($Y28&lt;=5,IF($AF28&gt;$AE28,"Over","Inside"),"Past approval"))</f>
        <v/>
      </c>
      <c r="AH28" s="65" t="str">
        <f aca="false">IF($Y28="","",CHOOSE($Y28,IF(OR(TRIM($F28)="",ISNUMBER(SEARCH("not named",$F28))),"Critical","Good"),IF($O28&lt;&gt;"Y","Critical",IF($Q28&lt;&gt;"Y","Warning","Good")),IF($P28="","Critical",IF($P28="partial","Warning",IF($P28="ready","Good","Critical"))),IF($R28&lt;&gt;"","Critical","Warning"),IF($L28="","Critical",IF($N28="","Warning","Good")),IF($R28&lt;&gt;"","Critical","Warning"),IF($R28&lt;&gt;"","Critical","Warning"),IF($Q28="Y","Good","Critical")))</f>
        <v/>
      </c>
      <c r="AI28" s="65" t="str">
        <f aca="false">IF($Y28="","",CHOOSE($Y28,IF(OR(TRIM($F28)="",ISNUMBER(SEARCH("not named",$F28))),"Name a sponsor accountable for the value",""),IF($O28&lt;&gt;"Y","State the success metric and the stop condition",IF($Q28&lt;&gt;"Y","Set the baseline the benefit will be measured against","")),IF($P28="","Assess data readiness and regulatory impact",IF($P28="partial","Close the known data gaps",IF($P28="ready","","Data is not available; reshape or park"))),IF($R28&lt;&gt;"",IF(OR(ISNUMBER(SEARCH("mrm",$R28)),ISNUMBER(SEARCH("model",$R28)),ISNUMBER(SEARCH("risk",$R28)),ISNUMBER(SEARCH("legal",$R28)),ISNUMBER(SEARCH("complian",$R28))),"Awaiting ","Held at the design gate: ")&amp;$R28,"Map the governance framework for its tier"),IF($L28="","Size the annual benefit",IF($N28="","Score it so it can be ranked against capacity","")),IF($R28&lt;&gt;"","Build held: "&amp;$R28,"In build, not yet through test"),IF($R28&lt;&gt;"","Not ready to scale: "&amp;$R28,"Monitoring and third-party review not yet signed off"),IF($Q28="Y","","Live without a measured baseline to judge it against")))</f>
        <v/>
      </c>
      <c r="AJ28" s="65" t="str">
        <f aca="false">IF($Y28="","",INDEX(StageForum,$Y28))</f>
        <v/>
      </c>
      <c r="AK28" s="65" t="str">
        <f aca="false">IF($Y28="","",IF(OR($X28="Delivery",$X28="Value"),"Committed",IF($N28&lt;&gt;"","Candidate","")))</f>
        <v/>
      </c>
      <c r="AL28" s="65" t="str">
        <f aca="false">IF($AK28&lt;&gt;"Candidate","",COUNTIFS($AK$2:$AK$501,"Candidate",$N$2:$N$501,"&gt;"&amp;$N28)+COUNTIFS($AK$2:$AK$501,"Candidate",$N$2:$N$501,$N28,$A$2:$A$501,"&lt;"&amp;$A28)+1)</f>
        <v/>
      </c>
      <c r="AM28" s="65" t="str">
        <f aca="false">IF($AL28="","",SUMIFS($M$2:$M$501,$AK$2:$AK$501,"Candidate",$AL$2:$AL$501,"&lt;="&amp;$AL28))</f>
        <v/>
      </c>
      <c r="AN28" s="65" t="str">
        <f aca="false">IF($AL28="","",IF($AM28&lt;=CapacityOpen,"Fits","Below line"))</f>
        <v/>
      </c>
      <c r="AO28" s="65" t="str">
        <f aca="false">IF($A28="","",IF($X28="Closed","",IF($X28="Unmapped","Warning",IF(OR($AB28="Overdue",$V28="Y",$AH28="Critical"),"Critical",IF(OR($AB28="At risk",$AC28="Stale",$AG28="Over"),"Warning","")))))</f>
        <v/>
      </c>
      <c r="AP28" s="65" t="str">
        <f aca="false">IF($AO28="","",IF($AO28="Critical",3000,2000)-IF($Z28="",0,$Z28)+ROW()/100000)</f>
        <v/>
      </c>
      <c r="AQ28" s="65" t="str">
        <f aca="false">IF($AO28="","",IF($X28="Unmapped","Status '"&amp;$C28&amp;"' is not in the Config map",IF($V28="Y","Flagged in Jira",IF($AB28="Overdue",-$Z28&amp;" days past its "&amp;$X28&amp;" target",IF($AH28="Critical",$AI28,IF($AB28="At risk","Target in "&amp;$Z28&amp;" days",IF($AC28="Stale","No update in "&amp;$AA28&amp;" days","Past its "&amp;$AE28&amp;"-day tier window")))))))</f>
        <v/>
      </c>
      <c r="AR28" s="65" t="str">
        <f aca="false">IF($AO28="","","draft Jira update for "&amp;$A28)</f>
        <v/>
      </c>
      <c r="AS28" s="65" t="str">
        <f aca="false">IF($A28="","",HYPERLINK(JiraSite&amp;"/browse/"&amp;$A28,"open"))</f>
        <v/>
      </c>
      <c r="AT28" s="65" t="str">
        <f aca="false">IF($Y28="","",$Y28*1000+ROW())</f>
        <v/>
      </c>
      <c r="AU28" s="65" t="str">
        <f aca="false">IF(AND($A28&lt;&gt;"",$G28&gt;=WeekStart),$G28+ROW()/100000,"")</f>
        <v/>
      </c>
      <c r="AV28" s="65" t="str">
        <f aca="false">IF($A28="","",IF(OR(AND($S28&lt;&gt;"",$S28&gt;=WeekStart),AND($U28&lt;&gt;"",$U28&gt;=WeekStart)),MAX($S28,$U28)+ROW()/100000,""))</f>
        <v/>
      </c>
      <c r="AW28" s="65" t="str">
        <f aca="false">IF($AV28="","",IF($T28&lt;&gt;"",$T28,IF($X28="Closed","Closed","Accepted to "&amp;$X28)))</f>
        <v/>
      </c>
      <c r="AX28" s="65" t="str">
        <f aca="false">IF(AND($Y28&lt;&gt;"",$R28&lt;&gt;""),$AF28+ROW()/100000,"")</f>
        <v/>
      </c>
      <c r="AY28" s="65" t="str">
        <f aca="false">IF(AND($Y28&lt;&gt;"",OR($AB28="Overdue",AND($AH28="Critical",$R28&lt;&gt;""))),$AF28+ROW()/100000,"")</f>
        <v/>
      </c>
      <c r="AZ28" s="65" t="str">
        <f aca="false">IF($AH28="Critical",$AF28+ROW()/100000,"")</f>
        <v/>
      </c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63"/>
      <c r="H29" s="63"/>
      <c r="I29" s="63"/>
      <c r="J29" s="28"/>
      <c r="K29" s="28"/>
      <c r="L29" s="28"/>
      <c r="M29" s="28"/>
      <c r="N29" s="28"/>
      <c r="O29" s="64"/>
      <c r="P29" s="64"/>
      <c r="Q29" s="64"/>
      <c r="R29" s="28"/>
      <c r="S29" s="63"/>
      <c r="T29" s="64"/>
      <c r="U29" s="63"/>
      <c r="V29" s="64"/>
      <c r="W29" s="28"/>
      <c r="X29" s="65" t="str">
        <f aca="false">IF($A29="","",IF(OR($T29&lt;&gt;"",$U29&lt;&gt;""),"Closed",IFERROR(INDEX(MapStage,MATCH($C29,MapStatus,0)),"Unmapped")))</f>
        <v/>
      </c>
      <c r="Y29" s="65" t="str">
        <f aca="false">IF(OR($X29="",$X29="Closed",$X29="Unmapped"),"",MATCH($X29,StageName,0))</f>
        <v/>
      </c>
      <c r="Z29" s="65" t="str">
        <f aca="false">IF(OR($Y29="",$I29=""),"",$I29-AsOf)</f>
        <v/>
      </c>
      <c r="AA29" s="65" t="str">
        <f aca="false">IF($A29="","",AsOf-$H29)</f>
        <v/>
      </c>
      <c r="AB29" s="65" t="str">
        <f aca="false">IF($A29="","",IF($X29="Closed","Closed",IF($X29="Unmapped","Unmapped",IF($I29="","No target",IF($Z29&lt;0,"Overdue",IF($Z29&lt;=INDEX(StageWindow,$Y29),"At risk","On track"))))))</f>
        <v/>
      </c>
      <c r="AC29" s="65" t="str">
        <f aca="false">IF($Y29="","",IF($AA29&gt;2*INDEX(StageStale,$Y29),"Stale",IF($AA29&gt;INDEX(StageStale,$Y29),"Aging","Fresh")))</f>
        <v/>
      </c>
      <c r="AD29" s="65" t="str">
        <f aca="false">IF($A29="","",IF(OR(ISNUMBER(SEARCH("Reg report",$J29)),ISNUMBER(SEARCH("No human review",$J29)),COUNTIF(TierFuncs,$D29)&gt;0),"High",IF(OR(TRIM($J29)&lt;&gt;"",ISNUMBER(SEARCH("revenue",$K29))),"Medium","Low")))</f>
        <v/>
      </c>
      <c r="AE29" s="65" t="str">
        <f aca="false">IF($A29="","",INDEX(TierDays,MATCH($AD29,TierName,0)))</f>
        <v/>
      </c>
      <c r="AF29" s="65" t="str">
        <f aca="false">IF($A29="","",AsOf-$G29)</f>
        <v/>
      </c>
      <c r="AG29" s="65" t="str">
        <f aca="false">IF($Y29="","",IF($Y29&lt;=5,IF($AF29&gt;$AE29,"Over","Inside"),"Past approval"))</f>
        <v/>
      </c>
      <c r="AH29" s="65" t="str">
        <f aca="false">IF($Y29="","",CHOOSE($Y29,IF(OR(TRIM($F29)="",ISNUMBER(SEARCH("not named",$F29))),"Critical","Good"),IF($O29&lt;&gt;"Y","Critical",IF($Q29&lt;&gt;"Y","Warning","Good")),IF($P29="","Critical",IF($P29="partial","Warning",IF($P29="ready","Good","Critical"))),IF($R29&lt;&gt;"","Critical","Warning"),IF($L29="","Critical",IF($N29="","Warning","Good")),IF($R29&lt;&gt;"","Critical","Warning"),IF($R29&lt;&gt;"","Critical","Warning"),IF($Q29="Y","Good","Critical")))</f>
        <v/>
      </c>
      <c r="AI29" s="65" t="str">
        <f aca="false">IF($Y29="","",CHOOSE($Y29,IF(OR(TRIM($F29)="",ISNUMBER(SEARCH("not named",$F29))),"Name a sponsor accountable for the value",""),IF($O29&lt;&gt;"Y","State the success metric and the stop condition",IF($Q29&lt;&gt;"Y","Set the baseline the benefit will be measured against","")),IF($P29="","Assess data readiness and regulatory impact",IF($P29="partial","Close the known data gaps",IF($P29="ready","","Data is not available; reshape or park"))),IF($R29&lt;&gt;"",IF(OR(ISNUMBER(SEARCH("mrm",$R29)),ISNUMBER(SEARCH("model",$R29)),ISNUMBER(SEARCH("risk",$R29)),ISNUMBER(SEARCH("legal",$R29)),ISNUMBER(SEARCH("complian",$R29))),"Awaiting ","Held at the design gate: ")&amp;$R29,"Map the governance framework for its tier"),IF($L29="","Size the annual benefit",IF($N29="","Score it so it can be ranked against capacity","")),IF($R29&lt;&gt;"","Build held: "&amp;$R29,"In build, not yet through test"),IF($R29&lt;&gt;"","Not ready to scale: "&amp;$R29,"Monitoring and third-party review not yet signed off"),IF($Q29="Y","","Live without a measured baseline to judge it against")))</f>
        <v/>
      </c>
      <c r="AJ29" s="65" t="str">
        <f aca="false">IF($Y29="","",INDEX(StageForum,$Y29))</f>
        <v/>
      </c>
      <c r="AK29" s="65" t="str">
        <f aca="false">IF($Y29="","",IF(OR($X29="Delivery",$X29="Value"),"Committed",IF($N29&lt;&gt;"","Candidate","")))</f>
        <v/>
      </c>
      <c r="AL29" s="65" t="str">
        <f aca="false">IF($AK29&lt;&gt;"Candidate","",COUNTIFS($AK$2:$AK$501,"Candidate",$N$2:$N$501,"&gt;"&amp;$N29)+COUNTIFS($AK$2:$AK$501,"Candidate",$N$2:$N$501,$N29,$A$2:$A$501,"&lt;"&amp;$A29)+1)</f>
        <v/>
      </c>
      <c r="AM29" s="65" t="str">
        <f aca="false">IF($AL29="","",SUMIFS($M$2:$M$501,$AK$2:$AK$501,"Candidate",$AL$2:$AL$501,"&lt;="&amp;$AL29))</f>
        <v/>
      </c>
      <c r="AN29" s="65" t="str">
        <f aca="false">IF($AL29="","",IF($AM29&lt;=CapacityOpen,"Fits","Below line"))</f>
        <v/>
      </c>
      <c r="AO29" s="65" t="str">
        <f aca="false">IF($A29="","",IF($X29="Closed","",IF($X29="Unmapped","Warning",IF(OR($AB29="Overdue",$V29="Y",$AH29="Critical"),"Critical",IF(OR($AB29="At risk",$AC29="Stale",$AG29="Over"),"Warning","")))))</f>
        <v/>
      </c>
      <c r="AP29" s="65" t="str">
        <f aca="false">IF($AO29="","",IF($AO29="Critical",3000,2000)-IF($Z29="",0,$Z29)+ROW()/100000)</f>
        <v/>
      </c>
      <c r="AQ29" s="65" t="str">
        <f aca="false">IF($AO29="","",IF($X29="Unmapped","Status '"&amp;$C29&amp;"' is not in the Config map",IF($V29="Y","Flagged in Jira",IF($AB29="Overdue",-$Z29&amp;" days past its "&amp;$X29&amp;" target",IF($AH29="Critical",$AI29,IF($AB29="At risk","Target in "&amp;$Z29&amp;" days",IF($AC29="Stale","No update in "&amp;$AA29&amp;" days","Past its "&amp;$AE29&amp;"-day tier window")))))))</f>
        <v/>
      </c>
      <c r="AR29" s="65" t="str">
        <f aca="false">IF($AO29="","","draft Jira update for "&amp;$A29)</f>
        <v/>
      </c>
      <c r="AS29" s="65" t="str">
        <f aca="false">IF($A29="","",HYPERLINK(JiraSite&amp;"/browse/"&amp;$A29,"open"))</f>
        <v/>
      </c>
      <c r="AT29" s="65" t="str">
        <f aca="false">IF($Y29="","",$Y29*1000+ROW())</f>
        <v/>
      </c>
      <c r="AU29" s="65" t="str">
        <f aca="false">IF(AND($A29&lt;&gt;"",$G29&gt;=WeekStart),$G29+ROW()/100000,"")</f>
        <v/>
      </c>
      <c r="AV29" s="65" t="str">
        <f aca="false">IF($A29="","",IF(OR(AND($S29&lt;&gt;"",$S29&gt;=WeekStart),AND($U29&lt;&gt;"",$U29&gt;=WeekStart)),MAX($S29,$U29)+ROW()/100000,""))</f>
        <v/>
      </c>
      <c r="AW29" s="65" t="str">
        <f aca="false">IF($AV29="","",IF($T29&lt;&gt;"",$T29,IF($X29="Closed","Closed","Accepted to "&amp;$X29)))</f>
        <v/>
      </c>
      <c r="AX29" s="65" t="str">
        <f aca="false">IF(AND($Y29&lt;&gt;"",$R29&lt;&gt;""),$AF29+ROW()/100000,"")</f>
        <v/>
      </c>
      <c r="AY29" s="65" t="str">
        <f aca="false">IF(AND($Y29&lt;&gt;"",OR($AB29="Overdue",AND($AH29="Critical",$R29&lt;&gt;""))),$AF29+ROW()/100000,"")</f>
        <v/>
      </c>
      <c r="AZ29" s="65" t="str">
        <f aca="false">IF($AH29="Critical",$AF29+ROW()/100000,"")</f>
        <v/>
      </c>
    </row>
    <row r="30" customFormat="false" ht="15" hidden="false" customHeight="false" outlineLevel="0" collapsed="false">
      <c r="A30" s="28"/>
      <c r="B30" s="28"/>
      <c r="C30" s="28"/>
      <c r="D30" s="28"/>
      <c r="E30" s="28"/>
      <c r="F30" s="28"/>
      <c r="G30" s="63"/>
      <c r="H30" s="63"/>
      <c r="I30" s="63"/>
      <c r="J30" s="28"/>
      <c r="K30" s="28"/>
      <c r="L30" s="28"/>
      <c r="M30" s="28"/>
      <c r="N30" s="28"/>
      <c r="O30" s="64"/>
      <c r="P30" s="64"/>
      <c r="Q30" s="64"/>
      <c r="R30" s="28"/>
      <c r="S30" s="63"/>
      <c r="T30" s="64"/>
      <c r="U30" s="63"/>
      <c r="V30" s="64"/>
      <c r="W30" s="28"/>
      <c r="X30" s="65" t="str">
        <f aca="false">IF($A30="","",IF(OR($T30&lt;&gt;"",$U30&lt;&gt;""),"Closed",IFERROR(INDEX(MapStage,MATCH($C30,MapStatus,0)),"Unmapped")))</f>
        <v/>
      </c>
      <c r="Y30" s="65" t="str">
        <f aca="false">IF(OR($X30="",$X30="Closed",$X30="Unmapped"),"",MATCH($X30,StageName,0))</f>
        <v/>
      </c>
      <c r="Z30" s="65" t="str">
        <f aca="false">IF(OR($Y30="",$I30=""),"",$I30-AsOf)</f>
        <v/>
      </c>
      <c r="AA30" s="65" t="str">
        <f aca="false">IF($A30="","",AsOf-$H30)</f>
        <v/>
      </c>
      <c r="AB30" s="65" t="str">
        <f aca="false">IF($A30="","",IF($X30="Closed","Closed",IF($X30="Unmapped","Unmapped",IF($I30="","No target",IF($Z30&lt;0,"Overdue",IF($Z30&lt;=INDEX(StageWindow,$Y30),"At risk","On track"))))))</f>
        <v/>
      </c>
      <c r="AC30" s="65" t="str">
        <f aca="false">IF($Y30="","",IF($AA30&gt;2*INDEX(StageStale,$Y30),"Stale",IF($AA30&gt;INDEX(StageStale,$Y30),"Aging","Fresh")))</f>
        <v/>
      </c>
      <c r="AD30" s="65" t="str">
        <f aca="false">IF($A30="","",IF(OR(ISNUMBER(SEARCH("Reg report",$J30)),ISNUMBER(SEARCH("No human review",$J30)),COUNTIF(TierFuncs,$D30)&gt;0),"High",IF(OR(TRIM($J30)&lt;&gt;"",ISNUMBER(SEARCH("revenue",$K30))),"Medium","Low")))</f>
        <v/>
      </c>
      <c r="AE30" s="65" t="str">
        <f aca="false">IF($A30="","",INDEX(TierDays,MATCH($AD30,TierName,0)))</f>
        <v/>
      </c>
      <c r="AF30" s="65" t="str">
        <f aca="false">IF($A30="","",AsOf-$G30)</f>
        <v/>
      </c>
      <c r="AG30" s="65" t="str">
        <f aca="false">IF($Y30="","",IF($Y30&lt;=5,IF($AF30&gt;$AE30,"Over","Inside"),"Past approval"))</f>
        <v/>
      </c>
      <c r="AH30" s="65" t="str">
        <f aca="false">IF($Y30="","",CHOOSE($Y30,IF(OR(TRIM($F30)="",ISNUMBER(SEARCH("not named",$F30))),"Critical","Good"),IF($O30&lt;&gt;"Y","Critical",IF($Q30&lt;&gt;"Y","Warning","Good")),IF($P30="","Critical",IF($P30="partial","Warning",IF($P30="ready","Good","Critical"))),IF($R30&lt;&gt;"","Critical","Warning"),IF($L30="","Critical",IF($N30="","Warning","Good")),IF($R30&lt;&gt;"","Critical","Warning"),IF($R30&lt;&gt;"","Critical","Warning"),IF($Q30="Y","Good","Critical")))</f>
        <v/>
      </c>
      <c r="AI30" s="65" t="str">
        <f aca="false">IF($Y30="","",CHOOSE($Y30,IF(OR(TRIM($F30)="",ISNUMBER(SEARCH("not named",$F30))),"Name a sponsor accountable for the value",""),IF($O30&lt;&gt;"Y","State the success metric and the stop condition",IF($Q30&lt;&gt;"Y","Set the baseline the benefit will be measured against","")),IF($P30="","Assess data readiness and regulatory impact",IF($P30="partial","Close the known data gaps",IF($P30="ready","","Data is not available; reshape or park"))),IF($R30&lt;&gt;"",IF(OR(ISNUMBER(SEARCH("mrm",$R30)),ISNUMBER(SEARCH("model",$R30)),ISNUMBER(SEARCH("risk",$R30)),ISNUMBER(SEARCH("legal",$R30)),ISNUMBER(SEARCH("complian",$R30))),"Awaiting ","Held at the design gate: ")&amp;$R30,"Map the governance framework for its tier"),IF($L30="","Size the annual benefit",IF($N30="","Score it so it can be ranked against capacity","")),IF($R30&lt;&gt;"","Build held: "&amp;$R30,"In build, not yet through test"),IF($R30&lt;&gt;"","Not ready to scale: "&amp;$R30,"Monitoring and third-party review not yet signed off"),IF($Q30="Y","","Live without a measured baseline to judge it against")))</f>
        <v/>
      </c>
      <c r="AJ30" s="65" t="str">
        <f aca="false">IF($Y30="","",INDEX(StageForum,$Y30))</f>
        <v/>
      </c>
      <c r="AK30" s="65" t="str">
        <f aca="false">IF($Y30="","",IF(OR($X30="Delivery",$X30="Value"),"Committed",IF($N30&lt;&gt;"","Candidate","")))</f>
        <v/>
      </c>
      <c r="AL30" s="65" t="str">
        <f aca="false">IF($AK30&lt;&gt;"Candidate","",COUNTIFS($AK$2:$AK$501,"Candidate",$N$2:$N$501,"&gt;"&amp;$N30)+COUNTIFS($AK$2:$AK$501,"Candidate",$N$2:$N$501,$N30,$A$2:$A$501,"&lt;"&amp;$A30)+1)</f>
        <v/>
      </c>
      <c r="AM30" s="65" t="str">
        <f aca="false">IF($AL30="","",SUMIFS($M$2:$M$501,$AK$2:$AK$501,"Candidate",$AL$2:$AL$501,"&lt;="&amp;$AL30))</f>
        <v/>
      </c>
      <c r="AN30" s="65" t="str">
        <f aca="false">IF($AL30="","",IF($AM30&lt;=CapacityOpen,"Fits","Below line"))</f>
        <v/>
      </c>
      <c r="AO30" s="65" t="str">
        <f aca="false">IF($A30="","",IF($X30="Closed","",IF($X30="Unmapped","Warning",IF(OR($AB30="Overdue",$V30="Y",$AH30="Critical"),"Critical",IF(OR($AB30="At risk",$AC30="Stale",$AG30="Over"),"Warning","")))))</f>
        <v/>
      </c>
      <c r="AP30" s="65" t="str">
        <f aca="false">IF($AO30="","",IF($AO30="Critical",3000,2000)-IF($Z30="",0,$Z30)+ROW()/100000)</f>
        <v/>
      </c>
      <c r="AQ30" s="65" t="str">
        <f aca="false">IF($AO30="","",IF($X30="Unmapped","Status '"&amp;$C30&amp;"' is not in the Config map",IF($V30="Y","Flagged in Jira",IF($AB30="Overdue",-$Z30&amp;" days past its "&amp;$X30&amp;" target",IF($AH30="Critical",$AI30,IF($AB30="At risk","Target in "&amp;$Z30&amp;" days",IF($AC30="Stale","No update in "&amp;$AA30&amp;" days","Past its "&amp;$AE30&amp;"-day tier window")))))))</f>
        <v/>
      </c>
      <c r="AR30" s="65" t="str">
        <f aca="false">IF($AO30="","","draft Jira update for "&amp;$A30)</f>
        <v/>
      </c>
      <c r="AS30" s="65" t="str">
        <f aca="false">IF($A30="","",HYPERLINK(JiraSite&amp;"/browse/"&amp;$A30,"open"))</f>
        <v/>
      </c>
      <c r="AT30" s="65" t="str">
        <f aca="false">IF($Y30="","",$Y30*1000+ROW())</f>
        <v/>
      </c>
      <c r="AU30" s="65" t="str">
        <f aca="false">IF(AND($A30&lt;&gt;"",$G30&gt;=WeekStart),$G30+ROW()/100000,"")</f>
        <v/>
      </c>
      <c r="AV30" s="65" t="str">
        <f aca="false">IF($A30="","",IF(OR(AND($S30&lt;&gt;"",$S30&gt;=WeekStart),AND($U30&lt;&gt;"",$U30&gt;=WeekStart)),MAX($S30,$U30)+ROW()/100000,""))</f>
        <v/>
      </c>
      <c r="AW30" s="65" t="str">
        <f aca="false">IF($AV30="","",IF($T30&lt;&gt;"",$T30,IF($X30="Closed","Closed","Accepted to "&amp;$X30)))</f>
        <v/>
      </c>
      <c r="AX30" s="65" t="str">
        <f aca="false">IF(AND($Y30&lt;&gt;"",$R30&lt;&gt;""),$AF30+ROW()/100000,"")</f>
        <v/>
      </c>
      <c r="AY30" s="65" t="str">
        <f aca="false">IF(AND($Y30&lt;&gt;"",OR($AB30="Overdue",AND($AH30="Critical",$R30&lt;&gt;""))),$AF30+ROW()/100000,"")</f>
        <v/>
      </c>
      <c r="AZ30" s="65" t="str">
        <f aca="false">IF($AH30="Critical",$AF30+ROW()/100000,"")</f>
        <v/>
      </c>
    </row>
    <row r="31" customFormat="false" ht="15" hidden="false" customHeight="false" outlineLevel="0" collapsed="false">
      <c r="A31" s="28"/>
      <c r="B31" s="28"/>
      <c r="C31" s="28"/>
      <c r="D31" s="28"/>
      <c r="E31" s="28"/>
      <c r="F31" s="28"/>
      <c r="G31" s="63"/>
      <c r="H31" s="63"/>
      <c r="I31" s="63"/>
      <c r="J31" s="28"/>
      <c r="K31" s="28"/>
      <c r="L31" s="28"/>
      <c r="M31" s="28"/>
      <c r="N31" s="28"/>
      <c r="O31" s="64"/>
      <c r="P31" s="64"/>
      <c r="Q31" s="64"/>
      <c r="R31" s="28"/>
      <c r="S31" s="63"/>
      <c r="T31" s="64"/>
      <c r="U31" s="63"/>
      <c r="V31" s="64"/>
      <c r="W31" s="28"/>
      <c r="X31" s="65" t="str">
        <f aca="false">IF($A31="","",IF(OR($T31&lt;&gt;"",$U31&lt;&gt;""),"Closed",IFERROR(INDEX(MapStage,MATCH($C31,MapStatus,0)),"Unmapped")))</f>
        <v/>
      </c>
      <c r="Y31" s="65" t="str">
        <f aca="false">IF(OR($X31="",$X31="Closed",$X31="Unmapped"),"",MATCH($X31,StageName,0))</f>
        <v/>
      </c>
      <c r="Z31" s="65" t="str">
        <f aca="false">IF(OR($Y31="",$I31=""),"",$I31-AsOf)</f>
        <v/>
      </c>
      <c r="AA31" s="65" t="str">
        <f aca="false">IF($A31="","",AsOf-$H31)</f>
        <v/>
      </c>
      <c r="AB31" s="65" t="str">
        <f aca="false">IF($A31="","",IF($X31="Closed","Closed",IF($X31="Unmapped","Unmapped",IF($I31="","No target",IF($Z31&lt;0,"Overdue",IF($Z31&lt;=INDEX(StageWindow,$Y31),"At risk","On track"))))))</f>
        <v/>
      </c>
      <c r="AC31" s="65" t="str">
        <f aca="false">IF($Y31="","",IF($AA31&gt;2*INDEX(StageStale,$Y31),"Stale",IF($AA31&gt;INDEX(StageStale,$Y31),"Aging","Fresh")))</f>
        <v/>
      </c>
      <c r="AD31" s="65" t="str">
        <f aca="false">IF($A31="","",IF(OR(ISNUMBER(SEARCH("Reg report",$J31)),ISNUMBER(SEARCH("No human review",$J31)),COUNTIF(TierFuncs,$D31)&gt;0),"High",IF(OR(TRIM($J31)&lt;&gt;"",ISNUMBER(SEARCH("revenue",$K31))),"Medium","Low")))</f>
        <v/>
      </c>
      <c r="AE31" s="65" t="str">
        <f aca="false">IF($A31="","",INDEX(TierDays,MATCH($AD31,TierName,0)))</f>
        <v/>
      </c>
      <c r="AF31" s="65" t="str">
        <f aca="false">IF($A31="","",AsOf-$G31)</f>
        <v/>
      </c>
      <c r="AG31" s="65" t="str">
        <f aca="false">IF($Y31="","",IF($Y31&lt;=5,IF($AF31&gt;$AE31,"Over","Inside"),"Past approval"))</f>
        <v/>
      </c>
      <c r="AH31" s="65" t="str">
        <f aca="false">IF($Y31="","",CHOOSE($Y31,IF(OR(TRIM($F31)="",ISNUMBER(SEARCH("not named",$F31))),"Critical","Good"),IF($O31&lt;&gt;"Y","Critical",IF($Q31&lt;&gt;"Y","Warning","Good")),IF($P31="","Critical",IF($P31="partial","Warning",IF($P31="ready","Good","Critical"))),IF($R31&lt;&gt;"","Critical","Warning"),IF($L31="","Critical",IF($N31="","Warning","Good")),IF($R31&lt;&gt;"","Critical","Warning"),IF($R31&lt;&gt;"","Critical","Warning"),IF($Q31="Y","Good","Critical")))</f>
        <v/>
      </c>
      <c r="AI31" s="65" t="str">
        <f aca="false">IF($Y31="","",CHOOSE($Y31,IF(OR(TRIM($F31)="",ISNUMBER(SEARCH("not named",$F31))),"Name a sponsor accountable for the value",""),IF($O31&lt;&gt;"Y","State the success metric and the stop condition",IF($Q31&lt;&gt;"Y","Set the baseline the benefit will be measured against","")),IF($P31="","Assess data readiness and regulatory impact",IF($P31="partial","Close the known data gaps",IF($P31="ready","","Data is not available; reshape or park"))),IF($R31&lt;&gt;"",IF(OR(ISNUMBER(SEARCH("mrm",$R31)),ISNUMBER(SEARCH("model",$R31)),ISNUMBER(SEARCH("risk",$R31)),ISNUMBER(SEARCH("legal",$R31)),ISNUMBER(SEARCH("complian",$R31))),"Awaiting ","Held at the design gate: ")&amp;$R31,"Map the governance framework for its tier"),IF($L31="","Size the annual benefit",IF($N31="","Score it so it can be ranked against capacity","")),IF($R31&lt;&gt;"","Build held: "&amp;$R31,"In build, not yet through test"),IF($R31&lt;&gt;"","Not ready to scale: "&amp;$R31,"Monitoring and third-party review not yet signed off"),IF($Q31="Y","","Live without a measured baseline to judge it against")))</f>
        <v/>
      </c>
      <c r="AJ31" s="65" t="str">
        <f aca="false">IF($Y31="","",INDEX(StageForum,$Y31))</f>
        <v/>
      </c>
      <c r="AK31" s="65" t="str">
        <f aca="false">IF($Y31="","",IF(OR($X31="Delivery",$X31="Value"),"Committed",IF($N31&lt;&gt;"","Candidate","")))</f>
        <v/>
      </c>
      <c r="AL31" s="65" t="str">
        <f aca="false">IF($AK31&lt;&gt;"Candidate","",COUNTIFS($AK$2:$AK$501,"Candidate",$N$2:$N$501,"&gt;"&amp;$N31)+COUNTIFS($AK$2:$AK$501,"Candidate",$N$2:$N$501,$N31,$A$2:$A$501,"&lt;"&amp;$A31)+1)</f>
        <v/>
      </c>
      <c r="AM31" s="65" t="str">
        <f aca="false">IF($AL31="","",SUMIFS($M$2:$M$501,$AK$2:$AK$501,"Candidate",$AL$2:$AL$501,"&lt;="&amp;$AL31))</f>
        <v/>
      </c>
      <c r="AN31" s="65" t="str">
        <f aca="false">IF($AL31="","",IF($AM31&lt;=CapacityOpen,"Fits","Below line"))</f>
        <v/>
      </c>
      <c r="AO31" s="65" t="str">
        <f aca="false">IF($A31="","",IF($X31="Closed","",IF($X31="Unmapped","Warning",IF(OR($AB31="Overdue",$V31="Y",$AH31="Critical"),"Critical",IF(OR($AB31="At risk",$AC31="Stale",$AG31="Over"),"Warning","")))))</f>
        <v/>
      </c>
      <c r="AP31" s="65" t="str">
        <f aca="false">IF($AO31="","",IF($AO31="Critical",3000,2000)-IF($Z31="",0,$Z31)+ROW()/100000)</f>
        <v/>
      </c>
      <c r="AQ31" s="65" t="str">
        <f aca="false">IF($AO31="","",IF($X31="Unmapped","Status '"&amp;$C31&amp;"' is not in the Config map",IF($V31="Y","Flagged in Jira",IF($AB31="Overdue",-$Z31&amp;" days past its "&amp;$X31&amp;" target",IF($AH31="Critical",$AI31,IF($AB31="At risk","Target in "&amp;$Z31&amp;" days",IF($AC31="Stale","No update in "&amp;$AA31&amp;" days","Past its "&amp;$AE31&amp;"-day tier window")))))))</f>
        <v/>
      </c>
      <c r="AR31" s="65" t="str">
        <f aca="false">IF($AO31="","","draft Jira update for "&amp;$A31)</f>
        <v/>
      </c>
      <c r="AS31" s="65" t="str">
        <f aca="false">IF($A31="","",HYPERLINK(JiraSite&amp;"/browse/"&amp;$A31,"open"))</f>
        <v/>
      </c>
      <c r="AT31" s="65" t="str">
        <f aca="false">IF($Y31="","",$Y31*1000+ROW())</f>
        <v/>
      </c>
      <c r="AU31" s="65" t="str">
        <f aca="false">IF(AND($A31&lt;&gt;"",$G31&gt;=WeekStart),$G31+ROW()/100000,"")</f>
        <v/>
      </c>
      <c r="AV31" s="65" t="str">
        <f aca="false">IF($A31="","",IF(OR(AND($S31&lt;&gt;"",$S31&gt;=WeekStart),AND($U31&lt;&gt;"",$U31&gt;=WeekStart)),MAX($S31,$U31)+ROW()/100000,""))</f>
        <v/>
      </c>
      <c r="AW31" s="65" t="str">
        <f aca="false">IF($AV31="","",IF($T31&lt;&gt;"",$T31,IF($X31="Closed","Closed","Accepted to "&amp;$X31)))</f>
        <v/>
      </c>
      <c r="AX31" s="65" t="str">
        <f aca="false">IF(AND($Y31&lt;&gt;"",$R31&lt;&gt;""),$AF31+ROW()/100000,"")</f>
        <v/>
      </c>
      <c r="AY31" s="65" t="str">
        <f aca="false">IF(AND($Y31&lt;&gt;"",OR($AB31="Overdue",AND($AH31="Critical",$R31&lt;&gt;""))),$AF31+ROW()/100000,"")</f>
        <v/>
      </c>
      <c r="AZ31" s="65" t="str">
        <f aca="false">IF($AH31="Critical",$AF31+ROW()/100000,"")</f>
        <v/>
      </c>
    </row>
    <row r="32" customFormat="false" ht="15" hidden="false" customHeight="false" outlineLevel="0" collapsed="false">
      <c r="A32" s="28"/>
      <c r="B32" s="28"/>
      <c r="C32" s="28"/>
      <c r="D32" s="28"/>
      <c r="E32" s="28"/>
      <c r="F32" s="28"/>
      <c r="G32" s="63"/>
      <c r="H32" s="63"/>
      <c r="I32" s="63"/>
      <c r="J32" s="28"/>
      <c r="K32" s="28"/>
      <c r="L32" s="28"/>
      <c r="M32" s="28"/>
      <c r="N32" s="28"/>
      <c r="O32" s="64"/>
      <c r="P32" s="64"/>
      <c r="Q32" s="64"/>
      <c r="R32" s="28"/>
      <c r="S32" s="63"/>
      <c r="T32" s="64"/>
      <c r="U32" s="63"/>
      <c r="V32" s="64"/>
      <c r="W32" s="28"/>
      <c r="X32" s="65" t="str">
        <f aca="false">IF($A32="","",IF(OR($T32&lt;&gt;"",$U32&lt;&gt;""),"Closed",IFERROR(INDEX(MapStage,MATCH($C32,MapStatus,0)),"Unmapped")))</f>
        <v/>
      </c>
      <c r="Y32" s="65" t="str">
        <f aca="false">IF(OR($X32="",$X32="Closed",$X32="Unmapped"),"",MATCH($X32,StageName,0))</f>
        <v/>
      </c>
      <c r="Z32" s="65" t="str">
        <f aca="false">IF(OR($Y32="",$I32=""),"",$I32-AsOf)</f>
        <v/>
      </c>
      <c r="AA32" s="65" t="str">
        <f aca="false">IF($A32="","",AsOf-$H32)</f>
        <v/>
      </c>
      <c r="AB32" s="65" t="str">
        <f aca="false">IF($A32="","",IF($X32="Closed","Closed",IF($X32="Unmapped","Unmapped",IF($I32="","No target",IF($Z32&lt;0,"Overdue",IF($Z32&lt;=INDEX(StageWindow,$Y32),"At risk","On track"))))))</f>
        <v/>
      </c>
      <c r="AC32" s="65" t="str">
        <f aca="false">IF($Y32="","",IF($AA32&gt;2*INDEX(StageStale,$Y32),"Stale",IF($AA32&gt;INDEX(StageStale,$Y32),"Aging","Fresh")))</f>
        <v/>
      </c>
      <c r="AD32" s="65" t="str">
        <f aca="false">IF($A32="","",IF(OR(ISNUMBER(SEARCH("Reg report",$J32)),ISNUMBER(SEARCH("No human review",$J32)),COUNTIF(TierFuncs,$D32)&gt;0),"High",IF(OR(TRIM($J32)&lt;&gt;"",ISNUMBER(SEARCH("revenue",$K32))),"Medium","Low")))</f>
        <v/>
      </c>
      <c r="AE32" s="65" t="str">
        <f aca="false">IF($A32="","",INDEX(TierDays,MATCH($AD32,TierName,0)))</f>
        <v/>
      </c>
      <c r="AF32" s="65" t="str">
        <f aca="false">IF($A32="","",AsOf-$G32)</f>
        <v/>
      </c>
      <c r="AG32" s="65" t="str">
        <f aca="false">IF($Y32="","",IF($Y32&lt;=5,IF($AF32&gt;$AE32,"Over","Inside"),"Past approval"))</f>
        <v/>
      </c>
      <c r="AH32" s="65" t="str">
        <f aca="false">IF($Y32="","",CHOOSE($Y32,IF(OR(TRIM($F32)="",ISNUMBER(SEARCH("not named",$F32))),"Critical","Good"),IF($O32&lt;&gt;"Y","Critical",IF($Q32&lt;&gt;"Y","Warning","Good")),IF($P32="","Critical",IF($P32="partial","Warning",IF($P32="ready","Good","Critical"))),IF($R32&lt;&gt;"","Critical","Warning"),IF($L32="","Critical",IF($N32="","Warning","Good")),IF($R32&lt;&gt;"","Critical","Warning"),IF($R32&lt;&gt;"","Critical","Warning"),IF($Q32="Y","Good","Critical")))</f>
        <v/>
      </c>
      <c r="AI32" s="65" t="str">
        <f aca="false">IF($Y32="","",CHOOSE($Y32,IF(OR(TRIM($F32)="",ISNUMBER(SEARCH("not named",$F32))),"Name a sponsor accountable for the value",""),IF($O32&lt;&gt;"Y","State the success metric and the stop condition",IF($Q32&lt;&gt;"Y","Set the baseline the benefit will be measured against","")),IF($P32="","Assess data readiness and regulatory impact",IF($P32="partial","Close the known data gaps",IF($P32="ready","","Data is not available; reshape or park"))),IF($R32&lt;&gt;"",IF(OR(ISNUMBER(SEARCH("mrm",$R32)),ISNUMBER(SEARCH("model",$R32)),ISNUMBER(SEARCH("risk",$R32)),ISNUMBER(SEARCH("legal",$R32)),ISNUMBER(SEARCH("complian",$R32))),"Awaiting ","Held at the design gate: ")&amp;$R32,"Map the governance framework for its tier"),IF($L32="","Size the annual benefit",IF($N32="","Score it so it can be ranked against capacity","")),IF($R32&lt;&gt;"","Build held: "&amp;$R32,"In build, not yet through test"),IF($R32&lt;&gt;"","Not ready to scale: "&amp;$R32,"Monitoring and third-party review not yet signed off"),IF($Q32="Y","","Live without a measured baseline to judge it against")))</f>
        <v/>
      </c>
      <c r="AJ32" s="65" t="str">
        <f aca="false">IF($Y32="","",INDEX(StageForum,$Y32))</f>
        <v/>
      </c>
      <c r="AK32" s="65" t="str">
        <f aca="false">IF($Y32="","",IF(OR($X32="Delivery",$X32="Value"),"Committed",IF($N32&lt;&gt;"","Candidate","")))</f>
        <v/>
      </c>
      <c r="AL32" s="65" t="str">
        <f aca="false">IF($AK32&lt;&gt;"Candidate","",COUNTIFS($AK$2:$AK$501,"Candidate",$N$2:$N$501,"&gt;"&amp;$N32)+COUNTIFS($AK$2:$AK$501,"Candidate",$N$2:$N$501,$N32,$A$2:$A$501,"&lt;"&amp;$A32)+1)</f>
        <v/>
      </c>
      <c r="AM32" s="65" t="str">
        <f aca="false">IF($AL32="","",SUMIFS($M$2:$M$501,$AK$2:$AK$501,"Candidate",$AL$2:$AL$501,"&lt;="&amp;$AL32))</f>
        <v/>
      </c>
      <c r="AN32" s="65" t="str">
        <f aca="false">IF($AL32="","",IF($AM32&lt;=CapacityOpen,"Fits","Below line"))</f>
        <v/>
      </c>
      <c r="AO32" s="65" t="str">
        <f aca="false">IF($A32="","",IF($X32="Closed","",IF($X32="Unmapped","Warning",IF(OR($AB32="Overdue",$V32="Y",$AH32="Critical"),"Critical",IF(OR($AB32="At risk",$AC32="Stale",$AG32="Over"),"Warning","")))))</f>
        <v/>
      </c>
      <c r="AP32" s="65" t="str">
        <f aca="false">IF($AO32="","",IF($AO32="Critical",3000,2000)-IF($Z32="",0,$Z32)+ROW()/100000)</f>
        <v/>
      </c>
      <c r="AQ32" s="65" t="str">
        <f aca="false">IF($AO32="","",IF($X32="Unmapped","Status '"&amp;$C32&amp;"' is not in the Config map",IF($V32="Y","Flagged in Jira",IF($AB32="Overdue",-$Z32&amp;" days past its "&amp;$X32&amp;" target",IF($AH32="Critical",$AI32,IF($AB32="At risk","Target in "&amp;$Z32&amp;" days",IF($AC32="Stale","No update in "&amp;$AA32&amp;" days","Past its "&amp;$AE32&amp;"-day tier window")))))))</f>
        <v/>
      </c>
      <c r="AR32" s="65" t="str">
        <f aca="false">IF($AO32="","","draft Jira update for "&amp;$A32)</f>
        <v/>
      </c>
      <c r="AS32" s="65" t="str">
        <f aca="false">IF($A32="","",HYPERLINK(JiraSite&amp;"/browse/"&amp;$A32,"open"))</f>
        <v/>
      </c>
      <c r="AT32" s="65" t="str">
        <f aca="false">IF($Y32="","",$Y32*1000+ROW())</f>
        <v/>
      </c>
      <c r="AU32" s="65" t="str">
        <f aca="false">IF(AND($A32&lt;&gt;"",$G32&gt;=WeekStart),$G32+ROW()/100000,"")</f>
        <v/>
      </c>
      <c r="AV32" s="65" t="str">
        <f aca="false">IF($A32="","",IF(OR(AND($S32&lt;&gt;"",$S32&gt;=WeekStart),AND($U32&lt;&gt;"",$U32&gt;=WeekStart)),MAX($S32,$U32)+ROW()/100000,""))</f>
        <v/>
      </c>
      <c r="AW32" s="65" t="str">
        <f aca="false">IF($AV32="","",IF($T32&lt;&gt;"",$T32,IF($X32="Closed","Closed","Accepted to "&amp;$X32)))</f>
        <v/>
      </c>
      <c r="AX32" s="65" t="str">
        <f aca="false">IF(AND($Y32&lt;&gt;"",$R32&lt;&gt;""),$AF32+ROW()/100000,"")</f>
        <v/>
      </c>
      <c r="AY32" s="65" t="str">
        <f aca="false">IF(AND($Y32&lt;&gt;"",OR($AB32="Overdue",AND($AH32="Critical",$R32&lt;&gt;""))),$AF32+ROW()/100000,"")</f>
        <v/>
      </c>
      <c r="AZ32" s="65" t="str">
        <f aca="false">IF($AH32="Critical",$AF32+ROW()/100000,"")</f>
        <v/>
      </c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/>
      <c r="G33" s="63"/>
      <c r="H33" s="63"/>
      <c r="I33" s="63"/>
      <c r="J33" s="28"/>
      <c r="K33" s="28"/>
      <c r="L33" s="28"/>
      <c r="M33" s="28"/>
      <c r="N33" s="28"/>
      <c r="O33" s="64"/>
      <c r="P33" s="64"/>
      <c r="Q33" s="64"/>
      <c r="R33" s="28"/>
      <c r="S33" s="63"/>
      <c r="T33" s="64"/>
      <c r="U33" s="63"/>
      <c r="V33" s="64"/>
      <c r="W33" s="28"/>
      <c r="X33" s="65" t="str">
        <f aca="false">IF($A33="","",IF(OR($T33&lt;&gt;"",$U33&lt;&gt;""),"Closed",IFERROR(INDEX(MapStage,MATCH($C33,MapStatus,0)),"Unmapped")))</f>
        <v/>
      </c>
      <c r="Y33" s="65" t="str">
        <f aca="false">IF(OR($X33="",$X33="Closed",$X33="Unmapped"),"",MATCH($X33,StageName,0))</f>
        <v/>
      </c>
      <c r="Z33" s="65" t="str">
        <f aca="false">IF(OR($Y33="",$I33=""),"",$I33-AsOf)</f>
        <v/>
      </c>
      <c r="AA33" s="65" t="str">
        <f aca="false">IF($A33="","",AsOf-$H33)</f>
        <v/>
      </c>
      <c r="AB33" s="65" t="str">
        <f aca="false">IF($A33="","",IF($X33="Closed","Closed",IF($X33="Unmapped","Unmapped",IF($I33="","No target",IF($Z33&lt;0,"Overdue",IF($Z33&lt;=INDEX(StageWindow,$Y33),"At risk","On track"))))))</f>
        <v/>
      </c>
      <c r="AC33" s="65" t="str">
        <f aca="false">IF($Y33="","",IF($AA33&gt;2*INDEX(StageStale,$Y33),"Stale",IF($AA33&gt;INDEX(StageStale,$Y33),"Aging","Fresh")))</f>
        <v/>
      </c>
      <c r="AD33" s="65" t="str">
        <f aca="false">IF($A33="","",IF(OR(ISNUMBER(SEARCH("Reg report",$J33)),ISNUMBER(SEARCH("No human review",$J33)),COUNTIF(TierFuncs,$D33)&gt;0),"High",IF(OR(TRIM($J33)&lt;&gt;"",ISNUMBER(SEARCH("revenue",$K33))),"Medium","Low")))</f>
        <v/>
      </c>
      <c r="AE33" s="65" t="str">
        <f aca="false">IF($A33="","",INDEX(TierDays,MATCH($AD33,TierName,0)))</f>
        <v/>
      </c>
      <c r="AF33" s="65" t="str">
        <f aca="false">IF($A33="","",AsOf-$G33)</f>
        <v/>
      </c>
      <c r="AG33" s="65" t="str">
        <f aca="false">IF($Y33="","",IF($Y33&lt;=5,IF($AF33&gt;$AE33,"Over","Inside"),"Past approval"))</f>
        <v/>
      </c>
      <c r="AH33" s="65" t="str">
        <f aca="false">IF($Y33="","",CHOOSE($Y33,IF(OR(TRIM($F33)="",ISNUMBER(SEARCH("not named",$F33))),"Critical","Good"),IF($O33&lt;&gt;"Y","Critical",IF($Q33&lt;&gt;"Y","Warning","Good")),IF($P33="","Critical",IF($P33="partial","Warning",IF($P33="ready","Good","Critical"))),IF($R33&lt;&gt;"","Critical","Warning"),IF($L33="","Critical",IF($N33="","Warning","Good")),IF($R33&lt;&gt;"","Critical","Warning"),IF($R33&lt;&gt;"","Critical","Warning"),IF($Q33="Y","Good","Critical")))</f>
        <v/>
      </c>
      <c r="AI33" s="65" t="str">
        <f aca="false">IF($Y33="","",CHOOSE($Y33,IF(OR(TRIM($F33)="",ISNUMBER(SEARCH("not named",$F33))),"Name a sponsor accountable for the value",""),IF($O33&lt;&gt;"Y","State the success metric and the stop condition",IF($Q33&lt;&gt;"Y","Set the baseline the benefit will be measured against","")),IF($P33="","Assess data readiness and regulatory impact",IF($P33="partial","Close the known data gaps",IF($P33="ready","","Data is not available; reshape or park"))),IF($R33&lt;&gt;"",IF(OR(ISNUMBER(SEARCH("mrm",$R33)),ISNUMBER(SEARCH("model",$R33)),ISNUMBER(SEARCH("risk",$R33)),ISNUMBER(SEARCH("legal",$R33)),ISNUMBER(SEARCH("complian",$R33))),"Awaiting ","Held at the design gate: ")&amp;$R33,"Map the governance framework for its tier"),IF($L33="","Size the annual benefit",IF($N33="","Score it so it can be ranked against capacity","")),IF($R33&lt;&gt;"","Build held: "&amp;$R33,"In build, not yet through test"),IF($R33&lt;&gt;"","Not ready to scale: "&amp;$R33,"Monitoring and third-party review not yet signed off"),IF($Q33="Y","","Live without a measured baseline to judge it against")))</f>
        <v/>
      </c>
      <c r="AJ33" s="65" t="str">
        <f aca="false">IF($Y33="","",INDEX(StageForum,$Y33))</f>
        <v/>
      </c>
      <c r="AK33" s="65" t="str">
        <f aca="false">IF($Y33="","",IF(OR($X33="Delivery",$X33="Value"),"Committed",IF($N33&lt;&gt;"","Candidate","")))</f>
        <v/>
      </c>
      <c r="AL33" s="65" t="str">
        <f aca="false">IF($AK33&lt;&gt;"Candidate","",COUNTIFS($AK$2:$AK$501,"Candidate",$N$2:$N$501,"&gt;"&amp;$N33)+COUNTIFS($AK$2:$AK$501,"Candidate",$N$2:$N$501,$N33,$A$2:$A$501,"&lt;"&amp;$A33)+1)</f>
        <v/>
      </c>
      <c r="AM33" s="65" t="str">
        <f aca="false">IF($AL33="","",SUMIFS($M$2:$M$501,$AK$2:$AK$501,"Candidate",$AL$2:$AL$501,"&lt;="&amp;$AL33))</f>
        <v/>
      </c>
      <c r="AN33" s="65" t="str">
        <f aca="false">IF($AL33="","",IF($AM33&lt;=CapacityOpen,"Fits","Below line"))</f>
        <v/>
      </c>
      <c r="AO33" s="65" t="str">
        <f aca="false">IF($A33="","",IF($X33="Closed","",IF($X33="Unmapped","Warning",IF(OR($AB33="Overdue",$V33="Y",$AH33="Critical"),"Critical",IF(OR($AB33="At risk",$AC33="Stale",$AG33="Over"),"Warning","")))))</f>
        <v/>
      </c>
      <c r="AP33" s="65" t="str">
        <f aca="false">IF($AO33="","",IF($AO33="Critical",3000,2000)-IF($Z33="",0,$Z33)+ROW()/100000)</f>
        <v/>
      </c>
      <c r="AQ33" s="65" t="str">
        <f aca="false">IF($AO33="","",IF($X33="Unmapped","Status '"&amp;$C33&amp;"' is not in the Config map",IF($V33="Y","Flagged in Jira",IF($AB33="Overdue",-$Z33&amp;" days past its "&amp;$X33&amp;" target",IF($AH33="Critical",$AI33,IF($AB33="At risk","Target in "&amp;$Z33&amp;" days",IF($AC33="Stale","No update in "&amp;$AA33&amp;" days","Past its "&amp;$AE33&amp;"-day tier window")))))))</f>
        <v/>
      </c>
      <c r="AR33" s="65" t="str">
        <f aca="false">IF($AO33="","","draft Jira update for "&amp;$A33)</f>
        <v/>
      </c>
      <c r="AS33" s="65" t="str">
        <f aca="false">IF($A33="","",HYPERLINK(JiraSite&amp;"/browse/"&amp;$A33,"open"))</f>
        <v/>
      </c>
      <c r="AT33" s="65" t="str">
        <f aca="false">IF($Y33="","",$Y33*1000+ROW())</f>
        <v/>
      </c>
      <c r="AU33" s="65" t="str">
        <f aca="false">IF(AND($A33&lt;&gt;"",$G33&gt;=WeekStart),$G33+ROW()/100000,"")</f>
        <v/>
      </c>
      <c r="AV33" s="65" t="str">
        <f aca="false">IF($A33="","",IF(OR(AND($S33&lt;&gt;"",$S33&gt;=WeekStart),AND($U33&lt;&gt;"",$U33&gt;=WeekStart)),MAX($S33,$U33)+ROW()/100000,""))</f>
        <v/>
      </c>
      <c r="AW33" s="65" t="str">
        <f aca="false">IF($AV33="","",IF($T33&lt;&gt;"",$T33,IF($X33="Closed","Closed","Accepted to "&amp;$X33)))</f>
        <v/>
      </c>
      <c r="AX33" s="65" t="str">
        <f aca="false">IF(AND($Y33&lt;&gt;"",$R33&lt;&gt;""),$AF33+ROW()/100000,"")</f>
        <v/>
      </c>
      <c r="AY33" s="65" t="str">
        <f aca="false">IF(AND($Y33&lt;&gt;"",OR($AB33="Overdue",AND($AH33="Critical",$R33&lt;&gt;""))),$AF33+ROW()/100000,"")</f>
        <v/>
      </c>
      <c r="AZ33" s="65" t="str">
        <f aca="false">IF($AH33="Critical",$AF33+ROW()/100000,"")</f>
        <v/>
      </c>
    </row>
    <row r="34" customFormat="false" ht="15" hidden="false" customHeight="false" outlineLevel="0" collapsed="false">
      <c r="A34" s="28"/>
      <c r="B34" s="28"/>
      <c r="C34" s="28"/>
      <c r="D34" s="28"/>
      <c r="E34" s="28"/>
      <c r="F34" s="28"/>
      <c r="G34" s="63"/>
      <c r="H34" s="63"/>
      <c r="I34" s="63"/>
      <c r="J34" s="28"/>
      <c r="K34" s="28"/>
      <c r="L34" s="28"/>
      <c r="M34" s="28"/>
      <c r="N34" s="28"/>
      <c r="O34" s="64"/>
      <c r="P34" s="64"/>
      <c r="Q34" s="64"/>
      <c r="R34" s="28"/>
      <c r="S34" s="63"/>
      <c r="T34" s="64"/>
      <c r="U34" s="63"/>
      <c r="V34" s="64"/>
      <c r="W34" s="28"/>
      <c r="X34" s="65" t="str">
        <f aca="false">IF($A34="","",IF(OR($T34&lt;&gt;"",$U34&lt;&gt;""),"Closed",IFERROR(INDEX(MapStage,MATCH($C34,MapStatus,0)),"Unmapped")))</f>
        <v/>
      </c>
      <c r="Y34" s="65" t="str">
        <f aca="false">IF(OR($X34="",$X34="Closed",$X34="Unmapped"),"",MATCH($X34,StageName,0))</f>
        <v/>
      </c>
      <c r="Z34" s="65" t="str">
        <f aca="false">IF(OR($Y34="",$I34=""),"",$I34-AsOf)</f>
        <v/>
      </c>
      <c r="AA34" s="65" t="str">
        <f aca="false">IF($A34="","",AsOf-$H34)</f>
        <v/>
      </c>
      <c r="AB34" s="65" t="str">
        <f aca="false">IF($A34="","",IF($X34="Closed","Closed",IF($X34="Unmapped","Unmapped",IF($I34="","No target",IF($Z34&lt;0,"Overdue",IF($Z34&lt;=INDEX(StageWindow,$Y34),"At risk","On track"))))))</f>
        <v/>
      </c>
      <c r="AC34" s="65" t="str">
        <f aca="false">IF($Y34="","",IF($AA34&gt;2*INDEX(StageStale,$Y34),"Stale",IF($AA34&gt;INDEX(StageStale,$Y34),"Aging","Fresh")))</f>
        <v/>
      </c>
      <c r="AD34" s="65" t="str">
        <f aca="false">IF($A34="","",IF(OR(ISNUMBER(SEARCH("Reg report",$J34)),ISNUMBER(SEARCH("No human review",$J34)),COUNTIF(TierFuncs,$D34)&gt;0),"High",IF(OR(TRIM($J34)&lt;&gt;"",ISNUMBER(SEARCH("revenue",$K34))),"Medium","Low")))</f>
        <v/>
      </c>
      <c r="AE34" s="65" t="str">
        <f aca="false">IF($A34="","",INDEX(TierDays,MATCH($AD34,TierName,0)))</f>
        <v/>
      </c>
      <c r="AF34" s="65" t="str">
        <f aca="false">IF($A34="","",AsOf-$G34)</f>
        <v/>
      </c>
      <c r="AG34" s="65" t="str">
        <f aca="false">IF($Y34="","",IF($Y34&lt;=5,IF($AF34&gt;$AE34,"Over","Inside"),"Past approval"))</f>
        <v/>
      </c>
      <c r="AH34" s="65" t="str">
        <f aca="false">IF($Y34="","",CHOOSE($Y34,IF(OR(TRIM($F34)="",ISNUMBER(SEARCH("not named",$F34))),"Critical","Good"),IF($O34&lt;&gt;"Y","Critical",IF($Q34&lt;&gt;"Y","Warning","Good")),IF($P34="","Critical",IF($P34="partial","Warning",IF($P34="ready","Good","Critical"))),IF($R34&lt;&gt;"","Critical","Warning"),IF($L34="","Critical",IF($N34="","Warning","Good")),IF($R34&lt;&gt;"","Critical","Warning"),IF($R34&lt;&gt;"","Critical","Warning"),IF($Q34="Y","Good","Critical")))</f>
        <v/>
      </c>
      <c r="AI34" s="65" t="str">
        <f aca="false">IF($Y34="","",CHOOSE($Y34,IF(OR(TRIM($F34)="",ISNUMBER(SEARCH("not named",$F34))),"Name a sponsor accountable for the value",""),IF($O34&lt;&gt;"Y","State the success metric and the stop condition",IF($Q34&lt;&gt;"Y","Set the baseline the benefit will be measured against","")),IF($P34="","Assess data readiness and regulatory impact",IF($P34="partial","Close the known data gaps",IF($P34="ready","","Data is not available; reshape or park"))),IF($R34&lt;&gt;"",IF(OR(ISNUMBER(SEARCH("mrm",$R34)),ISNUMBER(SEARCH("model",$R34)),ISNUMBER(SEARCH("risk",$R34)),ISNUMBER(SEARCH("legal",$R34)),ISNUMBER(SEARCH("complian",$R34))),"Awaiting ","Held at the design gate: ")&amp;$R34,"Map the governance framework for its tier"),IF($L34="","Size the annual benefit",IF($N34="","Score it so it can be ranked against capacity","")),IF($R34&lt;&gt;"","Build held: "&amp;$R34,"In build, not yet through test"),IF($R34&lt;&gt;"","Not ready to scale: "&amp;$R34,"Monitoring and third-party review not yet signed off"),IF($Q34="Y","","Live without a measured baseline to judge it against")))</f>
        <v/>
      </c>
      <c r="AJ34" s="65" t="str">
        <f aca="false">IF($Y34="","",INDEX(StageForum,$Y34))</f>
        <v/>
      </c>
      <c r="AK34" s="65" t="str">
        <f aca="false">IF($Y34="","",IF(OR($X34="Delivery",$X34="Value"),"Committed",IF($N34&lt;&gt;"","Candidate","")))</f>
        <v/>
      </c>
      <c r="AL34" s="65" t="str">
        <f aca="false">IF($AK34&lt;&gt;"Candidate","",COUNTIFS($AK$2:$AK$501,"Candidate",$N$2:$N$501,"&gt;"&amp;$N34)+COUNTIFS($AK$2:$AK$501,"Candidate",$N$2:$N$501,$N34,$A$2:$A$501,"&lt;"&amp;$A34)+1)</f>
        <v/>
      </c>
      <c r="AM34" s="65" t="str">
        <f aca="false">IF($AL34="","",SUMIFS($M$2:$M$501,$AK$2:$AK$501,"Candidate",$AL$2:$AL$501,"&lt;="&amp;$AL34))</f>
        <v/>
      </c>
      <c r="AN34" s="65" t="str">
        <f aca="false">IF($AL34="","",IF($AM34&lt;=CapacityOpen,"Fits","Below line"))</f>
        <v/>
      </c>
      <c r="AO34" s="65" t="str">
        <f aca="false">IF($A34="","",IF($X34="Closed","",IF($X34="Unmapped","Warning",IF(OR($AB34="Overdue",$V34="Y",$AH34="Critical"),"Critical",IF(OR($AB34="At risk",$AC34="Stale",$AG34="Over"),"Warning","")))))</f>
        <v/>
      </c>
      <c r="AP34" s="65" t="str">
        <f aca="false">IF($AO34="","",IF($AO34="Critical",3000,2000)-IF($Z34="",0,$Z34)+ROW()/100000)</f>
        <v/>
      </c>
      <c r="AQ34" s="65" t="str">
        <f aca="false">IF($AO34="","",IF($X34="Unmapped","Status '"&amp;$C34&amp;"' is not in the Config map",IF($V34="Y","Flagged in Jira",IF($AB34="Overdue",-$Z34&amp;" days past its "&amp;$X34&amp;" target",IF($AH34="Critical",$AI34,IF($AB34="At risk","Target in "&amp;$Z34&amp;" days",IF($AC34="Stale","No update in "&amp;$AA34&amp;" days","Past its "&amp;$AE34&amp;"-day tier window")))))))</f>
        <v/>
      </c>
      <c r="AR34" s="65" t="str">
        <f aca="false">IF($AO34="","","draft Jira update for "&amp;$A34)</f>
        <v/>
      </c>
      <c r="AS34" s="65" t="str">
        <f aca="false">IF($A34="","",HYPERLINK(JiraSite&amp;"/browse/"&amp;$A34,"open"))</f>
        <v/>
      </c>
      <c r="AT34" s="65" t="str">
        <f aca="false">IF($Y34="","",$Y34*1000+ROW())</f>
        <v/>
      </c>
      <c r="AU34" s="65" t="str">
        <f aca="false">IF(AND($A34&lt;&gt;"",$G34&gt;=WeekStart),$G34+ROW()/100000,"")</f>
        <v/>
      </c>
      <c r="AV34" s="65" t="str">
        <f aca="false">IF($A34="","",IF(OR(AND($S34&lt;&gt;"",$S34&gt;=WeekStart),AND($U34&lt;&gt;"",$U34&gt;=WeekStart)),MAX($S34,$U34)+ROW()/100000,""))</f>
        <v/>
      </c>
      <c r="AW34" s="65" t="str">
        <f aca="false">IF($AV34="","",IF($T34&lt;&gt;"",$T34,IF($X34="Closed","Closed","Accepted to "&amp;$X34)))</f>
        <v/>
      </c>
      <c r="AX34" s="65" t="str">
        <f aca="false">IF(AND($Y34&lt;&gt;"",$R34&lt;&gt;""),$AF34+ROW()/100000,"")</f>
        <v/>
      </c>
      <c r="AY34" s="65" t="str">
        <f aca="false">IF(AND($Y34&lt;&gt;"",OR($AB34="Overdue",AND($AH34="Critical",$R34&lt;&gt;""))),$AF34+ROW()/100000,"")</f>
        <v/>
      </c>
      <c r="AZ34" s="65" t="str">
        <f aca="false">IF($AH34="Critical",$AF34+ROW()/100000,"")</f>
        <v/>
      </c>
    </row>
    <row r="35" customFormat="false" ht="15" hidden="false" customHeight="false" outlineLevel="0" collapsed="false">
      <c r="A35" s="28"/>
      <c r="B35" s="28"/>
      <c r="C35" s="28"/>
      <c r="D35" s="28"/>
      <c r="E35" s="28"/>
      <c r="F35" s="28"/>
      <c r="G35" s="63"/>
      <c r="H35" s="63"/>
      <c r="I35" s="63"/>
      <c r="J35" s="28"/>
      <c r="K35" s="28"/>
      <c r="L35" s="28"/>
      <c r="M35" s="28"/>
      <c r="N35" s="28"/>
      <c r="O35" s="64"/>
      <c r="P35" s="64"/>
      <c r="Q35" s="64"/>
      <c r="R35" s="28"/>
      <c r="S35" s="63"/>
      <c r="T35" s="64"/>
      <c r="U35" s="63"/>
      <c r="V35" s="64"/>
      <c r="W35" s="28"/>
      <c r="X35" s="65" t="str">
        <f aca="false">IF($A35="","",IF(OR($T35&lt;&gt;"",$U35&lt;&gt;""),"Closed",IFERROR(INDEX(MapStage,MATCH($C35,MapStatus,0)),"Unmapped")))</f>
        <v/>
      </c>
      <c r="Y35" s="65" t="str">
        <f aca="false">IF(OR($X35="",$X35="Closed",$X35="Unmapped"),"",MATCH($X35,StageName,0))</f>
        <v/>
      </c>
      <c r="Z35" s="65" t="str">
        <f aca="false">IF(OR($Y35="",$I35=""),"",$I35-AsOf)</f>
        <v/>
      </c>
      <c r="AA35" s="65" t="str">
        <f aca="false">IF($A35="","",AsOf-$H35)</f>
        <v/>
      </c>
      <c r="AB35" s="65" t="str">
        <f aca="false">IF($A35="","",IF($X35="Closed","Closed",IF($X35="Unmapped","Unmapped",IF($I35="","No target",IF($Z35&lt;0,"Overdue",IF($Z35&lt;=INDEX(StageWindow,$Y35),"At risk","On track"))))))</f>
        <v/>
      </c>
      <c r="AC35" s="65" t="str">
        <f aca="false">IF($Y35="","",IF($AA35&gt;2*INDEX(StageStale,$Y35),"Stale",IF($AA35&gt;INDEX(StageStale,$Y35),"Aging","Fresh")))</f>
        <v/>
      </c>
      <c r="AD35" s="65" t="str">
        <f aca="false">IF($A35="","",IF(OR(ISNUMBER(SEARCH("Reg report",$J35)),ISNUMBER(SEARCH("No human review",$J35)),COUNTIF(TierFuncs,$D35)&gt;0),"High",IF(OR(TRIM($J35)&lt;&gt;"",ISNUMBER(SEARCH("revenue",$K35))),"Medium","Low")))</f>
        <v/>
      </c>
      <c r="AE35" s="65" t="str">
        <f aca="false">IF($A35="","",INDEX(TierDays,MATCH($AD35,TierName,0)))</f>
        <v/>
      </c>
      <c r="AF35" s="65" t="str">
        <f aca="false">IF($A35="","",AsOf-$G35)</f>
        <v/>
      </c>
      <c r="AG35" s="65" t="str">
        <f aca="false">IF($Y35="","",IF($Y35&lt;=5,IF($AF35&gt;$AE35,"Over","Inside"),"Past approval"))</f>
        <v/>
      </c>
      <c r="AH35" s="65" t="str">
        <f aca="false">IF($Y35="","",CHOOSE($Y35,IF(OR(TRIM($F35)="",ISNUMBER(SEARCH("not named",$F35))),"Critical","Good"),IF($O35&lt;&gt;"Y","Critical",IF($Q35&lt;&gt;"Y","Warning","Good")),IF($P35="","Critical",IF($P35="partial","Warning",IF($P35="ready","Good","Critical"))),IF($R35&lt;&gt;"","Critical","Warning"),IF($L35="","Critical",IF($N35="","Warning","Good")),IF($R35&lt;&gt;"","Critical","Warning"),IF($R35&lt;&gt;"","Critical","Warning"),IF($Q35="Y","Good","Critical")))</f>
        <v/>
      </c>
      <c r="AI35" s="65" t="str">
        <f aca="false">IF($Y35="","",CHOOSE($Y35,IF(OR(TRIM($F35)="",ISNUMBER(SEARCH("not named",$F35))),"Name a sponsor accountable for the value",""),IF($O35&lt;&gt;"Y","State the success metric and the stop condition",IF($Q35&lt;&gt;"Y","Set the baseline the benefit will be measured against","")),IF($P35="","Assess data readiness and regulatory impact",IF($P35="partial","Close the known data gaps",IF($P35="ready","","Data is not available; reshape or park"))),IF($R35&lt;&gt;"",IF(OR(ISNUMBER(SEARCH("mrm",$R35)),ISNUMBER(SEARCH("model",$R35)),ISNUMBER(SEARCH("risk",$R35)),ISNUMBER(SEARCH("legal",$R35)),ISNUMBER(SEARCH("complian",$R35))),"Awaiting ","Held at the design gate: ")&amp;$R35,"Map the governance framework for its tier"),IF($L35="","Size the annual benefit",IF($N35="","Score it so it can be ranked against capacity","")),IF($R35&lt;&gt;"","Build held: "&amp;$R35,"In build, not yet through test"),IF($R35&lt;&gt;"","Not ready to scale: "&amp;$R35,"Monitoring and third-party review not yet signed off"),IF($Q35="Y","","Live without a measured baseline to judge it against")))</f>
        <v/>
      </c>
      <c r="AJ35" s="65" t="str">
        <f aca="false">IF($Y35="","",INDEX(StageForum,$Y35))</f>
        <v/>
      </c>
      <c r="AK35" s="65" t="str">
        <f aca="false">IF($Y35="","",IF(OR($X35="Delivery",$X35="Value"),"Committed",IF($N35&lt;&gt;"","Candidate","")))</f>
        <v/>
      </c>
      <c r="AL35" s="65" t="str">
        <f aca="false">IF($AK35&lt;&gt;"Candidate","",COUNTIFS($AK$2:$AK$501,"Candidate",$N$2:$N$501,"&gt;"&amp;$N35)+COUNTIFS($AK$2:$AK$501,"Candidate",$N$2:$N$501,$N35,$A$2:$A$501,"&lt;"&amp;$A35)+1)</f>
        <v/>
      </c>
      <c r="AM35" s="65" t="str">
        <f aca="false">IF($AL35="","",SUMIFS($M$2:$M$501,$AK$2:$AK$501,"Candidate",$AL$2:$AL$501,"&lt;="&amp;$AL35))</f>
        <v/>
      </c>
      <c r="AN35" s="65" t="str">
        <f aca="false">IF($AL35="","",IF($AM35&lt;=CapacityOpen,"Fits","Below line"))</f>
        <v/>
      </c>
      <c r="AO35" s="65" t="str">
        <f aca="false">IF($A35="","",IF($X35="Closed","",IF($X35="Unmapped","Warning",IF(OR($AB35="Overdue",$V35="Y",$AH35="Critical"),"Critical",IF(OR($AB35="At risk",$AC35="Stale",$AG35="Over"),"Warning","")))))</f>
        <v/>
      </c>
      <c r="AP35" s="65" t="str">
        <f aca="false">IF($AO35="","",IF($AO35="Critical",3000,2000)-IF($Z35="",0,$Z35)+ROW()/100000)</f>
        <v/>
      </c>
      <c r="AQ35" s="65" t="str">
        <f aca="false">IF($AO35="","",IF($X35="Unmapped","Status '"&amp;$C35&amp;"' is not in the Config map",IF($V35="Y","Flagged in Jira",IF($AB35="Overdue",-$Z35&amp;" days past its "&amp;$X35&amp;" target",IF($AH35="Critical",$AI35,IF($AB35="At risk","Target in "&amp;$Z35&amp;" days",IF($AC35="Stale","No update in "&amp;$AA35&amp;" days","Past its "&amp;$AE35&amp;"-day tier window")))))))</f>
        <v/>
      </c>
      <c r="AR35" s="65" t="str">
        <f aca="false">IF($AO35="","","draft Jira update for "&amp;$A35)</f>
        <v/>
      </c>
      <c r="AS35" s="65" t="str">
        <f aca="false">IF($A35="","",HYPERLINK(JiraSite&amp;"/browse/"&amp;$A35,"open"))</f>
        <v/>
      </c>
      <c r="AT35" s="65" t="str">
        <f aca="false">IF($Y35="","",$Y35*1000+ROW())</f>
        <v/>
      </c>
      <c r="AU35" s="65" t="str">
        <f aca="false">IF(AND($A35&lt;&gt;"",$G35&gt;=WeekStart),$G35+ROW()/100000,"")</f>
        <v/>
      </c>
      <c r="AV35" s="65" t="str">
        <f aca="false">IF($A35="","",IF(OR(AND($S35&lt;&gt;"",$S35&gt;=WeekStart),AND($U35&lt;&gt;"",$U35&gt;=WeekStart)),MAX($S35,$U35)+ROW()/100000,""))</f>
        <v/>
      </c>
      <c r="AW35" s="65" t="str">
        <f aca="false">IF($AV35="","",IF($T35&lt;&gt;"",$T35,IF($X35="Closed","Closed","Accepted to "&amp;$X35)))</f>
        <v/>
      </c>
      <c r="AX35" s="65" t="str">
        <f aca="false">IF(AND($Y35&lt;&gt;"",$R35&lt;&gt;""),$AF35+ROW()/100000,"")</f>
        <v/>
      </c>
      <c r="AY35" s="65" t="str">
        <f aca="false">IF(AND($Y35&lt;&gt;"",OR($AB35="Overdue",AND($AH35="Critical",$R35&lt;&gt;""))),$AF35+ROW()/100000,"")</f>
        <v/>
      </c>
      <c r="AZ35" s="65" t="str">
        <f aca="false">IF($AH35="Critical",$AF35+ROW()/100000,"")</f>
        <v/>
      </c>
    </row>
    <row r="36" customFormat="false" ht="15" hidden="false" customHeight="false" outlineLevel="0" collapsed="false">
      <c r="A36" s="28"/>
      <c r="B36" s="28"/>
      <c r="C36" s="28"/>
      <c r="D36" s="28"/>
      <c r="E36" s="28"/>
      <c r="F36" s="28"/>
      <c r="G36" s="63"/>
      <c r="H36" s="63"/>
      <c r="I36" s="63"/>
      <c r="J36" s="28"/>
      <c r="K36" s="28"/>
      <c r="L36" s="28"/>
      <c r="M36" s="28"/>
      <c r="N36" s="28"/>
      <c r="O36" s="64"/>
      <c r="P36" s="64"/>
      <c r="Q36" s="64"/>
      <c r="R36" s="28"/>
      <c r="S36" s="63"/>
      <c r="T36" s="64"/>
      <c r="U36" s="63"/>
      <c r="V36" s="64"/>
      <c r="W36" s="28"/>
      <c r="X36" s="65" t="str">
        <f aca="false">IF($A36="","",IF(OR($T36&lt;&gt;"",$U36&lt;&gt;""),"Closed",IFERROR(INDEX(MapStage,MATCH($C36,MapStatus,0)),"Unmapped")))</f>
        <v/>
      </c>
      <c r="Y36" s="65" t="str">
        <f aca="false">IF(OR($X36="",$X36="Closed",$X36="Unmapped"),"",MATCH($X36,StageName,0))</f>
        <v/>
      </c>
      <c r="Z36" s="65" t="str">
        <f aca="false">IF(OR($Y36="",$I36=""),"",$I36-AsOf)</f>
        <v/>
      </c>
      <c r="AA36" s="65" t="str">
        <f aca="false">IF($A36="","",AsOf-$H36)</f>
        <v/>
      </c>
      <c r="AB36" s="65" t="str">
        <f aca="false">IF($A36="","",IF($X36="Closed","Closed",IF($X36="Unmapped","Unmapped",IF($I36="","No target",IF($Z36&lt;0,"Overdue",IF($Z36&lt;=INDEX(StageWindow,$Y36),"At risk","On track"))))))</f>
        <v/>
      </c>
      <c r="AC36" s="65" t="str">
        <f aca="false">IF($Y36="","",IF($AA36&gt;2*INDEX(StageStale,$Y36),"Stale",IF($AA36&gt;INDEX(StageStale,$Y36),"Aging","Fresh")))</f>
        <v/>
      </c>
      <c r="AD36" s="65" t="str">
        <f aca="false">IF($A36="","",IF(OR(ISNUMBER(SEARCH("Reg report",$J36)),ISNUMBER(SEARCH("No human review",$J36)),COUNTIF(TierFuncs,$D36)&gt;0),"High",IF(OR(TRIM($J36)&lt;&gt;"",ISNUMBER(SEARCH("revenue",$K36))),"Medium","Low")))</f>
        <v/>
      </c>
      <c r="AE36" s="65" t="str">
        <f aca="false">IF($A36="","",INDEX(TierDays,MATCH($AD36,TierName,0)))</f>
        <v/>
      </c>
      <c r="AF36" s="65" t="str">
        <f aca="false">IF($A36="","",AsOf-$G36)</f>
        <v/>
      </c>
      <c r="AG36" s="65" t="str">
        <f aca="false">IF($Y36="","",IF($Y36&lt;=5,IF($AF36&gt;$AE36,"Over","Inside"),"Past approval"))</f>
        <v/>
      </c>
      <c r="AH36" s="65" t="str">
        <f aca="false">IF($Y36="","",CHOOSE($Y36,IF(OR(TRIM($F36)="",ISNUMBER(SEARCH("not named",$F36))),"Critical","Good"),IF($O36&lt;&gt;"Y","Critical",IF($Q36&lt;&gt;"Y","Warning","Good")),IF($P36="","Critical",IF($P36="partial","Warning",IF($P36="ready","Good","Critical"))),IF($R36&lt;&gt;"","Critical","Warning"),IF($L36="","Critical",IF($N36="","Warning","Good")),IF($R36&lt;&gt;"","Critical","Warning"),IF($R36&lt;&gt;"","Critical","Warning"),IF($Q36="Y","Good","Critical")))</f>
        <v/>
      </c>
      <c r="AI36" s="65" t="str">
        <f aca="false">IF($Y36="","",CHOOSE($Y36,IF(OR(TRIM($F36)="",ISNUMBER(SEARCH("not named",$F36))),"Name a sponsor accountable for the value",""),IF($O36&lt;&gt;"Y","State the success metric and the stop condition",IF($Q36&lt;&gt;"Y","Set the baseline the benefit will be measured against","")),IF($P36="","Assess data readiness and regulatory impact",IF($P36="partial","Close the known data gaps",IF($P36="ready","","Data is not available; reshape or park"))),IF($R36&lt;&gt;"",IF(OR(ISNUMBER(SEARCH("mrm",$R36)),ISNUMBER(SEARCH("model",$R36)),ISNUMBER(SEARCH("risk",$R36)),ISNUMBER(SEARCH("legal",$R36)),ISNUMBER(SEARCH("complian",$R36))),"Awaiting ","Held at the design gate: ")&amp;$R36,"Map the governance framework for its tier"),IF($L36="","Size the annual benefit",IF($N36="","Score it so it can be ranked against capacity","")),IF($R36&lt;&gt;"","Build held: "&amp;$R36,"In build, not yet through test"),IF($R36&lt;&gt;"","Not ready to scale: "&amp;$R36,"Monitoring and third-party review not yet signed off"),IF($Q36="Y","","Live without a measured baseline to judge it against")))</f>
        <v/>
      </c>
      <c r="AJ36" s="65" t="str">
        <f aca="false">IF($Y36="","",INDEX(StageForum,$Y36))</f>
        <v/>
      </c>
      <c r="AK36" s="65" t="str">
        <f aca="false">IF($Y36="","",IF(OR($X36="Delivery",$X36="Value"),"Committed",IF($N36&lt;&gt;"","Candidate","")))</f>
        <v/>
      </c>
      <c r="AL36" s="65" t="str">
        <f aca="false">IF($AK36&lt;&gt;"Candidate","",COUNTIFS($AK$2:$AK$501,"Candidate",$N$2:$N$501,"&gt;"&amp;$N36)+COUNTIFS($AK$2:$AK$501,"Candidate",$N$2:$N$501,$N36,$A$2:$A$501,"&lt;"&amp;$A36)+1)</f>
        <v/>
      </c>
      <c r="AM36" s="65" t="str">
        <f aca="false">IF($AL36="","",SUMIFS($M$2:$M$501,$AK$2:$AK$501,"Candidate",$AL$2:$AL$501,"&lt;="&amp;$AL36))</f>
        <v/>
      </c>
      <c r="AN36" s="65" t="str">
        <f aca="false">IF($AL36="","",IF($AM36&lt;=CapacityOpen,"Fits","Below line"))</f>
        <v/>
      </c>
      <c r="AO36" s="65" t="str">
        <f aca="false">IF($A36="","",IF($X36="Closed","",IF($X36="Unmapped","Warning",IF(OR($AB36="Overdue",$V36="Y",$AH36="Critical"),"Critical",IF(OR($AB36="At risk",$AC36="Stale",$AG36="Over"),"Warning","")))))</f>
        <v/>
      </c>
      <c r="AP36" s="65" t="str">
        <f aca="false">IF($AO36="","",IF($AO36="Critical",3000,2000)-IF($Z36="",0,$Z36)+ROW()/100000)</f>
        <v/>
      </c>
      <c r="AQ36" s="65" t="str">
        <f aca="false">IF($AO36="","",IF($X36="Unmapped","Status '"&amp;$C36&amp;"' is not in the Config map",IF($V36="Y","Flagged in Jira",IF($AB36="Overdue",-$Z36&amp;" days past its "&amp;$X36&amp;" target",IF($AH36="Critical",$AI36,IF($AB36="At risk","Target in "&amp;$Z36&amp;" days",IF($AC36="Stale","No update in "&amp;$AA36&amp;" days","Past its "&amp;$AE36&amp;"-day tier window")))))))</f>
        <v/>
      </c>
      <c r="AR36" s="65" t="str">
        <f aca="false">IF($AO36="","","draft Jira update for "&amp;$A36)</f>
        <v/>
      </c>
      <c r="AS36" s="65" t="str">
        <f aca="false">IF($A36="","",HYPERLINK(JiraSite&amp;"/browse/"&amp;$A36,"open"))</f>
        <v/>
      </c>
      <c r="AT36" s="65" t="str">
        <f aca="false">IF($Y36="","",$Y36*1000+ROW())</f>
        <v/>
      </c>
      <c r="AU36" s="65" t="str">
        <f aca="false">IF(AND($A36&lt;&gt;"",$G36&gt;=WeekStart),$G36+ROW()/100000,"")</f>
        <v/>
      </c>
      <c r="AV36" s="65" t="str">
        <f aca="false">IF($A36="","",IF(OR(AND($S36&lt;&gt;"",$S36&gt;=WeekStart),AND($U36&lt;&gt;"",$U36&gt;=WeekStart)),MAX($S36,$U36)+ROW()/100000,""))</f>
        <v/>
      </c>
      <c r="AW36" s="65" t="str">
        <f aca="false">IF($AV36="","",IF($T36&lt;&gt;"",$T36,IF($X36="Closed","Closed","Accepted to "&amp;$X36)))</f>
        <v/>
      </c>
      <c r="AX36" s="65" t="str">
        <f aca="false">IF(AND($Y36&lt;&gt;"",$R36&lt;&gt;""),$AF36+ROW()/100000,"")</f>
        <v/>
      </c>
      <c r="AY36" s="65" t="str">
        <f aca="false">IF(AND($Y36&lt;&gt;"",OR($AB36="Overdue",AND($AH36="Critical",$R36&lt;&gt;""))),$AF36+ROW()/100000,"")</f>
        <v/>
      </c>
      <c r="AZ36" s="65" t="str">
        <f aca="false">IF($AH36="Critical",$AF36+ROW()/100000,"")</f>
        <v/>
      </c>
    </row>
    <row r="37" customFormat="false" ht="15" hidden="false" customHeight="false" outlineLevel="0" collapsed="false">
      <c r="A37" s="28"/>
      <c r="B37" s="28"/>
      <c r="C37" s="28"/>
      <c r="D37" s="28"/>
      <c r="E37" s="28"/>
      <c r="F37" s="28"/>
      <c r="G37" s="63"/>
      <c r="H37" s="63"/>
      <c r="I37" s="63"/>
      <c r="J37" s="28"/>
      <c r="K37" s="28"/>
      <c r="L37" s="28"/>
      <c r="M37" s="28"/>
      <c r="N37" s="28"/>
      <c r="O37" s="64"/>
      <c r="P37" s="64"/>
      <c r="Q37" s="64"/>
      <c r="R37" s="28"/>
      <c r="S37" s="63"/>
      <c r="T37" s="64"/>
      <c r="U37" s="63"/>
      <c r="V37" s="64"/>
      <c r="W37" s="28"/>
      <c r="X37" s="65" t="str">
        <f aca="false">IF($A37="","",IF(OR($T37&lt;&gt;"",$U37&lt;&gt;""),"Closed",IFERROR(INDEX(MapStage,MATCH($C37,MapStatus,0)),"Unmapped")))</f>
        <v/>
      </c>
      <c r="Y37" s="65" t="str">
        <f aca="false">IF(OR($X37="",$X37="Closed",$X37="Unmapped"),"",MATCH($X37,StageName,0))</f>
        <v/>
      </c>
      <c r="Z37" s="65" t="str">
        <f aca="false">IF(OR($Y37="",$I37=""),"",$I37-AsOf)</f>
        <v/>
      </c>
      <c r="AA37" s="65" t="str">
        <f aca="false">IF($A37="","",AsOf-$H37)</f>
        <v/>
      </c>
      <c r="AB37" s="65" t="str">
        <f aca="false">IF($A37="","",IF($X37="Closed","Closed",IF($X37="Unmapped","Unmapped",IF($I37="","No target",IF($Z37&lt;0,"Overdue",IF($Z37&lt;=INDEX(StageWindow,$Y37),"At risk","On track"))))))</f>
        <v/>
      </c>
      <c r="AC37" s="65" t="str">
        <f aca="false">IF($Y37="","",IF($AA37&gt;2*INDEX(StageStale,$Y37),"Stale",IF($AA37&gt;INDEX(StageStale,$Y37),"Aging","Fresh")))</f>
        <v/>
      </c>
      <c r="AD37" s="65" t="str">
        <f aca="false">IF($A37="","",IF(OR(ISNUMBER(SEARCH("Reg report",$J37)),ISNUMBER(SEARCH("No human review",$J37)),COUNTIF(TierFuncs,$D37)&gt;0),"High",IF(OR(TRIM($J37)&lt;&gt;"",ISNUMBER(SEARCH("revenue",$K37))),"Medium","Low")))</f>
        <v/>
      </c>
      <c r="AE37" s="65" t="str">
        <f aca="false">IF($A37="","",INDEX(TierDays,MATCH($AD37,TierName,0)))</f>
        <v/>
      </c>
      <c r="AF37" s="65" t="str">
        <f aca="false">IF($A37="","",AsOf-$G37)</f>
        <v/>
      </c>
      <c r="AG37" s="65" t="str">
        <f aca="false">IF($Y37="","",IF($Y37&lt;=5,IF($AF37&gt;$AE37,"Over","Inside"),"Past approval"))</f>
        <v/>
      </c>
      <c r="AH37" s="65" t="str">
        <f aca="false">IF($Y37="","",CHOOSE($Y37,IF(OR(TRIM($F37)="",ISNUMBER(SEARCH("not named",$F37))),"Critical","Good"),IF($O37&lt;&gt;"Y","Critical",IF($Q37&lt;&gt;"Y","Warning","Good")),IF($P37="","Critical",IF($P37="partial","Warning",IF($P37="ready","Good","Critical"))),IF($R37&lt;&gt;"","Critical","Warning"),IF($L37="","Critical",IF($N37="","Warning","Good")),IF($R37&lt;&gt;"","Critical","Warning"),IF($R37&lt;&gt;"","Critical","Warning"),IF($Q37="Y","Good","Critical")))</f>
        <v/>
      </c>
      <c r="AI37" s="65" t="str">
        <f aca="false">IF($Y37="","",CHOOSE($Y37,IF(OR(TRIM($F37)="",ISNUMBER(SEARCH("not named",$F37))),"Name a sponsor accountable for the value",""),IF($O37&lt;&gt;"Y","State the success metric and the stop condition",IF($Q37&lt;&gt;"Y","Set the baseline the benefit will be measured against","")),IF($P37="","Assess data readiness and regulatory impact",IF($P37="partial","Close the known data gaps",IF($P37="ready","","Data is not available; reshape or park"))),IF($R37&lt;&gt;"",IF(OR(ISNUMBER(SEARCH("mrm",$R37)),ISNUMBER(SEARCH("model",$R37)),ISNUMBER(SEARCH("risk",$R37)),ISNUMBER(SEARCH("legal",$R37)),ISNUMBER(SEARCH("complian",$R37))),"Awaiting ","Held at the design gate: ")&amp;$R37,"Map the governance framework for its tier"),IF($L37="","Size the annual benefit",IF($N37="","Score it so it can be ranked against capacity","")),IF($R37&lt;&gt;"","Build held: "&amp;$R37,"In build, not yet through test"),IF($R37&lt;&gt;"","Not ready to scale: "&amp;$R37,"Monitoring and third-party review not yet signed off"),IF($Q37="Y","","Live without a measured baseline to judge it against")))</f>
        <v/>
      </c>
      <c r="AJ37" s="65" t="str">
        <f aca="false">IF($Y37="","",INDEX(StageForum,$Y37))</f>
        <v/>
      </c>
      <c r="AK37" s="65" t="str">
        <f aca="false">IF($Y37="","",IF(OR($X37="Delivery",$X37="Value"),"Committed",IF($N37&lt;&gt;"","Candidate","")))</f>
        <v/>
      </c>
      <c r="AL37" s="65" t="str">
        <f aca="false">IF($AK37&lt;&gt;"Candidate","",COUNTIFS($AK$2:$AK$501,"Candidate",$N$2:$N$501,"&gt;"&amp;$N37)+COUNTIFS($AK$2:$AK$501,"Candidate",$N$2:$N$501,$N37,$A$2:$A$501,"&lt;"&amp;$A37)+1)</f>
        <v/>
      </c>
      <c r="AM37" s="65" t="str">
        <f aca="false">IF($AL37="","",SUMIFS($M$2:$M$501,$AK$2:$AK$501,"Candidate",$AL$2:$AL$501,"&lt;="&amp;$AL37))</f>
        <v/>
      </c>
      <c r="AN37" s="65" t="str">
        <f aca="false">IF($AL37="","",IF($AM37&lt;=CapacityOpen,"Fits","Below line"))</f>
        <v/>
      </c>
      <c r="AO37" s="65" t="str">
        <f aca="false">IF($A37="","",IF($X37="Closed","",IF($X37="Unmapped","Warning",IF(OR($AB37="Overdue",$V37="Y",$AH37="Critical"),"Critical",IF(OR($AB37="At risk",$AC37="Stale",$AG37="Over"),"Warning","")))))</f>
        <v/>
      </c>
      <c r="AP37" s="65" t="str">
        <f aca="false">IF($AO37="","",IF($AO37="Critical",3000,2000)-IF($Z37="",0,$Z37)+ROW()/100000)</f>
        <v/>
      </c>
      <c r="AQ37" s="65" t="str">
        <f aca="false">IF($AO37="","",IF($X37="Unmapped","Status '"&amp;$C37&amp;"' is not in the Config map",IF($V37="Y","Flagged in Jira",IF($AB37="Overdue",-$Z37&amp;" days past its "&amp;$X37&amp;" target",IF($AH37="Critical",$AI37,IF($AB37="At risk","Target in "&amp;$Z37&amp;" days",IF($AC37="Stale","No update in "&amp;$AA37&amp;" days","Past its "&amp;$AE37&amp;"-day tier window")))))))</f>
        <v/>
      </c>
      <c r="AR37" s="65" t="str">
        <f aca="false">IF($AO37="","","draft Jira update for "&amp;$A37)</f>
        <v/>
      </c>
      <c r="AS37" s="65" t="str">
        <f aca="false">IF($A37="","",HYPERLINK(JiraSite&amp;"/browse/"&amp;$A37,"open"))</f>
        <v/>
      </c>
      <c r="AT37" s="65" t="str">
        <f aca="false">IF($Y37="","",$Y37*1000+ROW())</f>
        <v/>
      </c>
      <c r="AU37" s="65" t="str">
        <f aca="false">IF(AND($A37&lt;&gt;"",$G37&gt;=WeekStart),$G37+ROW()/100000,"")</f>
        <v/>
      </c>
      <c r="AV37" s="65" t="str">
        <f aca="false">IF($A37="","",IF(OR(AND($S37&lt;&gt;"",$S37&gt;=WeekStart),AND($U37&lt;&gt;"",$U37&gt;=WeekStart)),MAX($S37,$U37)+ROW()/100000,""))</f>
        <v/>
      </c>
      <c r="AW37" s="65" t="str">
        <f aca="false">IF($AV37="","",IF($T37&lt;&gt;"",$T37,IF($X37="Closed","Closed","Accepted to "&amp;$X37)))</f>
        <v/>
      </c>
      <c r="AX37" s="65" t="str">
        <f aca="false">IF(AND($Y37&lt;&gt;"",$R37&lt;&gt;""),$AF37+ROW()/100000,"")</f>
        <v/>
      </c>
      <c r="AY37" s="65" t="str">
        <f aca="false">IF(AND($Y37&lt;&gt;"",OR($AB37="Overdue",AND($AH37="Critical",$R37&lt;&gt;""))),$AF37+ROW()/100000,"")</f>
        <v/>
      </c>
      <c r="AZ37" s="65" t="str">
        <f aca="false">IF($AH37="Critical",$AF37+ROW()/100000,"")</f>
        <v/>
      </c>
    </row>
    <row r="38" customFormat="false" ht="15" hidden="false" customHeight="false" outlineLevel="0" collapsed="false">
      <c r="A38" s="28"/>
      <c r="B38" s="28"/>
      <c r="C38" s="28"/>
      <c r="D38" s="28"/>
      <c r="E38" s="28"/>
      <c r="F38" s="28"/>
      <c r="G38" s="63"/>
      <c r="H38" s="63"/>
      <c r="I38" s="63"/>
      <c r="J38" s="28"/>
      <c r="K38" s="28"/>
      <c r="L38" s="28"/>
      <c r="M38" s="28"/>
      <c r="N38" s="28"/>
      <c r="O38" s="64"/>
      <c r="P38" s="64"/>
      <c r="Q38" s="64"/>
      <c r="R38" s="28"/>
      <c r="S38" s="63"/>
      <c r="T38" s="64"/>
      <c r="U38" s="63"/>
      <c r="V38" s="64"/>
      <c r="W38" s="28"/>
      <c r="X38" s="65" t="str">
        <f aca="false">IF($A38="","",IF(OR($T38&lt;&gt;"",$U38&lt;&gt;""),"Closed",IFERROR(INDEX(MapStage,MATCH($C38,MapStatus,0)),"Unmapped")))</f>
        <v/>
      </c>
      <c r="Y38" s="65" t="str">
        <f aca="false">IF(OR($X38="",$X38="Closed",$X38="Unmapped"),"",MATCH($X38,StageName,0))</f>
        <v/>
      </c>
      <c r="Z38" s="65" t="str">
        <f aca="false">IF(OR($Y38="",$I38=""),"",$I38-AsOf)</f>
        <v/>
      </c>
      <c r="AA38" s="65" t="str">
        <f aca="false">IF($A38="","",AsOf-$H38)</f>
        <v/>
      </c>
      <c r="AB38" s="65" t="str">
        <f aca="false">IF($A38="","",IF($X38="Closed","Closed",IF($X38="Unmapped","Unmapped",IF($I38="","No target",IF($Z38&lt;0,"Overdue",IF($Z38&lt;=INDEX(StageWindow,$Y38),"At risk","On track"))))))</f>
        <v/>
      </c>
      <c r="AC38" s="65" t="str">
        <f aca="false">IF($Y38="","",IF($AA38&gt;2*INDEX(StageStale,$Y38),"Stale",IF($AA38&gt;INDEX(StageStale,$Y38),"Aging","Fresh")))</f>
        <v/>
      </c>
      <c r="AD38" s="65" t="str">
        <f aca="false">IF($A38="","",IF(OR(ISNUMBER(SEARCH("Reg report",$J38)),ISNUMBER(SEARCH("No human review",$J38)),COUNTIF(TierFuncs,$D38)&gt;0),"High",IF(OR(TRIM($J38)&lt;&gt;"",ISNUMBER(SEARCH("revenue",$K38))),"Medium","Low")))</f>
        <v/>
      </c>
      <c r="AE38" s="65" t="str">
        <f aca="false">IF($A38="","",INDEX(TierDays,MATCH($AD38,TierName,0)))</f>
        <v/>
      </c>
      <c r="AF38" s="65" t="str">
        <f aca="false">IF($A38="","",AsOf-$G38)</f>
        <v/>
      </c>
      <c r="AG38" s="65" t="str">
        <f aca="false">IF($Y38="","",IF($Y38&lt;=5,IF($AF38&gt;$AE38,"Over","Inside"),"Past approval"))</f>
        <v/>
      </c>
      <c r="AH38" s="65" t="str">
        <f aca="false">IF($Y38="","",CHOOSE($Y38,IF(OR(TRIM($F38)="",ISNUMBER(SEARCH("not named",$F38))),"Critical","Good"),IF($O38&lt;&gt;"Y","Critical",IF($Q38&lt;&gt;"Y","Warning","Good")),IF($P38="","Critical",IF($P38="partial","Warning",IF($P38="ready","Good","Critical"))),IF($R38&lt;&gt;"","Critical","Warning"),IF($L38="","Critical",IF($N38="","Warning","Good")),IF($R38&lt;&gt;"","Critical","Warning"),IF($R38&lt;&gt;"","Critical","Warning"),IF($Q38="Y","Good","Critical")))</f>
        <v/>
      </c>
      <c r="AI38" s="65" t="str">
        <f aca="false">IF($Y38="","",CHOOSE($Y38,IF(OR(TRIM($F38)="",ISNUMBER(SEARCH("not named",$F38))),"Name a sponsor accountable for the value",""),IF($O38&lt;&gt;"Y","State the success metric and the stop condition",IF($Q38&lt;&gt;"Y","Set the baseline the benefit will be measured against","")),IF($P38="","Assess data readiness and regulatory impact",IF($P38="partial","Close the known data gaps",IF($P38="ready","","Data is not available; reshape or park"))),IF($R38&lt;&gt;"",IF(OR(ISNUMBER(SEARCH("mrm",$R38)),ISNUMBER(SEARCH("model",$R38)),ISNUMBER(SEARCH("risk",$R38)),ISNUMBER(SEARCH("legal",$R38)),ISNUMBER(SEARCH("complian",$R38))),"Awaiting ","Held at the design gate: ")&amp;$R38,"Map the governance framework for its tier"),IF($L38="","Size the annual benefit",IF($N38="","Score it so it can be ranked against capacity","")),IF($R38&lt;&gt;"","Build held: "&amp;$R38,"In build, not yet through test"),IF($R38&lt;&gt;"","Not ready to scale: "&amp;$R38,"Monitoring and third-party review not yet signed off"),IF($Q38="Y","","Live without a measured baseline to judge it against")))</f>
        <v/>
      </c>
      <c r="AJ38" s="65" t="str">
        <f aca="false">IF($Y38="","",INDEX(StageForum,$Y38))</f>
        <v/>
      </c>
      <c r="AK38" s="65" t="str">
        <f aca="false">IF($Y38="","",IF(OR($X38="Delivery",$X38="Value"),"Committed",IF($N38&lt;&gt;"","Candidate","")))</f>
        <v/>
      </c>
      <c r="AL38" s="65" t="str">
        <f aca="false">IF($AK38&lt;&gt;"Candidate","",COUNTIFS($AK$2:$AK$501,"Candidate",$N$2:$N$501,"&gt;"&amp;$N38)+COUNTIFS($AK$2:$AK$501,"Candidate",$N$2:$N$501,$N38,$A$2:$A$501,"&lt;"&amp;$A38)+1)</f>
        <v/>
      </c>
      <c r="AM38" s="65" t="str">
        <f aca="false">IF($AL38="","",SUMIFS($M$2:$M$501,$AK$2:$AK$501,"Candidate",$AL$2:$AL$501,"&lt;="&amp;$AL38))</f>
        <v/>
      </c>
      <c r="AN38" s="65" t="str">
        <f aca="false">IF($AL38="","",IF($AM38&lt;=CapacityOpen,"Fits","Below line"))</f>
        <v/>
      </c>
      <c r="AO38" s="65" t="str">
        <f aca="false">IF($A38="","",IF($X38="Closed","",IF($X38="Unmapped","Warning",IF(OR($AB38="Overdue",$V38="Y",$AH38="Critical"),"Critical",IF(OR($AB38="At risk",$AC38="Stale",$AG38="Over"),"Warning","")))))</f>
        <v/>
      </c>
      <c r="AP38" s="65" t="str">
        <f aca="false">IF($AO38="","",IF($AO38="Critical",3000,2000)-IF($Z38="",0,$Z38)+ROW()/100000)</f>
        <v/>
      </c>
      <c r="AQ38" s="65" t="str">
        <f aca="false">IF($AO38="","",IF($X38="Unmapped","Status '"&amp;$C38&amp;"' is not in the Config map",IF($V38="Y","Flagged in Jira",IF($AB38="Overdue",-$Z38&amp;" days past its "&amp;$X38&amp;" target",IF($AH38="Critical",$AI38,IF($AB38="At risk","Target in "&amp;$Z38&amp;" days",IF($AC38="Stale","No update in "&amp;$AA38&amp;" days","Past its "&amp;$AE38&amp;"-day tier window")))))))</f>
        <v/>
      </c>
      <c r="AR38" s="65" t="str">
        <f aca="false">IF($AO38="","","draft Jira update for "&amp;$A38)</f>
        <v/>
      </c>
      <c r="AS38" s="65" t="str">
        <f aca="false">IF($A38="","",HYPERLINK(JiraSite&amp;"/browse/"&amp;$A38,"open"))</f>
        <v/>
      </c>
      <c r="AT38" s="65" t="str">
        <f aca="false">IF($Y38="","",$Y38*1000+ROW())</f>
        <v/>
      </c>
      <c r="AU38" s="65" t="str">
        <f aca="false">IF(AND($A38&lt;&gt;"",$G38&gt;=WeekStart),$G38+ROW()/100000,"")</f>
        <v/>
      </c>
      <c r="AV38" s="65" t="str">
        <f aca="false">IF($A38="","",IF(OR(AND($S38&lt;&gt;"",$S38&gt;=WeekStart),AND($U38&lt;&gt;"",$U38&gt;=WeekStart)),MAX($S38,$U38)+ROW()/100000,""))</f>
        <v/>
      </c>
      <c r="AW38" s="65" t="str">
        <f aca="false">IF($AV38="","",IF($T38&lt;&gt;"",$T38,IF($X38="Closed","Closed","Accepted to "&amp;$X38)))</f>
        <v/>
      </c>
      <c r="AX38" s="65" t="str">
        <f aca="false">IF(AND($Y38&lt;&gt;"",$R38&lt;&gt;""),$AF38+ROW()/100000,"")</f>
        <v/>
      </c>
      <c r="AY38" s="65" t="str">
        <f aca="false">IF(AND($Y38&lt;&gt;"",OR($AB38="Overdue",AND($AH38="Critical",$R38&lt;&gt;""))),$AF38+ROW()/100000,"")</f>
        <v/>
      </c>
      <c r="AZ38" s="65" t="str">
        <f aca="false">IF($AH38="Critical",$AF38+ROW()/100000,"")</f>
        <v/>
      </c>
    </row>
    <row r="39" customFormat="false" ht="15" hidden="false" customHeight="false" outlineLevel="0" collapsed="false">
      <c r="A39" s="28"/>
      <c r="B39" s="28"/>
      <c r="C39" s="28"/>
      <c r="D39" s="28"/>
      <c r="E39" s="28"/>
      <c r="F39" s="28"/>
      <c r="G39" s="63"/>
      <c r="H39" s="63"/>
      <c r="I39" s="63"/>
      <c r="J39" s="28"/>
      <c r="K39" s="28"/>
      <c r="L39" s="28"/>
      <c r="M39" s="28"/>
      <c r="N39" s="28"/>
      <c r="O39" s="64"/>
      <c r="P39" s="64"/>
      <c r="Q39" s="64"/>
      <c r="R39" s="28"/>
      <c r="S39" s="63"/>
      <c r="T39" s="64"/>
      <c r="U39" s="63"/>
      <c r="V39" s="64"/>
      <c r="W39" s="28"/>
      <c r="X39" s="65" t="str">
        <f aca="false">IF($A39="","",IF(OR($T39&lt;&gt;"",$U39&lt;&gt;""),"Closed",IFERROR(INDEX(MapStage,MATCH($C39,MapStatus,0)),"Unmapped")))</f>
        <v/>
      </c>
      <c r="Y39" s="65" t="str">
        <f aca="false">IF(OR($X39="",$X39="Closed",$X39="Unmapped"),"",MATCH($X39,StageName,0))</f>
        <v/>
      </c>
      <c r="Z39" s="65" t="str">
        <f aca="false">IF(OR($Y39="",$I39=""),"",$I39-AsOf)</f>
        <v/>
      </c>
      <c r="AA39" s="65" t="str">
        <f aca="false">IF($A39="","",AsOf-$H39)</f>
        <v/>
      </c>
      <c r="AB39" s="65" t="str">
        <f aca="false">IF($A39="","",IF($X39="Closed","Closed",IF($X39="Unmapped","Unmapped",IF($I39="","No target",IF($Z39&lt;0,"Overdue",IF($Z39&lt;=INDEX(StageWindow,$Y39),"At risk","On track"))))))</f>
        <v/>
      </c>
      <c r="AC39" s="65" t="str">
        <f aca="false">IF($Y39="","",IF($AA39&gt;2*INDEX(StageStale,$Y39),"Stale",IF($AA39&gt;INDEX(StageStale,$Y39),"Aging","Fresh")))</f>
        <v/>
      </c>
      <c r="AD39" s="65" t="str">
        <f aca="false">IF($A39="","",IF(OR(ISNUMBER(SEARCH("Reg report",$J39)),ISNUMBER(SEARCH("No human review",$J39)),COUNTIF(TierFuncs,$D39)&gt;0),"High",IF(OR(TRIM($J39)&lt;&gt;"",ISNUMBER(SEARCH("revenue",$K39))),"Medium","Low")))</f>
        <v/>
      </c>
      <c r="AE39" s="65" t="str">
        <f aca="false">IF($A39="","",INDEX(TierDays,MATCH($AD39,TierName,0)))</f>
        <v/>
      </c>
      <c r="AF39" s="65" t="str">
        <f aca="false">IF($A39="","",AsOf-$G39)</f>
        <v/>
      </c>
      <c r="AG39" s="65" t="str">
        <f aca="false">IF($Y39="","",IF($Y39&lt;=5,IF($AF39&gt;$AE39,"Over","Inside"),"Past approval"))</f>
        <v/>
      </c>
      <c r="AH39" s="65" t="str">
        <f aca="false">IF($Y39="","",CHOOSE($Y39,IF(OR(TRIM($F39)="",ISNUMBER(SEARCH("not named",$F39))),"Critical","Good"),IF($O39&lt;&gt;"Y","Critical",IF($Q39&lt;&gt;"Y","Warning","Good")),IF($P39="","Critical",IF($P39="partial","Warning",IF($P39="ready","Good","Critical"))),IF($R39&lt;&gt;"","Critical","Warning"),IF($L39="","Critical",IF($N39="","Warning","Good")),IF($R39&lt;&gt;"","Critical","Warning"),IF($R39&lt;&gt;"","Critical","Warning"),IF($Q39="Y","Good","Critical")))</f>
        <v/>
      </c>
      <c r="AI39" s="65" t="str">
        <f aca="false">IF($Y39="","",CHOOSE($Y39,IF(OR(TRIM($F39)="",ISNUMBER(SEARCH("not named",$F39))),"Name a sponsor accountable for the value",""),IF($O39&lt;&gt;"Y","State the success metric and the stop condition",IF($Q39&lt;&gt;"Y","Set the baseline the benefit will be measured against","")),IF($P39="","Assess data readiness and regulatory impact",IF($P39="partial","Close the known data gaps",IF($P39="ready","","Data is not available; reshape or park"))),IF($R39&lt;&gt;"",IF(OR(ISNUMBER(SEARCH("mrm",$R39)),ISNUMBER(SEARCH("model",$R39)),ISNUMBER(SEARCH("risk",$R39)),ISNUMBER(SEARCH("legal",$R39)),ISNUMBER(SEARCH("complian",$R39))),"Awaiting ","Held at the design gate: ")&amp;$R39,"Map the governance framework for its tier"),IF($L39="","Size the annual benefit",IF($N39="","Score it so it can be ranked against capacity","")),IF($R39&lt;&gt;"","Build held: "&amp;$R39,"In build, not yet through test"),IF($R39&lt;&gt;"","Not ready to scale: "&amp;$R39,"Monitoring and third-party review not yet signed off"),IF($Q39="Y","","Live without a measured baseline to judge it against")))</f>
        <v/>
      </c>
      <c r="AJ39" s="65" t="str">
        <f aca="false">IF($Y39="","",INDEX(StageForum,$Y39))</f>
        <v/>
      </c>
      <c r="AK39" s="65" t="str">
        <f aca="false">IF($Y39="","",IF(OR($X39="Delivery",$X39="Value"),"Committed",IF($N39&lt;&gt;"","Candidate","")))</f>
        <v/>
      </c>
      <c r="AL39" s="65" t="str">
        <f aca="false">IF($AK39&lt;&gt;"Candidate","",COUNTIFS($AK$2:$AK$501,"Candidate",$N$2:$N$501,"&gt;"&amp;$N39)+COUNTIFS($AK$2:$AK$501,"Candidate",$N$2:$N$501,$N39,$A$2:$A$501,"&lt;"&amp;$A39)+1)</f>
        <v/>
      </c>
      <c r="AM39" s="65" t="str">
        <f aca="false">IF($AL39="","",SUMIFS($M$2:$M$501,$AK$2:$AK$501,"Candidate",$AL$2:$AL$501,"&lt;="&amp;$AL39))</f>
        <v/>
      </c>
      <c r="AN39" s="65" t="str">
        <f aca="false">IF($AL39="","",IF($AM39&lt;=CapacityOpen,"Fits","Below line"))</f>
        <v/>
      </c>
      <c r="AO39" s="65" t="str">
        <f aca="false">IF($A39="","",IF($X39="Closed","",IF($X39="Unmapped","Warning",IF(OR($AB39="Overdue",$V39="Y",$AH39="Critical"),"Critical",IF(OR($AB39="At risk",$AC39="Stale",$AG39="Over"),"Warning","")))))</f>
        <v/>
      </c>
      <c r="AP39" s="65" t="str">
        <f aca="false">IF($AO39="","",IF($AO39="Critical",3000,2000)-IF($Z39="",0,$Z39)+ROW()/100000)</f>
        <v/>
      </c>
      <c r="AQ39" s="65" t="str">
        <f aca="false">IF($AO39="","",IF($X39="Unmapped","Status '"&amp;$C39&amp;"' is not in the Config map",IF($V39="Y","Flagged in Jira",IF($AB39="Overdue",-$Z39&amp;" days past its "&amp;$X39&amp;" target",IF($AH39="Critical",$AI39,IF($AB39="At risk","Target in "&amp;$Z39&amp;" days",IF($AC39="Stale","No update in "&amp;$AA39&amp;" days","Past its "&amp;$AE39&amp;"-day tier window")))))))</f>
        <v/>
      </c>
      <c r="AR39" s="65" t="str">
        <f aca="false">IF($AO39="","","draft Jira update for "&amp;$A39)</f>
        <v/>
      </c>
      <c r="AS39" s="65" t="str">
        <f aca="false">IF($A39="","",HYPERLINK(JiraSite&amp;"/browse/"&amp;$A39,"open"))</f>
        <v/>
      </c>
      <c r="AT39" s="65" t="str">
        <f aca="false">IF($Y39="","",$Y39*1000+ROW())</f>
        <v/>
      </c>
      <c r="AU39" s="65" t="str">
        <f aca="false">IF(AND($A39&lt;&gt;"",$G39&gt;=WeekStart),$G39+ROW()/100000,"")</f>
        <v/>
      </c>
      <c r="AV39" s="65" t="str">
        <f aca="false">IF($A39="","",IF(OR(AND($S39&lt;&gt;"",$S39&gt;=WeekStart),AND($U39&lt;&gt;"",$U39&gt;=WeekStart)),MAX($S39,$U39)+ROW()/100000,""))</f>
        <v/>
      </c>
      <c r="AW39" s="65" t="str">
        <f aca="false">IF($AV39="","",IF($T39&lt;&gt;"",$T39,IF($X39="Closed","Closed","Accepted to "&amp;$X39)))</f>
        <v/>
      </c>
      <c r="AX39" s="65" t="str">
        <f aca="false">IF(AND($Y39&lt;&gt;"",$R39&lt;&gt;""),$AF39+ROW()/100000,"")</f>
        <v/>
      </c>
      <c r="AY39" s="65" t="str">
        <f aca="false">IF(AND($Y39&lt;&gt;"",OR($AB39="Overdue",AND($AH39="Critical",$R39&lt;&gt;""))),$AF39+ROW()/100000,"")</f>
        <v/>
      </c>
      <c r="AZ39" s="65" t="str">
        <f aca="false">IF($AH39="Critical",$AF39+ROW()/100000,"")</f>
        <v/>
      </c>
    </row>
    <row r="40" customFormat="false" ht="15" hidden="false" customHeight="false" outlineLevel="0" collapsed="false">
      <c r="A40" s="28"/>
      <c r="B40" s="28"/>
      <c r="C40" s="28"/>
      <c r="D40" s="28"/>
      <c r="E40" s="28"/>
      <c r="F40" s="28"/>
      <c r="G40" s="63"/>
      <c r="H40" s="63"/>
      <c r="I40" s="63"/>
      <c r="J40" s="28"/>
      <c r="K40" s="28"/>
      <c r="L40" s="28"/>
      <c r="M40" s="28"/>
      <c r="N40" s="28"/>
      <c r="O40" s="64"/>
      <c r="P40" s="64"/>
      <c r="Q40" s="64"/>
      <c r="R40" s="28"/>
      <c r="S40" s="63"/>
      <c r="T40" s="64"/>
      <c r="U40" s="63"/>
      <c r="V40" s="64"/>
      <c r="W40" s="28"/>
      <c r="X40" s="65" t="str">
        <f aca="false">IF($A40="","",IF(OR($T40&lt;&gt;"",$U40&lt;&gt;""),"Closed",IFERROR(INDEX(MapStage,MATCH($C40,MapStatus,0)),"Unmapped")))</f>
        <v/>
      </c>
      <c r="Y40" s="65" t="str">
        <f aca="false">IF(OR($X40="",$X40="Closed",$X40="Unmapped"),"",MATCH($X40,StageName,0))</f>
        <v/>
      </c>
      <c r="Z40" s="65" t="str">
        <f aca="false">IF(OR($Y40="",$I40=""),"",$I40-AsOf)</f>
        <v/>
      </c>
      <c r="AA40" s="65" t="str">
        <f aca="false">IF($A40="","",AsOf-$H40)</f>
        <v/>
      </c>
      <c r="AB40" s="65" t="str">
        <f aca="false">IF($A40="","",IF($X40="Closed","Closed",IF($X40="Unmapped","Unmapped",IF($I40="","No target",IF($Z40&lt;0,"Overdue",IF($Z40&lt;=INDEX(StageWindow,$Y40),"At risk","On track"))))))</f>
        <v/>
      </c>
      <c r="AC40" s="65" t="str">
        <f aca="false">IF($Y40="","",IF($AA40&gt;2*INDEX(StageStale,$Y40),"Stale",IF($AA40&gt;INDEX(StageStale,$Y40),"Aging","Fresh")))</f>
        <v/>
      </c>
      <c r="AD40" s="65" t="str">
        <f aca="false">IF($A40="","",IF(OR(ISNUMBER(SEARCH("Reg report",$J40)),ISNUMBER(SEARCH("No human review",$J40)),COUNTIF(TierFuncs,$D40)&gt;0),"High",IF(OR(TRIM($J40)&lt;&gt;"",ISNUMBER(SEARCH("revenue",$K40))),"Medium","Low")))</f>
        <v/>
      </c>
      <c r="AE40" s="65" t="str">
        <f aca="false">IF($A40="","",INDEX(TierDays,MATCH($AD40,TierName,0)))</f>
        <v/>
      </c>
      <c r="AF40" s="65" t="str">
        <f aca="false">IF($A40="","",AsOf-$G40)</f>
        <v/>
      </c>
      <c r="AG40" s="65" t="str">
        <f aca="false">IF($Y40="","",IF($Y40&lt;=5,IF($AF40&gt;$AE40,"Over","Inside"),"Past approval"))</f>
        <v/>
      </c>
      <c r="AH40" s="65" t="str">
        <f aca="false">IF($Y40="","",CHOOSE($Y40,IF(OR(TRIM($F40)="",ISNUMBER(SEARCH("not named",$F40))),"Critical","Good"),IF($O40&lt;&gt;"Y","Critical",IF($Q40&lt;&gt;"Y","Warning","Good")),IF($P40="","Critical",IF($P40="partial","Warning",IF($P40="ready","Good","Critical"))),IF($R40&lt;&gt;"","Critical","Warning"),IF($L40="","Critical",IF($N40="","Warning","Good")),IF($R40&lt;&gt;"","Critical","Warning"),IF($R40&lt;&gt;"","Critical","Warning"),IF($Q40="Y","Good","Critical")))</f>
        <v/>
      </c>
      <c r="AI40" s="65" t="str">
        <f aca="false">IF($Y40="","",CHOOSE($Y40,IF(OR(TRIM($F40)="",ISNUMBER(SEARCH("not named",$F40))),"Name a sponsor accountable for the value",""),IF($O40&lt;&gt;"Y","State the success metric and the stop condition",IF($Q40&lt;&gt;"Y","Set the baseline the benefit will be measured against","")),IF($P40="","Assess data readiness and regulatory impact",IF($P40="partial","Close the known data gaps",IF($P40="ready","","Data is not available; reshape or park"))),IF($R40&lt;&gt;"",IF(OR(ISNUMBER(SEARCH("mrm",$R40)),ISNUMBER(SEARCH("model",$R40)),ISNUMBER(SEARCH("risk",$R40)),ISNUMBER(SEARCH("legal",$R40)),ISNUMBER(SEARCH("complian",$R40))),"Awaiting ","Held at the design gate: ")&amp;$R40,"Map the governance framework for its tier"),IF($L40="","Size the annual benefit",IF($N40="","Score it so it can be ranked against capacity","")),IF($R40&lt;&gt;"","Build held: "&amp;$R40,"In build, not yet through test"),IF($R40&lt;&gt;"","Not ready to scale: "&amp;$R40,"Monitoring and third-party review not yet signed off"),IF($Q40="Y","","Live without a measured baseline to judge it against")))</f>
        <v/>
      </c>
      <c r="AJ40" s="65" t="str">
        <f aca="false">IF($Y40="","",INDEX(StageForum,$Y40))</f>
        <v/>
      </c>
      <c r="AK40" s="65" t="str">
        <f aca="false">IF($Y40="","",IF(OR($X40="Delivery",$X40="Value"),"Committed",IF($N40&lt;&gt;"","Candidate","")))</f>
        <v/>
      </c>
      <c r="AL40" s="65" t="str">
        <f aca="false">IF($AK40&lt;&gt;"Candidate","",COUNTIFS($AK$2:$AK$501,"Candidate",$N$2:$N$501,"&gt;"&amp;$N40)+COUNTIFS($AK$2:$AK$501,"Candidate",$N$2:$N$501,$N40,$A$2:$A$501,"&lt;"&amp;$A40)+1)</f>
        <v/>
      </c>
      <c r="AM40" s="65" t="str">
        <f aca="false">IF($AL40="","",SUMIFS($M$2:$M$501,$AK$2:$AK$501,"Candidate",$AL$2:$AL$501,"&lt;="&amp;$AL40))</f>
        <v/>
      </c>
      <c r="AN40" s="65" t="str">
        <f aca="false">IF($AL40="","",IF($AM40&lt;=CapacityOpen,"Fits","Below line"))</f>
        <v/>
      </c>
      <c r="AO40" s="65" t="str">
        <f aca="false">IF($A40="","",IF($X40="Closed","",IF($X40="Unmapped","Warning",IF(OR($AB40="Overdue",$V40="Y",$AH40="Critical"),"Critical",IF(OR($AB40="At risk",$AC40="Stale",$AG40="Over"),"Warning","")))))</f>
        <v/>
      </c>
      <c r="AP40" s="65" t="str">
        <f aca="false">IF($AO40="","",IF($AO40="Critical",3000,2000)-IF($Z40="",0,$Z40)+ROW()/100000)</f>
        <v/>
      </c>
      <c r="AQ40" s="65" t="str">
        <f aca="false">IF($AO40="","",IF($X40="Unmapped","Status '"&amp;$C40&amp;"' is not in the Config map",IF($V40="Y","Flagged in Jira",IF($AB40="Overdue",-$Z40&amp;" days past its "&amp;$X40&amp;" target",IF($AH40="Critical",$AI40,IF($AB40="At risk","Target in "&amp;$Z40&amp;" days",IF($AC40="Stale","No update in "&amp;$AA40&amp;" days","Past its "&amp;$AE40&amp;"-day tier window")))))))</f>
        <v/>
      </c>
      <c r="AR40" s="65" t="str">
        <f aca="false">IF($AO40="","","draft Jira update for "&amp;$A40)</f>
        <v/>
      </c>
      <c r="AS40" s="65" t="str">
        <f aca="false">IF($A40="","",HYPERLINK(JiraSite&amp;"/browse/"&amp;$A40,"open"))</f>
        <v/>
      </c>
      <c r="AT40" s="65" t="str">
        <f aca="false">IF($Y40="","",$Y40*1000+ROW())</f>
        <v/>
      </c>
      <c r="AU40" s="65" t="str">
        <f aca="false">IF(AND($A40&lt;&gt;"",$G40&gt;=WeekStart),$G40+ROW()/100000,"")</f>
        <v/>
      </c>
      <c r="AV40" s="65" t="str">
        <f aca="false">IF($A40="","",IF(OR(AND($S40&lt;&gt;"",$S40&gt;=WeekStart),AND($U40&lt;&gt;"",$U40&gt;=WeekStart)),MAX($S40,$U40)+ROW()/100000,""))</f>
        <v/>
      </c>
      <c r="AW40" s="65" t="str">
        <f aca="false">IF($AV40="","",IF($T40&lt;&gt;"",$T40,IF($X40="Closed","Closed","Accepted to "&amp;$X40)))</f>
        <v/>
      </c>
      <c r="AX40" s="65" t="str">
        <f aca="false">IF(AND($Y40&lt;&gt;"",$R40&lt;&gt;""),$AF40+ROW()/100000,"")</f>
        <v/>
      </c>
      <c r="AY40" s="65" t="str">
        <f aca="false">IF(AND($Y40&lt;&gt;"",OR($AB40="Overdue",AND($AH40="Critical",$R40&lt;&gt;""))),$AF40+ROW()/100000,"")</f>
        <v/>
      </c>
      <c r="AZ40" s="65" t="str">
        <f aca="false">IF($AH40="Critical",$AF40+ROW()/100000,"")</f>
        <v/>
      </c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63"/>
      <c r="H41" s="63"/>
      <c r="I41" s="63"/>
      <c r="J41" s="28"/>
      <c r="K41" s="28"/>
      <c r="L41" s="28"/>
      <c r="M41" s="28"/>
      <c r="N41" s="28"/>
      <c r="O41" s="64"/>
      <c r="P41" s="64"/>
      <c r="Q41" s="64"/>
      <c r="R41" s="28"/>
      <c r="S41" s="63"/>
      <c r="T41" s="64"/>
      <c r="U41" s="63"/>
      <c r="V41" s="64"/>
      <c r="W41" s="28"/>
      <c r="X41" s="65" t="str">
        <f aca="false">IF($A41="","",IF(OR($T41&lt;&gt;"",$U41&lt;&gt;""),"Closed",IFERROR(INDEX(MapStage,MATCH($C41,MapStatus,0)),"Unmapped")))</f>
        <v/>
      </c>
      <c r="Y41" s="65" t="str">
        <f aca="false">IF(OR($X41="",$X41="Closed",$X41="Unmapped"),"",MATCH($X41,StageName,0))</f>
        <v/>
      </c>
      <c r="Z41" s="65" t="str">
        <f aca="false">IF(OR($Y41="",$I41=""),"",$I41-AsOf)</f>
        <v/>
      </c>
      <c r="AA41" s="65" t="str">
        <f aca="false">IF($A41="","",AsOf-$H41)</f>
        <v/>
      </c>
      <c r="AB41" s="65" t="str">
        <f aca="false">IF($A41="","",IF($X41="Closed","Closed",IF($X41="Unmapped","Unmapped",IF($I41="","No target",IF($Z41&lt;0,"Overdue",IF($Z41&lt;=INDEX(StageWindow,$Y41),"At risk","On track"))))))</f>
        <v/>
      </c>
      <c r="AC41" s="65" t="str">
        <f aca="false">IF($Y41="","",IF($AA41&gt;2*INDEX(StageStale,$Y41),"Stale",IF($AA41&gt;INDEX(StageStale,$Y41),"Aging","Fresh")))</f>
        <v/>
      </c>
      <c r="AD41" s="65" t="str">
        <f aca="false">IF($A41="","",IF(OR(ISNUMBER(SEARCH("Reg report",$J41)),ISNUMBER(SEARCH("No human review",$J41)),COUNTIF(TierFuncs,$D41)&gt;0),"High",IF(OR(TRIM($J41)&lt;&gt;"",ISNUMBER(SEARCH("revenue",$K41))),"Medium","Low")))</f>
        <v/>
      </c>
      <c r="AE41" s="65" t="str">
        <f aca="false">IF($A41="","",INDEX(TierDays,MATCH($AD41,TierName,0)))</f>
        <v/>
      </c>
      <c r="AF41" s="65" t="str">
        <f aca="false">IF($A41="","",AsOf-$G41)</f>
        <v/>
      </c>
      <c r="AG41" s="65" t="str">
        <f aca="false">IF($Y41="","",IF($Y41&lt;=5,IF($AF41&gt;$AE41,"Over","Inside"),"Past approval"))</f>
        <v/>
      </c>
      <c r="AH41" s="65" t="str">
        <f aca="false">IF($Y41="","",CHOOSE($Y41,IF(OR(TRIM($F41)="",ISNUMBER(SEARCH("not named",$F41))),"Critical","Good"),IF($O41&lt;&gt;"Y","Critical",IF($Q41&lt;&gt;"Y","Warning","Good")),IF($P41="","Critical",IF($P41="partial","Warning",IF($P41="ready","Good","Critical"))),IF($R41&lt;&gt;"","Critical","Warning"),IF($L41="","Critical",IF($N41="","Warning","Good")),IF($R41&lt;&gt;"","Critical","Warning"),IF($R41&lt;&gt;"","Critical","Warning"),IF($Q41="Y","Good","Critical")))</f>
        <v/>
      </c>
      <c r="AI41" s="65" t="str">
        <f aca="false">IF($Y41="","",CHOOSE($Y41,IF(OR(TRIM($F41)="",ISNUMBER(SEARCH("not named",$F41))),"Name a sponsor accountable for the value",""),IF($O41&lt;&gt;"Y","State the success metric and the stop condition",IF($Q41&lt;&gt;"Y","Set the baseline the benefit will be measured against","")),IF($P41="","Assess data readiness and regulatory impact",IF($P41="partial","Close the known data gaps",IF($P41="ready","","Data is not available; reshape or park"))),IF($R41&lt;&gt;"",IF(OR(ISNUMBER(SEARCH("mrm",$R41)),ISNUMBER(SEARCH("model",$R41)),ISNUMBER(SEARCH("risk",$R41)),ISNUMBER(SEARCH("legal",$R41)),ISNUMBER(SEARCH("complian",$R41))),"Awaiting ","Held at the design gate: ")&amp;$R41,"Map the governance framework for its tier"),IF($L41="","Size the annual benefit",IF($N41="","Score it so it can be ranked against capacity","")),IF($R41&lt;&gt;"","Build held: "&amp;$R41,"In build, not yet through test"),IF($R41&lt;&gt;"","Not ready to scale: "&amp;$R41,"Monitoring and third-party review not yet signed off"),IF($Q41="Y","","Live without a measured baseline to judge it against")))</f>
        <v/>
      </c>
      <c r="AJ41" s="65" t="str">
        <f aca="false">IF($Y41="","",INDEX(StageForum,$Y41))</f>
        <v/>
      </c>
      <c r="AK41" s="65" t="str">
        <f aca="false">IF($Y41="","",IF(OR($X41="Delivery",$X41="Value"),"Committed",IF($N41&lt;&gt;"","Candidate","")))</f>
        <v/>
      </c>
      <c r="AL41" s="65" t="str">
        <f aca="false">IF($AK41&lt;&gt;"Candidate","",COUNTIFS($AK$2:$AK$501,"Candidate",$N$2:$N$501,"&gt;"&amp;$N41)+COUNTIFS($AK$2:$AK$501,"Candidate",$N$2:$N$501,$N41,$A$2:$A$501,"&lt;"&amp;$A41)+1)</f>
        <v/>
      </c>
      <c r="AM41" s="65" t="str">
        <f aca="false">IF($AL41="","",SUMIFS($M$2:$M$501,$AK$2:$AK$501,"Candidate",$AL$2:$AL$501,"&lt;="&amp;$AL41))</f>
        <v/>
      </c>
      <c r="AN41" s="65" t="str">
        <f aca="false">IF($AL41="","",IF($AM41&lt;=CapacityOpen,"Fits","Below line"))</f>
        <v/>
      </c>
      <c r="AO41" s="65" t="str">
        <f aca="false">IF($A41="","",IF($X41="Closed","",IF($X41="Unmapped","Warning",IF(OR($AB41="Overdue",$V41="Y",$AH41="Critical"),"Critical",IF(OR($AB41="At risk",$AC41="Stale",$AG41="Over"),"Warning","")))))</f>
        <v/>
      </c>
      <c r="AP41" s="65" t="str">
        <f aca="false">IF($AO41="","",IF($AO41="Critical",3000,2000)-IF($Z41="",0,$Z41)+ROW()/100000)</f>
        <v/>
      </c>
      <c r="AQ41" s="65" t="str">
        <f aca="false">IF($AO41="","",IF($X41="Unmapped","Status '"&amp;$C41&amp;"' is not in the Config map",IF($V41="Y","Flagged in Jira",IF($AB41="Overdue",-$Z41&amp;" days past its "&amp;$X41&amp;" target",IF($AH41="Critical",$AI41,IF($AB41="At risk","Target in "&amp;$Z41&amp;" days",IF($AC41="Stale","No update in "&amp;$AA41&amp;" days","Past its "&amp;$AE41&amp;"-day tier window")))))))</f>
        <v/>
      </c>
      <c r="AR41" s="65" t="str">
        <f aca="false">IF($AO41="","","draft Jira update for "&amp;$A41)</f>
        <v/>
      </c>
      <c r="AS41" s="65" t="str">
        <f aca="false">IF($A41="","",HYPERLINK(JiraSite&amp;"/browse/"&amp;$A41,"open"))</f>
        <v/>
      </c>
      <c r="AT41" s="65" t="str">
        <f aca="false">IF($Y41="","",$Y41*1000+ROW())</f>
        <v/>
      </c>
      <c r="AU41" s="65" t="str">
        <f aca="false">IF(AND($A41&lt;&gt;"",$G41&gt;=WeekStart),$G41+ROW()/100000,"")</f>
        <v/>
      </c>
      <c r="AV41" s="65" t="str">
        <f aca="false">IF($A41="","",IF(OR(AND($S41&lt;&gt;"",$S41&gt;=WeekStart),AND($U41&lt;&gt;"",$U41&gt;=WeekStart)),MAX($S41,$U41)+ROW()/100000,""))</f>
        <v/>
      </c>
      <c r="AW41" s="65" t="str">
        <f aca="false">IF($AV41="","",IF($T41&lt;&gt;"",$T41,IF($X41="Closed","Closed","Accepted to "&amp;$X41)))</f>
        <v/>
      </c>
      <c r="AX41" s="65" t="str">
        <f aca="false">IF(AND($Y41&lt;&gt;"",$R41&lt;&gt;""),$AF41+ROW()/100000,"")</f>
        <v/>
      </c>
      <c r="AY41" s="65" t="str">
        <f aca="false">IF(AND($Y41&lt;&gt;"",OR($AB41="Overdue",AND($AH41="Critical",$R41&lt;&gt;""))),$AF41+ROW()/100000,"")</f>
        <v/>
      </c>
      <c r="AZ41" s="65" t="str">
        <f aca="false">IF($AH41="Critical",$AF41+ROW()/100000,"")</f>
        <v/>
      </c>
    </row>
    <row r="42" customFormat="false" ht="15" hidden="false" customHeight="false" outlineLevel="0" collapsed="false">
      <c r="A42" s="28"/>
      <c r="B42" s="28"/>
      <c r="C42" s="28"/>
      <c r="D42" s="28"/>
      <c r="E42" s="28"/>
      <c r="F42" s="28"/>
      <c r="G42" s="63"/>
      <c r="H42" s="63"/>
      <c r="I42" s="63"/>
      <c r="J42" s="28"/>
      <c r="K42" s="28"/>
      <c r="L42" s="28"/>
      <c r="M42" s="28"/>
      <c r="N42" s="28"/>
      <c r="O42" s="64"/>
      <c r="P42" s="64"/>
      <c r="Q42" s="64"/>
      <c r="R42" s="28"/>
      <c r="S42" s="63"/>
      <c r="T42" s="64"/>
      <c r="U42" s="63"/>
      <c r="V42" s="64"/>
      <c r="W42" s="28"/>
      <c r="X42" s="65" t="str">
        <f aca="false">IF($A42="","",IF(OR($T42&lt;&gt;"",$U42&lt;&gt;""),"Closed",IFERROR(INDEX(MapStage,MATCH($C42,MapStatus,0)),"Unmapped")))</f>
        <v/>
      </c>
      <c r="Y42" s="65" t="str">
        <f aca="false">IF(OR($X42="",$X42="Closed",$X42="Unmapped"),"",MATCH($X42,StageName,0))</f>
        <v/>
      </c>
      <c r="Z42" s="65" t="str">
        <f aca="false">IF(OR($Y42="",$I42=""),"",$I42-AsOf)</f>
        <v/>
      </c>
      <c r="AA42" s="65" t="str">
        <f aca="false">IF($A42="","",AsOf-$H42)</f>
        <v/>
      </c>
      <c r="AB42" s="65" t="str">
        <f aca="false">IF($A42="","",IF($X42="Closed","Closed",IF($X42="Unmapped","Unmapped",IF($I42="","No target",IF($Z42&lt;0,"Overdue",IF($Z42&lt;=INDEX(StageWindow,$Y42),"At risk","On track"))))))</f>
        <v/>
      </c>
      <c r="AC42" s="65" t="str">
        <f aca="false">IF($Y42="","",IF($AA42&gt;2*INDEX(StageStale,$Y42),"Stale",IF($AA42&gt;INDEX(StageStale,$Y42),"Aging","Fresh")))</f>
        <v/>
      </c>
      <c r="AD42" s="65" t="str">
        <f aca="false">IF($A42="","",IF(OR(ISNUMBER(SEARCH("Reg report",$J42)),ISNUMBER(SEARCH("No human review",$J42)),COUNTIF(TierFuncs,$D42)&gt;0),"High",IF(OR(TRIM($J42)&lt;&gt;"",ISNUMBER(SEARCH("revenue",$K42))),"Medium","Low")))</f>
        <v/>
      </c>
      <c r="AE42" s="65" t="str">
        <f aca="false">IF($A42="","",INDEX(TierDays,MATCH($AD42,TierName,0)))</f>
        <v/>
      </c>
      <c r="AF42" s="65" t="str">
        <f aca="false">IF($A42="","",AsOf-$G42)</f>
        <v/>
      </c>
      <c r="AG42" s="65" t="str">
        <f aca="false">IF($Y42="","",IF($Y42&lt;=5,IF($AF42&gt;$AE42,"Over","Inside"),"Past approval"))</f>
        <v/>
      </c>
      <c r="AH42" s="65" t="str">
        <f aca="false">IF($Y42="","",CHOOSE($Y42,IF(OR(TRIM($F42)="",ISNUMBER(SEARCH("not named",$F42))),"Critical","Good"),IF($O42&lt;&gt;"Y","Critical",IF($Q42&lt;&gt;"Y","Warning","Good")),IF($P42="","Critical",IF($P42="partial","Warning",IF($P42="ready","Good","Critical"))),IF($R42&lt;&gt;"","Critical","Warning"),IF($L42="","Critical",IF($N42="","Warning","Good")),IF($R42&lt;&gt;"","Critical","Warning"),IF($R42&lt;&gt;"","Critical","Warning"),IF($Q42="Y","Good","Critical")))</f>
        <v/>
      </c>
      <c r="AI42" s="65" t="str">
        <f aca="false">IF($Y42="","",CHOOSE($Y42,IF(OR(TRIM($F42)="",ISNUMBER(SEARCH("not named",$F42))),"Name a sponsor accountable for the value",""),IF($O42&lt;&gt;"Y","State the success metric and the stop condition",IF($Q42&lt;&gt;"Y","Set the baseline the benefit will be measured against","")),IF($P42="","Assess data readiness and regulatory impact",IF($P42="partial","Close the known data gaps",IF($P42="ready","","Data is not available; reshape or park"))),IF($R42&lt;&gt;"",IF(OR(ISNUMBER(SEARCH("mrm",$R42)),ISNUMBER(SEARCH("model",$R42)),ISNUMBER(SEARCH("risk",$R42)),ISNUMBER(SEARCH("legal",$R42)),ISNUMBER(SEARCH("complian",$R42))),"Awaiting ","Held at the design gate: ")&amp;$R42,"Map the governance framework for its tier"),IF($L42="","Size the annual benefit",IF($N42="","Score it so it can be ranked against capacity","")),IF($R42&lt;&gt;"","Build held: "&amp;$R42,"In build, not yet through test"),IF($R42&lt;&gt;"","Not ready to scale: "&amp;$R42,"Monitoring and third-party review not yet signed off"),IF($Q42="Y","","Live without a measured baseline to judge it against")))</f>
        <v/>
      </c>
      <c r="AJ42" s="65" t="str">
        <f aca="false">IF($Y42="","",INDEX(StageForum,$Y42))</f>
        <v/>
      </c>
      <c r="AK42" s="65" t="str">
        <f aca="false">IF($Y42="","",IF(OR($X42="Delivery",$X42="Value"),"Committed",IF($N42&lt;&gt;"","Candidate","")))</f>
        <v/>
      </c>
      <c r="AL42" s="65" t="str">
        <f aca="false">IF($AK42&lt;&gt;"Candidate","",COUNTIFS($AK$2:$AK$501,"Candidate",$N$2:$N$501,"&gt;"&amp;$N42)+COUNTIFS($AK$2:$AK$501,"Candidate",$N$2:$N$501,$N42,$A$2:$A$501,"&lt;"&amp;$A42)+1)</f>
        <v/>
      </c>
      <c r="AM42" s="65" t="str">
        <f aca="false">IF($AL42="","",SUMIFS($M$2:$M$501,$AK$2:$AK$501,"Candidate",$AL$2:$AL$501,"&lt;="&amp;$AL42))</f>
        <v/>
      </c>
      <c r="AN42" s="65" t="str">
        <f aca="false">IF($AL42="","",IF($AM42&lt;=CapacityOpen,"Fits","Below line"))</f>
        <v/>
      </c>
      <c r="AO42" s="65" t="str">
        <f aca="false">IF($A42="","",IF($X42="Closed","",IF($X42="Unmapped","Warning",IF(OR($AB42="Overdue",$V42="Y",$AH42="Critical"),"Critical",IF(OR($AB42="At risk",$AC42="Stale",$AG42="Over"),"Warning","")))))</f>
        <v/>
      </c>
      <c r="AP42" s="65" t="str">
        <f aca="false">IF($AO42="","",IF($AO42="Critical",3000,2000)-IF($Z42="",0,$Z42)+ROW()/100000)</f>
        <v/>
      </c>
      <c r="AQ42" s="65" t="str">
        <f aca="false">IF($AO42="","",IF($X42="Unmapped","Status '"&amp;$C42&amp;"' is not in the Config map",IF($V42="Y","Flagged in Jira",IF($AB42="Overdue",-$Z42&amp;" days past its "&amp;$X42&amp;" target",IF($AH42="Critical",$AI42,IF($AB42="At risk","Target in "&amp;$Z42&amp;" days",IF($AC42="Stale","No update in "&amp;$AA42&amp;" days","Past its "&amp;$AE42&amp;"-day tier window")))))))</f>
        <v/>
      </c>
      <c r="AR42" s="65" t="str">
        <f aca="false">IF($AO42="","","draft Jira update for "&amp;$A42)</f>
        <v/>
      </c>
      <c r="AS42" s="65" t="str">
        <f aca="false">IF($A42="","",HYPERLINK(JiraSite&amp;"/browse/"&amp;$A42,"open"))</f>
        <v/>
      </c>
      <c r="AT42" s="65" t="str">
        <f aca="false">IF($Y42="","",$Y42*1000+ROW())</f>
        <v/>
      </c>
      <c r="AU42" s="65" t="str">
        <f aca="false">IF(AND($A42&lt;&gt;"",$G42&gt;=WeekStart),$G42+ROW()/100000,"")</f>
        <v/>
      </c>
      <c r="AV42" s="65" t="str">
        <f aca="false">IF($A42="","",IF(OR(AND($S42&lt;&gt;"",$S42&gt;=WeekStart),AND($U42&lt;&gt;"",$U42&gt;=WeekStart)),MAX($S42,$U42)+ROW()/100000,""))</f>
        <v/>
      </c>
      <c r="AW42" s="65" t="str">
        <f aca="false">IF($AV42="","",IF($T42&lt;&gt;"",$T42,IF($X42="Closed","Closed","Accepted to "&amp;$X42)))</f>
        <v/>
      </c>
      <c r="AX42" s="65" t="str">
        <f aca="false">IF(AND($Y42&lt;&gt;"",$R42&lt;&gt;""),$AF42+ROW()/100000,"")</f>
        <v/>
      </c>
      <c r="AY42" s="65" t="str">
        <f aca="false">IF(AND($Y42&lt;&gt;"",OR($AB42="Overdue",AND($AH42="Critical",$R42&lt;&gt;""))),$AF42+ROW()/100000,"")</f>
        <v/>
      </c>
      <c r="AZ42" s="65" t="str">
        <f aca="false">IF($AH42="Critical",$AF42+ROW()/100000,"")</f>
        <v/>
      </c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/>
      <c r="G43" s="63"/>
      <c r="H43" s="63"/>
      <c r="I43" s="63"/>
      <c r="J43" s="28"/>
      <c r="K43" s="28"/>
      <c r="L43" s="28"/>
      <c r="M43" s="28"/>
      <c r="N43" s="28"/>
      <c r="O43" s="64"/>
      <c r="P43" s="64"/>
      <c r="Q43" s="64"/>
      <c r="R43" s="28"/>
      <c r="S43" s="63"/>
      <c r="T43" s="64"/>
      <c r="U43" s="63"/>
      <c r="V43" s="64"/>
      <c r="W43" s="28"/>
      <c r="X43" s="65" t="str">
        <f aca="false">IF($A43="","",IF(OR($T43&lt;&gt;"",$U43&lt;&gt;""),"Closed",IFERROR(INDEX(MapStage,MATCH($C43,MapStatus,0)),"Unmapped")))</f>
        <v/>
      </c>
      <c r="Y43" s="65" t="str">
        <f aca="false">IF(OR($X43="",$X43="Closed",$X43="Unmapped"),"",MATCH($X43,StageName,0))</f>
        <v/>
      </c>
      <c r="Z43" s="65" t="str">
        <f aca="false">IF(OR($Y43="",$I43=""),"",$I43-AsOf)</f>
        <v/>
      </c>
      <c r="AA43" s="65" t="str">
        <f aca="false">IF($A43="","",AsOf-$H43)</f>
        <v/>
      </c>
      <c r="AB43" s="65" t="str">
        <f aca="false">IF($A43="","",IF($X43="Closed","Closed",IF($X43="Unmapped","Unmapped",IF($I43="","No target",IF($Z43&lt;0,"Overdue",IF($Z43&lt;=INDEX(StageWindow,$Y43),"At risk","On track"))))))</f>
        <v/>
      </c>
      <c r="AC43" s="65" t="str">
        <f aca="false">IF($Y43="","",IF($AA43&gt;2*INDEX(StageStale,$Y43),"Stale",IF($AA43&gt;INDEX(StageStale,$Y43),"Aging","Fresh")))</f>
        <v/>
      </c>
      <c r="AD43" s="65" t="str">
        <f aca="false">IF($A43="","",IF(OR(ISNUMBER(SEARCH("Reg report",$J43)),ISNUMBER(SEARCH("No human review",$J43)),COUNTIF(TierFuncs,$D43)&gt;0),"High",IF(OR(TRIM($J43)&lt;&gt;"",ISNUMBER(SEARCH("revenue",$K43))),"Medium","Low")))</f>
        <v/>
      </c>
      <c r="AE43" s="65" t="str">
        <f aca="false">IF($A43="","",INDEX(TierDays,MATCH($AD43,TierName,0)))</f>
        <v/>
      </c>
      <c r="AF43" s="65" t="str">
        <f aca="false">IF($A43="","",AsOf-$G43)</f>
        <v/>
      </c>
      <c r="AG43" s="65" t="str">
        <f aca="false">IF($Y43="","",IF($Y43&lt;=5,IF($AF43&gt;$AE43,"Over","Inside"),"Past approval"))</f>
        <v/>
      </c>
      <c r="AH43" s="65" t="str">
        <f aca="false">IF($Y43="","",CHOOSE($Y43,IF(OR(TRIM($F43)="",ISNUMBER(SEARCH("not named",$F43))),"Critical","Good"),IF($O43&lt;&gt;"Y","Critical",IF($Q43&lt;&gt;"Y","Warning","Good")),IF($P43="","Critical",IF($P43="partial","Warning",IF($P43="ready","Good","Critical"))),IF($R43&lt;&gt;"","Critical","Warning"),IF($L43="","Critical",IF($N43="","Warning","Good")),IF($R43&lt;&gt;"","Critical","Warning"),IF($R43&lt;&gt;"","Critical","Warning"),IF($Q43="Y","Good","Critical")))</f>
        <v/>
      </c>
      <c r="AI43" s="65" t="str">
        <f aca="false">IF($Y43="","",CHOOSE($Y43,IF(OR(TRIM($F43)="",ISNUMBER(SEARCH("not named",$F43))),"Name a sponsor accountable for the value",""),IF($O43&lt;&gt;"Y","State the success metric and the stop condition",IF($Q43&lt;&gt;"Y","Set the baseline the benefit will be measured against","")),IF($P43="","Assess data readiness and regulatory impact",IF($P43="partial","Close the known data gaps",IF($P43="ready","","Data is not available; reshape or park"))),IF($R43&lt;&gt;"",IF(OR(ISNUMBER(SEARCH("mrm",$R43)),ISNUMBER(SEARCH("model",$R43)),ISNUMBER(SEARCH("risk",$R43)),ISNUMBER(SEARCH("legal",$R43)),ISNUMBER(SEARCH("complian",$R43))),"Awaiting ","Held at the design gate: ")&amp;$R43,"Map the governance framework for its tier"),IF($L43="","Size the annual benefit",IF($N43="","Score it so it can be ranked against capacity","")),IF($R43&lt;&gt;"","Build held: "&amp;$R43,"In build, not yet through test"),IF($R43&lt;&gt;"","Not ready to scale: "&amp;$R43,"Monitoring and third-party review not yet signed off"),IF($Q43="Y","","Live without a measured baseline to judge it against")))</f>
        <v/>
      </c>
      <c r="AJ43" s="65" t="str">
        <f aca="false">IF($Y43="","",INDEX(StageForum,$Y43))</f>
        <v/>
      </c>
      <c r="AK43" s="65" t="str">
        <f aca="false">IF($Y43="","",IF(OR($X43="Delivery",$X43="Value"),"Committed",IF($N43&lt;&gt;"","Candidate","")))</f>
        <v/>
      </c>
      <c r="AL43" s="65" t="str">
        <f aca="false">IF($AK43&lt;&gt;"Candidate","",COUNTIFS($AK$2:$AK$501,"Candidate",$N$2:$N$501,"&gt;"&amp;$N43)+COUNTIFS($AK$2:$AK$501,"Candidate",$N$2:$N$501,$N43,$A$2:$A$501,"&lt;"&amp;$A43)+1)</f>
        <v/>
      </c>
      <c r="AM43" s="65" t="str">
        <f aca="false">IF($AL43="","",SUMIFS($M$2:$M$501,$AK$2:$AK$501,"Candidate",$AL$2:$AL$501,"&lt;="&amp;$AL43))</f>
        <v/>
      </c>
      <c r="AN43" s="65" t="str">
        <f aca="false">IF($AL43="","",IF($AM43&lt;=CapacityOpen,"Fits","Below line"))</f>
        <v/>
      </c>
      <c r="AO43" s="65" t="str">
        <f aca="false">IF($A43="","",IF($X43="Closed","",IF($X43="Unmapped","Warning",IF(OR($AB43="Overdue",$V43="Y",$AH43="Critical"),"Critical",IF(OR($AB43="At risk",$AC43="Stale",$AG43="Over"),"Warning","")))))</f>
        <v/>
      </c>
      <c r="AP43" s="65" t="str">
        <f aca="false">IF($AO43="","",IF($AO43="Critical",3000,2000)-IF($Z43="",0,$Z43)+ROW()/100000)</f>
        <v/>
      </c>
      <c r="AQ43" s="65" t="str">
        <f aca="false">IF($AO43="","",IF($X43="Unmapped","Status '"&amp;$C43&amp;"' is not in the Config map",IF($V43="Y","Flagged in Jira",IF($AB43="Overdue",-$Z43&amp;" days past its "&amp;$X43&amp;" target",IF($AH43="Critical",$AI43,IF($AB43="At risk","Target in "&amp;$Z43&amp;" days",IF($AC43="Stale","No update in "&amp;$AA43&amp;" days","Past its "&amp;$AE43&amp;"-day tier window")))))))</f>
        <v/>
      </c>
      <c r="AR43" s="65" t="str">
        <f aca="false">IF($AO43="","","draft Jira update for "&amp;$A43)</f>
        <v/>
      </c>
      <c r="AS43" s="65" t="str">
        <f aca="false">IF($A43="","",HYPERLINK(JiraSite&amp;"/browse/"&amp;$A43,"open"))</f>
        <v/>
      </c>
      <c r="AT43" s="65" t="str">
        <f aca="false">IF($Y43="","",$Y43*1000+ROW())</f>
        <v/>
      </c>
      <c r="AU43" s="65" t="str">
        <f aca="false">IF(AND($A43&lt;&gt;"",$G43&gt;=WeekStart),$G43+ROW()/100000,"")</f>
        <v/>
      </c>
      <c r="AV43" s="65" t="str">
        <f aca="false">IF($A43="","",IF(OR(AND($S43&lt;&gt;"",$S43&gt;=WeekStart),AND($U43&lt;&gt;"",$U43&gt;=WeekStart)),MAX($S43,$U43)+ROW()/100000,""))</f>
        <v/>
      </c>
      <c r="AW43" s="65" t="str">
        <f aca="false">IF($AV43="","",IF($T43&lt;&gt;"",$T43,IF($X43="Closed","Closed","Accepted to "&amp;$X43)))</f>
        <v/>
      </c>
      <c r="AX43" s="65" t="str">
        <f aca="false">IF(AND($Y43&lt;&gt;"",$R43&lt;&gt;""),$AF43+ROW()/100000,"")</f>
        <v/>
      </c>
      <c r="AY43" s="65" t="str">
        <f aca="false">IF(AND($Y43&lt;&gt;"",OR($AB43="Overdue",AND($AH43="Critical",$R43&lt;&gt;""))),$AF43+ROW()/100000,"")</f>
        <v/>
      </c>
      <c r="AZ43" s="65" t="str">
        <f aca="false">IF($AH43="Critical",$AF43+ROW()/100000,"")</f>
        <v/>
      </c>
    </row>
    <row r="44" customFormat="false" ht="15" hidden="false" customHeight="false" outlineLevel="0" collapsed="false">
      <c r="A44" s="28"/>
      <c r="B44" s="28"/>
      <c r="C44" s="28"/>
      <c r="D44" s="28"/>
      <c r="E44" s="28"/>
      <c r="F44" s="28"/>
      <c r="G44" s="63"/>
      <c r="H44" s="63"/>
      <c r="I44" s="63"/>
      <c r="J44" s="28"/>
      <c r="K44" s="28"/>
      <c r="L44" s="28"/>
      <c r="M44" s="28"/>
      <c r="N44" s="28"/>
      <c r="O44" s="64"/>
      <c r="P44" s="64"/>
      <c r="Q44" s="64"/>
      <c r="R44" s="28"/>
      <c r="S44" s="63"/>
      <c r="T44" s="64"/>
      <c r="U44" s="63"/>
      <c r="V44" s="64"/>
      <c r="W44" s="28"/>
      <c r="X44" s="65" t="str">
        <f aca="false">IF($A44="","",IF(OR($T44&lt;&gt;"",$U44&lt;&gt;""),"Closed",IFERROR(INDEX(MapStage,MATCH($C44,MapStatus,0)),"Unmapped")))</f>
        <v/>
      </c>
      <c r="Y44" s="65" t="str">
        <f aca="false">IF(OR($X44="",$X44="Closed",$X44="Unmapped"),"",MATCH($X44,StageName,0))</f>
        <v/>
      </c>
      <c r="Z44" s="65" t="str">
        <f aca="false">IF(OR($Y44="",$I44=""),"",$I44-AsOf)</f>
        <v/>
      </c>
      <c r="AA44" s="65" t="str">
        <f aca="false">IF($A44="","",AsOf-$H44)</f>
        <v/>
      </c>
      <c r="AB44" s="65" t="str">
        <f aca="false">IF($A44="","",IF($X44="Closed","Closed",IF($X44="Unmapped","Unmapped",IF($I44="","No target",IF($Z44&lt;0,"Overdue",IF($Z44&lt;=INDEX(StageWindow,$Y44),"At risk","On track"))))))</f>
        <v/>
      </c>
      <c r="AC44" s="65" t="str">
        <f aca="false">IF($Y44="","",IF($AA44&gt;2*INDEX(StageStale,$Y44),"Stale",IF($AA44&gt;INDEX(StageStale,$Y44),"Aging","Fresh")))</f>
        <v/>
      </c>
      <c r="AD44" s="65" t="str">
        <f aca="false">IF($A44="","",IF(OR(ISNUMBER(SEARCH("Reg report",$J44)),ISNUMBER(SEARCH("No human review",$J44)),COUNTIF(TierFuncs,$D44)&gt;0),"High",IF(OR(TRIM($J44)&lt;&gt;"",ISNUMBER(SEARCH("revenue",$K44))),"Medium","Low")))</f>
        <v/>
      </c>
      <c r="AE44" s="65" t="str">
        <f aca="false">IF($A44="","",INDEX(TierDays,MATCH($AD44,TierName,0)))</f>
        <v/>
      </c>
      <c r="AF44" s="65" t="str">
        <f aca="false">IF($A44="","",AsOf-$G44)</f>
        <v/>
      </c>
      <c r="AG44" s="65" t="str">
        <f aca="false">IF($Y44="","",IF($Y44&lt;=5,IF($AF44&gt;$AE44,"Over","Inside"),"Past approval"))</f>
        <v/>
      </c>
      <c r="AH44" s="65" t="str">
        <f aca="false">IF($Y44="","",CHOOSE($Y44,IF(OR(TRIM($F44)="",ISNUMBER(SEARCH("not named",$F44))),"Critical","Good"),IF($O44&lt;&gt;"Y","Critical",IF($Q44&lt;&gt;"Y","Warning","Good")),IF($P44="","Critical",IF($P44="partial","Warning",IF($P44="ready","Good","Critical"))),IF($R44&lt;&gt;"","Critical","Warning"),IF($L44="","Critical",IF($N44="","Warning","Good")),IF($R44&lt;&gt;"","Critical","Warning"),IF($R44&lt;&gt;"","Critical","Warning"),IF($Q44="Y","Good","Critical")))</f>
        <v/>
      </c>
      <c r="AI44" s="65" t="str">
        <f aca="false">IF($Y44="","",CHOOSE($Y44,IF(OR(TRIM($F44)="",ISNUMBER(SEARCH("not named",$F44))),"Name a sponsor accountable for the value",""),IF($O44&lt;&gt;"Y","State the success metric and the stop condition",IF($Q44&lt;&gt;"Y","Set the baseline the benefit will be measured against","")),IF($P44="","Assess data readiness and regulatory impact",IF($P44="partial","Close the known data gaps",IF($P44="ready","","Data is not available; reshape or park"))),IF($R44&lt;&gt;"",IF(OR(ISNUMBER(SEARCH("mrm",$R44)),ISNUMBER(SEARCH("model",$R44)),ISNUMBER(SEARCH("risk",$R44)),ISNUMBER(SEARCH("legal",$R44)),ISNUMBER(SEARCH("complian",$R44))),"Awaiting ","Held at the design gate: ")&amp;$R44,"Map the governance framework for its tier"),IF($L44="","Size the annual benefit",IF($N44="","Score it so it can be ranked against capacity","")),IF($R44&lt;&gt;"","Build held: "&amp;$R44,"In build, not yet through test"),IF($R44&lt;&gt;"","Not ready to scale: "&amp;$R44,"Monitoring and third-party review not yet signed off"),IF($Q44="Y","","Live without a measured baseline to judge it against")))</f>
        <v/>
      </c>
      <c r="AJ44" s="65" t="str">
        <f aca="false">IF($Y44="","",INDEX(StageForum,$Y44))</f>
        <v/>
      </c>
      <c r="AK44" s="65" t="str">
        <f aca="false">IF($Y44="","",IF(OR($X44="Delivery",$X44="Value"),"Committed",IF($N44&lt;&gt;"","Candidate","")))</f>
        <v/>
      </c>
      <c r="AL44" s="65" t="str">
        <f aca="false">IF($AK44&lt;&gt;"Candidate","",COUNTIFS($AK$2:$AK$501,"Candidate",$N$2:$N$501,"&gt;"&amp;$N44)+COUNTIFS($AK$2:$AK$501,"Candidate",$N$2:$N$501,$N44,$A$2:$A$501,"&lt;"&amp;$A44)+1)</f>
        <v/>
      </c>
      <c r="AM44" s="65" t="str">
        <f aca="false">IF($AL44="","",SUMIFS($M$2:$M$501,$AK$2:$AK$501,"Candidate",$AL$2:$AL$501,"&lt;="&amp;$AL44))</f>
        <v/>
      </c>
      <c r="AN44" s="65" t="str">
        <f aca="false">IF($AL44="","",IF($AM44&lt;=CapacityOpen,"Fits","Below line"))</f>
        <v/>
      </c>
      <c r="AO44" s="65" t="str">
        <f aca="false">IF($A44="","",IF($X44="Closed","",IF($X44="Unmapped","Warning",IF(OR($AB44="Overdue",$V44="Y",$AH44="Critical"),"Critical",IF(OR($AB44="At risk",$AC44="Stale",$AG44="Over"),"Warning","")))))</f>
        <v/>
      </c>
      <c r="AP44" s="65" t="str">
        <f aca="false">IF($AO44="","",IF($AO44="Critical",3000,2000)-IF($Z44="",0,$Z44)+ROW()/100000)</f>
        <v/>
      </c>
      <c r="AQ44" s="65" t="str">
        <f aca="false">IF($AO44="","",IF($X44="Unmapped","Status '"&amp;$C44&amp;"' is not in the Config map",IF($V44="Y","Flagged in Jira",IF($AB44="Overdue",-$Z44&amp;" days past its "&amp;$X44&amp;" target",IF($AH44="Critical",$AI44,IF($AB44="At risk","Target in "&amp;$Z44&amp;" days",IF($AC44="Stale","No update in "&amp;$AA44&amp;" days","Past its "&amp;$AE44&amp;"-day tier window")))))))</f>
        <v/>
      </c>
      <c r="AR44" s="65" t="str">
        <f aca="false">IF($AO44="","","draft Jira update for "&amp;$A44)</f>
        <v/>
      </c>
      <c r="AS44" s="65" t="str">
        <f aca="false">IF($A44="","",HYPERLINK(JiraSite&amp;"/browse/"&amp;$A44,"open"))</f>
        <v/>
      </c>
      <c r="AT44" s="65" t="str">
        <f aca="false">IF($Y44="","",$Y44*1000+ROW())</f>
        <v/>
      </c>
      <c r="AU44" s="65" t="str">
        <f aca="false">IF(AND($A44&lt;&gt;"",$G44&gt;=WeekStart),$G44+ROW()/100000,"")</f>
        <v/>
      </c>
      <c r="AV44" s="65" t="str">
        <f aca="false">IF($A44="","",IF(OR(AND($S44&lt;&gt;"",$S44&gt;=WeekStart),AND($U44&lt;&gt;"",$U44&gt;=WeekStart)),MAX($S44,$U44)+ROW()/100000,""))</f>
        <v/>
      </c>
      <c r="AW44" s="65" t="str">
        <f aca="false">IF($AV44="","",IF($T44&lt;&gt;"",$T44,IF($X44="Closed","Closed","Accepted to "&amp;$X44)))</f>
        <v/>
      </c>
      <c r="AX44" s="65" t="str">
        <f aca="false">IF(AND($Y44&lt;&gt;"",$R44&lt;&gt;""),$AF44+ROW()/100000,"")</f>
        <v/>
      </c>
      <c r="AY44" s="65" t="str">
        <f aca="false">IF(AND($Y44&lt;&gt;"",OR($AB44="Overdue",AND($AH44="Critical",$R44&lt;&gt;""))),$AF44+ROW()/100000,"")</f>
        <v/>
      </c>
      <c r="AZ44" s="65" t="str">
        <f aca="false">IF($AH44="Critical",$AF44+ROW()/100000,"")</f>
        <v/>
      </c>
    </row>
    <row r="45" customFormat="false" ht="15" hidden="false" customHeight="false" outlineLevel="0" collapsed="false">
      <c r="A45" s="28"/>
      <c r="B45" s="28"/>
      <c r="C45" s="28"/>
      <c r="D45" s="28"/>
      <c r="E45" s="28"/>
      <c r="F45" s="28"/>
      <c r="G45" s="63"/>
      <c r="H45" s="63"/>
      <c r="I45" s="63"/>
      <c r="J45" s="28"/>
      <c r="K45" s="28"/>
      <c r="L45" s="28"/>
      <c r="M45" s="28"/>
      <c r="N45" s="28"/>
      <c r="O45" s="64"/>
      <c r="P45" s="64"/>
      <c r="Q45" s="64"/>
      <c r="R45" s="28"/>
      <c r="S45" s="63"/>
      <c r="T45" s="64"/>
      <c r="U45" s="63"/>
      <c r="V45" s="64"/>
      <c r="W45" s="28"/>
      <c r="X45" s="65" t="str">
        <f aca="false">IF($A45="","",IF(OR($T45&lt;&gt;"",$U45&lt;&gt;""),"Closed",IFERROR(INDEX(MapStage,MATCH($C45,MapStatus,0)),"Unmapped")))</f>
        <v/>
      </c>
      <c r="Y45" s="65" t="str">
        <f aca="false">IF(OR($X45="",$X45="Closed",$X45="Unmapped"),"",MATCH($X45,StageName,0))</f>
        <v/>
      </c>
      <c r="Z45" s="65" t="str">
        <f aca="false">IF(OR($Y45="",$I45=""),"",$I45-AsOf)</f>
        <v/>
      </c>
      <c r="AA45" s="65" t="str">
        <f aca="false">IF($A45="","",AsOf-$H45)</f>
        <v/>
      </c>
      <c r="AB45" s="65" t="str">
        <f aca="false">IF($A45="","",IF($X45="Closed","Closed",IF($X45="Unmapped","Unmapped",IF($I45="","No target",IF($Z45&lt;0,"Overdue",IF($Z45&lt;=INDEX(StageWindow,$Y45),"At risk","On track"))))))</f>
        <v/>
      </c>
      <c r="AC45" s="65" t="str">
        <f aca="false">IF($Y45="","",IF($AA45&gt;2*INDEX(StageStale,$Y45),"Stale",IF($AA45&gt;INDEX(StageStale,$Y45),"Aging","Fresh")))</f>
        <v/>
      </c>
      <c r="AD45" s="65" t="str">
        <f aca="false">IF($A45="","",IF(OR(ISNUMBER(SEARCH("Reg report",$J45)),ISNUMBER(SEARCH("No human review",$J45)),COUNTIF(TierFuncs,$D45)&gt;0),"High",IF(OR(TRIM($J45)&lt;&gt;"",ISNUMBER(SEARCH("revenue",$K45))),"Medium","Low")))</f>
        <v/>
      </c>
      <c r="AE45" s="65" t="str">
        <f aca="false">IF($A45="","",INDEX(TierDays,MATCH($AD45,TierName,0)))</f>
        <v/>
      </c>
      <c r="AF45" s="65" t="str">
        <f aca="false">IF($A45="","",AsOf-$G45)</f>
        <v/>
      </c>
      <c r="AG45" s="65" t="str">
        <f aca="false">IF($Y45="","",IF($Y45&lt;=5,IF($AF45&gt;$AE45,"Over","Inside"),"Past approval"))</f>
        <v/>
      </c>
      <c r="AH45" s="65" t="str">
        <f aca="false">IF($Y45="","",CHOOSE($Y45,IF(OR(TRIM($F45)="",ISNUMBER(SEARCH("not named",$F45))),"Critical","Good"),IF($O45&lt;&gt;"Y","Critical",IF($Q45&lt;&gt;"Y","Warning","Good")),IF($P45="","Critical",IF($P45="partial","Warning",IF($P45="ready","Good","Critical"))),IF($R45&lt;&gt;"","Critical","Warning"),IF($L45="","Critical",IF($N45="","Warning","Good")),IF($R45&lt;&gt;"","Critical","Warning"),IF($R45&lt;&gt;"","Critical","Warning"),IF($Q45="Y","Good","Critical")))</f>
        <v/>
      </c>
      <c r="AI45" s="65" t="str">
        <f aca="false">IF($Y45="","",CHOOSE($Y45,IF(OR(TRIM($F45)="",ISNUMBER(SEARCH("not named",$F45))),"Name a sponsor accountable for the value",""),IF($O45&lt;&gt;"Y","State the success metric and the stop condition",IF($Q45&lt;&gt;"Y","Set the baseline the benefit will be measured against","")),IF($P45="","Assess data readiness and regulatory impact",IF($P45="partial","Close the known data gaps",IF($P45="ready","","Data is not available; reshape or park"))),IF($R45&lt;&gt;"",IF(OR(ISNUMBER(SEARCH("mrm",$R45)),ISNUMBER(SEARCH("model",$R45)),ISNUMBER(SEARCH("risk",$R45)),ISNUMBER(SEARCH("legal",$R45)),ISNUMBER(SEARCH("complian",$R45))),"Awaiting ","Held at the design gate: ")&amp;$R45,"Map the governance framework for its tier"),IF($L45="","Size the annual benefit",IF($N45="","Score it so it can be ranked against capacity","")),IF($R45&lt;&gt;"","Build held: "&amp;$R45,"In build, not yet through test"),IF($R45&lt;&gt;"","Not ready to scale: "&amp;$R45,"Monitoring and third-party review not yet signed off"),IF($Q45="Y","","Live without a measured baseline to judge it against")))</f>
        <v/>
      </c>
      <c r="AJ45" s="65" t="str">
        <f aca="false">IF($Y45="","",INDEX(StageForum,$Y45))</f>
        <v/>
      </c>
      <c r="AK45" s="65" t="str">
        <f aca="false">IF($Y45="","",IF(OR($X45="Delivery",$X45="Value"),"Committed",IF($N45&lt;&gt;"","Candidate","")))</f>
        <v/>
      </c>
      <c r="AL45" s="65" t="str">
        <f aca="false">IF($AK45&lt;&gt;"Candidate","",COUNTIFS($AK$2:$AK$501,"Candidate",$N$2:$N$501,"&gt;"&amp;$N45)+COUNTIFS($AK$2:$AK$501,"Candidate",$N$2:$N$501,$N45,$A$2:$A$501,"&lt;"&amp;$A45)+1)</f>
        <v/>
      </c>
      <c r="AM45" s="65" t="str">
        <f aca="false">IF($AL45="","",SUMIFS($M$2:$M$501,$AK$2:$AK$501,"Candidate",$AL$2:$AL$501,"&lt;="&amp;$AL45))</f>
        <v/>
      </c>
      <c r="AN45" s="65" t="str">
        <f aca="false">IF($AL45="","",IF($AM45&lt;=CapacityOpen,"Fits","Below line"))</f>
        <v/>
      </c>
      <c r="AO45" s="65" t="str">
        <f aca="false">IF($A45="","",IF($X45="Closed","",IF($X45="Unmapped","Warning",IF(OR($AB45="Overdue",$V45="Y",$AH45="Critical"),"Critical",IF(OR($AB45="At risk",$AC45="Stale",$AG45="Over"),"Warning","")))))</f>
        <v/>
      </c>
      <c r="AP45" s="65" t="str">
        <f aca="false">IF($AO45="","",IF($AO45="Critical",3000,2000)-IF($Z45="",0,$Z45)+ROW()/100000)</f>
        <v/>
      </c>
      <c r="AQ45" s="65" t="str">
        <f aca="false">IF($AO45="","",IF($X45="Unmapped","Status '"&amp;$C45&amp;"' is not in the Config map",IF($V45="Y","Flagged in Jira",IF($AB45="Overdue",-$Z45&amp;" days past its "&amp;$X45&amp;" target",IF($AH45="Critical",$AI45,IF($AB45="At risk","Target in "&amp;$Z45&amp;" days",IF($AC45="Stale","No update in "&amp;$AA45&amp;" days","Past its "&amp;$AE45&amp;"-day tier window")))))))</f>
        <v/>
      </c>
      <c r="AR45" s="65" t="str">
        <f aca="false">IF($AO45="","","draft Jira update for "&amp;$A45)</f>
        <v/>
      </c>
      <c r="AS45" s="65" t="str">
        <f aca="false">IF($A45="","",HYPERLINK(JiraSite&amp;"/browse/"&amp;$A45,"open"))</f>
        <v/>
      </c>
      <c r="AT45" s="65" t="str">
        <f aca="false">IF($Y45="","",$Y45*1000+ROW())</f>
        <v/>
      </c>
      <c r="AU45" s="65" t="str">
        <f aca="false">IF(AND($A45&lt;&gt;"",$G45&gt;=WeekStart),$G45+ROW()/100000,"")</f>
        <v/>
      </c>
      <c r="AV45" s="65" t="str">
        <f aca="false">IF($A45="","",IF(OR(AND($S45&lt;&gt;"",$S45&gt;=WeekStart),AND($U45&lt;&gt;"",$U45&gt;=WeekStart)),MAX($S45,$U45)+ROW()/100000,""))</f>
        <v/>
      </c>
      <c r="AW45" s="65" t="str">
        <f aca="false">IF($AV45="","",IF($T45&lt;&gt;"",$T45,IF($X45="Closed","Closed","Accepted to "&amp;$X45)))</f>
        <v/>
      </c>
      <c r="AX45" s="65" t="str">
        <f aca="false">IF(AND($Y45&lt;&gt;"",$R45&lt;&gt;""),$AF45+ROW()/100000,"")</f>
        <v/>
      </c>
      <c r="AY45" s="65" t="str">
        <f aca="false">IF(AND($Y45&lt;&gt;"",OR($AB45="Overdue",AND($AH45="Critical",$R45&lt;&gt;""))),$AF45+ROW()/100000,"")</f>
        <v/>
      </c>
      <c r="AZ45" s="65" t="str">
        <f aca="false">IF($AH45="Critical",$AF45+ROW()/100000,"")</f>
        <v/>
      </c>
    </row>
    <row r="46" customFormat="false" ht="15" hidden="false" customHeight="false" outlineLevel="0" collapsed="false">
      <c r="A46" s="28"/>
      <c r="B46" s="28"/>
      <c r="C46" s="28"/>
      <c r="D46" s="28"/>
      <c r="E46" s="28"/>
      <c r="F46" s="28"/>
      <c r="G46" s="63"/>
      <c r="H46" s="63"/>
      <c r="I46" s="63"/>
      <c r="J46" s="28"/>
      <c r="K46" s="28"/>
      <c r="L46" s="28"/>
      <c r="M46" s="28"/>
      <c r="N46" s="28"/>
      <c r="O46" s="64"/>
      <c r="P46" s="64"/>
      <c r="Q46" s="64"/>
      <c r="R46" s="28"/>
      <c r="S46" s="63"/>
      <c r="T46" s="64"/>
      <c r="U46" s="63"/>
      <c r="V46" s="64"/>
      <c r="W46" s="28"/>
      <c r="X46" s="65" t="str">
        <f aca="false">IF($A46="","",IF(OR($T46&lt;&gt;"",$U46&lt;&gt;""),"Closed",IFERROR(INDEX(MapStage,MATCH($C46,MapStatus,0)),"Unmapped")))</f>
        <v/>
      </c>
      <c r="Y46" s="65" t="str">
        <f aca="false">IF(OR($X46="",$X46="Closed",$X46="Unmapped"),"",MATCH($X46,StageName,0))</f>
        <v/>
      </c>
      <c r="Z46" s="65" t="str">
        <f aca="false">IF(OR($Y46="",$I46=""),"",$I46-AsOf)</f>
        <v/>
      </c>
      <c r="AA46" s="65" t="str">
        <f aca="false">IF($A46="","",AsOf-$H46)</f>
        <v/>
      </c>
      <c r="AB46" s="65" t="str">
        <f aca="false">IF($A46="","",IF($X46="Closed","Closed",IF($X46="Unmapped","Unmapped",IF($I46="","No target",IF($Z46&lt;0,"Overdue",IF($Z46&lt;=INDEX(StageWindow,$Y46),"At risk","On track"))))))</f>
        <v/>
      </c>
      <c r="AC46" s="65" t="str">
        <f aca="false">IF($Y46="","",IF($AA46&gt;2*INDEX(StageStale,$Y46),"Stale",IF($AA46&gt;INDEX(StageStale,$Y46),"Aging","Fresh")))</f>
        <v/>
      </c>
      <c r="AD46" s="65" t="str">
        <f aca="false">IF($A46="","",IF(OR(ISNUMBER(SEARCH("Reg report",$J46)),ISNUMBER(SEARCH("No human review",$J46)),COUNTIF(TierFuncs,$D46)&gt;0),"High",IF(OR(TRIM($J46)&lt;&gt;"",ISNUMBER(SEARCH("revenue",$K46))),"Medium","Low")))</f>
        <v/>
      </c>
      <c r="AE46" s="65" t="str">
        <f aca="false">IF($A46="","",INDEX(TierDays,MATCH($AD46,TierName,0)))</f>
        <v/>
      </c>
      <c r="AF46" s="65" t="str">
        <f aca="false">IF($A46="","",AsOf-$G46)</f>
        <v/>
      </c>
      <c r="AG46" s="65" t="str">
        <f aca="false">IF($Y46="","",IF($Y46&lt;=5,IF($AF46&gt;$AE46,"Over","Inside"),"Past approval"))</f>
        <v/>
      </c>
      <c r="AH46" s="65" t="str">
        <f aca="false">IF($Y46="","",CHOOSE($Y46,IF(OR(TRIM($F46)="",ISNUMBER(SEARCH("not named",$F46))),"Critical","Good"),IF($O46&lt;&gt;"Y","Critical",IF($Q46&lt;&gt;"Y","Warning","Good")),IF($P46="","Critical",IF($P46="partial","Warning",IF($P46="ready","Good","Critical"))),IF($R46&lt;&gt;"","Critical","Warning"),IF($L46="","Critical",IF($N46="","Warning","Good")),IF($R46&lt;&gt;"","Critical","Warning"),IF($R46&lt;&gt;"","Critical","Warning"),IF($Q46="Y","Good","Critical")))</f>
        <v/>
      </c>
      <c r="AI46" s="65" t="str">
        <f aca="false">IF($Y46="","",CHOOSE($Y46,IF(OR(TRIM($F46)="",ISNUMBER(SEARCH("not named",$F46))),"Name a sponsor accountable for the value",""),IF($O46&lt;&gt;"Y","State the success metric and the stop condition",IF($Q46&lt;&gt;"Y","Set the baseline the benefit will be measured against","")),IF($P46="","Assess data readiness and regulatory impact",IF($P46="partial","Close the known data gaps",IF($P46="ready","","Data is not available; reshape or park"))),IF($R46&lt;&gt;"",IF(OR(ISNUMBER(SEARCH("mrm",$R46)),ISNUMBER(SEARCH("model",$R46)),ISNUMBER(SEARCH("risk",$R46)),ISNUMBER(SEARCH("legal",$R46)),ISNUMBER(SEARCH("complian",$R46))),"Awaiting ","Held at the design gate: ")&amp;$R46,"Map the governance framework for its tier"),IF($L46="","Size the annual benefit",IF($N46="","Score it so it can be ranked against capacity","")),IF($R46&lt;&gt;"","Build held: "&amp;$R46,"In build, not yet through test"),IF($R46&lt;&gt;"","Not ready to scale: "&amp;$R46,"Monitoring and third-party review not yet signed off"),IF($Q46="Y","","Live without a measured baseline to judge it against")))</f>
        <v/>
      </c>
      <c r="AJ46" s="65" t="str">
        <f aca="false">IF($Y46="","",INDEX(StageForum,$Y46))</f>
        <v/>
      </c>
      <c r="AK46" s="65" t="str">
        <f aca="false">IF($Y46="","",IF(OR($X46="Delivery",$X46="Value"),"Committed",IF($N46&lt;&gt;"","Candidate","")))</f>
        <v/>
      </c>
      <c r="AL46" s="65" t="str">
        <f aca="false">IF($AK46&lt;&gt;"Candidate","",COUNTIFS($AK$2:$AK$501,"Candidate",$N$2:$N$501,"&gt;"&amp;$N46)+COUNTIFS($AK$2:$AK$501,"Candidate",$N$2:$N$501,$N46,$A$2:$A$501,"&lt;"&amp;$A46)+1)</f>
        <v/>
      </c>
      <c r="AM46" s="65" t="str">
        <f aca="false">IF($AL46="","",SUMIFS($M$2:$M$501,$AK$2:$AK$501,"Candidate",$AL$2:$AL$501,"&lt;="&amp;$AL46))</f>
        <v/>
      </c>
      <c r="AN46" s="65" t="str">
        <f aca="false">IF($AL46="","",IF($AM46&lt;=CapacityOpen,"Fits","Below line"))</f>
        <v/>
      </c>
      <c r="AO46" s="65" t="str">
        <f aca="false">IF($A46="","",IF($X46="Closed","",IF($X46="Unmapped","Warning",IF(OR($AB46="Overdue",$V46="Y",$AH46="Critical"),"Critical",IF(OR($AB46="At risk",$AC46="Stale",$AG46="Over"),"Warning","")))))</f>
        <v/>
      </c>
      <c r="AP46" s="65" t="str">
        <f aca="false">IF($AO46="","",IF($AO46="Critical",3000,2000)-IF($Z46="",0,$Z46)+ROW()/100000)</f>
        <v/>
      </c>
      <c r="AQ46" s="65" t="str">
        <f aca="false">IF($AO46="","",IF($X46="Unmapped","Status '"&amp;$C46&amp;"' is not in the Config map",IF($V46="Y","Flagged in Jira",IF($AB46="Overdue",-$Z46&amp;" days past its "&amp;$X46&amp;" target",IF($AH46="Critical",$AI46,IF($AB46="At risk","Target in "&amp;$Z46&amp;" days",IF($AC46="Stale","No update in "&amp;$AA46&amp;" days","Past its "&amp;$AE46&amp;"-day tier window")))))))</f>
        <v/>
      </c>
      <c r="AR46" s="65" t="str">
        <f aca="false">IF($AO46="","","draft Jira update for "&amp;$A46)</f>
        <v/>
      </c>
      <c r="AS46" s="65" t="str">
        <f aca="false">IF($A46="","",HYPERLINK(JiraSite&amp;"/browse/"&amp;$A46,"open"))</f>
        <v/>
      </c>
      <c r="AT46" s="65" t="str">
        <f aca="false">IF($Y46="","",$Y46*1000+ROW())</f>
        <v/>
      </c>
      <c r="AU46" s="65" t="str">
        <f aca="false">IF(AND($A46&lt;&gt;"",$G46&gt;=WeekStart),$G46+ROW()/100000,"")</f>
        <v/>
      </c>
      <c r="AV46" s="65" t="str">
        <f aca="false">IF($A46="","",IF(OR(AND($S46&lt;&gt;"",$S46&gt;=WeekStart),AND($U46&lt;&gt;"",$U46&gt;=WeekStart)),MAX($S46,$U46)+ROW()/100000,""))</f>
        <v/>
      </c>
      <c r="AW46" s="65" t="str">
        <f aca="false">IF($AV46="","",IF($T46&lt;&gt;"",$T46,IF($X46="Closed","Closed","Accepted to "&amp;$X46)))</f>
        <v/>
      </c>
      <c r="AX46" s="65" t="str">
        <f aca="false">IF(AND($Y46&lt;&gt;"",$R46&lt;&gt;""),$AF46+ROW()/100000,"")</f>
        <v/>
      </c>
      <c r="AY46" s="65" t="str">
        <f aca="false">IF(AND($Y46&lt;&gt;"",OR($AB46="Overdue",AND($AH46="Critical",$R46&lt;&gt;""))),$AF46+ROW()/100000,"")</f>
        <v/>
      </c>
      <c r="AZ46" s="65" t="str">
        <f aca="false">IF($AH46="Critical",$AF46+ROW()/100000,"")</f>
        <v/>
      </c>
    </row>
    <row r="47" customFormat="false" ht="15" hidden="false" customHeight="false" outlineLevel="0" collapsed="false">
      <c r="A47" s="28"/>
      <c r="B47" s="28"/>
      <c r="C47" s="28"/>
      <c r="D47" s="28"/>
      <c r="E47" s="28"/>
      <c r="F47" s="28"/>
      <c r="G47" s="63"/>
      <c r="H47" s="63"/>
      <c r="I47" s="63"/>
      <c r="J47" s="28"/>
      <c r="K47" s="28"/>
      <c r="L47" s="28"/>
      <c r="M47" s="28"/>
      <c r="N47" s="28"/>
      <c r="O47" s="64"/>
      <c r="P47" s="64"/>
      <c r="Q47" s="64"/>
      <c r="R47" s="28"/>
      <c r="S47" s="63"/>
      <c r="T47" s="64"/>
      <c r="U47" s="63"/>
      <c r="V47" s="64"/>
      <c r="W47" s="28"/>
      <c r="X47" s="65" t="str">
        <f aca="false">IF($A47="","",IF(OR($T47&lt;&gt;"",$U47&lt;&gt;""),"Closed",IFERROR(INDEX(MapStage,MATCH($C47,MapStatus,0)),"Unmapped")))</f>
        <v/>
      </c>
      <c r="Y47" s="65" t="str">
        <f aca="false">IF(OR($X47="",$X47="Closed",$X47="Unmapped"),"",MATCH($X47,StageName,0))</f>
        <v/>
      </c>
      <c r="Z47" s="65" t="str">
        <f aca="false">IF(OR($Y47="",$I47=""),"",$I47-AsOf)</f>
        <v/>
      </c>
      <c r="AA47" s="65" t="str">
        <f aca="false">IF($A47="","",AsOf-$H47)</f>
        <v/>
      </c>
      <c r="AB47" s="65" t="str">
        <f aca="false">IF($A47="","",IF($X47="Closed","Closed",IF($X47="Unmapped","Unmapped",IF($I47="","No target",IF($Z47&lt;0,"Overdue",IF($Z47&lt;=INDEX(StageWindow,$Y47),"At risk","On track"))))))</f>
        <v/>
      </c>
      <c r="AC47" s="65" t="str">
        <f aca="false">IF($Y47="","",IF($AA47&gt;2*INDEX(StageStale,$Y47),"Stale",IF($AA47&gt;INDEX(StageStale,$Y47),"Aging","Fresh")))</f>
        <v/>
      </c>
      <c r="AD47" s="65" t="str">
        <f aca="false">IF($A47="","",IF(OR(ISNUMBER(SEARCH("Reg report",$J47)),ISNUMBER(SEARCH("No human review",$J47)),COUNTIF(TierFuncs,$D47)&gt;0),"High",IF(OR(TRIM($J47)&lt;&gt;"",ISNUMBER(SEARCH("revenue",$K47))),"Medium","Low")))</f>
        <v/>
      </c>
      <c r="AE47" s="65" t="str">
        <f aca="false">IF($A47="","",INDEX(TierDays,MATCH($AD47,TierName,0)))</f>
        <v/>
      </c>
      <c r="AF47" s="65" t="str">
        <f aca="false">IF($A47="","",AsOf-$G47)</f>
        <v/>
      </c>
      <c r="AG47" s="65" t="str">
        <f aca="false">IF($Y47="","",IF($Y47&lt;=5,IF($AF47&gt;$AE47,"Over","Inside"),"Past approval"))</f>
        <v/>
      </c>
      <c r="AH47" s="65" t="str">
        <f aca="false">IF($Y47="","",CHOOSE($Y47,IF(OR(TRIM($F47)="",ISNUMBER(SEARCH("not named",$F47))),"Critical","Good"),IF($O47&lt;&gt;"Y","Critical",IF($Q47&lt;&gt;"Y","Warning","Good")),IF($P47="","Critical",IF($P47="partial","Warning",IF($P47="ready","Good","Critical"))),IF($R47&lt;&gt;"","Critical","Warning"),IF($L47="","Critical",IF($N47="","Warning","Good")),IF($R47&lt;&gt;"","Critical","Warning"),IF($R47&lt;&gt;"","Critical","Warning"),IF($Q47="Y","Good","Critical")))</f>
        <v/>
      </c>
      <c r="AI47" s="65" t="str">
        <f aca="false">IF($Y47="","",CHOOSE($Y47,IF(OR(TRIM($F47)="",ISNUMBER(SEARCH("not named",$F47))),"Name a sponsor accountable for the value",""),IF($O47&lt;&gt;"Y","State the success metric and the stop condition",IF($Q47&lt;&gt;"Y","Set the baseline the benefit will be measured against","")),IF($P47="","Assess data readiness and regulatory impact",IF($P47="partial","Close the known data gaps",IF($P47="ready","","Data is not available; reshape or park"))),IF($R47&lt;&gt;"",IF(OR(ISNUMBER(SEARCH("mrm",$R47)),ISNUMBER(SEARCH("model",$R47)),ISNUMBER(SEARCH("risk",$R47)),ISNUMBER(SEARCH("legal",$R47)),ISNUMBER(SEARCH("complian",$R47))),"Awaiting ","Held at the design gate: ")&amp;$R47,"Map the governance framework for its tier"),IF($L47="","Size the annual benefit",IF($N47="","Score it so it can be ranked against capacity","")),IF($R47&lt;&gt;"","Build held: "&amp;$R47,"In build, not yet through test"),IF($R47&lt;&gt;"","Not ready to scale: "&amp;$R47,"Monitoring and third-party review not yet signed off"),IF($Q47="Y","","Live without a measured baseline to judge it against")))</f>
        <v/>
      </c>
      <c r="AJ47" s="65" t="str">
        <f aca="false">IF($Y47="","",INDEX(StageForum,$Y47))</f>
        <v/>
      </c>
      <c r="AK47" s="65" t="str">
        <f aca="false">IF($Y47="","",IF(OR($X47="Delivery",$X47="Value"),"Committed",IF($N47&lt;&gt;"","Candidate","")))</f>
        <v/>
      </c>
      <c r="AL47" s="65" t="str">
        <f aca="false">IF($AK47&lt;&gt;"Candidate","",COUNTIFS($AK$2:$AK$501,"Candidate",$N$2:$N$501,"&gt;"&amp;$N47)+COUNTIFS($AK$2:$AK$501,"Candidate",$N$2:$N$501,$N47,$A$2:$A$501,"&lt;"&amp;$A47)+1)</f>
        <v/>
      </c>
      <c r="AM47" s="65" t="str">
        <f aca="false">IF($AL47="","",SUMIFS($M$2:$M$501,$AK$2:$AK$501,"Candidate",$AL$2:$AL$501,"&lt;="&amp;$AL47))</f>
        <v/>
      </c>
      <c r="AN47" s="65" t="str">
        <f aca="false">IF($AL47="","",IF($AM47&lt;=CapacityOpen,"Fits","Below line"))</f>
        <v/>
      </c>
      <c r="AO47" s="65" t="str">
        <f aca="false">IF($A47="","",IF($X47="Closed","",IF($X47="Unmapped","Warning",IF(OR($AB47="Overdue",$V47="Y",$AH47="Critical"),"Critical",IF(OR($AB47="At risk",$AC47="Stale",$AG47="Over"),"Warning","")))))</f>
        <v/>
      </c>
      <c r="AP47" s="65" t="str">
        <f aca="false">IF($AO47="","",IF($AO47="Critical",3000,2000)-IF($Z47="",0,$Z47)+ROW()/100000)</f>
        <v/>
      </c>
      <c r="AQ47" s="65" t="str">
        <f aca="false">IF($AO47="","",IF($X47="Unmapped","Status '"&amp;$C47&amp;"' is not in the Config map",IF($V47="Y","Flagged in Jira",IF($AB47="Overdue",-$Z47&amp;" days past its "&amp;$X47&amp;" target",IF($AH47="Critical",$AI47,IF($AB47="At risk","Target in "&amp;$Z47&amp;" days",IF($AC47="Stale","No update in "&amp;$AA47&amp;" days","Past its "&amp;$AE47&amp;"-day tier window")))))))</f>
        <v/>
      </c>
      <c r="AR47" s="65" t="str">
        <f aca="false">IF($AO47="","","draft Jira update for "&amp;$A47)</f>
        <v/>
      </c>
      <c r="AS47" s="65" t="str">
        <f aca="false">IF($A47="","",HYPERLINK(JiraSite&amp;"/browse/"&amp;$A47,"open"))</f>
        <v/>
      </c>
      <c r="AT47" s="65" t="str">
        <f aca="false">IF($Y47="","",$Y47*1000+ROW())</f>
        <v/>
      </c>
      <c r="AU47" s="65" t="str">
        <f aca="false">IF(AND($A47&lt;&gt;"",$G47&gt;=WeekStart),$G47+ROW()/100000,"")</f>
        <v/>
      </c>
      <c r="AV47" s="65" t="str">
        <f aca="false">IF($A47="","",IF(OR(AND($S47&lt;&gt;"",$S47&gt;=WeekStart),AND($U47&lt;&gt;"",$U47&gt;=WeekStart)),MAX($S47,$U47)+ROW()/100000,""))</f>
        <v/>
      </c>
      <c r="AW47" s="65" t="str">
        <f aca="false">IF($AV47="","",IF($T47&lt;&gt;"",$T47,IF($X47="Closed","Closed","Accepted to "&amp;$X47)))</f>
        <v/>
      </c>
      <c r="AX47" s="65" t="str">
        <f aca="false">IF(AND($Y47&lt;&gt;"",$R47&lt;&gt;""),$AF47+ROW()/100000,"")</f>
        <v/>
      </c>
      <c r="AY47" s="65" t="str">
        <f aca="false">IF(AND($Y47&lt;&gt;"",OR($AB47="Overdue",AND($AH47="Critical",$R47&lt;&gt;""))),$AF47+ROW()/100000,"")</f>
        <v/>
      </c>
      <c r="AZ47" s="65" t="str">
        <f aca="false">IF($AH47="Critical",$AF47+ROW()/100000,"")</f>
        <v/>
      </c>
    </row>
    <row r="48" customFormat="false" ht="15" hidden="false" customHeight="false" outlineLevel="0" collapsed="false">
      <c r="A48" s="28"/>
      <c r="B48" s="28"/>
      <c r="C48" s="28"/>
      <c r="D48" s="28"/>
      <c r="E48" s="28"/>
      <c r="F48" s="28"/>
      <c r="G48" s="63"/>
      <c r="H48" s="63"/>
      <c r="I48" s="63"/>
      <c r="J48" s="28"/>
      <c r="K48" s="28"/>
      <c r="L48" s="28"/>
      <c r="M48" s="28"/>
      <c r="N48" s="28"/>
      <c r="O48" s="64"/>
      <c r="P48" s="64"/>
      <c r="Q48" s="64"/>
      <c r="R48" s="28"/>
      <c r="S48" s="63"/>
      <c r="T48" s="64"/>
      <c r="U48" s="63"/>
      <c r="V48" s="64"/>
      <c r="W48" s="28"/>
      <c r="X48" s="65" t="str">
        <f aca="false">IF($A48="","",IF(OR($T48&lt;&gt;"",$U48&lt;&gt;""),"Closed",IFERROR(INDEX(MapStage,MATCH($C48,MapStatus,0)),"Unmapped")))</f>
        <v/>
      </c>
      <c r="Y48" s="65" t="str">
        <f aca="false">IF(OR($X48="",$X48="Closed",$X48="Unmapped"),"",MATCH($X48,StageName,0))</f>
        <v/>
      </c>
      <c r="Z48" s="65" t="str">
        <f aca="false">IF(OR($Y48="",$I48=""),"",$I48-AsOf)</f>
        <v/>
      </c>
      <c r="AA48" s="65" t="str">
        <f aca="false">IF($A48="","",AsOf-$H48)</f>
        <v/>
      </c>
      <c r="AB48" s="65" t="str">
        <f aca="false">IF($A48="","",IF($X48="Closed","Closed",IF($X48="Unmapped","Unmapped",IF($I48="","No target",IF($Z48&lt;0,"Overdue",IF($Z48&lt;=INDEX(StageWindow,$Y48),"At risk","On track"))))))</f>
        <v/>
      </c>
      <c r="AC48" s="65" t="str">
        <f aca="false">IF($Y48="","",IF($AA48&gt;2*INDEX(StageStale,$Y48),"Stale",IF($AA48&gt;INDEX(StageStale,$Y48),"Aging","Fresh")))</f>
        <v/>
      </c>
      <c r="AD48" s="65" t="str">
        <f aca="false">IF($A48="","",IF(OR(ISNUMBER(SEARCH("Reg report",$J48)),ISNUMBER(SEARCH("No human review",$J48)),COUNTIF(TierFuncs,$D48)&gt;0),"High",IF(OR(TRIM($J48)&lt;&gt;"",ISNUMBER(SEARCH("revenue",$K48))),"Medium","Low")))</f>
        <v/>
      </c>
      <c r="AE48" s="65" t="str">
        <f aca="false">IF($A48="","",INDEX(TierDays,MATCH($AD48,TierName,0)))</f>
        <v/>
      </c>
      <c r="AF48" s="65" t="str">
        <f aca="false">IF($A48="","",AsOf-$G48)</f>
        <v/>
      </c>
      <c r="AG48" s="65" t="str">
        <f aca="false">IF($Y48="","",IF($Y48&lt;=5,IF($AF48&gt;$AE48,"Over","Inside"),"Past approval"))</f>
        <v/>
      </c>
      <c r="AH48" s="65" t="str">
        <f aca="false">IF($Y48="","",CHOOSE($Y48,IF(OR(TRIM($F48)="",ISNUMBER(SEARCH("not named",$F48))),"Critical","Good"),IF($O48&lt;&gt;"Y","Critical",IF($Q48&lt;&gt;"Y","Warning","Good")),IF($P48="","Critical",IF($P48="partial","Warning",IF($P48="ready","Good","Critical"))),IF($R48&lt;&gt;"","Critical","Warning"),IF($L48="","Critical",IF($N48="","Warning","Good")),IF($R48&lt;&gt;"","Critical","Warning"),IF($R48&lt;&gt;"","Critical","Warning"),IF($Q48="Y","Good","Critical")))</f>
        <v/>
      </c>
      <c r="AI48" s="65" t="str">
        <f aca="false">IF($Y48="","",CHOOSE($Y48,IF(OR(TRIM($F48)="",ISNUMBER(SEARCH("not named",$F48))),"Name a sponsor accountable for the value",""),IF($O48&lt;&gt;"Y","State the success metric and the stop condition",IF($Q48&lt;&gt;"Y","Set the baseline the benefit will be measured against","")),IF($P48="","Assess data readiness and regulatory impact",IF($P48="partial","Close the known data gaps",IF($P48="ready","","Data is not available; reshape or park"))),IF($R48&lt;&gt;"",IF(OR(ISNUMBER(SEARCH("mrm",$R48)),ISNUMBER(SEARCH("model",$R48)),ISNUMBER(SEARCH("risk",$R48)),ISNUMBER(SEARCH("legal",$R48)),ISNUMBER(SEARCH("complian",$R48))),"Awaiting ","Held at the design gate: ")&amp;$R48,"Map the governance framework for its tier"),IF($L48="","Size the annual benefit",IF($N48="","Score it so it can be ranked against capacity","")),IF($R48&lt;&gt;"","Build held: "&amp;$R48,"In build, not yet through test"),IF($R48&lt;&gt;"","Not ready to scale: "&amp;$R48,"Monitoring and third-party review not yet signed off"),IF($Q48="Y","","Live without a measured baseline to judge it against")))</f>
        <v/>
      </c>
      <c r="AJ48" s="65" t="str">
        <f aca="false">IF($Y48="","",INDEX(StageForum,$Y48))</f>
        <v/>
      </c>
      <c r="AK48" s="65" t="str">
        <f aca="false">IF($Y48="","",IF(OR($X48="Delivery",$X48="Value"),"Committed",IF($N48&lt;&gt;"","Candidate","")))</f>
        <v/>
      </c>
      <c r="AL48" s="65" t="str">
        <f aca="false">IF($AK48&lt;&gt;"Candidate","",COUNTIFS($AK$2:$AK$501,"Candidate",$N$2:$N$501,"&gt;"&amp;$N48)+COUNTIFS($AK$2:$AK$501,"Candidate",$N$2:$N$501,$N48,$A$2:$A$501,"&lt;"&amp;$A48)+1)</f>
        <v/>
      </c>
      <c r="AM48" s="65" t="str">
        <f aca="false">IF($AL48="","",SUMIFS($M$2:$M$501,$AK$2:$AK$501,"Candidate",$AL$2:$AL$501,"&lt;="&amp;$AL48))</f>
        <v/>
      </c>
      <c r="AN48" s="65" t="str">
        <f aca="false">IF($AL48="","",IF($AM48&lt;=CapacityOpen,"Fits","Below line"))</f>
        <v/>
      </c>
      <c r="AO48" s="65" t="str">
        <f aca="false">IF($A48="","",IF($X48="Closed","",IF($X48="Unmapped","Warning",IF(OR($AB48="Overdue",$V48="Y",$AH48="Critical"),"Critical",IF(OR($AB48="At risk",$AC48="Stale",$AG48="Over"),"Warning","")))))</f>
        <v/>
      </c>
      <c r="AP48" s="65" t="str">
        <f aca="false">IF($AO48="","",IF($AO48="Critical",3000,2000)-IF($Z48="",0,$Z48)+ROW()/100000)</f>
        <v/>
      </c>
      <c r="AQ48" s="65" t="str">
        <f aca="false">IF($AO48="","",IF($X48="Unmapped","Status '"&amp;$C48&amp;"' is not in the Config map",IF($V48="Y","Flagged in Jira",IF($AB48="Overdue",-$Z48&amp;" days past its "&amp;$X48&amp;" target",IF($AH48="Critical",$AI48,IF($AB48="At risk","Target in "&amp;$Z48&amp;" days",IF($AC48="Stale","No update in "&amp;$AA48&amp;" days","Past its "&amp;$AE48&amp;"-day tier window")))))))</f>
        <v/>
      </c>
      <c r="AR48" s="65" t="str">
        <f aca="false">IF($AO48="","","draft Jira update for "&amp;$A48)</f>
        <v/>
      </c>
      <c r="AS48" s="65" t="str">
        <f aca="false">IF($A48="","",HYPERLINK(JiraSite&amp;"/browse/"&amp;$A48,"open"))</f>
        <v/>
      </c>
      <c r="AT48" s="65" t="str">
        <f aca="false">IF($Y48="","",$Y48*1000+ROW())</f>
        <v/>
      </c>
      <c r="AU48" s="65" t="str">
        <f aca="false">IF(AND($A48&lt;&gt;"",$G48&gt;=WeekStart),$G48+ROW()/100000,"")</f>
        <v/>
      </c>
      <c r="AV48" s="65" t="str">
        <f aca="false">IF($A48="","",IF(OR(AND($S48&lt;&gt;"",$S48&gt;=WeekStart),AND($U48&lt;&gt;"",$U48&gt;=WeekStart)),MAX($S48,$U48)+ROW()/100000,""))</f>
        <v/>
      </c>
      <c r="AW48" s="65" t="str">
        <f aca="false">IF($AV48="","",IF($T48&lt;&gt;"",$T48,IF($X48="Closed","Closed","Accepted to "&amp;$X48)))</f>
        <v/>
      </c>
      <c r="AX48" s="65" t="str">
        <f aca="false">IF(AND($Y48&lt;&gt;"",$R48&lt;&gt;""),$AF48+ROW()/100000,"")</f>
        <v/>
      </c>
      <c r="AY48" s="65" t="str">
        <f aca="false">IF(AND($Y48&lt;&gt;"",OR($AB48="Overdue",AND($AH48="Critical",$R48&lt;&gt;""))),$AF48+ROW()/100000,"")</f>
        <v/>
      </c>
      <c r="AZ48" s="65" t="str">
        <f aca="false">IF($AH48="Critical",$AF48+ROW()/100000,"")</f>
        <v/>
      </c>
    </row>
    <row r="49" customFormat="false" ht="15" hidden="false" customHeight="false" outlineLevel="0" collapsed="false">
      <c r="A49" s="28"/>
      <c r="B49" s="28"/>
      <c r="C49" s="28"/>
      <c r="D49" s="28"/>
      <c r="E49" s="28"/>
      <c r="F49" s="28"/>
      <c r="G49" s="63"/>
      <c r="H49" s="63"/>
      <c r="I49" s="63"/>
      <c r="J49" s="28"/>
      <c r="K49" s="28"/>
      <c r="L49" s="28"/>
      <c r="M49" s="28"/>
      <c r="N49" s="28"/>
      <c r="O49" s="64"/>
      <c r="P49" s="64"/>
      <c r="Q49" s="64"/>
      <c r="R49" s="28"/>
      <c r="S49" s="63"/>
      <c r="T49" s="64"/>
      <c r="U49" s="63"/>
      <c r="V49" s="64"/>
      <c r="W49" s="28"/>
      <c r="X49" s="65" t="str">
        <f aca="false">IF($A49="","",IF(OR($T49&lt;&gt;"",$U49&lt;&gt;""),"Closed",IFERROR(INDEX(MapStage,MATCH($C49,MapStatus,0)),"Unmapped")))</f>
        <v/>
      </c>
      <c r="Y49" s="65" t="str">
        <f aca="false">IF(OR($X49="",$X49="Closed",$X49="Unmapped"),"",MATCH($X49,StageName,0))</f>
        <v/>
      </c>
      <c r="Z49" s="65" t="str">
        <f aca="false">IF(OR($Y49="",$I49=""),"",$I49-AsOf)</f>
        <v/>
      </c>
      <c r="AA49" s="65" t="str">
        <f aca="false">IF($A49="","",AsOf-$H49)</f>
        <v/>
      </c>
      <c r="AB49" s="65" t="str">
        <f aca="false">IF($A49="","",IF($X49="Closed","Closed",IF($X49="Unmapped","Unmapped",IF($I49="","No target",IF($Z49&lt;0,"Overdue",IF($Z49&lt;=INDEX(StageWindow,$Y49),"At risk","On track"))))))</f>
        <v/>
      </c>
      <c r="AC49" s="65" t="str">
        <f aca="false">IF($Y49="","",IF($AA49&gt;2*INDEX(StageStale,$Y49),"Stale",IF($AA49&gt;INDEX(StageStale,$Y49),"Aging","Fresh")))</f>
        <v/>
      </c>
      <c r="AD49" s="65" t="str">
        <f aca="false">IF($A49="","",IF(OR(ISNUMBER(SEARCH("Reg report",$J49)),ISNUMBER(SEARCH("No human review",$J49)),COUNTIF(TierFuncs,$D49)&gt;0),"High",IF(OR(TRIM($J49)&lt;&gt;"",ISNUMBER(SEARCH("revenue",$K49))),"Medium","Low")))</f>
        <v/>
      </c>
      <c r="AE49" s="65" t="str">
        <f aca="false">IF($A49="","",INDEX(TierDays,MATCH($AD49,TierName,0)))</f>
        <v/>
      </c>
      <c r="AF49" s="65" t="str">
        <f aca="false">IF($A49="","",AsOf-$G49)</f>
        <v/>
      </c>
      <c r="AG49" s="65" t="str">
        <f aca="false">IF($Y49="","",IF($Y49&lt;=5,IF($AF49&gt;$AE49,"Over","Inside"),"Past approval"))</f>
        <v/>
      </c>
      <c r="AH49" s="65" t="str">
        <f aca="false">IF($Y49="","",CHOOSE($Y49,IF(OR(TRIM($F49)="",ISNUMBER(SEARCH("not named",$F49))),"Critical","Good"),IF($O49&lt;&gt;"Y","Critical",IF($Q49&lt;&gt;"Y","Warning","Good")),IF($P49="","Critical",IF($P49="partial","Warning",IF($P49="ready","Good","Critical"))),IF($R49&lt;&gt;"","Critical","Warning"),IF($L49="","Critical",IF($N49="","Warning","Good")),IF($R49&lt;&gt;"","Critical","Warning"),IF($R49&lt;&gt;"","Critical","Warning"),IF($Q49="Y","Good","Critical")))</f>
        <v/>
      </c>
      <c r="AI49" s="65" t="str">
        <f aca="false">IF($Y49="","",CHOOSE($Y49,IF(OR(TRIM($F49)="",ISNUMBER(SEARCH("not named",$F49))),"Name a sponsor accountable for the value",""),IF($O49&lt;&gt;"Y","State the success metric and the stop condition",IF($Q49&lt;&gt;"Y","Set the baseline the benefit will be measured against","")),IF($P49="","Assess data readiness and regulatory impact",IF($P49="partial","Close the known data gaps",IF($P49="ready","","Data is not available; reshape or park"))),IF($R49&lt;&gt;"",IF(OR(ISNUMBER(SEARCH("mrm",$R49)),ISNUMBER(SEARCH("model",$R49)),ISNUMBER(SEARCH("risk",$R49)),ISNUMBER(SEARCH("legal",$R49)),ISNUMBER(SEARCH("complian",$R49))),"Awaiting ","Held at the design gate: ")&amp;$R49,"Map the governance framework for its tier"),IF($L49="","Size the annual benefit",IF($N49="","Score it so it can be ranked against capacity","")),IF($R49&lt;&gt;"","Build held: "&amp;$R49,"In build, not yet through test"),IF($R49&lt;&gt;"","Not ready to scale: "&amp;$R49,"Monitoring and third-party review not yet signed off"),IF($Q49="Y","","Live without a measured baseline to judge it against")))</f>
        <v/>
      </c>
      <c r="AJ49" s="65" t="str">
        <f aca="false">IF($Y49="","",INDEX(StageForum,$Y49))</f>
        <v/>
      </c>
      <c r="AK49" s="65" t="str">
        <f aca="false">IF($Y49="","",IF(OR($X49="Delivery",$X49="Value"),"Committed",IF($N49&lt;&gt;"","Candidate","")))</f>
        <v/>
      </c>
      <c r="AL49" s="65" t="str">
        <f aca="false">IF($AK49&lt;&gt;"Candidate","",COUNTIFS($AK$2:$AK$501,"Candidate",$N$2:$N$501,"&gt;"&amp;$N49)+COUNTIFS($AK$2:$AK$501,"Candidate",$N$2:$N$501,$N49,$A$2:$A$501,"&lt;"&amp;$A49)+1)</f>
        <v/>
      </c>
      <c r="AM49" s="65" t="str">
        <f aca="false">IF($AL49="","",SUMIFS($M$2:$M$501,$AK$2:$AK$501,"Candidate",$AL$2:$AL$501,"&lt;="&amp;$AL49))</f>
        <v/>
      </c>
      <c r="AN49" s="65" t="str">
        <f aca="false">IF($AL49="","",IF($AM49&lt;=CapacityOpen,"Fits","Below line"))</f>
        <v/>
      </c>
      <c r="AO49" s="65" t="str">
        <f aca="false">IF($A49="","",IF($X49="Closed","",IF($X49="Unmapped","Warning",IF(OR($AB49="Overdue",$V49="Y",$AH49="Critical"),"Critical",IF(OR($AB49="At risk",$AC49="Stale",$AG49="Over"),"Warning","")))))</f>
        <v/>
      </c>
      <c r="AP49" s="65" t="str">
        <f aca="false">IF($AO49="","",IF($AO49="Critical",3000,2000)-IF($Z49="",0,$Z49)+ROW()/100000)</f>
        <v/>
      </c>
      <c r="AQ49" s="65" t="str">
        <f aca="false">IF($AO49="","",IF($X49="Unmapped","Status '"&amp;$C49&amp;"' is not in the Config map",IF($V49="Y","Flagged in Jira",IF($AB49="Overdue",-$Z49&amp;" days past its "&amp;$X49&amp;" target",IF($AH49="Critical",$AI49,IF($AB49="At risk","Target in "&amp;$Z49&amp;" days",IF($AC49="Stale","No update in "&amp;$AA49&amp;" days","Past its "&amp;$AE49&amp;"-day tier window")))))))</f>
        <v/>
      </c>
      <c r="AR49" s="65" t="str">
        <f aca="false">IF($AO49="","","draft Jira update for "&amp;$A49)</f>
        <v/>
      </c>
      <c r="AS49" s="65" t="str">
        <f aca="false">IF($A49="","",HYPERLINK(JiraSite&amp;"/browse/"&amp;$A49,"open"))</f>
        <v/>
      </c>
      <c r="AT49" s="65" t="str">
        <f aca="false">IF($Y49="","",$Y49*1000+ROW())</f>
        <v/>
      </c>
      <c r="AU49" s="65" t="str">
        <f aca="false">IF(AND($A49&lt;&gt;"",$G49&gt;=WeekStart),$G49+ROW()/100000,"")</f>
        <v/>
      </c>
      <c r="AV49" s="65" t="str">
        <f aca="false">IF($A49="","",IF(OR(AND($S49&lt;&gt;"",$S49&gt;=WeekStart),AND($U49&lt;&gt;"",$U49&gt;=WeekStart)),MAX($S49,$U49)+ROW()/100000,""))</f>
        <v/>
      </c>
      <c r="AW49" s="65" t="str">
        <f aca="false">IF($AV49="","",IF($T49&lt;&gt;"",$T49,IF($X49="Closed","Closed","Accepted to "&amp;$X49)))</f>
        <v/>
      </c>
      <c r="AX49" s="65" t="str">
        <f aca="false">IF(AND($Y49&lt;&gt;"",$R49&lt;&gt;""),$AF49+ROW()/100000,"")</f>
        <v/>
      </c>
      <c r="AY49" s="65" t="str">
        <f aca="false">IF(AND($Y49&lt;&gt;"",OR($AB49="Overdue",AND($AH49="Critical",$R49&lt;&gt;""))),$AF49+ROW()/100000,"")</f>
        <v/>
      </c>
      <c r="AZ49" s="65" t="str">
        <f aca="false">IF($AH49="Critical",$AF49+ROW()/100000,"")</f>
        <v/>
      </c>
    </row>
    <row r="50" customFormat="false" ht="15" hidden="false" customHeight="false" outlineLevel="0" collapsed="false">
      <c r="A50" s="28"/>
      <c r="B50" s="28"/>
      <c r="C50" s="28"/>
      <c r="D50" s="28"/>
      <c r="E50" s="28"/>
      <c r="F50" s="28"/>
      <c r="G50" s="63"/>
      <c r="H50" s="63"/>
      <c r="I50" s="63"/>
      <c r="J50" s="28"/>
      <c r="K50" s="28"/>
      <c r="L50" s="28"/>
      <c r="M50" s="28"/>
      <c r="N50" s="28"/>
      <c r="O50" s="64"/>
      <c r="P50" s="64"/>
      <c r="Q50" s="64"/>
      <c r="R50" s="28"/>
      <c r="S50" s="63"/>
      <c r="T50" s="64"/>
      <c r="U50" s="63"/>
      <c r="V50" s="64"/>
      <c r="W50" s="28"/>
      <c r="X50" s="65" t="str">
        <f aca="false">IF($A50="","",IF(OR($T50&lt;&gt;"",$U50&lt;&gt;""),"Closed",IFERROR(INDEX(MapStage,MATCH($C50,MapStatus,0)),"Unmapped")))</f>
        <v/>
      </c>
      <c r="Y50" s="65" t="str">
        <f aca="false">IF(OR($X50="",$X50="Closed",$X50="Unmapped"),"",MATCH($X50,StageName,0))</f>
        <v/>
      </c>
      <c r="Z50" s="65" t="str">
        <f aca="false">IF(OR($Y50="",$I50=""),"",$I50-AsOf)</f>
        <v/>
      </c>
      <c r="AA50" s="65" t="str">
        <f aca="false">IF($A50="","",AsOf-$H50)</f>
        <v/>
      </c>
      <c r="AB50" s="65" t="str">
        <f aca="false">IF($A50="","",IF($X50="Closed","Closed",IF($X50="Unmapped","Unmapped",IF($I50="","No target",IF($Z50&lt;0,"Overdue",IF($Z50&lt;=INDEX(StageWindow,$Y50),"At risk","On track"))))))</f>
        <v/>
      </c>
      <c r="AC50" s="65" t="str">
        <f aca="false">IF($Y50="","",IF($AA50&gt;2*INDEX(StageStale,$Y50),"Stale",IF($AA50&gt;INDEX(StageStale,$Y50),"Aging","Fresh")))</f>
        <v/>
      </c>
      <c r="AD50" s="65" t="str">
        <f aca="false">IF($A50="","",IF(OR(ISNUMBER(SEARCH("Reg report",$J50)),ISNUMBER(SEARCH("No human review",$J50)),COUNTIF(TierFuncs,$D50)&gt;0),"High",IF(OR(TRIM($J50)&lt;&gt;"",ISNUMBER(SEARCH("revenue",$K50))),"Medium","Low")))</f>
        <v/>
      </c>
      <c r="AE50" s="65" t="str">
        <f aca="false">IF($A50="","",INDEX(TierDays,MATCH($AD50,TierName,0)))</f>
        <v/>
      </c>
      <c r="AF50" s="65" t="str">
        <f aca="false">IF($A50="","",AsOf-$G50)</f>
        <v/>
      </c>
      <c r="AG50" s="65" t="str">
        <f aca="false">IF($Y50="","",IF($Y50&lt;=5,IF($AF50&gt;$AE50,"Over","Inside"),"Past approval"))</f>
        <v/>
      </c>
      <c r="AH50" s="65" t="str">
        <f aca="false">IF($Y50="","",CHOOSE($Y50,IF(OR(TRIM($F50)="",ISNUMBER(SEARCH("not named",$F50))),"Critical","Good"),IF($O50&lt;&gt;"Y","Critical",IF($Q50&lt;&gt;"Y","Warning","Good")),IF($P50="","Critical",IF($P50="partial","Warning",IF($P50="ready","Good","Critical"))),IF($R50&lt;&gt;"","Critical","Warning"),IF($L50="","Critical",IF($N50="","Warning","Good")),IF($R50&lt;&gt;"","Critical","Warning"),IF($R50&lt;&gt;"","Critical","Warning"),IF($Q50="Y","Good","Critical")))</f>
        <v/>
      </c>
      <c r="AI50" s="65" t="str">
        <f aca="false">IF($Y50="","",CHOOSE($Y50,IF(OR(TRIM($F50)="",ISNUMBER(SEARCH("not named",$F50))),"Name a sponsor accountable for the value",""),IF($O50&lt;&gt;"Y","State the success metric and the stop condition",IF($Q50&lt;&gt;"Y","Set the baseline the benefit will be measured against","")),IF($P50="","Assess data readiness and regulatory impact",IF($P50="partial","Close the known data gaps",IF($P50="ready","","Data is not available; reshape or park"))),IF($R50&lt;&gt;"",IF(OR(ISNUMBER(SEARCH("mrm",$R50)),ISNUMBER(SEARCH("model",$R50)),ISNUMBER(SEARCH("risk",$R50)),ISNUMBER(SEARCH("legal",$R50)),ISNUMBER(SEARCH("complian",$R50))),"Awaiting ","Held at the design gate: ")&amp;$R50,"Map the governance framework for its tier"),IF($L50="","Size the annual benefit",IF($N50="","Score it so it can be ranked against capacity","")),IF($R50&lt;&gt;"","Build held: "&amp;$R50,"In build, not yet through test"),IF($R50&lt;&gt;"","Not ready to scale: "&amp;$R50,"Monitoring and third-party review not yet signed off"),IF($Q50="Y","","Live without a measured baseline to judge it against")))</f>
        <v/>
      </c>
      <c r="AJ50" s="65" t="str">
        <f aca="false">IF($Y50="","",INDEX(StageForum,$Y50))</f>
        <v/>
      </c>
      <c r="AK50" s="65" t="str">
        <f aca="false">IF($Y50="","",IF(OR($X50="Delivery",$X50="Value"),"Committed",IF($N50&lt;&gt;"","Candidate","")))</f>
        <v/>
      </c>
      <c r="AL50" s="65" t="str">
        <f aca="false">IF($AK50&lt;&gt;"Candidate","",COUNTIFS($AK$2:$AK$501,"Candidate",$N$2:$N$501,"&gt;"&amp;$N50)+COUNTIFS($AK$2:$AK$501,"Candidate",$N$2:$N$501,$N50,$A$2:$A$501,"&lt;"&amp;$A50)+1)</f>
        <v/>
      </c>
      <c r="AM50" s="65" t="str">
        <f aca="false">IF($AL50="","",SUMIFS($M$2:$M$501,$AK$2:$AK$501,"Candidate",$AL$2:$AL$501,"&lt;="&amp;$AL50))</f>
        <v/>
      </c>
      <c r="AN50" s="65" t="str">
        <f aca="false">IF($AL50="","",IF($AM50&lt;=CapacityOpen,"Fits","Below line"))</f>
        <v/>
      </c>
      <c r="AO50" s="65" t="str">
        <f aca="false">IF($A50="","",IF($X50="Closed","",IF($X50="Unmapped","Warning",IF(OR($AB50="Overdue",$V50="Y",$AH50="Critical"),"Critical",IF(OR($AB50="At risk",$AC50="Stale",$AG50="Over"),"Warning","")))))</f>
        <v/>
      </c>
      <c r="AP50" s="65" t="str">
        <f aca="false">IF($AO50="","",IF($AO50="Critical",3000,2000)-IF($Z50="",0,$Z50)+ROW()/100000)</f>
        <v/>
      </c>
      <c r="AQ50" s="65" t="str">
        <f aca="false">IF($AO50="","",IF($X50="Unmapped","Status '"&amp;$C50&amp;"' is not in the Config map",IF($V50="Y","Flagged in Jira",IF($AB50="Overdue",-$Z50&amp;" days past its "&amp;$X50&amp;" target",IF($AH50="Critical",$AI50,IF($AB50="At risk","Target in "&amp;$Z50&amp;" days",IF($AC50="Stale","No update in "&amp;$AA50&amp;" days","Past its "&amp;$AE50&amp;"-day tier window")))))))</f>
        <v/>
      </c>
      <c r="AR50" s="65" t="str">
        <f aca="false">IF($AO50="","","draft Jira update for "&amp;$A50)</f>
        <v/>
      </c>
      <c r="AS50" s="65" t="str">
        <f aca="false">IF($A50="","",HYPERLINK(JiraSite&amp;"/browse/"&amp;$A50,"open"))</f>
        <v/>
      </c>
      <c r="AT50" s="65" t="str">
        <f aca="false">IF($Y50="","",$Y50*1000+ROW())</f>
        <v/>
      </c>
      <c r="AU50" s="65" t="str">
        <f aca="false">IF(AND($A50&lt;&gt;"",$G50&gt;=WeekStart),$G50+ROW()/100000,"")</f>
        <v/>
      </c>
      <c r="AV50" s="65" t="str">
        <f aca="false">IF($A50="","",IF(OR(AND($S50&lt;&gt;"",$S50&gt;=WeekStart),AND($U50&lt;&gt;"",$U50&gt;=WeekStart)),MAX($S50,$U50)+ROW()/100000,""))</f>
        <v/>
      </c>
      <c r="AW50" s="65" t="str">
        <f aca="false">IF($AV50="","",IF($T50&lt;&gt;"",$T50,IF($X50="Closed","Closed","Accepted to "&amp;$X50)))</f>
        <v/>
      </c>
      <c r="AX50" s="65" t="str">
        <f aca="false">IF(AND($Y50&lt;&gt;"",$R50&lt;&gt;""),$AF50+ROW()/100000,"")</f>
        <v/>
      </c>
      <c r="AY50" s="65" t="str">
        <f aca="false">IF(AND($Y50&lt;&gt;"",OR($AB50="Overdue",AND($AH50="Critical",$R50&lt;&gt;""))),$AF50+ROW()/100000,"")</f>
        <v/>
      </c>
      <c r="AZ50" s="65" t="str">
        <f aca="false">IF($AH50="Critical",$AF50+ROW()/100000,"")</f>
        <v/>
      </c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/>
      <c r="G51" s="63"/>
      <c r="H51" s="63"/>
      <c r="I51" s="63"/>
      <c r="J51" s="28"/>
      <c r="K51" s="28"/>
      <c r="L51" s="28"/>
      <c r="M51" s="28"/>
      <c r="N51" s="28"/>
      <c r="O51" s="64"/>
      <c r="P51" s="64"/>
      <c r="Q51" s="64"/>
      <c r="R51" s="28"/>
      <c r="S51" s="63"/>
      <c r="T51" s="64"/>
      <c r="U51" s="63"/>
      <c r="V51" s="64"/>
      <c r="W51" s="28"/>
      <c r="X51" s="65" t="str">
        <f aca="false">IF($A51="","",IF(OR($T51&lt;&gt;"",$U51&lt;&gt;""),"Closed",IFERROR(INDEX(MapStage,MATCH($C51,MapStatus,0)),"Unmapped")))</f>
        <v/>
      </c>
      <c r="Y51" s="65" t="str">
        <f aca="false">IF(OR($X51="",$X51="Closed",$X51="Unmapped"),"",MATCH($X51,StageName,0))</f>
        <v/>
      </c>
      <c r="Z51" s="65" t="str">
        <f aca="false">IF(OR($Y51="",$I51=""),"",$I51-AsOf)</f>
        <v/>
      </c>
      <c r="AA51" s="65" t="str">
        <f aca="false">IF($A51="","",AsOf-$H51)</f>
        <v/>
      </c>
      <c r="AB51" s="65" t="str">
        <f aca="false">IF($A51="","",IF($X51="Closed","Closed",IF($X51="Unmapped","Unmapped",IF($I51="","No target",IF($Z51&lt;0,"Overdue",IF($Z51&lt;=INDEX(StageWindow,$Y51),"At risk","On track"))))))</f>
        <v/>
      </c>
      <c r="AC51" s="65" t="str">
        <f aca="false">IF($Y51="","",IF($AA51&gt;2*INDEX(StageStale,$Y51),"Stale",IF($AA51&gt;INDEX(StageStale,$Y51),"Aging","Fresh")))</f>
        <v/>
      </c>
      <c r="AD51" s="65" t="str">
        <f aca="false">IF($A51="","",IF(OR(ISNUMBER(SEARCH("Reg report",$J51)),ISNUMBER(SEARCH("No human review",$J51)),COUNTIF(TierFuncs,$D51)&gt;0),"High",IF(OR(TRIM($J51)&lt;&gt;"",ISNUMBER(SEARCH("revenue",$K51))),"Medium","Low")))</f>
        <v/>
      </c>
      <c r="AE51" s="65" t="str">
        <f aca="false">IF($A51="","",INDEX(TierDays,MATCH($AD51,TierName,0)))</f>
        <v/>
      </c>
      <c r="AF51" s="65" t="str">
        <f aca="false">IF($A51="","",AsOf-$G51)</f>
        <v/>
      </c>
      <c r="AG51" s="65" t="str">
        <f aca="false">IF($Y51="","",IF($Y51&lt;=5,IF($AF51&gt;$AE51,"Over","Inside"),"Past approval"))</f>
        <v/>
      </c>
      <c r="AH51" s="65" t="str">
        <f aca="false">IF($Y51="","",CHOOSE($Y51,IF(OR(TRIM($F51)="",ISNUMBER(SEARCH("not named",$F51))),"Critical","Good"),IF($O51&lt;&gt;"Y","Critical",IF($Q51&lt;&gt;"Y","Warning","Good")),IF($P51="","Critical",IF($P51="partial","Warning",IF($P51="ready","Good","Critical"))),IF($R51&lt;&gt;"","Critical","Warning"),IF($L51="","Critical",IF($N51="","Warning","Good")),IF($R51&lt;&gt;"","Critical","Warning"),IF($R51&lt;&gt;"","Critical","Warning"),IF($Q51="Y","Good","Critical")))</f>
        <v/>
      </c>
      <c r="AI51" s="65" t="str">
        <f aca="false">IF($Y51="","",CHOOSE($Y51,IF(OR(TRIM($F51)="",ISNUMBER(SEARCH("not named",$F51))),"Name a sponsor accountable for the value",""),IF($O51&lt;&gt;"Y","State the success metric and the stop condition",IF($Q51&lt;&gt;"Y","Set the baseline the benefit will be measured against","")),IF($P51="","Assess data readiness and regulatory impact",IF($P51="partial","Close the known data gaps",IF($P51="ready","","Data is not available; reshape or park"))),IF($R51&lt;&gt;"",IF(OR(ISNUMBER(SEARCH("mrm",$R51)),ISNUMBER(SEARCH("model",$R51)),ISNUMBER(SEARCH("risk",$R51)),ISNUMBER(SEARCH("legal",$R51)),ISNUMBER(SEARCH("complian",$R51))),"Awaiting ","Held at the design gate: ")&amp;$R51,"Map the governance framework for its tier"),IF($L51="","Size the annual benefit",IF($N51="","Score it so it can be ranked against capacity","")),IF($R51&lt;&gt;"","Build held: "&amp;$R51,"In build, not yet through test"),IF($R51&lt;&gt;"","Not ready to scale: "&amp;$R51,"Monitoring and third-party review not yet signed off"),IF($Q51="Y","","Live without a measured baseline to judge it against")))</f>
        <v/>
      </c>
      <c r="AJ51" s="65" t="str">
        <f aca="false">IF($Y51="","",INDEX(StageForum,$Y51))</f>
        <v/>
      </c>
      <c r="AK51" s="65" t="str">
        <f aca="false">IF($Y51="","",IF(OR($X51="Delivery",$X51="Value"),"Committed",IF($N51&lt;&gt;"","Candidate","")))</f>
        <v/>
      </c>
      <c r="AL51" s="65" t="str">
        <f aca="false">IF($AK51&lt;&gt;"Candidate","",COUNTIFS($AK$2:$AK$501,"Candidate",$N$2:$N$501,"&gt;"&amp;$N51)+COUNTIFS($AK$2:$AK$501,"Candidate",$N$2:$N$501,$N51,$A$2:$A$501,"&lt;"&amp;$A51)+1)</f>
        <v/>
      </c>
      <c r="AM51" s="65" t="str">
        <f aca="false">IF($AL51="","",SUMIFS($M$2:$M$501,$AK$2:$AK$501,"Candidate",$AL$2:$AL$501,"&lt;="&amp;$AL51))</f>
        <v/>
      </c>
      <c r="AN51" s="65" t="str">
        <f aca="false">IF($AL51="","",IF($AM51&lt;=CapacityOpen,"Fits","Below line"))</f>
        <v/>
      </c>
      <c r="AO51" s="65" t="str">
        <f aca="false">IF($A51="","",IF($X51="Closed","",IF($X51="Unmapped","Warning",IF(OR($AB51="Overdue",$V51="Y",$AH51="Critical"),"Critical",IF(OR($AB51="At risk",$AC51="Stale",$AG51="Over"),"Warning","")))))</f>
        <v/>
      </c>
      <c r="AP51" s="65" t="str">
        <f aca="false">IF($AO51="","",IF($AO51="Critical",3000,2000)-IF($Z51="",0,$Z51)+ROW()/100000)</f>
        <v/>
      </c>
      <c r="AQ51" s="65" t="str">
        <f aca="false">IF($AO51="","",IF($X51="Unmapped","Status '"&amp;$C51&amp;"' is not in the Config map",IF($V51="Y","Flagged in Jira",IF($AB51="Overdue",-$Z51&amp;" days past its "&amp;$X51&amp;" target",IF($AH51="Critical",$AI51,IF($AB51="At risk","Target in "&amp;$Z51&amp;" days",IF($AC51="Stale","No update in "&amp;$AA51&amp;" days","Past its "&amp;$AE51&amp;"-day tier window")))))))</f>
        <v/>
      </c>
      <c r="AR51" s="65" t="str">
        <f aca="false">IF($AO51="","","draft Jira update for "&amp;$A51)</f>
        <v/>
      </c>
      <c r="AS51" s="65" t="str">
        <f aca="false">IF($A51="","",HYPERLINK(JiraSite&amp;"/browse/"&amp;$A51,"open"))</f>
        <v/>
      </c>
      <c r="AT51" s="65" t="str">
        <f aca="false">IF($Y51="","",$Y51*1000+ROW())</f>
        <v/>
      </c>
      <c r="AU51" s="65" t="str">
        <f aca="false">IF(AND($A51&lt;&gt;"",$G51&gt;=WeekStart),$G51+ROW()/100000,"")</f>
        <v/>
      </c>
      <c r="AV51" s="65" t="str">
        <f aca="false">IF($A51="","",IF(OR(AND($S51&lt;&gt;"",$S51&gt;=WeekStart),AND($U51&lt;&gt;"",$U51&gt;=WeekStart)),MAX($S51,$U51)+ROW()/100000,""))</f>
        <v/>
      </c>
      <c r="AW51" s="65" t="str">
        <f aca="false">IF($AV51="","",IF($T51&lt;&gt;"",$T51,IF($X51="Closed","Closed","Accepted to "&amp;$X51)))</f>
        <v/>
      </c>
      <c r="AX51" s="65" t="str">
        <f aca="false">IF(AND($Y51&lt;&gt;"",$R51&lt;&gt;""),$AF51+ROW()/100000,"")</f>
        <v/>
      </c>
      <c r="AY51" s="65" t="str">
        <f aca="false">IF(AND($Y51&lt;&gt;"",OR($AB51="Overdue",AND($AH51="Critical",$R51&lt;&gt;""))),$AF51+ROW()/100000,"")</f>
        <v/>
      </c>
      <c r="AZ51" s="65" t="str">
        <f aca="false">IF($AH51="Critical",$AF51+ROW()/100000,"")</f>
        <v/>
      </c>
    </row>
    <row r="52" customFormat="false" ht="15" hidden="false" customHeight="false" outlineLevel="0" collapsed="false">
      <c r="A52" s="28"/>
      <c r="B52" s="28"/>
      <c r="C52" s="28"/>
      <c r="D52" s="28"/>
      <c r="E52" s="28"/>
      <c r="F52" s="28"/>
      <c r="G52" s="63"/>
      <c r="H52" s="63"/>
      <c r="I52" s="63"/>
      <c r="J52" s="28"/>
      <c r="K52" s="28"/>
      <c r="L52" s="28"/>
      <c r="M52" s="28"/>
      <c r="N52" s="28"/>
      <c r="O52" s="64"/>
      <c r="P52" s="64"/>
      <c r="Q52" s="64"/>
      <c r="R52" s="28"/>
      <c r="S52" s="63"/>
      <c r="T52" s="64"/>
      <c r="U52" s="63"/>
      <c r="V52" s="64"/>
      <c r="W52" s="28"/>
      <c r="X52" s="65" t="str">
        <f aca="false">IF($A52="","",IF(OR($T52&lt;&gt;"",$U52&lt;&gt;""),"Closed",IFERROR(INDEX(MapStage,MATCH($C52,MapStatus,0)),"Unmapped")))</f>
        <v/>
      </c>
      <c r="Y52" s="65" t="str">
        <f aca="false">IF(OR($X52="",$X52="Closed",$X52="Unmapped"),"",MATCH($X52,StageName,0))</f>
        <v/>
      </c>
      <c r="Z52" s="65" t="str">
        <f aca="false">IF(OR($Y52="",$I52=""),"",$I52-AsOf)</f>
        <v/>
      </c>
      <c r="AA52" s="65" t="str">
        <f aca="false">IF($A52="","",AsOf-$H52)</f>
        <v/>
      </c>
      <c r="AB52" s="65" t="str">
        <f aca="false">IF($A52="","",IF($X52="Closed","Closed",IF($X52="Unmapped","Unmapped",IF($I52="","No target",IF($Z52&lt;0,"Overdue",IF($Z52&lt;=INDEX(StageWindow,$Y52),"At risk","On track"))))))</f>
        <v/>
      </c>
      <c r="AC52" s="65" t="str">
        <f aca="false">IF($Y52="","",IF($AA52&gt;2*INDEX(StageStale,$Y52),"Stale",IF($AA52&gt;INDEX(StageStale,$Y52),"Aging","Fresh")))</f>
        <v/>
      </c>
      <c r="AD52" s="65" t="str">
        <f aca="false">IF($A52="","",IF(OR(ISNUMBER(SEARCH("Reg report",$J52)),ISNUMBER(SEARCH("No human review",$J52)),COUNTIF(TierFuncs,$D52)&gt;0),"High",IF(OR(TRIM($J52)&lt;&gt;"",ISNUMBER(SEARCH("revenue",$K52))),"Medium","Low")))</f>
        <v/>
      </c>
      <c r="AE52" s="65" t="str">
        <f aca="false">IF($A52="","",INDEX(TierDays,MATCH($AD52,TierName,0)))</f>
        <v/>
      </c>
      <c r="AF52" s="65" t="str">
        <f aca="false">IF($A52="","",AsOf-$G52)</f>
        <v/>
      </c>
      <c r="AG52" s="65" t="str">
        <f aca="false">IF($Y52="","",IF($Y52&lt;=5,IF($AF52&gt;$AE52,"Over","Inside"),"Past approval"))</f>
        <v/>
      </c>
      <c r="AH52" s="65" t="str">
        <f aca="false">IF($Y52="","",CHOOSE($Y52,IF(OR(TRIM($F52)="",ISNUMBER(SEARCH("not named",$F52))),"Critical","Good"),IF($O52&lt;&gt;"Y","Critical",IF($Q52&lt;&gt;"Y","Warning","Good")),IF($P52="","Critical",IF($P52="partial","Warning",IF($P52="ready","Good","Critical"))),IF($R52&lt;&gt;"","Critical","Warning"),IF($L52="","Critical",IF($N52="","Warning","Good")),IF($R52&lt;&gt;"","Critical","Warning"),IF($R52&lt;&gt;"","Critical","Warning"),IF($Q52="Y","Good","Critical")))</f>
        <v/>
      </c>
      <c r="AI52" s="65" t="str">
        <f aca="false">IF($Y52="","",CHOOSE($Y52,IF(OR(TRIM($F52)="",ISNUMBER(SEARCH("not named",$F52))),"Name a sponsor accountable for the value",""),IF($O52&lt;&gt;"Y","State the success metric and the stop condition",IF($Q52&lt;&gt;"Y","Set the baseline the benefit will be measured against","")),IF($P52="","Assess data readiness and regulatory impact",IF($P52="partial","Close the known data gaps",IF($P52="ready","","Data is not available; reshape or park"))),IF($R52&lt;&gt;"",IF(OR(ISNUMBER(SEARCH("mrm",$R52)),ISNUMBER(SEARCH("model",$R52)),ISNUMBER(SEARCH("risk",$R52)),ISNUMBER(SEARCH("legal",$R52)),ISNUMBER(SEARCH("complian",$R52))),"Awaiting ","Held at the design gate: ")&amp;$R52,"Map the governance framework for its tier"),IF($L52="","Size the annual benefit",IF($N52="","Score it so it can be ranked against capacity","")),IF($R52&lt;&gt;"","Build held: "&amp;$R52,"In build, not yet through test"),IF($R52&lt;&gt;"","Not ready to scale: "&amp;$R52,"Monitoring and third-party review not yet signed off"),IF($Q52="Y","","Live without a measured baseline to judge it against")))</f>
        <v/>
      </c>
      <c r="AJ52" s="65" t="str">
        <f aca="false">IF($Y52="","",INDEX(StageForum,$Y52))</f>
        <v/>
      </c>
      <c r="AK52" s="65" t="str">
        <f aca="false">IF($Y52="","",IF(OR($X52="Delivery",$X52="Value"),"Committed",IF($N52&lt;&gt;"","Candidate","")))</f>
        <v/>
      </c>
      <c r="AL52" s="65" t="str">
        <f aca="false">IF($AK52&lt;&gt;"Candidate","",COUNTIFS($AK$2:$AK$501,"Candidate",$N$2:$N$501,"&gt;"&amp;$N52)+COUNTIFS($AK$2:$AK$501,"Candidate",$N$2:$N$501,$N52,$A$2:$A$501,"&lt;"&amp;$A52)+1)</f>
        <v/>
      </c>
      <c r="AM52" s="65" t="str">
        <f aca="false">IF($AL52="","",SUMIFS($M$2:$M$501,$AK$2:$AK$501,"Candidate",$AL$2:$AL$501,"&lt;="&amp;$AL52))</f>
        <v/>
      </c>
      <c r="AN52" s="65" t="str">
        <f aca="false">IF($AL52="","",IF($AM52&lt;=CapacityOpen,"Fits","Below line"))</f>
        <v/>
      </c>
      <c r="AO52" s="65" t="str">
        <f aca="false">IF($A52="","",IF($X52="Closed","",IF($X52="Unmapped","Warning",IF(OR($AB52="Overdue",$V52="Y",$AH52="Critical"),"Critical",IF(OR($AB52="At risk",$AC52="Stale",$AG52="Over"),"Warning","")))))</f>
        <v/>
      </c>
      <c r="AP52" s="65" t="str">
        <f aca="false">IF($AO52="","",IF($AO52="Critical",3000,2000)-IF($Z52="",0,$Z52)+ROW()/100000)</f>
        <v/>
      </c>
      <c r="AQ52" s="65" t="str">
        <f aca="false">IF($AO52="","",IF($X52="Unmapped","Status '"&amp;$C52&amp;"' is not in the Config map",IF($V52="Y","Flagged in Jira",IF($AB52="Overdue",-$Z52&amp;" days past its "&amp;$X52&amp;" target",IF($AH52="Critical",$AI52,IF($AB52="At risk","Target in "&amp;$Z52&amp;" days",IF($AC52="Stale","No update in "&amp;$AA52&amp;" days","Past its "&amp;$AE52&amp;"-day tier window")))))))</f>
        <v/>
      </c>
      <c r="AR52" s="65" t="str">
        <f aca="false">IF($AO52="","","draft Jira update for "&amp;$A52)</f>
        <v/>
      </c>
      <c r="AS52" s="65" t="str">
        <f aca="false">IF($A52="","",HYPERLINK(JiraSite&amp;"/browse/"&amp;$A52,"open"))</f>
        <v/>
      </c>
      <c r="AT52" s="65" t="str">
        <f aca="false">IF($Y52="","",$Y52*1000+ROW())</f>
        <v/>
      </c>
      <c r="AU52" s="65" t="str">
        <f aca="false">IF(AND($A52&lt;&gt;"",$G52&gt;=WeekStart),$G52+ROW()/100000,"")</f>
        <v/>
      </c>
      <c r="AV52" s="65" t="str">
        <f aca="false">IF($A52="","",IF(OR(AND($S52&lt;&gt;"",$S52&gt;=WeekStart),AND($U52&lt;&gt;"",$U52&gt;=WeekStart)),MAX($S52,$U52)+ROW()/100000,""))</f>
        <v/>
      </c>
      <c r="AW52" s="65" t="str">
        <f aca="false">IF($AV52="","",IF($T52&lt;&gt;"",$T52,IF($X52="Closed","Closed","Accepted to "&amp;$X52)))</f>
        <v/>
      </c>
      <c r="AX52" s="65" t="str">
        <f aca="false">IF(AND($Y52&lt;&gt;"",$R52&lt;&gt;""),$AF52+ROW()/100000,"")</f>
        <v/>
      </c>
      <c r="AY52" s="65" t="str">
        <f aca="false">IF(AND($Y52&lt;&gt;"",OR($AB52="Overdue",AND($AH52="Critical",$R52&lt;&gt;""))),$AF52+ROW()/100000,"")</f>
        <v/>
      </c>
      <c r="AZ52" s="65" t="str">
        <f aca="false">IF($AH52="Critical",$AF52+ROW()/100000,"")</f>
        <v/>
      </c>
    </row>
    <row r="53" customFormat="false" ht="15" hidden="false" customHeight="false" outlineLevel="0" collapsed="false">
      <c r="A53" s="28"/>
      <c r="B53" s="28"/>
      <c r="C53" s="28"/>
      <c r="D53" s="28"/>
      <c r="E53" s="28"/>
      <c r="F53" s="28"/>
      <c r="G53" s="63"/>
      <c r="H53" s="63"/>
      <c r="I53" s="63"/>
      <c r="J53" s="28"/>
      <c r="K53" s="28"/>
      <c r="L53" s="28"/>
      <c r="M53" s="28"/>
      <c r="N53" s="28"/>
      <c r="O53" s="64"/>
      <c r="P53" s="64"/>
      <c r="Q53" s="64"/>
      <c r="R53" s="28"/>
      <c r="S53" s="63"/>
      <c r="T53" s="64"/>
      <c r="U53" s="63"/>
      <c r="V53" s="64"/>
      <c r="W53" s="28"/>
      <c r="X53" s="65" t="str">
        <f aca="false">IF($A53="","",IF(OR($T53&lt;&gt;"",$U53&lt;&gt;""),"Closed",IFERROR(INDEX(MapStage,MATCH($C53,MapStatus,0)),"Unmapped")))</f>
        <v/>
      </c>
      <c r="Y53" s="65" t="str">
        <f aca="false">IF(OR($X53="",$X53="Closed",$X53="Unmapped"),"",MATCH($X53,StageName,0))</f>
        <v/>
      </c>
      <c r="Z53" s="65" t="str">
        <f aca="false">IF(OR($Y53="",$I53=""),"",$I53-AsOf)</f>
        <v/>
      </c>
      <c r="AA53" s="65" t="str">
        <f aca="false">IF($A53="","",AsOf-$H53)</f>
        <v/>
      </c>
      <c r="AB53" s="65" t="str">
        <f aca="false">IF($A53="","",IF($X53="Closed","Closed",IF($X53="Unmapped","Unmapped",IF($I53="","No target",IF($Z53&lt;0,"Overdue",IF($Z53&lt;=INDEX(StageWindow,$Y53),"At risk","On track"))))))</f>
        <v/>
      </c>
      <c r="AC53" s="65" t="str">
        <f aca="false">IF($Y53="","",IF($AA53&gt;2*INDEX(StageStale,$Y53),"Stale",IF($AA53&gt;INDEX(StageStale,$Y53),"Aging","Fresh")))</f>
        <v/>
      </c>
      <c r="AD53" s="65" t="str">
        <f aca="false">IF($A53="","",IF(OR(ISNUMBER(SEARCH("Reg report",$J53)),ISNUMBER(SEARCH("No human review",$J53)),COUNTIF(TierFuncs,$D53)&gt;0),"High",IF(OR(TRIM($J53)&lt;&gt;"",ISNUMBER(SEARCH("revenue",$K53))),"Medium","Low")))</f>
        <v/>
      </c>
      <c r="AE53" s="65" t="str">
        <f aca="false">IF($A53="","",INDEX(TierDays,MATCH($AD53,TierName,0)))</f>
        <v/>
      </c>
      <c r="AF53" s="65" t="str">
        <f aca="false">IF($A53="","",AsOf-$G53)</f>
        <v/>
      </c>
      <c r="AG53" s="65" t="str">
        <f aca="false">IF($Y53="","",IF($Y53&lt;=5,IF($AF53&gt;$AE53,"Over","Inside"),"Past approval"))</f>
        <v/>
      </c>
      <c r="AH53" s="65" t="str">
        <f aca="false">IF($Y53="","",CHOOSE($Y53,IF(OR(TRIM($F53)="",ISNUMBER(SEARCH("not named",$F53))),"Critical","Good"),IF($O53&lt;&gt;"Y","Critical",IF($Q53&lt;&gt;"Y","Warning","Good")),IF($P53="","Critical",IF($P53="partial","Warning",IF($P53="ready","Good","Critical"))),IF($R53&lt;&gt;"","Critical","Warning"),IF($L53="","Critical",IF($N53="","Warning","Good")),IF($R53&lt;&gt;"","Critical","Warning"),IF($R53&lt;&gt;"","Critical","Warning"),IF($Q53="Y","Good","Critical")))</f>
        <v/>
      </c>
      <c r="AI53" s="65" t="str">
        <f aca="false">IF($Y53="","",CHOOSE($Y53,IF(OR(TRIM($F53)="",ISNUMBER(SEARCH("not named",$F53))),"Name a sponsor accountable for the value",""),IF($O53&lt;&gt;"Y","State the success metric and the stop condition",IF($Q53&lt;&gt;"Y","Set the baseline the benefit will be measured against","")),IF($P53="","Assess data readiness and regulatory impact",IF($P53="partial","Close the known data gaps",IF($P53="ready","","Data is not available; reshape or park"))),IF($R53&lt;&gt;"",IF(OR(ISNUMBER(SEARCH("mrm",$R53)),ISNUMBER(SEARCH("model",$R53)),ISNUMBER(SEARCH("risk",$R53)),ISNUMBER(SEARCH("legal",$R53)),ISNUMBER(SEARCH("complian",$R53))),"Awaiting ","Held at the design gate: ")&amp;$R53,"Map the governance framework for its tier"),IF($L53="","Size the annual benefit",IF($N53="","Score it so it can be ranked against capacity","")),IF($R53&lt;&gt;"","Build held: "&amp;$R53,"In build, not yet through test"),IF($R53&lt;&gt;"","Not ready to scale: "&amp;$R53,"Monitoring and third-party review not yet signed off"),IF($Q53="Y","","Live without a measured baseline to judge it against")))</f>
        <v/>
      </c>
      <c r="AJ53" s="65" t="str">
        <f aca="false">IF($Y53="","",INDEX(StageForum,$Y53))</f>
        <v/>
      </c>
      <c r="AK53" s="65" t="str">
        <f aca="false">IF($Y53="","",IF(OR($X53="Delivery",$X53="Value"),"Committed",IF($N53&lt;&gt;"","Candidate","")))</f>
        <v/>
      </c>
      <c r="AL53" s="65" t="str">
        <f aca="false">IF($AK53&lt;&gt;"Candidate","",COUNTIFS($AK$2:$AK$501,"Candidate",$N$2:$N$501,"&gt;"&amp;$N53)+COUNTIFS($AK$2:$AK$501,"Candidate",$N$2:$N$501,$N53,$A$2:$A$501,"&lt;"&amp;$A53)+1)</f>
        <v/>
      </c>
      <c r="AM53" s="65" t="str">
        <f aca="false">IF($AL53="","",SUMIFS($M$2:$M$501,$AK$2:$AK$501,"Candidate",$AL$2:$AL$501,"&lt;="&amp;$AL53))</f>
        <v/>
      </c>
      <c r="AN53" s="65" t="str">
        <f aca="false">IF($AL53="","",IF($AM53&lt;=CapacityOpen,"Fits","Below line"))</f>
        <v/>
      </c>
      <c r="AO53" s="65" t="str">
        <f aca="false">IF($A53="","",IF($X53="Closed","",IF($X53="Unmapped","Warning",IF(OR($AB53="Overdue",$V53="Y",$AH53="Critical"),"Critical",IF(OR($AB53="At risk",$AC53="Stale",$AG53="Over"),"Warning","")))))</f>
        <v/>
      </c>
      <c r="AP53" s="65" t="str">
        <f aca="false">IF($AO53="","",IF($AO53="Critical",3000,2000)-IF($Z53="",0,$Z53)+ROW()/100000)</f>
        <v/>
      </c>
      <c r="AQ53" s="65" t="str">
        <f aca="false">IF($AO53="","",IF($X53="Unmapped","Status '"&amp;$C53&amp;"' is not in the Config map",IF($V53="Y","Flagged in Jira",IF($AB53="Overdue",-$Z53&amp;" days past its "&amp;$X53&amp;" target",IF($AH53="Critical",$AI53,IF($AB53="At risk","Target in "&amp;$Z53&amp;" days",IF($AC53="Stale","No update in "&amp;$AA53&amp;" days","Past its "&amp;$AE53&amp;"-day tier window")))))))</f>
        <v/>
      </c>
      <c r="AR53" s="65" t="str">
        <f aca="false">IF($AO53="","","draft Jira update for "&amp;$A53)</f>
        <v/>
      </c>
      <c r="AS53" s="65" t="str">
        <f aca="false">IF($A53="","",HYPERLINK(JiraSite&amp;"/browse/"&amp;$A53,"open"))</f>
        <v/>
      </c>
      <c r="AT53" s="65" t="str">
        <f aca="false">IF($Y53="","",$Y53*1000+ROW())</f>
        <v/>
      </c>
      <c r="AU53" s="65" t="str">
        <f aca="false">IF(AND($A53&lt;&gt;"",$G53&gt;=WeekStart),$G53+ROW()/100000,"")</f>
        <v/>
      </c>
      <c r="AV53" s="65" t="str">
        <f aca="false">IF($A53="","",IF(OR(AND($S53&lt;&gt;"",$S53&gt;=WeekStart),AND($U53&lt;&gt;"",$U53&gt;=WeekStart)),MAX($S53,$U53)+ROW()/100000,""))</f>
        <v/>
      </c>
      <c r="AW53" s="65" t="str">
        <f aca="false">IF($AV53="","",IF($T53&lt;&gt;"",$T53,IF($X53="Closed","Closed","Accepted to "&amp;$X53)))</f>
        <v/>
      </c>
      <c r="AX53" s="65" t="str">
        <f aca="false">IF(AND($Y53&lt;&gt;"",$R53&lt;&gt;""),$AF53+ROW()/100000,"")</f>
        <v/>
      </c>
      <c r="AY53" s="65" t="str">
        <f aca="false">IF(AND($Y53&lt;&gt;"",OR($AB53="Overdue",AND($AH53="Critical",$R53&lt;&gt;""))),$AF53+ROW()/100000,"")</f>
        <v/>
      </c>
      <c r="AZ53" s="65" t="str">
        <f aca="false">IF($AH53="Critical",$AF53+ROW()/100000,"")</f>
        <v/>
      </c>
    </row>
    <row r="54" customFormat="false" ht="15" hidden="false" customHeight="false" outlineLevel="0" collapsed="false">
      <c r="A54" s="28"/>
      <c r="B54" s="28"/>
      <c r="C54" s="28"/>
      <c r="D54" s="28"/>
      <c r="E54" s="28"/>
      <c r="F54" s="28"/>
      <c r="G54" s="63"/>
      <c r="H54" s="63"/>
      <c r="I54" s="63"/>
      <c r="J54" s="28"/>
      <c r="K54" s="28"/>
      <c r="L54" s="28"/>
      <c r="M54" s="28"/>
      <c r="N54" s="28"/>
      <c r="O54" s="64"/>
      <c r="P54" s="64"/>
      <c r="Q54" s="64"/>
      <c r="R54" s="28"/>
      <c r="S54" s="63"/>
      <c r="T54" s="64"/>
      <c r="U54" s="63"/>
      <c r="V54" s="64"/>
      <c r="W54" s="28"/>
      <c r="X54" s="65" t="str">
        <f aca="false">IF($A54="","",IF(OR($T54&lt;&gt;"",$U54&lt;&gt;""),"Closed",IFERROR(INDEX(MapStage,MATCH($C54,MapStatus,0)),"Unmapped")))</f>
        <v/>
      </c>
      <c r="Y54" s="65" t="str">
        <f aca="false">IF(OR($X54="",$X54="Closed",$X54="Unmapped"),"",MATCH($X54,StageName,0))</f>
        <v/>
      </c>
      <c r="Z54" s="65" t="str">
        <f aca="false">IF(OR($Y54="",$I54=""),"",$I54-AsOf)</f>
        <v/>
      </c>
      <c r="AA54" s="65" t="str">
        <f aca="false">IF($A54="","",AsOf-$H54)</f>
        <v/>
      </c>
      <c r="AB54" s="65" t="str">
        <f aca="false">IF($A54="","",IF($X54="Closed","Closed",IF($X54="Unmapped","Unmapped",IF($I54="","No target",IF($Z54&lt;0,"Overdue",IF($Z54&lt;=INDEX(StageWindow,$Y54),"At risk","On track"))))))</f>
        <v/>
      </c>
      <c r="AC54" s="65" t="str">
        <f aca="false">IF($Y54="","",IF($AA54&gt;2*INDEX(StageStale,$Y54),"Stale",IF($AA54&gt;INDEX(StageStale,$Y54),"Aging","Fresh")))</f>
        <v/>
      </c>
      <c r="AD54" s="65" t="str">
        <f aca="false">IF($A54="","",IF(OR(ISNUMBER(SEARCH("Reg report",$J54)),ISNUMBER(SEARCH("No human review",$J54)),COUNTIF(TierFuncs,$D54)&gt;0),"High",IF(OR(TRIM($J54)&lt;&gt;"",ISNUMBER(SEARCH("revenue",$K54))),"Medium","Low")))</f>
        <v/>
      </c>
      <c r="AE54" s="65" t="str">
        <f aca="false">IF($A54="","",INDEX(TierDays,MATCH($AD54,TierName,0)))</f>
        <v/>
      </c>
      <c r="AF54" s="65" t="str">
        <f aca="false">IF($A54="","",AsOf-$G54)</f>
        <v/>
      </c>
      <c r="AG54" s="65" t="str">
        <f aca="false">IF($Y54="","",IF($Y54&lt;=5,IF($AF54&gt;$AE54,"Over","Inside"),"Past approval"))</f>
        <v/>
      </c>
      <c r="AH54" s="65" t="str">
        <f aca="false">IF($Y54="","",CHOOSE($Y54,IF(OR(TRIM($F54)="",ISNUMBER(SEARCH("not named",$F54))),"Critical","Good"),IF($O54&lt;&gt;"Y","Critical",IF($Q54&lt;&gt;"Y","Warning","Good")),IF($P54="","Critical",IF($P54="partial","Warning",IF($P54="ready","Good","Critical"))),IF($R54&lt;&gt;"","Critical","Warning"),IF($L54="","Critical",IF($N54="","Warning","Good")),IF($R54&lt;&gt;"","Critical","Warning"),IF($R54&lt;&gt;"","Critical","Warning"),IF($Q54="Y","Good","Critical")))</f>
        <v/>
      </c>
      <c r="AI54" s="65" t="str">
        <f aca="false">IF($Y54="","",CHOOSE($Y54,IF(OR(TRIM($F54)="",ISNUMBER(SEARCH("not named",$F54))),"Name a sponsor accountable for the value",""),IF($O54&lt;&gt;"Y","State the success metric and the stop condition",IF($Q54&lt;&gt;"Y","Set the baseline the benefit will be measured against","")),IF($P54="","Assess data readiness and regulatory impact",IF($P54="partial","Close the known data gaps",IF($P54="ready","","Data is not available; reshape or park"))),IF($R54&lt;&gt;"",IF(OR(ISNUMBER(SEARCH("mrm",$R54)),ISNUMBER(SEARCH("model",$R54)),ISNUMBER(SEARCH("risk",$R54)),ISNUMBER(SEARCH("legal",$R54)),ISNUMBER(SEARCH("complian",$R54))),"Awaiting ","Held at the design gate: ")&amp;$R54,"Map the governance framework for its tier"),IF($L54="","Size the annual benefit",IF($N54="","Score it so it can be ranked against capacity","")),IF($R54&lt;&gt;"","Build held: "&amp;$R54,"In build, not yet through test"),IF($R54&lt;&gt;"","Not ready to scale: "&amp;$R54,"Monitoring and third-party review not yet signed off"),IF($Q54="Y","","Live without a measured baseline to judge it against")))</f>
        <v/>
      </c>
      <c r="AJ54" s="65" t="str">
        <f aca="false">IF($Y54="","",INDEX(StageForum,$Y54))</f>
        <v/>
      </c>
      <c r="AK54" s="65" t="str">
        <f aca="false">IF($Y54="","",IF(OR($X54="Delivery",$X54="Value"),"Committed",IF($N54&lt;&gt;"","Candidate","")))</f>
        <v/>
      </c>
      <c r="AL54" s="65" t="str">
        <f aca="false">IF($AK54&lt;&gt;"Candidate","",COUNTIFS($AK$2:$AK$501,"Candidate",$N$2:$N$501,"&gt;"&amp;$N54)+COUNTIFS($AK$2:$AK$501,"Candidate",$N$2:$N$501,$N54,$A$2:$A$501,"&lt;"&amp;$A54)+1)</f>
        <v/>
      </c>
      <c r="AM54" s="65" t="str">
        <f aca="false">IF($AL54="","",SUMIFS($M$2:$M$501,$AK$2:$AK$501,"Candidate",$AL$2:$AL$501,"&lt;="&amp;$AL54))</f>
        <v/>
      </c>
      <c r="AN54" s="65" t="str">
        <f aca="false">IF($AL54="","",IF($AM54&lt;=CapacityOpen,"Fits","Below line"))</f>
        <v/>
      </c>
      <c r="AO54" s="65" t="str">
        <f aca="false">IF($A54="","",IF($X54="Closed","",IF($X54="Unmapped","Warning",IF(OR($AB54="Overdue",$V54="Y",$AH54="Critical"),"Critical",IF(OR($AB54="At risk",$AC54="Stale",$AG54="Over"),"Warning","")))))</f>
        <v/>
      </c>
      <c r="AP54" s="65" t="str">
        <f aca="false">IF($AO54="","",IF($AO54="Critical",3000,2000)-IF($Z54="",0,$Z54)+ROW()/100000)</f>
        <v/>
      </c>
      <c r="AQ54" s="65" t="str">
        <f aca="false">IF($AO54="","",IF($X54="Unmapped","Status '"&amp;$C54&amp;"' is not in the Config map",IF($V54="Y","Flagged in Jira",IF($AB54="Overdue",-$Z54&amp;" days past its "&amp;$X54&amp;" target",IF($AH54="Critical",$AI54,IF($AB54="At risk","Target in "&amp;$Z54&amp;" days",IF($AC54="Stale","No update in "&amp;$AA54&amp;" days","Past its "&amp;$AE54&amp;"-day tier window")))))))</f>
        <v/>
      </c>
      <c r="AR54" s="65" t="str">
        <f aca="false">IF($AO54="","","draft Jira update for "&amp;$A54)</f>
        <v/>
      </c>
      <c r="AS54" s="65" t="str">
        <f aca="false">IF($A54="","",HYPERLINK(JiraSite&amp;"/browse/"&amp;$A54,"open"))</f>
        <v/>
      </c>
      <c r="AT54" s="65" t="str">
        <f aca="false">IF($Y54="","",$Y54*1000+ROW())</f>
        <v/>
      </c>
      <c r="AU54" s="65" t="str">
        <f aca="false">IF(AND($A54&lt;&gt;"",$G54&gt;=WeekStart),$G54+ROW()/100000,"")</f>
        <v/>
      </c>
      <c r="AV54" s="65" t="str">
        <f aca="false">IF($A54="","",IF(OR(AND($S54&lt;&gt;"",$S54&gt;=WeekStart),AND($U54&lt;&gt;"",$U54&gt;=WeekStart)),MAX($S54,$U54)+ROW()/100000,""))</f>
        <v/>
      </c>
      <c r="AW54" s="65" t="str">
        <f aca="false">IF($AV54="","",IF($T54&lt;&gt;"",$T54,IF($X54="Closed","Closed","Accepted to "&amp;$X54)))</f>
        <v/>
      </c>
      <c r="AX54" s="65" t="str">
        <f aca="false">IF(AND($Y54&lt;&gt;"",$R54&lt;&gt;""),$AF54+ROW()/100000,"")</f>
        <v/>
      </c>
      <c r="AY54" s="65" t="str">
        <f aca="false">IF(AND($Y54&lt;&gt;"",OR($AB54="Overdue",AND($AH54="Critical",$R54&lt;&gt;""))),$AF54+ROW()/100000,"")</f>
        <v/>
      </c>
      <c r="AZ54" s="65" t="str">
        <f aca="false">IF($AH54="Critical",$AF54+ROW()/100000,"")</f>
        <v/>
      </c>
    </row>
    <row r="55" customFormat="false" ht="15" hidden="false" customHeight="false" outlineLevel="0" collapsed="false">
      <c r="A55" s="28"/>
      <c r="B55" s="28"/>
      <c r="C55" s="28"/>
      <c r="D55" s="28"/>
      <c r="E55" s="28"/>
      <c r="F55" s="28"/>
      <c r="G55" s="63"/>
      <c r="H55" s="63"/>
      <c r="I55" s="63"/>
      <c r="J55" s="28"/>
      <c r="K55" s="28"/>
      <c r="L55" s="28"/>
      <c r="M55" s="28"/>
      <c r="N55" s="28"/>
      <c r="O55" s="64"/>
      <c r="P55" s="64"/>
      <c r="Q55" s="64"/>
      <c r="R55" s="28"/>
      <c r="S55" s="63"/>
      <c r="T55" s="64"/>
      <c r="U55" s="63"/>
      <c r="V55" s="64"/>
      <c r="W55" s="28"/>
      <c r="X55" s="65" t="str">
        <f aca="false">IF($A55="","",IF(OR($T55&lt;&gt;"",$U55&lt;&gt;""),"Closed",IFERROR(INDEX(MapStage,MATCH($C55,MapStatus,0)),"Unmapped")))</f>
        <v/>
      </c>
      <c r="Y55" s="65" t="str">
        <f aca="false">IF(OR($X55="",$X55="Closed",$X55="Unmapped"),"",MATCH($X55,StageName,0))</f>
        <v/>
      </c>
      <c r="Z55" s="65" t="str">
        <f aca="false">IF(OR($Y55="",$I55=""),"",$I55-AsOf)</f>
        <v/>
      </c>
      <c r="AA55" s="65" t="str">
        <f aca="false">IF($A55="","",AsOf-$H55)</f>
        <v/>
      </c>
      <c r="AB55" s="65" t="str">
        <f aca="false">IF($A55="","",IF($X55="Closed","Closed",IF($X55="Unmapped","Unmapped",IF($I55="","No target",IF($Z55&lt;0,"Overdue",IF($Z55&lt;=INDEX(StageWindow,$Y55),"At risk","On track"))))))</f>
        <v/>
      </c>
      <c r="AC55" s="65" t="str">
        <f aca="false">IF($Y55="","",IF($AA55&gt;2*INDEX(StageStale,$Y55),"Stale",IF($AA55&gt;INDEX(StageStale,$Y55),"Aging","Fresh")))</f>
        <v/>
      </c>
      <c r="AD55" s="65" t="str">
        <f aca="false">IF($A55="","",IF(OR(ISNUMBER(SEARCH("Reg report",$J55)),ISNUMBER(SEARCH("No human review",$J55)),COUNTIF(TierFuncs,$D55)&gt;0),"High",IF(OR(TRIM($J55)&lt;&gt;"",ISNUMBER(SEARCH("revenue",$K55))),"Medium","Low")))</f>
        <v/>
      </c>
      <c r="AE55" s="65" t="str">
        <f aca="false">IF($A55="","",INDEX(TierDays,MATCH($AD55,TierName,0)))</f>
        <v/>
      </c>
      <c r="AF55" s="65" t="str">
        <f aca="false">IF($A55="","",AsOf-$G55)</f>
        <v/>
      </c>
      <c r="AG55" s="65" t="str">
        <f aca="false">IF($Y55="","",IF($Y55&lt;=5,IF($AF55&gt;$AE55,"Over","Inside"),"Past approval"))</f>
        <v/>
      </c>
      <c r="AH55" s="65" t="str">
        <f aca="false">IF($Y55="","",CHOOSE($Y55,IF(OR(TRIM($F55)="",ISNUMBER(SEARCH("not named",$F55))),"Critical","Good"),IF($O55&lt;&gt;"Y","Critical",IF($Q55&lt;&gt;"Y","Warning","Good")),IF($P55="","Critical",IF($P55="partial","Warning",IF($P55="ready","Good","Critical"))),IF($R55&lt;&gt;"","Critical","Warning"),IF($L55="","Critical",IF($N55="","Warning","Good")),IF($R55&lt;&gt;"","Critical","Warning"),IF($R55&lt;&gt;"","Critical","Warning"),IF($Q55="Y","Good","Critical")))</f>
        <v/>
      </c>
      <c r="AI55" s="65" t="str">
        <f aca="false">IF($Y55="","",CHOOSE($Y55,IF(OR(TRIM($F55)="",ISNUMBER(SEARCH("not named",$F55))),"Name a sponsor accountable for the value",""),IF($O55&lt;&gt;"Y","State the success metric and the stop condition",IF($Q55&lt;&gt;"Y","Set the baseline the benefit will be measured against","")),IF($P55="","Assess data readiness and regulatory impact",IF($P55="partial","Close the known data gaps",IF($P55="ready","","Data is not available; reshape or park"))),IF($R55&lt;&gt;"",IF(OR(ISNUMBER(SEARCH("mrm",$R55)),ISNUMBER(SEARCH("model",$R55)),ISNUMBER(SEARCH("risk",$R55)),ISNUMBER(SEARCH("legal",$R55)),ISNUMBER(SEARCH("complian",$R55))),"Awaiting ","Held at the design gate: ")&amp;$R55,"Map the governance framework for its tier"),IF($L55="","Size the annual benefit",IF($N55="","Score it so it can be ranked against capacity","")),IF($R55&lt;&gt;"","Build held: "&amp;$R55,"In build, not yet through test"),IF($R55&lt;&gt;"","Not ready to scale: "&amp;$R55,"Monitoring and third-party review not yet signed off"),IF($Q55="Y","","Live without a measured baseline to judge it against")))</f>
        <v/>
      </c>
      <c r="AJ55" s="65" t="str">
        <f aca="false">IF($Y55="","",INDEX(StageForum,$Y55))</f>
        <v/>
      </c>
      <c r="AK55" s="65" t="str">
        <f aca="false">IF($Y55="","",IF(OR($X55="Delivery",$X55="Value"),"Committed",IF($N55&lt;&gt;"","Candidate","")))</f>
        <v/>
      </c>
      <c r="AL55" s="65" t="str">
        <f aca="false">IF($AK55&lt;&gt;"Candidate","",COUNTIFS($AK$2:$AK$501,"Candidate",$N$2:$N$501,"&gt;"&amp;$N55)+COUNTIFS($AK$2:$AK$501,"Candidate",$N$2:$N$501,$N55,$A$2:$A$501,"&lt;"&amp;$A55)+1)</f>
        <v/>
      </c>
      <c r="AM55" s="65" t="str">
        <f aca="false">IF($AL55="","",SUMIFS($M$2:$M$501,$AK$2:$AK$501,"Candidate",$AL$2:$AL$501,"&lt;="&amp;$AL55))</f>
        <v/>
      </c>
      <c r="AN55" s="65" t="str">
        <f aca="false">IF($AL55="","",IF($AM55&lt;=CapacityOpen,"Fits","Below line"))</f>
        <v/>
      </c>
      <c r="AO55" s="65" t="str">
        <f aca="false">IF($A55="","",IF($X55="Closed","",IF($X55="Unmapped","Warning",IF(OR($AB55="Overdue",$V55="Y",$AH55="Critical"),"Critical",IF(OR($AB55="At risk",$AC55="Stale",$AG55="Over"),"Warning","")))))</f>
        <v/>
      </c>
      <c r="AP55" s="65" t="str">
        <f aca="false">IF($AO55="","",IF($AO55="Critical",3000,2000)-IF($Z55="",0,$Z55)+ROW()/100000)</f>
        <v/>
      </c>
      <c r="AQ55" s="65" t="str">
        <f aca="false">IF($AO55="","",IF($X55="Unmapped","Status '"&amp;$C55&amp;"' is not in the Config map",IF($V55="Y","Flagged in Jira",IF($AB55="Overdue",-$Z55&amp;" days past its "&amp;$X55&amp;" target",IF($AH55="Critical",$AI55,IF($AB55="At risk","Target in "&amp;$Z55&amp;" days",IF($AC55="Stale","No update in "&amp;$AA55&amp;" days","Past its "&amp;$AE55&amp;"-day tier window")))))))</f>
        <v/>
      </c>
      <c r="AR55" s="65" t="str">
        <f aca="false">IF($AO55="","","draft Jira update for "&amp;$A55)</f>
        <v/>
      </c>
      <c r="AS55" s="65" t="str">
        <f aca="false">IF($A55="","",HYPERLINK(JiraSite&amp;"/browse/"&amp;$A55,"open"))</f>
        <v/>
      </c>
      <c r="AT55" s="65" t="str">
        <f aca="false">IF($Y55="","",$Y55*1000+ROW())</f>
        <v/>
      </c>
      <c r="AU55" s="65" t="str">
        <f aca="false">IF(AND($A55&lt;&gt;"",$G55&gt;=WeekStart),$G55+ROW()/100000,"")</f>
        <v/>
      </c>
      <c r="AV55" s="65" t="str">
        <f aca="false">IF($A55="","",IF(OR(AND($S55&lt;&gt;"",$S55&gt;=WeekStart),AND($U55&lt;&gt;"",$U55&gt;=WeekStart)),MAX($S55,$U55)+ROW()/100000,""))</f>
        <v/>
      </c>
      <c r="AW55" s="65" t="str">
        <f aca="false">IF($AV55="","",IF($T55&lt;&gt;"",$T55,IF($X55="Closed","Closed","Accepted to "&amp;$X55)))</f>
        <v/>
      </c>
      <c r="AX55" s="65" t="str">
        <f aca="false">IF(AND($Y55&lt;&gt;"",$R55&lt;&gt;""),$AF55+ROW()/100000,"")</f>
        <v/>
      </c>
      <c r="AY55" s="65" t="str">
        <f aca="false">IF(AND($Y55&lt;&gt;"",OR($AB55="Overdue",AND($AH55="Critical",$R55&lt;&gt;""))),$AF55+ROW()/100000,"")</f>
        <v/>
      </c>
      <c r="AZ55" s="65" t="str">
        <f aca="false">IF($AH55="Critical",$AF55+ROW()/100000,"")</f>
        <v/>
      </c>
    </row>
    <row r="56" customFormat="false" ht="15" hidden="false" customHeight="false" outlineLevel="0" collapsed="false">
      <c r="A56" s="28"/>
      <c r="B56" s="28"/>
      <c r="C56" s="28"/>
      <c r="D56" s="28"/>
      <c r="E56" s="28"/>
      <c r="F56" s="28"/>
      <c r="G56" s="63"/>
      <c r="H56" s="63"/>
      <c r="I56" s="63"/>
      <c r="J56" s="28"/>
      <c r="K56" s="28"/>
      <c r="L56" s="28"/>
      <c r="M56" s="28"/>
      <c r="N56" s="28"/>
      <c r="O56" s="64"/>
      <c r="P56" s="64"/>
      <c r="Q56" s="64"/>
      <c r="R56" s="28"/>
      <c r="S56" s="63"/>
      <c r="T56" s="64"/>
      <c r="U56" s="63"/>
      <c r="V56" s="64"/>
      <c r="W56" s="28"/>
      <c r="X56" s="65" t="str">
        <f aca="false">IF($A56="","",IF(OR($T56&lt;&gt;"",$U56&lt;&gt;""),"Closed",IFERROR(INDEX(MapStage,MATCH($C56,MapStatus,0)),"Unmapped")))</f>
        <v/>
      </c>
      <c r="Y56" s="65" t="str">
        <f aca="false">IF(OR($X56="",$X56="Closed",$X56="Unmapped"),"",MATCH($X56,StageName,0))</f>
        <v/>
      </c>
      <c r="Z56" s="65" t="str">
        <f aca="false">IF(OR($Y56="",$I56=""),"",$I56-AsOf)</f>
        <v/>
      </c>
      <c r="AA56" s="65" t="str">
        <f aca="false">IF($A56="","",AsOf-$H56)</f>
        <v/>
      </c>
      <c r="AB56" s="65" t="str">
        <f aca="false">IF($A56="","",IF($X56="Closed","Closed",IF($X56="Unmapped","Unmapped",IF($I56="","No target",IF($Z56&lt;0,"Overdue",IF($Z56&lt;=INDEX(StageWindow,$Y56),"At risk","On track"))))))</f>
        <v/>
      </c>
      <c r="AC56" s="65" t="str">
        <f aca="false">IF($Y56="","",IF($AA56&gt;2*INDEX(StageStale,$Y56),"Stale",IF($AA56&gt;INDEX(StageStale,$Y56),"Aging","Fresh")))</f>
        <v/>
      </c>
      <c r="AD56" s="65" t="str">
        <f aca="false">IF($A56="","",IF(OR(ISNUMBER(SEARCH("Reg report",$J56)),ISNUMBER(SEARCH("No human review",$J56)),COUNTIF(TierFuncs,$D56)&gt;0),"High",IF(OR(TRIM($J56)&lt;&gt;"",ISNUMBER(SEARCH("revenue",$K56))),"Medium","Low")))</f>
        <v/>
      </c>
      <c r="AE56" s="65" t="str">
        <f aca="false">IF($A56="","",INDEX(TierDays,MATCH($AD56,TierName,0)))</f>
        <v/>
      </c>
      <c r="AF56" s="65" t="str">
        <f aca="false">IF($A56="","",AsOf-$G56)</f>
        <v/>
      </c>
      <c r="AG56" s="65" t="str">
        <f aca="false">IF($Y56="","",IF($Y56&lt;=5,IF($AF56&gt;$AE56,"Over","Inside"),"Past approval"))</f>
        <v/>
      </c>
      <c r="AH56" s="65" t="str">
        <f aca="false">IF($Y56="","",CHOOSE($Y56,IF(OR(TRIM($F56)="",ISNUMBER(SEARCH("not named",$F56))),"Critical","Good"),IF($O56&lt;&gt;"Y","Critical",IF($Q56&lt;&gt;"Y","Warning","Good")),IF($P56="","Critical",IF($P56="partial","Warning",IF($P56="ready","Good","Critical"))),IF($R56&lt;&gt;"","Critical","Warning"),IF($L56="","Critical",IF($N56="","Warning","Good")),IF($R56&lt;&gt;"","Critical","Warning"),IF($R56&lt;&gt;"","Critical","Warning"),IF($Q56="Y","Good","Critical")))</f>
        <v/>
      </c>
      <c r="AI56" s="65" t="str">
        <f aca="false">IF($Y56="","",CHOOSE($Y56,IF(OR(TRIM($F56)="",ISNUMBER(SEARCH("not named",$F56))),"Name a sponsor accountable for the value",""),IF($O56&lt;&gt;"Y","State the success metric and the stop condition",IF($Q56&lt;&gt;"Y","Set the baseline the benefit will be measured against","")),IF($P56="","Assess data readiness and regulatory impact",IF($P56="partial","Close the known data gaps",IF($P56="ready","","Data is not available; reshape or park"))),IF($R56&lt;&gt;"",IF(OR(ISNUMBER(SEARCH("mrm",$R56)),ISNUMBER(SEARCH("model",$R56)),ISNUMBER(SEARCH("risk",$R56)),ISNUMBER(SEARCH("legal",$R56)),ISNUMBER(SEARCH("complian",$R56))),"Awaiting ","Held at the design gate: ")&amp;$R56,"Map the governance framework for its tier"),IF($L56="","Size the annual benefit",IF($N56="","Score it so it can be ranked against capacity","")),IF($R56&lt;&gt;"","Build held: "&amp;$R56,"In build, not yet through test"),IF($R56&lt;&gt;"","Not ready to scale: "&amp;$R56,"Monitoring and third-party review not yet signed off"),IF($Q56="Y","","Live without a measured baseline to judge it against")))</f>
        <v/>
      </c>
      <c r="AJ56" s="65" t="str">
        <f aca="false">IF($Y56="","",INDEX(StageForum,$Y56))</f>
        <v/>
      </c>
      <c r="AK56" s="65" t="str">
        <f aca="false">IF($Y56="","",IF(OR($X56="Delivery",$X56="Value"),"Committed",IF($N56&lt;&gt;"","Candidate","")))</f>
        <v/>
      </c>
      <c r="AL56" s="65" t="str">
        <f aca="false">IF($AK56&lt;&gt;"Candidate","",COUNTIFS($AK$2:$AK$501,"Candidate",$N$2:$N$501,"&gt;"&amp;$N56)+COUNTIFS($AK$2:$AK$501,"Candidate",$N$2:$N$501,$N56,$A$2:$A$501,"&lt;"&amp;$A56)+1)</f>
        <v/>
      </c>
      <c r="AM56" s="65" t="str">
        <f aca="false">IF($AL56="","",SUMIFS($M$2:$M$501,$AK$2:$AK$501,"Candidate",$AL$2:$AL$501,"&lt;="&amp;$AL56))</f>
        <v/>
      </c>
      <c r="AN56" s="65" t="str">
        <f aca="false">IF($AL56="","",IF($AM56&lt;=CapacityOpen,"Fits","Below line"))</f>
        <v/>
      </c>
      <c r="AO56" s="65" t="str">
        <f aca="false">IF($A56="","",IF($X56="Closed","",IF($X56="Unmapped","Warning",IF(OR($AB56="Overdue",$V56="Y",$AH56="Critical"),"Critical",IF(OR($AB56="At risk",$AC56="Stale",$AG56="Over"),"Warning","")))))</f>
        <v/>
      </c>
      <c r="AP56" s="65" t="str">
        <f aca="false">IF($AO56="","",IF($AO56="Critical",3000,2000)-IF($Z56="",0,$Z56)+ROW()/100000)</f>
        <v/>
      </c>
      <c r="AQ56" s="65" t="str">
        <f aca="false">IF($AO56="","",IF($X56="Unmapped","Status '"&amp;$C56&amp;"' is not in the Config map",IF($V56="Y","Flagged in Jira",IF($AB56="Overdue",-$Z56&amp;" days past its "&amp;$X56&amp;" target",IF($AH56="Critical",$AI56,IF($AB56="At risk","Target in "&amp;$Z56&amp;" days",IF($AC56="Stale","No update in "&amp;$AA56&amp;" days","Past its "&amp;$AE56&amp;"-day tier window")))))))</f>
        <v/>
      </c>
      <c r="AR56" s="65" t="str">
        <f aca="false">IF($AO56="","","draft Jira update for "&amp;$A56)</f>
        <v/>
      </c>
      <c r="AS56" s="65" t="str">
        <f aca="false">IF($A56="","",HYPERLINK(JiraSite&amp;"/browse/"&amp;$A56,"open"))</f>
        <v/>
      </c>
      <c r="AT56" s="65" t="str">
        <f aca="false">IF($Y56="","",$Y56*1000+ROW())</f>
        <v/>
      </c>
      <c r="AU56" s="65" t="str">
        <f aca="false">IF(AND($A56&lt;&gt;"",$G56&gt;=WeekStart),$G56+ROW()/100000,"")</f>
        <v/>
      </c>
      <c r="AV56" s="65" t="str">
        <f aca="false">IF($A56="","",IF(OR(AND($S56&lt;&gt;"",$S56&gt;=WeekStart),AND($U56&lt;&gt;"",$U56&gt;=WeekStart)),MAX($S56,$U56)+ROW()/100000,""))</f>
        <v/>
      </c>
      <c r="AW56" s="65" t="str">
        <f aca="false">IF($AV56="","",IF($T56&lt;&gt;"",$T56,IF($X56="Closed","Closed","Accepted to "&amp;$X56)))</f>
        <v/>
      </c>
      <c r="AX56" s="65" t="str">
        <f aca="false">IF(AND($Y56&lt;&gt;"",$R56&lt;&gt;""),$AF56+ROW()/100000,"")</f>
        <v/>
      </c>
      <c r="AY56" s="65" t="str">
        <f aca="false">IF(AND($Y56&lt;&gt;"",OR($AB56="Overdue",AND($AH56="Critical",$R56&lt;&gt;""))),$AF56+ROW()/100000,"")</f>
        <v/>
      </c>
      <c r="AZ56" s="65" t="str">
        <f aca="false">IF($AH56="Critical",$AF56+ROW()/100000,"")</f>
        <v/>
      </c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/>
      <c r="G57" s="63"/>
      <c r="H57" s="63"/>
      <c r="I57" s="63"/>
      <c r="J57" s="28"/>
      <c r="K57" s="28"/>
      <c r="L57" s="28"/>
      <c r="M57" s="28"/>
      <c r="N57" s="28"/>
      <c r="O57" s="64"/>
      <c r="P57" s="64"/>
      <c r="Q57" s="64"/>
      <c r="R57" s="28"/>
      <c r="S57" s="63"/>
      <c r="T57" s="64"/>
      <c r="U57" s="63"/>
      <c r="V57" s="64"/>
      <c r="W57" s="28"/>
      <c r="X57" s="65" t="str">
        <f aca="false">IF($A57="","",IF(OR($T57&lt;&gt;"",$U57&lt;&gt;""),"Closed",IFERROR(INDEX(MapStage,MATCH($C57,MapStatus,0)),"Unmapped")))</f>
        <v/>
      </c>
      <c r="Y57" s="65" t="str">
        <f aca="false">IF(OR($X57="",$X57="Closed",$X57="Unmapped"),"",MATCH($X57,StageName,0))</f>
        <v/>
      </c>
      <c r="Z57" s="65" t="str">
        <f aca="false">IF(OR($Y57="",$I57=""),"",$I57-AsOf)</f>
        <v/>
      </c>
      <c r="AA57" s="65" t="str">
        <f aca="false">IF($A57="","",AsOf-$H57)</f>
        <v/>
      </c>
      <c r="AB57" s="65" t="str">
        <f aca="false">IF($A57="","",IF($X57="Closed","Closed",IF($X57="Unmapped","Unmapped",IF($I57="","No target",IF($Z57&lt;0,"Overdue",IF($Z57&lt;=INDEX(StageWindow,$Y57),"At risk","On track"))))))</f>
        <v/>
      </c>
      <c r="AC57" s="65" t="str">
        <f aca="false">IF($Y57="","",IF($AA57&gt;2*INDEX(StageStale,$Y57),"Stale",IF($AA57&gt;INDEX(StageStale,$Y57),"Aging","Fresh")))</f>
        <v/>
      </c>
      <c r="AD57" s="65" t="str">
        <f aca="false">IF($A57="","",IF(OR(ISNUMBER(SEARCH("Reg report",$J57)),ISNUMBER(SEARCH("No human review",$J57)),COUNTIF(TierFuncs,$D57)&gt;0),"High",IF(OR(TRIM($J57)&lt;&gt;"",ISNUMBER(SEARCH("revenue",$K57))),"Medium","Low")))</f>
        <v/>
      </c>
      <c r="AE57" s="65" t="str">
        <f aca="false">IF($A57="","",INDEX(TierDays,MATCH($AD57,TierName,0)))</f>
        <v/>
      </c>
      <c r="AF57" s="65" t="str">
        <f aca="false">IF($A57="","",AsOf-$G57)</f>
        <v/>
      </c>
      <c r="AG57" s="65" t="str">
        <f aca="false">IF($Y57="","",IF($Y57&lt;=5,IF($AF57&gt;$AE57,"Over","Inside"),"Past approval"))</f>
        <v/>
      </c>
      <c r="AH57" s="65" t="str">
        <f aca="false">IF($Y57="","",CHOOSE($Y57,IF(OR(TRIM($F57)="",ISNUMBER(SEARCH("not named",$F57))),"Critical","Good"),IF($O57&lt;&gt;"Y","Critical",IF($Q57&lt;&gt;"Y","Warning","Good")),IF($P57="","Critical",IF($P57="partial","Warning",IF($P57="ready","Good","Critical"))),IF($R57&lt;&gt;"","Critical","Warning"),IF($L57="","Critical",IF($N57="","Warning","Good")),IF($R57&lt;&gt;"","Critical","Warning"),IF($R57&lt;&gt;"","Critical","Warning"),IF($Q57="Y","Good","Critical")))</f>
        <v/>
      </c>
      <c r="AI57" s="65" t="str">
        <f aca="false">IF($Y57="","",CHOOSE($Y57,IF(OR(TRIM($F57)="",ISNUMBER(SEARCH("not named",$F57))),"Name a sponsor accountable for the value",""),IF($O57&lt;&gt;"Y","State the success metric and the stop condition",IF($Q57&lt;&gt;"Y","Set the baseline the benefit will be measured against","")),IF($P57="","Assess data readiness and regulatory impact",IF($P57="partial","Close the known data gaps",IF($P57="ready","","Data is not available; reshape or park"))),IF($R57&lt;&gt;"",IF(OR(ISNUMBER(SEARCH("mrm",$R57)),ISNUMBER(SEARCH("model",$R57)),ISNUMBER(SEARCH("risk",$R57)),ISNUMBER(SEARCH("legal",$R57)),ISNUMBER(SEARCH("complian",$R57))),"Awaiting ","Held at the design gate: ")&amp;$R57,"Map the governance framework for its tier"),IF($L57="","Size the annual benefit",IF($N57="","Score it so it can be ranked against capacity","")),IF($R57&lt;&gt;"","Build held: "&amp;$R57,"In build, not yet through test"),IF($R57&lt;&gt;"","Not ready to scale: "&amp;$R57,"Monitoring and third-party review not yet signed off"),IF($Q57="Y","","Live without a measured baseline to judge it against")))</f>
        <v/>
      </c>
      <c r="AJ57" s="65" t="str">
        <f aca="false">IF($Y57="","",INDEX(StageForum,$Y57))</f>
        <v/>
      </c>
      <c r="AK57" s="65" t="str">
        <f aca="false">IF($Y57="","",IF(OR($X57="Delivery",$X57="Value"),"Committed",IF($N57&lt;&gt;"","Candidate","")))</f>
        <v/>
      </c>
      <c r="AL57" s="65" t="str">
        <f aca="false">IF($AK57&lt;&gt;"Candidate","",COUNTIFS($AK$2:$AK$501,"Candidate",$N$2:$N$501,"&gt;"&amp;$N57)+COUNTIFS($AK$2:$AK$501,"Candidate",$N$2:$N$501,$N57,$A$2:$A$501,"&lt;"&amp;$A57)+1)</f>
        <v/>
      </c>
      <c r="AM57" s="65" t="str">
        <f aca="false">IF($AL57="","",SUMIFS($M$2:$M$501,$AK$2:$AK$501,"Candidate",$AL$2:$AL$501,"&lt;="&amp;$AL57))</f>
        <v/>
      </c>
      <c r="AN57" s="65" t="str">
        <f aca="false">IF($AL57="","",IF($AM57&lt;=CapacityOpen,"Fits","Below line"))</f>
        <v/>
      </c>
      <c r="AO57" s="65" t="str">
        <f aca="false">IF($A57="","",IF($X57="Closed","",IF($X57="Unmapped","Warning",IF(OR($AB57="Overdue",$V57="Y",$AH57="Critical"),"Critical",IF(OR($AB57="At risk",$AC57="Stale",$AG57="Over"),"Warning","")))))</f>
        <v/>
      </c>
      <c r="AP57" s="65" t="str">
        <f aca="false">IF($AO57="","",IF($AO57="Critical",3000,2000)-IF($Z57="",0,$Z57)+ROW()/100000)</f>
        <v/>
      </c>
      <c r="AQ57" s="65" t="str">
        <f aca="false">IF($AO57="","",IF($X57="Unmapped","Status '"&amp;$C57&amp;"' is not in the Config map",IF($V57="Y","Flagged in Jira",IF($AB57="Overdue",-$Z57&amp;" days past its "&amp;$X57&amp;" target",IF($AH57="Critical",$AI57,IF($AB57="At risk","Target in "&amp;$Z57&amp;" days",IF($AC57="Stale","No update in "&amp;$AA57&amp;" days","Past its "&amp;$AE57&amp;"-day tier window")))))))</f>
        <v/>
      </c>
      <c r="AR57" s="65" t="str">
        <f aca="false">IF($AO57="","","draft Jira update for "&amp;$A57)</f>
        <v/>
      </c>
      <c r="AS57" s="65" t="str">
        <f aca="false">IF($A57="","",HYPERLINK(JiraSite&amp;"/browse/"&amp;$A57,"open"))</f>
        <v/>
      </c>
      <c r="AT57" s="65" t="str">
        <f aca="false">IF($Y57="","",$Y57*1000+ROW())</f>
        <v/>
      </c>
      <c r="AU57" s="65" t="str">
        <f aca="false">IF(AND($A57&lt;&gt;"",$G57&gt;=WeekStart),$G57+ROW()/100000,"")</f>
        <v/>
      </c>
      <c r="AV57" s="65" t="str">
        <f aca="false">IF($A57="","",IF(OR(AND($S57&lt;&gt;"",$S57&gt;=WeekStart),AND($U57&lt;&gt;"",$U57&gt;=WeekStart)),MAX($S57,$U57)+ROW()/100000,""))</f>
        <v/>
      </c>
      <c r="AW57" s="65" t="str">
        <f aca="false">IF($AV57="","",IF($T57&lt;&gt;"",$T57,IF($X57="Closed","Closed","Accepted to "&amp;$X57)))</f>
        <v/>
      </c>
      <c r="AX57" s="65" t="str">
        <f aca="false">IF(AND($Y57&lt;&gt;"",$R57&lt;&gt;""),$AF57+ROW()/100000,"")</f>
        <v/>
      </c>
      <c r="AY57" s="65" t="str">
        <f aca="false">IF(AND($Y57&lt;&gt;"",OR($AB57="Overdue",AND($AH57="Critical",$R57&lt;&gt;""))),$AF57+ROW()/100000,"")</f>
        <v/>
      </c>
      <c r="AZ57" s="65" t="str">
        <f aca="false">IF($AH57="Critical",$AF57+ROW()/100000,"")</f>
        <v/>
      </c>
    </row>
    <row r="58" customFormat="false" ht="15" hidden="false" customHeight="false" outlineLevel="0" collapsed="false">
      <c r="A58" s="28"/>
      <c r="B58" s="28"/>
      <c r="C58" s="28"/>
      <c r="D58" s="28"/>
      <c r="E58" s="28"/>
      <c r="F58" s="28"/>
      <c r="G58" s="63"/>
      <c r="H58" s="63"/>
      <c r="I58" s="63"/>
      <c r="J58" s="28"/>
      <c r="K58" s="28"/>
      <c r="L58" s="28"/>
      <c r="M58" s="28"/>
      <c r="N58" s="28"/>
      <c r="O58" s="64"/>
      <c r="P58" s="64"/>
      <c r="Q58" s="64"/>
      <c r="R58" s="28"/>
      <c r="S58" s="63"/>
      <c r="T58" s="64"/>
      <c r="U58" s="63"/>
      <c r="V58" s="64"/>
      <c r="W58" s="28"/>
      <c r="X58" s="65" t="str">
        <f aca="false">IF($A58="","",IF(OR($T58&lt;&gt;"",$U58&lt;&gt;""),"Closed",IFERROR(INDEX(MapStage,MATCH($C58,MapStatus,0)),"Unmapped")))</f>
        <v/>
      </c>
      <c r="Y58" s="65" t="str">
        <f aca="false">IF(OR($X58="",$X58="Closed",$X58="Unmapped"),"",MATCH($X58,StageName,0))</f>
        <v/>
      </c>
      <c r="Z58" s="65" t="str">
        <f aca="false">IF(OR($Y58="",$I58=""),"",$I58-AsOf)</f>
        <v/>
      </c>
      <c r="AA58" s="65" t="str">
        <f aca="false">IF($A58="","",AsOf-$H58)</f>
        <v/>
      </c>
      <c r="AB58" s="65" t="str">
        <f aca="false">IF($A58="","",IF($X58="Closed","Closed",IF($X58="Unmapped","Unmapped",IF($I58="","No target",IF($Z58&lt;0,"Overdue",IF($Z58&lt;=INDEX(StageWindow,$Y58),"At risk","On track"))))))</f>
        <v/>
      </c>
      <c r="AC58" s="65" t="str">
        <f aca="false">IF($Y58="","",IF($AA58&gt;2*INDEX(StageStale,$Y58),"Stale",IF($AA58&gt;INDEX(StageStale,$Y58),"Aging","Fresh")))</f>
        <v/>
      </c>
      <c r="AD58" s="65" t="str">
        <f aca="false">IF($A58="","",IF(OR(ISNUMBER(SEARCH("Reg report",$J58)),ISNUMBER(SEARCH("No human review",$J58)),COUNTIF(TierFuncs,$D58)&gt;0),"High",IF(OR(TRIM($J58)&lt;&gt;"",ISNUMBER(SEARCH("revenue",$K58))),"Medium","Low")))</f>
        <v/>
      </c>
      <c r="AE58" s="65" t="str">
        <f aca="false">IF($A58="","",INDEX(TierDays,MATCH($AD58,TierName,0)))</f>
        <v/>
      </c>
      <c r="AF58" s="65" t="str">
        <f aca="false">IF($A58="","",AsOf-$G58)</f>
        <v/>
      </c>
      <c r="AG58" s="65" t="str">
        <f aca="false">IF($Y58="","",IF($Y58&lt;=5,IF($AF58&gt;$AE58,"Over","Inside"),"Past approval"))</f>
        <v/>
      </c>
      <c r="AH58" s="65" t="str">
        <f aca="false">IF($Y58="","",CHOOSE($Y58,IF(OR(TRIM($F58)="",ISNUMBER(SEARCH("not named",$F58))),"Critical","Good"),IF($O58&lt;&gt;"Y","Critical",IF($Q58&lt;&gt;"Y","Warning","Good")),IF($P58="","Critical",IF($P58="partial","Warning",IF($P58="ready","Good","Critical"))),IF($R58&lt;&gt;"","Critical","Warning"),IF($L58="","Critical",IF($N58="","Warning","Good")),IF($R58&lt;&gt;"","Critical","Warning"),IF($R58&lt;&gt;"","Critical","Warning"),IF($Q58="Y","Good","Critical")))</f>
        <v/>
      </c>
      <c r="AI58" s="65" t="str">
        <f aca="false">IF($Y58="","",CHOOSE($Y58,IF(OR(TRIM($F58)="",ISNUMBER(SEARCH("not named",$F58))),"Name a sponsor accountable for the value",""),IF($O58&lt;&gt;"Y","State the success metric and the stop condition",IF($Q58&lt;&gt;"Y","Set the baseline the benefit will be measured against","")),IF($P58="","Assess data readiness and regulatory impact",IF($P58="partial","Close the known data gaps",IF($P58="ready","","Data is not available; reshape or park"))),IF($R58&lt;&gt;"",IF(OR(ISNUMBER(SEARCH("mrm",$R58)),ISNUMBER(SEARCH("model",$R58)),ISNUMBER(SEARCH("risk",$R58)),ISNUMBER(SEARCH("legal",$R58)),ISNUMBER(SEARCH("complian",$R58))),"Awaiting ","Held at the design gate: ")&amp;$R58,"Map the governance framework for its tier"),IF($L58="","Size the annual benefit",IF($N58="","Score it so it can be ranked against capacity","")),IF($R58&lt;&gt;"","Build held: "&amp;$R58,"In build, not yet through test"),IF($R58&lt;&gt;"","Not ready to scale: "&amp;$R58,"Monitoring and third-party review not yet signed off"),IF($Q58="Y","","Live without a measured baseline to judge it against")))</f>
        <v/>
      </c>
      <c r="AJ58" s="65" t="str">
        <f aca="false">IF($Y58="","",INDEX(StageForum,$Y58))</f>
        <v/>
      </c>
      <c r="AK58" s="65" t="str">
        <f aca="false">IF($Y58="","",IF(OR($X58="Delivery",$X58="Value"),"Committed",IF($N58&lt;&gt;"","Candidate","")))</f>
        <v/>
      </c>
      <c r="AL58" s="65" t="str">
        <f aca="false">IF($AK58&lt;&gt;"Candidate","",COUNTIFS($AK$2:$AK$501,"Candidate",$N$2:$N$501,"&gt;"&amp;$N58)+COUNTIFS($AK$2:$AK$501,"Candidate",$N$2:$N$501,$N58,$A$2:$A$501,"&lt;"&amp;$A58)+1)</f>
        <v/>
      </c>
      <c r="AM58" s="65" t="str">
        <f aca="false">IF($AL58="","",SUMIFS($M$2:$M$501,$AK$2:$AK$501,"Candidate",$AL$2:$AL$501,"&lt;="&amp;$AL58))</f>
        <v/>
      </c>
      <c r="AN58" s="65" t="str">
        <f aca="false">IF($AL58="","",IF($AM58&lt;=CapacityOpen,"Fits","Below line"))</f>
        <v/>
      </c>
      <c r="AO58" s="65" t="str">
        <f aca="false">IF($A58="","",IF($X58="Closed","",IF($X58="Unmapped","Warning",IF(OR($AB58="Overdue",$V58="Y",$AH58="Critical"),"Critical",IF(OR($AB58="At risk",$AC58="Stale",$AG58="Over"),"Warning","")))))</f>
        <v/>
      </c>
      <c r="AP58" s="65" t="str">
        <f aca="false">IF($AO58="","",IF($AO58="Critical",3000,2000)-IF($Z58="",0,$Z58)+ROW()/100000)</f>
        <v/>
      </c>
      <c r="AQ58" s="65" t="str">
        <f aca="false">IF($AO58="","",IF($X58="Unmapped","Status '"&amp;$C58&amp;"' is not in the Config map",IF($V58="Y","Flagged in Jira",IF($AB58="Overdue",-$Z58&amp;" days past its "&amp;$X58&amp;" target",IF($AH58="Critical",$AI58,IF($AB58="At risk","Target in "&amp;$Z58&amp;" days",IF($AC58="Stale","No update in "&amp;$AA58&amp;" days","Past its "&amp;$AE58&amp;"-day tier window")))))))</f>
        <v/>
      </c>
      <c r="AR58" s="65" t="str">
        <f aca="false">IF($AO58="","","draft Jira update for "&amp;$A58)</f>
        <v/>
      </c>
      <c r="AS58" s="65" t="str">
        <f aca="false">IF($A58="","",HYPERLINK(JiraSite&amp;"/browse/"&amp;$A58,"open"))</f>
        <v/>
      </c>
      <c r="AT58" s="65" t="str">
        <f aca="false">IF($Y58="","",$Y58*1000+ROW())</f>
        <v/>
      </c>
      <c r="AU58" s="65" t="str">
        <f aca="false">IF(AND($A58&lt;&gt;"",$G58&gt;=WeekStart),$G58+ROW()/100000,"")</f>
        <v/>
      </c>
      <c r="AV58" s="65" t="str">
        <f aca="false">IF($A58="","",IF(OR(AND($S58&lt;&gt;"",$S58&gt;=WeekStart),AND($U58&lt;&gt;"",$U58&gt;=WeekStart)),MAX($S58,$U58)+ROW()/100000,""))</f>
        <v/>
      </c>
      <c r="AW58" s="65" t="str">
        <f aca="false">IF($AV58="","",IF($T58&lt;&gt;"",$T58,IF($X58="Closed","Closed","Accepted to "&amp;$X58)))</f>
        <v/>
      </c>
      <c r="AX58" s="65" t="str">
        <f aca="false">IF(AND($Y58&lt;&gt;"",$R58&lt;&gt;""),$AF58+ROW()/100000,"")</f>
        <v/>
      </c>
      <c r="AY58" s="65" t="str">
        <f aca="false">IF(AND($Y58&lt;&gt;"",OR($AB58="Overdue",AND($AH58="Critical",$R58&lt;&gt;""))),$AF58+ROW()/100000,"")</f>
        <v/>
      </c>
      <c r="AZ58" s="65" t="str">
        <f aca="false">IF($AH58="Critical",$AF58+ROW()/100000,"")</f>
        <v/>
      </c>
    </row>
    <row r="59" customFormat="false" ht="15" hidden="false" customHeight="false" outlineLevel="0" collapsed="false">
      <c r="A59" s="28"/>
      <c r="B59" s="28"/>
      <c r="C59" s="28"/>
      <c r="D59" s="28"/>
      <c r="E59" s="28"/>
      <c r="F59" s="28"/>
      <c r="G59" s="63"/>
      <c r="H59" s="63"/>
      <c r="I59" s="63"/>
      <c r="J59" s="28"/>
      <c r="K59" s="28"/>
      <c r="L59" s="28"/>
      <c r="M59" s="28"/>
      <c r="N59" s="28"/>
      <c r="O59" s="64"/>
      <c r="P59" s="64"/>
      <c r="Q59" s="64"/>
      <c r="R59" s="28"/>
      <c r="S59" s="63"/>
      <c r="T59" s="64"/>
      <c r="U59" s="63"/>
      <c r="V59" s="64"/>
      <c r="W59" s="28"/>
      <c r="X59" s="65" t="str">
        <f aca="false">IF($A59="","",IF(OR($T59&lt;&gt;"",$U59&lt;&gt;""),"Closed",IFERROR(INDEX(MapStage,MATCH($C59,MapStatus,0)),"Unmapped")))</f>
        <v/>
      </c>
      <c r="Y59" s="65" t="str">
        <f aca="false">IF(OR($X59="",$X59="Closed",$X59="Unmapped"),"",MATCH($X59,StageName,0))</f>
        <v/>
      </c>
      <c r="Z59" s="65" t="str">
        <f aca="false">IF(OR($Y59="",$I59=""),"",$I59-AsOf)</f>
        <v/>
      </c>
      <c r="AA59" s="65" t="str">
        <f aca="false">IF($A59="","",AsOf-$H59)</f>
        <v/>
      </c>
      <c r="AB59" s="65" t="str">
        <f aca="false">IF($A59="","",IF($X59="Closed","Closed",IF($X59="Unmapped","Unmapped",IF($I59="","No target",IF($Z59&lt;0,"Overdue",IF($Z59&lt;=INDEX(StageWindow,$Y59),"At risk","On track"))))))</f>
        <v/>
      </c>
      <c r="AC59" s="65" t="str">
        <f aca="false">IF($Y59="","",IF($AA59&gt;2*INDEX(StageStale,$Y59),"Stale",IF($AA59&gt;INDEX(StageStale,$Y59),"Aging","Fresh")))</f>
        <v/>
      </c>
      <c r="AD59" s="65" t="str">
        <f aca="false">IF($A59="","",IF(OR(ISNUMBER(SEARCH("Reg report",$J59)),ISNUMBER(SEARCH("No human review",$J59)),COUNTIF(TierFuncs,$D59)&gt;0),"High",IF(OR(TRIM($J59)&lt;&gt;"",ISNUMBER(SEARCH("revenue",$K59))),"Medium","Low")))</f>
        <v/>
      </c>
      <c r="AE59" s="65" t="str">
        <f aca="false">IF($A59="","",INDEX(TierDays,MATCH($AD59,TierName,0)))</f>
        <v/>
      </c>
      <c r="AF59" s="65" t="str">
        <f aca="false">IF($A59="","",AsOf-$G59)</f>
        <v/>
      </c>
      <c r="AG59" s="65" t="str">
        <f aca="false">IF($Y59="","",IF($Y59&lt;=5,IF($AF59&gt;$AE59,"Over","Inside"),"Past approval"))</f>
        <v/>
      </c>
      <c r="AH59" s="65" t="str">
        <f aca="false">IF($Y59="","",CHOOSE($Y59,IF(OR(TRIM($F59)="",ISNUMBER(SEARCH("not named",$F59))),"Critical","Good"),IF($O59&lt;&gt;"Y","Critical",IF($Q59&lt;&gt;"Y","Warning","Good")),IF($P59="","Critical",IF($P59="partial","Warning",IF($P59="ready","Good","Critical"))),IF($R59&lt;&gt;"","Critical","Warning"),IF($L59="","Critical",IF($N59="","Warning","Good")),IF($R59&lt;&gt;"","Critical","Warning"),IF($R59&lt;&gt;"","Critical","Warning"),IF($Q59="Y","Good","Critical")))</f>
        <v/>
      </c>
      <c r="AI59" s="65" t="str">
        <f aca="false">IF($Y59="","",CHOOSE($Y59,IF(OR(TRIM($F59)="",ISNUMBER(SEARCH("not named",$F59))),"Name a sponsor accountable for the value",""),IF($O59&lt;&gt;"Y","State the success metric and the stop condition",IF($Q59&lt;&gt;"Y","Set the baseline the benefit will be measured against","")),IF($P59="","Assess data readiness and regulatory impact",IF($P59="partial","Close the known data gaps",IF($P59="ready","","Data is not available; reshape or park"))),IF($R59&lt;&gt;"",IF(OR(ISNUMBER(SEARCH("mrm",$R59)),ISNUMBER(SEARCH("model",$R59)),ISNUMBER(SEARCH("risk",$R59)),ISNUMBER(SEARCH("legal",$R59)),ISNUMBER(SEARCH("complian",$R59))),"Awaiting ","Held at the design gate: ")&amp;$R59,"Map the governance framework for its tier"),IF($L59="","Size the annual benefit",IF($N59="","Score it so it can be ranked against capacity","")),IF($R59&lt;&gt;"","Build held: "&amp;$R59,"In build, not yet through test"),IF($R59&lt;&gt;"","Not ready to scale: "&amp;$R59,"Monitoring and third-party review not yet signed off"),IF($Q59="Y","","Live without a measured baseline to judge it against")))</f>
        <v/>
      </c>
      <c r="AJ59" s="65" t="str">
        <f aca="false">IF($Y59="","",INDEX(StageForum,$Y59))</f>
        <v/>
      </c>
      <c r="AK59" s="65" t="str">
        <f aca="false">IF($Y59="","",IF(OR($X59="Delivery",$X59="Value"),"Committed",IF($N59&lt;&gt;"","Candidate","")))</f>
        <v/>
      </c>
      <c r="AL59" s="65" t="str">
        <f aca="false">IF($AK59&lt;&gt;"Candidate","",COUNTIFS($AK$2:$AK$501,"Candidate",$N$2:$N$501,"&gt;"&amp;$N59)+COUNTIFS($AK$2:$AK$501,"Candidate",$N$2:$N$501,$N59,$A$2:$A$501,"&lt;"&amp;$A59)+1)</f>
        <v/>
      </c>
      <c r="AM59" s="65" t="str">
        <f aca="false">IF($AL59="","",SUMIFS($M$2:$M$501,$AK$2:$AK$501,"Candidate",$AL$2:$AL$501,"&lt;="&amp;$AL59))</f>
        <v/>
      </c>
      <c r="AN59" s="65" t="str">
        <f aca="false">IF($AL59="","",IF($AM59&lt;=CapacityOpen,"Fits","Below line"))</f>
        <v/>
      </c>
      <c r="AO59" s="65" t="str">
        <f aca="false">IF($A59="","",IF($X59="Closed","",IF($X59="Unmapped","Warning",IF(OR($AB59="Overdue",$V59="Y",$AH59="Critical"),"Critical",IF(OR($AB59="At risk",$AC59="Stale",$AG59="Over"),"Warning","")))))</f>
        <v/>
      </c>
      <c r="AP59" s="65" t="str">
        <f aca="false">IF($AO59="","",IF($AO59="Critical",3000,2000)-IF($Z59="",0,$Z59)+ROW()/100000)</f>
        <v/>
      </c>
      <c r="AQ59" s="65" t="str">
        <f aca="false">IF($AO59="","",IF($X59="Unmapped","Status '"&amp;$C59&amp;"' is not in the Config map",IF($V59="Y","Flagged in Jira",IF($AB59="Overdue",-$Z59&amp;" days past its "&amp;$X59&amp;" target",IF($AH59="Critical",$AI59,IF($AB59="At risk","Target in "&amp;$Z59&amp;" days",IF($AC59="Stale","No update in "&amp;$AA59&amp;" days","Past its "&amp;$AE59&amp;"-day tier window")))))))</f>
        <v/>
      </c>
      <c r="AR59" s="65" t="str">
        <f aca="false">IF($AO59="","","draft Jira update for "&amp;$A59)</f>
        <v/>
      </c>
      <c r="AS59" s="65" t="str">
        <f aca="false">IF($A59="","",HYPERLINK(JiraSite&amp;"/browse/"&amp;$A59,"open"))</f>
        <v/>
      </c>
      <c r="AT59" s="65" t="str">
        <f aca="false">IF($Y59="","",$Y59*1000+ROW())</f>
        <v/>
      </c>
      <c r="AU59" s="65" t="str">
        <f aca="false">IF(AND($A59&lt;&gt;"",$G59&gt;=WeekStart),$G59+ROW()/100000,"")</f>
        <v/>
      </c>
      <c r="AV59" s="65" t="str">
        <f aca="false">IF($A59="","",IF(OR(AND($S59&lt;&gt;"",$S59&gt;=WeekStart),AND($U59&lt;&gt;"",$U59&gt;=WeekStart)),MAX($S59,$U59)+ROW()/100000,""))</f>
        <v/>
      </c>
      <c r="AW59" s="65" t="str">
        <f aca="false">IF($AV59="","",IF($T59&lt;&gt;"",$T59,IF($X59="Closed","Closed","Accepted to "&amp;$X59)))</f>
        <v/>
      </c>
      <c r="AX59" s="65" t="str">
        <f aca="false">IF(AND($Y59&lt;&gt;"",$R59&lt;&gt;""),$AF59+ROW()/100000,"")</f>
        <v/>
      </c>
      <c r="AY59" s="65" t="str">
        <f aca="false">IF(AND($Y59&lt;&gt;"",OR($AB59="Overdue",AND($AH59="Critical",$R59&lt;&gt;""))),$AF59+ROW()/100000,"")</f>
        <v/>
      </c>
      <c r="AZ59" s="65" t="str">
        <f aca="false">IF($AH59="Critical",$AF59+ROW()/100000,"")</f>
        <v/>
      </c>
    </row>
    <row r="60" customFormat="false" ht="15" hidden="false" customHeight="false" outlineLevel="0" collapsed="false">
      <c r="A60" s="28"/>
      <c r="B60" s="28"/>
      <c r="C60" s="28"/>
      <c r="D60" s="28"/>
      <c r="E60" s="28"/>
      <c r="F60" s="28"/>
      <c r="G60" s="63"/>
      <c r="H60" s="63"/>
      <c r="I60" s="63"/>
      <c r="J60" s="28"/>
      <c r="K60" s="28"/>
      <c r="L60" s="28"/>
      <c r="M60" s="28"/>
      <c r="N60" s="28"/>
      <c r="O60" s="64"/>
      <c r="P60" s="64"/>
      <c r="Q60" s="64"/>
      <c r="R60" s="28"/>
      <c r="S60" s="63"/>
      <c r="T60" s="64"/>
      <c r="U60" s="63"/>
      <c r="V60" s="64"/>
      <c r="W60" s="28"/>
      <c r="X60" s="65" t="str">
        <f aca="false">IF($A60="","",IF(OR($T60&lt;&gt;"",$U60&lt;&gt;""),"Closed",IFERROR(INDEX(MapStage,MATCH($C60,MapStatus,0)),"Unmapped")))</f>
        <v/>
      </c>
      <c r="Y60" s="65" t="str">
        <f aca="false">IF(OR($X60="",$X60="Closed",$X60="Unmapped"),"",MATCH($X60,StageName,0))</f>
        <v/>
      </c>
      <c r="Z60" s="65" t="str">
        <f aca="false">IF(OR($Y60="",$I60=""),"",$I60-AsOf)</f>
        <v/>
      </c>
      <c r="AA60" s="65" t="str">
        <f aca="false">IF($A60="","",AsOf-$H60)</f>
        <v/>
      </c>
      <c r="AB60" s="65" t="str">
        <f aca="false">IF($A60="","",IF($X60="Closed","Closed",IF($X60="Unmapped","Unmapped",IF($I60="","No target",IF($Z60&lt;0,"Overdue",IF($Z60&lt;=INDEX(StageWindow,$Y60),"At risk","On track"))))))</f>
        <v/>
      </c>
      <c r="AC60" s="65" t="str">
        <f aca="false">IF($Y60="","",IF($AA60&gt;2*INDEX(StageStale,$Y60),"Stale",IF($AA60&gt;INDEX(StageStale,$Y60),"Aging","Fresh")))</f>
        <v/>
      </c>
      <c r="AD60" s="65" t="str">
        <f aca="false">IF($A60="","",IF(OR(ISNUMBER(SEARCH("Reg report",$J60)),ISNUMBER(SEARCH("No human review",$J60)),COUNTIF(TierFuncs,$D60)&gt;0),"High",IF(OR(TRIM($J60)&lt;&gt;"",ISNUMBER(SEARCH("revenue",$K60))),"Medium","Low")))</f>
        <v/>
      </c>
      <c r="AE60" s="65" t="str">
        <f aca="false">IF($A60="","",INDEX(TierDays,MATCH($AD60,TierName,0)))</f>
        <v/>
      </c>
      <c r="AF60" s="65" t="str">
        <f aca="false">IF($A60="","",AsOf-$G60)</f>
        <v/>
      </c>
      <c r="AG60" s="65" t="str">
        <f aca="false">IF($Y60="","",IF($Y60&lt;=5,IF($AF60&gt;$AE60,"Over","Inside"),"Past approval"))</f>
        <v/>
      </c>
      <c r="AH60" s="65" t="str">
        <f aca="false">IF($Y60="","",CHOOSE($Y60,IF(OR(TRIM($F60)="",ISNUMBER(SEARCH("not named",$F60))),"Critical","Good"),IF($O60&lt;&gt;"Y","Critical",IF($Q60&lt;&gt;"Y","Warning","Good")),IF($P60="","Critical",IF($P60="partial","Warning",IF($P60="ready","Good","Critical"))),IF($R60&lt;&gt;"","Critical","Warning"),IF($L60="","Critical",IF($N60="","Warning","Good")),IF($R60&lt;&gt;"","Critical","Warning"),IF($R60&lt;&gt;"","Critical","Warning"),IF($Q60="Y","Good","Critical")))</f>
        <v/>
      </c>
      <c r="AI60" s="65" t="str">
        <f aca="false">IF($Y60="","",CHOOSE($Y60,IF(OR(TRIM($F60)="",ISNUMBER(SEARCH("not named",$F60))),"Name a sponsor accountable for the value",""),IF($O60&lt;&gt;"Y","State the success metric and the stop condition",IF($Q60&lt;&gt;"Y","Set the baseline the benefit will be measured against","")),IF($P60="","Assess data readiness and regulatory impact",IF($P60="partial","Close the known data gaps",IF($P60="ready","","Data is not available; reshape or park"))),IF($R60&lt;&gt;"",IF(OR(ISNUMBER(SEARCH("mrm",$R60)),ISNUMBER(SEARCH("model",$R60)),ISNUMBER(SEARCH("risk",$R60)),ISNUMBER(SEARCH("legal",$R60)),ISNUMBER(SEARCH("complian",$R60))),"Awaiting ","Held at the design gate: ")&amp;$R60,"Map the governance framework for its tier"),IF($L60="","Size the annual benefit",IF($N60="","Score it so it can be ranked against capacity","")),IF($R60&lt;&gt;"","Build held: "&amp;$R60,"In build, not yet through test"),IF($R60&lt;&gt;"","Not ready to scale: "&amp;$R60,"Monitoring and third-party review not yet signed off"),IF($Q60="Y","","Live without a measured baseline to judge it against")))</f>
        <v/>
      </c>
      <c r="AJ60" s="65" t="str">
        <f aca="false">IF($Y60="","",INDEX(StageForum,$Y60))</f>
        <v/>
      </c>
      <c r="AK60" s="65" t="str">
        <f aca="false">IF($Y60="","",IF(OR($X60="Delivery",$X60="Value"),"Committed",IF($N60&lt;&gt;"","Candidate","")))</f>
        <v/>
      </c>
      <c r="AL60" s="65" t="str">
        <f aca="false">IF($AK60&lt;&gt;"Candidate","",COUNTIFS($AK$2:$AK$501,"Candidate",$N$2:$N$501,"&gt;"&amp;$N60)+COUNTIFS($AK$2:$AK$501,"Candidate",$N$2:$N$501,$N60,$A$2:$A$501,"&lt;"&amp;$A60)+1)</f>
        <v/>
      </c>
      <c r="AM60" s="65" t="str">
        <f aca="false">IF($AL60="","",SUMIFS($M$2:$M$501,$AK$2:$AK$501,"Candidate",$AL$2:$AL$501,"&lt;="&amp;$AL60))</f>
        <v/>
      </c>
      <c r="AN60" s="65" t="str">
        <f aca="false">IF($AL60="","",IF($AM60&lt;=CapacityOpen,"Fits","Below line"))</f>
        <v/>
      </c>
      <c r="AO60" s="65" t="str">
        <f aca="false">IF($A60="","",IF($X60="Closed","",IF($X60="Unmapped","Warning",IF(OR($AB60="Overdue",$V60="Y",$AH60="Critical"),"Critical",IF(OR($AB60="At risk",$AC60="Stale",$AG60="Over"),"Warning","")))))</f>
        <v/>
      </c>
      <c r="AP60" s="65" t="str">
        <f aca="false">IF($AO60="","",IF($AO60="Critical",3000,2000)-IF($Z60="",0,$Z60)+ROW()/100000)</f>
        <v/>
      </c>
      <c r="AQ60" s="65" t="str">
        <f aca="false">IF($AO60="","",IF($X60="Unmapped","Status '"&amp;$C60&amp;"' is not in the Config map",IF($V60="Y","Flagged in Jira",IF($AB60="Overdue",-$Z60&amp;" days past its "&amp;$X60&amp;" target",IF($AH60="Critical",$AI60,IF($AB60="At risk","Target in "&amp;$Z60&amp;" days",IF($AC60="Stale","No update in "&amp;$AA60&amp;" days","Past its "&amp;$AE60&amp;"-day tier window")))))))</f>
        <v/>
      </c>
      <c r="AR60" s="65" t="str">
        <f aca="false">IF($AO60="","","draft Jira update for "&amp;$A60)</f>
        <v/>
      </c>
      <c r="AS60" s="65" t="str">
        <f aca="false">IF($A60="","",HYPERLINK(JiraSite&amp;"/browse/"&amp;$A60,"open"))</f>
        <v/>
      </c>
      <c r="AT60" s="65" t="str">
        <f aca="false">IF($Y60="","",$Y60*1000+ROW())</f>
        <v/>
      </c>
      <c r="AU60" s="65" t="str">
        <f aca="false">IF(AND($A60&lt;&gt;"",$G60&gt;=WeekStart),$G60+ROW()/100000,"")</f>
        <v/>
      </c>
      <c r="AV60" s="65" t="str">
        <f aca="false">IF($A60="","",IF(OR(AND($S60&lt;&gt;"",$S60&gt;=WeekStart),AND($U60&lt;&gt;"",$U60&gt;=WeekStart)),MAX($S60,$U60)+ROW()/100000,""))</f>
        <v/>
      </c>
      <c r="AW60" s="65" t="str">
        <f aca="false">IF($AV60="","",IF($T60&lt;&gt;"",$T60,IF($X60="Closed","Closed","Accepted to "&amp;$X60)))</f>
        <v/>
      </c>
      <c r="AX60" s="65" t="str">
        <f aca="false">IF(AND($Y60&lt;&gt;"",$R60&lt;&gt;""),$AF60+ROW()/100000,"")</f>
        <v/>
      </c>
      <c r="AY60" s="65" t="str">
        <f aca="false">IF(AND($Y60&lt;&gt;"",OR($AB60="Overdue",AND($AH60="Critical",$R60&lt;&gt;""))),$AF60+ROW()/100000,"")</f>
        <v/>
      </c>
      <c r="AZ60" s="65" t="str">
        <f aca="false">IF($AH60="Critical",$AF60+ROW()/100000,"")</f>
        <v/>
      </c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63"/>
      <c r="H61" s="63"/>
      <c r="I61" s="63"/>
      <c r="J61" s="28"/>
      <c r="K61" s="28"/>
      <c r="L61" s="28"/>
      <c r="M61" s="28"/>
      <c r="N61" s="28"/>
      <c r="O61" s="64"/>
      <c r="P61" s="64"/>
      <c r="Q61" s="64"/>
      <c r="R61" s="28"/>
      <c r="S61" s="63"/>
      <c r="T61" s="64"/>
      <c r="U61" s="63"/>
      <c r="V61" s="64"/>
      <c r="W61" s="28"/>
      <c r="X61" s="65" t="str">
        <f aca="false">IF($A61="","",IF(OR($T61&lt;&gt;"",$U61&lt;&gt;""),"Closed",IFERROR(INDEX(MapStage,MATCH($C61,MapStatus,0)),"Unmapped")))</f>
        <v/>
      </c>
      <c r="Y61" s="65" t="str">
        <f aca="false">IF(OR($X61="",$X61="Closed",$X61="Unmapped"),"",MATCH($X61,StageName,0))</f>
        <v/>
      </c>
      <c r="Z61" s="65" t="str">
        <f aca="false">IF(OR($Y61="",$I61=""),"",$I61-AsOf)</f>
        <v/>
      </c>
      <c r="AA61" s="65" t="str">
        <f aca="false">IF($A61="","",AsOf-$H61)</f>
        <v/>
      </c>
      <c r="AB61" s="65" t="str">
        <f aca="false">IF($A61="","",IF($X61="Closed","Closed",IF($X61="Unmapped","Unmapped",IF($I61="","No target",IF($Z61&lt;0,"Overdue",IF($Z61&lt;=INDEX(StageWindow,$Y61),"At risk","On track"))))))</f>
        <v/>
      </c>
      <c r="AC61" s="65" t="str">
        <f aca="false">IF($Y61="","",IF($AA61&gt;2*INDEX(StageStale,$Y61),"Stale",IF($AA61&gt;INDEX(StageStale,$Y61),"Aging","Fresh")))</f>
        <v/>
      </c>
      <c r="AD61" s="65" t="str">
        <f aca="false">IF($A61="","",IF(OR(ISNUMBER(SEARCH("Reg report",$J61)),ISNUMBER(SEARCH("No human review",$J61)),COUNTIF(TierFuncs,$D61)&gt;0),"High",IF(OR(TRIM($J61)&lt;&gt;"",ISNUMBER(SEARCH("revenue",$K61))),"Medium","Low")))</f>
        <v/>
      </c>
      <c r="AE61" s="65" t="str">
        <f aca="false">IF($A61="","",INDEX(TierDays,MATCH($AD61,TierName,0)))</f>
        <v/>
      </c>
      <c r="AF61" s="65" t="str">
        <f aca="false">IF($A61="","",AsOf-$G61)</f>
        <v/>
      </c>
      <c r="AG61" s="65" t="str">
        <f aca="false">IF($Y61="","",IF($Y61&lt;=5,IF($AF61&gt;$AE61,"Over","Inside"),"Past approval"))</f>
        <v/>
      </c>
      <c r="AH61" s="65" t="str">
        <f aca="false">IF($Y61="","",CHOOSE($Y61,IF(OR(TRIM($F61)="",ISNUMBER(SEARCH("not named",$F61))),"Critical","Good"),IF($O61&lt;&gt;"Y","Critical",IF($Q61&lt;&gt;"Y","Warning","Good")),IF($P61="","Critical",IF($P61="partial","Warning",IF($P61="ready","Good","Critical"))),IF($R61&lt;&gt;"","Critical","Warning"),IF($L61="","Critical",IF($N61="","Warning","Good")),IF($R61&lt;&gt;"","Critical","Warning"),IF($R61&lt;&gt;"","Critical","Warning"),IF($Q61="Y","Good","Critical")))</f>
        <v/>
      </c>
      <c r="AI61" s="65" t="str">
        <f aca="false">IF($Y61="","",CHOOSE($Y61,IF(OR(TRIM($F61)="",ISNUMBER(SEARCH("not named",$F61))),"Name a sponsor accountable for the value",""),IF($O61&lt;&gt;"Y","State the success metric and the stop condition",IF($Q61&lt;&gt;"Y","Set the baseline the benefit will be measured against","")),IF($P61="","Assess data readiness and regulatory impact",IF($P61="partial","Close the known data gaps",IF($P61="ready","","Data is not available; reshape or park"))),IF($R61&lt;&gt;"",IF(OR(ISNUMBER(SEARCH("mrm",$R61)),ISNUMBER(SEARCH("model",$R61)),ISNUMBER(SEARCH("risk",$R61)),ISNUMBER(SEARCH("legal",$R61)),ISNUMBER(SEARCH("complian",$R61))),"Awaiting ","Held at the design gate: ")&amp;$R61,"Map the governance framework for its tier"),IF($L61="","Size the annual benefit",IF($N61="","Score it so it can be ranked against capacity","")),IF($R61&lt;&gt;"","Build held: "&amp;$R61,"In build, not yet through test"),IF($R61&lt;&gt;"","Not ready to scale: "&amp;$R61,"Monitoring and third-party review not yet signed off"),IF($Q61="Y","","Live without a measured baseline to judge it against")))</f>
        <v/>
      </c>
      <c r="AJ61" s="65" t="str">
        <f aca="false">IF($Y61="","",INDEX(StageForum,$Y61))</f>
        <v/>
      </c>
      <c r="AK61" s="65" t="str">
        <f aca="false">IF($Y61="","",IF(OR($X61="Delivery",$X61="Value"),"Committed",IF($N61&lt;&gt;"","Candidate","")))</f>
        <v/>
      </c>
      <c r="AL61" s="65" t="str">
        <f aca="false">IF($AK61&lt;&gt;"Candidate","",COUNTIFS($AK$2:$AK$501,"Candidate",$N$2:$N$501,"&gt;"&amp;$N61)+COUNTIFS($AK$2:$AK$501,"Candidate",$N$2:$N$501,$N61,$A$2:$A$501,"&lt;"&amp;$A61)+1)</f>
        <v/>
      </c>
      <c r="AM61" s="65" t="str">
        <f aca="false">IF($AL61="","",SUMIFS($M$2:$M$501,$AK$2:$AK$501,"Candidate",$AL$2:$AL$501,"&lt;="&amp;$AL61))</f>
        <v/>
      </c>
      <c r="AN61" s="65" t="str">
        <f aca="false">IF($AL61="","",IF($AM61&lt;=CapacityOpen,"Fits","Below line"))</f>
        <v/>
      </c>
      <c r="AO61" s="65" t="str">
        <f aca="false">IF($A61="","",IF($X61="Closed","",IF($X61="Unmapped","Warning",IF(OR($AB61="Overdue",$V61="Y",$AH61="Critical"),"Critical",IF(OR($AB61="At risk",$AC61="Stale",$AG61="Over"),"Warning","")))))</f>
        <v/>
      </c>
      <c r="AP61" s="65" t="str">
        <f aca="false">IF($AO61="","",IF($AO61="Critical",3000,2000)-IF($Z61="",0,$Z61)+ROW()/100000)</f>
        <v/>
      </c>
      <c r="AQ61" s="65" t="str">
        <f aca="false">IF($AO61="","",IF($X61="Unmapped","Status '"&amp;$C61&amp;"' is not in the Config map",IF($V61="Y","Flagged in Jira",IF($AB61="Overdue",-$Z61&amp;" days past its "&amp;$X61&amp;" target",IF($AH61="Critical",$AI61,IF($AB61="At risk","Target in "&amp;$Z61&amp;" days",IF($AC61="Stale","No update in "&amp;$AA61&amp;" days","Past its "&amp;$AE61&amp;"-day tier window")))))))</f>
        <v/>
      </c>
      <c r="AR61" s="65" t="str">
        <f aca="false">IF($AO61="","","draft Jira update for "&amp;$A61)</f>
        <v/>
      </c>
      <c r="AS61" s="65" t="str">
        <f aca="false">IF($A61="","",HYPERLINK(JiraSite&amp;"/browse/"&amp;$A61,"open"))</f>
        <v/>
      </c>
      <c r="AT61" s="65" t="str">
        <f aca="false">IF($Y61="","",$Y61*1000+ROW())</f>
        <v/>
      </c>
      <c r="AU61" s="65" t="str">
        <f aca="false">IF(AND($A61&lt;&gt;"",$G61&gt;=WeekStart),$G61+ROW()/100000,"")</f>
        <v/>
      </c>
      <c r="AV61" s="65" t="str">
        <f aca="false">IF($A61="","",IF(OR(AND($S61&lt;&gt;"",$S61&gt;=WeekStart),AND($U61&lt;&gt;"",$U61&gt;=WeekStart)),MAX($S61,$U61)+ROW()/100000,""))</f>
        <v/>
      </c>
      <c r="AW61" s="65" t="str">
        <f aca="false">IF($AV61="","",IF($T61&lt;&gt;"",$T61,IF($X61="Closed","Closed","Accepted to "&amp;$X61)))</f>
        <v/>
      </c>
      <c r="AX61" s="65" t="str">
        <f aca="false">IF(AND($Y61&lt;&gt;"",$R61&lt;&gt;""),$AF61+ROW()/100000,"")</f>
        <v/>
      </c>
      <c r="AY61" s="65" t="str">
        <f aca="false">IF(AND($Y61&lt;&gt;"",OR($AB61="Overdue",AND($AH61="Critical",$R61&lt;&gt;""))),$AF61+ROW()/100000,"")</f>
        <v/>
      </c>
      <c r="AZ61" s="65" t="str">
        <f aca="false">IF($AH61="Critical",$AF61+ROW()/100000,"")</f>
        <v/>
      </c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63"/>
      <c r="H62" s="63"/>
      <c r="I62" s="63"/>
      <c r="J62" s="28"/>
      <c r="K62" s="28"/>
      <c r="L62" s="28"/>
      <c r="M62" s="28"/>
      <c r="N62" s="28"/>
      <c r="O62" s="64"/>
      <c r="P62" s="64"/>
      <c r="Q62" s="64"/>
      <c r="R62" s="28"/>
      <c r="S62" s="63"/>
      <c r="T62" s="64"/>
      <c r="U62" s="63"/>
      <c r="V62" s="64"/>
      <c r="W62" s="28"/>
      <c r="X62" s="65" t="str">
        <f aca="false">IF($A62="","",IF(OR($T62&lt;&gt;"",$U62&lt;&gt;""),"Closed",IFERROR(INDEX(MapStage,MATCH($C62,MapStatus,0)),"Unmapped")))</f>
        <v/>
      </c>
      <c r="Y62" s="65" t="str">
        <f aca="false">IF(OR($X62="",$X62="Closed",$X62="Unmapped"),"",MATCH($X62,StageName,0))</f>
        <v/>
      </c>
      <c r="Z62" s="65" t="str">
        <f aca="false">IF(OR($Y62="",$I62=""),"",$I62-AsOf)</f>
        <v/>
      </c>
      <c r="AA62" s="65" t="str">
        <f aca="false">IF($A62="","",AsOf-$H62)</f>
        <v/>
      </c>
      <c r="AB62" s="65" t="str">
        <f aca="false">IF($A62="","",IF($X62="Closed","Closed",IF($X62="Unmapped","Unmapped",IF($I62="","No target",IF($Z62&lt;0,"Overdue",IF($Z62&lt;=INDEX(StageWindow,$Y62),"At risk","On track"))))))</f>
        <v/>
      </c>
      <c r="AC62" s="65" t="str">
        <f aca="false">IF($Y62="","",IF($AA62&gt;2*INDEX(StageStale,$Y62),"Stale",IF($AA62&gt;INDEX(StageStale,$Y62),"Aging","Fresh")))</f>
        <v/>
      </c>
      <c r="AD62" s="65" t="str">
        <f aca="false">IF($A62="","",IF(OR(ISNUMBER(SEARCH("Reg report",$J62)),ISNUMBER(SEARCH("No human review",$J62)),COUNTIF(TierFuncs,$D62)&gt;0),"High",IF(OR(TRIM($J62)&lt;&gt;"",ISNUMBER(SEARCH("revenue",$K62))),"Medium","Low")))</f>
        <v/>
      </c>
      <c r="AE62" s="65" t="str">
        <f aca="false">IF($A62="","",INDEX(TierDays,MATCH($AD62,TierName,0)))</f>
        <v/>
      </c>
      <c r="AF62" s="65" t="str">
        <f aca="false">IF($A62="","",AsOf-$G62)</f>
        <v/>
      </c>
      <c r="AG62" s="65" t="str">
        <f aca="false">IF($Y62="","",IF($Y62&lt;=5,IF($AF62&gt;$AE62,"Over","Inside"),"Past approval"))</f>
        <v/>
      </c>
      <c r="AH62" s="65" t="str">
        <f aca="false">IF($Y62="","",CHOOSE($Y62,IF(OR(TRIM($F62)="",ISNUMBER(SEARCH("not named",$F62))),"Critical","Good"),IF($O62&lt;&gt;"Y","Critical",IF($Q62&lt;&gt;"Y","Warning","Good")),IF($P62="","Critical",IF($P62="partial","Warning",IF($P62="ready","Good","Critical"))),IF($R62&lt;&gt;"","Critical","Warning"),IF($L62="","Critical",IF($N62="","Warning","Good")),IF($R62&lt;&gt;"","Critical","Warning"),IF($R62&lt;&gt;"","Critical","Warning"),IF($Q62="Y","Good","Critical")))</f>
        <v/>
      </c>
      <c r="AI62" s="65" t="str">
        <f aca="false">IF($Y62="","",CHOOSE($Y62,IF(OR(TRIM($F62)="",ISNUMBER(SEARCH("not named",$F62))),"Name a sponsor accountable for the value",""),IF($O62&lt;&gt;"Y","State the success metric and the stop condition",IF($Q62&lt;&gt;"Y","Set the baseline the benefit will be measured against","")),IF($P62="","Assess data readiness and regulatory impact",IF($P62="partial","Close the known data gaps",IF($P62="ready","","Data is not available; reshape or park"))),IF($R62&lt;&gt;"",IF(OR(ISNUMBER(SEARCH("mrm",$R62)),ISNUMBER(SEARCH("model",$R62)),ISNUMBER(SEARCH("risk",$R62)),ISNUMBER(SEARCH("legal",$R62)),ISNUMBER(SEARCH("complian",$R62))),"Awaiting ","Held at the design gate: ")&amp;$R62,"Map the governance framework for its tier"),IF($L62="","Size the annual benefit",IF($N62="","Score it so it can be ranked against capacity","")),IF($R62&lt;&gt;"","Build held: "&amp;$R62,"In build, not yet through test"),IF($R62&lt;&gt;"","Not ready to scale: "&amp;$R62,"Monitoring and third-party review not yet signed off"),IF($Q62="Y","","Live without a measured baseline to judge it against")))</f>
        <v/>
      </c>
      <c r="AJ62" s="65" t="str">
        <f aca="false">IF($Y62="","",INDEX(StageForum,$Y62))</f>
        <v/>
      </c>
      <c r="AK62" s="65" t="str">
        <f aca="false">IF($Y62="","",IF(OR($X62="Delivery",$X62="Value"),"Committed",IF($N62&lt;&gt;"","Candidate","")))</f>
        <v/>
      </c>
      <c r="AL62" s="65" t="str">
        <f aca="false">IF($AK62&lt;&gt;"Candidate","",COUNTIFS($AK$2:$AK$501,"Candidate",$N$2:$N$501,"&gt;"&amp;$N62)+COUNTIFS($AK$2:$AK$501,"Candidate",$N$2:$N$501,$N62,$A$2:$A$501,"&lt;"&amp;$A62)+1)</f>
        <v/>
      </c>
      <c r="AM62" s="65" t="str">
        <f aca="false">IF($AL62="","",SUMIFS($M$2:$M$501,$AK$2:$AK$501,"Candidate",$AL$2:$AL$501,"&lt;="&amp;$AL62))</f>
        <v/>
      </c>
      <c r="AN62" s="65" t="str">
        <f aca="false">IF($AL62="","",IF($AM62&lt;=CapacityOpen,"Fits","Below line"))</f>
        <v/>
      </c>
      <c r="AO62" s="65" t="str">
        <f aca="false">IF($A62="","",IF($X62="Closed","",IF($X62="Unmapped","Warning",IF(OR($AB62="Overdue",$V62="Y",$AH62="Critical"),"Critical",IF(OR($AB62="At risk",$AC62="Stale",$AG62="Over"),"Warning","")))))</f>
        <v/>
      </c>
      <c r="AP62" s="65" t="str">
        <f aca="false">IF($AO62="","",IF($AO62="Critical",3000,2000)-IF($Z62="",0,$Z62)+ROW()/100000)</f>
        <v/>
      </c>
      <c r="AQ62" s="65" t="str">
        <f aca="false">IF($AO62="","",IF($X62="Unmapped","Status '"&amp;$C62&amp;"' is not in the Config map",IF($V62="Y","Flagged in Jira",IF($AB62="Overdue",-$Z62&amp;" days past its "&amp;$X62&amp;" target",IF($AH62="Critical",$AI62,IF($AB62="At risk","Target in "&amp;$Z62&amp;" days",IF($AC62="Stale","No update in "&amp;$AA62&amp;" days","Past its "&amp;$AE62&amp;"-day tier window")))))))</f>
        <v/>
      </c>
      <c r="AR62" s="65" t="str">
        <f aca="false">IF($AO62="","","draft Jira update for "&amp;$A62)</f>
        <v/>
      </c>
      <c r="AS62" s="65" t="str">
        <f aca="false">IF($A62="","",HYPERLINK(JiraSite&amp;"/browse/"&amp;$A62,"open"))</f>
        <v/>
      </c>
      <c r="AT62" s="65" t="str">
        <f aca="false">IF($Y62="","",$Y62*1000+ROW())</f>
        <v/>
      </c>
      <c r="AU62" s="65" t="str">
        <f aca="false">IF(AND($A62&lt;&gt;"",$G62&gt;=WeekStart),$G62+ROW()/100000,"")</f>
        <v/>
      </c>
      <c r="AV62" s="65" t="str">
        <f aca="false">IF($A62="","",IF(OR(AND($S62&lt;&gt;"",$S62&gt;=WeekStart),AND($U62&lt;&gt;"",$U62&gt;=WeekStart)),MAX($S62,$U62)+ROW()/100000,""))</f>
        <v/>
      </c>
      <c r="AW62" s="65" t="str">
        <f aca="false">IF($AV62="","",IF($T62&lt;&gt;"",$T62,IF($X62="Closed","Closed","Accepted to "&amp;$X62)))</f>
        <v/>
      </c>
      <c r="AX62" s="65" t="str">
        <f aca="false">IF(AND($Y62&lt;&gt;"",$R62&lt;&gt;""),$AF62+ROW()/100000,"")</f>
        <v/>
      </c>
      <c r="AY62" s="65" t="str">
        <f aca="false">IF(AND($Y62&lt;&gt;"",OR($AB62="Overdue",AND($AH62="Critical",$R62&lt;&gt;""))),$AF62+ROW()/100000,"")</f>
        <v/>
      </c>
      <c r="AZ62" s="65" t="str">
        <f aca="false">IF($AH62="Critical",$AF62+ROW()/100000,"")</f>
        <v/>
      </c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63"/>
      <c r="H63" s="63"/>
      <c r="I63" s="63"/>
      <c r="J63" s="28"/>
      <c r="K63" s="28"/>
      <c r="L63" s="28"/>
      <c r="M63" s="28"/>
      <c r="N63" s="28"/>
      <c r="O63" s="64"/>
      <c r="P63" s="64"/>
      <c r="Q63" s="64"/>
      <c r="R63" s="28"/>
      <c r="S63" s="63"/>
      <c r="T63" s="64"/>
      <c r="U63" s="63"/>
      <c r="V63" s="64"/>
      <c r="W63" s="28"/>
      <c r="X63" s="65" t="str">
        <f aca="false">IF($A63="","",IF(OR($T63&lt;&gt;"",$U63&lt;&gt;""),"Closed",IFERROR(INDEX(MapStage,MATCH($C63,MapStatus,0)),"Unmapped")))</f>
        <v/>
      </c>
      <c r="Y63" s="65" t="str">
        <f aca="false">IF(OR($X63="",$X63="Closed",$X63="Unmapped"),"",MATCH($X63,StageName,0))</f>
        <v/>
      </c>
      <c r="Z63" s="65" t="str">
        <f aca="false">IF(OR($Y63="",$I63=""),"",$I63-AsOf)</f>
        <v/>
      </c>
      <c r="AA63" s="65" t="str">
        <f aca="false">IF($A63="","",AsOf-$H63)</f>
        <v/>
      </c>
      <c r="AB63" s="65" t="str">
        <f aca="false">IF($A63="","",IF($X63="Closed","Closed",IF($X63="Unmapped","Unmapped",IF($I63="","No target",IF($Z63&lt;0,"Overdue",IF($Z63&lt;=INDEX(StageWindow,$Y63),"At risk","On track"))))))</f>
        <v/>
      </c>
      <c r="AC63" s="65" t="str">
        <f aca="false">IF($Y63="","",IF($AA63&gt;2*INDEX(StageStale,$Y63),"Stale",IF($AA63&gt;INDEX(StageStale,$Y63),"Aging","Fresh")))</f>
        <v/>
      </c>
      <c r="AD63" s="65" t="str">
        <f aca="false">IF($A63="","",IF(OR(ISNUMBER(SEARCH("Reg report",$J63)),ISNUMBER(SEARCH("No human review",$J63)),COUNTIF(TierFuncs,$D63)&gt;0),"High",IF(OR(TRIM($J63)&lt;&gt;"",ISNUMBER(SEARCH("revenue",$K63))),"Medium","Low")))</f>
        <v/>
      </c>
      <c r="AE63" s="65" t="str">
        <f aca="false">IF($A63="","",INDEX(TierDays,MATCH($AD63,TierName,0)))</f>
        <v/>
      </c>
      <c r="AF63" s="65" t="str">
        <f aca="false">IF($A63="","",AsOf-$G63)</f>
        <v/>
      </c>
      <c r="AG63" s="65" t="str">
        <f aca="false">IF($Y63="","",IF($Y63&lt;=5,IF($AF63&gt;$AE63,"Over","Inside"),"Past approval"))</f>
        <v/>
      </c>
      <c r="AH63" s="65" t="str">
        <f aca="false">IF($Y63="","",CHOOSE($Y63,IF(OR(TRIM($F63)="",ISNUMBER(SEARCH("not named",$F63))),"Critical","Good"),IF($O63&lt;&gt;"Y","Critical",IF($Q63&lt;&gt;"Y","Warning","Good")),IF($P63="","Critical",IF($P63="partial","Warning",IF($P63="ready","Good","Critical"))),IF($R63&lt;&gt;"","Critical","Warning"),IF($L63="","Critical",IF($N63="","Warning","Good")),IF($R63&lt;&gt;"","Critical","Warning"),IF($R63&lt;&gt;"","Critical","Warning"),IF($Q63="Y","Good","Critical")))</f>
        <v/>
      </c>
      <c r="AI63" s="65" t="str">
        <f aca="false">IF($Y63="","",CHOOSE($Y63,IF(OR(TRIM($F63)="",ISNUMBER(SEARCH("not named",$F63))),"Name a sponsor accountable for the value",""),IF($O63&lt;&gt;"Y","State the success metric and the stop condition",IF($Q63&lt;&gt;"Y","Set the baseline the benefit will be measured against","")),IF($P63="","Assess data readiness and regulatory impact",IF($P63="partial","Close the known data gaps",IF($P63="ready","","Data is not available; reshape or park"))),IF($R63&lt;&gt;"",IF(OR(ISNUMBER(SEARCH("mrm",$R63)),ISNUMBER(SEARCH("model",$R63)),ISNUMBER(SEARCH("risk",$R63)),ISNUMBER(SEARCH("legal",$R63)),ISNUMBER(SEARCH("complian",$R63))),"Awaiting ","Held at the design gate: ")&amp;$R63,"Map the governance framework for its tier"),IF($L63="","Size the annual benefit",IF($N63="","Score it so it can be ranked against capacity","")),IF($R63&lt;&gt;"","Build held: "&amp;$R63,"In build, not yet through test"),IF($R63&lt;&gt;"","Not ready to scale: "&amp;$R63,"Monitoring and third-party review not yet signed off"),IF($Q63="Y","","Live without a measured baseline to judge it against")))</f>
        <v/>
      </c>
      <c r="AJ63" s="65" t="str">
        <f aca="false">IF($Y63="","",INDEX(StageForum,$Y63))</f>
        <v/>
      </c>
      <c r="AK63" s="65" t="str">
        <f aca="false">IF($Y63="","",IF(OR($X63="Delivery",$X63="Value"),"Committed",IF($N63&lt;&gt;"","Candidate","")))</f>
        <v/>
      </c>
      <c r="AL63" s="65" t="str">
        <f aca="false">IF($AK63&lt;&gt;"Candidate","",COUNTIFS($AK$2:$AK$501,"Candidate",$N$2:$N$501,"&gt;"&amp;$N63)+COUNTIFS($AK$2:$AK$501,"Candidate",$N$2:$N$501,$N63,$A$2:$A$501,"&lt;"&amp;$A63)+1)</f>
        <v/>
      </c>
      <c r="AM63" s="65" t="str">
        <f aca="false">IF($AL63="","",SUMIFS($M$2:$M$501,$AK$2:$AK$501,"Candidate",$AL$2:$AL$501,"&lt;="&amp;$AL63))</f>
        <v/>
      </c>
      <c r="AN63" s="65" t="str">
        <f aca="false">IF($AL63="","",IF($AM63&lt;=CapacityOpen,"Fits","Below line"))</f>
        <v/>
      </c>
      <c r="AO63" s="65" t="str">
        <f aca="false">IF($A63="","",IF($X63="Closed","",IF($X63="Unmapped","Warning",IF(OR($AB63="Overdue",$V63="Y",$AH63="Critical"),"Critical",IF(OR($AB63="At risk",$AC63="Stale",$AG63="Over"),"Warning","")))))</f>
        <v/>
      </c>
      <c r="AP63" s="65" t="str">
        <f aca="false">IF($AO63="","",IF($AO63="Critical",3000,2000)-IF($Z63="",0,$Z63)+ROW()/100000)</f>
        <v/>
      </c>
      <c r="AQ63" s="65" t="str">
        <f aca="false">IF($AO63="","",IF($X63="Unmapped","Status '"&amp;$C63&amp;"' is not in the Config map",IF($V63="Y","Flagged in Jira",IF($AB63="Overdue",-$Z63&amp;" days past its "&amp;$X63&amp;" target",IF($AH63="Critical",$AI63,IF($AB63="At risk","Target in "&amp;$Z63&amp;" days",IF($AC63="Stale","No update in "&amp;$AA63&amp;" days","Past its "&amp;$AE63&amp;"-day tier window")))))))</f>
        <v/>
      </c>
      <c r="AR63" s="65" t="str">
        <f aca="false">IF($AO63="","","draft Jira update for "&amp;$A63)</f>
        <v/>
      </c>
      <c r="AS63" s="65" t="str">
        <f aca="false">IF($A63="","",HYPERLINK(JiraSite&amp;"/browse/"&amp;$A63,"open"))</f>
        <v/>
      </c>
      <c r="AT63" s="65" t="str">
        <f aca="false">IF($Y63="","",$Y63*1000+ROW())</f>
        <v/>
      </c>
      <c r="AU63" s="65" t="str">
        <f aca="false">IF(AND($A63&lt;&gt;"",$G63&gt;=WeekStart),$G63+ROW()/100000,"")</f>
        <v/>
      </c>
      <c r="AV63" s="65" t="str">
        <f aca="false">IF($A63="","",IF(OR(AND($S63&lt;&gt;"",$S63&gt;=WeekStart),AND($U63&lt;&gt;"",$U63&gt;=WeekStart)),MAX($S63,$U63)+ROW()/100000,""))</f>
        <v/>
      </c>
      <c r="AW63" s="65" t="str">
        <f aca="false">IF($AV63="","",IF($T63&lt;&gt;"",$T63,IF($X63="Closed","Closed","Accepted to "&amp;$X63)))</f>
        <v/>
      </c>
      <c r="AX63" s="65" t="str">
        <f aca="false">IF(AND($Y63&lt;&gt;"",$R63&lt;&gt;""),$AF63+ROW()/100000,"")</f>
        <v/>
      </c>
      <c r="AY63" s="65" t="str">
        <f aca="false">IF(AND($Y63&lt;&gt;"",OR($AB63="Overdue",AND($AH63="Critical",$R63&lt;&gt;""))),$AF63+ROW()/100000,"")</f>
        <v/>
      </c>
      <c r="AZ63" s="65" t="str">
        <f aca="false">IF($AH63="Critical",$AF63+ROW()/100000,"")</f>
        <v/>
      </c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63"/>
      <c r="H64" s="63"/>
      <c r="I64" s="63"/>
      <c r="J64" s="28"/>
      <c r="K64" s="28"/>
      <c r="L64" s="28"/>
      <c r="M64" s="28"/>
      <c r="N64" s="28"/>
      <c r="O64" s="64"/>
      <c r="P64" s="64"/>
      <c r="Q64" s="64"/>
      <c r="R64" s="28"/>
      <c r="S64" s="63"/>
      <c r="T64" s="64"/>
      <c r="U64" s="63"/>
      <c r="V64" s="64"/>
      <c r="W64" s="28"/>
      <c r="X64" s="65" t="str">
        <f aca="false">IF($A64="","",IF(OR($T64&lt;&gt;"",$U64&lt;&gt;""),"Closed",IFERROR(INDEX(MapStage,MATCH($C64,MapStatus,0)),"Unmapped")))</f>
        <v/>
      </c>
      <c r="Y64" s="65" t="str">
        <f aca="false">IF(OR($X64="",$X64="Closed",$X64="Unmapped"),"",MATCH($X64,StageName,0))</f>
        <v/>
      </c>
      <c r="Z64" s="65" t="str">
        <f aca="false">IF(OR($Y64="",$I64=""),"",$I64-AsOf)</f>
        <v/>
      </c>
      <c r="AA64" s="65" t="str">
        <f aca="false">IF($A64="","",AsOf-$H64)</f>
        <v/>
      </c>
      <c r="AB64" s="65" t="str">
        <f aca="false">IF($A64="","",IF($X64="Closed","Closed",IF($X64="Unmapped","Unmapped",IF($I64="","No target",IF($Z64&lt;0,"Overdue",IF($Z64&lt;=INDEX(StageWindow,$Y64),"At risk","On track"))))))</f>
        <v/>
      </c>
      <c r="AC64" s="65" t="str">
        <f aca="false">IF($Y64="","",IF($AA64&gt;2*INDEX(StageStale,$Y64),"Stale",IF($AA64&gt;INDEX(StageStale,$Y64),"Aging","Fresh")))</f>
        <v/>
      </c>
      <c r="AD64" s="65" t="str">
        <f aca="false">IF($A64="","",IF(OR(ISNUMBER(SEARCH("Reg report",$J64)),ISNUMBER(SEARCH("No human review",$J64)),COUNTIF(TierFuncs,$D64)&gt;0),"High",IF(OR(TRIM($J64)&lt;&gt;"",ISNUMBER(SEARCH("revenue",$K64))),"Medium","Low")))</f>
        <v/>
      </c>
      <c r="AE64" s="65" t="str">
        <f aca="false">IF($A64="","",INDEX(TierDays,MATCH($AD64,TierName,0)))</f>
        <v/>
      </c>
      <c r="AF64" s="65" t="str">
        <f aca="false">IF($A64="","",AsOf-$G64)</f>
        <v/>
      </c>
      <c r="AG64" s="65" t="str">
        <f aca="false">IF($Y64="","",IF($Y64&lt;=5,IF($AF64&gt;$AE64,"Over","Inside"),"Past approval"))</f>
        <v/>
      </c>
      <c r="AH64" s="65" t="str">
        <f aca="false">IF($Y64="","",CHOOSE($Y64,IF(OR(TRIM($F64)="",ISNUMBER(SEARCH("not named",$F64))),"Critical","Good"),IF($O64&lt;&gt;"Y","Critical",IF($Q64&lt;&gt;"Y","Warning","Good")),IF($P64="","Critical",IF($P64="partial","Warning",IF($P64="ready","Good","Critical"))),IF($R64&lt;&gt;"","Critical","Warning"),IF($L64="","Critical",IF($N64="","Warning","Good")),IF($R64&lt;&gt;"","Critical","Warning"),IF($R64&lt;&gt;"","Critical","Warning"),IF($Q64="Y","Good","Critical")))</f>
        <v/>
      </c>
      <c r="AI64" s="65" t="str">
        <f aca="false">IF($Y64="","",CHOOSE($Y64,IF(OR(TRIM($F64)="",ISNUMBER(SEARCH("not named",$F64))),"Name a sponsor accountable for the value",""),IF($O64&lt;&gt;"Y","State the success metric and the stop condition",IF($Q64&lt;&gt;"Y","Set the baseline the benefit will be measured against","")),IF($P64="","Assess data readiness and regulatory impact",IF($P64="partial","Close the known data gaps",IF($P64="ready","","Data is not available; reshape or park"))),IF($R64&lt;&gt;"",IF(OR(ISNUMBER(SEARCH("mrm",$R64)),ISNUMBER(SEARCH("model",$R64)),ISNUMBER(SEARCH("risk",$R64)),ISNUMBER(SEARCH("legal",$R64)),ISNUMBER(SEARCH("complian",$R64))),"Awaiting ","Held at the design gate: ")&amp;$R64,"Map the governance framework for its tier"),IF($L64="","Size the annual benefit",IF($N64="","Score it so it can be ranked against capacity","")),IF($R64&lt;&gt;"","Build held: "&amp;$R64,"In build, not yet through test"),IF($R64&lt;&gt;"","Not ready to scale: "&amp;$R64,"Monitoring and third-party review not yet signed off"),IF($Q64="Y","","Live without a measured baseline to judge it against")))</f>
        <v/>
      </c>
      <c r="AJ64" s="65" t="str">
        <f aca="false">IF($Y64="","",INDEX(StageForum,$Y64))</f>
        <v/>
      </c>
      <c r="AK64" s="65" t="str">
        <f aca="false">IF($Y64="","",IF(OR($X64="Delivery",$X64="Value"),"Committed",IF($N64&lt;&gt;"","Candidate","")))</f>
        <v/>
      </c>
      <c r="AL64" s="65" t="str">
        <f aca="false">IF($AK64&lt;&gt;"Candidate","",COUNTIFS($AK$2:$AK$501,"Candidate",$N$2:$N$501,"&gt;"&amp;$N64)+COUNTIFS($AK$2:$AK$501,"Candidate",$N$2:$N$501,$N64,$A$2:$A$501,"&lt;"&amp;$A64)+1)</f>
        <v/>
      </c>
      <c r="AM64" s="65" t="str">
        <f aca="false">IF($AL64="","",SUMIFS($M$2:$M$501,$AK$2:$AK$501,"Candidate",$AL$2:$AL$501,"&lt;="&amp;$AL64))</f>
        <v/>
      </c>
      <c r="AN64" s="65" t="str">
        <f aca="false">IF($AL64="","",IF($AM64&lt;=CapacityOpen,"Fits","Below line"))</f>
        <v/>
      </c>
      <c r="AO64" s="65" t="str">
        <f aca="false">IF($A64="","",IF($X64="Closed","",IF($X64="Unmapped","Warning",IF(OR($AB64="Overdue",$V64="Y",$AH64="Critical"),"Critical",IF(OR($AB64="At risk",$AC64="Stale",$AG64="Over"),"Warning","")))))</f>
        <v/>
      </c>
      <c r="AP64" s="65" t="str">
        <f aca="false">IF($AO64="","",IF($AO64="Critical",3000,2000)-IF($Z64="",0,$Z64)+ROW()/100000)</f>
        <v/>
      </c>
      <c r="AQ64" s="65" t="str">
        <f aca="false">IF($AO64="","",IF($X64="Unmapped","Status '"&amp;$C64&amp;"' is not in the Config map",IF($V64="Y","Flagged in Jira",IF($AB64="Overdue",-$Z64&amp;" days past its "&amp;$X64&amp;" target",IF($AH64="Critical",$AI64,IF($AB64="At risk","Target in "&amp;$Z64&amp;" days",IF($AC64="Stale","No update in "&amp;$AA64&amp;" days","Past its "&amp;$AE64&amp;"-day tier window")))))))</f>
        <v/>
      </c>
      <c r="AR64" s="65" t="str">
        <f aca="false">IF($AO64="","","draft Jira update for "&amp;$A64)</f>
        <v/>
      </c>
      <c r="AS64" s="65" t="str">
        <f aca="false">IF($A64="","",HYPERLINK(JiraSite&amp;"/browse/"&amp;$A64,"open"))</f>
        <v/>
      </c>
      <c r="AT64" s="65" t="str">
        <f aca="false">IF($Y64="","",$Y64*1000+ROW())</f>
        <v/>
      </c>
      <c r="AU64" s="65" t="str">
        <f aca="false">IF(AND($A64&lt;&gt;"",$G64&gt;=WeekStart),$G64+ROW()/100000,"")</f>
        <v/>
      </c>
      <c r="AV64" s="65" t="str">
        <f aca="false">IF($A64="","",IF(OR(AND($S64&lt;&gt;"",$S64&gt;=WeekStart),AND($U64&lt;&gt;"",$U64&gt;=WeekStart)),MAX($S64,$U64)+ROW()/100000,""))</f>
        <v/>
      </c>
      <c r="AW64" s="65" t="str">
        <f aca="false">IF($AV64="","",IF($T64&lt;&gt;"",$T64,IF($X64="Closed","Closed","Accepted to "&amp;$X64)))</f>
        <v/>
      </c>
      <c r="AX64" s="65" t="str">
        <f aca="false">IF(AND($Y64&lt;&gt;"",$R64&lt;&gt;""),$AF64+ROW()/100000,"")</f>
        <v/>
      </c>
      <c r="AY64" s="65" t="str">
        <f aca="false">IF(AND($Y64&lt;&gt;"",OR($AB64="Overdue",AND($AH64="Critical",$R64&lt;&gt;""))),$AF64+ROW()/100000,"")</f>
        <v/>
      </c>
      <c r="AZ64" s="65" t="str">
        <f aca="false">IF($AH64="Critical",$AF64+ROW()/100000,"")</f>
        <v/>
      </c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63"/>
      <c r="H65" s="63"/>
      <c r="I65" s="63"/>
      <c r="J65" s="28"/>
      <c r="K65" s="28"/>
      <c r="L65" s="28"/>
      <c r="M65" s="28"/>
      <c r="N65" s="28"/>
      <c r="O65" s="64"/>
      <c r="P65" s="64"/>
      <c r="Q65" s="64"/>
      <c r="R65" s="28"/>
      <c r="S65" s="63"/>
      <c r="T65" s="64"/>
      <c r="U65" s="63"/>
      <c r="V65" s="64"/>
      <c r="W65" s="28"/>
      <c r="X65" s="65" t="str">
        <f aca="false">IF($A65="","",IF(OR($T65&lt;&gt;"",$U65&lt;&gt;""),"Closed",IFERROR(INDEX(MapStage,MATCH($C65,MapStatus,0)),"Unmapped")))</f>
        <v/>
      </c>
      <c r="Y65" s="65" t="str">
        <f aca="false">IF(OR($X65="",$X65="Closed",$X65="Unmapped"),"",MATCH($X65,StageName,0))</f>
        <v/>
      </c>
      <c r="Z65" s="65" t="str">
        <f aca="false">IF(OR($Y65="",$I65=""),"",$I65-AsOf)</f>
        <v/>
      </c>
      <c r="AA65" s="65" t="str">
        <f aca="false">IF($A65="","",AsOf-$H65)</f>
        <v/>
      </c>
      <c r="AB65" s="65" t="str">
        <f aca="false">IF($A65="","",IF($X65="Closed","Closed",IF($X65="Unmapped","Unmapped",IF($I65="","No target",IF($Z65&lt;0,"Overdue",IF($Z65&lt;=INDEX(StageWindow,$Y65),"At risk","On track"))))))</f>
        <v/>
      </c>
      <c r="AC65" s="65" t="str">
        <f aca="false">IF($Y65="","",IF($AA65&gt;2*INDEX(StageStale,$Y65),"Stale",IF($AA65&gt;INDEX(StageStale,$Y65),"Aging","Fresh")))</f>
        <v/>
      </c>
      <c r="AD65" s="65" t="str">
        <f aca="false">IF($A65="","",IF(OR(ISNUMBER(SEARCH("Reg report",$J65)),ISNUMBER(SEARCH("No human review",$J65)),COUNTIF(TierFuncs,$D65)&gt;0),"High",IF(OR(TRIM($J65)&lt;&gt;"",ISNUMBER(SEARCH("revenue",$K65))),"Medium","Low")))</f>
        <v/>
      </c>
      <c r="AE65" s="65" t="str">
        <f aca="false">IF($A65="","",INDEX(TierDays,MATCH($AD65,TierName,0)))</f>
        <v/>
      </c>
      <c r="AF65" s="65" t="str">
        <f aca="false">IF($A65="","",AsOf-$G65)</f>
        <v/>
      </c>
      <c r="AG65" s="65" t="str">
        <f aca="false">IF($Y65="","",IF($Y65&lt;=5,IF($AF65&gt;$AE65,"Over","Inside"),"Past approval"))</f>
        <v/>
      </c>
      <c r="AH65" s="65" t="str">
        <f aca="false">IF($Y65="","",CHOOSE($Y65,IF(OR(TRIM($F65)="",ISNUMBER(SEARCH("not named",$F65))),"Critical","Good"),IF($O65&lt;&gt;"Y","Critical",IF($Q65&lt;&gt;"Y","Warning","Good")),IF($P65="","Critical",IF($P65="partial","Warning",IF($P65="ready","Good","Critical"))),IF($R65&lt;&gt;"","Critical","Warning"),IF($L65="","Critical",IF($N65="","Warning","Good")),IF($R65&lt;&gt;"","Critical","Warning"),IF($R65&lt;&gt;"","Critical","Warning"),IF($Q65="Y","Good","Critical")))</f>
        <v/>
      </c>
      <c r="AI65" s="65" t="str">
        <f aca="false">IF($Y65="","",CHOOSE($Y65,IF(OR(TRIM($F65)="",ISNUMBER(SEARCH("not named",$F65))),"Name a sponsor accountable for the value",""),IF($O65&lt;&gt;"Y","State the success metric and the stop condition",IF($Q65&lt;&gt;"Y","Set the baseline the benefit will be measured against","")),IF($P65="","Assess data readiness and regulatory impact",IF($P65="partial","Close the known data gaps",IF($P65="ready","","Data is not available; reshape or park"))),IF($R65&lt;&gt;"",IF(OR(ISNUMBER(SEARCH("mrm",$R65)),ISNUMBER(SEARCH("model",$R65)),ISNUMBER(SEARCH("risk",$R65)),ISNUMBER(SEARCH("legal",$R65)),ISNUMBER(SEARCH("complian",$R65))),"Awaiting ","Held at the design gate: ")&amp;$R65,"Map the governance framework for its tier"),IF($L65="","Size the annual benefit",IF($N65="","Score it so it can be ranked against capacity","")),IF($R65&lt;&gt;"","Build held: "&amp;$R65,"In build, not yet through test"),IF($R65&lt;&gt;"","Not ready to scale: "&amp;$R65,"Monitoring and third-party review not yet signed off"),IF($Q65="Y","","Live without a measured baseline to judge it against")))</f>
        <v/>
      </c>
      <c r="AJ65" s="65" t="str">
        <f aca="false">IF($Y65="","",INDEX(StageForum,$Y65))</f>
        <v/>
      </c>
      <c r="AK65" s="65" t="str">
        <f aca="false">IF($Y65="","",IF(OR($X65="Delivery",$X65="Value"),"Committed",IF($N65&lt;&gt;"","Candidate","")))</f>
        <v/>
      </c>
      <c r="AL65" s="65" t="str">
        <f aca="false">IF($AK65&lt;&gt;"Candidate","",COUNTIFS($AK$2:$AK$501,"Candidate",$N$2:$N$501,"&gt;"&amp;$N65)+COUNTIFS($AK$2:$AK$501,"Candidate",$N$2:$N$501,$N65,$A$2:$A$501,"&lt;"&amp;$A65)+1)</f>
        <v/>
      </c>
      <c r="AM65" s="65" t="str">
        <f aca="false">IF($AL65="","",SUMIFS($M$2:$M$501,$AK$2:$AK$501,"Candidate",$AL$2:$AL$501,"&lt;="&amp;$AL65))</f>
        <v/>
      </c>
      <c r="AN65" s="65" t="str">
        <f aca="false">IF($AL65="","",IF($AM65&lt;=CapacityOpen,"Fits","Below line"))</f>
        <v/>
      </c>
      <c r="AO65" s="65" t="str">
        <f aca="false">IF($A65="","",IF($X65="Closed","",IF($X65="Unmapped","Warning",IF(OR($AB65="Overdue",$V65="Y",$AH65="Critical"),"Critical",IF(OR($AB65="At risk",$AC65="Stale",$AG65="Over"),"Warning","")))))</f>
        <v/>
      </c>
      <c r="AP65" s="65" t="str">
        <f aca="false">IF($AO65="","",IF($AO65="Critical",3000,2000)-IF($Z65="",0,$Z65)+ROW()/100000)</f>
        <v/>
      </c>
      <c r="AQ65" s="65" t="str">
        <f aca="false">IF($AO65="","",IF($X65="Unmapped","Status '"&amp;$C65&amp;"' is not in the Config map",IF($V65="Y","Flagged in Jira",IF($AB65="Overdue",-$Z65&amp;" days past its "&amp;$X65&amp;" target",IF($AH65="Critical",$AI65,IF($AB65="At risk","Target in "&amp;$Z65&amp;" days",IF($AC65="Stale","No update in "&amp;$AA65&amp;" days","Past its "&amp;$AE65&amp;"-day tier window")))))))</f>
        <v/>
      </c>
      <c r="AR65" s="65" t="str">
        <f aca="false">IF($AO65="","","draft Jira update for "&amp;$A65)</f>
        <v/>
      </c>
      <c r="AS65" s="65" t="str">
        <f aca="false">IF($A65="","",HYPERLINK(JiraSite&amp;"/browse/"&amp;$A65,"open"))</f>
        <v/>
      </c>
      <c r="AT65" s="65" t="str">
        <f aca="false">IF($Y65="","",$Y65*1000+ROW())</f>
        <v/>
      </c>
      <c r="AU65" s="65" t="str">
        <f aca="false">IF(AND($A65&lt;&gt;"",$G65&gt;=WeekStart),$G65+ROW()/100000,"")</f>
        <v/>
      </c>
      <c r="AV65" s="65" t="str">
        <f aca="false">IF($A65="","",IF(OR(AND($S65&lt;&gt;"",$S65&gt;=WeekStart),AND($U65&lt;&gt;"",$U65&gt;=WeekStart)),MAX($S65,$U65)+ROW()/100000,""))</f>
        <v/>
      </c>
      <c r="AW65" s="65" t="str">
        <f aca="false">IF($AV65="","",IF($T65&lt;&gt;"",$T65,IF($X65="Closed","Closed","Accepted to "&amp;$X65)))</f>
        <v/>
      </c>
      <c r="AX65" s="65" t="str">
        <f aca="false">IF(AND($Y65&lt;&gt;"",$R65&lt;&gt;""),$AF65+ROW()/100000,"")</f>
        <v/>
      </c>
      <c r="AY65" s="65" t="str">
        <f aca="false">IF(AND($Y65&lt;&gt;"",OR($AB65="Overdue",AND($AH65="Critical",$R65&lt;&gt;""))),$AF65+ROW()/100000,"")</f>
        <v/>
      </c>
      <c r="AZ65" s="65" t="str">
        <f aca="false">IF($AH65="Critical",$AF65+ROW()/100000,"")</f>
        <v/>
      </c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63"/>
      <c r="H66" s="63"/>
      <c r="I66" s="63"/>
      <c r="J66" s="28"/>
      <c r="K66" s="28"/>
      <c r="L66" s="28"/>
      <c r="M66" s="28"/>
      <c r="N66" s="28"/>
      <c r="O66" s="64"/>
      <c r="P66" s="64"/>
      <c r="Q66" s="64"/>
      <c r="R66" s="28"/>
      <c r="S66" s="63"/>
      <c r="T66" s="64"/>
      <c r="U66" s="63"/>
      <c r="V66" s="64"/>
      <c r="W66" s="28"/>
      <c r="X66" s="65" t="str">
        <f aca="false">IF($A66="","",IF(OR($T66&lt;&gt;"",$U66&lt;&gt;""),"Closed",IFERROR(INDEX(MapStage,MATCH($C66,MapStatus,0)),"Unmapped")))</f>
        <v/>
      </c>
      <c r="Y66" s="65" t="str">
        <f aca="false">IF(OR($X66="",$X66="Closed",$X66="Unmapped"),"",MATCH($X66,StageName,0))</f>
        <v/>
      </c>
      <c r="Z66" s="65" t="str">
        <f aca="false">IF(OR($Y66="",$I66=""),"",$I66-AsOf)</f>
        <v/>
      </c>
      <c r="AA66" s="65" t="str">
        <f aca="false">IF($A66="","",AsOf-$H66)</f>
        <v/>
      </c>
      <c r="AB66" s="65" t="str">
        <f aca="false">IF($A66="","",IF($X66="Closed","Closed",IF($X66="Unmapped","Unmapped",IF($I66="","No target",IF($Z66&lt;0,"Overdue",IF($Z66&lt;=INDEX(StageWindow,$Y66),"At risk","On track"))))))</f>
        <v/>
      </c>
      <c r="AC66" s="65" t="str">
        <f aca="false">IF($Y66="","",IF($AA66&gt;2*INDEX(StageStale,$Y66),"Stale",IF($AA66&gt;INDEX(StageStale,$Y66),"Aging","Fresh")))</f>
        <v/>
      </c>
      <c r="AD66" s="65" t="str">
        <f aca="false">IF($A66="","",IF(OR(ISNUMBER(SEARCH("Reg report",$J66)),ISNUMBER(SEARCH("No human review",$J66)),COUNTIF(TierFuncs,$D66)&gt;0),"High",IF(OR(TRIM($J66)&lt;&gt;"",ISNUMBER(SEARCH("revenue",$K66))),"Medium","Low")))</f>
        <v/>
      </c>
      <c r="AE66" s="65" t="str">
        <f aca="false">IF($A66="","",INDEX(TierDays,MATCH($AD66,TierName,0)))</f>
        <v/>
      </c>
      <c r="AF66" s="65" t="str">
        <f aca="false">IF($A66="","",AsOf-$G66)</f>
        <v/>
      </c>
      <c r="AG66" s="65" t="str">
        <f aca="false">IF($Y66="","",IF($Y66&lt;=5,IF($AF66&gt;$AE66,"Over","Inside"),"Past approval"))</f>
        <v/>
      </c>
      <c r="AH66" s="65" t="str">
        <f aca="false">IF($Y66="","",CHOOSE($Y66,IF(OR(TRIM($F66)="",ISNUMBER(SEARCH("not named",$F66))),"Critical","Good"),IF($O66&lt;&gt;"Y","Critical",IF($Q66&lt;&gt;"Y","Warning","Good")),IF($P66="","Critical",IF($P66="partial","Warning",IF($P66="ready","Good","Critical"))),IF($R66&lt;&gt;"","Critical","Warning"),IF($L66="","Critical",IF($N66="","Warning","Good")),IF($R66&lt;&gt;"","Critical","Warning"),IF($R66&lt;&gt;"","Critical","Warning"),IF($Q66="Y","Good","Critical")))</f>
        <v/>
      </c>
      <c r="AI66" s="65" t="str">
        <f aca="false">IF($Y66="","",CHOOSE($Y66,IF(OR(TRIM($F66)="",ISNUMBER(SEARCH("not named",$F66))),"Name a sponsor accountable for the value",""),IF($O66&lt;&gt;"Y","State the success metric and the stop condition",IF($Q66&lt;&gt;"Y","Set the baseline the benefit will be measured against","")),IF($P66="","Assess data readiness and regulatory impact",IF($P66="partial","Close the known data gaps",IF($P66="ready","","Data is not available; reshape or park"))),IF($R66&lt;&gt;"",IF(OR(ISNUMBER(SEARCH("mrm",$R66)),ISNUMBER(SEARCH("model",$R66)),ISNUMBER(SEARCH("risk",$R66)),ISNUMBER(SEARCH("legal",$R66)),ISNUMBER(SEARCH("complian",$R66))),"Awaiting ","Held at the design gate: ")&amp;$R66,"Map the governance framework for its tier"),IF($L66="","Size the annual benefit",IF($N66="","Score it so it can be ranked against capacity","")),IF($R66&lt;&gt;"","Build held: "&amp;$R66,"In build, not yet through test"),IF($R66&lt;&gt;"","Not ready to scale: "&amp;$R66,"Monitoring and third-party review not yet signed off"),IF($Q66="Y","","Live without a measured baseline to judge it against")))</f>
        <v/>
      </c>
      <c r="AJ66" s="65" t="str">
        <f aca="false">IF($Y66="","",INDEX(StageForum,$Y66))</f>
        <v/>
      </c>
      <c r="AK66" s="65" t="str">
        <f aca="false">IF($Y66="","",IF(OR($X66="Delivery",$X66="Value"),"Committed",IF($N66&lt;&gt;"","Candidate","")))</f>
        <v/>
      </c>
      <c r="AL66" s="65" t="str">
        <f aca="false">IF($AK66&lt;&gt;"Candidate","",COUNTIFS($AK$2:$AK$501,"Candidate",$N$2:$N$501,"&gt;"&amp;$N66)+COUNTIFS($AK$2:$AK$501,"Candidate",$N$2:$N$501,$N66,$A$2:$A$501,"&lt;"&amp;$A66)+1)</f>
        <v/>
      </c>
      <c r="AM66" s="65" t="str">
        <f aca="false">IF($AL66="","",SUMIFS($M$2:$M$501,$AK$2:$AK$501,"Candidate",$AL$2:$AL$501,"&lt;="&amp;$AL66))</f>
        <v/>
      </c>
      <c r="AN66" s="65" t="str">
        <f aca="false">IF($AL66="","",IF($AM66&lt;=CapacityOpen,"Fits","Below line"))</f>
        <v/>
      </c>
      <c r="AO66" s="65" t="str">
        <f aca="false">IF($A66="","",IF($X66="Closed","",IF($X66="Unmapped","Warning",IF(OR($AB66="Overdue",$V66="Y",$AH66="Critical"),"Critical",IF(OR($AB66="At risk",$AC66="Stale",$AG66="Over"),"Warning","")))))</f>
        <v/>
      </c>
      <c r="AP66" s="65" t="str">
        <f aca="false">IF($AO66="","",IF($AO66="Critical",3000,2000)-IF($Z66="",0,$Z66)+ROW()/100000)</f>
        <v/>
      </c>
      <c r="AQ66" s="65" t="str">
        <f aca="false">IF($AO66="","",IF($X66="Unmapped","Status '"&amp;$C66&amp;"' is not in the Config map",IF($V66="Y","Flagged in Jira",IF($AB66="Overdue",-$Z66&amp;" days past its "&amp;$X66&amp;" target",IF($AH66="Critical",$AI66,IF($AB66="At risk","Target in "&amp;$Z66&amp;" days",IF($AC66="Stale","No update in "&amp;$AA66&amp;" days","Past its "&amp;$AE66&amp;"-day tier window")))))))</f>
        <v/>
      </c>
      <c r="AR66" s="65" t="str">
        <f aca="false">IF($AO66="","","draft Jira update for "&amp;$A66)</f>
        <v/>
      </c>
      <c r="AS66" s="65" t="str">
        <f aca="false">IF($A66="","",HYPERLINK(JiraSite&amp;"/browse/"&amp;$A66,"open"))</f>
        <v/>
      </c>
      <c r="AT66" s="65" t="str">
        <f aca="false">IF($Y66="","",$Y66*1000+ROW())</f>
        <v/>
      </c>
      <c r="AU66" s="65" t="str">
        <f aca="false">IF(AND($A66&lt;&gt;"",$G66&gt;=WeekStart),$G66+ROW()/100000,"")</f>
        <v/>
      </c>
      <c r="AV66" s="65" t="str">
        <f aca="false">IF($A66="","",IF(OR(AND($S66&lt;&gt;"",$S66&gt;=WeekStart),AND($U66&lt;&gt;"",$U66&gt;=WeekStart)),MAX($S66,$U66)+ROW()/100000,""))</f>
        <v/>
      </c>
      <c r="AW66" s="65" t="str">
        <f aca="false">IF($AV66="","",IF($T66&lt;&gt;"",$T66,IF($X66="Closed","Closed","Accepted to "&amp;$X66)))</f>
        <v/>
      </c>
      <c r="AX66" s="65" t="str">
        <f aca="false">IF(AND($Y66&lt;&gt;"",$R66&lt;&gt;""),$AF66+ROW()/100000,"")</f>
        <v/>
      </c>
      <c r="AY66" s="65" t="str">
        <f aca="false">IF(AND($Y66&lt;&gt;"",OR($AB66="Overdue",AND($AH66="Critical",$R66&lt;&gt;""))),$AF66+ROW()/100000,"")</f>
        <v/>
      </c>
      <c r="AZ66" s="65" t="str">
        <f aca="false">IF($AH66="Critical",$AF66+ROW()/100000,"")</f>
        <v/>
      </c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63"/>
      <c r="H67" s="63"/>
      <c r="I67" s="63"/>
      <c r="J67" s="28"/>
      <c r="K67" s="28"/>
      <c r="L67" s="28"/>
      <c r="M67" s="28"/>
      <c r="N67" s="28"/>
      <c r="O67" s="64"/>
      <c r="P67" s="64"/>
      <c r="Q67" s="64"/>
      <c r="R67" s="28"/>
      <c r="S67" s="63"/>
      <c r="T67" s="64"/>
      <c r="U67" s="63"/>
      <c r="V67" s="64"/>
      <c r="W67" s="28"/>
      <c r="X67" s="65" t="str">
        <f aca="false">IF($A67="","",IF(OR($T67&lt;&gt;"",$U67&lt;&gt;""),"Closed",IFERROR(INDEX(MapStage,MATCH($C67,MapStatus,0)),"Unmapped")))</f>
        <v/>
      </c>
      <c r="Y67" s="65" t="str">
        <f aca="false">IF(OR($X67="",$X67="Closed",$X67="Unmapped"),"",MATCH($X67,StageName,0))</f>
        <v/>
      </c>
      <c r="Z67" s="65" t="str">
        <f aca="false">IF(OR($Y67="",$I67=""),"",$I67-AsOf)</f>
        <v/>
      </c>
      <c r="AA67" s="65" t="str">
        <f aca="false">IF($A67="","",AsOf-$H67)</f>
        <v/>
      </c>
      <c r="AB67" s="65" t="str">
        <f aca="false">IF($A67="","",IF($X67="Closed","Closed",IF($X67="Unmapped","Unmapped",IF($I67="","No target",IF($Z67&lt;0,"Overdue",IF($Z67&lt;=INDEX(StageWindow,$Y67),"At risk","On track"))))))</f>
        <v/>
      </c>
      <c r="AC67" s="65" t="str">
        <f aca="false">IF($Y67="","",IF($AA67&gt;2*INDEX(StageStale,$Y67),"Stale",IF($AA67&gt;INDEX(StageStale,$Y67),"Aging","Fresh")))</f>
        <v/>
      </c>
      <c r="AD67" s="65" t="str">
        <f aca="false">IF($A67="","",IF(OR(ISNUMBER(SEARCH("Reg report",$J67)),ISNUMBER(SEARCH("No human review",$J67)),COUNTIF(TierFuncs,$D67)&gt;0),"High",IF(OR(TRIM($J67)&lt;&gt;"",ISNUMBER(SEARCH("revenue",$K67))),"Medium","Low")))</f>
        <v/>
      </c>
      <c r="AE67" s="65" t="str">
        <f aca="false">IF($A67="","",INDEX(TierDays,MATCH($AD67,TierName,0)))</f>
        <v/>
      </c>
      <c r="AF67" s="65" t="str">
        <f aca="false">IF($A67="","",AsOf-$G67)</f>
        <v/>
      </c>
      <c r="AG67" s="65" t="str">
        <f aca="false">IF($Y67="","",IF($Y67&lt;=5,IF($AF67&gt;$AE67,"Over","Inside"),"Past approval"))</f>
        <v/>
      </c>
      <c r="AH67" s="65" t="str">
        <f aca="false">IF($Y67="","",CHOOSE($Y67,IF(OR(TRIM($F67)="",ISNUMBER(SEARCH("not named",$F67))),"Critical","Good"),IF($O67&lt;&gt;"Y","Critical",IF($Q67&lt;&gt;"Y","Warning","Good")),IF($P67="","Critical",IF($P67="partial","Warning",IF($P67="ready","Good","Critical"))),IF($R67&lt;&gt;"","Critical","Warning"),IF($L67="","Critical",IF($N67="","Warning","Good")),IF($R67&lt;&gt;"","Critical","Warning"),IF($R67&lt;&gt;"","Critical","Warning"),IF($Q67="Y","Good","Critical")))</f>
        <v/>
      </c>
      <c r="AI67" s="65" t="str">
        <f aca="false">IF($Y67="","",CHOOSE($Y67,IF(OR(TRIM($F67)="",ISNUMBER(SEARCH("not named",$F67))),"Name a sponsor accountable for the value",""),IF($O67&lt;&gt;"Y","State the success metric and the stop condition",IF($Q67&lt;&gt;"Y","Set the baseline the benefit will be measured against","")),IF($P67="","Assess data readiness and regulatory impact",IF($P67="partial","Close the known data gaps",IF($P67="ready","","Data is not available; reshape or park"))),IF($R67&lt;&gt;"",IF(OR(ISNUMBER(SEARCH("mrm",$R67)),ISNUMBER(SEARCH("model",$R67)),ISNUMBER(SEARCH("risk",$R67)),ISNUMBER(SEARCH("legal",$R67)),ISNUMBER(SEARCH("complian",$R67))),"Awaiting ","Held at the design gate: ")&amp;$R67,"Map the governance framework for its tier"),IF($L67="","Size the annual benefit",IF($N67="","Score it so it can be ranked against capacity","")),IF($R67&lt;&gt;"","Build held: "&amp;$R67,"In build, not yet through test"),IF($R67&lt;&gt;"","Not ready to scale: "&amp;$R67,"Monitoring and third-party review not yet signed off"),IF($Q67="Y","","Live without a measured baseline to judge it against")))</f>
        <v/>
      </c>
      <c r="AJ67" s="65" t="str">
        <f aca="false">IF($Y67="","",INDEX(StageForum,$Y67))</f>
        <v/>
      </c>
      <c r="AK67" s="65" t="str">
        <f aca="false">IF($Y67="","",IF(OR($X67="Delivery",$X67="Value"),"Committed",IF($N67&lt;&gt;"","Candidate","")))</f>
        <v/>
      </c>
      <c r="AL67" s="65" t="str">
        <f aca="false">IF($AK67&lt;&gt;"Candidate","",COUNTIFS($AK$2:$AK$501,"Candidate",$N$2:$N$501,"&gt;"&amp;$N67)+COUNTIFS($AK$2:$AK$501,"Candidate",$N$2:$N$501,$N67,$A$2:$A$501,"&lt;"&amp;$A67)+1)</f>
        <v/>
      </c>
      <c r="AM67" s="65" t="str">
        <f aca="false">IF($AL67="","",SUMIFS($M$2:$M$501,$AK$2:$AK$501,"Candidate",$AL$2:$AL$501,"&lt;="&amp;$AL67))</f>
        <v/>
      </c>
      <c r="AN67" s="65" t="str">
        <f aca="false">IF($AL67="","",IF($AM67&lt;=CapacityOpen,"Fits","Below line"))</f>
        <v/>
      </c>
      <c r="AO67" s="65" t="str">
        <f aca="false">IF($A67="","",IF($X67="Closed","",IF($X67="Unmapped","Warning",IF(OR($AB67="Overdue",$V67="Y",$AH67="Critical"),"Critical",IF(OR($AB67="At risk",$AC67="Stale",$AG67="Over"),"Warning","")))))</f>
        <v/>
      </c>
      <c r="AP67" s="65" t="str">
        <f aca="false">IF($AO67="","",IF($AO67="Critical",3000,2000)-IF($Z67="",0,$Z67)+ROW()/100000)</f>
        <v/>
      </c>
      <c r="AQ67" s="65" t="str">
        <f aca="false">IF($AO67="","",IF($X67="Unmapped","Status '"&amp;$C67&amp;"' is not in the Config map",IF($V67="Y","Flagged in Jira",IF($AB67="Overdue",-$Z67&amp;" days past its "&amp;$X67&amp;" target",IF($AH67="Critical",$AI67,IF($AB67="At risk","Target in "&amp;$Z67&amp;" days",IF($AC67="Stale","No update in "&amp;$AA67&amp;" days","Past its "&amp;$AE67&amp;"-day tier window")))))))</f>
        <v/>
      </c>
      <c r="AR67" s="65" t="str">
        <f aca="false">IF($AO67="","","draft Jira update for "&amp;$A67)</f>
        <v/>
      </c>
      <c r="AS67" s="65" t="str">
        <f aca="false">IF($A67="","",HYPERLINK(JiraSite&amp;"/browse/"&amp;$A67,"open"))</f>
        <v/>
      </c>
      <c r="AT67" s="65" t="str">
        <f aca="false">IF($Y67="","",$Y67*1000+ROW())</f>
        <v/>
      </c>
      <c r="AU67" s="65" t="str">
        <f aca="false">IF(AND($A67&lt;&gt;"",$G67&gt;=WeekStart),$G67+ROW()/100000,"")</f>
        <v/>
      </c>
      <c r="AV67" s="65" t="str">
        <f aca="false">IF($A67="","",IF(OR(AND($S67&lt;&gt;"",$S67&gt;=WeekStart),AND($U67&lt;&gt;"",$U67&gt;=WeekStart)),MAX($S67,$U67)+ROW()/100000,""))</f>
        <v/>
      </c>
      <c r="AW67" s="65" t="str">
        <f aca="false">IF($AV67="","",IF($T67&lt;&gt;"",$T67,IF($X67="Closed","Closed","Accepted to "&amp;$X67)))</f>
        <v/>
      </c>
      <c r="AX67" s="65" t="str">
        <f aca="false">IF(AND($Y67&lt;&gt;"",$R67&lt;&gt;""),$AF67+ROW()/100000,"")</f>
        <v/>
      </c>
      <c r="AY67" s="65" t="str">
        <f aca="false">IF(AND($Y67&lt;&gt;"",OR($AB67="Overdue",AND($AH67="Critical",$R67&lt;&gt;""))),$AF67+ROW()/100000,"")</f>
        <v/>
      </c>
      <c r="AZ67" s="65" t="str">
        <f aca="false">IF($AH67="Critical",$AF67+ROW()/100000,"")</f>
        <v/>
      </c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63"/>
      <c r="H68" s="63"/>
      <c r="I68" s="63"/>
      <c r="J68" s="28"/>
      <c r="K68" s="28"/>
      <c r="L68" s="28"/>
      <c r="M68" s="28"/>
      <c r="N68" s="28"/>
      <c r="O68" s="64"/>
      <c r="P68" s="64"/>
      <c r="Q68" s="64"/>
      <c r="R68" s="28"/>
      <c r="S68" s="63"/>
      <c r="T68" s="64"/>
      <c r="U68" s="63"/>
      <c r="V68" s="64"/>
      <c r="W68" s="28"/>
      <c r="X68" s="65" t="str">
        <f aca="false">IF($A68="","",IF(OR($T68&lt;&gt;"",$U68&lt;&gt;""),"Closed",IFERROR(INDEX(MapStage,MATCH($C68,MapStatus,0)),"Unmapped")))</f>
        <v/>
      </c>
      <c r="Y68" s="65" t="str">
        <f aca="false">IF(OR($X68="",$X68="Closed",$X68="Unmapped"),"",MATCH($X68,StageName,0))</f>
        <v/>
      </c>
      <c r="Z68" s="65" t="str">
        <f aca="false">IF(OR($Y68="",$I68=""),"",$I68-AsOf)</f>
        <v/>
      </c>
      <c r="AA68" s="65" t="str">
        <f aca="false">IF($A68="","",AsOf-$H68)</f>
        <v/>
      </c>
      <c r="AB68" s="65" t="str">
        <f aca="false">IF($A68="","",IF($X68="Closed","Closed",IF($X68="Unmapped","Unmapped",IF($I68="","No target",IF($Z68&lt;0,"Overdue",IF($Z68&lt;=INDEX(StageWindow,$Y68),"At risk","On track"))))))</f>
        <v/>
      </c>
      <c r="AC68" s="65" t="str">
        <f aca="false">IF($Y68="","",IF($AA68&gt;2*INDEX(StageStale,$Y68),"Stale",IF($AA68&gt;INDEX(StageStale,$Y68),"Aging","Fresh")))</f>
        <v/>
      </c>
      <c r="AD68" s="65" t="str">
        <f aca="false">IF($A68="","",IF(OR(ISNUMBER(SEARCH("Reg report",$J68)),ISNUMBER(SEARCH("No human review",$J68)),COUNTIF(TierFuncs,$D68)&gt;0),"High",IF(OR(TRIM($J68)&lt;&gt;"",ISNUMBER(SEARCH("revenue",$K68))),"Medium","Low")))</f>
        <v/>
      </c>
      <c r="AE68" s="65" t="str">
        <f aca="false">IF($A68="","",INDEX(TierDays,MATCH($AD68,TierName,0)))</f>
        <v/>
      </c>
      <c r="AF68" s="65" t="str">
        <f aca="false">IF($A68="","",AsOf-$G68)</f>
        <v/>
      </c>
      <c r="AG68" s="65" t="str">
        <f aca="false">IF($Y68="","",IF($Y68&lt;=5,IF($AF68&gt;$AE68,"Over","Inside"),"Past approval"))</f>
        <v/>
      </c>
      <c r="AH68" s="65" t="str">
        <f aca="false">IF($Y68="","",CHOOSE($Y68,IF(OR(TRIM($F68)="",ISNUMBER(SEARCH("not named",$F68))),"Critical","Good"),IF($O68&lt;&gt;"Y","Critical",IF($Q68&lt;&gt;"Y","Warning","Good")),IF($P68="","Critical",IF($P68="partial","Warning",IF($P68="ready","Good","Critical"))),IF($R68&lt;&gt;"","Critical","Warning"),IF($L68="","Critical",IF($N68="","Warning","Good")),IF($R68&lt;&gt;"","Critical","Warning"),IF($R68&lt;&gt;"","Critical","Warning"),IF($Q68="Y","Good","Critical")))</f>
        <v/>
      </c>
      <c r="AI68" s="65" t="str">
        <f aca="false">IF($Y68="","",CHOOSE($Y68,IF(OR(TRIM($F68)="",ISNUMBER(SEARCH("not named",$F68))),"Name a sponsor accountable for the value",""),IF($O68&lt;&gt;"Y","State the success metric and the stop condition",IF($Q68&lt;&gt;"Y","Set the baseline the benefit will be measured against","")),IF($P68="","Assess data readiness and regulatory impact",IF($P68="partial","Close the known data gaps",IF($P68="ready","","Data is not available; reshape or park"))),IF($R68&lt;&gt;"",IF(OR(ISNUMBER(SEARCH("mrm",$R68)),ISNUMBER(SEARCH("model",$R68)),ISNUMBER(SEARCH("risk",$R68)),ISNUMBER(SEARCH("legal",$R68)),ISNUMBER(SEARCH("complian",$R68))),"Awaiting ","Held at the design gate: ")&amp;$R68,"Map the governance framework for its tier"),IF($L68="","Size the annual benefit",IF($N68="","Score it so it can be ranked against capacity","")),IF($R68&lt;&gt;"","Build held: "&amp;$R68,"In build, not yet through test"),IF($R68&lt;&gt;"","Not ready to scale: "&amp;$R68,"Monitoring and third-party review not yet signed off"),IF($Q68="Y","","Live without a measured baseline to judge it against")))</f>
        <v/>
      </c>
      <c r="AJ68" s="65" t="str">
        <f aca="false">IF($Y68="","",INDEX(StageForum,$Y68))</f>
        <v/>
      </c>
      <c r="AK68" s="65" t="str">
        <f aca="false">IF($Y68="","",IF(OR($X68="Delivery",$X68="Value"),"Committed",IF($N68&lt;&gt;"","Candidate","")))</f>
        <v/>
      </c>
      <c r="AL68" s="65" t="str">
        <f aca="false">IF($AK68&lt;&gt;"Candidate","",COUNTIFS($AK$2:$AK$501,"Candidate",$N$2:$N$501,"&gt;"&amp;$N68)+COUNTIFS($AK$2:$AK$501,"Candidate",$N$2:$N$501,$N68,$A$2:$A$501,"&lt;"&amp;$A68)+1)</f>
        <v/>
      </c>
      <c r="AM68" s="65" t="str">
        <f aca="false">IF($AL68="","",SUMIFS($M$2:$M$501,$AK$2:$AK$501,"Candidate",$AL$2:$AL$501,"&lt;="&amp;$AL68))</f>
        <v/>
      </c>
      <c r="AN68" s="65" t="str">
        <f aca="false">IF($AL68="","",IF($AM68&lt;=CapacityOpen,"Fits","Below line"))</f>
        <v/>
      </c>
      <c r="AO68" s="65" t="str">
        <f aca="false">IF($A68="","",IF($X68="Closed","",IF($X68="Unmapped","Warning",IF(OR($AB68="Overdue",$V68="Y",$AH68="Critical"),"Critical",IF(OR($AB68="At risk",$AC68="Stale",$AG68="Over"),"Warning","")))))</f>
        <v/>
      </c>
      <c r="AP68" s="65" t="str">
        <f aca="false">IF($AO68="","",IF($AO68="Critical",3000,2000)-IF($Z68="",0,$Z68)+ROW()/100000)</f>
        <v/>
      </c>
      <c r="AQ68" s="65" t="str">
        <f aca="false">IF($AO68="","",IF($X68="Unmapped","Status '"&amp;$C68&amp;"' is not in the Config map",IF($V68="Y","Flagged in Jira",IF($AB68="Overdue",-$Z68&amp;" days past its "&amp;$X68&amp;" target",IF($AH68="Critical",$AI68,IF($AB68="At risk","Target in "&amp;$Z68&amp;" days",IF($AC68="Stale","No update in "&amp;$AA68&amp;" days","Past its "&amp;$AE68&amp;"-day tier window")))))))</f>
        <v/>
      </c>
      <c r="AR68" s="65" t="str">
        <f aca="false">IF($AO68="","","draft Jira update for "&amp;$A68)</f>
        <v/>
      </c>
      <c r="AS68" s="65" t="str">
        <f aca="false">IF($A68="","",HYPERLINK(JiraSite&amp;"/browse/"&amp;$A68,"open"))</f>
        <v/>
      </c>
      <c r="AT68" s="65" t="str">
        <f aca="false">IF($Y68="","",$Y68*1000+ROW())</f>
        <v/>
      </c>
      <c r="AU68" s="65" t="str">
        <f aca="false">IF(AND($A68&lt;&gt;"",$G68&gt;=WeekStart),$G68+ROW()/100000,"")</f>
        <v/>
      </c>
      <c r="AV68" s="65" t="str">
        <f aca="false">IF($A68="","",IF(OR(AND($S68&lt;&gt;"",$S68&gt;=WeekStart),AND($U68&lt;&gt;"",$U68&gt;=WeekStart)),MAX($S68,$U68)+ROW()/100000,""))</f>
        <v/>
      </c>
      <c r="AW68" s="65" t="str">
        <f aca="false">IF($AV68="","",IF($T68&lt;&gt;"",$T68,IF($X68="Closed","Closed","Accepted to "&amp;$X68)))</f>
        <v/>
      </c>
      <c r="AX68" s="65" t="str">
        <f aca="false">IF(AND($Y68&lt;&gt;"",$R68&lt;&gt;""),$AF68+ROW()/100000,"")</f>
        <v/>
      </c>
      <c r="AY68" s="65" t="str">
        <f aca="false">IF(AND($Y68&lt;&gt;"",OR($AB68="Overdue",AND($AH68="Critical",$R68&lt;&gt;""))),$AF68+ROW()/100000,"")</f>
        <v/>
      </c>
      <c r="AZ68" s="65" t="str">
        <f aca="false">IF($AH68="Critical",$AF68+ROW()/100000,"")</f>
        <v/>
      </c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63"/>
      <c r="H69" s="63"/>
      <c r="I69" s="63"/>
      <c r="J69" s="28"/>
      <c r="K69" s="28"/>
      <c r="L69" s="28"/>
      <c r="M69" s="28"/>
      <c r="N69" s="28"/>
      <c r="O69" s="64"/>
      <c r="P69" s="64"/>
      <c r="Q69" s="64"/>
      <c r="R69" s="28"/>
      <c r="S69" s="63"/>
      <c r="T69" s="64"/>
      <c r="U69" s="63"/>
      <c r="V69" s="64"/>
      <c r="W69" s="28"/>
      <c r="X69" s="65" t="str">
        <f aca="false">IF($A69="","",IF(OR($T69&lt;&gt;"",$U69&lt;&gt;""),"Closed",IFERROR(INDEX(MapStage,MATCH($C69,MapStatus,0)),"Unmapped")))</f>
        <v/>
      </c>
      <c r="Y69" s="65" t="str">
        <f aca="false">IF(OR($X69="",$X69="Closed",$X69="Unmapped"),"",MATCH($X69,StageName,0))</f>
        <v/>
      </c>
      <c r="Z69" s="65" t="str">
        <f aca="false">IF(OR($Y69="",$I69=""),"",$I69-AsOf)</f>
        <v/>
      </c>
      <c r="AA69" s="65" t="str">
        <f aca="false">IF($A69="","",AsOf-$H69)</f>
        <v/>
      </c>
      <c r="AB69" s="65" t="str">
        <f aca="false">IF($A69="","",IF($X69="Closed","Closed",IF($X69="Unmapped","Unmapped",IF($I69="","No target",IF($Z69&lt;0,"Overdue",IF($Z69&lt;=INDEX(StageWindow,$Y69),"At risk","On track"))))))</f>
        <v/>
      </c>
      <c r="AC69" s="65" t="str">
        <f aca="false">IF($Y69="","",IF($AA69&gt;2*INDEX(StageStale,$Y69),"Stale",IF($AA69&gt;INDEX(StageStale,$Y69),"Aging","Fresh")))</f>
        <v/>
      </c>
      <c r="AD69" s="65" t="str">
        <f aca="false">IF($A69="","",IF(OR(ISNUMBER(SEARCH("Reg report",$J69)),ISNUMBER(SEARCH("No human review",$J69)),COUNTIF(TierFuncs,$D69)&gt;0),"High",IF(OR(TRIM($J69)&lt;&gt;"",ISNUMBER(SEARCH("revenue",$K69))),"Medium","Low")))</f>
        <v/>
      </c>
      <c r="AE69" s="65" t="str">
        <f aca="false">IF($A69="","",INDEX(TierDays,MATCH($AD69,TierName,0)))</f>
        <v/>
      </c>
      <c r="AF69" s="65" t="str">
        <f aca="false">IF($A69="","",AsOf-$G69)</f>
        <v/>
      </c>
      <c r="AG69" s="65" t="str">
        <f aca="false">IF($Y69="","",IF($Y69&lt;=5,IF($AF69&gt;$AE69,"Over","Inside"),"Past approval"))</f>
        <v/>
      </c>
      <c r="AH69" s="65" t="str">
        <f aca="false">IF($Y69="","",CHOOSE($Y69,IF(OR(TRIM($F69)="",ISNUMBER(SEARCH("not named",$F69))),"Critical","Good"),IF($O69&lt;&gt;"Y","Critical",IF($Q69&lt;&gt;"Y","Warning","Good")),IF($P69="","Critical",IF($P69="partial","Warning",IF($P69="ready","Good","Critical"))),IF($R69&lt;&gt;"","Critical","Warning"),IF($L69="","Critical",IF($N69="","Warning","Good")),IF($R69&lt;&gt;"","Critical","Warning"),IF($R69&lt;&gt;"","Critical","Warning"),IF($Q69="Y","Good","Critical")))</f>
        <v/>
      </c>
      <c r="AI69" s="65" t="str">
        <f aca="false">IF($Y69="","",CHOOSE($Y69,IF(OR(TRIM($F69)="",ISNUMBER(SEARCH("not named",$F69))),"Name a sponsor accountable for the value",""),IF($O69&lt;&gt;"Y","State the success metric and the stop condition",IF($Q69&lt;&gt;"Y","Set the baseline the benefit will be measured against","")),IF($P69="","Assess data readiness and regulatory impact",IF($P69="partial","Close the known data gaps",IF($P69="ready","","Data is not available; reshape or park"))),IF($R69&lt;&gt;"",IF(OR(ISNUMBER(SEARCH("mrm",$R69)),ISNUMBER(SEARCH("model",$R69)),ISNUMBER(SEARCH("risk",$R69)),ISNUMBER(SEARCH("legal",$R69)),ISNUMBER(SEARCH("complian",$R69))),"Awaiting ","Held at the design gate: ")&amp;$R69,"Map the governance framework for its tier"),IF($L69="","Size the annual benefit",IF($N69="","Score it so it can be ranked against capacity","")),IF($R69&lt;&gt;"","Build held: "&amp;$R69,"In build, not yet through test"),IF($R69&lt;&gt;"","Not ready to scale: "&amp;$R69,"Monitoring and third-party review not yet signed off"),IF($Q69="Y","","Live without a measured baseline to judge it against")))</f>
        <v/>
      </c>
      <c r="AJ69" s="65" t="str">
        <f aca="false">IF($Y69="","",INDEX(StageForum,$Y69))</f>
        <v/>
      </c>
      <c r="AK69" s="65" t="str">
        <f aca="false">IF($Y69="","",IF(OR($X69="Delivery",$X69="Value"),"Committed",IF($N69&lt;&gt;"","Candidate","")))</f>
        <v/>
      </c>
      <c r="AL69" s="65" t="str">
        <f aca="false">IF($AK69&lt;&gt;"Candidate","",COUNTIFS($AK$2:$AK$501,"Candidate",$N$2:$N$501,"&gt;"&amp;$N69)+COUNTIFS($AK$2:$AK$501,"Candidate",$N$2:$N$501,$N69,$A$2:$A$501,"&lt;"&amp;$A69)+1)</f>
        <v/>
      </c>
      <c r="AM69" s="65" t="str">
        <f aca="false">IF($AL69="","",SUMIFS($M$2:$M$501,$AK$2:$AK$501,"Candidate",$AL$2:$AL$501,"&lt;="&amp;$AL69))</f>
        <v/>
      </c>
      <c r="AN69" s="65" t="str">
        <f aca="false">IF($AL69="","",IF($AM69&lt;=CapacityOpen,"Fits","Below line"))</f>
        <v/>
      </c>
      <c r="AO69" s="65" t="str">
        <f aca="false">IF($A69="","",IF($X69="Closed","",IF($X69="Unmapped","Warning",IF(OR($AB69="Overdue",$V69="Y",$AH69="Critical"),"Critical",IF(OR($AB69="At risk",$AC69="Stale",$AG69="Over"),"Warning","")))))</f>
        <v/>
      </c>
      <c r="AP69" s="65" t="str">
        <f aca="false">IF($AO69="","",IF($AO69="Critical",3000,2000)-IF($Z69="",0,$Z69)+ROW()/100000)</f>
        <v/>
      </c>
      <c r="AQ69" s="65" t="str">
        <f aca="false">IF($AO69="","",IF($X69="Unmapped","Status '"&amp;$C69&amp;"' is not in the Config map",IF($V69="Y","Flagged in Jira",IF($AB69="Overdue",-$Z69&amp;" days past its "&amp;$X69&amp;" target",IF($AH69="Critical",$AI69,IF($AB69="At risk","Target in "&amp;$Z69&amp;" days",IF($AC69="Stale","No update in "&amp;$AA69&amp;" days","Past its "&amp;$AE69&amp;"-day tier window")))))))</f>
        <v/>
      </c>
      <c r="AR69" s="65" t="str">
        <f aca="false">IF($AO69="","","draft Jira update for "&amp;$A69)</f>
        <v/>
      </c>
      <c r="AS69" s="65" t="str">
        <f aca="false">IF($A69="","",HYPERLINK(JiraSite&amp;"/browse/"&amp;$A69,"open"))</f>
        <v/>
      </c>
      <c r="AT69" s="65" t="str">
        <f aca="false">IF($Y69="","",$Y69*1000+ROW())</f>
        <v/>
      </c>
      <c r="AU69" s="65" t="str">
        <f aca="false">IF(AND($A69&lt;&gt;"",$G69&gt;=WeekStart),$G69+ROW()/100000,"")</f>
        <v/>
      </c>
      <c r="AV69" s="65" t="str">
        <f aca="false">IF($A69="","",IF(OR(AND($S69&lt;&gt;"",$S69&gt;=WeekStart),AND($U69&lt;&gt;"",$U69&gt;=WeekStart)),MAX($S69,$U69)+ROW()/100000,""))</f>
        <v/>
      </c>
      <c r="AW69" s="65" t="str">
        <f aca="false">IF($AV69="","",IF($T69&lt;&gt;"",$T69,IF($X69="Closed","Closed","Accepted to "&amp;$X69)))</f>
        <v/>
      </c>
      <c r="AX69" s="65" t="str">
        <f aca="false">IF(AND($Y69&lt;&gt;"",$R69&lt;&gt;""),$AF69+ROW()/100000,"")</f>
        <v/>
      </c>
      <c r="AY69" s="65" t="str">
        <f aca="false">IF(AND($Y69&lt;&gt;"",OR($AB69="Overdue",AND($AH69="Critical",$R69&lt;&gt;""))),$AF69+ROW()/100000,"")</f>
        <v/>
      </c>
      <c r="AZ69" s="65" t="str">
        <f aca="false">IF($AH69="Critical",$AF69+ROW()/100000,"")</f>
        <v/>
      </c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63"/>
      <c r="H70" s="63"/>
      <c r="I70" s="63"/>
      <c r="J70" s="28"/>
      <c r="K70" s="28"/>
      <c r="L70" s="28"/>
      <c r="M70" s="28"/>
      <c r="N70" s="28"/>
      <c r="O70" s="64"/>
      <c r="P70" s="64"/>
      <c r="Q70" s="64"/>
      <c r="R70" s="28"/>
      <c r="S70" s="63"/>
      <c r="T70" s="64"/>
      <c r="U70" s="63"/>
      <c r="V70" s="64"/>
      <c r="W70" s="28"/>
      <c r="X70" s="65" t="str">
        <f aca="false">IF($A70="","",IF(OR($T70&lt;&gt;"",$U70&lt;&gt;""),"Closed",IFERROR(INDEX(MapStage,MATCH($C70,MapStatus,0)),"Unmapped")))</f>
        <v/>
      </c>
      <c r="Y70" s="65" t="str">
        <f aca="false">IF(OR($X70="",$X70="Closed",$X70="Unmapped"),"",MATCH($X70,StageName,0))</f>
        <v/>
      </c>
      <c r="Z70" s="65" t="str">
        <f aca="false">IF(OR($Y70="",$I70=""),"",$I70-AsOf)</f>
        <v/>
      </c>
      <c r="AA70" s="65" t="str">
        <f aca="false">IF($A70="","",AsOf-$H70)</f>
        <v/>
      </c>
      <c r="AB70" s="65" t="str">
        <f aca="false">IF($A70="","",IF($X70="Closed","Closed",IF($X70="Unmapped","Unmapped",IF($I70="","No target",IF($Z70&lt;0,"Overdue",IF($Z70&lt;=INDEX(StageWindow,$Y70),"At risk","On track"))))))</f>
        <v/>
      </c>
      <c r="AC70" s="65" t="str">
        <f aca="false">IF($Y70="","",IF($AA70&gt;2*INDEX(StageStale,$Y70),"Stale",IF($AA70&gt;INDEX(StageStale,$Y70),"Aging","Fresh")))</f>
        <v/>
      </c>
      <c r="AD70" s="65" t="str">
        <f aca="false">IF($A70="","",IF(OR(ISNUMBER(SEARCH("Reg report",$J70)),ISNUMBER(SEARCH("No human review",$J70)),COUNTIF(TierFuncs,$D70)&gt;0),"High",IF(OR(TRIM($J70)&lt;&gt;"",ISNUMBER(SEARCH("revenue",$K70))),"Medium","Low")))</f>
        <v/>
      </c>
      <c r="AE70" s="65" t="str">
        <f aca="false">IF($A70="","",INDEX(TierDays,MATCH($AD70,TierName,0)))</f>
        <v/>
      </c>
      <c r="AF70" s="65" t="str">
        <f aca="false">IF($A70="","",AsOf-$G70)</f>
        <v/>
      </c>
      <c r="AG70" s="65" t="str">
        <f aca="false">IF($Y70="","",IF($Y70&lt;=5,IF($AF70&gt;$AE70,"Over","Inside"),"Past approval"))</f>
        <v/>
      </c>
      <c r="AH70" s="65" t="str">
        <f aca="false">IF($Y70="","",CHOOSE($Y70,IF(OR(TRIM($F70)="",ISNUMBER(SEARCH("not named",$F70))),"Critical","Good"),IF($O70&lt;&gt;"Y","Critical",IF($Q70&lt;&gt;"Y","Warning","Good")),IF($P70="","Critical",IF($P70="partial","Warning",IF($P70="ready","Good","Critical"))),IF($R70&lt;&gt;"","Critical","Warning"),IF($L70="","Critical",IF($N70="","Warning","Good")),IF($R70&lt;&gt;"","Critical","Warning"),IF($R70&lt;&gt;"","Critical","Warning"),IF($Q70="Y","Good","Critical")))</f>
        <v/>
      </c>
      <c r="AI70" s="65" t="str">
        <f aca="false">IF($Y70="","",CHOOSE($Y70,IF(OR(TRIM($F70)="",ISNUMBER(SEARCH("not named",$F70))),"Name a sponsor accountable for the value",""),IF($O70&lt;&gt;"Y","State the success metric and the stop condition",IF($Q70&lt;&gt;"Y","Set the baseline the benefit will be measured against","")),IF($P70="","Assess data readiness and regulatory impact",IF($P70="partial","Close the known data gaps",IF($P70="ready","","Data is not available; reshape or park"))),IF($R70&lt;&gt;"",IF(OR(ISNUMBER(SEARCH("mrm",$R70)),ISNUMBER(SEARCH("model",$R70)),ISNUMBER(SEARCH("risk",$R70)),ISNUMBER(SEARCH("legal",$R70)),ISNUMBER(SEARCH("complian",$R70))),"Awaiting ","Held at the design gate: ")&amp;$R70,"Map the governance framework for its tier"),IF($L70="","Size the annual benefit",IF($N70="","Score it so it can be ranked against capacity","")),IF($R70&lt;&gt;"","Build held: "&amp;$R70,"In build, not yet through test"),IF($R70&lt;&gt;"","Not ready to scale: "&amp;$R70,"Monitoring and third-party review not yet signed off"),IF($Q70="Y","","Live without a measured baseline to judge it against")))</f>
        <v/>
      </c>
      <c r="AJ70" s="65" t="str">
        <f aca="false">IF($Y70="","",INDEX(StageForum,$Y70))</f>
        <v/>
      </c>
      <c r="AK70" s="65" t="str">
        <f aca="false">IF($Y70="","",IF(OR($X70="Delivery",$X70="Value"),"Committed",IF($N70&lt;&gt;"","Candidate","")))</f>
        <v/>
      </c>
      <c r="AL70" s="65" t="str">
        <f aca="false">IF($AK70&lt;&gt;"Candidate","",COUNTIFS($AK$2:$AK$501,"Candidate",$N$2:$N$501,"&gt;"&amp;$N70)+COUNTIFS($AK$2:$AK$501,"Candidate",$N$2:$N$501,$N70,$A$2:$A$501,"&lt;"&amp;$A70)+1)</f>
        <v/>
      </c>
      <c r="AM70" s="65" t="str">
        <f aca="false">IF($AL70="","",SUMIFS($M$2:$M$501,$AK$2:$AK$501,"Candidate",$AL$2:$AL$501,"&lt;="&amp;$AL70))</f>
        <v/>
      </c>
      <c r="AN70" s="65" t="str">
        <f aca="false">IF($AL70="","",IF($AM70&lt;=CapacityOpen,"Fits","Below line"))</f>
        <v/>
      </c>
      <c r="AO70" s="65" t="str">
        <f aca="false">IF($A70="","",IF($X70="Closed","",IF($X70="Unmapped","Warning",IF(OR($AB70="Overdue",$V70="Y",$AH70="Critical"),"Critical",IF(OR($AB70="At risk",$AC70="Stale",$AG70="Over"),"Warning","")))))</f>
        <v/>
      </c>
      <c r="AP70" s="65" t="str">
        <f aca="false">IF($AO70="","",IF($AO70="Critical",3000,2000)-IF($Z70="",0,$Z70)+ROW()/100000)</f>
        <v/>
      </c>
      <c r="AQ70" s="65" t="str">
        <f aca="false">IF($AO70="","",IF($X70="Unmapped","Status '"&amp;$C70&amp;"' is not in the Config map",IF($V70="Y","Flagged in Jira",IF($AB70="Overdue",-$Z70&amp;" days past its "&amp;$X70&amp;" target",IF($AH70="Critical",$AI70,IF($AB70="At risk","Target in "&amp;$Z70&amp;" days",IF($AC70="Stale","No update in "&amp;$AA70&amp;" days","Past its "&amp;$AE70&amp;"-day tier window")))))))</f>
        <v/>
      </c>
      <c r="AR70" s="65" t="str">
        <f aca="false">IF($AO70="","","draft Jira update for "&amp;$A70)</f>
        <v/>
      </c>
      <c r="AS70" s="65" t="str">
        <f aca="false">IF($A70="","",HYPERLINK(JiraSite&amp;"/browse/"&amp;$A70,"open"))</f>
        <v/>
      </c>
      <c r="AT70" s="65" t="str">
        <f aca="false">IF($Y70="","",$Y70*1000+ROW())</f>
        <v/>
      </c>
      <c r="AU70" s="65" t="str">
        <f aca="false">IF(AND($A70&lt;&gt;"",$G70&gt;=WeekStart),$G70+ROW()/100000,"")</f>
        <v/>
      </c>
      <c r="AV70" s="65" t="str">
        <f aca="false">IF($A70="","",IF(OR(AND($S70&lt;&gt;"",$S70&gt;=WeekStart),AND($U70&lt;&gt;"",$U70&gt;=WeekStart)),MAX($S70,$U70)+ROW()/100000,""))</f>
        <v/>
      </c>
      <c r="AW70" s="65" t="str">
        <f aca="false">IF($AV70="","",IF($T70&lt;&gt;"",$T70,IF($X70="Closed","Closed","Accepted to "&amp;$X70)))</f>
        <v/>
      </c>
      <c r="AX70" s="65" t="str">
        <f aca="false">IF(AND($Y70&lt;&gt;"",$R70&lt;&gt;""),$AF70+ROW()/100000,"")</f>
        <v/>
      </c>
      <c r="AY70" s="65" t="str">
        <f aca="false">IF(AND($Y70&lt;&gt;"",OR($AB70="Overdue",AND($AH70="Critical",$R70&lt;&gt;""))),$AF70+ROW()/100000,"")</f>
        <v/>
      </c>
      <c r="AZ70" s="65" t="str">
        <f aca="false">IF($AH70="Critical",$AF70+ROW()/100000,"")</f>
        <v/>
      </c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63"/>
      <c r="H71" s="63"/>
      <c r="I71" s="63"/>
      <c r="J71" s="28"/>
      <c r="K71" s="28"/>
      <c r="L71" s="28"/>
      <c r="M71" s="28"/>
      <c r="N71" s="28"/>
      <c r="O71" s="64"/>
      <c r="P71" s="64"/>
      <c r="Q71" s="64"/>
      <c r="R71" s="28"/>
      <c r="S71" s="63"/>
      <c r="T71" s="64"/>
      <c r="U71" s="63"/>
      <c r="V71" s="64"/>
      <c r="W71" s="28"/>
      <c r="X71" s="65" t="str">
        <f aca="false">IF($A71="","",IF(OR($T71&lt;&gt;"",$U71&lt;&gt;""),"Closed",IFERROR(INDEX(MapStage,MATCH($C71,MapStatus,0)),"Unmapped")))</f>
        <v/>
      </c>
      <c r="Y71" s="65" t="str">
        <f aca="false">IF(OR($X71="",$X71="Closed",$X71="Unmapped"),"",MATCH($X71,StageName,0))</f>
        <v/>
      </c>
      <c r="Z71" s="65" t="str">
        <f aca="false">IF(OR($Y71="",$I71=""),"",$I71-AsOf)</f>
        <v/>
      </c>
      <c r="AA71" s="65" t="str">
        <f aca="false">IF($A71="","",AsOf-$H71)</f>
        <v/>
      </c>
      <c r="AB71" s="65" t="str">
        <f aca="false">IF($A71="","",IF($X71="Closed","Closed",IF($X71="Unmapped","Unmapped",IF($I71="","No target",IF($Z71&lt;0,"Overdue",IF($Z71&lt;=INDEX(StageWindow,$Y71),"At risk","On track"))))))</f>
        <v/>
      </c>
      <c r="AC71" s="65" t="str">
        <f aca="false">IF($Y71="","",IF($AA71&gt;2*INDEX(StageStale,$Y71),"Stale",IF($AA71&gt;INDEX(StageStale,$Y71),"Aging","Fresh")))</f>
        <v/>
      </c>
      <c r="AD71" s="65" t="str">
        <f aca="false">IF($A71="","",IF(OR(ISNUMBER(SEARCH("Reg report",$J71)),ISNUMBER(SEARCH("No human review",$J71)),COUNTIF(TierFuncs,$D71)&gt;0),"High",IF(OR(TRIM($J71)&lt;&gt;"",ISNUMBER(SEARCH("revenue",$K71))),"Medium","Low")))</f>
        <v/>
      </c>
      <c r="AE71" s="65" t="str">
        <f aca="false">IF($A71="","",INDEX(TierDays,MATCH($AD71,TierName,0)))</f>
        <v/>
      </c>
      <c r="AF71" s="65" t="str">
        <f aca="false">IF($A71="","",AsOf-$G71)</f>
        <v/>
      </c>
      <c r="AG71" s="65" t="str">
        <f aca="false">IF($Y71="","",IF($Y71&lt;=5,IF($AF71&gt;$AE71,"Over","Inside"),"Past approval"))</f>
        <v/>
      </c>
      <c r="AH71" s="65" t="str">
        <f aca="false">IF($Y71="","",CHOOSE($Y71,IF(OR(TRIM($F71)="",ISNUMBER(SEARCH("not named",$F71))),"Critical","Good"),IF($O71&lt;&gt;"Y","Critical",IF($Q71&lt;&gt;"Y","Warning","Good")),IF($P71="","Critical",IF($P71="partial","Warning",IF($P71="ready","Good","Critical"))),IF($R71&lt;&gt;"","Critical","Warning"),IF($L71="","Critical",IF($N71="","Warning","Good")),IF($R71&lt;&gt;"","Critical","Warning"),IF($R71&lt;&gt;"","Critical","Warning"),IF($Q71="Y","Good","Critical")))</f>
        <v/>
      </c>
      <c r="AI71" s="65" t="str">
        <f aca="false">IF($Y71="","",CHOOSE($Y71,IF(OR(TRIM($F71)="",ISNUMBER(SEARCH("not named",$F71))),"Name a sponsor accountable for the value",""),IF($O71&lt;&gt;"Y","State the success metric and the stop condition",IF($Q71&lt;&gt;"Y","Set the baseline the benefit will be measured against","")),IF($P71="","Assess data readiness and regulatory impact",IF($P71="partial","Close the known data gaps",IF($P71="ready","","Data is not available; reshape or park"))),IF($R71&lt;&gt;"",IF(OR(ISNUMBER(SEARCH("mrm",$R71)),ISNUMBER(SEARCH("model",$R71)),ISNUMBER(SEARCH("risk",$R71)),ISNUMBER(SEARCH("legal",$R71)),ISNUMBER(SEARCH("complian",$R71))),"Awaiting ","Held at the design gate: ")&amp;$R71,"Map the governance framework for its tier"),IF($L71="","Size the annual benefit",IF($N71="","Score it so it can be ranked against capacity","")),IF($R71&lt;&gt;"","Build held: "&amp;$R71,"In build, not yet through test"),IF($R71&lt;&gt;"","Not ready to scale: "&amp;$R71,"Monitoring and third-party review not yet signed off"),IF($Q71="Y","","Live without a measured baseline to judge it against")))</f>
        <v/>
      </c>
      <c r="AJ71" s="65" t="str">
        <f aca="false">IF($Y71="","",INDEX(StageForum,$Y71))</f>
        <v/>
      </c>
      <c r="AK71" s="65" t="str">
        <f aca="false">IF($Y71="","",IF(OR($X71="Delivery",$X71="Value"),"Committed",IF($N71&lt;&gt;"","Candidate","")))</f>
        <v/>
      </c>
      <c r="AL71" s="65" t="str">
        <f aca="false">IF($AK71&lt;&gt;"Candidate","",COUNTIFS($AK$2:$AK$501,"Candidate",$N$2:$N$501,"&gt;"&amp;$N71)+COUNTIFS($AK$2:$AK$501,"Candidate",$N$2:$N$501,$N71,$A$2:$A$501,"&lt;"&amp;$A71)+1)</f>
        <v/>
      </c>
      <c r="AM71" s="65" t="str">
        <f aca="false">IF($AL71="","",SUMIFS($M$2:$M$501,$AK$2:$AK$501,"Candidate",$AL$2:$AL$501,"&lt;="&amp;$AL71))</f>
        <v/>
      </c>
      <c r="AN71" s="65" t="str">
        <f aca="false">IF($AL71="","",IF($AM71&lt;=CapacityOpen,"Fits","Below line"))</f>
        <v/>
      </c>
      <c r="AO71" s="65" t="str">
        <f aca="false">IF($A71="","",IF($X71="Closed","",IF($X71="Unmapped","Warning",IF(OR($AB71="Overdue",$V71="Y",$AH71="Critical"),"Critical",IF(OR($AB71="At risk",$AC71="Stale",$AG71="Over"),"Warning","")))))</f>
        <v/>
      </c>
      <c r="AP71" s="65" t="str">
        <f aca="false">IF($AO71="","",IF($AO71="Critical",3000,2000)-IF($Z71="",0,$Z71)+ROW()/100000)</f>
        <v/>
      </c>
      <c r="AQ71" s="65" t="str">
        <f aca="false">IF($AO71="","",IF($X71="Unmapped","Status '"&amp;$C71&amp;"' is not in the Config map",IF($V71="Y","Flagged in Jira",IF($AB71="Overdue",-$Z71&amp;" days past its "&amp;$X71&amp;" target",IF($AH71="Critical",$AI71,IF($AB71="At risk","Target in "&amp;$Z71&amp;" days",IF($AC71="Stale","No update in "&amp;$AA71&amp;" days","Past its "&amp;$AE71&amp;"-day tier window")))))))</f>
        <v/>
      </c>
      <c r="AR71" s="65" t="str">
        <f aca="false">IF($AO71="","","draft Jira update for "&amp;$A71)</f>
        <v/>
      </c>
      <c r="AS71" s="65" t="str">
        <f aca="false">IF($A71="","",HYPERLINK(JiraSite&amp;"/browse/"&amp;$A71,"open"))</f>
        <v/>
      </c>
      <c r="AT71" s="65" t="str">
        <f aca="false">IF($Y71="","",$Y71*1000+ROW())</f>
        <v/>
      </c>
      <c r="AU71" s="65" t="str">
        <f aca="false">IF(AND($A71&lt;&gt;"",$G71&gt;=WeekStart),$G71+ROW()/100000,"")</f>
        <v/>
      </c>
      <c r="AV71" s="65" t="str">
        <f aca="false">IF($A71="","",IF(OR(AND($S71&lt;&gt;"",$S71&gt;=WeekStart),AND($U71&lt;&gt;"",$U71&gt;=WeekStart)),MAX($S71,$U71)+ROW()/100000,""))</f>
        <v/>
      </c>
      <c r="AW71" s="65" t="str">
        <f aca="false">IF($AV71="","",IF($T71&lt;&gt;"",$T71,IF($X71="Closed","Closed","Accepted to "&amp;$X71)))</f>
        <v/>
      </c>
      <c r="AX71" s="65" t="str">
        <f aca="false">IF(AND($Y71&lt;&gt;"",$R71&lt;&gt;""),$AF71+ROW()/100000,"")</f>
        <v/>
      </c>
      <c r="AY71" s="65" t="str">
        <f aca="false">IF(AND($Y71&lt;&gt;"",OR($AB71="Overdue",AND($AH71="Critical",$R71&lt;&gt;""))),$AF71+ROW()/100000,"")</f>
        <v/>
      </c>
      <c r="AZ71" s="65" t="str">
        <f aca="false">IF($AH71="Critical",$AF71+ROW()/100000,"")</f>
        <v/>
      </c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63"/>
      <c r="H72" s="63"/>
      <c r="I72" s="63"/>
      <c r="J72" s="28"/>
      <c r="K72" s="28"/>
      <c r="L72" s="28"/>
      <c r="M72" s="28"/>
      <c r="N72" s="28"/>
      <c r="O72" s="64"/>
      <c r="P72" s="64"/>
      <c r="Q72" s="64"/>
      <c r="R72" s="28"/>
      <c r="S72" s="63"/>
      <c r="T72" s="64"/>
      <c r="U72" s="63"/>
      <c r="V72" s="64"/>
      <c r="W72" s="28"/>
      <c r="X72" s="65" t="str">
        <f aca="false">IF($A72="","",IF(OR($T72&lt;&gt;"",$U72&lt;&gt;""),"Closed",IFERROR(INDEX(MapStage,MATCH($C72,MapStatus,0)),"Unmapped")))</f>
        <v/>
      </c>
      <c r="Y72" s="65" t="str">
        <f aca="false">IF(OR($X72="",$X72="Closed",$X72="Unmapped"),"",MATCH($X72,StageName,0))</f>
        <v/>
      </c>
      <c r="Z72" s="65" t="str">
        <f aca="false">IF(OR($Y72="",$I72=""),"",$I72-AsOf)</f>
        <v/>
      </c>
      <c r="AA72" s="65" t="str">
        <f aca="false">IF($A72="","",AsOf-$H72)</f>
        <v/>
      </c>
      <c r="AB72" s="65" t="str">
        <f aca="false">IF($A72="","",IF($X72="Closed","Closed",IF($X72="Unmapped","Unmapped",IF($I72="","No target",IF($Z72&lt;0,"Overdue",IF($Z72&lt;=INDEX(StageWindow,$Y72),"At risk","On track"))))))</f>
        <v/>
      </c>
      <c r="AC72" s="65" t="str">
        <f aca="false">IF($Y72="","",IF($AA72&gt;2*INDEX(StageStale,$Y72),"Stale",IF($AA72&gt;INDEX(StageStale,$Y72),"Aging","Fresh")))</f>
        <v/>
      </c>
      <c r="AD72" s="65" t="str">
        <f aca="false">IF($A72="","",IF(OR(ISNUMBER(SEARCH("Reg report",$J72)),ISNUMBER(SEARCH("No human review",$J72)),COUNTIF(TierFuncs,$D72)&gt;0),"High",IF(OR(TRIM($J72)&lt;&gt;"",ISNUMBER(SEARCH("revenue",$K72))),"Medium","Low")))</f>
        <v/>
      </c>
      <c r="AE72" s="65" t="str">
        <f aca="false">IF($A72="","",INDEX(TierDays,MATCH($AD72,TierName,0)))</f>
        <v/>
      </c>
      <c r="AF72" s="65" t="str">
        <f aca="false">IF($A72="","",AsOf-$G72)</f>
        <v/>
      </c>
      <c r="AG72" s="65" t="str">
        <f aca="false">IF($Y72="","",IF($Y72&lt;=5,IF($AF72&gt;$AE72,"Over","Inside"),"Past approval"))</f>
        <v/>
      </c>
      <c r="AH72" s="65" t="str">
        <f aca="false">IF($Y72="","",CHOOSE($Y72,IF(OR(TRIM($F72)="",ISNUMBER(SEARCH("not named",$F72))),"Critical","Good"),IF($O72&lt;&gt;"Y","Critical",IF($Q72&lt;&gt;"Y","Warning","Good")),IF($P72="","Critical",IF($P72="partial","Warning",IF($P72="ready","Good","Critical"))),IF($R72&lt;&gt;"","Critical","Warning"),IF($L72="","Critical",IF($N72="","Warning","Good")),IF($R72&lt;&gt;"","Critical","Warning"),IF($R72&lt;&gt;"","Critical","Warning"),IF($Q72="Y","Good","Critical")))</f>
        <v/>
      </c>
      <c r="AI72" s="65" t="str">
        <f aca="false">IF($Y72="","",CHOOSE($Y72,IF(OR(TRIM($F72)="",ISNUMBER(SEARCH("not named",$F72))),"Name a sponsor accountable for the value",""),IF($O72&lt;&gt;"Y","State the success metric and the stop condition",IF($Q72&lt;&gt;"Y","Set the baseline the benefit will be measured against","")),IF($P72="","Assess data readiness and regulatory impact",IF($P72="partial","Close the known data gaps",IF($P72="ready","","Data is not available; reshape or park"))),IF($R72&lt;&gt;"",IF(OR(ISNUMBER(SEARCH("mrm",$R72)),ISNUMBER(SEARCH("model",$R72)),ISNUMBER(SEARCH("risk",$R72)),ISNUMBER(SEARCH("legal",$R72)),ISNUMBER(SEARCH("complian",$R72))),"Awaiting ","Held at the design gate: ")&amp;$R72,"Map the governance framework for its tier"),IF($L72="","Size the annual benefit",IF($N72="","Score it so it can be ranked against capacity","")),IF($R72&lt;&gt;"","Build held: "&amp;$R72,"In build, not yet through test"),IF($R72&lt;&gt;"","Not ready to scale: "&amp;$R72,"Monitoring and third-party review not yet signed off"),IF($Q72="Y","","Live without a measured baseline to judge it against")))</f>
        <v/>
      </c>
      <c r="AJ72" s="65" t="str">
        <f aca="false">IF($Y72="","",INDEX(StageForum,$Y72))</f>
        <v/>
      </c>
      <c r="AK72" s="65" t="str">
        <f aca="false">IF($Y72="","",IF(OR($X72="Delivery",$X72="Value"),"Committed",IF($N72&lt;&gt;"","Candidate","")))</f>
        <v/>
      </c>
      <c r="AL72" s="65" t="str">
        <f aca="false">IF($AK72&lt;&gt;"Candidate","",COUNTIFS($AK$2:$AK$501,"Candidate",$N$2:$N$501,"&gt;"&amp;$N72)+COUNTIFS($AK$2:$AK$501,"Candidate",$N$2:$N$501,$N72,$A$2:$A$501,"&lt;"&amp;$A72)+1)</f>
        <v/>
      </c>
      <c r="AM72" s="65" t="str">
        <f aca="false">IF($AL72="","",SUMIFS($M$2:$M$501,$AK$2:$AK$501,"Candidate",$AL$2:$AL$501,"&lt;="&amp;$AL72))</f>
        <v/>
      </c>
      <c r="AN72" s="65" t="str">
        <f aca="false">IF($AL72="","",IF($AM72&lt;=CapacityOpen,"Fits","Below line"))</f>
        <v/>
      </c>
      <c r="AO72" s="65" t="str">
        <f aca="false">IF($A72="","",IF($X72="Closed","",IF($X72="Unmapped","Warning",IF(OR($AB72="Overdue",$V72="Y",$AH72="Critical"),"Critical",IF(OR($AB72="At risk",$AC72="Stale",$AG72="Over"),"Warning","")))))</f>
        <v/>
      </c>
      <c r="AP72" s="65" t="str">
        <f aca="false">IF($AO72="","",IF($AO72="Critical",3000,2000)-IF($Z72="",0,$Z72)+ROW()/100000)</f>
        <v/>
      </c>
      <c r="AQ72" s="65" t="str">
        <f aca="false">IF($AO72="","",IF($X72="Unmapped","Status '"&amp;$C72&amp;"' is not in the Config map",IF($V72="Y","Flagged in Jira",IF($AB72="Overdue",-$Z72&amp;" days past its "&amp;$X72&amp;" target",IF($AH72="Critical",$AI72,IF($AB72="At risk","Target in "&amp;$Z72&amp;" days",IF($AC72="Stale","No update in "&amp;$AA72&amp;" days","Past its "&amp;$AE72&amp;"-day tier window")))))))</f>
        <v/>
      </c>
      <c r="AR72" s="65" t="str">
        <f aca="false">IF($AO72="","","draft Jira update for "&amp;$A72)</f>
        <v/>
      </c>
      <c r="AS72" s="65" t="str">
        <f aca="false">IF($A72="","",HYPERLINK(JiraSite&amp;"/browse/"&amp;$A72,"open"))</f>
        <v/>
      </c>
      <c r="AT72" s="65" t="str">
        <f aca="false">IF($Y72="","",$Y72*1000+ROW())</f>
        <v/>
      </c>
      <c r="AU72" s="65" t="str">
        <f aca="false">IF(AND($A72&lt;&gt;"",$G72&gt;=WeekStart),$G72+ROW()/100000,"")</f>
        <v/>
      </c>
      <c r="AV72" s="65" t="str">
        <f aca="false">IF($A72="","",IF(OR(AND($S72&lt;&gt;"",$S72&gt;=WeekStart),AND($U72&lt;&gt;"",$U72&gt;=WeekStart)),MAX($S72,$U72)+ROW()/100000,""))</f>
        <v/>
      </c>
      <c r="AW72" s="65" t="str">
        <f aca="false">IF($AV72="","",IF($T72&lt;&gt;"",$T72,IF($X72="Closed","Closed","Accepted to "&amp;$X72)))</f>
        <v/>
      </c>
      <c r="AX72" s="65" t="str">
        <f aca="false">IF(AND($Y72&lt;&gt;"",$R72&lt;&gt;""),$AF72+ROW()/100000,"")</f>
        <v/>
      </c>
      <c r="AY72" s="65" t="str">
        <f aca="false">IF(AND($Y72&lt;&gt;"",OR($AB72="Overdue",AND($AH72="Critical",$R72&lt;&gt;""))),$AF72+ROW()/100000,"")</f>
        <v/>
      </c>
      <c r="AZ72" s="65" t="str">
        <f aca="false">IF($AH72="Critical",$AF72+ROW()/100000,"")</f>
        <v/>
      </c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63"/>
      <c r="H73" s="63"/>
      <c r="I73" s="63"/>
      <c r="J73" s="28"/>
      <c r="K73" s="28"/>
      <c r="L73" s="28"/>
      <c r="M73" s="28"/>
      <c r="N73" s="28"/>
      <c r="O73" s="64"/>
      <c r="P73" s="64"/>
      <c r="Q73" s="64"/>
      <c r="R73" s="28"/>
      <c r="S73" s="63"/>
      <c r="T73" s="64"/>
      <c r="U73" s="63"/>
      <c r="V73" s="64"/>
      <c r="W73" s="28"/>
      <c r="X73" s="65" t="str">
        <f aca="false">IF($A73="","",IF(OR($T73&lt;&gt;"",$U73&lt;&gt;""),"Closed",IFERROR(INDEX(MapStage,MATCH($C73,MapStatus,0)),"Unmapped")))</f>
        <v/>
      </c>
      <c r="Y73" s="65" t="str">
        <f aca="false">IF(OR($X73="",$X73="Closed",$X73="Unmapped"),"",MATCH($X73,StageName,0))</f>
        <v/>
      </c>
      <c r="Z73" s="65" t="str">
        <f aca="false">IF(OR($Y73="",$I73=""),"",$I73-AsOf)</f>
        <v/>
      </c>
      <c r="AA73" s="65" t="str">
        <f aca="false">IF($A73="","",AsOf-$H73)</f>
        <v/>
      </c>
      <c r="AB73" s="65" t="str">
        <f aca="false">IF($A73="","",IF($X73="Closed","Closed",IF($X73="Unmapped","Unmapped",IF($I73="","No target",IF($Z73&lt;0,"Overdue",IF($Z73&lt;=INDEX(StageWindow,$Y73),"At risk","On track"))))))</f>
        <v/>
      </c>
      <c r="AC73" s="65" t="str">
        <f aca="false">IF($Y73="","",IF($AA73&gt;2*INDEX(StageStale,$Y73),"Stale",IF($AA73&gt;INDEX(StageStale,$Y73),"Aging","Fresh")))</f>
        <v/>
      </c>
      <c r="AD73" s="65" t="str">
        <f aca="false">IF($A73="","",IF(OR(ISNUMBER(SEARCH("Reg report",$J73)),ISNUMBER(SEARCH("No human review",$J73)),COUNTIF(TierFuncs,$D73)&gt;0),"High",IF(OR(TRIM($J73)&lt;&gt;"",ISNUMBER(SEARCH("revenue",$K73))),"Medium","Low")))</f>
        <v/>
      </c>
      <c r="AE73" s="65" t="str">
        <f aca="false">IF($A73="","",INDEX(TierDays,MATCH($AD73,TierName,0)))</f>
        <v/>
      </c>
      <c r="AF73" s="65" t="str">
        <f aca="false">IF($A73="","",AsOf-$G73)</f>
        <v/>
      </c>
      <c r="AG73" s="65" t="str">
        <f aca="false">IF($Y73="","",IF($Y73&lt;=5,IF($AF73&gt;$AE73,"Over","Inside"),"Past approval"))</f>
        <v/>
      </c>
      <c r="AH73" s="65" t="str">
        <f aca="false">IF($Y73="","",CHOOSE($Y73,IF(OR(TRIM($F73)="",ISNUMBER(SEARCH("not named",$F73))),"Critical","Good"),IF($O73&lt;&gt;"Y","Critical",IF($Q73&lt;&gt;"Y","Warning","Good")),IF($P73="","Critical",IF($P73="partial","Warning",IF($P73="ready","Good","Critical"))),IF($R73&lt;&gt;"","Critical","Warning"),IF($L73="","Critical",IF($N73="","Warning","Good")),IF($R73&lt;&gt;"","Critical","Warning"),IF($R73&lt;&gt;"","Critical","Warning"),IF($Q73="Y","Good","Critical")))</f>
        <v/>
      </c>
      <c r="AI73" s="65" t="str">
        <f aca="false">IF($Y73="","",CHOOSE($Y73,IF(OR(TRIM($F73)="",ISNUMBER(SEARCH("not named",$F73))),"Name a sponsor accountable for the value",""),IF($O73&lt;&gt;"Y","State the success metric and the stop condition",IF($Q73&lt;&gt;"Y","Set the baseline the benefit will be measured against","")),IF($P73="","Assess data readiness and regulatory impact",IF($P73="partial","Close the known data gaps",IF($P73="ready","","Data is not available; reshape or park"))),IF($R73&lt;&gt;"",IF(OR(ISNUMBER(SEARCH("mrm",$R73)),ISNUMBER(SEARCH("model",$R73)),ISNUMBER(SEARCH("risk",$R73)),ISNUMBER(SEARCH("legal",$R73)),ISNUMBER(SEARCH("complian",$R73))),"Awaiting ","Held at the design gate: ")&amp;$R73,"Map the governance framework for its tier"),IF($L73="","Size the annual benefit",IF($N73="","Score it so it can be ranked against capacity","")),IF($R73&lt;&gt;"","Build held: "&amp;$R73,"In build, not yet through test"),IF($R73&lt;&gt;"","Not ready to scale: "&amp;$R73,"Monitoring and third-party review not yet signed off"),IF($Q73="Y","","Live without a measured baseline to judge it against")))</f>
        <v/>
      </c>
      <c r="AJ73" s="65" t="str">
        <f aca="false">IF($Y73="","",INDEX(StageForum,$Y73))</f>
        <v/>
      </c>
      <c r="AK73" s="65" t="str">
        <f aca="false">IF($Y73="","",IF(OR($X73="Delivery",$X73="Value"),"Committed",IF($N73&lt;&gt;"","Candidate","")))</f>
        <v/>
      </c>
      <c r="AL73" s="65" t="str">
        <f aca="false">IF($AK73&lt;&gt;"Candidate","",COUNTIFS($AK$2:$AK$501,"Candidate",$N$2:$N$501,"&gt;"&amp;$N73)+COUNTIFS($AK$2:$AK$501,"Candidate",$N$2:$N$501,$N73,$A$2:$A$501,"&lt;"&amp;$A73)+1)</f>
        <v/>
      </c>
      <c r="AM73" s="65" t="str">
        <f aca="false">IF($AL73="","",SUMIFS($M$2:$M$501,$AK$2:$AK$501,"Candidate",$AL$2:$AL$501,"&lt;="&amp;$AL73))</f>
        <v/>
      </c>
      <c r="AN73" s="65" t="str">
        <f aca="false">IF($AL73="","",IF($AM73&lt;=CapacityOpen,"Fits","Below line"))</f>
        <v/>
      </c>
      <c r="AO73" s="65" t="str">
        <f aca="false">IF($A73="","",IF($X73="Closed","",IF($X73="Unmapped","Warning",IF(OR($AB73="Overdue",$V73="Y",$AH73="Critical"),"Critical",IF(OR($AB73="At risk",$AC73="Stale",$AG73="Over"),"Warning","")))))</f>
        <v/>
      </c>
      <c r="AP73" s="65" t="str">
        <f aca="false">IF($AO73="","",IF($AO73="Critical",3000,2000)-IF($Z73="",0,$Z73)+ROW()/100000)</f>
        <v/>
      </c>
      <c r="AQ73" s="65" t="str">
        <f aca="false">IF($AO73="","",IF($X73="Unmapped","Status '"&amp;$C73&amp;"' is not in the Config map",IF($V73="Y","Flagged in Jira",IF($AB73="Overdue",-$Z73&amp;" days past its "&amp;$X73&amp;" target",IF($AH73="Critical",$AI73,IF($AB73="At risk","Target in "&amp;$Z73&amp;" days",IF($AC73="Stale","No update in "&amp;$AA73&amp;" days","Past its "&amp;$AE73&amp;"-day tier window")))))))</f>
        <v/>
      </c>
      <c r="AR73" s="65" t="str">
        <f aca="false">IF($AO73="","","draft Jira update for "&amp;$A73)</f>
        <v/>
      </c>
      <c r="AS73" s="65" t="str">
        <f aca="false">IF($A73="","",HYPERLINK(JiraSite&amp;"/browse/"&amp;$A73,"open"))</f>
        <v/>
      </c>
      <c r="AT73" s="65" t="str">
        <f aca="false">IF($Y73="","",$Y73*1000+ROW())</f>
        <v/>
      </c>
      <c r="AU73" s="65" t="str">
        <f aca="false">IF(AND($A73&lt;&gt;"",$G73&gt;=WeekStart),$G73+ROW()/100000,"")</f>
        <v/>
      </c>
      <c r="AV73" s="65" t="str">
        <f aca="false">IF($A73="","",IF(OR(AND($S73&lt;&gt;"",$S73&gt;=WeekStart),AND($U73&lt;&gt;"",$U73&gt;=WeekStart)),MAX($S73,$U73)+ROW()/100000,""))</f>
        <v/>
      </c>
      <c r="AW73" s="65" t="str">
        <f aca="false">IF($AV73="","",IF($T73&lt;&gt;"",$T73,IF($X73="Closed","Closed","Accepted to "&amp;$X73)))</f>
        <v/>
      </c>
      <c r="AX73" s="65" t="str">
        <f aca="false">IF(AND($Y73&lt;&gt;"",$R73&lt;&gt;""),$AF73+ROW()/100000,"")</f>
        <v/>
      </c>
      <c r="AY73" s="65" t="str">
        <f aca="false">IF(AND($Y73&lt;&gt;"",OR($AB73="Overdue",AND($AH73="Critical",$R73&lt;&gt;""))),$AF73+ROW()/100000,"")</f>
        <v/>
      </c>
      <c r="AZ73" s="65" t="str">
        <f aca="false">IF($AH73="Critical",$AF73+ROW()/100000,"")</f>
        <v/>
      </c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63"/>
      <c r="H74" s="63"/>
      <c r="I74" s="63"/>
      <c r="J74" s="28"/>
      <c r="K74" s="28"/>
      <c r="L74" s="28"/>
      <c r="M74" s="28"/>
      <c r="N74" s="28"/>
      <c r="O74" s="64"/>
      <c r="P74" s="64"/>
      <c r="Q74" s="64"/>
      <c r="R74" s="28"/>
      <c r="S74" s="63"/>
      <c r="T74" s="64"/>
      <c r="U74" s="63"/>
      <c r="V74" s="64"/>
      <c r="W74" s="28"/>
      <c r="X74" s="65" t="str">
        <f aca="false">IF($A74="","",IF(OR($T74&lt;&gt;"",$U74&lt;&gt;""),"Closed",IFERROR(INDEX(MapStage,MATCH($C74,MapStatus,0)),"Unmapped")))</f>
        <v/>
      </c>
      <c r="Y74" s="65" t="str">
        <f aca="false">IF(OR($X74="",$X74="Closed",$X74="Unmapped"),"",MATCH($X74,StageName,0))</f>
        <v/>
      </c>
      <c r="Z74" s="65" t="str">
        <f aca="false">IF(OR($Y74="",$I74=""),"",$I74-AsOf)</f>
        <v/>
      </c>
      <c r="AA74" s="65" t="str">
        <f aca="false">IF($A74="","",AsOf-$H74)</f>
        <v/>
      </c>
      <c r="AB74" s="65" t="str">
        <f aca="false">IF($A74="","",IF($X74="Closed","Closed",IF($X74="Unmapped","Unmapped",IF($I74="","No target",IF($Z74&lt;0,"Overdue",IF($Z74&lt;=INDEX(StageWindow,$Y74),"At risk","On track"))))))</f>
        <v/>
      </c>
      <c r="AC74" s="65" t="str">
        <f aca="false">IF($Y74="","",IF($AA74&gt;2*INDEX(StageStale,$Y74),"Stale",IF($AA74&gt;INDEX(StageStale,$Y74),"Aging","Fresh")))</f>
        <v/>
      </c>
      <c r="AD74" s="65" t="str">
        <f aca="false">IF($A74="","",IF(OR(ISNUMBER(SEARCH("Reg report",$J74)),ISNUMBER(SEARCH("No human review",$J74)),COUNTIF(TierFuncs,$D74)&gt;0),"High",IF(OR(TRIM($J74)&lt;&gt;"",ISNUMBER(SEARCH("revenue",$K74))),"Medium","Low")))</f>
        <v/>
      </c>
      <c r="AE74" s="65" t="str">
        <f aca="false">IF($A74="","",INDEX(TierDays,MATCH($AD74,TierName,0)))</f>
        <v/>
      </c>
      <c r="AF74" s="65" t="str">
        <f aca="false">IF($A74="","",AsOf-$G74)</f>
        <v/>
      </c>
      <c r="AG74" s="65" t="str">
        <f aca="false">IF($Y74="","",IF($Y74&lt;=5,IF($AF74&gt;$AE74,"Over","Inside"),"Past approval"))</f>
        <v/>
      </c>
      <c r="AH74" s="65" t="str">
        <f aca="false">IF($Y74="","",CHOOSE($Y74,IF(OR(TRIM($F74)="",ISNUMBER(SEARCH("not named",$F74))),"Critical","Good"),IF($O74&lt;&gt;"Y","Critical",IF($Q74&lt;&gt;"Y","Warning","Good")),IF($P74="","Critical",IF($P74="partial","Warning",IF($P74="ready","Good","Critical"))),IF($R74&lt;&gt;"","Critical","Warning"),IF($L74="","Critical",IF($N74="","Warning","Good")),IF($R74&lt;&gt;"","Critical","Warning"),IF($R74&lt;&gt;"","Critical","Warning"),IF($Q74="Y","Good","Critical")))</f>
        <v/>
      </c>
      <c r="AI74" s="65" t="str">
        <f aca="false">IF($Y74="","",CHOOSE($Y74,IF(OR(TRIM($F74)="",ISNUMBER(SEARCH("not named",$F74))),"Name a sponsor accountable for the value",""),IF($O74&lt;&gt;"Y","State the success metric and the stop condition",IF($Q74&lt;&gt;"Y","Set the baseline the benefit will be measured against","")),IF($P74="","Assess data readiness and regulatory impact",IF($P74="partial","Close the known data gaps",IF($P74="ready","","Data is not available; reshape or park"))),IF($R74&lt;&gt;"",IF(OR(ISNUMBER(SEARCH("mrm",$R74)),ISNUMBER(SEARCH("model",$R74)),ISNUMBER(SEARCH("risk",$R74)),ISNUMBER(SEARCH("legal",$R74)),ISNUMBER(SEARCH("complian",$R74))),"Awaiting ","Held at the design gate: ")&amp;$R74,"Map the governance framework for its tier"),IF($L74="","Size the annual benefit",IF($N74="","Score it so it can be ranked against capacity","")),IF($R74&lt;&gt;"","Build held: "&amp;$R74,"In build, not yet through test"),IF($R74&lt;&gt;"","Not ready to scale: "&amp;$R74,"Monitoring and third-party review not yet signed off"),IF($Q74="Y","","Live without a measured baseline to judge it against")))</f>
        <v/>
      </c>
      <c r="AJ74" s="65" t="str">
        <f aca="false">IF($Y74="","",INDEX(StageForum,$Y74))</f>
        <v/>
      </c>
      <c r="AK74" s="65" t="str">
        <f aca="false">IF($Y74="","",IF(OR($X74="Delivery",$X74="Value"),"Committed",IF($N74&lt;&gt;"","Candidate","")))</f>
        <v/>
      </c>
      <c r="AL74" s="65" t="str">
        <f aca="false">IF($AK74&lt;&gt;"Candidate","",COUNTIFS($AK$2:$AK$501,"Candidate",$N$2:$N$501,"&gt;"&amp;$N74)+COUNTIFS($AK$2:$AK$501,"Candidate",$N$2:$N$501,$N74,$A$2:$A$501,"&lt;"&amp;$A74)+1)</f>
        <v/>
      </c>
      <c r="AM74" s="65" t="str">
        <f aca="false">IF($AL74="","",SUMIFS($M$2:$M$501,$AK$2:$AK$501,"Candidate",$AL$2:$AL$501,"&lt;="&amp;$AL74))</f>
        <v/>
      </c>
      <c r="AN74" s="65" t="str">
        <f aca="false">IF($AL74="","",IF($AM74&lt;=CapacityOpen,"Fits","Below line"))</f>
        <v/>
      </c>
      <c r="AO74" s="65" t="str">
        <f aca="false">IF($A74="","",IF($X74="Closed","",IF($X74="Unmapped","Warning",IF(OR($AB74="Overdue",$V74="Y",$AH74="Critical"),"Critical",IF(OR($AB74="At risk",$AC74="Stale",$AG74="Over"),"Warning","")))))</f>
        <v/>
      </c>
      <c r="AP74" s="65" t="str">
        <f aca="false">IF($AO74="","",IF($AO74="Critical",3000,2000)-IF($Z74="",0,$Z74)+ROW()/100000)</f>
        <v/>
      </c>
      <c r="AQ74" s="65" t="str">
        <f aca="false">IF($AO74="","",IF($X74="Unmapped","Status '"&amp;$C74&amp;"' is not in the Config map",IF($V74="Y","Flagged in Jira",IF($AB74="Overdue",-$Z74&amp;" days past its "&amp;$X74&amp;" target",IF($AH74="Critical",$AI74,IF($AB74="At risk","Target in "&amp;$Z74&amp;" days",IF($AC74="Stale","No update in "&amp;$AA74&amp;" days","Past its "&amp;$AE74&amp;"-day tier window")))))))</f>
        <v/>
      </c>
      <c r="AR74" s="65" t="str">
        <f aca="false">IF($AO74="","","draft Jira update for "&amp;$A74)</f>
        <v/>
      </c>
      <c r="AS74" s="65" t="str">
        <f aca="false">IF($A74="","",HYPERLINK(JiraSite&amp;"/browse/"&amp;$A74,"open"))</f>
        <v/>
      </c>
      <c r="AT74" s="65" t="str">
        <f aca="false">IF($Y74="","",$Y74*1000+ROW())</f>
        <v/>
      </c>
      <c r="AU74" s="65" t="str">
        <f aca="false">IF(AND($A74&lt;&gt;"",$G74&gt;=WeekStart),$G74+ROW()/100000,"")</f>
        <v/>
      </c>
      <c r="AV74" s="65" t="str">
        <f aca="false">IF($A74="","",IF(OR(AND($S74&lt;&gt;"",$S74&gt;=WeekStart),AND($U74&lt;&gt;"",$U74&gt;=WeekStart)),MAX($S74,$U74)+ROW()/100000,""))</f>
        <v/>
      </c>
      <c r="AW74" s="65" t="str">
        <f aca="false">IF($AV74="","",IF($T74&lt;&gt;"",$T74,IF($X74="Closed","Closed","Accepted to "&amp;$X74)))</f>
        <v/>
      </c>
      <c r="AX74" s="65" t="str">
        <f aca="false">IF(AND($Y74&lt;&gt;"",$R74&lt;&gt;""),$AF74+ROW()/100000,"")</f>
        <v/>
      </c>
      <c r="AY74" s="65" t="str">
        <f aca="false">IF(AND($Y74&lt;&gt;"",OR($AB74="Overdue",AND($AH74="Critical",$R74&lt;&gt;""))),$AF74+ROW()/100000,"")</f>
        <v/>
      </c>
      <c r="AZ74" s="65" t="str">
        <f aca="false">IF($AH74="Critical",$AF74+ROW()/100000,"")</f>
        <v/>
      </c>
    </row>
    <row r="75" customFormat="false" ht="15" hidden="false" customHeight="false" outlineLevel="0" collapsed="false">
      <c r="A75" s="28"/>
      <c r="B75" s="28"/>
      <c r="C75" s="28"/>
      <c r="D75" s="28"/>
      <c r="E75" s="28"/>
      <c r="F75" s="28"/>
      <c r="G75" s="63"/>
      <c r="H75" s="63"/>
      <c r="I75" s="63"/>
      <c r="J75" s="28"/>
      <c r="K75" s="28"/>
      <c r="L75" s="28"/>
      <c r="M75" s="28"/>
      <c r="N75" s="28"/>
      <c r="O75" s="64"/>
      <c r="P75" s="64"/>
      <c r="Q75" s="64"/>
      <c r="R75" s="28"/>
      <c r="S75" s="63"/>
      <c r="T75" s="64"/>
      <c r="U75" s="63"/>
      <c r="V75" s="64"/>
      <c r="W75" s="28"/>
      <c r="X75" s="65" t="str">
        <f aca="false">IF($A75="","",IF(OR($T75&lt;&gt;"",$U75&lt;&gt;""),"Closed",IFERROR(INDEX(MapStage,MATCH($C75,MapStatus,0)),"Unmapped")))</f>
        <v/>
      </c>
      <c r="Y75" s="65" t="str">
        <f aca="false">IF(OR($X75="",$X75="Closed",$X75="Unmapped"),"",MATCH($X75,StageName,0))</f>
        <v/>
      </c>
      <c r="Z75" s="65" t="str">
        <f aca="false">IF(OR($Y75="",$I75=""),"",$I75-AsOf)</f>
        <v/>
      </c>
      <c r="AA75" s="65" t="str">
        <f aca="false">IF($A75="","",AsOf-$H75)</f>
        <v/>
      </c>
      <c r="AB75" s="65" t="str">
        <f aca="false">IF($A75="","",IF($X75="Closed","Closed",IF($X75="Unmapped","Unmapped",IF($I75="","No target",IF($Z75&lt;0,"Overdue",IF($Z75&lt;=INDEX(StageWindow,$Y75),"At risk","On track"))))))</f>
        <v/>
      </c>
      <c r="AC75" s="65" t="str">
        <f aca="false">IF($Y75="","",IF($AA75&gt;2*INDEX(StageStale,$Y75),"Stale",IF($AA75&gt;INDEX(StageStale,$Y75),"Aging","Fresh")))</f>
        <v/>
      </c>
      <c r="AD75" s="65" t="str">
        <f aca="false">IF($A75="","",IF(OR(ISNUMBER(SEARCH("Reg report",$J75)),ISNUMBER(SEARCH("No human review",$J75)),COUNTIF(TierFuncs,$D75)&gt;0),"High",IF(OR(TRIM($J75)&lt;&gt;"",ISNUMBER(SEARCH("revenue",$K75))),"Medium","Low")))</f>
        <v/>
      </c>
      <c r="AE75" s="65" t="str">
        <f aca="false">IF($A75="","",INDEX(TierDays,MATCH($AD75,TierName,0)))</f>
        <v/>
      </c>
      <c r="AF75" s="65" t="str">
        <f aca="false">IF($A75="","",AsOf-$G75)</f>
        <v/>
      </c>
      <c r="AG75" s="65" t="str">
        <f aca="false">IF($Y75="","",IF($Y75&lt;=5,IF($AF75&gt;$AE75,"Over","Inside"),"Past approval"))</f>
        <v/>
      </c>
      <c r="AH75" s="65" t="str">
        <f aca="false">IF($Y75="","",CHOOSE($Y75,IF(OR(TRIM($F75)="",ISNUMBER(SEARCH("not named",$F75))),"Critical","Good"),IF($O75&lt;&gt;"Y","Critical",IF($Q75&lt;&gt;"Y","Warning","Good")),IF($P75="","Critical",IF($P75="partial","Warning",IF($P75="ready","Good","Critical"))),IF($R75&lt;&gt;"","Critical","Warning"),IF($L75="","Critical",IF($N75="","Warning","Good")),IF($R75&lt;&gt;"","Critical","Warning"),IF($R75&lt;&gt;"","Critical","Warning"),IF($Q75="Y","Good","Critical")))</f>
        <v/>
      </c>
      <c r="AI75" s="65" t="str">
        <f aca="false">IF($Y75="","",CHOOSE($Y75,IF(OR(TRIM($F75)="",ISNUMBER(SEARCH("not named",$F75))),"Name a sponsor accountable for the value",""),IF($O75&lt;&gt;"Y","State the success metric and the stop condition",IF($Q75&lt;&gt;"Y","Set the baseline the benefit will be measured against","")),IF($P75="","Assess data readiness and regulatory impact",IF($P75="partial","Close the known data gaps",IF($P75="ready","","Data is not available; reshape or park"))),IF($R75&lt;&gt;"",IF(OR(ISNUMBER(SEARCH("mrm",$R75)),ISNUMBER(SEARCH("model",$R75)),ISNUMBER(SEARCH("risk",$R75)),ISNUMBER(SEARCH("legal",$R75)),ISNUMBER(SEARCH("complian",$R75))),"Awaiting ","Held at the design gate: ")&amp;$R75,"Map the governance framework for its tier"),IF($L75="","Size the annual benefit",IF($N75="","Score it so it can be ranked against capacity","")),IF($R75&lt;&gt;"","Build held: "&amp;$R75,"In build, not yet through test"),IF($R75&lt;&gt;"","Not ready to scale: "&amp;$R75,"Monitoring and third-party review not yet signed off"),IF($Q75="Y","","Live without a measured baseline to judge it against")))</f>
        <v/>
      </c>
      <c r="AJ75" s="65" t="str">
        <f aca="false">IF($Y75="","",INDEX(StageForum,$Y75))</f>
        <v/>
      </c>
      <c r="AK75" s="65" t="str">
        <f aca="false">IF($Y75="","",IF(OR($X75="Delivery",$X75="Value"),"Committed",IF($N75&lt;&gt;"","Candidate","")))</f>
        <v/>
      </c>
      <c r="AL75" s="65" t="str">
        <f aca="false">IF($AK75&lt;&gt;"Candidate","",COUNTIFS($AK$2:$AK$501,"Candidate",$N$2:$N$501,"&gt;"&amp;$N75)+COUNTIFS($AK$2:$AK$501,"Candidate",$N$2:$N$501,$N75,$A$2:$A$501,"&lt;"&amp;$A75)+1)</f>
        <v/>
      </c>
      <c r="AM75" s="65" t="str">
        <f aca="false">IF($AL75="","",SUMIFS($M$2:$M$501,$AK$2:$AK$501,"Candidate",$AL$2:$AL$501,"&lt;="&amp;$AL75))</f>
        <v/>
      </c>
      <c r="AN75" s="65" t="str">
        <f aca="false">IF($AL75="","",IF($AM75&lt;=CapacityOpen,"Fits","Below line"))</f>
        <v/>
      </c>
      <c r="AO75" s="65" t="str">
        <f aca="false">IF($A75="","",IF($X75="Closed","",IF($X75="Unmapped","Warning",IF(OR($AB75="Overdue",$V75="Y",$AH75="Critical"),"Critical",IF(OR($AB75="At risk",$AC75="Stale",$AG75="Over"),"Warning","")))))</f>
        <v/>
      </c>
      <c r="AP75" s="65" t="str">
        <f aca="false">IF($AO75="","",IF($AO75="Critical",3000,2000)-IF($Z75="",0,$Z75)+ROW()/100000)</f>
        <v/>
      </c>
      <c r="AQ75" s="65" t="str">
        <f aca="false">IF($AO75="","",IF($X75="Unmapped","Status '"&amp;$C75&amp;"' is not in the Config map",IF($V75="Y","Flagged in Jira",IF($AB75="Overdue",-$Z75&amp;" days past its "&amp;$X75&amp;" target",IF($AH75="Critical",$AI75,IF($AB75="At risk","Target in "&amp;$Z75&amp;" days",IF($AC75="Stale","No update in "&amp;$AA75&amp;" days","Past its "&amp;$AE75&amp;"-day tier window")))))))</f>
        <v/>
      </c>
      <c r="AR75" s="65" t="str">
        <f aca="false">IF($AO75="","","draft Jira update for "&amp;$A75)</f>
        <v/>
      </c>
      <c r="AS75" s="65" t="str">
        <f aca="false">IF($A75="","",HYPERLINK(JiraSite&amp;"/browse/"&amp;$A75,"open"))</f>
        <v/>
      </c>
      <c r="AT75" s="65" t="str">
        <f aca="false">IF($Y75="","",$Y75*1000+ROW())</f>
        <v/>
      </c>
      <c r="AU75" s="65" t="str">
        <f aca="false">IF(AND($A75&lt;&gt;"",$G75&gt;=WeekStart),$G75+ROW()/100000,"")</f>
        <v/>
      </c>
      <c r="AV75" s="65" t="str">
        <f aca="false">IF($A75="","",IF(OR(AND($S75&lt;&gt;"",$S75&gt;=WeekStart),AND($U75&lt;&gt;"",$U75&gt;=WeekStart)),MAX($S75,$U75)+ROW()/100000,""))</f>
        <v/>
      </c>
      <c r="AW75" s="65" t="str">
        <f aca="false">IF($AV75="","",IF($T75&lt;&gt;"",$T75,IF($X75="Closed","Closed","Accepted to "&amp;$X75)))</f>
        <v/>
      </c>
      <c r="AX75" s="65" t="str">
        <f aca="false">IF(AND($Y75&lt;&gt;"",$R75&lt;&gt;""),$AF75+ROW()/100000,"")</f>
        <v/>
      </c>
      <c r="AY75" s="65" t="str">
        <f aca="false">IF(AND($Y75&lt;&gt;"",OR($AB75="Overdue",AND($AH75="Critical",$R75&lt;&gt;""))),$AF75+ROW()/100000,"")</f>
        <v/>
      </c>
      <c r="AZ75" s="65" t="str">
        <f aca="false">IF($AH75="Critical",$AF75+ROW()/100000,"")</f>
        <v/>
      </c>
    </row>
    <row r="76" customFormat="false" ht="15" hidden="false" customHeight="false" outlineLevel="0" collapsed="false">
      <c r="A76" s="28"/>
      <c r="B76" s="28"/>
      <c r="C76" s="28"/>
      <c r="D76" s="28"/>
      <c r="E76" s="28"/>
      <c r="F76" s="28"/>
      <c r="G76" s="63"/>
      <c r="H76" s="63"/>
      <c r="I76" s="63"/>
      <c r="J76" s="28"/>
      <c r="K76" s="28"/>
      <c r="L76" s="28"/>
      <c r="M76" s="28"/>
      <c r="N76" s="28"/>
      <c r="O76" s="64"/>
      <c r="P76" s="64"/>
      <c r="Q76" s="64"/>
      <c r="R76" s="28"/>
      <c r="S76" s="63"/>
      <c r="T76" s="64"/>
      <c r="U76" s="63"/>
      <c r="V76" s="64"/>
      <c r="W76" s="28"/>
      <c r="X76" s="65" t="str">
        <f aca="false">IF($A76="","",IF(OR($T76&lt;&gt;"",$U76&lt;&gt;""),"Closed",IFERROR(INDEX(MapStage,MATCH($C76,MapStatus,0)),"Unmapped")))</f>
        <v/>
      </c>
      <c r="Y76" s="65" t="str">
        <f aca="false">IF(OR($X76="",$X76="Closed",$X76="Unmapped"),"",MATCH($X76,StageName,0))</f>
        <v/>
      </c>
      <c r="Z76" s="65" t="str">
        <f aca="false">IF(OR($Y76="",$I76=""),"",$I76-AsOf)</f>
        <v/>
      </c>
      <c r="AA76" s="65" t="str">
        <f aca="false">IF($A76="","",AsOf-$H76)</f>
        <v/>
      </c>
      <c r="AB76" s="65" t="str">
        <f aca="false">IF($A76="","",IF($X76="Closed","Closed",IF($X76="Unmapped","Unmapped",IF($I76="","No target",IF($Z76&lt;0,"Overdue",IF($Z76&lt;=INDEX(StageWindow,$Y76),"At risk","On track"))))))</f>
        <v/>
      </c>
      <c r="AC76" s="65" t="str">
        <f aca="false">IF($Y76="","",IF($AA76&gt;2*INDEX(StageStale,$Y76),"Stale",IF($AA76&gt;INDEX(StageStale,$Y76),"Aging","Fresh")))</f>
        <v/>
      </c>
      <c r="AD76" s="65" t="str">
        <f aca="false">IF($A76="","",IF(OR(ISNUMBER(SEARCH("Reg report",$J76)),ISNUMBER(SEARCH("No human review",$J76)),COUNTIF(TierFuncs,$D76)&gt;0),"High",IF(OR(TRIM($J76)&lt;&gt;"",ISNUMBER(SEARCH("revenue",$K76))),"Medium","Low")))</f>
        <v/>
      </c>
      <c r="AE76" s="65" t="str">
        <f aca="false">IF($A76="","",INDEX(TierDays,MATCH($AD76,TierName,0)))</f>
        <v/>
      </c>
      <c r="AF76" s="65" t="str">
        <f aca="false">IF($A76="","",AsOf-$G76)</f>
        <v/>
      </c>
      <c r="AG76" s="65" t="str">
        <f aca="false">IF($Y76="","",IF($Y76&lt;=5,IF($AF76&gt;$AE76,"Over","Inside"),"Past approval"))</f>
        <v/>
      </c>
      <c r="AH76" s="65" t="str">
        <f aca="false">IF($Y76="","",CHOOSE($Y76,IF(OR(TRIM($F76)="",ISNUMBER(SEARCH("not named",$F76))),"Critical","Good"),IF($O76&lt;&gt;"Y","Critical",IF($Q76&lt;&gt;"Y","Warning","Good")),IF($P76="","Critical",IF($P76="partial","Warning",IF($P76="ready","Good","Critical"))),IF($R76&lt;&gt;"","Critical","Warning"),IF($L76="","Critical",IF($N76="","Warning","Good")),IF($R76&lt;&gt;"","Critical","Warning"),IF($R76&lt;&gt;"","Critical","Warning"),IF($Q76="Y","Good","Critical")))</f>
        <v/>
      </c>
      <c r="AI76" s="65" t="str">
        <f aca="false">IF($Y76="","",CHOOSE($Y76,IF(OR(TRIM($F76)="",ISNUMBER(SEARCH("not named",$F76))),"Name a sponsor accountable for the value",""),IF($O76&lt;&gt;"Y","State the success metric and the stop condition",IF($Q76&lt;&gt;"Y","Set the baseline the benefit will be measured against","")),IF($P76="","Assess data readiness and regulatory impact",IF($P76="partial","Close the known data gaps",IF($P76="ready","","Data is not available; reshape or park"))),IF($R76&lt;&gt;"",IF(OR(ISNUMBER(SEARCH("mrm",$R76)),ISNUMBER(SEARCH("model",$R76)),ISNUMBER(SEARCH("risk",$R76)),ISNUMBER(SEARCH("legal",$R76)),ISNUMBER(SEARCH("complian",$R76))),"Awaiting ","Held at the design gate: ")&amp;$R76,"Map the governance framework for its tier"),IF($L76="","Size the annual benefit",IF($N76="","Score it so it can be ranked against capacity","")),IF($R76&lt;&gt;"","Build held: "&amp;$R76,"In build, not yet through test"),IF($R76&lt;&gt;"","Not ready to scale: "&amp;$R76,"Monitoring and third-party review not yet signed off"),IF($Q76="Y","","Live without a measured baseline to judge it against")))</f>
        <v/>
      </c>
      <c r="AJ76" s="65" t="str">
        <f aca="false">IF($Y76="","",INDEX(StageForum,$Y76))</f>
        <v/>
      </c>
      <c r="AK76" s="65" t="str">
        <f aca="false">IF($Y76="","",IF(OR($X76="Delivery",$X76="Value"),"Committed",IF($N76&lt;&gt;"","Candidate","")))</f>
        <v/>
      </c>
      <c r="AL76" s="65" t="str">
        <f aca="false">IF($AK76&lt;&gt;"Candidate","",COUNTIFS($AK$2:$AK$501,"Candidate",$N$2:$N$501,"&gt;"&amp;$N76)+COUNTIFS($AK$2:$AK$501,"Candidate",$N$2:$N$501,$N76,$A$2:$A$501,"&lt;"&amp;$A76)+1)</f>
        <v/>
      </c>
      <c r="AM76" s="65" t="str">
        <f aca="false">IF($AL76="","",SUMIFS($M$2:$M$501,$AK$2:$AK$501,"Candidate",$AL$2:$AL$501,"&lt;="&amp;$AL76))</f>
        <v/>
      </c>
      <c r="AN76" s="65" t="str">
        <f aca="false">IF($AL76="","",IF($AM76&lt;=CapacityOpen,"Fits","Below line"))</f>
        <v/>
      </c>
      <c r="AO76" s="65" t="str">
        <f aca="false">IF($A76="","",IF($X76="Closed","",IF($X76="Unmapped","Warning",IF(OR($AB76="Overdue",$V76="Y",$AH76="Critical"),"Critical",IF(OR($AB76="At risk",$AC76="Stale",$AG76="Over"),"Warning","")))))</f>
        <v/>
      </c>
      <c r="AP76" s="65" t="str">
        <f aca="false">IF($AO76="","",IF($AO76="Critical",3000,2000)-IF($Z76="",0,$Z76)+ROW()/100000)</f>
        <v/>
      </c>
      <c r="AQ76" s="65" t="str">
        <f aca="false">IF($AO76="","",IF($X76="Unmapped","Status '"&amp;$C76&amp;"' is not in the Config map",IF($V76="Y","Flagged in Jira",IF($AB76="Overdue",-$Z76&amp;" days past its "&amp;$X76&amp;" target",IF($AH76="Critical",$AI76,IF($AB76="At risk","Target in "&amp;$Z76&amp;" days",IF($AC76="Stale","No update in "&amp;$AA76&amp;" days","Past its "&amp;$AE76&amp;"-day tier window")))))))</f>
        <v/>
      </c>
      <c r="AR76" s="65" t="str">
        <f aca="false">IF($AO76="","","draft Jira update for "&amp;$A76)</f>
        <v/>
      </c>
      <c r="AS76" s="65" t="str">
        <f aca="false">IF($A76="","",HYPERLINK(JiraSite&amp;"/browse/"&amp;$A76,"open"))</f>
        <v/>
      </c>
      <c r="AT76" s="65" t="str">
        <f aca="false">IF($Y76="","",$Y76*1000+ROW())</f>
        <v/>
      </c>
      <c r="AU76" s="65" t="str">
        <f aca="false">IF(AND($A76&lt;&gt;"",$G76&gt;=WeekStart),$G76+ROW()/100000,"")</f>
        <v/>
      </c>
      <c r="AV76" s="65" t="str">
        <f aca="false">IF($A76="","",IF(OR(AND($S76&lt;&gt;"",$S76&gt;=WeekStart),AND($U76&lt;&gt;"",$U76&gt;=WeekStart)),MAX($S76,$U76)+ROW()/100000,""))</f>
        <v/>
      </c>
      <c r="AW76" s="65" t="str">
        <f aca="false">IF($AV76="","",IF($T76&lt;&gt;"",$T76,IF($X76="Closed","Closed","Accepted to "&amp;$X76)))</f>
        <v/>
      </c>
      <c r="AX76" s="65" t="str">
        <f aca="false">IF(AND($Y76&lt;&gt;"",$R76&lt;&gt;""),$AF76+ROW()/100000,"")</f>
        <v/>
      </c>
      <c r="AY76" s="65" t="str">
        <f aca="false">IF(AND($Y76&lt;&gt;"",OR($AB76="Overdue",AND($AH76="Critical",$R76&lt;&gt;""))),$AF76+ROW()/100000,"")</f>
        <v/>
      </c>
      <c r="AZ76" s="65" t="str">
        <f aca="false">IF($AH76="Critical",$AF76+ROW()/100000,"")</f>
        <v/>
      </c>
    </row>
    <row r="77" customFormat="false" ht="15" hidden="false" customHeight="false" outlineLevel="0" collapsed="false">
      <c r="A77" s="28"/>
      <c r="B77" s="28"/>
      <c r="C77" s="28"/>
      <c r="D77" s="28"/>
      <c r="E77" s="28"/>
      <c r="F77" s="28"/>
      <c r="G77" s="63"/>
      <c r="H77" s="63"/>
      <c r="I77" s="63"/>
      <c r="J77" s="28"/>
      <c r="K77" s="28"/>
      <c r="L77" s="28"/>
      <c r="M77" s="28"/>
      <c r="N77" s="28"/>
      <c r="O77" s="64"/>
      <c r="P77" s="64"/>
      <c r="Q77" s="64"/>
      <c r="R77" s="28"/>
      <c r="S77" s="63"/>
      <c r="T77" s="64"/>
      <c r="U77" s="63"/>
      <c r="V77" s="64"/>
      <c r="W77" s="28"/>
      <c r="X77" s="65" t="str">
        <f aca="false">IF($A77="","",IF(OR($T77&lt;&gt;"",$U77&lt;&gt;""),"Closed",IFERROR(INDEX(MapStage,MATCH($C77,MapStatus,0)),"Unmapped")))</f>
        <v/>
      </c>
      <c r="Y77" s="65" t="str">
        <f aca="false">IF(OR($X77="",$X77="Closed",$X77="Unmapped"),"",MATCH($X77,StageName,0))</f>
        <v/>
      </c>
      <c r="Z77" s="65" t="str">
        <f aca="false">IF(OR($Y77="",$I77=""),"",$I77-AsOf)</f>
        <v/>
      </c>
      <c r="AA77" s="65" t="str">
        <f aca="false">IF($A77="","",AsOf-$H77)</f>
        <v/>
      </c>
      <c r="AB77" s="65" t="str">
        <f aca="false">IF($A77="","",IF($X77="Closed","Closed",IF($X77="Unmapped","Unmapped",IF($I77="","No target",IF($Z77&lt;0,"Overdue",IF($Z77&lt;=INDEX(StageWindow,$Y77),"At risk","On track"))))))</f>
        <v/>
      </c>
      <c r="AC77" s="65" t="str">
        <f aca="false">IF($Y77="","",IF($AA77&gt;2*INDEX(StageStale,$Y77),"Stale",IF($AA77&gt;INDEX(StageStale,$Y77),"Aging","Fresh")))</f>
        <v/>
      </c>
      <c r="AD77" s="65" t="str">
        <f aca="false">IF($A77="","",IF(OR(ISNUMBER(SEARCH("Reg report",$J77)),ISNUMBER(SEARCH("No human review",$J77)),COUNTIF(TierFuncs,$D77)&gt;0),"High",IF(OR(TRIM($J77)&lt;&gt;"",ISNUMBER(SEARCH("revenue",$K77))),"Medium","Low")))</f>
        <v/>
      </c>
      <c r="AE77" s="65" t="str">
        <f aca="false">IF($A77="","",INDEX(TierDays,MATCH($AD77,TierName,0)))</f>
        <v/>
      </c>
      <c r="AF77" s="65" t="str">
        <f aca="false">IF($A77="","",AsOf-$G77)</f>
        <v/>
      </c>
      <c r="AG77" s="65" t="str">
        <f aca="false">IF($Y77="","",IF($Y77&lt;=5,IF($AF77&gt;$AE77,"Over","Inside"),"Past approval"))</f>
        <v/>
      </c>
      <c r="AH77" s="65" t="str">
        <f aca="false">IF($Y77="","",CHOOSE($Y77,IF(OR(TRIM($F77)="",ISNUMBER(SEARCH("not named",$F77))),"Critical","Good"),IF($O77&lt;&gt;"Y","Critical",IF($Q77&lt;&gt;"Y","Warning","Good")),IF($P77="","Critical",IF($P77="partial","Warning",IF($P77="ready","Good","Critical"))),IF($R77&lt;&gt;"","Critical","Warning"),IF($L77="","Critical",IF($N77="","Warning","Good")),IF($R77&lt;&gt;"","Critical","Warning"),IF($R77&lt;&gt;"","Critical","Warning"),IF($Q77="Y","Good","Critical")))</f>
        <v/>
      </c>
      <c r="AI77" s="65" t="str">
        <f aca="false">IF($Y77="","",CHOOSE($Y77,IF(OR(TRIM($F77)="",ISNUMBER(SEARCH("not named",$F77))),"Name a sponsor accountable for the value",""),IF($O77&lt;&gt;"Y","State the success metric and the stop condition",IF($Q77&lt;&gt;"Y","Set the baseline the benefit will be measured against","")),IF($P77="","Assess data readiness and regulatory impact",IF($P77="partial","Close the known data gaps",IF($P77="ready","","Data is not available; reshape or park"))),IF($R77&lt;&gt;"",IF(OR(ISNUMBER(SEARCH("mrm",$R77)),ISNUMBER(SEARCH("model",$R77)),ISNUMBER(SEARCH("risk",$R77)),ISNUMBER(SEARCH("legal",$R77)),ISNUMBER(SEARCH("complian",$R77))),"Awaiting ","Held at the design gate: ")&amp;$R77,"Map the governance framework for its tier"),IF($L77="","Size the annual benefit",IF($N77="","Score it so it can be ranked against capacity","")),IF($R77&lt;&gt;"","Build held: "&amp;$R77,"In build, not yet through test"),IF($R77&lt;&gt;"","Not ready to scale: "&amp;$R77,"Monitoring and third-party review not yet signed off"),IF($Q77="Y","","Live without a measured baseline to judge it against")))</f>
        <v/>
      </c>
      <c r="AJ77" s="65" t="str">
        <f aca="false">IF($Y77="","",INDEX(StageForum,$Y77))</f>
        <v/>
      </c>
      <c r="AK77" s="65" t="str">
        <f aca="false">IF($Y77="","",IF(OR($X77="Delivery",$X77="Value"),"Committed",IF($N77&lt;&gt;"","Candidate","")))</f>
        <v/>
      </c>
      <c r="AL77" s="65" t="str">
        <f aca="false">IF($AK77&lt;&gt;"Candidate","",COUNTIFS($AK$2:$AK$501,"Candidate",$N$2:$N$501,"&gt;"&amp;$N77)+COUNTIFS($AK$2:$AK$501,"Candidate",$N$2:$N$501,$N77,$A$2:$A$501,"&lt;"&amp;$A77)+1)</f>
        <v/>
      </c>
      <c r="AM77" s="65" t="str">
        <f aca="false">IF($AL77="","",SUMIFS($M$2:$M$501,$AK$2:$AK$501,"Candidate",$AL$2:$AL$501,"&lt;="&amp;$AL77))</f>
        <v/>
      </c>
      <c r="AN77" s="65" t="str">
        <f aca="false">IF($AL77="","",IF($AM77&lt;=CapacityOpen,"Fits","Below line"))</f>
        <v/>
      </c>
      <c r="AO77" s="65" t="str">
        <f aca="false">IF($A77="","",IF($X77="Closed","",IF($X77="Unmapped","Warning",IF(OR($AB77="Overdue",$V77="Y",$AH77="Critical"),"Critical",IF(OR($AB77="At risk",$AC77="Stale",$AG77="Over"),"Warning","")))))</f>
        <v/>
      </c>
      <c r="AP77" s="65" t="str">
        <f aca="false">IF($AO77="","",IF($AO77="Critical",3000,2000)-IF($Z77="",0,$Z77)+ROW()/100000)</f>
        <v/>
      </c>
      <c r="AQ77" s="65" t="str">
        <f aca="false">IF($AO77="","",IF($X77="Unmapped","Status '"&amp;$C77&amp;"' is not in the Config map",IF($V77="Y","Flagged in Jira",IF($AB77="Overdue",-$Z77&amp;" days past its "&amp;$X77&amp;" target",IF($AH77="Critical",$AI77,IF($AB77="At risk","Target in "&amp;$Z77&amp;" days",IF($AC77="Stale","No update in "&amp;$AA77&amp;" days","Past its "&amp;$AE77&amp;"-day tier window")))))))</f>
        <v/>
      </c>
      <c r="AR77" s="65" t="str">
        <f aca="false">IF($AO77="","","draft Jira update for "&amp;$A77)</f>
        <v/>
      </c>
      <c r="AS77" s="65" t="str">
        <f aca="false">IF($A77="","",HYPERLINK(JiraSite&amp;"/browse/"&amp;$A77,"open"))</f>
        <v/>
      </c>
      <c r="AT77" s="65" t="str">
        <f aca="false">IF($Y77="","",$Y77*1000+ROW())</f>
        <v/>
      </c>
      <c r="AU77" s="65" t="str">
        <f aca="false">IF(AND($A77&lt;&gt;"",$G77&gt;=WeekStart),$G77+ROW()/100000,"")</f>
        <v/>
      </c>
      <c r="AV77" s="65" t="str">
        <f aca="false">IF($A77="","",IF(OR(AND($S77&lt;&gt;"",$S77&gt;=WeekStart),AND($U77&lt;&gt;"",$U77&gt;=WeekStart)),MAX($S77,$U77)+ROW()/100000,""))</f>
        <v/>
      </c>
      <c r="AW77" s="65" t="str">
        <f aca="false">IF($AV77="","",IF($T77&lt;&gt;"",$T77,IF($X77="Closed","Closed","Accepted to "&amp;$X77)))</f>
        <v/>
      </c>
      <c r="AX77" s="65" t="str">
        <f aca="false">IF(AND($Y77&lt;&gt;"",$R77&lt;&gt;""),$AF77+ROW()/100000,"")</f>
        <v/>
      </c>
      <c r="AY77" s="65" t="str">
        <f aca="false">IF(AND($Y77&lt;&gt;"",OR($AB77="Overdue",AND($AH77="Critical",$R77&lt;&gt;""))),$AF77+ROW()/100000,"")</f>
        <v/>
      </c>
      <c r="AZ77" s="65" t="str">
        <f aca="false">IF($AH77="Critical",$AF77+ROW()/100000,"")</f>
        <v/>
      </c>
    </row>
    <row r="78" customFormat="false" ht="15" hidden="false" customHeight="false" outlineLevel="0" collapsed="false">
      <c r="A78" s="28"/>
      <c r="B78" s="28"/>
      <c r="C78" s="28"/>
      <c r="D78" s="28"/>
      <c r="E78" s="28"/>
      <c r="F78" s="28"/>
      <c r="G78" s="63"/>
      <c r="H78" s="63"/>
      <c r="I78" s="63"/>
      <c r="J78" s="28"/>
      <c r="K78" s="28"/>
      <c r="L78" s="28"/>
      <c r="M78" s="28"/>
      <c r="N78" s="28"/>
      <c r="O78" s="64"/>
      <c r="P78" s="64"/>
      <c r="Q78" s="64"/>
      <c r="R78" s="28"/>
      <c r="S78" s="63"/>
      <c r="T78" s="64"/>
      <c r="U78" s="63"/>
      <c r="V78" s="64"/>
      <c r="W78" s="28"/>
      <c r="X78" s="65" t="str">
        <f aca="false">IF($A78="","",IF(OR($T78&lt;&gt;"",$U78&lt;&gt;""),"Closed",IFERROR(INDEX(MapStage,MATCH($C78,MapStatus,0)),"Unmapped")))</f>
        <v/>
      </c>
      <c r="Y78" s="65" t="str">
        <f aca="false">IF(OR($X78="",$X78="Closed",$X78="Unmapped"),"",MATCH($X78,StageName,0))</f>
        <v/>
      </c>
      <c r="Z78" s="65" t="str">
        <f aca="false">IF(OR($Y78="",$I78=""),"",$I78-AsOf)</f>
        <v/>
      </c>
      <c r="AA78" s="65" t="str">
        <f aca="false">IF($A78="","",AsOf-$H78)</f>
        <v/>
      </c>
      <c r="AB78" s="65" t="str">
        <f aca="false">IF($A78="","",IF($X78="Closed","Closed",IF($X78="Unmapped","Unmapped",IF($I78="","No target",IF($Z78&lt;0,"Overdue",IF($Z78&lt;=INDEX(StageWindow,$Y78),"At risk","On track"))))))</f>
        <v/>
      </c>
      <c r="AC78" s="65" t="str">
        <f aca="false">IF($Y78="","",IF($AA78&gt;2*INDEX(StageStale,$Y78),"Stale",IF($AA78&gt;INDEX(StageStale,$Y78),"Aging","Fresh")))</f>
        <v/>
      </c>
      <c r="AD78" s="65" t="str">
        <f aca="false">IF($A78="","",IF(OR(ISNUMBER(SEARCH("Reg report",$J78)),ISNUMBER(SEARCH("No human review",$J78)),COUNTIF(TierFuncs,$D78)&gt;0),"High",IF(OR(TRIM($J78)&lt;&gt;"",ISNUMBER(SEARCH("revenue",$K78))),"Medium","Low")))</f>
        <v/>
      </c>
      <c r="AE78" s="65" t="str">
        <f aca="false">IF($A78="","",INDEX(TierDays,MATCH($AD78,TierName,0)))</f>
        <v/>
      </c>
      <c r="AF78" s="65" t="str">
        <f aca="false">IF($A78="","",AsOf-$G78)</f>
        <v/>
      </c>
      <c r="AG78" s="65" t="str">
        <f aca="false">IF($Y78="","",IF($Y78&lt;=5,IF($AF78&gt;$AE78,"Over","Inside"),"Past approval"))</f>
        <v/>
      </c>
      <c r="AH78" s="65" t="str">
        <f aca="false">IF($Y78="","",CHOOSE($Y78,IF(OR(TRIM($F78)="",ISNUMBER(SEARCH("not named",$F78))),"Critical","Good"),IF($O78&lt;&gt;"Y","Critical",IF($Q78&lt;&gt;"Y","Warning","Good")),IF($P78="","Critical",IF($P78="partial","Warning",IF($P78="ready","Good","Critical"))),IF($R78&lt;&gt;"","Critical","Warning"),IF($L78="","Critical",IF($N78="","Warning","Good")),IF($R78&lt;&gt;"","Critical","Warning"),IF($R78&lt;&gt;"","Critical","Warning"),IF($Q78="Y","Good","Critical")))</f>
        <v/>
      </c>
      <c r="AI78" s="65" t="str">
        <f aca="false">IF($Y78="","",CHOOSE($Y78,IF(OR(TRIM($F78)="",ISNUMBER(SEARCH("not named",$F78))),"Name a sponsor accountable for the value",""),IF($O78&lt;&gt;"Y","State the success metric and the stop condition",IF($Q78&lt;&gt;"Y","Set the baseline the benefit will be measured against","")),IF($P78="","Assess data readiness and regulatory impact",IF($P78="partial","Close the known data gaps",IF($P78="ready","","Data is not available; reshape or park"))),IF($R78&lt;&gt;"",IF(OR(ISNUMBER(SEARCH("mrm",$R78)),ISNUMBER(SEARCH("model",$R78)),ISNUMBER(SEARCH("risk",$R78)),ISNUMBER(SEARCH("legal",$R78)),ISNUMBER(SEARCH("complian",$R78))),"Awaiting ","Held at the design gate: ")&amp;$R78,"Map the governance framework for its tier"),IF($L78="","Size the annual benefit",IF($N78="","Score it so it can be ranked against capacity","")),IF($R78&lt;&gt;"","Build held: "&amp;$R78,"In build, not yet through test"),IF($R78&lt;&gt;"","Not ready to scale: "&amp;$R78,"Monitoring and third-party review not yet signed off"),IF($Q78="Y","","Live without a measured baseline to judge it against")))</f>
        <v/>
      </c>
      <c r="AJ78" s="65" t="str">
        <f aca="false">IF($Y78="","",INDEX(StageForum,$Y78))</f>
        <v/>
      </c>
      <c r="AK78" s="65" t="str">
        <f aca="false">IF($Y78="","",IF(OR($X78="Delivery",$X78="Value"),"Committed",IF($N78&lt;&gt;"","Candidate","")))</f>
        <v/>
      </c>
      <c r="AL78" s="65" t="str">
        <f aca="false">IF($AK78&lt;&gt;"Candidate","",COUNTIFS($AK$2:$AK$501,"Candidate",$N$2:$N$501,"&gt;"&amp;$N78)+COUNTIFS($AK$2:$AK$501,"Candidate",$N$2:$N$501,$N78,$A$2:$A$501,"&lt;"&amp;$A78)+1)</f>
        <v/>
      </c>
      <c r="AM78" s="65" t="str">
        <f aca="false">IF($AL78="","",SUMIFS($M$2:$M$501,$AK$2:$AK$501,"Candidate",$AL$2:$AL$501,"&lt;="&amp;$AL78))</f>
        <v/>
      </c>
      <c r="AN78" s="65" t="str">
        <f aca="false">IF($AL78="","",IF($AM78&lt;=CapacityOpen,"Fits","Below line"))</f>
        <v/>
      </c>
      <c r="AO78" s="65" t="str">
        <f aca="false">IF($A78="","",IF($X78="Closed","",IF($X78="Unmapped","Warning",IF(OR($AB78="Overdue",$V78="Y",$AH78="Critical"),"Critical",IF(OR($AB78="At risk",$AC78="Stale",$AG78="Over"),"Warning","")))))</f>
        <v/>
      </c>
      <c r="AP78" s="65" t="str">
        <f aca="false">IF($AO78="","",IF($AO78="Critical",3000,2000)-IF($Z78="",0,$Z78)+ROW()/100000)</f>
        <v/>
      </c>
      <c r="AQ78" s="65" t="str">
        <f aca="false">IF($AO78="","",IF($X78="Unmapped","Status '"&amp;$C78&amp;"' is not in the Config map",IF($V78="Y","Flagged in Jira",IF($AB78="Overdue",-$Z78&amp;" days past its "&amp;$X78&amp;" target",IF($AH78="Critical",$AI78,IF($AB78="At risk","Target in "&amp;$Z78&amp;" days",IF($AC78="Stale","No update in "&amp;$AA78&amp;" days","Past its "&amp;$AE78&amp;"-day tier window")))))))</f>
        <v/>
      </c>
      <c r="AR78" s="65" t="str">
        <f aca="false">IF($AO78="","","draft Jira update for "&amp;$A78)</f>
        <v/>
      </c>
      <c r="AS78" s="65" t="str">
        <f aca="false">IF($A78="","",HYPERLINK(JiraSite&amp;"/browse/"&amp;$A78,"open"))</f>
        <v/>
      </c>
      <c r="AT78" s="65" t="str">
        <f aca="false">IF($Y78="","",$Y78*1000+ROW())</f>
        <v/>
      </c>
      <c r="AU78" s="65" t="str">
        <f aca="false">IF(AND($A78&lt;&gt;"",$G78&gt;=WeekStart),$G78+ROW()/100000,"")</f>
        <v/>
      </c>
      <c r="AV78" s="65" t="str">
        <f aca="false">IF($A78="","",IF(OR(AND($S78&lt;&gt;"",$S78&gt;=WeekStart),AND($U78&lt;&gt;"",$U78&gt;=WeekStart)),MAX($S78,$U78)+ROW()/100000,""))</f>
        <v/>
      </c>
      <c r="AW78" s="65" t="str">
        <f aca="false">IF($AV78="","",IF($T78&lt;&gt;"",$T78,IF($X78="Closed","Closed","Accepted to "&amp;$X78)))</f>
        <v/>
      </c>
      <c r="AX78" s="65" t="str">
        <f aca="false">IF(AND($Y78&lt;&gt;"",$R78&lt;&gt;""),$AF78+ROW()/100000,"")</f>
        <v/>
      </c>
      <c r="AY78" s="65" t="str">
        <f aca="false">IF(AND($Y78&lt;&gt;"",OR($AB78="Overdue",AND($AH78="Critical",$R78&lt;&gt;""))),$AF78+ROW()/100000,"")</f>
        <v/>
      </c>
      <c r="AZ78" s="65" t="str">
        <f aca="false">IF($AH78="Critical",$AF78+ROW()/100000,"")</f>
        <v/>
      </c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63"/>
      <c r="H79" s="63"/>
      <c r="I79" s="63"/>
      <c r="J79" s="28"/>
      <c r="K79" s="28"/>
      <c r="L79" s="28"/>
      <c r="M79" s="28"/>
      <c r="N79" s="28"/>
      <c r="O79" s="64"/>
      <c r="P79" s="64"/>
      <c r="Q79" s="64"/>
      <c r="R79" s="28"/>
      <c r="S79" s="63"/>
      <c r="T79" s="64"/>
      <c r="U79" s="63"/>
      <c r="V79" s="64"/>
      <c r="W79" s="28"/>
      <c r="X79" s="65" t="str">
        <f aca="false">IF($A79="","",IF(OR($T79&lt;&gt;"",$U79&lt;&gt;""),"Closed",IFERROR(INDEX(MapStage,MATCH($C79,MapStatus,0)),"Unmapped")))</f>
        <v/>
      </c>
      <c r="Y79" s="65" t="str">
        <f aca="false">IF(OR($X79="",$X79="Closed",$X79="Unmapped"),"",MATCH($X79,StageName,0))</f>
        <v/>
      </c>
      <c r="Z79" s="65" t="str">
        <f aca="false">IF(OR($Y79="",$I79=""),"",$I79-AsOf)</f>
        <v/>
      </c>
      <c r="AA79" s="65" t="str">
        <f aca="false">IF($A79="","",AsOf-$H79)</f>
        <v/>
      </c>
      <c r="AB79" s="65" t="str">
        <f aca="false">IF($A79="","",IF($X79="Closed","Closed",IF($X79="Unmapped","Unmapped",IF($I79="","No target",IF($Z79&lt;0,"Overdue",IF($Z79&lt;=INDEX(StageWindow,$Y79),"At risk","On track"))))))</f>
        <v/>
      </c>
      <c r="AC79" s="65" t="str">
        <f aca="false">IF($Y79="","",IF($AA79&gt;2*INDEX(StageStale,$Y79),"Stale",IF($AA79&gt;INDEX(StageStale,$Y79),"Aging","Fresh")))</f>
        <v/>
      </c>
      <c r="AD79" s="65" t="str">
        <f aca="false">IF($A79="","",IF(OR(ISNUMBER(SEARCH("Reg report",$J79)),ISNUMBER(SEARCH("No human review",$J79)),COUNTIF(TierFuncs,$D79)&gt;0),"High",IF(OR(TRIM($J79)&lt;&gt;"",ISNUMBER(SEARCH("revenue",$K79))),"Medium","Low")))</f>
        <v/>
      </c>
      <c r="AE79" s="65" t="str">
        <f aca="false">IF($A79="","",INDEX(TierDays,MATCH($AD79,TierName,0)))</f>
        <v/>
      </c>
      <c r="AF79" s="65" t="str">
        <f aca="false">IF($A79="","",AsOf-$G79)</f>
        <v/>
      </c>
      <c r="AG79" s="65" t="str">
        <f aca="false">IF($Y79="","",IF($Y79&lt;=5,IF($AF79&gt;$AE79,"Over","Inside"),"Past approval"))</f>
        <v/>
      </c>
      <c r="AH79" s="65" t="str">
        <f aca="false">IF($Y79="","",CHOOSE($Y79,IF(OR(TRIM($F79)="",ISNUMBER(SEARCH("not named",$F79))),"Critical","Good"),IF($O79&lt;&gt;"Y","Critical",IF($Q79&lt;&gt;"Y","Warning","Good")),IF($P79="","Critical",IF($P79="partial","Warning",IF($P79="ready","Good","Critical"))),IF($R79&lt;&gt;"","Critical","Warning"),IF($L79="","Critical",IF($N79="","Warning","Good")),IF($R79&lt;&gt;"","Critical","Warning"),IF($R79&lt;&gt;"","Critical","Warning"),IF($Q79="Y","Good","Critical")))</f>
        <v/>
      </c>
      <c r="AI79" s="65" t="str">
        <f aca="false">IF($Y79="","",CHOOSE($Y79,IF(OR(TRIM($F79)="",ISNUMBER(SEARCH("not named",$F79))),"Name a sponsor accountable for the value",""),IF($O79&lt;&gt;"Y","State the success metric and the stop condition",IF($Q79&lt;&gt;"Y","Set the baseline the benefit will be measured against","")),IF($P79="","Assess data readiness and regulatory impact",IF($P79="partial","Close the known data gaps",IF($P79="ready","","Data is not available; reshape or park"))),IF($R79&lt;&gt;"",IF(OR(ISNUMBER(SEARCH("mrm",$R79)),ISNUMBER(SEARCH("model",$R79)),ISNUMBER(SEARCH("risk",$R79)),ISNUMBER(SEARCH("legal",$R79)),ISNUMBER(SEARCH("complian",$R79))),"Awaiting ","Held at the design gate: ")&amp;$R79,"Map the governance framework for its tier"),IF($L79="","Size the annual benefit",IF($N79="","Score it so it can be ranked against capacity","")),IF($R79&lt;&gt;"","Build held: "&amp;$R79,"In build, not yet through test"),IF($R79&lt;&gt;"","Not ready to scale: "&amp;$R79,"Monitoring and third-party review not yet signed off"),IF($Q79="Y","","Live without a measured baseline to judge it against")))</f>
        <v/>
      </c>
      <c r="AJ79" s="65" t="str">
        <f aca="false">IF($Y79="","",INDEX(StageForum,$Y79))</f>
        <v/>
      </c>
      <c r="AK79" s="65" t="str">
        <f aca="false">IF($Y79="","",IF(OR($X79="Delivery",$X79="Value"),"Committed",IF($N79&lt;&gt;"","Candidate","")))</f>
        <v/>
      </c>
      <c r="AL79" s="65" t="str">
        <f aca="false">IF($AK79&lt;&gt;"Candidate","",COUNTIFS($AK$2:$AK$501,"Candidate",$N$2:$N$501,"&gt;"&amp;$N79)+COUNTIFS($AK$2:$AK$501,"Candidate",$N$2:$N$501,$N79,$A$2:$A$501,"&lt;"&amp;$A79)+1)</f>
        <v/>
      </c>
      <c r="AM79" s="65" t="str">
        <f aca="false">IF($AL79="","",SUMIFS($M$2:$M$501,$AK$2:$AK$501,"Candidate",$AL$2:$AL$501,"&lt;="&amp;$AL79))</f>
        <v/>
      </c>
      <c r="AN79" s="65" t="str">
        <f aca="false">IF($AL79="","",IF($AM79&lt;=CapacityOpen,"Fits","Below line"))</f>
        <v/>
      </c>
      <c r="AO79" s="65" t="str">
        <f aca="false">IF($A79="","",IF($X79="Closed","",IF($X79="Unmapped","Warning",IF(OR($AB79="Overdue",$V79="Y",$AH79="Critical"),"Critical",IF(OR($AB79="At risk",$AC79="Stale",$AG79="Over"),"Warning","")))))</f>
        <v/>
      </c>
      <c r="AP79" s="65" t="str">
        <f aca="false">IF($AO79="","",IF($AO79="Critical",3000,2000)-IF($Z79="",0,$Z79)+ROW()/100000)</f>
        <v/>
      </c>
      <c r="AQ79" s="65" t="str">
        <f aca="false">IF($AO79="","",IF($X79="Unmapped","Status '"&amp;$C79&amp;"' is not in the Config map",IF($V79="Y","Flagged in Jira",IF($AB79="Overdue",-$Z79&amp;" days past its "&amp;$X79&amp;" target",IF($AH79="Critical",$AI79,IF($AB79="At risk","Target in "&amp;$Z79&amp;" days",IF($AC79="Stale","No update in "&amp;$AA79&amp;" days","Past its "&amp;$AE79&amp;"-day tier window")))))))</f>
        <v/>
      </c>
      <c r="AR79" s="65" t="str">
        <f aca="false">IF($AO79="","","draft Jira update for "&amp;$A79)</f>
        <v/>
      </c>
      <c r="AS79" s="65" t="str">
        <f aca="false">IF($A79="","",HYPERLINK(JiraSite&amp;"/browse/"&amp;$A79,"open"))</f>
        <v/>
      </c>
      <c r="AT79" s="65" t="str">
        <f aca="false">IF($Y79="","",$Y79*1000+ROW())</f>
        <v/>
      </c>
      <c r="AU79" s="65" t="str">
        <f aca="false">IF(AND($A79&lt;&gt;"",$G79&gt;=WeekStart),$G79+ROW()/100000,"")</f>
        <v/>
      </c>
      <c r="AV79" s="65" t="str">
        <f aca="false">IF($A79="","",IF(OR(AND($S79&lt;&gt;"",$S79&gt;=WeekStart),AND($U79&lt;&gt;"",$U79&gt;=WeekStart)),MAX($S79,$U79)+ROW()/100000,""))</f>
        <v/>
      </c>
      <c r="AW79" s="65" t="str">
        <f aca="false">IF($AV79="","",IF($T79&lt;&gt;"",$T79,IF($X79="Closed","Closed","Accepted to "&amp;$X79)))</f>
        <v/>
      </c>
      <c r="AX79" s="65" t="str">
        <f aca="false">IF(AND($Y79&lt;&gt;"",$R79&lt;&gt;""),$AF79+ROW()/100000,"")</f>
        <v/>
      </c>
      <c r="AY79" s="65" t="str">
        <f aca="false">IF(AND($Y79&lt;&gt;"",OR($AB79="Overdue",AND($AH79="Critical",$R79&lt;&gt;""))),$AF79+ROW()/100000,"")</f>
        <v/>
      </c>
      <c r="AZ79" s="65" t="str">
        <f aca="false">IF($AH79="Critical",$AF79+ROW()/100000,"")</f>
        <v/>
      </c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63"/>
      <c r="H80" s="63"/>
      <c r="I80" s="63"/>
      <c r="J80" s="28"/>
      <c r="K80" s="28"/>
      <c r="L80" s="28"/>
      <c r="M80" s="28"/>
      <c r="N80" s="28"/>
      <c r="O80" s="64"/>
      <c r="P80" s="64"/>
      <c r="Q80" s="64"/>
      <c r="R80" s="28"/>
      <c r="S80" s="63"/>
      <c r="T80" s="64"/>
      <c r="U80" s="63"/>
      <c r="V80" s="64"/>
      <c r="W80" s="28"/>
      <c r="X80" s="65" t="str">
        <f aca="false">IF($A80="","",IF(OR($T80&lt;&gt;"",$U80&lt;&gt;""),"Closed",IFERROR(INDEX(MapStage,MATCH($C80,MapStatus,0)),"Unmapped")))</f>
        <v/>
      </c>
      <c r="Y80" s="65" t="str">
        <f aca="false">IF(OR($X80="",$X80="Closed",$X80="Unmapped"),"",MATCH($X80,StageName,0))</f>
        <v/>
      </c>
      <c r="Z80" s="65" t="str">
        <f aca="false">IF(OR($Y80="",$I80=""),"",$I80-AsOf)</f>
        <v/>
      </c>
      <c r="AA80" s="65" t="str">
        <f aca="false">IF($A80="","",AsOf-$H80)</f>
        <v/>
      </c>
      <c r="AB80" s="65" t="str">
        <f aca="false">IF($A80="","",IF($X80="Closed","Closed",IF($X80="Unmapped","Unmapped",IF($I80="","No target",IF($Z80&lt;0,"Overdue",IF($Z80&lt;=INDEX(StageWindow,$Y80),"At risk","On track"))))))</f>
        <v/>
      </c>
      <c r="AC80" s="65" t="str">
        <f aca="false">IF($Y80="","",IF($AA80&gt;2*INDEX(StageStale,$Y80),"Stale",IF($AA80&gt;INDEX(StageStale,$Y80),"Aging","Fresh")))</f>
        <v/>
      </c>
      <c r="AD80" s="65" t="str">
        <f aca="false">IF($A80="","",IF(OR(ISNUMBER(SEARCH("Reg report",$J80)),ISNUMBER(SEARCH("No human review",$J80)),COUNTIF(TierFuncs,$D80)&gt;0),"High",IF(OR(TRIM($J80)&lt;&gt;"",ISNUMBER(SEARCH("revenue",$K80))),"Medium","Low")))</f>
        <v/>
      </c>
      <c r="AE80" s="65" t="str">
        <f aca="false">IF($A80="","",INDEX(TierDays,MATCH($AD80,TierName,0)))</f>
        <v/>
      </c>
      <c r="AF80" s="65" t="str">
        <f aca="false">IF($A80="","",AsOf-$G80)</f>
        <v/>
      </c>
      <c r="AG80" s="65" t="str">
        <f aca="false">IF($Y80="","",IF($Y80&lt;=5,IF($AF80&gt;$AE80,"Over","Inside"),"Past approval"))</f>
        <v/>
      </c>
      <c r="AH80" s="65" t="str">
        <f aca="false">IF($Y80="","",CHOOSE($Y80,IF(OR(TRIM($F80)="",ISNUMBER(SEARCH("not named",$F80))),"Critical","Good"),IF($O80&lt;&gt;"Y","Critical",IF($Q80&lt;&gt;"Y","Warning","Good")),IF($P80="","Critical",IF($P80="partial","Warning",IF($P80="ready","Good","Critical"))),IF($R80&lt;&gt;"","Critical","Warning"),IF($L80="","Critical",IF($N80="","Warning","Good")),IF($R80&lt;&gt;"","Critical","Warning"),IF($R80&lt;&gt;"","Critical","Warning"),IF($Q80="Y","Good","Critical")))</f>
        <v/>
      </c>
      <c r="AI80" s="65" t="str">
        <f aca="false">IF($Y80="","",CHOOSE($Y80,IF(OR(TRIM($F80)="",ISNUMBER(SEARCH("not named",$F80))),"Name a sponsor accountable for the value",""),IF($O80&lt;&gt;"Y","State the success metric and the stop condition",IF($Q80&lt;&gt;"Y","Set the baseline the benefit will be measured against","")),IF($P80="","Assess data readiness and regulatory impact",IF($P80="partial","Close the known data gaps",IF($P80="ready","","Data is not available; reshape or park"))),IF($R80&lt;&gt;"",IF(OR(ISNUMBER(SEARCH("mrm",$R80)),ISNUMBER(SEARCH("model",$R80)),ISNUMBER(SEARCH("risk",$R80)),ISNUMBER(SEARCH("legal",$R80)),ISNUMBER(SEARCH("complian",$R80))),"Awaiting ","Held at the design gate: ")&amp;$R80,"Map the governance framework for its tier"),IF($L80="","Size the annual benefit",IF($N80="","Score it so it can be ranked against capacity","")),IF($R80&lt;&gt;"","Build held: "&amp;$R80,"In build, not yet through test"),IF($R80&lt;&gt;"","Not ready to scale: "&amp;$R80,"Monitoring and third-party review not yet signed off"),IF($Q80="Y","","Live without a measured baseline to judge it against")))</f>
        <v/>
      </c>
      <c r="AJ80" s="65" t="str">
        <f aca="false">IF($Y80="","",INDEX(StageForum,$Y80))</f>
        <v/>
      </c>
      <c r="AK80" s="65" t="str">
        <f aca="false">IF($Y80="","",IF(OR($X80="Delivery",$X80="Value"),"Committed",IF($N80&lt;&gt;"","Candidate","")))</f>
        <v/>
      </c>
      <c r="AL80" s="65" t="str">
        <f aca="false">IF($AK80&lt;&gt;"Candidate","",COUNTIFS($AK$2:$AK$501,"Candidate",$N$2:$N$501,"&gt;"&amp;$N80)+COUNTIFS($AK$2:$AK$501,"Candidate",$N$2:$N$501,$N80,$A$2:$A$501,"&lt;"&amp;$A80)+1)</f>
        <v/>
      </c>
      <c r="AM80" s="65" t="str">
        <f aca="false">IF($AL80="","",SUMIFS($M$2:$M$501,$AK$2:$AK$501,"Candidate",$AL$2:$AL$501,"&lt;="&amp;$AL80))</f>
        <v/>
      </c>
      <c r="AN80" s="65" t="str">
        <f aca="false">IF($AL80="","",IF($AM80&lt;=CapacityOpen,"Fits","Below line"))</f>
        <v/>
      </c>
      <c r="AO80" s="65" t="str">
        <f aca="false">IF($A80="","",IF($X80="Closed","",IF($X80="Unmapped","Warning",IF(OR($AB80="Overdue",$V80="Y",$AH80="Critical"),"Critical",IF(OR($AB80="At risk",$AC80="Stale",$AG80="Over"),"Warning","")))))</f>
        <v/>
      </c>
      <c r="AP80" s="65" t="str">
        <f aca="false">IF($AO80="","",IF($AO80="Critical",3000,2000)-IF($Z80="",0,$Z80)+ROW()/100000)</f>
        <v/>
      </c>
      <c r="AQ80" s="65" t="str">
        <f aca="false">IF($AO80="","",IF($X80="Unmapped","Status '"&amp;$C80&amp;"' is not in the Config map",IF($V80="Y","Flagged in Jira",IF($AB80="Overdue",-$Z80&amp;" days past its "&amp;$X80&amp;" target",IF($AH80="Critical",$AI80,IF($AB80="At risk","Target in "&amp;$Z80&amp;" days",IF($AC80="Stale","No update in "&amp;$AA80&amp;" days","Past its "&amp;$AE80&amp;"-day tier window")))))))</f>
        <v/>
      </c>
      <c r="AR80" s="65" t="str">
        <f aca="false">IF($AO80="","","draft Jira update for "&amp;$A80)</f>
        <v/>
      </c>
      <c r="AS80" s="65" t="str">
        <f aca="false">IF($A80="","",HYPERLINK(JiraSite&amp;"/browse/"&amp;$A80,"open"))</f>
        <v/>
      </c>
      <c r="AT80" s="65" t="str">
        <f aca="false">IF($Y80="","",$Y80*1000+ROW())</f>
        <v/>
      </c>
      <c r="AU80" s="65" t="str">
        <f aca="false">IF(AND($A80&lt;&gt;"",$G80&gt;=WeekStart),$G80+ROW()/100000,"")</f>
        <v/>
      </c>
      <c r="AV80" s="65" t="str">
        <f aca="false">IF($A80="","",IF(OR(AND($S80&lt;&gt;"",$S80&gt;=WeekStart),AND($U80&lt;&gt;"",$U80&gt;=WeekStart)),MAX($S80,$U80)+ROW()/100000,""))</f>
        <v/>
      </c>
      <c r="AW80" s="65" t="str">
        <f aca="false">IF($AV80="","",IF($T80&lt;&gt;"",$T80,IF($X80="Closed","Closed","Accepted to "&amp;$X80)))</f>
        <v/>
      </c>
      <c r="AX80" s="65" t="str">
        <f aca="false">IF(AND($Y80&lt;&gt;"",$R80&lt;&gt;""),$AF80+ROW()/100000,"")</f>
        <v/>
      </c>
      <c r="AY80" s="65" t="str">
        <f aca="false">IF(AND($Y80&lt;&gt;"",OR($AB80="Overdue",AND($AH80="Critical",$R80&lt;&gt;""))),$AF80+ROW()/100000,"")</f>
        <v/>
      </c>
      <c r="AZ80" s="65" t="str">
        <f aca="false">IF($AH80="Critical",$AF80+ROW()/100000,"")</f>
        <v/>
      </c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63"/>
      <c r="H81" s="63"/>
      <c r="I81" s="63"/>
      <c r="J81" s="28"/>
      <c r="K81" s="28"/>
      <c r="L81" s="28"/>
      <c r="M81" s="28"/>
      <c r="N81" s="28"/>
      <c r="O81" s="64"/>
      <c r="P81" s="64"/>
      <c r="Q81" s="64"/>
      <c r="R81" s="28"/>
      <c r="S81" s="63"/>
      <c r="T81" s="64"/>
      <c r="U81" s="63"/>
      <c r="V81" s="64"/>
      <c r="W81" s="28"/>
      <c r="X81" s="65" t="str">
        <f aca="false">IF($A81="","",IF(OR($T81&lt;&gt;"",$U81&lt;&gt;""),"Closed",IFERROR(INDEX(MapStage,MATCH($C81,MapStatus,0)),"Unmapped")))</f>
        <v/>
      </c>
      <c r="Y81" s="65" t="str">
        <f aca="false">IF(OR($X81="",$X81="Closed",$X81="Unmapped"),"",MATCH($X81,StageName,0))</f>
        <v/>
      </c>
      <c r="Z81" s="65" t="str">
        <f aca="false">IF(OR($Y81="",$I81=""),"",$I81-AsOf)</f>
        <v/>
      </c>
      <c r="AA81" s="65" t="str">
        <f aca="false">IF($A81="","",AsOf-$H81)</f>
        <v/>
      </c>
      <c r="AB81" s="65" t="str">
        <f aca="false">IF($A81="","",IF($X81="Closed","Closed",IF($X81="Unmapped","Unmapped",IF($I81="","No target",IF($Z81&lt;0,"Overdue",IF($Z81&lt;=INDEX(StageWindow,$Y81),"At risk","On track"))))))</f>
        <v/>
      </c>
      <c r="AC81" s="65" t="str">
        <f aca="false">IF($Y81="","",IF($AA81&gt;2*INDEX(StageStale,$Y81),"Stale",IF($AA81&gt;INDEX(StageStale,$Y81),"Aging","Fresh")))</f>
        <v/>
      </c>
      <c r="AD81" s="65" t="str">
        <f aca="false">IF($A81="","",IF(OR(ISNUMBER(SEARCH("Reg report",$J81)),ISNUMBER(SEARCH("No human review",$J81)),COUNTIF(TierFuncs,$D81)&gt;0),"High",IF(OR(TRIM($J81)&lt;&gt;"",ISNUMBER(SEARCH("revenue",$K81))),"Medium","Low")))</f>
        <v/>
      </c>
      <c r="AE81" s="65" t="str">
        <f aca="false">IF($A81="","",INDEX(TierDays,MATCH($AD81,TierName,0)))</f>
        <v/>
      </c>
      <c r="AF81" s="65" t="str">
        <f aca="false">IF($A81="","",AsOf-$G81)</f>
        <v/>
      </c>
      <c r="AG81" s="65" t="str">
        <f aca="false">IF($Y81="","",IF($Y81&lt;=5,IF($AF81&gt;$AE81,"Over","Inside"),"Past approval"))</f>
        <v/>
      </c>
      <c r="AH81" s="65" t="str">
        <f aca="false">IF($Y81="","",CHOOSE($Y81,IF(OR(TRIM($F81)="",ISNUMBER(SEARCH("not named",$F81))),"Critical","Good"),IF($O81&lt;&gt;"Y","Critical",IF($Q81&lt;&gt;"Y","Warning","Good")),IF($P81="","Critical",IF($P81="partial","Warning",IF($P81="ready","Good","Critical"))),IF($R81&lt;&gt;"","Critical","Warning"),IF($L81="","Critical",IF($N81="","Warning","Good")),IF($R81&lt;&gt;"","Critical","Warning"),IF($R81&lt;&gt;"","Critical","Warning"),IF($Q81="Y","Good","Critical")))</f>
        <v/>
      </c>
      <c r="AI81" s="65" t="str">
        <f aca="false">IF($Y81="","",CHOOSE($Y81,IF(OR(TRIM($F81)="",ISNUMBER(SEARCH("not named",$F81))),"Name a sponsor accountable for the value",""),IF($O81&lt;&gt;"Y","State the success metric and the stop condition",IF($Q81&lt;&gt;"Y","Set the baseline the benefit will be measured against","")),IF($P81="","Assess data readiness and regulatory impact",IF($P81="partial","Close the known data gaps",IF($P81="ready","","Data is not available; reshape or park"))),IF($R81&lt;&gt;"",IF(OR(ISNUMBER(SEARCH("mrm",$R81)),ISNUMBER(SEARCH("model",$R81)),ISNUMBER(SEARCH("risk",$R81)),ISNUMBER(SEARCH("legal",$R81)),ISNUMBER(SEARCH("complian",$R81))),"Awaiting ","Held at the design gate: ")&amp;$R81,"Map the governance framework for its tier"),IF($L81="","Size the annual benefit",IF($N81="","Score it so it can be ranked against capacity","")),IF($R81&lt;&gt;"","Build held: "&amp;$R81,"In build, not yet through test"),IF($R81&lt;&gt;"","Not ready to scale: "&amp;$R81,"Monitoring and third-party review not yet signed off"),IF($Q81="Y","","Live without a measured baseline to judge it against")))</f>
        <v/>
      </c>
      <c r="AJ81" s="65" t="str">
        <f aca="false">IF($Y81="","",INDEX(StageForum,$Y81))</f>
        <v/>
      </c>
      <c r="AK81" s="65" t="str">
        <f aca="false">IF($Y81="","",IF(OR($X81="Delivery",$X81="Value"),"Committed",IF($N81&lt;&gt;"","Candidate","")))</f>
        <v/>
      </c>
      <c r="AL81" s="65" t="str">
        <f aca="false">IF($AK81&lt;&gt;"Candidate","",COUNTIFS($AK$2:$AK$501,"Candidate",$N$2:$N$501,"&gt;"&amp;$N81)+COUNTIFS($AK$2:$AK$501,"Candidate",$N$2:$N$501,$N81,$A$2:$A$501,"&lt;"&amp;$A81)+1)</f>
        <v/>
      </c>
      <c r="AM81" s="65" t="str">
        <f aca="false">IF($AL81="","",SUMIFS($M$2:$M$501,$AK$2:$AK$501,"Candidate",$AL$2:$AL$501,"&lt;="&amp;$AL81))</f>
        <v/>
      </c>
      <c r="AN81" s="65" t="str">
        <f aca="false">IF($AL81="","",IF($AM81&lt;=CapacityOpen,"Fits","Below line"))</f>
        <v/>
      </c>
      <c r="AO81" s="65" t="str">
        <f aca="false">IF($A81="","",IF($X81="Closed","",IF($X81="Unmapped","Warning",IF(OR($AB81="Overdue",$V81="Y",$AH81="Critical"),"Critical",IF(OR($AB81="At risk",$AC81="Stale",$AG81="Over"),"Warning","")))))</f>
        <v/>
      </c>
      <c r="AP81" s="65" t="str">
        <f aca="false">IF($AO81="","",IF($AO81="Critical",3000,2000)-IF($Z81="",0,$Z81)+ROW()/100000)</f>
        <v/>
      </c>
      <c r="AQ81" s="65" t="str">
        <f aca="false">IF($AO81="","",IF($X81="Unmapped","Status '"&amp;$C81&amp;"' is not in the Config map",IF($V81="Y","Flagged in Jira",IF($AB81="Overdue",-$Z81&amp;" days past its "&amp;$X81&amp;" target",IF($AH81="Critical",$AI81,IF($AB81="At risk","Target in "&amp;$Z81&amp;" days",IF($AC81="Stale","No update in "&amp;$AA81&amp;" days","Past its "&amp;$AE81&amp;"-day tier window")))))))</f>
        <v/>
      </c>
      <c r="AR81" s="65" t="str">
        <f aca="false">IF($AO81="","","draft Jira update for "&amp;$A81)</f>
        <v/>
      </c>
      <c r="AS81" s="65" t="str">
        <f aca="false">IF($A81="","",HYPERLINK(JiraSite&amp;"/browse/"&amp;$A81,"open"))</f>
        <v/>
      </c>
      <c r="AT81" s="65" t="str">
        <f aca="false">IF($Y81="","",$Y81*1000+ROW())</f>
        <v/>
      </c>
      <c r="AU81" s="65" t="str">
        <f aca="false">IF(AND($A81&lt;&gt;"",$G81&gt;=WeekStart),$G81+ROW()/100000,"")</f>
        <v/>
      </c>
      <c r="AV81" s="65" t="str">
        <f aca="false">IF($A81="","",IF(OR(AND($S81&lt;&gt;"",$S81&gt;=WeekStart),AND($U81&lt;&gt;"",$U81&gt;=WeekStart)),MAX($S81,$U81)+ROW()/100000,""))</f>
        <v/>
      </c>
      <c r="AW81" s="65" t="str">
        <f aca="false">IF($AV81="","",IF($T81&lt;&gt;"",$T81,IF($X81="Closed","Closed","Accepted to "&amp;$X81)))</f>
        <v/>
      </c>
      <c r="AX81" s="65" t="str">
        <f aca="false">IF(AND($Y81&lt;&gt;"",$R81&lt;&gt;""),$AF81+ROW()/100000,"")</f>
        <v/>
      </c>
      <c r="AY81" s="65" t="str">
        <f aca="false">IF(AND($Y81&lt;&gt;"",OR($AB81="Overdue",AND($AH81="Critical",$R81&lt;&gt;""))),$AF81+ROW()/100000,"")</f>
        <v/>
      </c>
      <c r="AZ81" s="65" t="str">
        <f aca="false">IF($AH81="Critical",$AF81+ROW()/100000,"")</f>
        <v/>
      </c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63"/>
      <c r="H82" s="63"/>
      <c r="I82" s="63"/>
      <c r="J82" s="28"/>
      <c r="K82" s="28"/>
      <c r="L82" s="28"/>
      <c r="M82" s="28"/>
      <c r="N82" s="28"/>
      <c r="O82" s="64"/>
      <c r="P82" s="64"/>
      <c r="Q82" s="64"/>
      <c r="R82" s="28"/>
      <c r="S82" s="63"/>
      <c r="T82" s="64"/>
      <c r="U82" s="63"/>
      <c r="V82" s="64"/>
      <c r="W82" s="28"/>
      <c r="X82" s="65" t="str">
        <f aca="false">IF($A82="","",IF(OR($T82&lt;&gt;"",$U82&lt;&gt;""),"Closed",IFERROR(INDEX(MapStage,MATCH($C82,MapStatus,0)),"Unmapped")))</f>
        <v/>
      </c>
      <c r="Y82" s="65" t="str">
        <f aca="false">IF(OR($X82="",$X82="Closed",$X82="Unmapped"),"",MATCH($X82,StageName,0))</f>
        <v/>
      </c>
      <c r="Z82" s="65" t="str">
        <f aca="false">IF(OR($Y82="",$I82=""),"",$I82-AsOf)</f>
        <v/>
      </c>
      <c r="AA82" s="65" t="str">
        <f aca="false">IF($A82="","",AsOf-$H82)</f>
        <v/>
      </c>
      <c r="AB82" s="65" t="str">
        <f aca="false">IF($A82="","",IF($X82="Closed","Closed",IF($X82="Unmapped","Unmapped",IF($I82="","No target",IF($Z82&lt;0,"Overdue",IF($Z82&lt;=INDEX(StageWindow,$Y82),"At risk","On track"))))))</f>
        <v/>
      </c>
      <c r="AC82" s="65" t="str">
        <f aca="false">IF($Y82="","",IF($AA82&gt;2*INDEX(StageStale,$Y82),"Stale",IF($AA82&gt;INDEX(StageStale,$Y82),"Aging","Fresh")))</f>
        <v/>
      </c>
      <c r="AD82" s="65" t="str">
        <f aca="false">IF($A82="","",IF(OR(ISNUMBER(SEARCH("Reg report",$J82)),ISNUMBER(SEARCH("No human review",$J82)),COUNTIF(TierFuncs,$D82)&gt;0),"High",IF(OR(TRIM($J82)&lt;&gt;"",ISNUMBER(SEARCH("revenue",$K82))),"Medium","Low")))</f>
        <v/>
      </c>
      <c r="AE82" s="65" t="str">
        <f aca="false">IF($A82="","",INDEX(TierDays,MATCH($AD82,TierName,0)))</f>
        <v/>
      </c>
      <c r="AF82" s="65" t="str">
        <f aca="false">IF($A82="","",AsOf-$G82)</f>
        <v/>
      </c>
      <c r="AG82" s="65" t="str">
        <f aca="false">IF($Y82="","",IF($Y82&lt;=5,IF($AF82&gt;$AE82,"Over","Inside"),"Past approval"))</f>
        <v/>
      </c>
      <c r="AH82" s="65" t="str">
        <f aca="false">IF($Y82="","",CHOOSE($Y82,IF(OR(TRIM($F82)="",ISNUMBER(SEARCH("not named",$F82))),"Critical","Good"),IF($O82&lt;&gt;"Y","Critical",IF($Q82&lt;&gt;"Y","Warning","Good")),IF($P82="","Critical",IF($P82="partial","Warning",IF($P82="ready","Good","Critical"))),IF($R82&lt;&gt;"","Critical","Warning"),IF($L82="","Critical",IF($N82="","Warning","Good")),IF($R82&lt;&gt;"","Critical","Warning"),IF($R82&lt;&gt;"","Critical","Warning"),IF($Q82="Y","Good","Critical")))</f>
        <v/>
      </c>
      <c r="AI82" s="65" t="str">
        <f aca="false">IF($Y82="","",CHOOSE($Y82,IF(OR(TRIM($F82)="",ISNUMBER(SEARCH("not named",$F82))),"Name a sponsor accountable for the value",""),IF($O82&lt;&gt;"Y","State the success metric and the stop condition",IF($Q82&lt;&gt;"Y","Set the baseline the benefit will be measured against","")),IF($P82="","Assess data readiness and regulatory impact",IF($P82="partial","Close the known data gaps",IF($P82="ready","","Data is not available; reshape or park"))),IF($R82&lt;&gt;"",IF(OR(ISNUMBER(SEARCH("mrm",$R82)),ISNUMBER(SEARCH("model",$R82)),ISNUMBER(SEARCH("risk",$R82)),ISNUMBER(SEARCH("legal",$R82)),ISNUMBER(SEARCH("complian",$R82))),"Awaiting ","Held at the design gate: ")&amp;$R82,"Map the governance framework for its tier"),IF($L82="","Size the annual benefit",IF($N82="","Score it so it can be ranked against capacity","")),IF($R82&lt;&gt;"","Build held: "&amp;$R82,"In build, not yet through test"),IF($R82&lt;&gt;"","Not ready to scale: "&amp;$R82,"Monitoring and third-party review not yet signed off"),IF($Q82="Y","","Live without a measured baseline to judge it against")))</f>
        <v/>
      </c>
      <c r="AJ82" s="65" t="str">
        <f aca="false">IF($Y82="","",INDEX(StageForum,$Y82))</f>
        <v/>
      </c>
      <c r="AK82" s="65" t="str">
        <f aca="false">IF($Y82="","",IF(OR($X82="Delivery",$X82="Value"),"Committed",IF($N82&lt;&gt;"","Candidate","")))</f>
        <v/>
      </c>
      <c r="AL82" s="65" t="str">
        <f aca="false">IF($AK82&lt;&gt;"Candidate","",COUNTIFS($AK$2:$AK$501,"Candidate",$N$2:$N$501,"&gt;"&amp;$N82)+COUNTIFS($AK$2:$AK$501,"Candidate",$N$2:$N$501,$N82,$A$2:$A$501,"&lt;"&amp;$A82)+1)</f>
        <v/>
      </c>
      <c r="AM82" s="65" t="str">
        <f aca="false">IF($AL82="","",SUMIFS($M$2:$M$501,$AK$2:$AK$501,"Candidate",$AL$2:$AL$501,"&lt;="&amp;$AL82))</f>
        <v/>
      </c>
      <c r="AN82" s="65" t="str">
        <f aca="false">IF($AL82="","",IF($AM82&lt;=CapacityOpen,"Fits","Below line"))</f>
        <v/>
      </c>
      <c r="AO82" s="65" t="str">
        <f aca="false">IF($A82="","",IF($X82="Closed","",IF($X82="Unmapped","Warning",IF(OR($AB82="Overdue",$V82="Y",$AH82="Critical"),"Critical",IF(OR($AB82="At risk",$AC82="Stale",$AG82="Over"),"Warning","")))))</f>
        <v/>
      </c>
      <c r="AP82" s="65" t="str">
        <f aca="false">IF($AO82="","",IF($AO82="Critical",3000,2000)-IF($Z82="",0,$Z82)+ROW()/100000)</f>
        <v/>
      </c>
      <c r="AQ82" s="65" t="str">
        <f aca="false">IF($AO82="","",IF($X82="Unmapped","Status '"&amp;$C82&amp;"' is not in the Config map",IF($V82="Y","Flagged in Jira",IF($AB82="Overdue",-$Z82&amp;" days past its "&amp;$X82&amp;" target",IF($AH82="Critical",$AI82,IF($AB82="At risk","Target in "&amp;$Z82&amp;" days",IF($AC82="Stale","No update in "&amp;$AA82&amp;" days","Past its "&amp;$AE82&amp;"-day tier window")))))))</f>
        <v/>
      </c>
      <c r="AR82" s="65" t="str">
        <f aca="false">IF($AO82="","","draft Jira update for "&amp;$A82)</f>
        <v/>
      </c>
      <c r="AS82" s="65" t="str">
        <f aca="false">IF($A82="","",HYPERLINK(JiraSite&amp;"/browse/"&amp;$A82,"open"))</f>
        <v/>
      </c>
      <c r="AT82" s="65" t="str">
        <f aca="false">IF($Y82="","",$Y82*1000+ROW())</f>
        <v/>
      </c>
      <c r="AU82" s="65" t="str">
        <f aca="false">IF(AND($A82&lt;&gt;"",$G82&gt;=WeekStart),$G82+ROW()/100000,"")</f>
        <v/>
      </c>
      <c r="AV82" s="65" t="str">
        <f aca="false">IF($A82="","",IF(OR(AND($S82&lt;&gt;"",$S82&gt;=WeekStart),AND($U82&lt;&gt;"",$U82&gt;=WeekStart)),MAX($S82,$U82)+ROW()/100000,""))</f>
        <v/>
      </c>
      <c r="AW82" s="65" t="str">
        <f aca="false">IF($AV82="","",IF($T82&lt;&gt;"",$T82,IF($X82="Closed","Closed","Accepted to "&amp;$X82)))</f>
        <v/>
      </c>
      <c r="AX82" s="65" t="str">
        <f aca="false">IF(AND($Y82&lt;&gt;"",$R82&lt;&gt;""),$AF82+ROW()/100000,"")</f>
        <v/>
      </c>
      <c r="AY82" s="65" t="str">
        <f aca="false">IF(AND($Y82&lt;&gt;"",OR($AB82="Overdue",AND($AH82="Critical",$R82&lt;&gt;""))),$AF82+ROW()/100000,"")</f>
        <v/>
      </c>
      <c r="AZ82" s="65" t="str">
        <f aca="false">IF($AH82="Critical",$AF82+ROW()/100000,"")</f>
        <v/>
      </c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63"/>
      <c r="H83" s="63"/>
      <c r="I83" s="63"/>
      <c r="J83" s="28"/>
      <c r="K83" s="28"/>
      <c r="L83" s="28"/>
      <c r="M83" s="28"/>
      <c r="N83" s="28"/>
      <c r="O83" s="64"/>
      <c r="P83" s="64"/>
      <c r="Q83" s="64"/>
      <c r="R83" s="28"/>
      <c r="S83" s="63"/>
      <c r="T83" s="64"/>
      <c r="U83" s="63"/>
      <c r="V83" s="64"/>
      <c r="W83" s="28"/>
      <c r="X83" s="65" t="str">
        <f aca="false">IF($A83="","",IF(OR($T83&lt;&gt;"",$U83&lt;&gt;""),"Closed",IFERROR(INDEX(MapStage,MATCH($C83,MapStatus,0)),"Unmapped")))</f>
        <v/>
      </c>
      <c r="Y83" s="65" t="str">
        <f aca="false">IF(OR($X83="",$X83="Closed",$X83="Unmapped"),"",MATCH($X83,StageName,0))</f>
        <v/>
      </c>
      <c r="Z83" s="65" t="str">
        <f aca="false">IF(OR($Y83="",$I83=""),"",$I83-AsOf)</f>
        <v/>
      </c>
      <c r="AA83" s="65" t="str">
        <f aca="false">IF($A83="","",AsOf-$H83)</f>
        <v/>
      </c>
      <c r="AB83" s="65" t="str">
        <f aca="false">IF($A83="","",IF($X83="Closed","Closed",IF($X83="Unmapped","Unmapped",IF($I83="","No target",IF($Z83&lt;0,"Overdue",IF($Z83&lt;=INDEX(StageWindow,$Y83),"At risk","On track"))))))</f>
        <v/>
      </c>
      <c r="AC83" s="65" t="str">
        <f aca="false">IF($Y83="","",IF($AA83&gt;2*INDEX(StageStale,$Y83),"Stale",IF($AA83&gt;INDEX(StageStale,$Y83),"Aging","Fresh")))</f>
        <v/>
      </c>
      <c r="AD83" s="65" t="str">
        <f aca="false">IF($A83="","",IF(OR(ISNUMBER(SEARCH("Reg report",$J83)),ISNUMBER(SEARCH("No human review",$J83)),COUNTIF(TierFuncs,$D83)&gt;0),"High",IF(OR(TRIM($J83)&lt;&gt;"",ISNUMBER(SEARCH("revenue",$K83))),"Medium","Low")))</f>
        <v/>
      </c>
      <c r="AE83" s="65" t="str">
        <f aca="false">IF($A83="","",INDEX(TierDays,MATCH($AD83,TierName,0)))</f>
        <v/>
      </c>
      <c r="AF83" s="65" t="str">
        <f aca="false">IF($A83="","",AsOf-$G83)</f>
        <v/>
      </c>
      <c r="AG83" s="65" t="str">
        <f aca="false">IF($Y83="","",IF($Y83&lt;=5,IF($AF83&gt;$AE83,"Over","Inside"),"Past approval"))</f>
        <v/>
      </c>
      <c r="AH83" s="65" t="str">
        <f aca="false">IF($Y83="","",CHOOSE($Y83,IF(OR(TRIM($F83)="",ISNUMBER(SEARCH("not named",$F83))),"Critical","Good"),IF($O83&lt;&gt;"Y","Critical",IF($Q83&lt;&gt;"Y","Warning","Good")),IF($P83="","Critical",IF($P83="partial","Warning",IF($P83="ready","Good","Critical"))),IF($R83&lt;&gt;"","Critical","Warning"),IF($L83="","Critical",IF($N83="","Warning","Good")),IF($R83&lt;&gt;"","Critical","Warning"),IF($R83&lt;&gt;"","Critical","Warning"),IF($Q83="Y","Good","Critical")))</f>
        <v/>
      </c>
      <c r="AI83" s="65" t="str">
        <f aca="false">IF($Y83="","",CHOOSE($Y83,IF(OR(TRIM($F83)="",ISNUMBER(SEARCH("not named",$F83))),"Name a sponsor accountable for the value",""),IF($O83&lt;&gt;"Y","State the success metric and the stop condition",IF($Q83&lt;&gt;"Y","Set the baseline the benefit will be measured against","")),IF($P83="","Assess data readiness and regulatory impact",IF($P83="partial","Close the known data gaps",IF($P83="ready","","Data is not available; reshape or park"))),IF($R83&lt;&gt;"",IF(OR(ISNUMBER(SEARCH("mrm",$R83)),ISNUMBER(SEARCH("model",$R83)),ISNUMBER(SEARCH("risk",$R83)),ISNUMBER(SEARCH("legal",$R83)),ISNUMBER(SEARCH("complian",$R83))),"Awaiting ","Held at the design gate: ")&amp;$R83,"Map the governance framework for its tier"),IF($L83="","Size the annual benefit",IF($N83="","Score it so it can be ranked against capacity","")),IF($R83&lt;&gt;"","Build held: "&amp;$R83,"In build, not yet through test"),IF($R83&lt;&gt;"","Not ready to scale: "&amp;$R83,"Monitoring and third-party review not yet signed off"),IF($Q83="Y","","Live without a measured baseline to judge it against")))</f>
        <v/>
      </c>
      <c r="AJ83" s="65" t="str">
        <f aca="false">IF($Y83="","",INDEX(StageForum,$Y83))</f>
        <v/>
      </c>
      <c r="AK83" s="65" t="str">
        <f aca="false">IF($Y83="","",IF(OR($X83="Delivery",$X83="Value"),"Committed",IF($N83&lt;&gt;"","Candidate","")))</f>
        <v/>
      </c>
      <c r="AL83" s="65" t="str">
        <f aca="false">IF($AK83&lt;&gt;"Candidate","",COUNTIFS($AK$2:$AK$501,"Candidate",$N$2:$N$501,"&gt;"&amp;$N83)+COUNTIFS($AK$2:$AK$501,"Candidate",$N$2:$N$501,$N83,$A$2:$A$501,"&lt;"&amp;$A83)+1)</f>
        <v/>
      </c>
      <c r="AM83" s="65" t="str">
        <f aca="false">IF($AL83="","",SUMIFS($M$2:$M$501,$AK$2:$AK$501,"Candidate",$AL$2:$AL$501,"&lt;="&amp;$AL83))</f>
        <v/>
      </c>
      <c r="AN83" s="65" t="str">
        <f aca="false">IF($AL83="","",IF($AM83&lt;=CapacityOpen,"Fits","Below line"))</f>
        <v/>
      </c>
      <c r="AO83" s="65" t="str">
        <f aca="false">IF($A83="","",IF($X83="Closed","",IF($X83="Unmapped","Warning",IF(OR($AB83="Overdue",$V83="Y",$AH83="Critical"),"Critical",IF(OR($AB83="At risk",$AC83="Stale",$AG83="Over"),"Warning","")))))</f>
        <v/>
      </c>
      <c r="AP83" s="65" t="str">
        <f aca="false">IF($AO83="","",IF($AO83="Critical",3000,2000)-IF($Z83="",0,$Z83)+ROW()/100000)</f>
        <v/>
      </c>
      <c r="AQ83" s="65" t="str">
        <f aca="false">IF($AO83="","",IF($X83="Unmapped","Status '"&amp;$C83&amp;"' is not in the Config map",IF($V83="Y","Flagged in Jira",IF($AB83="Overdue",-$Z83&amp;" days past its "&amp;$X83&amp;" target",IF($AH83="Critical",$AI83,IF($AB83="At risk","Target in "&amp;$Z83&amp;" days",IF($AC83="Stale","No update in "&amp;$AA83&amp;" days","Past its "&amp;$AE83&amp;"-day tier window")))))))</f>
        <v/>
      </c>
      <c r="AR83" s="65" t="str">
        <f aca="false">IF($AO83="","","draft Jira update for "&amp;$A83)</f>
        <v/>
      </c>
      <c r="AS83" s="65" t="str">
        <f aca="false">IF($A83="","",HYPERLINK(JiraSite&amp;"/browse/"&amp;$A83,"open"))</f>
        <v/>
      </c>
      <c r="AT83" s="65" t="str">
        <f aca="false">IF($Y83="","",$Y83*1000+ROW())</f>
        <v/>
      </c>
      <c r="AU83" s="65" t="str">
        <f aca="false">IF(AND($A83&lt;&gt;"",$G83&gt;=WeekStart),$G83+ROW()/100000,"")</f>
        <v/>
      </c>
      <c r="AV83" s="65" t="str">
        <f aca="false">IF($A83="","",IF(OR(AND($S83&lt;&gt;"",$S83&gt;=WeekStart),AND($U83&lt;&gt;"",$U83&gt;=WeekStart)),MAX($S83,$U83)+ROW()/100000,""))</f>
        <v/>
      </c>
      <c r="AW83" s="65" t="str">
        <f aca="false">IF($AV83="","",IF($T83&lt;&gt;"",$T83,IF($X83="Closed","Closed","Accepted to "&amp;$X83)))</f>
        <v/>
      </c>
      <c r="AX83" s="65" t="str">
        <f aca="false">IF(AND($Y83&lt;&gt;"",$R83&lt;&gt;""),$AF83+ROW()/100000,"")</f>
        <v/>
      </c>
      <c r="AY83" s="65" t="str">
        <f aca="false">IF(AND($Y83&lt;&gt;"",OR($AB83="Overdue",AND($AH83="Critical",$R83&lt;&gt;""))),$AF83+ROW()/100000,"")</f>
        <v/>
      </c>
      <c r="AZ83" s="65" t="str">
        <f aca="false">IF($AH83="Critical",$AF83+ROW()/100000,"")</f>
        <v/>
      </c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63"/>
      <c r="H84" s="63"/>
      <c r="I84" s="63"/>
      <c r="J84" s="28"/>
      <c r="K84" s="28"/>
      <c r="L84" s="28"/>
      <c r="M84" s="28"/>
      <c r="N84" s="28"/>
      <c r="O84" s="64"/>
      <c r="P84" s="64"/>
      <c r="Q84" s="64"/>
      <c r="R84" s="28"/>
      <c r="S84" s="63"/>
      <c r="T84" s="64"/>
      <c r="U84" s="63"/>
      <c r="V84" s="64"/>
      <c r="W84" s="28"/>
      <c r="X84" s="65" t="str">
        <f aca="false">IF($A84="","",IF(OR($T84&lt;&gt;"",$U84&lt;&gt;""),"Closed",IFERROR(INDEX(MapStage,MATCH($C84,MapStatus,0)),"Unmapped")))</f>
        <v/>
      </c>
      <c r="Y84" s="65" t="str">
        <f aca="false">IF(OR($X84="",$X84="Closed",$X84="Unmapped"),"",MATCH($X84,StageName,0))</f>
        <v/>
      </c>
      <c r="Z84" s="65" t="str">
        <f aca="false">IF(OR($Y84="",$I84=""),"",$I84-AsOf)</f>
        <v/>
      </c>
      <c r="AA84" s="65" t="str">
        <f aca="false">IF($A84="","",AsOf-$H84)</f>
        <v/>
      </c>
      <c r="AB84" s="65" t="str">
        <f aca="false">IF($A84="","",IF($X84="Closed","Closed",IF($X84="Unmapped","Unmapped",IF($I84="","No target",IF($Z84&lt;0,"Overdue",IF($Z84&lt;=INDEX(StageWindow,$Y84),"At risk","On track"))))))</f>
        <v/>
      </c>
      <c r="AC84" s="65" t="str">
        <f aca="false">IF($Y84="","",IF($AA84&gt;2*INDEX(StageStale,$Y84),"Stale",IF($AA84&gt;INDEX(StageStale,$Y84),"Aging","Fresh")))</f>
        <v/>
      </c>
      <c r="AD84" s="65" t="str">
        <f aca="false">IF($A84="","",IF(OR(ISNUMBER(SEARCH("Reg report",$J84)),ISNUMBER(SEARCH("No human review",$J84)),COUNTIF(TierFuncs,$D84)&gt;0),"High",IF(OR(TRIM($J84)&lt;&gt;"",ISNUMBER(SEARCH("revenue",$K84))),"Medium","Low")))</f>
        <v/>
      </c>
      <c r="AE84" s="65" t="str">
        <f aca="false">IF($A84="","",INDEX(TierDays,MATCH($AD84,TierName,0)))</f>
        <v/>
      </c>
      <c r="AF84" s="65" t="str">
        <f aca="false">IF($A84="","",AsOf-$G84)</f>
        <v/>
      </c>
      <c r="AG84" s="65" t="str">
        <f aca="false">IF($Y84="","",IF($Y84&lt;=5,IF($AF84&gt;$AE84,"Over","Inside"),"Past approval"))</f>
        <v/>
      </c>
      <c r="AH84" s="65" t="str">
        <f aca="false">IF($Y84="","",CHOOSE($Y84,IF(OR(TRIM($F84)="",ISNUMBER(SEARCH("not named",$F84))),"Critical","Good"),IF($O84&lt;&gt;"Y","Critical",IF($Q84&lt;&gt;"Y","Warning","Good")),IF($P84="","Critical",IF($P84="partial","Warning",IF($P84="ready","Good","Critical"))),IF($R84&lt;&gt;"","Critical","Warning"),IF($L84="","Critical",IF($N84="","Warning","Good")),IF($R84&lt;&gt;"","Critical","Warning"),IF($R84&lt;&gt;"","Critical","Warning"),IF($Q84="Y","Good","Critical")))</f>
        <v/>
      </c>
      <c r="AI84" s="65" t="str">
        <f aca="false">IF($Y84="","",CHOOSE($Y84,IF(OR(TRIM($F84)="",ISNUMBER(SEARCH("not named",$F84))),"Name a sponsor accountable for the value",""),IF($O84&lt;&gt;"Y","State the success metric and the stop condition",IF($Q84&lt;&gt;"Y","Set the baseline the benefit will be measured against","")),IF($P84="","Assess data readiness and regulatory impact",IF($P84="partial","Close the known data gaps",IF($P84="ready","","Data is not available; reshape or park"))),IF($R84&lt;&gt;"",IF(OR(ISNUMBER(SEARCH("mrm",$R84)),ISNUMBER(SEARCH("model",$R84)),ISNUMBER(SEARCH("risk",$R84)),ISNUMBER(SEARCH("legal",$R84)),ISNUMBER(SEARCH("complian",$R84))),"Awaiting ","Held at the design gate: ")&amp;$R84,"Map the governance framework for its tier"),IF($L84="","Size the annual benefit",IF($N84="","Score it so it can be ranked against capacity","")),IF($R84&lt;&gt;"","Build held: "&amp;$R84,"In build, not yet through test"),IF($R84&lt;&gt;"","Not ready to scale: "&amp;$R84,"Monitoring and third-party review not yet signed off"),IF($Q84="Y","","Live without a measured baseline to judge it against")))</f>
        <v/>
      </c>
      <c r="AJ84" s="65" t="str">
        <f aca="false">IF($Y84="","",INDEX(StageForum,$Y84))</f>
        <v/>
      </c>
      <c r="AK84" s="65" t="str">
        <f aca="false">IF($Y84="","",IF(OR($X84="Delivery",$X84="Value"),"Committed",IF($N84&lt;&gt;"","Candidate","")))</f>
        <v/>
      </c>
      <c r="AL84" s="65" t="str">
        <f aca="false">IF($AK84&lt;&gt;"Candidate","",COUNTIFS($AK$2:$AK$501,"Candidate",$N$2:$N$501,"&gt;"&amp;$N84)+COUNTIFS($AK$2:$AK$501,"Candidate",$N$2:$N$501,$N84,$A$2:$A$501,"&lt;"&amp;$A84)+1)</f>
        <v/>
      </c>
      <c r="AM84" s="65" t="str">
        <f aca="false">IF($AL84="","",SUMIFS($M$2:$M$501,$AK$2:$AK$501,"Candidate",$AL$2:$AL$501,"&lt;="&amp;$AL84))</f>
        <v/>
      </c>
      <c r="AN84" s="65" t="str">
        <f aca="false">IF($AL84="","",IF($AM84&lt;=CapacityOpen,"Fits","Below line"))</f>
        <v/>
      </c>
      <c r="AO84" s="65" t="str">
        <f aca="false">IF($A84="","",IF($X84="Closed","",IF($X84="Unmapped","Warning",IF(OR($AB84="Overdue",$V84="Y",$AH84="Critical"),"Critical",IF(OR($AB84="At risk",$AC84="Stale",$AG84="Over"),"Warning","")))))</f>
        <v/>
      </c>
      <c r="AP84" s="65" t="str">
        <f aca="false">IF($AO84="","",IF($AO84="Critical",3000,2000)-IF($Z84="",0,$Z84)+ROW()/100000)</f>
        <v/>
      </c>
      <c r="AQ84" s="65" t="str">
        <f aca="false">IF($AO84="","",IF($X84="Unmapped","Status '"&amp;$C84&amp;"' is not in the Config map",IF($V84="Y","Flagged in Jira",IF($AB84="Overdue",-$Z84&amp;" days past its "&amp;$X84&amp;" target",IF($AH84="Critical",$AI84,IF($AB84="At risk","Target in "&amp;$Z84&amp;" days",IF($AC84="Stale","No update in "&amp;$AA84&amp;" days","Past its "&amp;$AE84&amp;"-day tier window")))))))</f>
        <v/>
      </c>
      <c r="AR84" s="65" t="str">
        <f aca="false">IF($AO84="","","draft Jira update for "&amp;$A84)</f>
        <v/>
      </c>
      <c r="AS84" s="65" t="str">
        <f aca="false">IF($A84="","",HYPERLINK(JiraSite&amp;"/browse/"&amp;$A84,"open"))</f>
        <v/>
      </c>
      <c r="AT84" s="65" t="str">
        <f aca="false">IF($Y84="","",$Y84*1000+ROW())</f>
        <v/>
      </c>
      <c r="AU84" s="65" t="str">
        <f aca="false">IF(AND($A84&lt;&gt;"",$G84&gt;=WeekStart),$G84+ROW()/100000,"")</f>
        <v/>
      </c>
      <c r="AV84" s="65" t="str">
        <f aca="false">IF($A84="","",IF(OR(AND($S84&lt;&gt;"",$S84&gt;=WeekStart),AND($U84&lt;&gt;"",$U84&gt;=WeekStart)),MAX($S84,$U84)+ROW()/100000,""))</f>
        <v/>
      </c>
      <c r="AW84" s="65" t="str">
        <f aca="false">IF($AV84="","",IF($T84&lt;&gt;"",$T84,IF($X84="Closed","Closed","Accepted to "&amp;$X84)))</f>
        <v/>
      </c>
      <c r="AX84" s="65" t="str">
        <f aca="false">IF(AND($Y84&lt;&gt;"",$R84&lt;&gt;""),$AF84+ROW()/100000,"")</f>
        <v/>
      </c>
      <c r="AY84" s="65" t="str">
        <f aca="false">IF(AND($Y84&lt;&gt;"",OR($AB84="Overdue",AND($AH84="Critical",$R84&lt;&gt;""))),$AF84+ROW()/100000,"")</f>
        <v/>
      </c>
      <c r="AZ84" s="65" t="str">
        <f aca="false">IF($AH84="Critical",$AF84+ROW()/100000,"")</f>
        <v/>
      </c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63"/>
      <c r="H85" s="63"/>
      <c r="I85" s="63"/>
      <c r="J85" s="28"/>
      <c r="K85" s="28"/>
      <c r="L85" s="28"/>
      <c r="M85" s="28"/>
      <c r="N85" s="28"/>
      <c r="O85" s="64"/>
      <c r="P85" s="64"/>
      <c r="Q85" s="64"/>
      <c r="R85" s="28"/>
      <c r="S85" s="63"/>
      <c r="T85" s="64"/>
      <c r="U85" s="63"/>
      <c r="V85" s="64"/>
      <c r="W85" s="28"/>
      <c r="X85" s="65" t="str">
        <f aca="false">IF($A85="","",IF(OR($T85&lt;&gt;"",$U85&lt;&gt;""),"Closed",IFERROR(INDEX(MapStage,MATCH($C85,MapStatus,0)),"Unmapped")))</f>
        <v/>
      </c>
      <c r="Y85" s="65" t="str">
        <f aca="false">IF(OR($X85="",$X85="Closed",$X85="Unmapped"),"",MATCH($X85,StageName,0))</f>
        <v/>
      </c>
      <c r="Z85" s="65" t="str">
        <f aca="false">IF(OR($Y85="",$I85=""),"",$I85-AsOf)</f>
        <v/>
      </c>
      <c r="AA85" s="65" t="str">
        <f aca="false">IF($A85="","",AsOf-$H85)</f>
        <v/>
      </c>
      <c r="AB85" s="65" t="str">
        <f aca="false">IF($A85="","",IF($X85="Closed","Closed",IF($X85="Unmapped","Unmapped",IF($I85="","No target",IF($Z85&lt;0,"Overdue",IF($Z85&lt;=INDEX(StageWindow,$Y85),"At risk","On track"))))))</f>
        <v/>
      </c>
      <c r="AC85" s="65" t="str">
        <f aca="false">IF($Y85="","",IF($AA85&gt;2*INDEX(StageStale,$Y85),"Stale",IF($AA85&gt;INDEX(StageStale,$Y85),"Aging","Fresh")))</f>
        <v/>
      </c>
      <c r="AD85" s="65" t="str">
        <f aca="false">IF($A85="","",IF(OR(ISNUMBER(SEARCH("Reg report",$J85)),ISNUMBER(SEARCH("No human review",$J85)),COUNTIF(TierFuncs,$D85)&gt;0),"High",IF(OR(TRIM($J85)&lt;&gt;"",ISNUMBER(SEARCH("revenue",$K85))),"Medium","Low")))</f>
        <v/>
      </c>
      <c r="AE85" s="65" t="str">
        <f aca="false">IF($A85="","",INDEX(TierDays,MATCH($AD85,TierName,0)))</f>
        <v/>
      </c>
      <c r="AF85" s="65" t="str">
        <f aca="false">IF($A85="","",AsOf-$G85)</f>
        <v/>
      </c>
      <c r="AG85" s="65" t="str">
        <f aca="false">IF($Y85="","",IF($Y85&lt;=5,IF($AF85&gt;$AE85,"Over","Inside"),"Past approval"))</f>
        <v/>
      </c>
      <c r="AH85" s="65" t="str">
        <f aca="false">IF($Y85="","",CHOOSE($Y85,IF(OR(TRIM($F85)="",ISNUMBER(SEARCH("not named",$F85))),"Critical","Good"),IF($O85&lt;&gt;"Y","Critical",IF($Q85&lt;&gt;"Y","Warning","Good")),IF($P85="","Critical",IF($P85="partial","Warning",IF($P85="ready","Good","Critical"))),IF($R85&lt;&gt;"","Critical","Warning"),IF($L85="","Critical",IF($N85="","Warning","Good")),IF($R85&lt;&gt;"","Critical","Warning"),IF($R85&lt;&gt;"","Critical","Warning"),IF($Q85="Y","Good","Critical")))</f>
        <v/>
      </c>
      <c r="AI85" s="65" t="str">
        <f aca="false">IF($Y85="","",CHOOSE($Y85,IF(OR(TRIM($F85)="",ISNUMBER(SEARCH("not named",$F85))),"Name a sponsor accountable for the value",""),IF($O85&lt;&gt;"Y","State the success metric and the stop condition",IF($Q85&lt;&gt;"Y","Set the baseline the benefit will be measured against","")),IF($P85="","Assess data readiness and regulatory impact",IF($P85="partial","Close the known data gaps",IF($P85="ready","","Data is not available; reshape or park"))),IF($R85&lt;&gt;"",IF(OR(ISNUMBER(SEARCH("mrm",$R85)),ISNUMBER(SEARCH("model",$R85)),ISNUMBER(SEARCH("risk",$R85)),ISNUMBER(SEARCH("legal",$R85)),ISNUMBER(SEARCH("complian",$R85))),"Awaiting ","Held at the design gate: ")&amp;$R85,"Map the governance framework for its tier"),IF($L85="","Size the annual benefit",IF($N85="","Score it so it can be ranked against capacity","")),IF($R85&lt;&gt;"","Build held: "&amp;$R85,"In build, not yet through test"),IF($R85&lt;&gt;"","Not ready to scale: "&amp;$R85,"Monitoring and third-party review not yet signed off"),IF($Q85="Y","","Live without a measured baseline to judge it against")))</f>
        <v/>
      </c>
      <c r="AJ85" s="65" t="str">
        <f aca="false">IF($Y85="","",INDEX(StageForum,$Y85))</f>
        <v/>
      </c>
      <c r="AK85" s="65" t="str">
        <f aca="false">IF($Y85="","",IF(OR($X85="Delivery",$X85="Value"),"Committed",IF($N85&lt;&gt;"","Candidate","")))</f>
        <v/>
      </c>
      <c r="AL85" s="65" t="str">
        <f aca="false">IF($AK85&lt;&gt;"Candidate","",COUNTIFS($AK$2:$AK$501,"Candidate",$N$2:$N$501,"&gt;"&amp;$N85)+COUNTIFS($AK$2:$AK$501,"Candidate",$N$2:$N$501,$N85,$A$2:$A$501,"&lt;"&amp;$A85)+1)</f>
        <v/>
      </c>
      <c r="AM85" s="65" t="str">
        <f aca="false">IF($AL85="","",SUMIFS($M$2:$M$501,$AK$2:$AK$501,"Candidate",$AL$2:$AL$501,"&lt;="&amp;$AL85))</f>
        <v/>
      </c>
      <c r="AN85" s="65" t="str">
        <f aca="false">IF($AL85="","",IF($AM85&lt;=CapacityOpen,"Fits","Below line"))</f>
        <v/>
      </c>
      <c r="AO85" s="65" t="str">
        <f aca="false">IF($A85="","",IF($X85="Closed","",IF($X85="Unmapped","Warning",IF(OR($AB85="Overdue",$V85="Y",$AH85="Critical"),"Critical",IF(OR($AB85="At risk",$AC85="Stale",$AG85="Over"),"Warning","")))))</f>
        <v/>
      </c>
      <c r="AP85" s="65" t="str">
        <f aca="false">IF($AO85="","",IF($AO85="Critical",3000,2000)-IF($Z85="",0,$Z85)+ROW()/100000)</f>
        <v/>
      </c>
      <c r="AQ85" s="65" t="str">
        <f aca="false">IF($AO85="","",IF($X85="Unmapped","Status '"&amp;$C85&amp;"' is not in the Config map",IF($V85="Y","Flagged in Jira",IF($AB85="Overdue",-$Z85&amp;" days past its "&amp;$X85&amp;" target",IF($AH85="Critical",$AI85,IF($AB85="At risk","Target in "&amp;$Z85&amp;" days",IF($AC85="Stale","No update in "&amp;$AA85&amp;" days","Past its "&amp;$AE85&amp;"-day tier window")))))))</f>
        <v/>
      </c>
      <c r="AR85" s="65" t="str">
        <f aca="false">IF($AO85="","","draft Jira update for "&amp;$A85)</f>
        <v/>
      </c>
      <c r="AS85" s="65" t="str">
        <f aca="false">IF($A85="","",HYPERLINK(JiraSite&amp;"/browse/"&amp;$A85,"open"))</f>
        <v/>
      </c>
      <c r="AT85" s="65" t="str">
        <f aca="false">IF($Y85="","",$Y85*1000+ROW())</f>
        <v/>
      </c>
      <c r="AU85" s="65" t="str">
        <f aca="false">IF(AND($A85&lt;&gt;"",$G85&gt;=WeekStart),$G85+ROW()/100000,"")</f>
        <v/>
      </c>
      <c r="AV85" s="65" t="str">
        <f aca="false">IF($A85="","",IF(OR(AND($S85&lt;&gt;"",$S85&gt;=WeekStart),AND($U85&lt;&gt;"",$U85&gt;=WeekStart)),MAX($S85,$U85)+ROW()/100000,""))</f>
        <v/>
      </c>
      <c r="AW85" s="65" t="str">
        <f aca="false">IF($AV85="","",IF($T85&lt;&gt;"",$T85,IF($X85="Closed","Closed","Accepted to "&amp;$X85)))</f>
        <v/>
      </c>
      <c r="AX85" s="65" t="str">
        <f aca="false">IF(AND($Y85&lt;&gt;"",$R85&lt;&gt;""),$AF85+ROW()/100000,"")</f>
        <v/>
      </c>
      <c r="AY85" s="65" t="str">
        <f aca="false">IF(AND($Y85&lt;&gt;"",OR($AB85="Overdue",AND($AH85="Critical",$R85&lt;&gt;""))),$AF85+ROW()/100000,"")</f>
        <v/>
      </c>
      <c r="AZ85" s="65" t="str">
        <f aca="false">IF($AH85="Critical",$AF85+ROW()/100000,"")</f>
        <v/>
      </c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63"/>
      <c r="H86" s="63"/>
      <c r="I86" s="63"/>
      <c r="J86" s="28"/>
      <c r="K86" s="28"/>
      <c r="L86" s="28"/>
      <c r="M86" s="28"/>
      <c r="N86" s="28"/>
      <c r="O86" s="64"/>
      <c r="P86" s="64"/>
      <c r="Q86" s="64"/>
      <c r="R86" s="28"/>
      <c r="S86" s="63"/>
      <c r="T86" s="64"/>
      <c r="U86" s="63"/>
      <c r="V86" s="64"/>
      <c r="W86" s="28"/>
      <c r="X86" s="65" t="str">
        <f aca="false">IF($A86="","",IF(OR($T86&lt;&gt;"",$U86&lt;&gt;""),"Closed",IFERROR(INDEX(MapStage,MATCH($C86,MapStatus,0)),"Unmapped")))</f>
        <v/>
      </c>
      <c r="Y86" s="65" t="str">
        <f aca="false">IF(OR($X86="",$X86="Closed",$X86="Unmapped"),"",MATCH($X86,StageName,0))</f>
        <v/>
      </c>
      <c r="Z86" s="65" t="str">
        <f aca="false">IF(OR($Y86="",$I86=""),"",$I86-AsOf)</f>
        <v/>
      </c>
      <c r="AA86" s="65" t="str">
        <f aca="false">IF($A86="","",AsOf-$H86)</f>
        <v/>
      </c>
      <c r="AB86" s="65" t="str">
        <f aca="false">IF($A86="","",IF($X86="Closed","Closed",IF($X86="Unmapped","Unmapped",IF($I86="","No target",IF($Z86&lt;0,"Overdue",IF($Z86&lt;=INDEX(StageWindow,$Y86),"At risk","On track"))))))</f>
        <v/>
      </c>
      <c r="AC86" s="65" t="str">
        <f aca="false">IF($Y86="","",IF($AA86&gt;2*INDEX(StageStale,$Y86),"Stale",IF($AA86&gt;INDEX(StageStale,$Y86),"Aging","Fresh")))</f>
        <v/>
      </c>
      <c r="AD86" s="65" t="str">
        <f aca="false">IF($A86="","",IF(OR(ISNUMBER(SEARCH("Reg report",$J86)),ISNUMBER(SEARCH("No human review",$J86)),COUNTIF(TierFuncs,$D86)&gt;0),"High",IF(OR(TRIM($J86)&lt;&gt;"",ISNUMBER(SEARCH("revenue",$K86))),"Medium","Low")))</f>
        <v/>
      </c>
      <c r="AE86" s="65" t="str">
        <f aca="false">IF($A86="","",INDEX(TierDays,MATCH($AD86,TierName,0)))</f>
        <v/>
      </c>
      <c r="AF86" s="65" t="str">
        <f aca="false">IF($A86="","",AsOf-$G86)</f>
        <v/>
      </c>
      <c r="AG86" s="65" t="str">
        <f aca="false">IF($Y86="","",IF($Y86&lt;=5,IF($AF86&gt;$AE86,"Over","Inside"),"Past approval"))</f>
        <v/>
      </c>
      <c r="AH86" s="65" t="str">
        <f aca="false">IF($Y86="","",CHOOSE($Y86,IF(OR(TRIM($F86)="",ISNUMBER(SEARCH("not named",$F86))),"Critical","Good"),IF($O86&lt;&gt;"Y","Critical",IF($Q86&lt;&gt;"Y","Warning","Good")),IF($P86="","Critical",IF($P86="partial","Warning",IF($P86="ready","Good","Critical"))),IF($R86&lt;&gt;"","Critical","Warning"),IF($L86="","Critical",IF($N86="","Warning","Good")),IF($R86&lt;&gt;"","Critical","Warning"),IF($R86&lt;&gt;"","Critical","Warning"),IF($Q86="Y","Good","Critical")))</f>
        <v/>
      </c>
      <c r="AI86" s="65" t="str">
        <f aca="false">IF($Y86="","",CHOOSE($Y86,IF(OR(TRIM($F86)="",ISNUMBER(SEARCH("not named",$F86))),"Name a sponsor accountable for the value",""),IF($O86&lt;&gt;"Y","State the success metric and the stop condition",IF($Q86&lt;&gt;"Y","Set the baseline the benefit will be measured against","")),IF($P86="","Assess data readiness and regulatory impact",IF($P86="partial","Close the known data gaps",IF($P86="ready","","Data is not available; reshape or park"))),IF($R86&lt;&gt;"",IF(OR(ISNUMBER(SEARCH("mrm",$R86)),ISNUMBER(SEARCH("model",$R86)),ISNUMBER(SEARCH("risk",$R86)),ISNUMBER(SEARCH("legal",$R86)),ISNUMBER(SEARCH("complian",$R86))),"Awaiting ","Held at the design gate: ")&amp;$R86,"Map the governance framework for its tier"),IF($L86="","Size the annual benefit",IF($N86="","Score it so it can be ranked against capacity","")),IF($R86&lt;&gt;"","Build held: "&amp;$R86,"In build, not yet through test"),IF($R86&lt;&gt;"","Not ready to scale: "&amp;$R86,"Monitoring and third-party review not yet signed off"),IF($Q86="Y","","Live without a measured baseline to judge it against")))</f>
        <v/>
      </c>
      <c r="AJ86" s="65" t="str">
        <f aca="false">IF($Y86="","",INDEX(StageForum,$Y86))</f>
        <v/>
      </c>
      <c r="AK86" s="65" t="str">
        <f aca="false">IF($Y86="","",IF(OR($X86="Delivery",$X86="Value"),"Committed",IF($N86&lt;&gt;"","Candidate","")))</f>
        <v/>
      </c>
      <c r="AL86" s="65" t="str">
        <f aca="false">IF($AK86&lt;&gt;"Candidate","",COUNTIFS($AK$2:$AK$501,"Candidate",$N$2:$N$501,"&gt;"&amp;$N86)+COUNTIFS($AK$2:$AK$501,"Candidate",$N$2:$N$501,$N86,$A$2:$A$501,"&lt;"&amp;$A86)+1)</f>
        <v/>
      </c>
      <c r="AM86" s="65" t="str">
        <f aca="false">IF($AL86="","",SUMIFS($M$2:$M$501,$AK$2:$AK$501,"Candidate",$AL$2:$AL$501,"&lt;="&amp;$AL86))</f>
        <v/>
      </c>
      <c r="AN86" s="65" t="str">
        <f aca="false">IF($AL86="","",IF($AM86&lt;=CapacityOpen,"Fits","Below line"))</f>
        <v/>
      </c>
      <c r="AO86" s="65" t="str">
        <f aca="false">IF($A86="","",IF($X86="Closed","",IF($X86="Unmapped","Warning",IF(OR($AB86="Overdue",$V86="Y",$AH86="Critical"),"Critical",IF(OR($AB86="At risk",$AC86="Stale",$AG86="Over"),"Warning","")))))</f>
        <v/>
      </c>
      <c r="AP86" s="65" t="str">
        <f aca="false">IF($AO86="","",IF($AO86="Critical",3000,2000)-IF($Z86="",0,$Z86)+ROW()/100000)</f>
        <v/>
      </c>
      <c r="AQ86" s="65" t="str">
        <f aca="false">IF($AO86="","",IF($X86="Unmapped","Status '"&amp;$C86&amp;"' is not in the Config map",IF($V86="Y","Flagged in Jira",IF($AB86="Overdue",-$Z86&amp;" days past its "&amp;$X86&amp;" target",IF($AH86="Critical",$AI86,IF($AB86="At risk","Target in "&amp;$Z86&amp;" days",IF($AC86="Stale","No update in "&amp;$AA86&amp;" days","Past its "&amp;$AE86&amp;"-day tier window")))))))</f>
        <v/>
      </c>
      <c r="AR86" s="65" t="str">
        <f aca="false">IF($AO86="","","draft Jira update for "&amp;$A86)</f>
        <v/>
      </c>
      <c r="AS86" s="65" t="str">
        <f aca="false">IF($A86="","",HYPERLINK(JiraSite&amp;"/browse/"&amp;$A86,"open"))</f>
        <v/>
      </c>
      <c r="AT86" s="65" t="str">
        <f aca="false">IF($Y86="","",$Y86*1000+ROW())</f>
        <v/>
      </c>
      <c r="AU86" s="65" t="str">
        <f aca="false">IF(AND($A86&lt;&gt;"",$G86&gt;=WeekStart),$G86+ROW()/100000,"")</f>
        <v/>
      </c>
      <c r="AV86" s="65" t="str">
        <f aca="false">IF($A86="","",IF(OR(AND($S86&lt;&gt;"",$S86&gt;=WeekStart),AND($U86&lt;&gt;"",$U86&gt;=WeekStart)),MAX($S86,$U86)+ROW()/100000,""))</f>
        <v/>
      </c>
      <c r="AW86" s="65" t="str">
        <f aca="false">IF($AV86="","",IF($T86&lt;&gt;"",$T86,IF($X86="Closed","Closed","Accepted to "&amp;$X86)))</f>
        <v/>
      </c>
      <c r="AX86" s="65" t="str">
        <f aca="false">IF(AND($Y86&lt;&gt;"",$R86&lt;&gt;""),$AF86+ROW()/100000,"")</f>
        <v/>
      </c>
      <c r="AY86" s="65" t="str">
        <f aca="false">IF(AND($Y86&lt;&gt;"",OR($AB86="Overdue",AND($AH86="Critical",$R86&lt;&gt;""))),$AF86+ROW()/100000,"")</f>
        <v/>
      </c>
      <c r="AZ86" s="65" t="str">
        <f aca="false">IF($AH86="Critical",$AF86+ROW()/100000,"")</f>
        <v/>
      </c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63"/>
      <c r="H87" s="63"/>
      <c r="I87" s="63"/>
      <c r="J87" s="28"/>
      <c r="K87" s="28"/>
      <c r="L87" s="28"/>
      <c r="M87" s="28"/>
      <c r="N87" s="28"/>
      <c r="O87" s="64"/>
      <c r="P87" s="64"/>
      <c r="Q87" s="64"/>
      <c r="R87" s="28"/>
      <c r="S87" s="63"/>
      <c r="T87" s="64"/>
      <c r="U87" s="63"/>
      <c r="V87" s="64"/>
      <c r="W87" s="28"/>
      <c r="X87" s="65" t="str">
        <f aca="false">IF($A87="","",IF(OR($T87&lt;&gt;"",$U87&lt;&gt;""),"Closed",IFERROR(INDEX(MapStage,MATCH($C87,MapStatus,0)),"Unmapped")))</f>
        <v/>
      </c>
      <c r="Y87" s="65" t="str">
        <f aca="false">IF(OR($X87="",$X87="Closed",$X87="Unmapped"),"",MATCH($X87,StageName,0))</f>
        <v/>
      </c>
      <c r="Z87" s="65" t="str">
        <f aca="false">IF(OR($Y87="",$I87=""),"",$I87-AsOf)</f>
        <v/>
      </c>
      <c r="AA87" s="65" t="str">
        <f aca="false">IF($A87="","",AsOf-$H87)</f>
        <v/>
      </c>
      <c r="AB87" s="65" t="str">
        <f aca="false">IF($A87="","",IF($X87="Closed","Closed",IF($X87="Unmapped","Unmapped",IF($I87="","No target",IF($Z87&lt;0,"Overdue",IF($Z87&lt;=INDEX(StageWindow,$Y87),"At risk","On track"))))))</f>
        <v/>
      </c>
      <c r="AC87" s="65" t="str">
        <f aca="false">IF($Y87="","",IF($AA87&gt;2*INDEX(StageStale,$Y87),"Stale",IF($AA87&gt;INDEX(StageStale,$Y87),"Aging","Fresh")))</f>
        <v/>
      </c>
      <c r="AD87" s="65" t="str">
        <f aca="false">IF($A87="","",IF(OR(ISNUMBER(SEARCH("Reg report",$J87)),ISNUMBER(SEARCH("No human review",$J87)),COUNTIF(TierFuncs,$D87)&gt;0),"High",IF(OR(TRIM($J87)&lt;&gt;"",ISNUMBER(SEARCH("revenue",$K87))),"Medium","Low")))</f>
        <v/>
      </c>
      <c r="AE87" s="65" t="str">
        <f aca="false">IF($A87="","",INDEX(TierDays,MATCH($AD87,TierName,0)))</f>
        <v/>
      </c>
      <c r="AF87" s="65" t="str">
        <f aca="false">IF($A87="","",AsOf-$G87)</f>
        <v/>
      </c>
      <c r="AG87" s="65" t="str">
        <f aca="false">IF($Y87="","",IF($Y87&lt;=5,IF($AF87&gt;$AE87,"Over","Inside"),"Past approval"))</f>
        <v/>
      </c>
      <c r="AH87" s="65" t="str">
        <f aca="false">IF($Y87="","",CHOOSE($Y87,IF(OR(TRIM($F87)="",ISNUMBER(SEARCH("not named",$F87))),"Critical","Good"),IF($O87&lt;&gt;"Y","Critical",IF($Q87&lt;&gt;"Y","Warning","Good")),IF($P87="","Critical",IF($P87="partial","Warning",IF($P87="ready","Good","Critical"))),IF($R87&lt;&gt;"","Critical","Warning"),IF($L87="","Critical",IF($N87="","Warning","Good")),IF($R87&lt;&gt;"","Critical","Warning"),IF($R87&lt;&gt;"","Critical","Warning"),IF($Q87="Y","Good","Critical")))</f>
        <v/>
      </c>
      <c r="AI87" s="65" t="str">
        <f aca="false">IF($Y87="","",CHOOSE($Y87,IF(OR(TRIM($F87)="",ISNUMBER(SEARCH("not named",$F87))),"Name a sponsor accountable for the value",""),IF($O87&lt;&gt;"Y","State the success metric and the stop condition",IF($Q87&lt;&gt;"Y","Set the baseline the benefit will be measured against","")),IF($P87="","Assess data readiness and regulatory impact",IF($P87="partial","Close the known data gaps",IF($P87="ready","","Data is not available; reshape or park"))),IF($R87&lt;&gt;"",IF(OR(ISNUMBER(SEARCH("mrm",$R87)),ISNUMBER(SEARCH("model",$R87)),ISNUMBER(SEARCH("risk",$R87)),ISNUMBER(SEARCH("legal",$R87)),ISNUMBER(SEARCH("complian",$R87))),"Awaiting ","Held at the design gate: ")&amp;$R87,"Map the governance framework for its tier"),IF($L87="","Size the annual benefit",IF($N87="","Score it so it can be ranked against capacity","")),IF($R87&lt;&gt;"","Build held: "&amp;$R87,"In build, not yet through test"),IF($R87&lt;&gt;"","Not ready to scale: "&amp;$R87,"Monitoring and third-party review not yet signed off"),IF($Q87="Y","","Live without a measured baseline to judge it against")))</f>
        <v/>
      </c>
      <c r="AJ87" s="65" t="str">
        <f aca="false">IF($Y87="","",INDEX(StageForum,$Y87))</f>
        <v/>
      </c>
      <c r="AK87" s="65" t="str">
        <f aca="false">IF($Y87="","",IF(OR($X87="Delivery",$X87="Value"),"Committed",IF($N87&lt;&gt;"","Candidate","")))</f>
        <v/>
      </c>
      <c r="AL87" s="65" t="str">
        <f aca="false">IF($AK87&lt;&gt;"Candidate","",COUNTIFS($AK$2:$AK$501,"Candidate",$N$2:$N$501,"&gt;"&amp;$N87)+COUNTIFS($AK$2:$AK$501,"Candidate",$N$2:$N$501,$N87,$A$2:$A$501,"&lt;"&amp;$A87)+1)</f>
        <v/>
      </c>
      <c r="AM87" s="65" t="str">
        <f aca="false">IF($AL87="","",SUMIFS($M$2:$M$501,$AK$2:$AK$501,"Candidate",$AL$2:$AL$501,"&lt;="&amp;$AL87))</f>
        <v/>
      </c>
      <c r="AN87" s="65" t="str">
        <f aca="false">IF($AL87="","",IF($AM87&lt;=CapacityOpen,"Fits","Below line"))</f>
        <v/>
      </c>
      <c r="AO87" s="65" t="str">
        <f aca="false">IF($A87="","",IF($X87="Closed","",IF($X87="Unmapped","Warning",IF(OR($AB87="Overdue",$V87="Y",$AH87="Critical"),"Critical",IF(OR($AB87="At risk",$AC87="Stale",$AG87="Over"),"Warning","")))))</f>
        <v/>
      </c>
      <c r="AP87" s="65" t="str">
        <f aca="false">IF($AO87="","",IF($AO87="Critical",3000,2000)-IF($Z87="",0,$Z87)+ROW()/100000)</f>
        <v/>
      </c>
      <c r="AQ87" s="65" t="str">
        <f aca="false">IF($AO87="","",IF($X87="Unmapped","Status '"&amp;$C87&amp;"' is not in the Config map",IF($V87="Y","Flagged in Jira",IF($AB87="Overdue",-$Z87&amp;" days past its "&amp;$X87&amp;" target",IF($AH87="Critical",$AI87,IF($AB87="At risk","Target in "&amp;$Z87&amp;" days",IF($AC87="Stale","No update in "&amp;$AA87&amp;" days","Past its "&amp;$AE87&amp;"-day tier window")))))))</f>
        <v/>
      </c>
      <c r="AR87" s="65" t="str">
        <f aca="false">IF($AO87="","","draft Jira update for "&amp;$A87)</f>
        <v/>
      </c>
      <c r="AS87" s="65" t="str">
        <f aca="false">IF($A87="","",HYPERLINK(JiraSite&amp;"/browse/"&amp;$A87,"open"))</f>
        <v/>
      </c>
      <c r="AT87" s="65" t="str">
        <f aca="false">IF($Y87="","",$Y87*1000+ROW())</f>
        <v/>
      </c>
      <c r="AU87" s="65" t="str">
        <f aca="false">IF(AND($A87&lt;&gt;"",$G87&gt;=WeekStart),$G87+ROW()/100000,"")</f>
        <v/>
      </c>
      <c r="AV87" s="65" t="str">
        <f aca="false">IF($A87="","",IF(OR(AND($S87&lt;&gt;"",$S87&gt;=WeekStart),AND($U87&lt;&gt;"",$U87&gt;=WeekStart)),MAX($S87,$U87)+ROW()/100000,""))</f>
        <v/>
      </c>
      <c r="AW87" s="65" t="str">
        <f aca="false">IF($AV87="","",IF($T87&lt;&gt;"",$T87,IF($X87="Closed","Closed","Accepted to "&amp;$X87)))</f>
        <v/>
      </c>
      <c r="AX87" s="65" t="str">
        <f aca="false">IF(AND($Y87&lt;&gt;"",$R87&lt;&gt;""),$AF87+ROW()/100000,"")</f>
        <v/>
      </c>
      <c r="AY87" s="65" t="str">
        <f aca="false">IF(AND($Y87&lt;&gt;"",OR($AB87="Overdue",AND($AH87="Critical",$R87&lt;&gt;""))),$AF87+ROW()/100000,"")</f>
        <v/>
      </c>
      <c r="AZ87" s="65" t="str">
        <f aca="false">IF($AH87="Critical",$AF87+ROW()/100000,"")</f>
        <v/>
      </c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63"/>
      <c r="H88" s="63"/>
      <c r="I88" s="63"/>
      <c r="J88" s="28"/>
      <c r="K88" s="28"/>
      <c r="L88" s="28"/>
      <c r="M88" s="28"/>
      <c r="N88" s="28"/>
      <c r="O88" s="64"/>
      <c r="P88" s="64"/>
      <c r="Q88" s="64"/>
      <c r="R88" s="28"/>
      <c r="S88" s="63"/>
      <c r="T88" s="64"/>
      <c r="U88" s="63"/>
      <c r="V88" s="64"/>
      <c r="W88" s="28"/>
      <c r="X88" s="65" t="str">
        <f aca="false">IF($A88="","",IF(OR($T88&lt;&gt;"",$U88&lt;&gt;""),"Closed",IFERROR(INDEX(MapStage,MATCH($C88,MapStatus,0)),"Unmapped")))</f>
        <v/>
      </c>
      <c r="Y88" s="65" t="str">
        <f aca="false">IF(OR($X88="",$X88="Closed",$X88="Unmapped"),"",MATCH($X88,StageName,0))</f>
        <v/>
      </c>
      <c r="Z88" s="65" t="str">
        <f aca="false">IF(OR($Y88="",$I88=""),"",$I88-AsOf)</f>
        <v/>
      </c>
      <c r="AA88" s="65" t="str">
        <f aca="false">IF($A88="","",AsOf-$H88)</f>
        <v/>
      </c>
      <c r="AB88" s="65" t="str">
        <f aca="false">IF($A88="","",IF($X88="Closed","Closed",IF($X88="Unmapped","Unmapped",IF($I88="","No target",IF($Z88&lt;0,"Overdue",IF($Z88&lt;=INDEX(StageWindow,$Y88),"At risk","On track"))))))</f>
        <v/>
      </c>
      <c r="AC88" s="65" t="str">
        <f aca="false">IF($Y88="","",IF($AA88&gt;2*INDEX(StageStale,$Y88),"Stale",IF($AA88&gt;INDEX(StageStale,$Y88),"Aging","Fresh")))</f>
        <v/>
      </c>
      <c r="AD88" s="65" t="str">
        <f aca="false">IF($A88="","",IF(OR(ISNUMBER(SEARCH("Reg report",$J88)),ISNUMBER(SEARCH("No human review",$J88)),COUNTIF(TierFuncs,$D88)&gt;0),"High",IF(OR(TRIM($J88)&lt;&gt;"",ISNUMBER(SEARCH("revenue",$K88))),"Medium","Low")))</f>
        <v/>
      </c>
      <c r="AE88" s="65" t="str">
        <f aca="false">IF($A88="","",INDEX(TierDays,MATCH($AD88,TierName,0)))</f>
        <v/>
      </c>
      <c r="AF88" s="65" t="str">
        <f aca="false">IF($A88="","",AsOf-$G88)</f>
        <v/>
      </c>
      <c r="AG88" s="65" t="str">
        <f aca="false">IF($Y88="","",IF($Y88&lt;=5,IF($AF88&gt;$AE88,"Over","Inside"),"Past approval"))</f>
        <v/>
      </c>
      <c r="AH88" s="65" t="str">
        <f aca="false">IF($Y88="","",CHOOSE($Y88,IF(OR(TRIM($F88)="",ISNUMBER(SEARCH("not named",$F88))),"Critical","Good"),IF($O88&lt;&gt;"Y","Critical",IF($Q88&lt;&gt;"Y","Warning","Good")),IF($P88="","Critical",IF($P88="partial","Warning",IF($P88="ready","Good","Critical"))),IF($R88&lt;&gt;"","Critical","Warning"),IF($L88="","Critical",IF($N88="","Warning","Good")),IF($R88&lt;&gt;"","Critical","Warning"),IF($R88&lt;&gt;"","Critical","Warning"),IF($Q88="Y","Good","Critical")))</f>
        <v/>
      </c>
      <c r="AI88" s="65" t="str">
        <f aca="false">IF($Y88="","",CHOOSE($Y88,IF(OR(TRIM($F88)="",ISNUMBER(SEARCH("not named",$F88))),"Name a sponsor accountable for the value",""),IF($O88&lt;&gt;"Y","State the success metric and the stop condition",IF($Q88&lt;&gt;"Y","Set the baseline the benefit will be measured against","")),IF($P88="","Assess data readiness and regulatory impact",IF($P88="partial","Close the known data gaps",IF($P88="ready","","Data is not available; reshape or park"))),IF($R88&lt;&gt;"",IF(OR(ISNUMBER(SEARCH("mrm",$R88)),ISNUMBER(SEARCH("model",$R88)),ISNUMBER(SEARCH("risk",$R88)),ISNUMBER(SEARCH("legal",$R88)),ISNUMBER(SEARCH("complian",$R88))),"Awaiting ","Held at the design gate: ")&amp;$R88,"Map the governance framework for its tier"),IF($L88="","Size the annual benefit",IF($N88="","Score it so it can be ranked against capacity","")),IF($R88&lt;&gt;"","Build held: "&amp;$R88,"In build, not yet through test"),IF($R88&lt;&gt;"","Not ready to scale: "&amp;$R88,"Monitoring and third-party review not yet signed off"),IF($Q88="Y","","Live without a measured baseline to judge it against")))</f>
        <v/>
      </c>
      <c r="AJ88" s="65" t="str">
        <f aca="false">IF($Y88="","",INDEX(StageForum,$Y88))</f>
        <v/>
      </c>
      <c r="AK88" s="65" t="str">
        <f aca="false">IF($Y88="","",IF(OR($X88="Delivery",$X88="Value"),"Committed",IF($N88&lt;&gt;"","Candidate","")))</f>
        <v/>
      </c>
      <c r="AL88" s="65" t="str">
        <f aca="false">IF($AK88&lt;&gt;"Candidate","",COUNTIFS($AK$2:$AK$501,"Candidate",$N$2:$N$501,"&gt;"&amp;$N88)+COUNTIFS($AK$2:$AK$501,"Candidate",$N$2:$N$501,$N88,$A$2:$A$501,"&lt;"&amp;$A88)+1)</f>
        <v/>
      </c>
      <c r="AM88" s="65" t="str">
        <f aca="false">IF($AL88="","",SUMIFS($M$2:$M$501,$AK$2:$AK$501,"Candidate",$AL$2:$AL$501,"&lt;="&amp;$AL88))</f>
        <v/>
      </c>
      <c r="AN88" s="65" t="str">
        <f aca="false">IF($AL88="","",IF($AM88&lt;=CapacityOpen,"Fits","Below line"))</f>
        <v/>
      </c>
      <c r="AO88" s="65" t="str">
        <f aca="false">IF($A88="","",IF($X88="Closed","",IF($X88="Unmapped","Warning",IF(OR($AB88="Overdue",$V88="Y",$AH88="Critical"),"Critical",IF(OR($AB88="At risk",$AC88="Stale",$AG88="Over"),"Warning","")))))</f>
        <v/>
      </c>
      <c r="AP88" s="65" t="str">
        <f aca="false">IF($AO88="","",IF($AO88="Critical",3000,2000)-IF($Z88="",0,$Z88)+ROW()/100000)</f>
        <v/>
      </c>
      <c r="AQ88" s="65" t="str">
        <f aca="false">IF($AO88="","",IF($X88="Unmapped","Status '"&amp;$C88&amp;"' is not in the Config map",IF($V88="Y","Flagged in Jira",IF($AB88="Overdue",-$Z88&amp;" days past its "&amp;$X88&amp;" target",IF($AH88="Critical",$AI88,IF($AB88="At risk","Target in "&amp;$Z88&amp;" days",IF($AC88="Stale","No update in "&amp;$AA88&amp;" days","Past its "&amp;$AE88&amp;"-day tier window")))))))</f>
        <v/>
      </c>
      <c r="AR88" s="65" t="str">
        <f aca="false">IF($AO88="","","draft Jira update for "&amp;$A88)</f>
        <v/>
      </c>
      <c r="AS88" s="65" t="str">
        <f aca="false">IF($A88="","",HYPERLINK(JiraSite&amp;"/browse/"&amp;$A88,"open"))</f>
        <v/>
      </c>
      <c r="AT88" s="65" t="str">
        <f aca="false">IF($Y88="","",$Y88*1000+ROW())</f>
        <v/>
      </c>
      <c r="AU88" s="65" t="str">
        <f aca="false">IF(AND($A88&lt;&gt;"",$G88&gt;=WeekStart),$G88+ROW()/100000,"")</f>
        <v/>
      </c>
      <c r="AV88" s="65" t="str">
        <f aca="false">IF($A88="","",IF(OR(AND($S88&lt;&gt;"",$S88&gt;=WeekStart),AND($U88&lt;&gt;"",$U88&gt;=WeekStart)),MAX($S88,$U88)+ROW()/100000,""))</f>
        <v/>
      </c>
      <c r="AW88" s="65" t="str">
        <f aca="false">IF($AV88="","",IF($T88&lt;&gt;"",$T88,IF($X88="Closed","Closed","Accepted to "&amp;$X88)))</f>
        <v/>
      </c>
      <c r="AX88" s="65" t="str">
        <f aca="false">IF(AND($Y88&lt;&gt;"",$R88&lt;&gt;""),$AF88+ROW()/100000,"")</f>
        <v/>
      </c>
      <c r="AY88" s="65" t="str">
        <f aca="false">IF(AND($Y88&lt;&gt;"",OR($AB88="Overdue",AND($AH88="Critical",$R88&lt;&gt;""))),$AF88+ROW()/100000,"")</f>
        <v/>
      </c>
      <c r="AZ88" s="65" t="str">
        <f aca="false">IF($AH88="Critical",$AF88+ROW()/100000,"")</f>
        <v/>
      </c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63"/>
      <c r="H89" s="63"/>
      <c r="I89" s="63"/>
      <c r="J89" s="28"/>
      <c r="K89" s="28"/>
      <c r="L89" s="28"/>
      <c r="M89" s="28"/>
      <c r="N89" s="28"/>
      <c r="O89" s="64"/>
      <c r="P89" s="64"/>
      <c r="Q89" s="64"/>
      <c r="R89" s="28"/>
      <c r="S89" s="63"/>
      <c r="T89" s="64"/>
      <c r="U89" s="63"/>
      <c r="V89" s="64"/>
      <c r="W89" s="28"/>
      <c r="X89" s="65" t="str">
        <f aca="false">IF($A89="","",IF(OR($T89&lt;&gt;"",$U89&lt;&gt;""),"Closed",IFERROR(INDEX(MapStage,MATCH($C89,MapStatus,0)),"Unmapped")))</f>
        <v/>
      </c>
      <c r="Y89" s="65" t="str">
        <f aca="false">IF(OR($X89="",$X89="Closed",$X89="Unmapped"),"",MATCH($X89,StageName,0))</f>
        <v/>
      </c>
      <c r="Z89" s="65" t="str">
        <f aca="false">IF(OR($Y89="",$I89=""),"",$I89-AsOf)</f>
        <v/>
      </c>
      <c r="AA89" s="65" t="str">
        <f aca="false">IF($A89="","",AsOf-$H89)</f>
        <v/>
      </c>
      <c r="AB89" s="65" t="str">
        <f aca="false">IF($A89="","",IF($X89="Closed","Closed",IF($X89="Unmapped","Unmapped",IF($I89="","No target",IF($Z89&lt;0,"Overdue",IF($Z89&lt;=INDEX(StageWindow,$Y89),"At risk","On track"))))))</f>
        <v/>
      </c>
      <c r="AC89" s="65" t="str">
        <f aca="false">IF($Y89="","",IF($AA89&gt;2*INDEX(StageStale,$Y89),"Stale",IF($AA89&gt;INDEX(StageStale,$Y89),"Aging","Fresh")))</f>
        <v/>
      </c>
      <c r="AD89" s="65" t="str">
        <f aca="false">IF($A89="","",IF(OR(ISNUMBER(SEARCH("Reg report",$J89)),ISNUMBER(SEARCH("No human review",$J89)),COUNTIF(TierFuncs,$D89)&gt;0),"High",IF(OR(TRIM($J89)&lt;&gt;"",ISNUMBER(SEARCH("revenue",$K89))),"Medium","Low")))</f>
        <v/>
      </c>
      <c r="AE89" s="65" t="str">
        <f aca="false">IF($A89="","",INDEX(TierDays,MATCH($AD89,TierName,0)))</f>
        <v/>
      </c>
      <c r="AF89" s="65" t="str">
        <f aca="false">IF($A89="","",AsOf-$G89)</f>
        <v/>
      </c>
      <c r="AG89" s="65" t="str">
        <f aca="false">IF($Y89="","",IF($Y89&lt;=5,IF($AF89&gt;$AE89,"Over","Inside"),"Past approval"))</f>
        <v/>
      </c>
      <c r="AH89" s="65" t="str">
        <f aca="false">IF($Y89="","",CHOOSE($Y89,IF(OR(TRIM($F89)="",ISNUMBER(SEARCH("not named",$F89))),"Critical","Good"),IF($O89&lt;&gt;"Y","Critical",IF($Q89&lt;&gt;"Y","Warning","Good")),IF($P89="","Critical",IF($P89="partial","Warning",IF($P89="ready","Good","Critical"))),IF($R89&lt;&gt;"","Critical","Warning"),IF($L89="","Critical",IF($N89="","Warning","Good")),IF($R89&lt;&gt;"","Critical","Warning"),IF($R89&lt;&gt;"","Critical","Warning"),IF($Q89="Y","Good","Critical")))</f>
        <v/>
      </c>
      <c r="AI89" s="65" t="str">
        <f aca="false">IF($Y89="","",CHOOSE($Y89,IF(OR(TRIM($F89)="",ISNUMBER(SEARCH("not named",$F89))),"Name a sponsor accountable for the value",""),IF($O89&lt;&gt;"Y","State the success metric and the stop condition",IF($Q89&lt;&gt;"Y","Set the baseline the benefit will be measured against","")),IF($P89="","Assess data readiness and regulatory impact",IF($P89="partial","Close the known data gaps",IF($P89="ready","","Data is not available; reshape or park"))),IF($R89&lt;&gt;"",IF(OR(ISNUMBER(SEARCH("mrm",$R89)),ISNUMBER(SEARCH("model",$R89)),ISNUMBER(SEARCH("risk",$R89)),ISNUMBER(SEARCH("legal",$R89)),ISNUMBER(SEARCH("complian",$R89))),"Awaiting ","Held at the design gate: ")&amp;$R89,"Map the governance framework for its tier"),IF($L89="","Size the annual benefit",IF($N89="","Score it so it can be ranked against capacity","")),IF($R89&lt;&gt;"","Build held: "&amp;$R89,"In build, not yet through test"),IF($R89&lt;&gt;"","Not ready to scale: "&amp;$R89,"Monitoring and third-party review not yet signed off"),IF($Q89="Y","","Live without a measured baseline to judge it against")))</f>
        <v/>
      </c>
      <c r="AJ89" s="65" t="str">
        <f aca="false">IF($Y89="","",INDEX(StageForum,$Y89))</f>
        <v/>
      </c>
      <c r="AK89" s="65" t="str">
        <f aca="false">IF($Y89="","",IF(OR($X89="Delivery",$X89="Value"),"Committed",IF($N89&lt;&gt;"","Candidate","")))</f>
        <v/>
      </c>
      <c r="AL89" s="65" t="str">
        <f aca="false">IF($AK89&lt;&gt;"Candidate","",COUNTIFS($AK$2:$AK$501,"Candidate",$N$2:$N$501,"&gt;"&amp;$N89)+COUNTIFS($AK$2:$AK$501,"Candidate",$N$2:$N$501,$N89,$A$2:$A$501,"&lt;"&amp;$A89)+1)</f>
        <v/>
      </c>
      <c r="AM89" s="65" t="str">
        <f aca="false">IF($AL89="","",SUMIFS($M$2:$M$501,$AK$2:$AK$501,"Candidate",$AL$2:$AL$501,"&lt;="&amp;$AL89))</f>
        <v/>
      </c>
      <c r="AN89" s="65" t="str">
        <f aca="false">IF($AL89="","",IF($AM89&lt;=CapacityOpen,"Fits","Below line"))</f>
        <v/>
      </c>
      <c r="AO89" s="65" t="str">
        <f aca="false">IF($A89="","",IF($X89="Closed","",IF($X89="Unmapped","Warning",IF(OR($AB89="Overdue",$V89="Y",$AH89="Critical"),"Critical",IF(OR($AB89="At risk",$AC89="Stale",$AG89="Over"),"Warning","")))))</f>
        <v/>
      </c>
      <c r="AP89" s="65" t="str">
        <f aca="false">IF($AO89="","",IF($AO89="Critical",3000,2000)-IF($Z89="",0,$Z89)+ROW()/100000)</f>
        <v/>
      </c>
      <c r="AQ89" s="65" t="str">
        <f aca="false">IF($AO89="","",IF($X89="Unmapped","Status '"&amp;$C89&amp;"' is not in the Config map",IF($V89="Y","Flagged in Jira",IF($AB89="Overdue",-$Z89&amp;" days past its "&amp;$X89&amp;" target",IF($AH89="Critical",$AI89,IF($AB89="At risk","Target in "&amp;$Z89&amp;" days",IF($AC89="Stale","No update in "&amp;$AA89&amp;" days","Past its "&amp;$AE89&amp;"-day tier window")))))))</f>
        <v/>
      </c>
      <c r="AR89" s="65" t="str">
        <f aca="false">IF($AO89="","","draft Jira update for "&amp;$A89)</f>
        <v/>
      </c>
      <c r="AS89" s="65" t="str">
        <f aca="false">IF($A89="","",HYPERLINK(JiraSite&amp;"/browse/"&amp;$A89,"open"))</f>
        <v/>
      </c>
      <c r="AT89" s="65" t="str">
        <f aca="false">IF($Y89="","",$Y89*1000+ROW())</f>
        <v/>
      </c>
      <c r="AU89" s="65" t="str">
        <f aca="false">IF(AND($A89&lt;&gt;"",$G89&gt;=WeekStart),$G89+ROW()/100000,"")</f>
        <v/>
      </c>
      <c r="AV89" s="65" t="str">
        <f aca="false">IF($A89="","",IF(OR(AND($S89&lt;&gt;"",$S89&gt;=WeekStart),AND($U89&lt;&gt;"",$U89&gt;=WeekStart)),MAX($S89,$U89)+ROW()/100000,""))</f>
        <v/>
      </c>
      <c r="AW89" s="65" t="str">
        <f aca="false">IF($AV89="","",IF($T89&lt;&gt;"",$T89,IF($X89="Closed","Closed","Accepted to "&amp;$X89)))</f>
        <v/>
      </c>
      <c r="AX89" s="65" t="str">
        <f aca="false">IF(AND($Y89&lt;&gt;"",$R89&lt;&gt;""),$AF89+ROW()/100000,"")</f>
        <v/>
      </c>
      <c r="AY89" s="65" t="str">
        <f aca="false">IF(AND($Y89&lt;&gt;"",OR($AB89="Overdue",AND($AH89="Critical",$R89&lt;&gt;""))),$AF89+ROW()/100000,"")</f>
        <v/>
      </c>
      <c r="AZ89" s="65" t="str">
        <f aca="false">IF($AH89="Critical",$AF89+ROW()/100000,"")</f>
        <v/>
      </c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63"/>
      <c r="H90" s="63"/>
      <c r="I90" s="63"/>
      <c r="J90" s="28"/>
      <c r="K90" s="28"/>
      <c r="L90" s="28"/>
      <c r="M90" s="28"/>
      <c r="N90" s="28"/>
      <c r="O90" s="64"/>
      <c r="P90" s="64"/>
      <c r="Q90" s="64"/>
      <c r="R90" s="28"/>
      <c r="S90" s="63"/>
      <c r="T90" s="64"/>
      <c r="U90" s="63"/>
      <c r="V90" s="64"/>
      <c r="W90" s="28"/>
      <c r="X90" s="65" t="str">
        <f aca="false">IF($A90="","",IF(OR($T90&lt;&gt;"",$U90&lt;&gt;""),"Closed",IFERROR(INDEX(MapStage,MATCH($C90,MapStatus,0)),"Unmapped")))</f>
        <v/>
      </c>
      <c r="Y90" s="65" t="str">
        <f aca="false">IF(OR($X90="",$X90="Closed",$X90="Unmapped"),"",MATCH($X90,StageName,0))</f>
        <v/>
      </c>
      <c r="Z90" s="65" t="str">
        <f aca="false">IF(OR($Y90="",$I90=""),"",$I90-AsOf)</f>
        <v/>
      </c>
      <c r="AA90" s="65" t="str">
        <f aca="false">IF($A90="","",AsOf-$H90)</f>
        <v/>
      </c>
      <c r="AB90" s="65" t="str">
        <f aca="false">IF($A90="","",IF($X90="Closed","Closed",IF($X90="Unmapped","Unmapped",IF($I90="","No target",IF($Z90&lt;0,"Overdue",IF($Z90&lt;=INDEX(StageWindow,$Y90),"At risk","On track"))))))</f>
        <v/>
      </c>
      <c r="AC90" s="65" t="str">
        <f aca="false">IF($Y90="","",IF($AA90&gt;2*INDEX(StageStale,$Y90),"Stale",IF($AA90&gt;INDEX(StageStale,$Y90),"Aging","Fresh")))</f>
        <v/>
      </c>
      <c r="AD90" s="65" t="str">
        <f aca="false">IF($A90="","",IF(OR(ISNUMBER(SEARCH("Reg report",$J90)),ISNUMBER(SEARCH("No human review",$J90)),COUNTIF(TierFuncs,$D90)&gt;0),"High",IF(OR(TRIM($J90)&lt;&gt;"",ISNUMBER(SEARCH("revenue",$K90))),"Medium","Low")))</f>
        <v/>
      </c>
      <c r="AE90" s="65" t="str">
        <f aca="false">IF($A90="","",INDEX(TierDays,MATCH($AD90,TierName,0)))</f>
        <v/>
      </c>
      <c r="AF90" s="65" t="str">
        <f aca="false">IF($A90="","",AsOf-$G90)</f>
        <v/>
      </c>
      <c r="AG90" s="65" t="str">
        <f aca="false">IF($Y90="","",IF($Y90&lt;=5,IF($AF90&gt;$AE90,"Over","Inside"),"Past approval"))</f>
        <v/>
      </c>
      <c r="AH90" s="65" t="str">
        <f aca="false">IF($Y90="","",CHOOSE($Y90,IF(OR(TRIM($F90)="",ISNUMBER(SEARCH("not named",$F90))),"Critical","Good"),IF($O90&lt;&gt;"Y","Critical",IF($Q90&lt;&gt;"Y","Warning","Good")),IF($P90="","Critical",IF($P90="partial","Warning",IF($P90="ready","Good","Critical"))),IF($R90&lt;&gt;"","Critical","Warning"),IF($L90="","Critical",IF($N90="","Warning","Good")),IF($R90&lt;&gt;"","Critical","Warning"),IF($R90&lt;&gt;"","Critical","Warning"),IF($Q90="Y","Good","Critical")))</f>
        <v/>
      </c>
      <c r="AI90" s="65" t="str">
        <f aca="false">IF($Y90="","",CHOOSE($Y90,IF(OR(TRIM($F90)="",ISNUMBER(SEARCH("not named",$F90))),"Name a sponsor accountable for the value",""),IF($O90&lt;&gt;"Y","State the success metric and the stop condition",IF($Q90&lt;&gt;"Y","Set the baseline the benefit will be measured against","")),IF($P90="","Assess data readiness and regulatory impact",IF($P90="partial","Close the known data gaps",IF($P90="ready","","Data is not available; reshape or park"))),IF($R90&lt;&gt;"",IF(OR(ISNUMBER(SEARCH("mrm",$R90)),ISNUMBER(SEARCH("model",$R90)),ISNUMBER(SEARCH("risk",$R90)),ISNUMBER(SEARCH("legal",$R90)),ISNUMBER(SEARCH("complian",$R90))),"Awaiting ","Held at the design gate: ")&amp;$R90,"Map the governance framework for its tier"),IF($L90="","Size the annual benefit",IF($N90="","Score it so it can be ranked against capacity","")),IF($R90&lt;&gt;"","Build held: "&amp;$R90,"In build, not yet through test"),IF($R90&lt;&gt;"","Not ready to scale: "&amp;$R90,"Monitoring and third-party review not yet signed off"),IF($Q90="Y","","Live without a measured baseline to judge it against")))</f>
        <v/>
      </c>
      <c r="AJ90" s="65" t="str">
        <f aca="false">IF($Y90="","",INDEX(StageForum,$Y90))</f>
        <v/>
      </c>
      <c r="AK90" s="65" t="str">
        <f aca="false">IF($Y90="","",IF(OR($X90="Delivery",$X90="Value"),"Committed",IF($N90&lt;&gt;"","Candidate","")))</f>
        <v/>
      </c>
      <c r="AL90" s="65" t="str">
        <f aca="false">IF($AK90&lt;&gt;"Candidate","",COUNTIFS($AK$2:$AK$501,"Candidate",$N$2:$N$501,"&gt;"&amp;$N90)+COUNTIFS($AK$2:$AK$501,"Candidate",$N$2:$N$501,$N90,$A$2:$A$501,"&lt;"&amp;$A90)+1)</f>
        <v/>
      </c>
      <c r="AM90" s="65" t="str">
        <f aca="false">IF($AL90="","",SUMIFS($M$2:$M$501,$AK$2:$AK$501,"Candidate",$AL$2:$AL$501,"&lt;="&amp;$AL90))</f>
        <v/>
      </c>
      <c r="AN90" s="65" t="str">
        <f aca="false">IF($AL90="","",IF($AM90&lt;=CapacityOpen,"Fits","Below line"))</f>
        <v/>
      </c>
      <c r="AO90" s="65" t="str">
        <f aca="false">IF($A90="","",IF($X90="Closed","",IF($X90="Unmapped","Warning",IF(OR($AB90="Overdue",$V90="Y",$AH90="Critical"),"Critical",IF(OR($AB90="At risk",$AC90="Stale",$AG90="Over"),"Warning","")))))</f>
        <v/>
      </c>
      <c r="AP90" s="65" t="str">
        <f aca="false">IF($AO90="","",IF($AO90="Critical",3000,2000)-IF($Z90="",0,$Z90)+ROW()/100000)</f>
        <v/>
      </c>
      <c r="AQ90" s="65" t="str">
        <f aca="false">IF($AO90="","",IF($X90="Unmapped","Status '"&amp;$C90&amp;"' is not in the Config map",IF($V90="Y","Flagged in Jira",IF($AB90="Overdue",-$Z90&amp;" days past its "&amp;$X90&amp;" target",IF($AH90="Critical",$AI90,IF($AB90="At risk","Target in "&amp;$Z90&amp;" days",IF($AC90="Stale","No update in "&amp;$AA90&amp;" days","Past its "&amp;$AE90&amp;"-day tier window")))))))</f>
        <v/>
      </c>
      <c r="AR90" s="65" t="str">
        <f aca="false">IF($AO90="","","draft Jira update for "&amp;$A90)</f>
        <v/>
      </c>
      <c r="AS90" s="65" t="str">
        <f aca="false">IF($A90="","",HYPERLINK(JiraSite&amp;"/browse/"&amp;$A90,"open"))</f>
        <v/>
      </c>
      <c r="AT90" s="65" t="str">
        <f aca="false">IF($Y90="","",$Y90*1000+ROW())</f>
        <v/>
      </c>
      <c r="AU90" s="65" t="str">
        <f aca="false">IF(AND($A90&lt;&gt;"",$G90&gt;=WeekStart),$G90+ROW()/100000,"")</f>
        <v/>
      </c>
      <c r="AV90" s="65" t="str">
        <f aca="false">IF($A90="","",IF(OR(AND($S90&lt;&gt;"",$S90&gt;=WeekStart),AND($U90&lt;&gt;"",$U90&gt;=WeekStart)),MAX($S90,$U90)+ROW()/100000,""))</f>
        <v/>
      </c>
      <c r="AW90" s="65" t="str">
        <f aca="false">IF($AV90="","",IF($T90&lt;&gt;"",$T90,IF($X90="Closed","Closed","Accepted to "&amp;$X90)))</f>
        <v/>
      </c>
      <c r="AX90" s="65" t="str">
        <f aca="false">IF(AND($Y90&lt;&gt;"",$R90&lt;&gt;""),$AF90+ROW()/100000,"")</f>
        <v/>
      </c>
      <c r="AY90" s="65" t="str">
        <f aca="false">IF(AND($Y90&lt;&gt;"",OR($AB90="Overdue",AND($AH90="Critical",$R90&lt;&gt;""))),$AF90+ROW()/100000,"")</f>
        <v/>
      </c>
      <c r="AZ90" s="65" t="str">
        <f aca="false">IF($AH90="Critical",$AF90+ROW()/100000,"")</f>
        <v/>
      </c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63"/>
      <c r="H91" s="63"/>
      <c r="I91" s="63"/>
      <c r="J91" s="28"/>
      <c r="K91" s="28"/>
      <c r="L91" s="28"/>
      <c r="M91" s="28"/>
      <c r="N91" s="28"/>
      <c r="O91" s="64"/>
      <c r="P91" s="64"/>
      <c r="Q91" s="64"/>
      <c r="R91" s="28"/>
      <c r="S91" s="63"/>
      <c r="T91" s="64"/>
      <c r="U91" s="63"/>
      <c r="V91" s="64"/>
      <c r="W91" s="28"/>
      <c r="X91" s="65" t="str">
        <f aca="false">IF($A91="","",IF(OR($T91&lt;&gt;"",$U91&lt;&gt;""),"Closed",IFERROR(INDEX(MapStage,MATCH($C91,MapStatus,0)),"Unmapped")))</f>
        <v/>
      </c>
      <c r="Y91" s="65" t="str">
        <f aca="false">IF(OR($X91="",$X91="Closed",$X91="Unmapped"),"",MATCH($X91,StageName,0))</f>
        <v/>
      </c>
      <c r="Z91" s="65" t="str">
        <f aca="false">IF(OR($Y91="",$I91=""),"",$I91-AsOf)</f>
        <v/>
      </c>
      <c r="AA91" s="65" t="str">
        <f aca="false">IF($A91="","",AsOf-$H91)</f>
        <v/>
      </c>
      <c r="AB91" s="65" t="str">
        <f aca="false">IF($A91="","",IF($X91="Closed","Closed",IF($X91="Unmapped","Unmapped",IF($I91="","No target",IF($Z91&lt;0,"Overdue",IF($Z91&lt;=INDEX(StageWindow,$Y91),"At risk","On track"))))))</f>
        <v/>
      </c>
      <c r="AC91" s="65" t="str">
        <f aca="false">IF($Y91="","",IF($AA91&gt;2*INDEX(StageStale,$Y91),"Stale",IF($AA91&gt;INDEX(StageStale,$Y91),"Aging","Fresh")))</f>
        <v/>
      </c>
      <c r="AD91" s="65" t="str">
        <f aca="false">IF($A91="","",IF(OR(ISNUMBER(SEARCH("Reg report",$J91)),ISNUMBER(SEARCH("No human review",$J91)),COUNTIF(TierFuncs,$D91)&gt;0),"High",IF(OR(TRIM($J91)&lt;&gt;"",ISNUMBER(SEARCH("revenue",$K91))),"Medium","Low")))</f>
        <v/>
      </c>
      <c r="AE91" s="65" t="str">
        <f aca="false">IF($A91="","",INDEX(TierDays,MATCH($AD91,TierName,0)))</f>
        <v/>
      </c>
      <c r="AF91" s="65" t="str">
        <f aca="false">IF($A91="","",AsOf-$G91)</f>
        <v/>
      </c>
      <c r="AG91" s="65" t="str">
        <f aca="false">IF($Y91="","",IF($Y91&lt;=5,IF($AF91&gt;$AE91,"Over","Inside"),"Past approval"))</f>
        <v/>
      </c>
      <c r="AH91" s="65" t="str">
        <f aca="false">IF($Y91="","",CHOOSE($Y91,IF(OR(TRIM($F91)="",ISNUMBER(SEARCH("not named",$F91))),"Critical","Good"),IF($O91&lt;&gt;"Y","Critical",IF($Q91&lt;&gt;"Y","Warning","Good")),IF($P91="","Critical",IF($P91="partial","Warning",IF($P91="ready","Good","Critical"))),IF($R91&lt;&gt;"","Critical","Warning"),IF($L91="","Critical",IF($N91="","Warning","Good")),IF($R91&lt;&gt;"","Critical","Warning"),IF($R91&lt;&gt;"","Critical","Warning"),IF($Q91="Y","Good","Critical")))</f>
        <v/>
      </c>
      <c r="AI91" s="65" t="str">
        <f aca="false">IF($Y91="","",CHOOSE($Y91,IF(OR(TRIM($F91)="",ISNUMBER(SEARCH("not named",$F91))),"Name a sponsor accountable for the value",""),IF($O91&lt;&gt;"Y","State the success metric and the stop condition",IF($Q91&lt;&gt;"Y","Set the baseline the benefit will be measured against","")),IF($P91="","Assess data readiness and regulatory impact",IF($P91="partial","Close the known data gaps",IF($P91="ready","","Data is not available; reshape or park"))),IF($R91&lt;&gt;"",IF(OR(ISNUMBER(SEARCH("mrm",$R91)),ISNUMBER(SEARCH("model",$R91)),ISNUMBER(SEARCH("risk",$R91)),ISNUMBER(SEARCH("legal",$R91)),ISNUMBER(SEARCH("complian",$R91))),"Awaiting ","Held at the design gate: ")&amp;$R91,"Map the governance framework for its tier"),IF($L91="","Size the annual benefit",IF($N91="","Score it so it can be ranked against capacity","")),IF($R91&lt;&gt;"","Build held: "&amp;$R91,"In build, not yet through test"),IF($R91&lt;&gt;"","Not ready to scale: "&amp;$R91,"Monitoring and third-party review not yet signed off"),IF($Q91="Y","","Live without a measured baseline to judge it against")))</f>
        <v/>
      </c>
      <c r="AJ91" s="65" t="str">
        <f aca="false">IF($Y91="","",INDEX(StageForum,$Y91))</f>
        <v/>
      </c>
      <c r="AK91" s="65" t="str">
        <f aca="false">IF($Y91="","",IF(OR($X91="Delivery",$X91="Value"),"Committed",IF($N91&lt;&gt;"","Candidate","")))</f>
        <v/>
      </c>
      <c r="AL91" s="65" t="str">
        <f aca="false">IF($AK91&lt;&gt;"Candidate","",COUNTIFS($AK$2:$AK$501,"Candidate",$N$2:$N$501,"&gt;"&amp;$N91)+COUNTIFS($AK$2:$AK$501,"Candidate",$N$2:$N$501,$N91,$A$2:$A$501,"&lt;"&amp;$A91)+1)</f>
        <v/>
      </c>
      <c r="AM91" s="65" t="str">
        <f aca="false">IF($AL91="","",SUMIFS($M$2:$M$501,$AK$2:$AK$501,"Candidate",$AL$2:$AL$501,"&lt;="&amp;$AL91))</f>
        <v/>
      </c>
      <c r="AN91" s="65" t="str">
        <f aca="false">IF($AL91="","",IF($AM91&lt;=CapacityOpen,"Fits","Below line"))</f>
        <v/>
      </c>
      <c r="AO91" s="65" t="str">
        <f aca="false">IF($A91="","",IF($X91="Closed","",IF($X91="Unmapped","Warning",IF(OR($AB91="Overdue",$V91="Y",$AH91="Critical"),"Critical",IF(OR($AB91="At risk",$AC91="Stale",$AG91="Over"),"Warning","")))))</f>
        <v/>
      </c>
      <c r="AP91" s="65" t="str">
        <f aca="false">IF($AO91="","",IF($AO91="Critical",3000,2000)-IF($Z91="",0,$Z91)+ROW()/100000)</f>
        <v/>
      </c>
      <c r="AQ91" s="65" t="str">
        <f aca="false">IF($AO91="","",IF($X91="Unmapped","Status '"&amp;$C91&amp;"' is not in the Config map",IF($V91="Y","Flagged in Jira",IF($AB91="Overdue",-$Z91&amp;" days past its "&amp;$X91&amp;" target",IF($AH91="Critical",$AI91,IF($AB91="At risk","Target in "&amp;$Z91&amp;" days",IF($AC91="Stale","No update in "&amp;$AA91&amp;" days","Past its "&amp;$AE91&amp;"-day tier window")))))))</f>
        <v/>
      </c>
      <c r="AR91" s="65" t="str">
        <f aca="false">IF($AO91="","","draft Jira update for "&amp;$A91)</f>
        <v/>
      </c>
      <c r="AS91" s="65" t="str">
        <f aca="false">IF($A91="","",HYPERLINK(JiraSite&amp;"/browse/"&amp;$A91,"open"))</f>
        <v/>
      </c>
      <c r="AT91" s="65" t="str">
        <f aca="false">IF($Y91="","",$Y91*1000+ROW())</f>
        <v/>
      </c>
      <c r="AU91" s="65" t="str">
        <f aca="false">IF(AND($A91&lt;&gt;"",$G91&gt;=WeekStart),$G91+ROW()/100000,"")</f>
        <v/>
      </c>
      <c r="AV91" s="65" t="str">
        <f aca="false">IF($A91="","",IF(OR(AND($S91&lt;&gt;"",$S91&gt;=WeekStart),AND($U91&lt;&gt;"",$U91&gt;=WeekStart)),MAX($S91,$U91)+ROW()/100000,""))</f>
        <v/>
      </c>
      <c r="AW91" s="65" t="str">
        <f aca="false">IF($AV91="","",IF($T91&lt;&gt;"",$T91,IF($X91="Closed","Closed","Accepted to "&amp;$X91)))</f>
        <v/>
      </c>
      <c r="AX91" s="65" t="str">
        <f aca="false">IF(AND($Y91&lt;&gt;"",$R91&lt;&gt;""),$AF91+ROW()/100000,"")</f>
        <v/>
      </c>
      <c r="AY91" s="65" t="str">
        <f aca="false">IF(AND($Y91&lt;&gt;"",OR($AB91="Overdue",AND($AH91="Critical",$R91&lt;&gt;""))),$AF91+ROW()/100000,"")</f>
        <v/>
      </c>
      <c r="AZ91" s="65" t="str">
        <f aca="false">IF($AH91="Critical",$AF91+ROW()/100000,"")</f>
        <v/>
      </c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63"/>
      <c r="H92" s="63"/>
      <c r="I92" s="63"/>
      <c r="J92" s="28"/>
      <c r="K92" s="28"/>
      <c r="L92" s="28"/>
      <c r="M92" s="28"/>
      <c r="N92" s="28"/>
      <c r="O92" s="64"/>
      <c r="P92" s="64"/>
      <c r="Q92" s="64"/>
      <c r="R92" s="28"/>
      <c r="S92" s="63"/>
      <c r="T92" s="64"/>
      <c r="U92" s="63"/>
      <c r="V92" s="64"/>
      <c r="W92" s="28"/>
      <c r="X92" s="65" t="str">
        <f aca="false">IF($A92="","",IF(OR($T92&lt;&gt;"",$U92&lt;&gt;""),"Closed",IFERROR(INDEX(MapStage,MATCH($C92,MapStatus,0)),"Unmapped")))</f>
        <v/>
      </c>
      <c r="Y92" s="65" t="str">
        <f aca="false">IF(OR($X92="",$X92="Closed",$X92="Unmapped"),"",MATCH($X92,StageName,0))</f>
        <v/>
      </c>
      <c r="Z92" s="65" t="str">
        <f aca="false">IF(OR($Y92="",$I92=""),"",$I92-AsOf)</f>
        <v/>
      </c>
      <c r="AA92" s="65" t="str">
        <f aca="false">IF($A92="","",AsOf-$H92)</f>
        <v/>
      </c>
      <c r="AB92" s="65" t="str">
        <f aca="false">IF($A92="","",IF($X92="Closed","Closed",IF($X92="Unmapped","Unmapped",IF($I92="","No target",IF($Z92&lt;0,"Overdue",IF($Z92&lt;=INDEX(StageWindow,$Y92),"At risk","On track"))))))</f>
        <v/>
      </c>
      <c r="AC92" s="65" t="str">
        <f aca="false">IF($Y92="","",IF($AA92&gt;2*INDEX(StageStale,$Y92),"Stale",IF($AA92&gt;INDEX(StageStale,$Y92),"Aging","Fresh")))</f>
        <v/>
      </c>
      <c r="AD92" s="65" t="str">
        <f aca="false">IF($A92="","",IF(OR(ISNUMBER(SEARCH("Reg report",$J92)),ISNUMBER(SEARCH("No human review",$J92)),COUNTIF(TierFuncs,$D92)&gt;0),"High",IF(OR(TRIM($J92)&lt;&gt;"",ISNUMBER(SEARCH("revenue",$K92))),"Medium","Low")))</f>
        <v/>
      </c>
      <c r="AE92" s="65" t="str">
        <f aca="false">IF($A92="","",INDEX(TierDays,MATCH($AD92,TierName,0)))</f>
        <v/>
      </c>
      <c r="AF92" s="65" t="str">
        <f aca="false">IF($A92="","",AsOf-$G92)</f>
        <v/>
      </c>
      <c r="AG92" s="65" t="str">
        <f aca="false">IF($Y92="","",IF($Y92&lt;=5,IF($AF92&gt;$AE92,"Over","Inside"),"Past approval"))</f>
        <v/>
      </c>
      <c r="AH92" s="65" t="str">
        <f aca="false">IF($Y92="","",CHOOSE($Y92,IF(OR(TRIM($F92)="",ISNUMBER(SEARCH("not named",$F92))),"Critical","Good"),IF($O92&lt;&gt;"Y","Critical",IF($Q92&lt;&gt;"Y","Warning","Good")),IF($P92="","Critical",IF($P92="partial","Warning",IF($P92="ready","Good","Critical"))),IF($R92&lt;&gt;"","Critical","Warning"),IF($L92="","Critical",IF($N92="","Warning","Good")),IF($R92&lt;&gt;"","Critical","Warning"),IF($R92&lt;&gt;"","Critical","Warning"),IF($Q92="Y","Good","Critical")))</f>
        <v/>
      </c>
      <c r="AI92" s="65" t="str">
        <f aca="false">IF($Y92="","",CHOOSE($Y92,IF(OR(TRIM($F92)="",ISNUMBER(SEARCH("not named",$F92))),"Name a sponsor accountable for the value",""),IF($O92&lt;&gt;"Y","State the success metric and the stop condition",IF($Q92&lt;&gt;"Y","Set the baseline the benefit will be measured against","")),IF($P92="","Assess data readiness and regulatory impact",IF($P92="partial","Close the known data gaps",IF($P92="ready","","Data is not available; reshape or park"))),IF($R92&lt;&gt;"",IF(OR(ISNUMBER(SEARCH("mrm",$R92)),ISNUMBER(SEARCH("model",$R92)),ISNUMBER(SEARCH("risk",$R92)),ISNUMBER(SEARCH("legal",$R92)),ISNUMBER(SEARCH("complian",$R92))),"Awaiting ","Held at the design gate: ")&amp;$R92,"Map the governance framework for its tier"),IF($L92="","Size the annual benefit",IF($N92="","Score it so it can be ranked against capacity","")),IF($R92&lt;&gt;"","Build held: "&amp;$R92,"In build, not yet through test"),IF($R92&lt;&gt;"","Not ready to scale: "&amp;$R92,"Monitoring and third-party review not yet signed off"),IF($Q92="Y","","Live without a measured baseline to judge it against")))</f>
        <v/>
      </c>
      <c r="AJ92" s="65" t="str">
        <f aca="false">IF($Y92="","",INDEX(StageForum,$Y92))</f>
        <v/>
      </c>
      <c r="AK92" s="65" t="str">
        <f aca="false">IF($Y92="","",IF(OR($X92="Delivery",$X92="Value"),"Committed",IF($N92&lt;&gt;"","Candidate","")))</f>
        <v/>
      </c>
      <c r="AL92" s="65" t="str">
        <f aca="false">IF($AK92&lt;&gt;"Candidate","",COUNTIFS($AK$2:$AK$501,"Candidate",$N$2:$N$501,"&gt;"&amp;$N92)+COUNTIFS($AK$2:$AK$501,"Candidate",$N$2:$N$501,$N92,$A$2:$A$501,"&lt;"&amp;$A92)+1)</f>
        <v/>
      </c>
      <c r="AM92" s="65" t="str">
        <f aca="false">IF($AL92="","",SUMIFS($M$2:$M$501,$AK$2:$AK$501,"Candidate",$AL$2:$AL$501,"&lt;="&amp;$AL92))</f>
        <v/>
      </c>
      <c r="AN92" s="65" t="str">
        <f aca="false">IF($AL92="","",IF($AM92&lt;=CapacityOpen,"Fits","Below line"))</f>
        <v/>
      </c>
      <c r="AO92" s="65" t="str">
        <f aca="false">IF($A92="","",IF($X92="Closed","",IF($X92="Unmapped","Warning",IF(OR($AB92="Overdue",$V92="Y",$AH92="Critical"),"Critical",IF(OR($AB92="At risk",$AC92="Stale",$AG92="Over"),"Warning","")))))</f>
        <v/>
      </c>
      <c r="AP92" s="65" t="str">
        <f aca="false">IF($AO92="","",IF($AO92="Critical",3000,2000)-IF($Z92="",0,$Z92)+ROW()/100000)</f>
        <v/>
      </c>
      <c r="AQ92" s="65" t="str">
        <f aca="false">IF($AO92="","",IF($X92="Unmapped","Status '"&amp;$C92&amp;"' is not in the Config map",IF($V92="Y","Flagged in Jira",IF($AB92="Overdue",-$Z92&amp;" days past its "&amp;$X92&amp;" target",IF($AH92="Critical",$AI92,IF($AB92="At risk","Target in "&amp;$Z92&amp;" days",IF($AC92="Stale","No update in "&amp;$AA92&amp;" days","Past its "&amp;$AE92&amp;"-day tier window")))))))</f>
        <v/>
      </c>
      <c r="AR92" s="65" t="str">
        <f aca="false">IF($AO92="","","draft Jira update for "&amp;$A92)</f>
        <v/>
      </c>
      <c r="AS92" s="65" t="str">
        <f aca="false">IF($A92="","",HYPERLINK(JiraSite&amp;"/browse/"&amp;$A92,"open"))</f>
        <v/>
      </c>
      <c r="AT92" s="65" t="str">
        <f aca="false">IF($Y92="","",$Y92*1000+ROW())</f>
        <v/>
      </c>
      <c r="AU92" s="65" t="str">
        <f aca="false">IF(AND($A92&lt;&gt;"",$G92&gt;=WeekStart),$G92+ROW()/100000,"")</f>
        <v/>
      </c>
      <c r="AV92" s="65" t="str">
        <f aca="false">IF($A92="","",IF(OR(AND($S92&lt;&gt;"",$S92&gt;=WeekStart),AND($U92&lt;&gt;"",$U92&gt;=WeekStart)),MAX($S92,$U92)+ROW()/100000,""))</f>
        <v/>
      </c>
      <c r="AW92" s="65" t="str">
        <f aca="false">IF($AV92="","",IF($T92&lt;&gt;"",$T92,IF($X92="Closed","Closed","Accepted to "&amp;$X92)))</f>
        <v/>
      </c>
      <c r="AX92" s="65" t="str">
        <f aca="false">IF(AND($Y92&lt;&gt;"",$R92&lt;&gt;""),$AF92+ROW()/100000,"")</f>
        <v/>
      </c>
      <c r="AY92" s="65" t="str">
        <f aca="false">IF(AND($Y92&lt;&gt;"",OR($AB92="Overdue",AND($AH92="Critical",$R92&lt;&gt;""))),$AF92+ROW()/100000,"")</f>
        <v/>
      </c>
      <c r="AZ92" s="65" t="str">
        <f aca="false">IF($AH92="Critical",$AF92+ROW()/100000,"")</f>
        <v/>
      </c>
    </row>
    <row r="93" customFormat="false" ht="15" hidden="false" customHeight="false" outlineLevel="0" collapsed="false">
      <c r="A93" s="28"/>
      <c r="B93" s="28"/>
      <c r="C93" s="28"/>
      <c r="D93" s="28"/>
      <c r="E93" s="28"/>
      <c r="F93" s="28"/>
      <c r="G93" s="63"/>
      <c r="H93" s="63"/>
      <c r="I93" s="63"/>
      <c r="J93" s="28"/>
      <c r="K93" s="28"/>
      <c r="L93" s="28"/>
      <c r="M93" s="28"/>
      <c r="N93" s="28"/>
      <c r="O93" s="64"/>
      <c r="P93" s="64"/>
      <c r="Q93" s="64"/>
      <c r="R93" s="28"/>
      <c r="S93" s="63"/>
      <c r="T93" s="64"/>
      <c r="U93" s="63"/>
      <c r="V93" s="64"/>
      <c r="W93" s="28"/>
      <c r="X93" s="65" t="str">
        <f aca="false">IF($A93="","",IF(OR($T93&lt;&gt;"",$U93&lt;&gt;""),"Closed",IFERROR(INDEX(MapStage,MATCH($C93,MapStatus,0)),"Unmapped")))</f>
        <v/>
      </c>
      <c r="Y93" s="65" t="str">
        <f aca="false">IF(OR($X93="",$X93="Closed",$X93="Unmapped"),"",MATCH($X93,StageName,0))</f>
        <v/>
      </c>
      <c r="Z93" s="65" t="str">
        <f aca="false">IF(OR($Y93="",$I93=""),"",$I93-AsOf)</f>
        <v/>
      </c>
      <c r="AA93" s="65" t="str">
        <f aca="false">IF($A93="","",AsOf-$H93)</f>
        <v/>
      </c>
      <c r="AB93" s="65" t="str">
        <f aca="false">IF($A93="","",IF($X93="Closed","Closed",IF($X93="Unmapped","Unmapped",IF($I93="","No target",IF($Z93&lt;0,"Overdue",IF($Z93&lt;=INDEX(StageWindow,$Y93),"At risk","On track"))))))</f>
        <v/>
      </c>
      <c r="AC93" s="65" t="str">
        <f aca="false">IF($Y93="","",IF($AA93&gt;2*INDEX(StageStale,$Y93),"Stale",IF($AA93&gt;INDEX(StageStale,$Y93),"Aging","Fresh")))</f>
        <v/>
      </c>
      <c r="AD93" s="65" t="str">
        <f aca="false">IF($A93="","",IF(OR(ISNUMBER(SEARCH("Reg report",$J93)),ISNUMBER(SEARCH("No human review",$J93)),COUNTIF(TierFuncs,$D93)&gt;0),"High",IF(OR(TRIM($J93)&lt;&gt;"",ISNUMBER(SEARCH("revenue",$K93))),"Medium","Low")))</f>
        <v/>
      </c>
      <c r="AE93" s="65" t="str">
        <f aca="false">IF($A93="","",INDEX(TierDays,MATCH($AD93,TierName,0)))</f>
        <v/>
      </c>
      <c r="AF93" s="65" t="str">
        <f aca="false">IF($A93="","",AsOf-$G93)</f>
        <v/>
      </c>
      <c r="AG93" s="65" t="str">
        <f aca="false">IF($Y93="","",IF($Y93&lt;=5,IF($AF93&gt;$AE93,"Over","Inside"),"Past approval"))</f>
        <v/>
      </c>
      <c r="AH93" s="65" t="str">
        <f aca="false">IF($Y93="","",CHOOSE($Y93,IF(OR(TRIM($F93)="",ISNUMBER(SEARCH("not named",$F93))),"Critical","Good"),IF($O93&lt;&gt;"Y","Critical",IF($Q93&lt;&gt;"Y","Warning","Good")),IF($P93="","Critical",IF($P93="partial","Warning",IF($P93="ready","Good","Critical"))),IF($R93&lt;&gt;"","Critical","Warning"),IF($L93="","Critical",IF($N93="","Warning","Good")),IF($R93&lt;&gt;"","Critical","Warning"),IF($R93&lt;&gt;"","Critical","Warning"),IF($Q93="Y","Good","Critical")))</f>
        <v/>
      </c>
      <c r="AI93" s="65" t="str">
        <f aca="false">IF($Y93="","",CHOOSE($Y93,IF(OR(TRIM($F93)="",ISNUMBER(SEARCH("not named",$F93))),"Name a sponsor accountable for the value",""),IF($O93&lt;&gt;"Y","State the success metric and the stop condition",IF($Q93&lt;&gt;"Y","Set the baseline the benefit will be measured against","")),IF($P93="","Assess data readiness and regulatory impact",IF($P93="partial","Close the known data gaps",IF($P93="ready","","Data is not available; reshape or park"))),IF($R93&lt;&gt;"",IF(OR(ISNUMBER(SEARCH("mrm",$R93)),ISNUMBER(SEARCH("model",$R93)),ISNUMBER(SEARCH("risk",$R93)),ISNUMBER(SEARCH("legal",$R93)),ISNUMBER(SEARCH("complian",$R93))),"Awaiting ","Held at the design gate: ")&amp;$R93,"Map the governance framework for its tier"),IF($L93="","Size the annual benefit",IF($N93="","Score it so it can be ranked against capacity","")),IF($R93&lt;&gt;"","Build held: "&amp;$R93,"In build, not yet through test"),IF($R93&lt;&gt;"","Not ready to scale: "&amp;$R93,"Monitoring and third-party review not yet signed off"),IF($Q93="Y","","Live without a measured baseline to judge it against")))</f>
        <v/>
      </c>
      <c r="AJ93" s="65" t="str">
        <f aca="false">IF($Y93="","",INDEX(StageForum,$Y93))</f>
        <v/>
      </c>
      <c r="AK93" s="65" t="str">
        <f aca="false">IF($Y93="","",IF(OR($X93="Delivery",$X93="Value"),"Committed",IF($N93&lt;&gt;"","Candidate","")))</f>
        <v/>
      </c>
      <c r="AL93" s="65" t="str">
        <f aca="false">IF($AK93&lt;&gt;"Candidate","",COUNTIFS($AK$2:$AK$501,"Candidate",$N$2:$N$501,"&gt;"&amp;$N93)+COUNTIFS($AK$2:$AK$501,"Candidate",$N$2:$N$501,$N93,$A$2:$A$501,"&lt;"&amp;$A93)+1)</f>
        <v/>
      </c>
      <c r="AM93" s="65" t="str">
        <f aca="false">IF($AL93="","",SUMIFS($M$2:$M$501,$AK$2:$AK$501,"Candidate",$AL$2:$AL$501,"&lt;="&amp;$AL93))</f>
        <v/>
      </c>
      <c r="AN93" s="65" t="str">
        <f aca="false">IF($AL93="","",IF($AM93&lt;=CapacityOpen,"Fits","Below line"))</f>
        <v/>
      </c>
      <c r="AO93" s="65" t="str">
        <f aca="false">IF($A93="","",IF($X93="Closed","",IF($X93="Unmapped","Warning",IF(OR($AB93="Overdue",$V93="Y",$AH93="Critical"),"Critical",IF(OR($AB93="At risk",$AC93="Stale",$AG93="Over"),"Warning","")))))</f>
        <v/>
      </c>
      <c r="AP93" s="65" t="str">
        <f aca="false">IF($AO93="","",IF($AO93="Critical",3000,2000)-IF($Z93="",0,$Z93)+ROW()/100000)</f>
        <v/>
      </c>
      <c r="AQ93" s="65" t="str">
        <f aca="false">IF($AO93="","",IF($X93="Unmapped","Status '"&amp;$C93&amp;"' is not in the Config map",IF($V93="Y","Flagged in Jira",IF($AB93="Overdue",-$Z93&amp;" days past its "&amp;$X93&amp;" target",IF($AH93="Critical",$AI93,IF($AB93="At risk","Target in "&amp;$Z93&amp;" days",IF($AC93="Stale","No update in "&amp;$AA93&amp;" days","Past its "&amp;$AE93&amp;"-day tier window")))))))</f>
        <v/>
      </c>
      <c r="AR93" s="65" t="str">
        <f aca="false">IF($AO93="","","draft Jira update for "&amp;$A93)</f>
        <v/>
      </c>
      <c r="AS93" s="65" t="str">
        <f aca="false">IF($A93="","",HYPERLINK(JiraSite&amp;"/browse/"&amp;$A93,"open"))</f>
        <v/>
      </c>
      <c r="AT93" s="65" t="str">
        <f aca="false">IF($Y93="","",$Y93*1000+ROW())</f>
        <v/>
      </c>
      <c r="AU93" s="65" t="str">
        <f aca="false">IF(AND($A93&lt;&gt;"",$G93&gt;=WeekStart),$G93+ROW()/100000,"")</f>
        <v/>
      </c>
      <c r="AV93" s="65" t="str">
        <f aca="false">IF($A93="","",IF(OR(AND($S93&lt;&gt;"",$S93&gt;=WeekStart),AND($U93&lt;&gt;"",$U93&gt;=WeekStart)),MAX($S93,$U93)+ROW()/100000,""))</f>
        <v/>
      </c>
      <c r="AW93" s="65" t="str">
        <f aca="false">IF($AV93="","",IF($T93&lt;&gt;"",$T93,IF($X93="Closed","Closed","Accepted to "&amp;$X93)))</f>
        <v/>
      </c>
      <c r="AX93" s="65" t="str">
        <f aca="false">IF(AND($Y93&lt;&gt;"",$R93&lt;&gt;""),$AF93+ROW()/100000,"")</f>
        <v/>
      </c>
      <c r="AY93" s="65" t="str">
        <f aca="false">IF(AND($Y93&lt;&gt;"",OR($AB93="Overdue",AND($AH93="Critical",$R93&lt;&gt;""))),$AF93+ROW()/100000,"")</f>
        <v/>
      </c>
      <c r="AZ93" s="65" t="str">
        <f aca="false">IF($AH93="Critical",$AF93+ROW()/100000,"")</f>
        <v/>
      </c>
    </row>
    <row r="94" customFormat="false" ht="15" hidden="false" customHeight="false" outlineLevel="0" collapsed="false">
      <c r="A94" s="28"/>
      <c r="B94" s="28"/>
      <c r="C94" s="28"/>
      <c r="D94" s="28"/>
      <c r="E94" s="28"/>
      <c r="F94" s="28"/>
      <c r="G94" s="63"/>
      <c r="H94" s="63"/>
      <c r="I94" s="63"/>
      <c r="J94" s="28"/>
      <c r="K94" s="28"/>
      <c r="L94" s="28"/>
      <c r="M94" s="28"/>
      <c r="N94" s="28"/>
      <c r="O94" s="64"/>
      <c r="P94" s="64"/>
      <c r="Q94" s="64"/>
      <c r="R94" s="28"/>
      <c r="S94" s="63"/>
      <c r="T94" s="64"/>
      <c r="U94" s="63"/>
      <c r="V94" s="64"/>
      <c r="W94" s="28"/>
      <c r="X94" s="65" t="str">
        <f aca="false">IF($A94="","",IF(OR($T94&lt;&gt;"",$U94&lt;&gt;""),"Closed",IFERROR(INDEX(MapStage,MATCH($C94,MapStatus,0)),"Unmapped")))</f>
        <v/>
      </c>
      <c r="Y94" s="65" t="str">
        <f aca="false">IF(OR($X94="",$X94="Closed",$X94="Unmapped"),"",MATCH($X94,StageName,0))</f>
        <v/>
      </c>
      <c r="Z94" s="65" t="str">
        <f aca="false">IF(OR($Y94="",$I94=""),"",$I94-AsOf)</f>
        <v/>
      </c>
      <c r="AA94" s="65" t="str">
        <f aca="false">IF($A94="","",AsOf-$H94)</f>
        <v/>
      </c>
      <c r="AB94" s="65" t="str">
        <f aca="false">IF($A94="","",IF($X94="Closed","Closed",IF($X94="Unmapped","Unmapped",IF($I94="","No target",IF($Z94&lt;0,"Overdue",IF($Z94&lt;=INDEX(StageWindow,$Y94),"At risk","On track"))))))</f>
        <v/>
      </c>
      <c r="AC94" s="65" t="str">
        <f aca="false">IF($Y94="","",IF($AA94&gt;2*INDEX(StageStale,$Y94),"Stale",IF($AA94&gt;INDEX(StageStale,$Y94),"Aging","Fresh")))</f>
        <v/>
      </c>
      <c r="AD94" s="65" t="str">
        <f aca="false">IF($A94="","",IF(OR(ISNUMBER(SEARCH("Reg report",$J94)),ISNUMBER(SEARCH("No human review",$J94)),COUNTIF(TierFuncs,$D94)&gt;0),"High",IF(OR(TRIM($J94)&lt;&gt;"",ISNUMBER(SEARCH("revenue",$K94))),"Medium","Low")))</f>
        <v/>
      </c>
      <c r="AE94" s="65" t="str">
        <f aca="false">IF($A94="","",INDEX(TierDays,MATCH($AD94,TierName,0)))</f>
        <v/>
      </c>
      <c r="AF94" s="65" t="str">
        <f aca="false">IF($A94="","",AsOf-$G94)</f>
        <v/>
      </c>
      <c r="AG94" s="65" t="str">
        <f aca="false">IF($Y94="","",IF($Y94&lt;=5,IF($AF94&gt;$AE94,"Over","Inside"),"Past approval"))</f>
        <v/>
      </c>
      <c r="AH94" s="65" t="str">
        <f aca="false">IF($Y94="","",CHOOSE($Y94,IF(OR(TRIM($F94)="",ISNUMBER(SEARCH("not named",$F94))),"Critical","Good"),IF($O94&lt;&gt;"Y","Critical",IF($Q94&lt;&gt;"Y","Warning","Good")),IF($P94="","Critical",IF($P94="partial","Warning",IF($P94="ready","Good","Critical"))),IF($R94&lt;&gt;"","Critical","Warning"),IF($L94="","Critical",IF($N94="","Warning","Good")),IF($R94&lt;&gt;"","Critical","Warning"),IF($R94&lt;&gt;"","Critical","Warning"),IF($Q94="Y","Good","Critical")))</f>
        <v/>
      </c>
      <c r="AI94" s="65" t="str">
        <f aca="false">IF($Y94="","",CHOOSE($Y94,IF(OR(TRIM($F94)="",ISNUMBER(SEARCH("not named",$F94))),"Name a sponsor accountable for the value",""),IF($O94&lt;&gt;"Y","State the success metric and the stop condition",IF($Q94&lt;&gt;"Y","Set the baseline the benefit will be measured against","")),IF($P94="","Assess data readiness and regulatory impact",IF($P94="partial","Close the known data gaps",IF($P94="ready","","Data is not available; reshape or park"))),IF($R94&lt;&gt;"",IF(OR(ISNUMBER(SEARCH("mrm",$R94)),ISNUMBER(SEARCH("model",$R94)),ISNUMBER(SEARCH("risk",$R94)),ISNUMBER(SEARCH("legal",$R94)),ISNUMBER(SEARCH("complian",$R94))),"Awaiting ","Held at the design gate: ")&amp;$R94,"Map the governance framework for its tier"),IF($L94="","Size the annual benefit",IF($N94="","Score it so it can be ranked against capacity","")),IF($R94&lt;&gt;"","Build held: "&amp;$R94,"In build, not yet through test"),IF($R94&lt;&gt;"","Not ready to scale: "&amp;$R94,"Monitoring and third-party review not yet signed off"),IF($Q94="Y","","Live without a measured baseline to judge it against")))</f>
        <v/>
      </c>
      <c r="AJ94" s="65" t="str">
        <f aca="false">IF($Y94="","",INDEX(StageForum,$Y94))</f>
        <v/>
      </c>
      <c r="AK94" s="65" t="str">
        <f aca="false">IF($Y94="","",IF(OR($X94="Delivery",$X94="Value"),"Committed",IF($N94&lt;&gt;"","Candidate","")))</f>
        <v/>
      </c>
      <c r="AL94" s="65" t="str">
        <f aca="false">IF($AK94&lt;&gt;"Candidate","",COUNTIFS($AK$2:$AK$501,"Candidate",$N$2:$N$501,"&gt;"&amp;$N94)+COUNTIFS($AK$2:$AK$501,"Candidate",$N$2:$N$501,$N94,$A$2:$A$501,"&lt;"&amp;$A94)+1)</f>
        <v/>
      </c>
      <c r="AM94" s="65" t="str">
        <f aca="false">IF($AL94="","",SUMIFS($M$2:$M$501,$AK$2:$AK$501,"Candidate",$AL$2:$AL$501,"&lt;="&amp;$AL94))</f>
        <v/>
      </c>
      <c r="AN94" s="65" t="str">
        <f aca="false">IF($AL94="","",IF($AM94&lt;=CapacityOpen,"Fits","Below line"))</f>
        <v/>
      </c>
      <c r="AO94" s="65" t="str">
        <f aca="false">IF($A94="","",IF($X94="Closed","",IF($X94="Unmapped","Warning",IF(OR($AB94="Overdue",$V94="Y",$AH94="Critical"),"Critical",IF(OR($AB94="At risk",$AC94="Stale",$AG94="Over"),"Warning","")))))</f>
        <v/>
      </c>
      <c r="AP94" s="65" t="str">
        <f aca="false">IF($AO94="","",IF($AO94="Critical",3000,2000)-IF($Z94="",0,$Z94)+ROW()/100000)</f>
        <v/>
      </c>
      <c r="AQ94" s="65" t="str">
        <f aca="false">IF($AO94="","",IF($X94="Unmapped","Status '"&amp;$C94&amp;"' is not in the Config map",IF($V94="Y","Flagged in Jira",IF($AB94="Overdue",-$Z94&amp;" days past its "&amp;$X94&amp;" target",IF($AH94="Critical",$AI94,IF($AB94="At risk","Target in "&amp;$Z94&amp;" days",IF($AC94="Stale","No update in "&amp;$AA94&amp;" days","Past its "&amp;$AE94&amp;"-day tier window")))))))</f>
        <v/>
      </c>
      <c r="AR94" s="65" t="str">
        <f aca="false">IF($AO94="","","draft Jira update for "&amp;$A94)</f>
        <v/>
      </c>
      <c r="AS94" s="65" t="str">
        <f aca="false">IF($A94="","",HYPERLINK(JiraSite&amp;"/browse/"&amp;$A94,"open"))</f>
        <v/>
      </c>
      <c r="AT94" s="65" t="str">
        <f aca="false">IF($Y94="","",$Y94*1000+ROW())</f>
        <v/>
      </c>
      <c r="AU94" s="65" t="str">
        <f aca="false">IF(AND($A94&lt;&gt;"",$G94&gt;=WeekStart),$G94+ROW()/100000,"")</f>
        <v/>
      </c>
      <c r="AV94" s="65" t="str">
        <f aca="false">IF($A94="","",IF(OR(AND($S94&lt;&gt;"",$S94&gt;=WeekStart),AND($U94&lt;&gt;"",$U94&gt;=WeekStart)),MAX($S94,$U94)+ROW()/100000,""))</f>
        <v/>
      </c>
      <c r="AW94" s="65" t="str">
        <f aca="false">IF($AV94="","",IF($T94&lt;&gt;"",$T94,IF($X94="Closed","Closed","Accepted to "&amp;$X94)))</f>
        <v/>
      </c>
      <c r="AX94" s="65" t="str">
        <f aca="false">IF(AND($Y94&lt;&gt;"",$R94&lt;&gt;""),$AF94+ROW()/100000,"")</f>
        <v/>
      </c>
      <c r="AY94" s="65" t="str">
        <f aca="false">IF(AND($Y94&lt;&gt;"",OR($AB94="Overdue",AND($AH94="Critical",$R94&lt;&gt;""))),$AF94+ROW()/100000,"")</f>
        <v/>
      </c>
      <c r="AZ94" s="65" t="str">
        <f aca="false">IF($AH94="Critical",$AF94+ROW()/100000,"")</f>
        <v/>
      </c>
    </row>
    <row r="95" customFormat="false" ht="15" hidden="false" customHeight="false" outlineLevel="0" collapsed="false">
      <c r="A95" s="28"/>
      <c r="B95" s="28"/>
      <c r="C95" s="28"/>
      <c r="D95" s="28"/>
      <c r="E95" s="28"/>
      <c r="F95" s="28"/>
      <c r="G95" s="63"/>
      <c r="H95" s="63"/>
      <c r="I95" s="63"/>
      <c r="J95" s="28"/>
      <c r="K95" s="28"/>
      <c r="L95" s="28"/>
      <c r="M95" s="28"/>
      <c r="N95" s="28"/>
      <c r="O95" s="64"/>
      <c r="P95" s="64"/>
      <c r="Q95" s="64"/>
      <c r="R95" s="28"/>
      <c r="S95" s="63"/>
      <c r="T95" s="64"/>
      <c r="U95" s="63"/>
      <c r="V95" s="64"/>
      <c r="W95" s="28"/>
      <c r="X95" s="65" t="str">
        <f aca="false">IF($A95="","",IF(OR($T95&lt;&gt;"",$U95&lt;&gt;""),"Closed",IFERROR(INDEX(MapStage,MATCH($C95,MapStatus,0)),"Unmapped")))</f>
        <v/>
      </c>
      <c r="Y95" s="65" t="str">
        <f aca="false">IF(OR($X95="",$X95="Closed",$X95="Unmapped"),"",MATCH($X95,StageName,0))</f>
        <v/>
      </c>
      <c r="Z95" s="65" t="str">
        <f aca="false">IF(OR($Y95="",$I95=""),"",$I95-AsOf)</f>
        <v/>
      </c>
      <c r="AA95" s="65" t="str">
        <f aca="false">IF($A95="","",AsOf-$H95)</f>
        <v/>
      </c>
      <c r="AB95" s="65" t="str">
        <f aca="false">IF($A95="","",IF($X95="Closed","Closed",IF($X95="Unmapped","Unmapped",IF($I95="","No target",IF($Z95&lt;0,"Overdue",IF($Z95&lt;=INDEX(StageWindow,$Y95),"At risk","On track"))))))</f>
        <v/>
      </c>
      <c r="AC95" s="65" t="str">
        <f aca="false">IF($Y95="","",IF($AA95&gt;2*INDEX(StageStale,$Y95),"Stale",IF($AA95&gt;INDEX(StageStale,$Y95),"Aging","Fresh")))</f>
        <v/>
      </c>
      <c r="AD95" s="65" t="str">
        <f aca="false">IF($A95="","",IF(OR(ISNUMBER(SEARCH("Reg report",$J95)),ISNUMBER(SEARCH("No human review",$J95)),COUNTIF(TierFuncs,$D95)&gt;0),"High",IF(OR(TRIM($J95)&lt;&gt;"",ISNUMBER(SEARCH("revenue",$K95))),"Medium","Low")))</f>
        <v/>
      </c>
      <c r="AE95" s="65" t="str">
        <f aca="false">IF($A95="","",INDEX(TierDays,MATCH($AD95,TierName,0)))</f>
        <v/>
      </c>
      <c r="AF95" s="65" t="str">
        <f aca="false">IF($A95="","",AsOf-$G95)</f>
        <v/>
      </c>
      <c r="AG95" s="65" t="str">
        <f aca="false">IF($Y95="","",IF($Y95&lt;=5,IF($AF95&gt;$AE95,"Over","Inside"),"Past approval"))</f>
        <v/>
      </c>
      <c r="AH95" s="65" t="str">
        <f aca="false">IF($Y95="","",CHOOSE($Y95,IF(OR(TRIM($F95)="",ISNUMBER(SEARCH("not named",$F95))),"Critical","Good"),IF($O95&lt;&gt;"Y","Critical",IF($Q95&lt;&gt;"Y","Warning","Good")),IF($P95="","Critical",IF($P95="partial","Warning",IF($P95="ready","Good","Critical"))),IF($R95&lt;&gt;"","Critical","Warning"),IF($L95="","Critical",IF($N95="","Warning","Good")),IF($R95&lt;&gt;"","Critical","Warning"),IF($R95&lt;&gt;"","Critical","Warning"),IF($Q95="Y","Good","Critical")))</f>
        <v/>
      </c>
      <c r="AI95" s="65" t="str">
        <f aca="false">IF($Y95="","",CHOOSE($Y95,IF(OR(TRIM($F95)="",ISNUMBER(SEARCH("not named",$F95))),"Name a sponsor accountable for the value",""),IF($O95&lt;&gt;"Y","State the success metric and the stop condition",IF($Q95&lt;&gt;"Y","Set the baseline the benefit will be measured against","")),IF($P95="","Assess data readiness and regulatory impact",IF($P95="partial","Close the known data gaps",IF($P95="ready","","Data is not available; reshape or park"))),IF($R95&lt;&gt;"",IF(OR(ISNUMBER(SEARCH("mrm",$R95)),ISNUMBER(SEARCH("model",$R95)),ISNUMBER(SEARCH("risk",$R95)),ISNUMBER(SEARCH("legal",$R95)),ISNUMBER(SEARCH("complian",$R95))),"Awaiting ","Held at the design gate: ")&amp;$R95,"Map the governance framework for its tier"),IF($L95="","Size the annual benefit",IF($N95="","Score it so it can be ranked against capacity","")),IF($R95&lt;&gt;"","Build held: "&amp;$R95,"In build, not yet through test"),IF($R95&lt;&gt;"","Not ready to scale: "&amp;$R95,"Monitoring and third-party review not yet signed off"),IF($Q95="Y","","Live without a measured baseline to judge it against")))</f>
        <v/>
      </c>
      <c r="AJ95" s="65" t="str">
        <f aca="false">IF($Y95="","",INDEX(StageForum,$Y95))</f>
        <v/>
      </c>
      <c r="AK95" s="65" t="str">
        <f aca="false">IF($Y95="","",IF(OR($X95="Delivery",$X95="Value"),"Committed",IF($N95&lt;&gt;"","Candidate","")))</f>
        <v/>
      </c>
      <c r="AL95" s="65" t="str">
        <f aca="false">IF($AK95&lt;&gt;"Candidate","",COUNTIFS($AK$2:$AK$501,"Candidate",$N$2:$N$501,"&gt;"&amp;$N95)+COUNTIFS($AK$2:$AK$501,"Candidate",$N$2:$N$501,$N95,$A$2:$A$501,"&lt;"&amp;$A95)+1)</f>
        <v/>
      </c>
      <c r="AM95" s="65" t="str">
        <f aca="false">IF($AL95="","",SUMIFS($M$2:$M$501,$AK$2:$AK$501,"Candidate",$AL$2:$AL$501,"&lt;="&amp;$AL95))</f>
        <v/>
      </c>
      <c r="AN95" s="65" t="str">
        <f aca="false">IF($AL95="","",IF($AM95&lt;=CapacityOpen,"Fits","Below line"))</f>
        <v/>
      </c>
      <c r="AO95" s="65" t="str">
        <f aca="false">IF($A95="","",IF($X95="Closed","",IF($X95="Unmapped","Warning",IF(OR($AB95="Overdue",$V95="Y",$AH95="Critical"),"Critical",IF(OR($AB95="At risk",$AC95="Stale",$AG95="Over"),"Warning","")))))</f>
        <v/>
      </c>
      <c r="AP95" s="65" t="str">
        <f aca="false">IF($AO95="","",IF($AO95="Critical",3000,2000)-IF($Z95="",0,$Z95)+ROW()/100000)</f>
        <v/>
      </c>
      <c r="AQ95" s="65" t="str">
        <f aca="false">IF($AO95="","",IF($X95="Unmapped","Status '"&amp;$C95&amp;"' is not in the Config map",IF($V95="Y","Flagged in Jira",IF($AB95="Overdue",-$Z95&amp;" days past its "&amp;$X95&amp;" target",IF($AH95="Critical",$AI95,IF($AB95="At risk","Target in "&amp;$Z95&amp;" days",IF($AC95="Stale","No update in "&amp;$AA95&amp;" days","Past its "&amp;$AE95&amp;"-day tier window")))))))</f>
        <v/>
      </c>
      <c r="AR95" s="65" t="str">
        <f aca="false">IF($AO95="","","draft Jira update for "&amp;$A95)</f>
        <v/>
      </c>
      <c r="AS95" s="65" t="str">
        <f aca="false">IF($A95="","",HYPERLINK(JiraSite&amp;"/browse/"&amp;$A95,"open"))</f>
        <v/>
      </c>
      <c r="AT95" s="65" t="str">
        <f aca="false">IF($Y95="","",$Y95*1000+ROW())</f>
        <v/>
      </c>
      <c r="AU95" s="65" t="str">
        <f aca="false">IF(AND($A95&lt;&gt;"",$G95&gt;=WeekStart),$G95+ROW()/100000,"")</f>
        <v/>
      </c>
      <c r="AV95" s="65" t="str">
        <f aca="false">IF($A95="","",IF(OR(AND($S95&lt;&gt;"",$S95&gt;=WeekStart),AND($U95&lt;&gt;"",$U95&gt;=WeekStart)),MAX($S95,$U95)+ROW()/100000,""))</f>
        <v/>
      </c>
      <c r="AW95" s="65" t="str">
        <f aca="false">IF($AV95="","",IF($T95&lt;&gt;"",$T95,IF($X95="Closed","Closed","Accepted to "&amp;$X95)))</f>
        <v/>
      </c>
      <c r="AX95" s="65" t="str">
        <f aca="false">IF(AND($Y95&lt;&gt;"",$R95&lt;&gt;""),$AF95+ROW()/100000,"")</f>
        <v/>
      </c>
      <c r="AY95" s="65" t="str">
        <f aca="false">IF(AND($Y95&lt;&gt;"",OR($AB95="Overdue",AND($AH95="Critical",$R95&lt;&gt;""))),$AF95+ROW()/100000,"")</f>
        <v/>
      </c>
      <c r="AZ95" s="65" t="str">
        <f aca="false">IF($AH95="Critical",$AF95+ROW()/100000,"")</f>
        <v/>
      </c>
    </row>
    <row r="96" customFormat="false" ht="15" hidden="false" customHeight="false" outlineLevel="0" collapsed="false">
      <c r="A96" s="28"/>
      <c r="B96" s="28"/>
      <c r="C96" s="28"/>
      <c r="D96" s="28"/>
      <c r="E96" s="28"/>
      <c r="F96" s="28"/>
      <c r="G96" s="63"/>
      <c r="H96" s="63"/>
      <c r="I96" s="63"/>
      <c r="J96" s="28"/>
      <c r="K96" s="28"/>
      <c r="L96" s="28"/>
      <c r="M96" s="28"/>
      <c r="N96" s="28"/>
      <c r="O96" s="64"/>
      <c r="P96" s="64"/>
      <c r="Q96" s="64"/>
      <c r="R96" s="28"/>
      <c r="S96" s="63"/>
      <c r="T96" s="64"/>
      <c r="U96" s="63"/>
      <c r="V96" s="64"/>
      <c r="W96" s="28"/>
      <c r="X96" s="65" t="str">
        <f aca="false">IF($A96="","",IF(OR($T96&lt;&gt;"",$U96&lt;&gt;""),"Closed",IFERROR(INDEX(MapStage,MATCH($C96,MapStatus,0)),"Unmapped")))</f>
        <v/>
      </c>
      <c r="Y96" s="65" t="str">
        <f aca="false">IF(OR($X96="",$X96="Closed",$X96="Unmapped"),"",MATCH($X96,StageName,0))</f>
        <v/>
      </c>
      <c r="Z96" s="65" t="str">
        <f aca="false">IF(OR($Y96="",$I96=""),"",$I96-AsOf)</f>
        <v/>
      </c>
      <c r="AA96" s="65" t="str">
        <f aca="false">IF($A96="","",AsOf-$H96)</f>
        <v/>
      </c>
      <c r="AB96" s="65" t="str">
        <f aca="false">IF($A96="","",IF($X96="Closed","Closed",IF($X96="Unmapped","Unmapped",IF($I96="","No target",IF($Z96&lt;0,"Overdue",IF($Z96&lt;=INDEX(StageWindow,$Y96),"At risk","On track"))))))</f>
        <v/>
      </c>
      <c r="AC96" s="65" t="str">
        <f aca="false">IF($Y96="","",IF($AA96&gt;2*INDEX(StageStale,$Y96),"Stale",IF($AA96&gt;INDEX(StageStale,$Y96),"Aging","Fresh")))</f>
        <v/>
      </c>
      <c r="AD96" s="65" t="str">
        <f aca="false">IF($A96="","",IF(OR(ISNUMBER(SEARCH("Reg report",$J96)),ISNUMBER(SEARCH("No human review",$J96)),COUNTIF(TierFuncs,$D96)&gt;0),"High",IF(OR(TRIM($J96)&lt;&gt;"",ISNUMBER(SEARCH("revenue",$K96))),"Medium","Low")))</f>
        <v/>
      </c>
      <c r="AE96" s="65" t="str">
        <f aca="false">IF($A96="","",INDEX(TierDays,MATCH($AD96,TierName,0)))</f>
        <v/>
      </c>
      <c r="AF96" s="65" t="str">
        <f aca="false">IF($A96="","",AsOf-$G96)</f>
        <v/>
      </c>
      <c r="AG96" s="65" t="str">
        <f aca="false">IF($Y96="","",IF($Y96&lt;=5,IF($AF96&gt;$AE96,"Over","Inside"),"Past approval"))</f>
        <v/>
      </c>
      <c r="AH96" s="65" t="str">
        <f aca="false">IF($Y96="","",CHOOSE($Y96,IF(OR(TRIM($F96)="",ISNUMBER(SEARCH("not named",$F96))),"Critical","Good"),IF($O96&lt;&gt;"Y","Critical",IF($Q96&lt;&gt;"Y","Warning","Good")),IF($P96="","Critical",IF($P96="partial","Warning",IF($P96="ready","Good","Critical"))),IF($R96&lt;&gt;"","Critical","Warning"),IF($L96="","Critical",IF($N96="","Warning","Good")),IF($R96&lt;&gt;"","Critical","Warning"),IF($R96&lt;&gt;"","Critical","Warning"),IF($Q96="Y","Good","Critical")))</f>
        <v/>
      </c>
      <c r="AI96" s="65" t="str">
        <f aca="false">IF($Y96="","",CHOOSE($Y96,IF(OR(TRIM($F96)="",ISNUMBER(SEARCH("not named",$F96))),"Name a sponsor accountable for the value",""),IF($O96&lt;&gt;"Y","State the success metric and the stop condition",IF($Q96&lt;&gt;"Y","Set the baseline the benefit will be measured against","")),IF($P96="","Assess data readiness and regulatory impact",IF($P96="partial","Close the known data gaps",IF($P96="ready","","Data is not available; reshape or park"))),IF($R96&lt;&gt;"",IF(OR(ISNUMBER(SEARCH("mrm",$R96)),ISNUMBER(SEARCH("model",$R96)),ISNUMBER(SEARCH("risk",$R96)),ISNUMBER(SEARCH("legal",$R96)),ISNUMBER(SEARCH("complian",$R96))),"Awaiting ","Held at the design gate: ")&amp;$R96,"Map the governance framework for its tier"),IF($L96="","Size the annual benefit",IF($N96="","Score it so it can be ranked against capacity","")),IF($R96&lt;&gt;"","Build held: "&amp;$R96,"In build, not yet through test"),IF($R96&lt;&gt;"","Not ready to scale: "&amp;$R96,"Monitoring and third-party review not yet signed off"),IF($Q96="Y","","Live without a measured baseline to judge it against")))</f>
        <v/>
      </c>
      <c r="AJ96" s="65" t="str">
        <f aca="false">IF($Y96="","",INDEX(StageForum,$Y96))</f>
        <v/>
      </c>
      <c r="AK96" s="65" t="str">
        <f aca="false">IF($Y96="","",IF(OR($X96="Delivery",$X96="Value"),"Committed",IF($N96&lt;&gt;"","Candidate","")))</f>
        <v/>
      </c>
      <c r="AL96" s="65" t="str">
        <f aca="false">IF($AK96&lt;&gt;"Candidate","",COUNTIFS($AK$2:$AK$501,"Candidate",$N$2:$N$501,"&gt;"&amp;$N96)+COUNTIFS($AK$2:$AK$501,"Candidate",$N$2:$N$501,$N96,$A$2:$A$501,"&lt;"&amp;$A96)+1)</f>
        <v/>
      </c>
      <c r="AM96" s="65" t="str">
        <f aca="false">IF($AL96="","",SUMIFS($M$2:$M$501,$AK$2:$AK$501,"Candidate",$AL$2:$AL$501,"&lt;="&amp;$AL96))</f>
        <v/>
      </c>
      <c r="AN96" s="65" t="str">
        <f aca="false">IF($AL96="","",IF($AM96&lt;=CapacityOpen,"Fits","Below line"))</f>
        <v/>
      </c>
      <c r="AO96" s="65" t="str">
        <f aca="false">IF($A96="","",IF($X96="Closed","",IF($X96="Unmapped","Warning",IF(OR($AB96="Overdue",$V96="Y",$AH96="Critical"),"Critical",IF(OR($AB96="At risk",$AC96="Stale",$AG96="Over"),"Warning","")))))</f>
        <v/>
      </c>
      <c r="AP96" s="65" t="str">
        <f aca="false">IF($AO96="","",IF($AO96="Critical",3000,2000)-IF($Z96="",0,$Z96)+ROW()/100000)</f>
        <v/>
      </c>
      <c r="AQ96" s="65" t="str">
        <f aca="false">IF($AO96="","",IF($X96="Unmapped","Status '"&amp;$C96&amp;"' is not in the Config map",IF($V96="Y","Flagged in Jira",IF($AB96="Overdue",-$Z96&amp;" days past its "&amp;$X96&amp;" target",IF($AH96="Critical",$AI96,IF($AB96="At risk","Target in "&amp;$Z96&amp;" days",IF($AC96="Stale","No update in "&amp;$AA96&amp;" days","Past its "&amp;$AE96&amp;"-day tier window")))))))</f>
        <v/>
      </c>
      <c r="AR96" s="65" t="str">
        <f aca="false">IF($AO96="","","draft Jira update for "&amp;$A96)</f>
        <v/>
      </c>
      <c r="AS96" s="65" t="str">
        <f aca="false">IF($A96="","",HYPERLINK(JiraSite&amp;"/browse/"&amp;$A96,"open"))</f>
        <v/>
      </c>
      <c r="AT96" s="65" t="str">
        <f aca="false">IF($Y96="","",$Y96*1000+ROW())</f>
        <v/>
      </c>
      <c r="AU96" s="65" t="str">
        <f aca="false">IF(AND($A96&lt;&gt;"",$G96&gt;=WeekStart),$G96+ROW()/100000,"")</f>
        <v/>
      </c>
      <c r="AV96" s="65" t="str">
        <f aca="false">IF($A96="","",IF(OR(AND($S96&lt;&gt;"",$S96&gt;=WeekStart),AND($U96&lt;&gt;"",$U96&gt;=WeekStart)),MAX($S96,$U96)+ROW()/100000,""))</f>
        <v/>
      </c>
      <c r="AW96" s="65" t="str">
        <f aca="false">IF($AV96="","",IF($T96&lt;&gt;"",$T96,IF($X96="Closed","Closed","Accepted to "&amp;$X96)))</f>
        <v/>
      </c>
      <c r="AX96" s="65" t="str">
        <f aca="false">IF(AND($Y96&lt;&gt;"",$R96&lt;&gt;""),$AF96+ROW()/100000,"")</f>
        <v/>
      </c>
      <c r="AY96" s="65" t="str">
        <f aca="false">IF(AND($Y96&lt;&gt;"",OR($AB96="Overdue",AND($AH96="Critical",$R96&lt;&gt;""))),$AF96+ROW()/100000,"")</f>
        <v/>
      </c>
      <c r="AZ96" s="65" t="str">
        <f aca="false">IF($AH96="Critical",$AF96+ROW()/100000,"")</f>
        <v/>
      </c>
    </row>
    <row r="97" customFormat="false" ht="15" hidden="false" customHeight="false" outlineLevel="0" collapsed="false">
      <c r="A97" s="28"/>
      <c r="B97" s="28"/>
      <c r="C97" s="28"/>
      <c r="D97" s="28"/>
      <c r="E97" s="28"/>
      <c r="F97" s="28"/>
      <c r="G97" s="63"/>
      <c r="H97" s="63"/>
      <c r="I97" s="63"/>
      <c r="J97" s="28"/>
      <c r="K97" s="28"/>
      <c r="L97" s="28"/>
      <c r="M97" s="28"/>
      <c r="N97" s="28"/>
      <c r="O97" s="64"/>
      <c r="P97" s="64"/>
      <c r="Q97" s="64"/>
      <c r="R97" s="28"/>
      <c r="S97" s="63"/>
      <c r="T97" s="64"/>
      <c r="U97" s="63"/>
      <c r="V97" s="64"/>
      <c r="W97" s="28"/>
      <c r="X97" s="65" t="str">
        <f aca="false">IF($A97="","",IF(OR($T97&lt;&gt;"",$U97&lt;&gt;""),"Closed",IFERROR(INDEX(MapStage,MATCH($C97,MapStatus,0)),"Unmapped")))</f>
        <v/>
      </c>
      <c r="Y97" s="65" t="str">
        <f aca="false">IF(OR($X97="",$X97="Closed",$X97="Unmapped"),"",MATCH($X97,StageName,0))</f>
        <v/>
      </c>
      <c r="Z97" s="65" t="str">
        <f aca="false">IF(OR($Y97="",$I97=""),"",$I97-AsOf)</f>
        <v/>
      </c>
      <c r="AA97" s="65" t="str">
        <f aca="false">IF($A97="","",AsOf-$H97)</f>
        <v/>
      </c>
      <c r="AB97" s="65" t="str">
        <f aca="false">IF($A97="","",IF($X97="Closed","Closed",IF($X97="Unmapped","Unmapped",IF($I97="","No target",IF($Z97&lt;0,"Overdue",IF($Z97&lt;=INDEX(StageWindow,$Y97),"At risk","On track"))))))</f>
        <v/>
      </c>
      <c r="AC97" s="65" t="str">
        <f aca="false">IF($Y97="","",IF($AA97&gt;2*INDEX(StageStale,$Y97),"Stale",IF($AA97&gt;INDEX(StageStale,$Y97),"Aging","Fresh")))</f>
        <v/>
      </c>
      <c r="AD97" s="65" t="str">
        <f aca="false">IF($A97="","",IF(OR(ISNUMBER(SEARCH("Reg report",$J97)),ISNUMBER(SEARCH("No human review",$J97)),COUNTIF(TierFuncs,$D97)&gt;0),"High",IF(OR(TRIM($J97)&lt;&gt;"",ISNUMBER(SEARCH("revenue",$K97))),"Medium","Low")))</f>
        <v/>
      </c>
      <c r="AE97" s="65" t="str">
        <f aca="false">IF($A97="","",INDEX(TierDays,MATCH($AD97,TierName,0)))</f>
        <v/>
      </c>
      <c r="AF97" s="65" t="str">
        <f aca="false">IF($A97="","",AsOf-$G97)</f>
        <v/>
      </c>
      <c r="AG97" s="65" t="str">
        <f aca="false">IF($Y97="","",IF($Y97&lt;=5,IF($AF97&gt;$AE97,"Over","Inside"),"Past approval"))</f>
        <v/>
      </c>
      <c r="AH97" s="65" t="str">
        <f aca="false">IF($Y97="","",CHOOSE($Y97,IF(OR(TRIM($F97)="",ISNUMBER(SEARCH("not named",$F97))),"Critical","Good"),IF($O97&lt;&gt;"Y","Critical",IF($Q97&lt;&gt;"Y","Warning","Good")),IF($P97="","Critical",IF($P97="partial","Warning",IF($P97="ready","Good","Critical"))),IF($R97&lt;&gt;"","Critical","Warning"),IF($L97="","Critical",IF($N97="","Warning","Good")),IF($R97&lt;&gt;"","Critical","Warning"),IF($R97&lt;&gt;"","Critical","Warning"),IF($Q97="Y","Good","Critical")))</f>
        <v/>
      </c>
      <c r="AI97" s="65" t="str">
        <f aca="false">IF($Y97="","",CHOOSE($Y97,IF(OR(TRIM($F97)="",ISNUMBER(SEARCH("not named",$F97))),"Name a sponsor accountable for the value",""),IF($O97&lt;&gt;"Y","State the success metric and the stop condition",IF($Q97&lt;&gt;"Y","Set the baseline the benefit will be measured against","")),IF($P97="","Assess data readiness and regulatory impact",IF($P97="partial","Close the known data gaps",IF($P97="ready","","Data is not available; reshape or park"))),IF($R97&lt;&gt;"",IF(OR(ISNUMBER(SEARCH("mrm",$R97)),ISNUMBER(SEARCH("model",$R97)),ISNUMBER(SEARCH("risk",$R97)),ISNUMBER(SEARCH("legal",$R97)),ISNUMBER(SEARCH("complian",$R97))),"Awaiting ","Held at the design gate: ")&amp;$R97,"Map the governance framework for its tier"),IF($L97="","Size the annual benefit",IF($N97="","Score it so it can be ranked against capacity","")),IF($R97&lt;&gt;"","Build held: "&amp;$R97,"In build, not yet through test"),IF($R97&lt;&gt;"","Not ready to scale: "&amp;$R97,"Monitoring and third-party review not yet signed off"),IF($Q97="Y","","Live without a measured baseline to judge it against")))</f>
        <v/>
      </c>
      <c r="AJ97" s="65" t="str">
        <f aca="false">IF($Y97="","",INDEX(StageForum,$Y97))</f>
        <v/>
      </c>
      <c r="AK97" s="65" t="str">
        <f aca="false">IF($Y97="","",IF(OR($X97="Delivery",$X97="Value"),"Committed",IF($N97&lt;&gt;"","Candidate","")))</f>
        <v/>
      </c>
      <c r="AL97" s="65" t="str">
        <f aca="false">IF($AK97&lt;&gt;"Candidate","",COUNTIFS($AK$2:$AK$501,"Candidate",$N$2:$N$501,"&gt;"&amp;$N97)+COUNTIFS($AK$2:$AK$501,"Candidate",$N$2:$N$501,$N97,$A$2:$A$501,"&lt;"&amp;$A97)+1)</f>
        <v/>
      </c>
      <c r="AM97" s="65" t="str">
        <f aca="false">IF($AL97="","",SUMIFS($M$2:$M$501,$AK$2:$AK$501,"Candidate",$AL$2:$AL$501,"&lt;="&amp;$AL97))</f>
        <v/>
      </c>
      <c r="AN97" s="65" t="str">
        <f aca="false">IF($AL97="","",IF($AM97&lt;=CapacityOpen,"Fits","Below line"))</f>
        <v/>
      </c>
      <c r="AO97" s="65" t="str">
        <f aca="false">IF($A97="","",IF($X97="Closed","",IF($X97="Unmapped","Warning",IF(OR($AB97="Overdue",$V97="Y",$AH97="Critical"),"Critical",IF(OR($AB97="At risk",$AC97="Stale",$AG97="Over"),"Warning","")))))</f>
        <v/>
      </c>
      <c r="AP97" s="65" t="str">
        <f aca="false">IF($AO97="","",IF($AO97="Critical",3000,2000)-IF($Z97="",0,$Z97)+ROW()/100000)</f>
        <v/>
      </c>
      <c r="AQ97" s="65" t="str">
        <f aca="false">IF($AO97="","",IF($X97="Unmapped","Status '"&amp;$C97&amp;"' is not in the Config map",IF($V97="Y","Flagged in Jira",IF($AB97="Overdue",-$Z97&amp;" days past its "&amp;$X97&amp;" target",IF($AH97="Critical",$AI97,IF($AB97="At risk","Target in "&amp;$Z97&amp;" days",IF($AC97="Stale","No update in "&amp;$AA97&amp;" days","Past its "&amp;$AE97&amp;"-day tier window")))))))</f>
        <v/>
      </c>
      <c r="AR97" s="65" t="str">
        <f aca="false">IF($AO97="","","draft Jira update for "&amp;$A97)</f>
        <v/>
      </c>
      <c r="AS97" s="65" t="str">
        <f aca="false">IF($A97="","",HYPERLINK(JiraSite&amp;"/browse/"&amp;$A97,"open"))</f>
        <v/>
      </c>
      <c r="AT97" s="65" t="str">
        <f aca="false">IF($Y97="","",$Y97*1000+ROW())</f>
        <v/>
      </c>
      <c r="AU97" s="65" t="str">
        <f aca="false">IF(AND($A97&lt;&gt;"",$G97&gt;=WeekStart),$G97+ROW()/100000,"")</f>
        <v/>
      </c>
      <c r="AV97" s="65" t="str">
        <f aca="false">IF($A97="","",IF(OR(AND($S97&lt;&gt;"",$S97&gt;=WeekStart),AND($U97&lt;&gt;"",$U97&gt;=WeekStart)),MAX($S97,$U97)+ROW()/100000,""))</f>
        <v/>
      </c>
      <c r="AW97" s="65" t="str">
        <f aca="false">IF($AV97="","",IF($T97&lt;&gt;"",$T97,IF($X97="Closed","Closed","Accepted to "&amp;$X97)))</f>
        <v/>
      </c>
      <c r="AX97" s="65" t="str">
        <f aca="false">IF(AND($Y97&lt;&gt;"",$R97&lt;&gt;""),$AF97+ROW()/100000,"")</f>
        <v/>
      </c>
      <c r="AY97" s="65" t="str">
        <f aca="false">IF(AND($Y97&lt;&gt;"",OR($AB97="Overdue",AND($AH97="Critical",$R97&lt;&gt;""))),$AF97+ROW()/100000,"")</f>
        <v/>
      </c>
      <c r="AZ97" s="65" t="str">
        <f aca="false">IF($AH97="Critical",$AF97+ROW()/100000,"")</f>
        <v/>
      </c>
    </row>
    <row r="98" customFormat="false" ht="15" hidden="false" customHeight="false" outlineLevel="0" collapsed="false">
      <c r="A98" s="28"/>
      <c r="B98" s="28"/>
      <c r="C98" s="28"/>
      <c r="D98" s="28"/>
      <c r="E98" s="28"/>
      <c r="F98" s="28"/>
      <c r="G98" s="63"/>
      <c r="H98" s="63"/>
      <c r="I98" s="63"/>
      <c r="J98" s="28"/>
      <c r="K98" s="28"/>
      <c r="L98" s="28"/>
      <c r="M98" s="28"/>
      <c r="N98" s="28"/>
      <c r="O98" s="64"/>
      <c r="P98" s="64"/>
      <c r="Q98" s="64"/>
      <c r="R98" s="28"/>
      <c r="S98" s="63"/>
      <c r="T98" s="64"/>
      <c r="U98" s="63"/>
      <c r="V98" s="64"/>
      <c r="W98" s="28"/>
      <c r="X98" s="65" t="str">
        <f aca="false">IF($A98="","",IF(OR($T98&lt;&gt;"",$U98&lt;&gt;""),"Closed",IFERROR(INDEX(MapStage,MATCH($C98,MapStatus,0)),"Unmapped")))</f>
        <v/>
      </c>
      <c r="Y98" s="65" t="str">
        <f aca="false">IF(OR($X98="",$X98="Closed",$X98="Unmapped"),"",MATCH($X98,StageName,0))</f>
        <v/>
      </c>
      <c r="Z98" s="65" t="str">
        <f aca="false">IF(OR($Y98="",$I98=""),"",$I98-AsOf)</f>
        <v/>
      </c>
      <c r="AA98" s="65" t="str">
        <f aca="false">IF($A98="","",AsOf-$H98)</f>
        <v/>
      </c>
      <c r="AB98" s="65" t="str">
        <f aca="false">IF($A98="","",IF($X98="Closed","Closed",IF($X98="Unmapped","Unmapped",IF($I98="","No target",IF($Z98&lt;0,"Overdue",IF($Z98&lt;=INDEX(StageWindow,$Y98),"At risk","On track"))))))</f>
        <v/>
      </c>
      <c r="AC98" s="65" t="str">
        <f aca="false">IF($Y98="","",IF($AA98&gt;2*INDEX(StageStale,$Y98),"Stale",IF($AA98&gt;INDEX(StageStale,$Y98),"Aging","Fresh")))</f>
        <v/>
      </c>
      <c r="AD98" s="65" t="str">
        <f aca="false">IF($A98="","",IF(OR(ISNUMBER(SEARCH("Reg report",$J98)),ISNUMBER(SEARCH("No human review",$J98)),COUNTIF(TierFuncs,$D98)&gt;0),"High",IF(OR(TRIM($J98)&lt;&gt;"",ISNUMBER(SEARCH("revenue",$K98))),"Medium","Low")))</f>
        <v/>
      </c>
      <c r="AE98" s="65" t="str">
        <f aca="false">IF($A98="","",INDEX(TierDays,MATCH($AD98,TierName,0)))</f>
        <v/>
      </c>
      <c r="AF98" s="65" t="str">
        <f aca="false">IF($A98="","",AsOf-$G98)</f>
        <v/>
      </c>
      <c r="AG98" s="65" t="str">
        <f aca="false">IF($Y98="","",IF($Y98&lt;=5,IF($AF98&gt;$AE98,"Over","Inside"),"Past approval"))</f>
        <v/>
      </c>
      <c r="AH98" s="65" t="str">
        <f aca="false">IF($Y98="","",CHOOSE($Y98,IF(OR(TRIM($F98)="",ISNUMBER(SEARCH("not named",$F98))),"Critical","Good"),IF($O98&lt;&gt;"Y","Critical",IF($Q98&lt;&gt;"Y","Warning","Good")),IF($P98="","Critical",IF($P98="partial","Warning",IF($P98="ready","Good","Critical"))),IF($R98&lt;&gt;"","Critical","Warning"),IF($L98="","Critical",IF($N98="","Warning","Good")),IF($R98&lt;&gt;"","Critical","Warning"),IF($R98&lt;&gt;"","Critical","Warning"),IF($Q98="Y","Good","Critical")))</f>
        <v/>
      </c>
      <c r="AI98" s="65" t="str">
        <f aca="false">IF($Y98="","",CHOOSE($Y98,IF(OR(TRIM($F98)="",ISNUMBER(SEARCH("not named",$F98))),"Name a sponsor accountable for the value",""),IF($O98&lt;&gt;"Y","State the success metric and the stop condition",IF($Q98&lt;&gt;"Y","Set the baseline the benefit will be measured against","")),IF($P98="","Assess data readiness and regulatory impact",IF($P98="partial","Close the known data gaps",IF($P98="ready","","Data is not available; reshape or park"))),IF($R98&lt;&gt;"",IF(OR(ISNUMBER(SEARCH("mrm",$R98)),ISNUMBER(SEARCH("model",$R98)),ISNUMBER(SEARCH("risk",$R98)),ISNUMBER(SEARCH("legal",$R98)),ISNUMBER(SEARCH("complian",$R98))),"Awaiting ","Held at the design gate: ")&amp;$R98,"Map the governance framework for its tier"),IF($L98="","Size the annual benefit",IF($N98="","Score it so it can be ranked against capacity","")),IF($R98&lt;&gt;"","Build held: "&amp;$R98,"In build, not yet through test"),IF($R98&lt;&gt;"","Not ready to scale: "&amp;$R98,"Monitoring and third-party review not yet signed off"),IF($Q98="Y","","Live without a measured baseline to judge it against")))</f>
        <v/>
      </c>
      <c r="AJ98" s="65" t="str">
        <f aca="false">IF($Y98="","",INDEX(StageForum,$Y98))</f>
        <v/>
      </c>
      <c r="AK98" s="65" t="str">
        <f aca="false">IF($Y98="","",IF(OR($X98="Delivery",$X98="Value"),"Committed",IF($N98&lt;&gt;"","Candidate","")))</f>
        <v/>
      </c>
      <c r="AL98" s="65" t="str">
        <f aca="false">IF($AK98&lt;&gt;"Candidate","",COUNTIFS($AK$2:$AK$501,"Candidate",$N$2:$N$501,"&gt;"&amp;$N98)+COUNTIFS($AK$2:$AK$501,"Candidate",$N$2:$N$501,$N98,$A$2:$A$501,"&lt;"&amp;$A98)+1)</f>
        <v/>
      </c>
      <c r="AM98" s="65" t="str">
        <f aca="false">IF($AL98="","",SUMIFS($M$2:$M$501,$AK$2:$AK$501,"Candidate",$AL$2:$AL$501,"&lt;="&amp;$AL98))</f>
        <v/>
      </c>
      <c r="AN98" s="65" t="str">
        <f aca="false">IF($AL98="","",IF($AM98&lt;=CapacityOpen,"Fits","Below line"))</f>
        <v/>
      </c>
      <c r="AO98" s="65" t="str">
        <f aca="false">IF($A98="","",IF($X98="Closed","",IF($X98="Unmapped","Warning",IF(OR($AB98="Overdue",$V98="Y",$AH98="Critical"),"Critical",IF(OR($AB98="At risk",$AC98="Stale",$AG98="Over"),"Warning","")))))</f>
        <v/>
      </c>
      <c r="AP98" s="65" t="str">
        <f aca="false">IF($AO98="","",IF($AO98="Critical",3000,2000)-IF($Z98="",0,$Z98)+ROW()/100000)</f>
        <v/>
      </c>
      <c r="AQ98" s="65" t="str">
        <f aca="false">IF($AO98="","",IF($X98="Unmapped","Status '"&amp;$C98&amp;"' is not in the Config map",IF($V98="Y","Flagged in Jira",IF($AB98="Overdue",-$Z98&amp;" days past its "&amp;$X98&amp;" target",IF($AH98="Critical",$AI98,IF($AB98="At risk","Target in "&amp;$Z98&amp;" days",IF($AC98="Stale","No update in "&amp;$AA98&amp;" days","Past its "&amp;$AE98&amp;"-day tier window")))))))</f>
        <v/>
      </c>
      <c r="AR98" s="65" t="str">
        <f aca="false">IF($AO98="","","draft Jira update for "&amp;$A98)</f>
        <v/>
      </c>
      <c r="AS98" s="65" t="str">
        <f aca="false">IF($A98="","",HYPERLINK(JiraSite&amp;"/browse/"&amp;$A98,"open"))</f>
        <v/>
      </c>
      <c r="AT98" s="65" t="str">
        <f aca="false">IF($Y98="","",$Y98*1000+ROW())</f>
        <v/>
      </c>
      <c r="AU98" s="65" t="str">
        <f aca="false">IF(AND($A98&lt;&gt;"",$G98&gt;=WeekStart),$G98+ROW()/100000,"")</f>
        <v/>
      </c>
      <c r="AV98" s="65" t="str">
        <f aca="false">IF($A98="","",IF(OR(AND($S98&lt;&gt;"",$S98&gt;=WeekStart),AND($U98&lt;&gt;"",$U98&gt;=WeekStart)),MAX($S98,$U98)+ROW()/100000,""))</f>
        <v/>
      </c>
      <c r="AW98" s="65" t="str">
        <f aca="false">IF($AV98="","",IF($T98&lt;&gt;"",$T98,IF($X98="Closed","Closed","Accepted to "&amp;$X98)))</f>
        <v/>
      </c>
      <c r="AX98" s="65" t="str">
        <f aca="false">IF(AND($Y98&lt;&gt;"",$R98&lt;&gt;""),$AF98+ROW()/100000,"")</f>
        <v/>
      </c>
      <c r="AY98" s="65" t="str">
        <f aca="false">IF(AND($Y98&lt;&gt;"",OR($AB98="Overdue",AND($AH98="Critical",$R98&lt;&gt;""))),$AF98+ROW()/100000,"")</f>
        <v/>
      </c>
      <c r="AZ98" s="65" t="str">
        <f aca="false">IF($AH98="Critical",$AF98+ROW()/100000,"")</f>
        <v/>
      </c>
    </row>
    <row r="99" customFormat="false" ht="15" hidden="false" customHeight="false" outlineLevel="0" collapsed="false">
      <c r="A99" s="28"/>
      <c r="B99" s="28"/>
      <c r="C99" s="28"/>
      <c r="D99" s="28"/>
      <c r="E99" s="28"/>
      <c r="F99" s="28"/>
      <c r="G99" s="63"/>
      <c r="H99" s="63"/>
      <c r="I99" s="63"/>
      <c r="J99" s="28"/>
      <c r="K99" s="28"/>
      <c r="L99" s="28"/>
      <c r="M99" s="28"/>
      <c r="N99" s="28"/>
      <c r="O99" s="64"/>
      <c r="P99" s="64"/>
      <c r="Q99" s="64"/>
      <c r="R99" s="28"/>
      <c r="S99" s="63"/>
      <c r="T99" s="64"/>
      <c r="U99" s="63"/>
      <c r="V99" s="64"/>
      <c r="W99" s="28"/>
      <c r="X99" s="65" t="str">
        <f aca="false">IF($A99="","",IF(OR($T99&lt;&gt;"",$U99&lt;&gt;""),"Closed",IFERROR(INDEX(MapStage,MATCH($C99,MapStatus,0)),"Unmapped")))</f>
        <v/>
      </c>
      <c r="Y99" s="65" t="str">
        <f aca="false">IF(OR($X99="",$X99="Closed",$X99="Unmapped"),"",MATCH($X99,StageName,0))</f>
        <v/>
      </c>
      <c r="Z99" s="65" t="str">
        <f aca="false">IF(OR($Y99="",$I99=""),"",$I99-AsOf)</f>
        <v/>
      </c>
      <c r="AA99" s="65" t="str">
        <f aca="false">IF($A99="","",AsOf-$H99)</f>
        <v/>
      </c>
      <c r="AB99" s="65" t="str">
        <f aca="false">IF($A99="","",IF($X99="Closed","Closed",IF($X99="Unmapped","Unmapped",IF($I99="","No target",IF($Z99&lt;0,"Overdue",IF($Z99&lt;=INDEX(StageWindow,$Y99),"At risk","On track"))))))</f>
        <v/>
      </c>
      <c r="AC99" s="65" t="str">
        <f aca="false">IF($Y99="","",IF($AA99&gt;2*INDEX(StageStale,$Y99),"Stale",IF($AA99&gt;INDEX(StageStale,$Y99),"Aging","Fresh")))</f>
        <v/>
      </c>
      <c r="AD99" s="65" t="str">
        <f aca="false">IF($A99="","",IF(OR(ISNUMBER(SEARCH("Reg report",$J99)),ISNUMBER(SEARCH("No human review",$J99)),COUNTIF(TierFuncs,$D99)&gt;0),"High",IF(OR(TRIM($J99)&lt;&gt;"",ISNUMBER(SEARCH("revenue",$K99))),"Medium","Low")))</f>
        <v/>
      </c>
      <c r="AE99" s="65" t="str">
        <f aca="false">IF($A99="","",INDEX(TierDays,MATCH($AD99,TierName,0)))</f>
        <v/>
      </c>
      <c r="AF99" s="65" t="str">
        <f aca="false">IF($A99="","",AsOf-$G99)</f>
        <v/>
      </c>
      <c r="AG99" s="65" t="str">
        <f aca="false">IF($Y99="","",IF($Y99&lt;=5,IF($AF99&gt;$AE99,"Over","Inside"),"Past approval"))</f>
        <v/>
      </c>
      <c r="AH99" s="65" t="str">
        <f aca="false">IF($Y99="","",CHOOSE($Y99,IF(OR(TRIM($F99)="",ISNUMBER(SEARCH("not named",$F99))),"Critical","Good"),IF($O99&lt;&gt;"Y","Critical",IF($Q99&lt;&gt;"Y","Warning","Good")),IF($P99="","Critical",IF($P99="partial","Warning",IF($P99="ready","Good","Critical"))),IF($R99&lt;&gt;"","Critical","Warning"),IF($L99="","Critical",IF($N99="","Warning","Good")),IF($R99&lt;&gt;"","Critical","Warning"),IF($R99&lt;&gt;"","Critical","Warning"),IF($Q99="Y","Good","Critical")))</f>
        <v/>
      </c>
      <c r="AI99" s="65" t="str">
        <f aca="false">IF($Y99="","",CHOOSE($Y99,IF(OR(TRIM($F99)="",ISNUMBER(SEARCH("not named",$F99))),"Name a sponsor accountable for the value",""),IF($O99&lt;&gt;"Y","State the success metric and the stop condition",IF($Q99&lt;&gt;"Y","Set the baseline the benefit will be measured against","")),IF($P99="","Assess data readiness and regulatory impact",IF($P99="partial","Close the known data gaps",IF($P99="ready","","Data is not available; reshape or park"))),IF($R99&lt;&gt;"",IF(OR(ISNUMBER(SEARCH("mrm",$R99)),ISNUMBER(SEARCH("model",$R99)),ISNUMBER(SEARCH("risk",$R99)),ISNUMBER(SEARCH("legal",$R99)),ISNUMBER(SEARCH("complian",$R99))),"Awaiting ","Held at the design gate: ")&amp;$R99,"Map the governance framework for its tier"),IF($L99="","Size the annual benefit",IF($N99="","Score it so it can be ranked against capacity","")),IF($R99&lt;&gt;"","Build held: "&amp;$R99,"In build, not yet through test"),IF($R99&lt;&gt;"","Not ready to scale: "&amp;$R99,"Monitoring and third-party review not yet signed off"),IF($Q99="Y","","Live without a measured baseline to judge it against")))</f>
        <v/>
      </c>
      <c r="AJ99" s="65" t="str">
        <f aca="false">IF($Y99="","",INDEX(StageForum,$Y99))</f>
        <v/>
      </c>
      <c r="AK99" s="65" t="str">
        <f aca="false">IF($Y99="","",IF(OR($X99="Delivery",$X99="Value"),"Committed",IF($N99&lt;&gt;"","Candidate","")))</f>
        <v/>
      </c>
      <c r="AL99" s="65" t="str">
        <f aca="false">IF($AK99&lt;&gt;"Candidate","",COUNTIFS($AK$2:$AK$501,"Candidate",$N$2:$N$501,"&gt;"&amp;$N99)+COUNTIFS($AK$2:$AK$501,"Candidate",$N$2:$N$501,$N99,$A$2:$A$501,"&lt;"&amp;$A99)+1)</f>
        <v/>
      </c>
      <c r="AM99" s="65" t="str">
        <f aca="false">IF($AL99="","",SUMIFS($M$2:$M$501,$AK$2:$AK$501,"Candidate",$AL$2:$AL$501,"&lt;="&amp;$AL99))</f>
        <v/>
      </c>
      <c r="AN99" s="65" t="str">
        <f aca="false">IF($AL99="","",IF($AM99&lt;=CapacityOpen,"Fits","Below line"))</f>
        <v/>
      </c>
      <c r="AO99" s="65" t="str">
        <f aca="false">IF($A99="","",IF($X99="Closed","",IF($X99="Unmapped","Warning",IF(OR($AB99="Overdue",$V99="Y",$AH99="Critical"),"Critical",IF(OR($AB99="At risk",$AC99="Stale",$AG99="Over"),"Warning","")))))</f>
        <v/>
      </c>
      <c r="AP99" s="65" t="str">
        <f aca="false">IF($AO99="","",IF($AO99="Critical",3000,2000)-IF($Z99="",0,$Z99)+ROW()/100000)</f>
        <v/>
      </c>
      <c r="AQ99" s="65" t="str">
        <f aca="false">IF($AO99="","",IF($X99="Unmapped","Status '"&amp;$C99&amp;"' is not in the Config map",IF($V99="Y","Flagged in Jira",IF($AB99="Overdue",-$Z99&amp;" days past its "&amp;$X99&amp;" target",IF($AH99="Critical",$AI99,IF($AB99="At risk","Target in "&amp;$Z99&amp;" days",IF($AC99="Stale","No update in "&amp;$AA99&amp;" days","Past its "&amp;$AE99&amp;"-day tier window")))))))</f>
        <v/>
      </c>
      <c r="AR99" s="65" t="str">
        <f aca="false">IF($AO99="","","draft Jira update for "&amp;$A99)</f>
        <v/>
      </c>
      <c r="AS99" s="65" t="str">
        <f aca="false">IF($A99="","",HYPERLINK(JiraSite&amp;"/browse/"&amp;$A99,"open"))</f>
        <v/>
      </c>
      <c r="AT99" s="65" t="str">
        <f aca="false">IF($Y99="","",$Y99*1000+ROW())</f>
        <v/>
      </c>
      <c r="AU99" s="65" t="str">
        <f aca="false">IF(AND($A99&lt;&gt;"",$G99&gt;=WeekStart),$G99+ROW()/100000,"")</f>
        <v/>
      </c>
      <c r="AV99" s="65" t="str">
        <f aca="false">IF($A99="","",IF(OR(AND($S99&lt;&gt;"",$S99&gt;=WeekStart),AND($U99&lt;&gt;"",$U99&gt;=WeekStart)),MAX($S99,$U99)+ROW()/100000,""))</f>
        <v/>
      </c>
      <c r="AW99" s="65" t="str">
        <f aca="false">IF($AV99="","",IF($T99&lt;&gt;"",$T99,IF($X99="Closed","Closed","Accepted to "&amp;$X99)))</f>
        <v/>
      </c>
      <c r="AX99" s="65" t="str">
        <f aca="false">IF(AND($Y99&lt;&gt;"",$R99&lt;&gt;""),$AF99+ROW()/100000,"")</f>
        <v/>
      </c>
      <c r="AY99" s="65" t="str">
        <f aca="false">IF(AND($Y99&lt;&gt;"",OR($AB99="Overdue",AND($AH99="Critical",$R99&lt;&gt;""))),$AF99+ROW()/100000,"")</f>
        <v/>
      </c>
      <c r="AZ99" s="65" t="str">
        <f aca="false">IF($AH99="Critical",$AF99+ROW()/100000,"")</f>
        <v/>
      </c>
    </row>
    <row r="100" customFormat="false" ht="15" hidden="false" customHeight="false" outlineLevel="0" collapsed="false">
      <c r="A100" s="28"/>
      <c r="B100" s="28"/>
      <c r="C100" s="28"/>
      <c r="D100" s="28"/>
      <c r="E100" s="28"/>
      <c r="F100" s="28"/>
      <c r="G100" s="63"/>
      <c r="H100" s="63"/>
      <c r="I100" s="63"/>
      <c r="J100" s="28"/>
      <c r="K100" s="28"/>
      <c r="L100" s="28"/>
      <c r="M100" s="28"/>
      <c r="N100" s="28"/>
      <c r="O100" s="64"/>
      <c r="P100" s="64"/>
      <c r="Q100" s="64"/>
      <c r="R100" s="28"/>
      <c r="S100" s="63"/>
      <c r="T100" s="64"/>
      <c r="U100" s="63"/>
      <c r="V100" s="64"/>
      <c r="W100" s="28"/>
      <c r="X100" s="65" t="str">
        <f aca="false">IF($A100="","",IF(OR($T100&lt;&gt;"",$U100&lt;&gt;""),"Closed",IFERROR(INDEX(MapStage,MATCH($C100,MapStatus,0)),"Unmapped")))</f>
        <v/>
      </c>
      <c r="Y100" s="65" t="str">
        <f aca="false">IF(OR($X100="",$X100="Closed",$X100="Unmapped"),"",MATCH($X100,StageName,0))</f>
        <v/>
      </c>
      <c r="Z100" s="65" t="str">
        <f aca="false">IF(OR($Y100="",$I100=""),"",$I100-AsOf)</f>
        <v/>
      </c>
      <c r="AA100" s="65" t="str">
        <f aca="false">IF($A100="","",AsOf-$H100)</f>
        <v/>
      </c>
      <c r="AB100" s="65" t="str">
        <f aca="false">IF($A100="","",IF($X100="Closed","Closed",IF($X100="Unmapped","Unmapped",IF($I100="","No target",IF($Z100&lt;0,"Overdue",IF($Z100&lt;=INDEX(StageWindow,$Y100),"At risk","On track"))))))</f>
        <v/>
      </c>
      <c r="AC100" s="65" t="str">
        <f aca="false">IF($Y100="","",IF($AA100&gt;2*INDEX(StageStale,$Y100),"Stale",IF($AA100&gt;INDEX(StageStale,$Y100),"Aging","Fresh")))</f>
        <v/>
      </c>
      <c r="AD100" s="65" t="str">
        <f aca="false">IF($A100="","",IF(OR(ISNUMBER(SEARCH("Reg report",$J100)),ISNUMBER(SEARCH("No human review",$J100)),COUNTIF(TierFuncs,$D100)&gt;0),"High",IF(OR(TRIM($J100)&lt;&gt;"",ISNUMBER(SEARCH("revenue",$K100))),"Medium","Low")))</f>
        <v/>
      </c>
      <c r="AE100" s="65" t="str">
        <f aca="false">IF($A100="","",INDEX(TierDays,MATCH($AD100,TierName,0)))</f>
        <v/>
      </c>
      <c r="AF100" s="65" t="str">
        <f aca="false">IF($A100="","",AsOf-$G100)</f>
        <v/>
      </c>
      <c r="AG100" s="65" t="str">
        <f aca="false">IF($Y100="","",IF($Y100&lt;=5,IF($AF100&gt;$AE100,"Over","Inside"),"Past approval"))</f>
        <v/>
      </c>
      <c r="AH100" s="65" t="str">
        <f aca="false">IF($Y100="","",CHOOSE($Y100,IF(OR(TRIM($F100)="",ISNUMBER(SEARCH("not named",$F100))),"Critical","Good"),IF($O100&lt;&gt;"Y","Critical",IF($Q100&lt;&gt;"Y","Warning","Good")),IF($P100="","Critical",IF($P100="partial","Warning",IF($P100="ready","Good","Critical"))),IF($R100&lt;&gt;"","Critical","Warning"),IF($L100="","Critical",IF($N100="","Warning","Good")),IF($R100&lt;&gt;"","Critical","Warning"),IF($R100&lt;&gt;"","Critical","Warning"),IF($Q100="Y","Good","Critical")))</f>
        <v/>
      </c>
      <c r="AI100" s="65" t="str">
        <f aca="false">IF($Y100="","",CHOOSE($Y100,IF(OR(TRIM($F100)="",ISNUMBER(SEARCH("not named",$F100))),"Name a sponsor accountable for the value",""),IF($O100&lt;&gt;"Y","State the success metric and the stop condition",IF($Q100&lt;&gt;"Y","Set the baseline the benefit will be measured against","")),IF($P100="","Assess data readiness and regulatory impact",IF($P100="partial","Close the known data gaps",IF($P100="ready","","Data is not available; reshape or park"))),IF($R100&lt;&gt;"",IF(OR(ISNUMBER(SEARCH("mrm",$R100)),ISNUMBER(SEARCH("model",$R100)),ISNUMBER(SEARCH("risk",$R100)),ISNUMBER(SEARCH("legal",$R100)),ISNUMBER(SEARCH("complian",$R100))),"Awaiting ","Held at the design gate: ")&amp;$R100,"Map the governance framework for its tier"),IF($L100="","Size the annual benefit",IF($N100="","Score it so it can be ranked against capacity","")),IF($R100&lt;&gt;"","Build held: "&amp;$R100,"In build, not yet through test"),IF($R100&lt;&gt;"","Not ready to scale: "&amp;$R100,"Monitoring and third-party review not yet signed off"),IF($Q100="Y","","Live without a measured baseline to judge it against")))</f>
        <v/>
      </c>
      <c r="AJ100" s="65" t="str">
        <f aca="false">IF($Y100="","",INDEX(StageForum,$Y100))</f>
        <v/>
      </c>
      <c r="AK100" s="65" t="str">
        <f aca="false">IF($Y100="","",IF(OR($X100="Delivery",$X100="Value"),"Committed",IF($N100&lt;&gt;"","Candidate","")))</f>
        <v/>
      </c>
      <c r="AL100" s="65" t="str">
        <f aca="false">IF($AK100&lt;&gt;"Candidate","",COUNTIFS($AK$2:$AK$501,"Candidate",$N$2:$N$501,"&gt;"&amp;$N100)+COUNTIFS($AK$2:$AK$501,"Candidate",$N$2:$N$501,$N100,$A$2:$A$501,"&lt;"&amp;$A100)+1)</f>
        <v/>
      </c>
      <c r="AM100" s="65" t="str">
        <f aca="false">IF($AL100="","",SUMIFS($M$2:$M$501,$AK$2:$AK$501,"Candidate",$AL$2:$AL$501,"&lt;="&amp;$AL100))</f>
        <v/>
      </c>
      <c r="AN100" s="65" t="str">
        <f aca="false">IF($AL100="","",IF($AM100&lt;=CapacityOpen,"Fits","Below line"))</f>
        <v/>
      </c>
      <c r="AO100" s="65" t="str">
        <f aca="false">IF($A100="","",IF($X100="Closed","",IF($X100="Unmapped","Warning",IF(OR($AB100="Overdue",$V100="Y",$AH100="Critical"),"Critical",IF(OR($AB100="At risk",$AC100="Stale",$AG100="Over"),"Warning","")))))</f>
        <v/>
      </c>
      <c r="AP100" s="65" t="str">
        <f aca="false">IF($AO100="","",IF($AO100="Critical",3000,2000)-IF($Z100="",0,$Z100)+ROW()/100000)</f>
        <v/>
      </c>
      <c r="AQ100" s="65" t="str">
        <f aca="false">IF($AO100="","",IF($X100="Unmapped","Status '"&amp;$C100&amp;"' is not in the Config map",IF($V100="Y","Flagged in Jira",IF($AB100="Overdue",-$Z100&amp;" days past its "&amp;$X100&amp;" target",IF($AH100="Critical",$AI100,IF($AB100="At risk","Target in "&amp;$Z100&amp;" days",IF($AC100="Stale","No update in "&amp;$AA100&amp;" days","Past its "&amp;$AE100&amp;"-day tier window")))))))</f>
        <v/>
      </c>
      <c r="AR100" s="65" t="str">
        <f aca="false">IF($AO100="","","draft Jira update for "&amp;$A100)</f>
        <v/>
      </c>
      <c r="AS100" s="65" t="str">
        <f aca="false">IF($A100="","",HYPERLINK(JiraSite&amp;"/browse/"&amp;$A100,"open"))</f>
        <v/>
      </c>
      <c r="AT100" s="65" t="str">
        <f aca="false">IF($Y100="","",$Y100*1000+ROW())</f>
        <v/>
      </c>
      <c r="AU100" s="65" t="str">
        <f aca="false">IF(AND($A100&lt;&gt;"",$G100&gt;=WeekStart),$G100+ROW()/100000,"")</f>
        <v/>
      </c>
      <c r="AV100" s="65" t="str">
        <f aca="false">IF($A100="","",IF(OR(AND($S100&lt;&gt;"",$S100&gt;=WeekStart),AND($U100&lt;&gt;"",$U100&gt;=WeekStart)),MAX($S100,$U100)+ROW()/100000,""))</f>
        <v/>
      </c>
      <c r="AW100" s="65" t="str">
        <f aca="false">IF($AV100="","",IF($T100&lt;&gt;"",$T100,IF($X100="Closed","Closed","Accepted to "&amp;$X100)))</f>
        <v/>
      </c>
      <c r="AX100" s="65" t="str">
        <f aca="false">IF(AND($Y100&lt;&gt;"",$R100&lt;&gt;""),$AF100+ROW()/100000,"")</f>
        <v/>
      </c>
      <c r="AY100" s="65" t="str">
        <f aca="false">IF(AND($Y100&lt;&gt;"",OR($AB100="Overdue",AND($AH100="Critical",$R100&lt;&gt;""))),$AF100+ROW()/100000,"")</f>
        <v/>
      </c>
      <c r="AZ100" s="65" t="str">
        <f aca="false">IF($AH100="Critical",$AF100+ROW()/100000,"")</f>
        <v/>
      </c>
    </row>
    <row r="101" customFormat="false" ht="15" hidden="false" customHeight="false" outlineLevel="0" collapsed="false">
      <c r="A101" s="28"/>
      <c r="B101" s="28"/>
      <c r="C101" s="28"/>
      <c r="D101" s="28"/>
      <c r="E101" s="28"/>
      <c r="F101" s="28"/>
      <c r="G101" s="63"/>
      <c r="H101" s="63"/>
      <c r="I101" s="63"/>
      <c r="J101" s="28"/>
      <c r="K101" s="28"/>
      <c r="L101" s="28"/>
      <c r="M101" s="28"/>
      <c r="N101" s="28"/>
      <c r="O101" s="64"/>
      <c r="P101" s="64"/>
      <c r="Q101" s="64"/>
      <c r="R101" s="28"/>
      <c r="S101" s="63"/>
      <c r="T101" s="64"/>
      <c r="U101" s="63"/>
      <c r="V101" s="64"/>
      <c r="W101" s="28"/>
      <c r="X101" s="65" t="str">
        <f aca="false">IF($A101="","",IF(OR($T101&lt;&gt;"",$U101&lt;&gt;""),"Closed",IFERROR(INDEX(MapStage,MATCH($C101,MapStatus,0)),"Unmapped")))</f>
        <v/>
      </c>
      <c r="Y101" s="65" t="str">
        <f aca="false">IF(OR($X101="",$X101="Closed",$X101="Unmapped"),"",MATCH($X101,StageName,0))</f>
        <v/>
      </c>
      <c r="Z101" s="65" t="str">
        <f aca="false">IF(OR($Y101="",$I101=""),"",$I101-AsOf)</f>
        <v/>
      </c>
      <c r="AA101" s="65" t="str">
        <f aca="false">IF($A101="","",AsOf-$H101)</f>
        <v/>
      </c>
      <c r="AB101" s="65" t="str">
        <f aca="false">IF($A101="","",IF($X101="Closed","Closed",IF($X101="Unmapped","Unmapped",IF($I101="","No target",IF($Z101&lt;0,"Overdue",IF($Z101&lt;=INDEX(StageWindow,$Y101),"At risk","On track"))))))</f>
        <v/>
      </c>
      <c r="AC101" s="65" t="str">
        <f aca="false">IF($Y101="","",IF($AA101&gt;2*INDEX(StageStale,$Y101),"Stale",IF($AA101&gt;INDEX(StageStale,$Y101),"Aging","Fresh")))</f>
        <v/>
      </c>
      <c r="AD101" s="65" t="str">
        <f aca="false">IF($A101="","",IF(OR(ISNUMBER(SEARCH("Reg report",$J101)),ISNUMBER(SEARCH("No human review",$J101)),COUNTIF(TierFuncs,$D101)&gt;0),"High",IF(OR(TRIM($J101)&lt;&gt;"",ISNUMBER(SEARCH("revenue",$K101))),"Medium","Low")))</f>
        <v/>
      </c>
      <c r="AE101" s="65" t="str">
        <f aca="false">IF($A101="","",INDEX(TierDays,MATCH($AD101,TierName,0)))</f>
        <v/>
      </c>
      <c r="AF101" s="65" t="str">
        <f aca="false">IF($A101="","",AsOf-$G101)</f>
        <v/>
      </c>
      <c r="AG101" s="65" t="str">
        <f aca="false">IF($Y101="","",IF($Y101&lt;=5,IF($AF101&gt;$AE101,"Over","Inside"),"Past approval"))</f>
        <v/>
      </c>
      <c r="AH101" s="65" t="str">
        <f aca="false">IF($Y101="","",CHOOSE($Y101,IF(OR(TRIM($F101)="",ISNUMBER(SEARCH("not named",$F101))),"Critical","Good"),IF($O101&lt;&gt;"Y","Critical",IF($Q101&lt;&gt;"Y","Warning","Good")),IF($P101="","Critical",IF($P101="partial","Warning",IF($P101="ready","Good","Critical"))),IF($R101&lt;&gt;"","Critical","Warning"),IF($L101="","Critical",IF($N101="","Warning","Good")),IF($R101&lt;&gt;"","Critical","Warning"),IF($R101&lt;&gt;"","Critical","Warning"),IF($Q101="Y","Good","Critical")))</f>
        <v/>
      </c>
      <c r="AI101" s="65" t="str">
        <f aca="false">IF($Y101="","",CHOOSE($Y101,IF(OR(TRIM($F101)="",ISNUMBER(SEARCH("not named",$F101))),"Name a sponsor accountable for the value",""),IF($O101&lt;&gt;"Y","State the success metric and the stop condition",IF($Q101&lt;&gt;"Y","Set the baseline the benefit will be measured against","")),IF($P101="","Assess data readiness and regulatory impact",IF($P101="partial","Close the known data gaps",IF($P101="ready","","Data is not available; reshape or park"))),IF($R101&lt;&gt;"",IF(OR(ISNUMBER(SEARCH("mrm",$R101)),ISNUMBER(SEARCH("model",$R101)),ISNUMBER(SEARCH("risk",$R101)),ISNUMBER(SEARCH("legal",$R101)),ISNUMBER(SEARCH("complian",$R101))),"Awaiting ","Held at the design gate: ")&amp;$R101,"Map the governance framework for its tier"),IF($L101="","Size the annual benefit",IF($N101="","Score it so it can be ranked against capacity","")),IF($R101&lt;&gt;"","Build held: "&amp;$R101,"In build, not yet through test"),IF($R101&lt;&gt;"","Not ready to scale: "&amp;$R101,"Monitoring and third-party review not yet signed off"),IF($Q101="Y","","Live without a measured baseline to judge it against")))</f>
        <v/>
      </c>
      <c r="AJ101" s="65" t="str">
        <f aca="false">IF($Y101="","",INDEX(StageForum,$Y101))</f>
        <v/>
      </c>
      <c r="AK101" s="65" t="str">
        <f aca="false">IF($Y101="","",IF(OR($X101="Delivery",$X101="Value"),"Committed",IF($N101&lt;&gt;"","Candidate","")))</f>
        <v/>
      </c>
      <c r="AL101" s="65" t="str">
        <f aca="false">IF($AK101&lt;&gt;"Candidate","",COUNTIFS($AK$2:$AK$501,"Candidate",$N$2:$N$501,"&gt;"&amp;$N101)+COUNTIFS($AK$2:$AK$501,"Candidate",$N$2:$N$501,$N101,$A$2:$A$501,"&lt;"&amp;$A101)+1)</f>
        <v/>
      </c>
      <c r="AM101" s="65" t="str">
        <f aca="false">IF($AL101="","",SUMIFS($M$2:$M$501,$AK$2:$AK$501,"Candidate",$AL$2:$AL$501,"&lt;="&amp;$AL101))</f>
        <v/>
      </c>
      <c r="AN101" s="65" t="str">
        <f aca="false">IF($AL101="","",IF($AM101&lt;=CapacityOpen,"Fits","Below line"))</f>
        <v/>
      </c>
      <c r="AO101" s="65" t="str">
        <f aca="false">IF($A101="","",IF($X101="Closed","",IF($X101="Unmapped","Warning",IF(OR($AB101="Overdue",$V101="Y",$AH101="Critical"),"Critical",IF(OR($AB101="At risk",$AC101="Stale",$AG101="Over"),"Warning","")))))</f>
        <v/>
      </c>
      <c r="AP101" s="65" t="str">
        <f aca="false">IF($AO101="","",IF($AO101="Critical",3000,2000)-IF($Z101="",0,$Z101)+ROW()/100000)</f>
        <v/>
      </c>
      <c r="AQ101" s="65" t="str">
        <f aca="false">IF($AO101="","",IF($X101="Unmapped","Status '"&amp;$C101&amp;"' is not in the Config map",IF($V101="Y","Flagged in Jira",IF($AB101="Overdue",-$Z101&amp;" days past its "&amp;$X101&amp;" target",IF($AH101="Critical",$AI101,IF($AB101="At risk","Target in "&amp;$Z101&amp;" days",IF($AC101="Stale","No update in "&amp;$AA101&amp;" days","Past its "&amp;$AE101&amp;"-day tier window")))))))</f>
        <v/>
      </c>
      <c r="AR101" s="65" t="str">
        <f aca="false">IF($AO101="","","draft Jira update for "&amp;$A101)</f>
        <v/>
      </c>
      <c r="AS101" s="65" t="str">
        <f aca="false">IF($A101="","",HYPERLINK(JiraSite&amp;"/browse/"&amp;$A101,"open"))</f>
        <v/>
      </c>
      <c r="AT101" s="65" t="str">
        <f aca="false">IF($Y101="","",$Y101*1000+ROW())</f>
        <v/>
      </c>
      <c r="AU101" s="65" t="str">
        <f aca="false">IF(AND($A101&lt;&gt;"",$G101&gt;=WeekStart),$G101+ROW()/100000,"")</f>
        <v/>
      </c>
      <c r="AV101" s="65" t="str">
        <f aca="false">IF($A101="","",IF(OR(AND($S101&lt;&gt;"",$S101&gt;=WeekStart),AND($U101&lt;&gt;"",$U101&gt;=WeekStart)),MAX($S101,$U101)+ROW()/100000,""))</f>
        <v/>
      </c>
      <c r="AW101" s="65" t="str">
        <f aca="false">IF($AV101="","",IF($T101&lt;&gt;"",$T101,IF($X101="Closed","Closed","Accepted to "&amp;$X101)))</f>
        <v/>
      </c>
      <c r="AX101" s="65" t="str">
        <f aca="false">IF(AND($Y101&lt;&gt;"",$R101&lt;&gt;""),$AF101+ROW()/100000,"")</f>
        <v/>
      </c>
      <c r="AY101" s="65" t="str">
        <f aca="false">IF(AND($Y101&lt;&gt;"",OR($AB101="Overdue",AND($AH101="Critical",$R101&lt;&gt;""))),$AF101+ROW()/100000,"")</f>
        <v/>
      </c>
      <c r="AZ101" s="65" t="str">
        <f aca="false">IF($AH101="Critical",$AF101+ROW()/100000,"")</f>
        <v/>
      </c>
    </row>
    <row r="102" customFormat="false" ht="15" hidden="false" customHeight="false" outlineLevel="0" collapsed="false">
      <c r="A102" s="28"/>
      <c r="B102" s="28"/>
      <c r="C102" s="28"/>
      <c r="D102" s="28"/>
      <c r="E102" s="28"/>
      <c r="F102" s="28"/>
      <c r="G102" s="63"/>
      <c r="H102" s="63"/>
      <c r="I102" s="63"/>
      <c r="J102" s="28"/>
      <c r="K102" s="28"/>
      <c r="L102" s="28"/>
      <c r="M102" s="28"/>
      <c r="N102" s="28"/>
      <c r="O102" s="64"/>
      <c r="P102" s="64"/>
      <c r="Q102" s="64"/>
      <c r="R102" s="28"/>
      <c r="S102" s="63"/>
      <c r="T102" s="64"/>
      <c r="U102" s="63"/>
      <c r="V102" s="64"/>
      <c r="W102" s="28"/>
      <c r="X102" s="65" t="str">
        <f aca="false">IF($A102="","",IF(OR($T102&lt;&gt;"",$U102&lt;&gt;""),"Closed",IFERROR(INDEX(MapStage,MATCH($C102,MapStatus,0)),"Unmapped")))</f>
        <v/>
      </c>
      <c r="Y102" s="65" t="str">
        <f aca="false">IF(OR($X102="",$X102="Closed",$X102="Unmapped"),"",MATCH($X102,StageName,0))</f>
        <v/>
      </c>
      <c r="Z102" s="65" t="str">
        <f aca="false">IF(OR($Y102="",$I102=""),"",$I102-AsOf)</f>
        <v/>
      </c>
      <c r="AA102" s="65" t="str">
        <f aca="false">IF($A102="","",AsOf-$H102)</f>
        <v/>
      </c>
      <c r="AB102" s="65" t="str">
        <f aca="false">IF($A102="","",IF($X102="Closed","Closed",IF($X102="Unmapped","Unmapped",IF($I102="","No target",IF($Z102&lt;0,"Overdue",IF($Z102&lt;=INDEX(StageWindow,$Y102),"At risk","On track"))))))</f>
        <v/>
      </c>
      <c r="AC102" s="65" t="str">
        <f aca="false">IF($Y102="","",IF($AA102&gt;2*INDEX(StageStale,$Y102),"Stale",IF($AA102&gt;INDEX(StageStale,$Y102),"Aging","Fresh")))</f>
        <v/>
      </c>
      <c r="AD102" s="65" t="str">
        <f aca="false">IF($A102="","",IF(OR(ISNUMBER(SEARCH("Reg report",$J102)),ISNUMBER(SEARCH("No human review",$J102)),COUNTIF(TierFuncs,$D102)&gt;0),"High",IF(OR(TRIM($J102)&lt;&gt;"",ISNUMBER(SEARCH("revenue",$K102))),"Medium","Low")))</f>
        <v/>
      </c>
      <c r="AE102" s="65" t="str">
        <f aca="false">IF($A102="","",INDEX(TierDays,MATCH($AD102,TierName,0)))</f>
        <v/>
      </c>
      <c r="AF102" s="65" t="str">
        <f aca="false">IF($A102="","",AsOf-$G102)</f>
        <v/>
      </c>
      <c r="AG102" s="65" t="str">
        <f aca="false">IF($Y102="","",IF($Y102&lt;=5,IF($AF102&gt;$AE102,"Over","Inside"),"Past approval"))</f>
        <v/>
      </c>
      <c r="AH102" s="65" t="str">
        <f aca="false">IF($Y102="","",CHOOSE($Y102,IF(OR(TRIM($F102)="",ISNUMBER(SEARCH("not named",$F102))),"Critical","Good"),IF($O102&lt;&gt;"Y","Critical",IF($Q102&lt;&gt;"Y","Warning","Good")),IF($P102="","Critical",IF($P102="partial","Warning",IF($P102="ready","Good","Critical"))),IF($R102&lt;&gt;"","Critical","Warning"),IF($L102="","Critical",IF($N102="","Warning","Good")),IF($R102&lt;&gt;"","Critical","Warning"),IF($R102&lt;&gt;"","Critical","Warning"),IF($Q102="Y","Good","Critical")))</f>
        <v/>
      </c>
      <c r="AI102" s="65" t="str">
        <f aca="false">IF($Y102="","",CHOOSE($Y102,IF(OR(TRIM($F102)="",ISNUMBER(SEARCH("not named",$F102))),"Name a sponsor accountable for the value",""),IF($O102&lt;&gt;"Y","State the success metric and the stop condition",IF($Q102&lt;&gt;"Y","Set the baseline the benefit will be measured against","")),IF($P102="","Assess data readiness and regulatory impact",IF($P102="partial","Close the known data gaps",IF($P102="ready","","Data is not available; reshape or park"))),IF($R102&lt;&gt;"",IF(OR(ISNUMBER(SEARCH("mrm",$R102)),ISNUMBER(SEARCH("model",$R102)),ISNUMBER(SEARCH("risk",$R102)),ISNUMBER(SEARCH("legal",$R102)),ISNUMBER(SEARCH("complian",$R102))),"Awaiting ","Held at the design gate: ")&amp;$R102,"Map the governance framework for its tier"),IF($L102="","Size the annual benefit",IF($N102="","Score it so it can be ranked against capacity","")),IF($R102&lt;&gt;"","Build held: "&amp;$R102,"In build, not yet through test"),IF($R102&lt;&gt;"","Not ready to scale: "&amp;$R102,"Monitoring and third-party review not yet signed off"),IF($Q102="Y","","Live without a measured baseline to judge it against")))</f>
        <v/>
      </c>
      <c r="AJ102" s="65" t="str">
        <f aca="false">IF($Y102="","",INDEX(StageForum,$Y102))</f>
        <v/>
      </c>
      <c r="AK102" s="65" t="str">
        <f aca="false">IF($Y102="","",IF(OR($X102="Delivery",$X102="Value"),"Committed",IF($N102&lt;&gt;"","Candidate","")))</f>
        <v/>
      </c>
      <c r="AL102" s="65" t="str">
        <f aca="false">IF($AK102&lt;&gt;"Candidate","",COUNTIFS($AK$2:$AK$501,"Candidate",$N$2:$N$501,"&gt;"&amp;$N102)+COUNTIFS($AK$2:$AK$501,"Candidate",$N$2:$N$501,$N102,$A$2:$A$501,"&lt;"&amp;$A102)+1)</f>
        <v/>
      </c>
      <c r="AM102" s="65" t="str">
        <f aca="false">IF($AL102="","",SUMIFS($M$2:$M$501,$AK$2:$AK$501,"Candidate",$AL$2:$AL$501,"&lt;="&amp;$AL102))</f>
        <v/>
      </c>
      <c r="AN102" s="65" t="str">
        <f aca="false">IF($AL102="","",IF($AM102&lt;=CapacityOpen,"Fits","Below line"))</f>
        <v/>
      </c>
      <c r="AO102" s="65" t="str">
        <f aca="false">IF($A102="","",IF($X102="Closed","",IF($X102="Unmapped","Warning",IF(OR($AB102="Overdue",$V102="Y",$AH102="Critical"),"Critical",IF(OR($AB102="At risk",$AC102="Stale",$AG102="Over"),"Warning","")))))</f>
        <v/>
      </c>
      <c r="AP102" s="65" t="str">
        <f aca="false">IF($AO102="","",IF($AO102="Critical",3000,2000)-IF($Z102="",0,$Z102)+ROW()/100000)</f>
        <v/>
      </c>
      <c r="AQ102" s="65" t="str">
        <f aca="false">IF($AO102="","",IF($X102="Unmapped","Status '"&amp;$C102&amp;"' is not in the Config map",IF($V102="Y","Flagged in Jira",IF($AB102="Overdue",-$Z102&amp;" days past its "&amp;$X102&amp;" target",IF($AH102="Critical",$AI102,IF($AB102="At risk","Target in "&amp;$Z102&amp;" days",IF($AC102="Stale","No update in "&amp;$AA102&amp;" days","Past its "&amp;$AE102&amp;"-day tier window")))))))</f>
        <v/>
      </c>
      <c r="AR102" s="65" t="str">
        <f aca="false">IF($AO102="","","draft Jira update for "&amp;$A102)</f>
        <v/>
      </c>
      <c r="AS102" s="65" t="str">
        <f aca="false">IF($A102="","",HYPERLINK(JiraSite&amp;"/browse/"&amp;$A102,"open"))</f>
        <v/>
      </c>
      <c r="AT102" s="65" t="str">
        <f aca="false">IF($Y102="","",$Y102*1000+ROW())</f>
        <v/>
      </c>
      <c r="AU102" s="65" t="str">
        <f aca="false">IF(AND($A102&lt;&gt;"",$G102&gt;=WeekStart),$G102+ROW()/100000,"")</f>
        <v/>
      </c>
      <c r="AV102" s="65" t="str">
        <f aca="false">IF($A102="","",IF(OR(AND($S102&lt;&gt;"",$S102&gt;=WeekStart),AND($U102&lt;&gt;"",$U102&gt;=WeekStart)),MAX($S102,$U102)+ROW()/100000,""))</f>
        <v/>
      </c>
      <c r="AW102" s="65" t="str">
        <f aca="false">IF($AV102="","",IF($T102&lt;&gt;"",$T102,IF($X102="Closed","Closed","Accepted to "&amp;$X102)))</f>
        <v/>
      </c>
      <c r="AX102" s="65" t="str">
        <f aca="false">IF(AND($Y102&lt;&gt;"",$R102&lt;&gt;""),$AF102+ROW()/100000,"")</f>
        <v/>
      </c>
      <c r="AY102" s="65" t="str">
        <f aca="false">IF(AND($Y102&lt;&gt;"",OR($AB102="Overdue",AND($AH102="Critical",$R102&lt;&gt;""))),$AF102+ROW()/100000,"")</f>
        <v/>
      </c>
      <c r="AZ102" s="65" t="str">
        <f aca="false">IF($AH102="Critical",$AF102+ROW()/100000,"")</f>
        <v/>
      </c>
    </row>
    <row r="103" customFormat="false" ht="15" hidden="false" customHeight="false" outlineLevel="0" collapsed="false">
      <c r="A103" s="28"/>
      <c r="B103" s="28"/>
      <c r="C103" s="28"/>
      <c r="D103" s="28"/>
      <c r="E103" s="28"/>
      <c r="F103" s="28"/>
      <c r="G103" s="63"/>
      <c r="H103" s="63"/>
      <c r="I103" s="63"/>
      <c r="J103" s="28"/>
      <c r="K103" s="28"/>
      <c r="L103" s="28"/>
      <c r="M103" s="28"/>
      <c r="N103" s="28"/>
      <c r="O103" s="64"/>
      <c r="P103" s="64"/>
      <c r="Q103" s="64"/>
      <c r="R103" s="28"/>
      <c r="S103" s="63"/>
      <c r="T103" s="64"/>
      <c r="U103" s="63"/>
      <c r="V103" s="64"/>
      <c r="W103" s="28"/>
      <c r="X103" s="65" t="str">
        <f aca="false">IF($A103="","",IF(OR($T103&lt;&gt;"",$U103&lt;&gt;""),"Closed",IFERROR(INDEX(MapStage,MATCH($C103,MapStatus,0)),"Unmapped")))</f>
        <v/>
      </c>
      <c r="Y103" s="65" t="str">
        <f aca="false">IF(OR($X103="",$X103="Closed",$X103="Unmapped"),"",MATCH($X103,StageName,0))</f>
        <v/>
      </c>
      <c r="Z103" s="65" t="str">
        <f aca="false">IF(OR($Y103="",$I103=""),"",$I103-AsOf)</f>
        <v/>
      </c>
      <c r="AA103" s="65" t="str">
        <f aca="false">IF($A103="","",AsOf-$H103)</f>
        <v/>
      </c>
      <c r="AB103" s="65" t="str">
        <f aca="false">IF($A103="","",IF($X103="Closed","Closed",IF($X103="Unmapped","Unmapped",IF($I103="","No target",IF($Z103&lt;0,"Overdue",IF($Z103&lt;=INDEX(StageWindow,$Y103),"At risk","On track"))))))</f>
        <v/>
      </c>
      <c r="AC103" s="65" t="str">
        <f aca="false">IF($Y103="","",IF($AA103&gt;2*INDEX(StageStale,$Y103),"Stale",IF($AA103&gt;INDEX(StageStale,$Y103),"Aging","Fresh")))</f>
        <v/>
      </c>
      <c r="AD103" s="65" t="str">
        <f aca="false">IF($A103="","",IF(OR(ISNUMBER(SEARCH("Reg report",$J103)),ISNUMBER(SEARCH("No human review",$J103)),COUNTIF(TierFuncs,$D103)&gt;0),"High",IF(OR(TRIM($J103)&lt;&gt;"",ISNUMBER(SEARCH("revenue",$K103))),"Medium","Low")))</f>
        <v/>
      </c>
      <c r="AE103" s="65" t="str">
        <f aca="false">IF($A103="","",INDEX(TierDays,MATCH($AD103,TierName,0)))</f>
        <v/>
      </c>
      <c r="AF103" s="65" t="str">
        <f aca="false">IF($A103="","",AsOf-$G103)</f>
        <v/>
      </c>
      <c r="AG103" s="65" t="str">
        <f aca="false">IF($Y103="","",IF($Y103&lt;=5,IF($AF103&gt;$AE103,"Over","Inside"),"Past approval"))</f>
        <v/>
      </c>
      <c r="AH103" s="65" t="str">
        <f aca="false">IF($Y103="","",CHOOSE($Y103,IF(OR(TRIM($F103)="",ISNUMBER(SEARCH("not named",$F103))),"Critical","Good"),IF($O103&lt;&gt;"Y","Critical",IF($Q103&lt;&gt;"Y","Warning","Good")),IF($P103="","Critical",IF($P103="partial","Warning",IF($P103="ready","Good","Critical"))),IF($R103&lt;&gt;"","Critical","Warning"),IF($L103="","Critical",IF($N103="","Warning","Good")),IF($R103&lt;&gt;"","Critical","Warning"),IF($R103&lt;&gt;"","Critical","Warning"),IF($Q103="Y","Good","Critical")))</f>
        <v/>
      </c>
      <c r="AI103" s="65" t="str">
        <f aca="false">IF($Y103="","",CHOOSE($Y103,IF(OR(TRIM($F103)="",ISNUMBER(SEARCH("not named",$F103))),"Name a sponsor accountable for the value",""),IF($O103&lt;&gt;"Y","State the success metric and the stop condition",IF($Q103&lt;&gt;"Y","Set the baseline the benefit will be measured against","")),IF($P103="","Assess data readiness and regulatory impact",IF($P103="partial","Close the known data gaps",IF($P103="ready","","Data is not available; reshape or park"))),IF($R103&lt;&gt;"",IF(OR(ISNUMBER(SEARCH("mrm",$R103)),ISNUMBER(SEARCH("model",$R103)),ISNUMBER(SEARCH("risk",$R103)),ISNUMBER(SEARCH("legal",$R103)),ISNUMBER(SEARCH("complian",$R103))),"Awaiting ","Held at the design gate: ")&amp;$R103,"Map the governance framework for its tier"),IF($L103="","Size the annual benefit",IF($N103="","Score it so it can be ranked against capacity","")),IF($R103&lt;&gt;"","Build held: "&amp;$R103,"In build, not yet through test"),IF($R103&lt;&gt;"","Not ready to scale: "&amp;$R103,"Monitoring and third-party review not yet signed off"),IF($Q103="Y","","Live without a measured baseline to judge it against")))</f>
        <v/>
      </c>
      <c r="AJ103" s="65" t="str">
        <f aca="false">IF($Y103="","",INDEX(StageForum,$Y103))</f>
        <v/>
      </c>
      <c r="AK103" s="65" t="str">
        <f aca="false">IF($Y103="","",IF(OR($X103="Delivery",$X103="Value"),"Committed",IF($N103&lt;&gt;"","Candidate","")))</f>
        <v/>
      </c>
      <c r="AL103" s="65" t="str">
        <f aca="false">IF($AK103&lt;&gt;"Candidate","",COUNTIFS($AK$2:$AK$501,"Candidate",$N$2:$N$501,"&gt;"&amp;$N103)+COUNTIFS($AK$2:$AK$501,"Candidate",$N$2:$N$501,$N103,$A$2:$A$501,"&lt;"&amp;$A103)+1)</f>
        <v/>
      </c>
      <c r="AM103" s="65" t="str">
        <f aca="false">IF($AL103="","",SUMIFS($M$2:$M$501,$AK$2:$AK$501,"Candidate",$AL$2:$AL$501,"&lt;="&amp;$AL103))</f>
        <v/>
      </c>
      <c r="AN103" s="65" t="str">
        <f aca="false">IF($AL103="","",IF($AM103&lt;=CapacityOpen,"Fits","Below line"))</f>
        <v/>
      </c>
      <c r="AO103" s="65" t="str">
        <f aca="false">IF($A103="","",IF($X103="Closed","",IF($X103="Unmapped","Warning",IF(OR($AB103="Overdue",$V103="Y",$AH103="Critical"),"Critical",IF(OR($AB103="At risk",$AC103="Stale",$AG103="Over"),"Warning","")))))</f>
        <v/>
      </c>
      <c r="AP103" s="65" t="str">
        <f aca="false">IF($AO103="","",IF($AO103="Critical",3000,2000)-IF($Z103="",0,$Z103)+ROW()/100000)</f>
        <v/>
      </c>
      <c r="AQ103" s="65" t="str">
        <f aca="false">IF($AO103="","",IF($X103="Unmapped","Status '"&amp;$C103&amp;"' is not in the Config map",IF($V103="Y","Flagged in Jira",IF($AB103="Overdue",-$Z103&amp;" days past its "&amp;$X103&amp;" target",IF($AH103="Critical",$AI103,IF($AB103="At risk","Target in "&amp;$Z103&amp;" days",IF($AC103="Stale","No update in "&amp;$AA103&amp;" days","Past its "&amp;$AE103&amp;"-day tier window")))))))</f>
        <v/>
      </c>
      <c r="AR103" s="65" t="str">
        <f aca="false">IF($AO103="","","draft Jira update for "&amp;$A103)</f>
        <v/>
      </c>
      <c r="AS103" s="65" t="str">
        <f aca="false">IF($A103="","",HYPERLINK(JiraSite&amp;"/browse/"&amp;$A103,"open"))</f>
        <v/>
      </c>
      <c r="AT103" s="65" t="str">
        <f aca="false">IF($Y103="","",$Y103*1000+ROW())</f>
        <v/>
      </c>
      <c r="AU103" s="65" t="str">
        <f aca="false">IF(AND($A103&lt;&gt;"",$G103&gt;=WeekStart),$G103+ROW()/100000,"")</f>
        <v/>
      </c>
      <c r="AV103" s="65" t="str">
        <f aca="false">IF($A103="","",IF(OR(AND($S103&lt;&gt;"",$S103&gt;=WeekStart),AND($U103&lt;&gt;"",$U103&gt;=WeekStart)),MAX($S103,$U103)+ROW()/100000,""))</f>
        <v/>
      </c>
      <c r="AW103" s="65" t="str">
        <f aca="false">IF($AV103="","",IF($T103&lt;&gt;"",$T103,IF($X103="Closed","Closed","Accepted to "&amp;$X103)))</f>
        <v/>
      </c>
      <c r="AX103" s="65" t="str">
        <f aca="false">IF(AND($Y103&lt;&gt;"",$R103&lt;&gt;""),$AF103+ROW()/100000,"")</f>
        <v/>
      </c>
      <c r="AY103" s="65" t="str">
        <f aca="false">IF(AND($Y103&lt;&gt;"",OR($AB103="Overdue",AND($AH103="Critical",$R103&lt;&gt;""))),$AF103+ROW()/100000,"")</f>
        <v/>
      </c>
      <c r="AZ103" s="65" t="str">
        <f aca="false">IF($AH103="Critical",$AF103+ROW()/100000,"")</f>
        <v/>
      </c>
    </row>
    <row r="104" customFormat="false" ht="15" hidden="false" customHeight="false" outlineLevel="0" collapsed="false">
      <c r="A104" s="28"/>
      <c r="B104" s="28"/>
      <c r="C104" s="28"/>
      <c r="D104" s="28"/>
      <c r="E104" s="28"/>
      <c r="F104" s="28"/>
      <c r="G104" s="63"/>
      <c r="H104" s="63"/>
      <c r="I104" s="63"/>
      <c r="J104" s="28"/>
      <c r="K104" s="28"/>
      <c r="L104" s="28"/>
      <c r="M104" s="28"/>
      <c r="N104" s="28"/>
      <c r="O104" s="64"/>
      <c r="P104" s="64"/>
      <c r="Q104" s="64"/>
      <c r="R104" s="28"/>
      <c r="S104" s="63"/>
      <c r="T104" s="64"/>
      <c r="U104" s="63"/>
      <c r="V104" s="64"/>
      <c r="W104" s="28"/>
      <c r="X104" s="65" t="str">
        <f aca="false">IF($A104="","",IF(OR($T104&lt;&gt;"",$U104&lt;&gt;""),"Closed",IFERROR(INDEX(MapStage,MATCH($C104,MapStatus,0)),"Unmapped")))</f>
        <v/>
      </c>
      <c r="Y104" s="65" t="str">
        <f aca="false">IF(OR($X104="",$X104="Closed",$X104="Unmapped"),"",MATCH($X104,StageName,0))</f>
        <v/>
      </c>
      <c r="Z104" s="65" t="str">
        <f aca="false">IF(OR($Y104="",$I104=""),"",$I104-AsOf)</f>
        <v/>
      </c>
      <c r="AA104" s="65" t="str">
        <f aca="false">IF($A104="","",AsOf-$H104)</f>
        <v/>
      </c>
      <c r="AB104" s="65" t="str">
        <f aca="false">IF($A104="","",IF($X104="Closed","Closed",IF($X104="Unmapped","Unmapped",IF($I104="","No target",IF($Z104&lt;0,"Overdue",IF($Z104&lt;=INDEX(StageWindow,$Y104),"At risk","On track"))))))</f>
        <v/>
      </c>
      <c r="AC104" s="65" t="str">
        <f aca="false">IF($Y104="","",IF($AA104&gt;2*INDEX(StageStale,$Y104),"Stale",IF($AA104&gt;INDEX(StageStale,$Y104),"Aging","Fresh")))</f>
        <v/>
      </c>
      <c r="AD104" s="65" t="str">
        <f aca="false">IF($A104="","",IF(OR(ISNUMBER(SEARCH("Reg report",$J104)),ISNUMBER(SEARCH("No human review",$J104)),COUNTIF(TierFuncs,$D104)&gt;0),"High",IF(OR(TRIM($J104)&lt;&gt;"",ISNUMBER(SEARCH("revenue",$K104))),"Medium","Low")))</f>
        <v/>
      </c>
      <c r="AE104" s="65" t="str">
        <f aca="false">IF($A104="","",INDEX(TierDays,MATCH($AD104,TierName,0)))</f>
        <v/>
      </c>
      <c r="AF104" s="65" t="str">
        <f aca="false">IF($A104="","",AsOf-$G104)</f>
        <v/>
      </c>
      <c r="AG104" s="65" t="str">
        <f aca="false">IF($Y104="","",IF($Y104&lt;=5,IF($AF104&gt;$AE104,"Over","Inside"),"Past approval"))</f>
        <v/>
      </c>
      <c r="AH104" s="65" t="str">
        <f aca="false">IF($Y104="","",CHOOSE($Y104,IF(OR(TRIM($F104)="",ISNUMBER(SEARCH("not named",$F104))),"Critical","Good"),IF($O104&lt;&gt;"Y","Critical",IF($Q104&lt;&gt;"Y","Warning","Good")),IF($P104="","Critical",IF($P104="partial","Warning",IF($P104="ready","Good","Critical"))),IF($R104&lt;&gt;"","Critical","Warning"),IF($L104="","Critical",IF($N104="","Warning","Good")),IF($R104&lt;&gt;"","Critical","Warning"),IF($R104&lt;&gt;"","Critical","Warning"),IF($Q104="Y","Good","Critical")))</f>
        <v/>
      </c>
      <c r="AI104" s="65" t="str">
        <f aca="false">IF($Y104="","",CHOOSE($Y104,IF(OR(TRIM($F104)="",ISNUMBER(SEARCH("not named",$F104))),"Name a sponsor accountable for the value",""),IF($O104&lt;&gt;"Y","State the success metric and the stop condition",IF($Q104&lt;&gt;"Y","Set the baseline the benefit will be measured against","")),IF($P104="","Assess data readiness and regulatory impact",IF($P104="partial","Close the known data gaps",IF($P104="ready","","Data is not available; reshape or park"))),IF($R104&lt;&gt;"",IF(OR(ISNUMBER(SEARCH("mrm",$R104)),ISNUMBER(SEARCH("model",$R104)),ISNUMBER(SEARCH("risk",$R104)),ISNUMBER(SEARCH("legal",$R104)),ISNUMBER(SEARCH("complian",$R104))),"Awaiting ","Held at the design gate: ")&amp;$R104,"Map the governance framework for its tier"),IF($L104="","Size the annual benefit",IF($N104="","Score it so it can be ranked against capacity","")),IF($R104&lt;&gt;"","Build held: "&amp;$R104,"In build, not yet through test"),IF($R104&lt;&gt;"","Not ready to scale: "&amp;$R104,"Monitoring and third-party review not yet signed off"),IF($Q104="Y","","Live without a measured baseline to judge it against")))</f>
        <v/>
      </c>
      <c r="AJ104" s="65" t="str">
        <f aca="false">IF($Y104="","",INDEX(StageForum,$Y104))</f>
        <v/>
      </c>
      <c r="AK104" s="65" t="str">
        <f aca="false">IF($Y104="","",IF(OR($X104="Delivery",$X104="Value"),"Committed",IF($N104&lt;&gt;"","Candidate","")))</f>
        <v/>
      </c>
      <c r="AL104" s="65" t="str">
        <f aca="false">IF($AK104&lt;&gt;"Candidate","",COUNTIFS($AK$2:$AK$501,"Candidate",$N$2:$N$501,"&gt;"&amp;$N104)+COUNTIFS($AK$2:$AK$501,"Candidate",$N$2:$N$501,$N104,$A$2:$A$501,"&lt;"&amp;$A104)+1)</f>
        <v/>
      </c>
      <c r="AM104" s="65" t="str">
        <f aca="false">IF($AL104="","",SUMIFS($M$2:$M$501,$AK$2:$AK$501,"Candidate",$AL$2:$AL$501,"&lt;="&amp;$AL104))</f>
        <v/>
      </c>
      <c r="AN104" s="65" t="str">
        <f aca="false">IF($AL104="","",IF($AM104&lt;=CapacityOpen,"Fits","Below line"))</f>
        <v/>
      </c>
      <c r="AO104" s="65" t="str">
        <f aca="false">IF($A104="","",IF($X104="Closed","",IF($X104="Unmapped","Warning",IF(OR($AB104="Overdue",$V104="Y",$AH104="Critical"),"Critical",IF(OR($AB104="At risk",$AC104="Stale",$AG104="Over"),"Warning","")))))</f>
        <v/>
      </c>
      <c r="AP104" s="65" t="str">
        <f aca="false">IF($AO104="","",IF($AO104="Critical",3000,2000)-IF($Z104="",0,$Z104)+ROW()/100000)</f>
        <v/>
      </c>
      <c r="AQ104" s="65" t="str">
        <f aca="false">IF($AO104="","",IF($X104="Unmapped","Status '"&amp;$C104&amp;"' is not in the Config map",IF($V104="Y","Flagged in Jira",IF($AB104="Overdue",-$Z104&amp;" days past its "&amp;$X104&amp;" target",IF($AH104="Critical",$AI104,IF($AB104="At risk","Target in "&amp;$Z104&amp;" days",IF($AC104="Stale","No update in "&amp;$AA104&amp;" days","Past its "&amp;$AE104&amp;"-day tier window")))))))</f>
        <v/>
      </c>
      <c r="AR104" s="65" t="str">
        <f aca="false">IF($AO104="","","draft Jira update for "&amp;$A104)</f>
        <v/>
      </c>
      <c r="AS104" s="65" t="str">
        <f aca="false">IF($A104="","",HYPERLINK(JiraSite&amp;"/browse/"&amp;$A104,"open"))</f>
        <v/>
      </c>
      <c r="AT104" s="65" t="str">
        <f aca="false">IF($Y104="","",$Y104*1000+ROW())</f>
        <v/>
      </c>
      <c r="AU104" s="65" t="str">
        <f aca="false">IF(AND($A104&lt;&gt;"",$G104&gt;=WeekStart),$G104+ROW()/100000,"")</f>
        <v/>
      </c>
      <c r="AV104" s="65" t="str">
        <f aca="false">IF($A104="","",IF(OR(AND($S104&lt;&gt;"",$S104&gt;=WeekStart),AND($U104&lt;&gt;"",$U104&gt;=WeekStart)),MAX($S104,$U104)+ROW()/100000,""))</f>
        <v/>
      </c>
      <c r="AW104" s="65" t="str">
        <f aca="false">IF($AV104="","",IF($T104&lt;&gt;"",$T104,IF($X104="Closed","Closed","Accepted to "&amp;$X104)))</f>
        <v/>
      </c>
      <c r="AX104" s="65" t="str">
        <f aca="false">IF(AND($Y104&lt;&gt;"",$R104&lt;&gt;""),$AF104+ROW()/100000,"")</f>
        <v/>
      </c>
      <c r="AY104" s="65" t="str">
        <f aca="false">IF(AND($Y104&lt;&gt;"",OR($AB104="Overdue",AND($AH104="Critical",$R104&lt;&gt;""))),$AF104+ROW()/100000,"")</f>
        <v/>
      </c>
      <c r="AZ104" s="65" t="str">
        <f aca="false">IF($AH104="Critical",$AF104+ROW()/100000,"")</f>
        <v/>
      </c>
    </row>
    <row r="105" customFormat="false" ht="15" hidden="false" customHeight="false" outlineLevel="0" collapsed="false">
      <c r="A105" s="28"/>
      <c r="B105" s="28"/>
      <c r="C105" s="28"/>
      <c r="D105" s="28"/>
      <c r="E105" s="28"/>
      <c r="F105" s="28"/>
      <c r="G105" s="63"/>
      <c r="H105" s="63"/>
      <c r="I105" s="63"/>
      <c r="J105" s="28"/>
      <c r="K105" s="28"/>
      <c r="L105" s="28"/>
      <c r="M105" s="28"/>
      <c r="N105" s="28"/>
      <c r="O105" s="64"/>
      <c r="P105" s="64"/>
      <c r="Q105" s="64"/>
      <c r="R105" s="28"/>
      <c r="S105" s="63"/>
      <c r="T105" s="64"/>
      <c r="U105" s="63"/>
      <c r="V105" s="64"/>
      <c r="W105" s="28"/>
      <c r="X105" s="65" t="str">
        <f aca="false">IF($A105="","",IF(OR($T105&lt;&gt;"",$U105&lt;&gt;""),"Closed",IFERROR(INDEX(MapStage,MATCH($C105,MapStatus,0)),"Unmapped")))</f>
        <v/>
      </c>
      <c r="Y105" s="65" t="str">
        <f aca="false">IF(OR($X105="",$X105="Closed",$X105="Unmapped"),"",MATCH($X105,StageName,0))</f>
        <v/>
      </c>
      <c r="Z105" s="65" t="str">
        <f aca="false">IF(OR($Y105="",$I105=""),"",$I105-AsOf)</f>
        <v/>
      </c>
      <c r="AA105" s="65" t="str">
        <f aca="false">IF($A105="","",AsOf-$H105)</f>
        <v/>
      </c>
      <c r="AB105" s="65" t="str">
        <f aca="false">IF($A105="","",IF($X105="Closed","Closed",IF($X105="Unmapped","Unmapped",IF($I105="","No target",IF($Z105&lt;0,"Overdue",IF($Z105&lt;=INDEX(StageWindow,$Y105),"At risk","On track"))))))</f>
        <v/>
      </c>
      <c r="AC105" s="65" t="str">
        <f aca="false">IF($Y105="","",IF($AA105&gt;2*INDEX(StageStale,$Y105),"Stale",IF($AA105&gt;INDEX(StageStale,$Y105),"Aging","Fresh")))</f>
        <v/>
      </c>
      <c r="AD105" s="65" t="str">
        <f aca="false">IF($A105="","",IF(OR(ISNUMBER(SEARCH("Reg report",$J105)),ISNUMBER(SEARCH("No human review",$J105)),COUNTIF(TierFuncs,$D105)&gt;0),"High",IF(OR(TRIM($J105)&lt;&gt;"",ISNUMBER(SEARCH("revenue",$K105))),"Medium","Low")))</f>
        <v/>
      </c>
      <c r="AE105" s="65" t="str">
        <f aca="false">IF($A105="","",INDEX(TierDays,MATCH($AD105,TierName,0)))</f>
        <v/>
      </c>
      <c r="AF105" s="65" t="str">
        <f aca="false">IF($A105="","",AsOf-$G105)</f>
        <v/>
      </c>
      <c r="AG105" s="65" t="str">
        <f aca="false">IF($Y105="","",IF($Y105&lt;=5,IF($AF105&gt;$AE105,"Over","Inside"),"Past approval"))</f>
        <v/>
      </c>
      <c r="AH105" s="65" t="str">
        <f aca="false">IF($Y105="","",CHOOSE($Y105,IF(OR(TRIM($F105)="",ISNUMBER(SEARCH("not named",$F105))),"Critical","Good"),IF($O105&lt;&gt;"Y","Critical",IF($Q105&lt;&gt;"Y","Warning","Good")),IF($P105="","Critical",IF($P105="partial","Warning",IF($P105="ready","Good","Critical"))),IF($R105&lt;&gt;"","Critical","Warning"),IF($L105="","Critical",IF($N105="","Warning","Good")),IF($R105&lt;&gt;"","Critical","Warning"),IF($R105&lt;&gt;"","Critical","Warning"),IF($Q105="Y","Good","Critical")))</f>
        <v/>
      </c>
      <c r="AI105" s="65" t="str">
        <f aca="false">IF($Y105="","",CHOOSE($Y105,IF(OR(TRIM($F105)="",ISNUMBER(SEARCH("not named",$F105))),"Name a sponsor accountable for the value",""),IF($O105&lt;&gt;"Y","State the success metric and the stop condition",IF($Q105&lt;&gt;"Y","Set the baseline the benefit will be measured against","")),IF($P105="","Assess data readiness and regulatory impact",IF($P105="partial","Close the known data gaps",IF($P105="ready","","Data is not available; reshape or park"))),IF($R105&lt;&gt;"",IF(OR(ISNUMBER(SEARCH("mrm",$R105)),ISNUMBER(SEARCH("model",$R105)),ISNUMBER(SEARCH("risk",$R105)),ISNUMBER(SEARCH("legal",$R105)),ISNUMBER(SEARCH("complian",$R105))),"Awaiting ","Held at the design gate: ")&amp;$R105,"Map the governance framework for its tier"),IF($L105="","Size the annual benefit",IF($N105="","Score it so it can be ranked against capacity","")),IF($R105&lt;&gt;"","Build held: "&amp;$R105,"In build, not yet through test"),IF($R105&lt;&gt;"","Not ready to scale: "&amp;$R105,"Monitoring and third-party review not yet signed off"),IF($Q105="Y","","Live without a measured baseline to judge it against")))</f>
        <v/>
      </c>
      <c r="AJ105" s="65" t="str">
        <f aca="false">IF($Y105="","",INDEX(StageForum,$Y105))</f>
        <v/>
      </c>
      <c r="AK105" s="65" t="str">
        <f aca="false">IF($Y105="","",IF(OR($X105="Delivery",$X105="Value"),"Committed",IF($N105&lt;&gt;"","Candidate","")))</f>
        <v/>
      </c>
      <c r="AL105" s="65" t="str">
        <f aca="false">IF($AK105&lt;&gt;"Candidate","",COUNTIFS($AK$2:$AK$501,"Candidate",$N$2:$N$501,"&gt;"&amp;$N105)+COUNTIFS($AK$2:$AK$501,"Candidate",$N$2:$N$501,$N105,$A$2:$A$501,"&lt;"&amp;$A105)+1)</f>
        <v/>
      </c>
      <c r="AM105" s="65" t="str">
        <f aca="false">IF($AL105="","",SUMIFS($M$2:$M$501,$AK$2:$AK$501,"Candidate",$AL$2:$AL$501,"&lt;="&amp;$AL105))</f>
        <v/>
      </c>
      <c r="AN105" s="65" t="str">
        <f aca="false">IF($AL105="","",IF($AM105&lt;=CapacityOpen,"Fits","Below line"))</f>
        <v/>
      </c>
      <c r="AO105" s="65" t="str">
        <f aca="false">IF($A105="","",IF($X105="Closed","",IF($X105="Unmapped","Warning",IF(OR($AB105="Overdue",$V105="Y",$AH105="Critical"),"Critical",IF(OR($AB105="At risk",$AC105="Stale",$AG105="Over"),"Warning","")))))</f>
        <v/>
      </c>
      <c r="AP105" s="65" t="str">
        <f aca="false">IF($AO105="","",IF($AO105="Critical",3000,2000)-IF($Z105="",0,$Z105)+ROW()/100000)</f>
        <v/>
      </c>
      <c r="AQ105" s="65" t="str">
        <f aca="false">IF($AO105="","",IF($X105="Unmapped","Status '"&amp;$C105&amp;"' is not in the Config map",IF($V105="Y","Flagged in Jira",IF($AB105="Overdue",-$Z105&amp;" days past its "&amp;$X105&amp;" target",IF($AH105="Critical",$AI105,IF($AB105="At risk","Target in "&amp;$Z105&amp;" days",IF($AC105="Stale","No update in "&amp;$AA105&amp;" days","Past its "&amp;$AE105&amp;"-day tier window")))))))</f>
        <v/>
      </c>
      <c r="AR105" s="65" t="str">
        <f aca="false">IF($AO105="","","draft Jira update for "&amp;$A105)</f>
        <v/>
      </c>
      <c r="AS105" s="65" t="str">
        <f aca="false">IF($A105="","",HYPERLINK(JiraSite&amp;"/browse/"&amp;$A105,"open"))</f>
        <v/>
      </c>
      <c r="AT105" s="65" t="str">
        <f aca="false">IF($Y105="","",$Y105*1000+ROW())</f>
        <v/>
      </c>
      <c r="AU105" s="65" t="str">
        <f aca="false">IF(AND($A105&lt;&gt;"",$G105&gt;=WeekStart),$G105+ROW()/100000,"")</f>
        <v/>
      </c>
      <c r="AV105" s="65" t="str">
        <f aca="false">IF($A105="","",IF(OR(AND($S105&lt;&gt;"",$S105&gt;=WeekStart),AND($U105&lt;&gt;"",$U105&gt;=WeekStart)),MAX($S105,$U105)+ROW()/100000,""))</f>
        <v/>
      </c>
      <c r="AW105" s="65" t="str">
        <f aca="false">IF($AV105="","",IF($T105&lt;&gt;"",$T105,IF($X105="Closed","Closed","Accepted to "&amp;$X105)))</f>
        <v/>
      </c>
      <c r="AX105" s="65" t="str">
        <f aca="false">IF(AND($Y105&lt;&gt;"",$R105&lt;&gt;""),$AF105+ROW()/100000,"")</f>
        <v/>
      </c>
      <c r="AY105" s="65" t="str">
        <f aca="false">IF(AND($Y105&lt;&gt;"",OR($AB105="Overdue",AND($AH105="Critical",$R105&lt;&gt;""))),$AF105+ROW()/100000,"")</f>
        <v/>
      </c>
      <c r="AZ105" s="65" t="str">
        <f aca="false">IF($AH105="Critical",$AF105+ROW()/100000,"")</f>
        <v/>
      </c>
    </row>
    <row r="106" customFormat="false" ht="15" hidden="false" customHeight="false" outlineLevel="0" collapsed="false">
      <c r="A106" s="28"/>
      <c r="B106" s="28"/>
      <c r="C106" s="28"/>
      <c r="D106" s="28"/>
      <c r="E106" s="28"/>
      <c r="F106" s="28"/>
      <c r="G106" s="63"/>
      <c r="H106" s="63"/>
      <c r="I106" s="63"/>
      <c r="J106" s="28"/>
      <c r="K106" s="28"/>
      <c r="L106" s="28"/>
      <c r="M106" s="28"/>
      <c r="N106" s="28"/>
      <c r="O106" s="64"/>
      <c r="P106" s="64"/>
      <c r="Q106" s="64"/>
      <c r="R106" s="28"/>
      <c r="S106" s="63"/>
      <c r="T106" s="64"/>
      <c r="U106" s="63"/>
      <c r="V106" s="64"/>
      <c r="W106" s="28"/>
      <c r="X106" s="65" t="str">
        <f aca="false">IF($A106="","",IF(OR($T106&lt;&gt;"",$U106&lt;&gt;""),"Closed",IFERROR(INDEX(MapStage,MATCH($C106,MapStatus,0)),"Unmapped")))</f>
        <v/>
      </c>
      <c r="Y106" s="65" t="str">
        <f aca="false">IF(OR($X106="",$X106="Closed",$X106="Unmapped"),"",MATCH($X106,StageName,0))</f>
        <v/>
      </c>
      <c r="Z106" s="65" t="str">
        <f aca="false">IF(OR($Y106="",$I106=""),"",$I106-AsOf)</f>
        <v/>
      </c>
      <c r="AA106" s="65" t="str">
        <f aca="false">IF($A106="","",AsOf-$H106)</f>
        <v/>
      </c>
      <c r="AB106" s="65" t="str">
        <f aca="false">IF($A106="","",IF($X106="Closed","Closed",IF($X106="Unmapped","Unmapped",IF($I106="","No target",IF($Z106&lt;0,"Overdue",IF($Z106&lt;=INDEX(StageWindow,$Y106),"At risk","On track"))))))</f>
        <v/>
      </c>
      <c r="AC106" s="65" t="str">
        <f aca="false">IF($Y106="","",IF($AA106&gt;2*INDEX(StageStale,$Y106),"Stale",IF($AA106&gt;INDEX(StageStale,$Y106),"Aging","Fresh")))</f>
        <v/>
      </c>
      <c r="AD106" s="65" t="str">
        <f aca="false">IF($A106="","",IF(OR(ISNUMBER(SEARCH("Reg report",$J106)),ISNUMBER(SEARCH("No human review",$J106)),COUNTIF(TierFuncs,$D106)&gt;0),"High",IF(OR(TRIM($J106)&lt;&gt;"",ISNUMBER(SEARCH("revenue",$K106))),"Medium","Low")))</f>
        <v/>
      </c>
      <c r="AE106" s="65" t="str">
        <f aca="false">IF($A106="","",INDEX(TierDays,MATCH($AD106,TierName,0)))</f>
        <v/>
      </c>
      <c r="AF106" s="65" t="str">
        <f aca="false">IF($A106="","",AsOf-$G106)</f>
        <v/>
      </c>
      <c r="AG106" s="65" t="str">
        <f aca="false">IF($Y106="","",IF($Y106&lt;=5,IF($AF106&gt;$AE106,"Over","Inside"),"Past approval"))</f>
        <v/>
      </c>
      <c r="AH106" s="65" t="str">
        <f aca="false">IF($Y106="","",CHOOSE($Y106,IF(OR(TRIM($F106)="",ISNUMBER(SEARCH("not named",$F106))),"Critical","Good"),IF($O106&lt;&gt;"Y","Critical",IF($Q106&lt;&gt;"Y","Warning","Good")),IF($P106="","Critical",IF($P106="partial","Warning",IF($P106="ready","Good","Critical"))),IF($R106&lt;&gt;"","Critical","Warning"),IF($L106="","Critical",IF($N106="","Warning","Good")),IF($R106&lt;&gt;"","Critical","Warning"),IF($R106&lt;&gt;"","Critical","Warning"),IF($Q106="Y","Good","Critical")))</f>
        <v/>
      </c>
      <c r="AI106" s="65" t="str">
        <f aca="false">IF($Y106="","",CHOOSE($Y106,IF(OR(TRIM($F106)="",ISNUMBER(SEARCH("not named",$F106))),"Name a sponsor accountable for the value",""),IF($O106&lt;&gt;"Y","State the success metric and the stop condition",IF($Q106&lt;&gt;"Y","Set the baseline the benefit will be measured against","")),IF($P106="","Assess data readiness and regulatory impact",IF($P106="partial","Close the known data gaps",IF($P106="ready","","Data is not available; reshape or park"))),IF($R106&lt;&gt;"",IF(OR(ISNUMBER(SEARCH("mrm",$R106)),ISNUMBER(SEARCH("model",$R106)),ISNUMBER(SEARCH("risk",$R106)),ISNUMBER(SEARCH("legal",$R106)),ISNUMBER(SEARCH("complian",$R106))),"Awaiting ","Held at the design gate: ")&amp;$R106,"Map the governance framework for its tier"),IF($L106="","Size the annual benefit",IF($N106="","Score it so it can be ranked against capacity","")),IF($R106&lt;&gt;"","Build held: "&amp;$R106,"In build, not yet through test"),IF($R106&lt;&gt;"","Not ready to scale: "&amp;$R106,"Monitoring and third-party review not yet signed off"),IF($Q106="Y","","Live without a measured baseline to judge it against")))</f>
        <v/>
      </c>
      <c r="AJ106" s="65" t="str">
        <f aca="false">IF($Y106="","",INDEX(StageForum,$Y106))</f>
        <v/>
      </c>
      <c r="AK106" s="65" t="str">
        <f aca="false">IF($Y106="","",IF(OR($X106="Delivery",$X106="Value"),"Committed",IF($N106&lt;&gt;"","Candidate","")))</f>
        <v/>
      </c>
      <c r="AL106" s="65" t="str">
        <f aca="false">IF($AK106&lt;&gt;"Candidate","",COUNTIFS($AK$2:$AK$501,"Candidate",$N$2:$N$501,"&gt;"&amp;$N106)+COUNTIFS($AK$2:$AK$501,"Candidate",$N$2:$N$501,$N106,$A$2:$A$501,"&lt;"&amp;$A106)+1)</f>
        <v/>
      </c>
      <c r="AM106" s="65" t="str">
        <f aca="false">IF($AL106="","",SUMIFS($M$2:$M$501,$AK$2:$AK$501,"Candidate",$AL$2:$AL$501,"&lt;="&amp;$AL106))</f>
        <v/>
      </c>
      <c r="AN106" s="65" t="str">
        <f aca="false">IF($AL106="","",IF($AM106&lt;=CapacityOpen,"Fits","Below line"))</f>
        <v/>
      </c>
      <c r="AO106" s="65" t="str">
        <f aca="false">IF($A106="","",IF($X106="Closed","",IF($X106="Unmapped","Warning",IF(OR($AB106="Overdue",$V106="Y",$AH106="Critical"),"Critical",IF(OR($AB106="At risk",$AC106="Stale",$AG106="Over"),"Warning","")))))</f>
        <v/>
      </c>
      <c r="AP106" s="65" t="str">
        <f aca="false">IF($AO106="","",IF($AO106="Critical",3000,2000)-IF($Z106="",0,$Z106)+ROW()/100000)</f>
        <v/>
      </c>
      <c r="AQ106" s="65" t="str">
        <f aca="false">IF($AO106="","",IF($X106="Unmapped","Status '"&amp;$C106&amp;"' is not in the Config map",IF($V106="Y","Flagged in Jira",IF($AB106="Overdue",-$Z106&amp;" days past its "&amp;$X106&amp;" target",IF($AH106="Critical",$AI106,IF($AB106="At risk","Target in "&amp;$Z106&amp;" days",IF($AC106="Stale","No update in "&amp;$AA106&amp;" days","Past its "&amp;$AE106&amp;"-day tier window")))))))</f>
        <v/>
      </c>
      <c r="AR106" s="65" t="str">
        <f aca="false">IF($AO106="","","draft Jira update for "&amp;$A106)</f>
        <v/>
      </c>
      <c r="AS106" s="65" t="str">
        <f aca="false">IF($A106="","",HYPERLINK(JiraSite&amp;"/browse/"&amp;$A106,"open"))</f>
        <v/>
      </c>
      <c r="AT106" s="65" t="str">
        <f aca="false">IF($Y106="","",$Y106*1000+ROW())</f>
        <v/>
      </c>
      <c r="AU106" s="65" t="str">
        <f aca="false">IF(AND($A106&lt;&gt;"",$G106&gt;=WeekStart),$G106+ROW()/100000,"")</f>
        <v/>
      </c>
      <c r="AV106" s="65" t="str">
        <f aca="false">IF($A106="","",IF(OR(AND($S106&lt;&gt;"",$S106&gt;=WeekStart),AND($U106&lt;&gt;"",$U106&gt;=WeekStart)),MAX($S106,$U106)+ROW()/100000,""))</f>
        <v/>
      </c>
      <c r="AW106" s="65" t="str">
        <f aca="false">IF($AV106="","",IF($T106&lt;&gt;"",$T106,IF($X106="Closed","Closed","Accepted to "&amp;$X106)))</f>
        <v/>
      </c>
      <c r="AX106" s="65" t="str">
        <f aca="false">IF(AND($Y106&lt;&gt;"",$R106&lt;&gt;""),$AF106+ROW()/100000,"")</f>
        <v/>
      </c>
      <c r="AY106" s="65" t="str">
        <f aca="false">IF(AND($Y106&lt;&gt;"",OR($AB106="Overdue",AND($AH106="Critical",$R106&lt;&gt;""))),$AF106+ROW()/100000,"")</f>
        <v/>
      </c>
      <c r="AZ106" s="65" t="str">
        <f aca="false">IF($AH106="Critical",$AF106+ROW()/100000,"")</f>
        <v/>
      </c>
    </row>
    <row r="107" customFormat="false" ht="15" hidden="false" customHeight="false" outlineLevel="0" collapsed="false">
      <c r="A107" s="28"/>
      <c r="B107" s="28"/>
      <c r="C107" s="28"/>
      <c r="D107" s="28"/>
      <c r="E107" s="28"/>
      <c r="F107" s="28"/>
      <c r="G107" s="63"/>
      <c r="H107" s="63"/>
      <c r="I107" s="63"/>
      <c r="J107" s="28"/>
      <c r="K107" s="28"/>
      <c r="L107" s="28"/>
      <c r="M107" s="28"/>
      <c r="N107" s="28"/>
      <c r="O107" s="64"/>
      <c r="P107" s="64"/>
      <c r="Q107" s="64"/>
      <c r="R107" s="28"/>
      <c r="S107" s="63"/>
      <c r="T107" s="64"/>
      <c r="U107" s="63"/>
      <c r="V107" s="64"/>
      <c r="W107" s="28"/>
      <c r="X107" s="65" t="str">
        <f aca="false">IF($A107="","",IF(OR($T107&lt;&gt;"",$U107&lt;&gt;""),"Closed",IFERROR(INDEX(MapStage,MATCH($C107,MapStatus,0)),"Unmapped")))</f>
        <v/>
      </c>
      <c r="Y107" s="65" t="str">
        <f aca="false">IF(OR($X107="",$X107="Closed",$X107="Unmapped"),"",MATCH($X107,StageName,0))</f>
        <v/>
      </c>
      <c r="Z107" s="65" t="str">
        <f aca="false">IF(OR($Y107="",$I107=""),"",$I107-AsOf)</f>
        <v/>
      </c>
      <c r="AA107" s="65" t="str">
        <f aca="false">IF($A107="","",AsOf-$H107)</f>
        <v/>
      </c>
      <c r="AB107" s="65" t="str">
        <f aca="false">IF($A107="","",IF($X107="Closed","Closed",IF($X107="Unmapped","Unmapped",IF($I107="","No target",IF($Z107&lt;0,"Overdue",IF($Z107&lt;=INDEX(StageWindow,$Y107),"At risk","On track"))))))</f>
        <v/>
      </c>
      <c r="AC107" s="65" t="str">
        <f aca="false">IF($Y107="","",IF($AA107&gt;2*INDEX(StageStale,$Y107),"Stale",IF($AA107&gt;INDEX(StageStale,$Y107),"Aging","Fresh")))</f>
        <v/>
      </c>
      <c r="AD107" s="65" t="str">
        <f aca="false">IF($A107="","",IF(OR(ISNUMBER(SEARCH("Reg report",$J107)),ISNUMBER(SEARCH("No human review",$J107)),COUNTIF(TierFuncs,$D107)&gt;0),"High",IF(OR(TRIM($J107)&lt;&gt;"",ISNUMBER(SEARCH("revenue",$K107))),"Medium","Low")))</f>
        <v/>
      </c>
      <c r="AE107" s="65" t="str">
        <f aca="false">IF($A107="","",INDEX(TierDays,MATCH($AD107,TierName,0)))</f>
        <v/>
      </c>
      <c r="AF107" s="65" t="str">
        <f aca="false">IF($A107="","",AsOf-$G107)</f>
        <v/>
      </c>
      <c r="AG107" s="65" t="str">
        <f aca="false">IF($Y107="","",IF($Y107&lt;=5,IF($AF107&gt;$AE107,"Over","Inside"),"Past approval"))</f>
        <v/>
      </c>
      <c r="AH107" s="65" t="str">
        <f aca="false">IF($Y107="","",CHOOSE($Y107,IF(OR(TRIM($F107)="",ISNUMBER(SEARCH("not named",$F107))),"Critical","Good"),IF($O107&lt;&gt;"Y","Critical",IF($Q107&lt;&gt;"Y","Warning","Good")),IF($P107="","Critical",IF($P107="partial","Warning",IF($P107="ready","Good","Critical"))),IF($R107&lt;&gt;"","Critical","Warning"),IF($L107="","Critical",IF($N107="","Warning","Good")),IF($R107&lt;&gt;"","Critical","Warning"),IF($R107&lt;&gt;"","Critical","Warning"),IF($Q107="Y","Good","Critical")))</f>
        <v/>
      </c>
      <c r="AI107" s="65" t="str">
        <f aca="false">IF($Y107="","",CHOOSE($Y107,IF(OR(TRIM($F107)="",ISNUMBER(SEARCH("not named",$F107))),"Name a sponsor accountable for the value",""),IF($O107&lt;&gt;"Y","State the success metric and the stop condition",IF($Q107&lt;&gt;"Y","Set the baseline the benefit will be measured against","")),IF($P107="","Assess data readiness and regulatory impact",IF($P107="partial","Close the known data gaps",IF($P107="ready","","Data is not available; reshape or park"))),IF($R107&lt;&gt;"",IF(OR(ISNUMBER(SEARCH("mrm",$R107)),ISNUMBER(SEARCH("model",$R107)),ISNUMBER(SEARCH("risk",$R107)),ISNUMBER(SEARCH("legal",$R107)),ISNUMBER(SEARCH("complian",$R107))),"Awaiting ","Held at the design gate: ")&amp;$R107,"Map the governance framework for its tier"),IF($L107="","Size the annual benefit",IF($N107="","Score it so it can be ranked against capacity","")),IF($R107&lt;&gt;"","Build held: "&amp;$R107,"In build, not yet through test"),IF($R107&lt;&gt;"","Not ready to scale: "&amp;$R107,"Monitoring and third-party review not yet signed off"),IF($Q107="Y","","Live without a measured baseline to judge it against")))</f>
        <v/>
      </c>
      <c r="AJ107" s="65" t="str">
        <f aca="false">IF($Y107="","",INDEX(StageForum,$Y107))</f>
        <v/>
      </c>
      <c r="AK107" s="65" t="str">
        <f aca="false">IF($Y107="","",IF(OR($X107="Delivery",$X107="Value"),"Committed",IF($N107&lt;&gt;"","Candidate","")))</f>
        <v/>
      </c>
      <c r="AL107" s="65" t="str">
        <f aca="false">IF($AK107&lt;&gt;"Candidate","",COUNTIFS($AK$2:$AK$501,"Candidate",$N$2:$N$501,"&gt;"&amp;$N107)+COUNTIFS($AK$2:$AK$501,"Candidate",$N$2:$N$501,$N107,$A$2:$A$501,"&lt;"&amp;$A107)+1)</f>
        <v/>
      </c>
      <c r="AM107" s="65" t="str">
        <f aca="false">IF($AL107="","",SUMIFS($M$2:$M$501,$AK$2:$AK$501,"Candidate",$AL$2:$AL$501,"&lt;="&amp;$AL107))</f>
        <v/>
      </c>
      <c r="AN107" s="65" t="str">
        <f aca="false">IF($AL107="","",IF($AM107&lt;=CapacityOpen,"Fits","Below line"))</f>
        <v/>
      </c>
      <c r="AO107" s="65" t="str">
        <f aca="false">IF($A107="","",IF($X107="Closed","",IF($X107="Unmapped","Warning",IF(OR($AB107="Overdue",$V107="Y",$AH107="Critical"),"Critical",IF(OR($AB107="At risk",$AC107="Stale",$AG107="Over"),"Warning","")))))</f>
        <v/>
      </c>
      <c r="AP107" s="65" t="str">
        <f aca="false">IF($AO107="","",IF($AO107="Critical",3000,2000)-IF($Z107="",0,$Z107)+ROW()/100000)</f>
        <v/>
      </c>
      <c r="AQ107" s="65" t="str">
        <f aca="false">IF($AO107="","",IF($X107="Unmapped","Status '"&amp;$C107&amp;"' is not in the Config map",IF($V107="Y","Flagged in Jira",IF($AB107="Overdue",-$Z107&amp;" days past its "&amp;$X107&amp;" target",IF($AH107="Critical",$AI107,IF($AB107="At risk","Target in "&amp;$Z107&amp;" days",IF($AC107="Stale","No update in "&amp;$AA107&amp;" days","Past its "&amp;$AE107&amp;"-day tier window")))))))</f>
        <v/>
      </c>
      <c r="AR107" s="65" t="str">
        <f aca="false">IF($AO107="","","draft Jira update for "&amp;$A107)</f>
        <v/>
      </c>
      <c r="AS107" s="65" t="str">
        <f aca="false">IF($A107="","",HYPERLINK(JiraSite&amp;"/browse/"&amp;$A107,"open"))</f>
        <v/>
      </c>
      <c r="AT107" s="65" t="str">
        <f aca="false">IF($Y107="","",$Y107*1000+ROW())</f>
        <v/>
      </c>
      <c r="AU107" s="65" t="str">
        <f aca="false">IF(AND($A107&lt;&gt;"",$G107&gt;=WeekStart),$G107+ROW()/100000,"")</f>
        <v/>
      </c>
      <c r="AV107" s="65" t="str">
        <f aca="false">IF($A107="","",IF(OR(AND($S107&lt;&gt;"",$S107&gt;=WeekStart),AND($U107&lt;&gt;"",$U107&gt;=WeekStart)),MAX($S107,$U107)+ROW()/100000,""))</f>
        <v/>
      </c>
      <c r="AW107" s="65" t="str">
        <f aca="false">IF($AV107="","",IF($T107&lt;&gt;"",$T107,IF($X107="Closed","Closed","Accepted to "&amp;$X107)))</f>
        <v/>
      </c>
      <c r="AX107" s="65" t="str">
        <f aca="false">IF(AND($Y107&lt;&gt;"",$R107&lt;&gt;""),$AF107+ROW()/100000,"")</f>
        <v/>
      </c>
      <c r="AY107" s="65" t="str">
        <f aca="false">IF(AND($Y107&lt;&gt;"",OR($AB107="Overdue",AND($AH107="Critical",$R107&lt;&gt;""))),$AF107+ROW()/100000,"")</f>
        <v/>
      </c>
      <c r="AZ107" s="65" t="str">
        <f aca="false">IF($AH107="Critical",$AF107+ROW()/100000,"")</f>
        <v/>
      </c>
    </row>
    <row r="108" customFormat="false" ht="15" hidden="false" customHeight="false" outlineLevel="0" collapsed="false">
      <c r="A108" s="28"/>
      <c r="B108" s="28"/>
      <c r="C108" s="28"/>
      <c r="D108" s="28"/>
      <c r="E108" s="28"/>
      <c r="F108" s="28"/>
      <c r="G108" s="63"/>
      <c r="H108" s="63"/>
      <c r="I108" s="63"/>
      <c r="J108" s="28"/>
      <c r="K108" s="28"/>
      <c r="L108" s="28"/>
      <c r="M108" s="28"/>
      <c r="N108" s="28"/>
      <c r="O108" s="64"/>
      <c r="P108" s="64"/>
      <c r="Q108" s="64"/>
      <c r="R108" s="28"/>
      <c r="S108" s="63"/>
      <c r="T108" s="64"/>
      <c r="U108" s="63"/>
      <c r="V108" s="64"/>
      <c r="W108" s="28"/>
      <c r="X108" s="65" t="str">
        <f aca="false">IF($A108="","",IF(OR($T108&lt;&gt;"",$U108&lt;&gt;""),"Closed",IFERROR(INDEX(MapStage,MATCH($C108,MapStatus,0)),"Unmapped")))</f>
        <v/>
      </c>
      <c r="Y108" s="65" t="str">
        <f aca="false">IF(OR($X108="",$X108="Closed",$X108="Unmapped"),"",MATCH($X108,StageName,0))</f>
        <v/>
      </c>
      <c r="Z108" s="65" t="str">
        <f aca="false">IF(OR($Y108="",$I108=""),"",$I108-AsOf)</f>
        <v/>
      </c>
      <c r="AA108" s="65" t="str">
        <f aca="false">IF($A108="","",AsOf-$H108)</f>
        <v/>
      </c>
      <c r="AB108" s="65" t="str">
        <f aca="false">IF($A108="","",IF($X108="Closed","Closed",IF($X108="Unmapped","Unmapped",IF($I108="","No target",IF($Z108&lt;0,"Overdue",IF($Z108&lt;=INDEX(StageWindow,$Y108),"At risk","On track"))))))</f>
        <v/>
      </c>
      <c r="AC108" s="65" t="str">
        <f aca="false">IF($Y108="","",IF($AA108&gt;2*INDEX(StageStale,$Y108),"Stale",IF($AA108&gt;INDEX(StageStale,$Y108),"Aging","Fresh")))</f>
        <v/>
      </c>
      <c r="AD108" s="65" t="str">
        <f aca="false">IF($A108="","",IF(OR(ISNUMBER(SEARCH("Reg report",$J108)),ISNUMBER(SEARCH("No human review",$J108)),COUNTIF(TierFuncs,$D108)&gt;0),"High",IF(OR(TRIM($J108)&lt;&gt;"",ISNUMBER(SEARCH("revenue",$K108))),"Medium","Low")))</f>
        <v/>
      </c>
      <c r="AE108" s="65" t="str">
        <f aca="false">IF($A108="","",INDEX(TierDays,MATCH($AD108,TierName,0)))</f>
        <v/>
      </c>
      <c r="AF108" s="65" t="str">
        <f aca="false">IF($A108="","",AsOf-$G108)</f>
        <v/>
      </c>
      <c r="AG108" s="65" t="str">
        <f aca="false">IF($Y108="","",IF($Y108&lt;=5,IF($AF108&gt;$AE108,"Over","Inside"),"Past approval"))</f>
        <v/>
      </c>
      <c r="AH108" s="65" t="str">
        <f aca="false">IF($Y108="","",CHOOSE($Y108,IF(OR(TRIM($F108)="",ISNUMBER(SEARCH("not named",$F108))),"Critical","Good"),IF($O108&lt;&gt;"Y","Critical",IF($Q108&lt;&gt;"Y","Warning","Good")),IF($P108="","Critical",IF($P108="partial","Warning",IF($P108="ready","Good","Critical"))),IF($R108&lt;&gt;"","Critical","Warning"),IF($L108="","Critical",IF($N108="","Warning","Good")),IF($R108&lt;&gt;"","Critical","Warning"),IF($R108&lt;&gt;"","Critical","Warning"),IF($Q108="Y","Good","Critical")))</f>
        <v/>
      </c>
      <c r="AI108" s="65" t="str">
        <f aca="false">IF($Y108="","",CHOOSE($Y108,IF(OR(TRIM($F108)="",ISNUMBER(SEARCH("not named",$F108))),"Name a sponsor accountable for the value",""),IF($O108&lt;&gt;"Y","State the success metric and the stop condition",IF($Q108&lt;&gt;"Y","Set the baseline the benefit will be measured against","")),IF($P108="","Assess data readiness and regulatory impact",IF($P108="partial","Close the known data gaps",IF($P108="ready","","Data is not available; reshape or park"))),IF($R108&lt;&gt;"",IF(OR(ISNUMBER(SEARCH("mrm",$R108)),ISNUMBER(SEARCH("model",$R108)),ISNUMBER(SEARCH("risk",$R108)),ISNUMBER(SEARCH("legal",$R108)),ISNUMBER(SEARCH("complian",$R108))),"Awaiting ","Held at the design gate: ")&amp;$R108,"Map the governance framework for its tier"),IF($L108="","Size the annual benefit",IF($N108="","Score it so it can be ranked against capacity","")),IF($R108&lt;&gt;"","Build held: "&amp;$R108,"In build, not yet through test"),IF($R108&lt;&gt;"","Not ready to scale: "&amp;$R108,"Monitoring and third-party review not yet signed off"),IF($Q108="Y","","Live without a measured baseline to judge it against")))</f>
        <v/>
      </c>
      <c r="AJ108" s="65" t="str">
        <f aca="false">IF($Y108="","",INDEX(StageForum,$Y108))</f>
        <v/>
      </c>
      <c r="AK108" s="65" t="str">
        <f aca="false">IF($Y108="","",IF(OR($X108="Delivery",$X108="Value"),"Committed",IF($N108&lt;&gt;"","Candidate","")))</f>
        <v/>
      </c>
      <c r="AL108" s="65" t="str">
        <f aca="false">IF($AK108&lt;&gt;"Candidate","",COUNTIFS($AK$2:$AK$501,"Candidate",$N$2:$N$501,"&gt;"&amp;$N108)+COUNTIFS($AK$2:$AK$501,"Candidate",$N$2:$N$501,$N108,$A$2:$A$501,"&lt;"&amp;$A108)+1)</f>
        <v/>
      </c>
      <c r="AM108" s="65" t="str">
        <f aca="false">IF($AL108="","",SUMIFS($M$2:$M$501,$AK$2:$AK$501,"Candidate",$AL$2:$AL$501,"&lt;="&amp;$AL108))</f>
        <v/>
      </c>
      <c r="AN108" s="65" t="str">
        <f aca="false">IF($AL108="","",IF($AM108&lt;=CapacityOpen,"Fits","Below line"))</f>
        <v/>
      </c>
      <c r="AO108" s="65" t="str">
        <f aca="false">IF($A108="","",IF($X108="Closed","",IF($X108="Unmapped","Warning",IF(OR($AB108="Overdue",$V108="Y",$AH108="Critical"),"Critical",IF(OR($AB108="At risk",$AC108="Stale",$AG108="Over"),"Warning","")))))</f>
        <v/>
      </c>
      <c r="AP108" s="65" t="str">
        <f aca="false">IF($AO108="","",IF($AO108="Critical",3000,2000)-IF($Z108="",0,$Z108)+ROW()/100000)</f>
        <v/>
      </c>
      <c r="AQ108" s="65" t="str">
        <f aca="false">IF($AO108="","",IF($X108="Unmapped","Status '"&amp;$C108&amp;"' is not in the Config map",IF($V108="Y","Flagged in Jira",IF($AB108="Overdue",-$Z108&amp;" days past its "&amp;$X108&amp;" target",IF($AH108="Critical",$AI108,IF($AB108="At risk","Target in "&amp;$Z108&amp;" days",IF($AC108="Stale","No update in "&amp;$AA108&amp;" days","Past its "&amp;$AE108&amp;"-day tier window")))))))</f>
        <v/>
      </c>
      <c r="AR108" s="65" t="str">
        <f aca="false">IF($AO108="","","draft Jira update for "&amp;$A108)</f>
        <v/>
      </c>
      <c r="AS108" s="65" t="str">
        <f aca="false">IF($A108="","",HYPERLINK(JiraSite&amp;"/browse/"&amp;$A108,"open"))</f>
        <v/>
      </c>
      <c r="AT108" s="65" t="str">
        <f aca="false">IF($Y108="","",$Y108*1000+ROW())</f>
        <v/>
      </c>
      <c r="AU108" s="65" t="str">
        <f aca="false">IF(AND($A108&lt;&gt;"",$G108&gt;=WeekStart),$G108+ROW()/100000,"")</f>
        <v/>
      </c>
      <c r="AV108" s="65" t="str">
        <f aca="false">IF($A108="","",IF(OR(AND($S108&lt;&gt;"",$S108&gt;=WeekStart),AND($U108&lt;&gt;"",$U108&gt;=WeekStart)),MAX($S108,$U108)+ROW()/100000,""))</f>
        <v/>
      </c>
      <c r="AW108" s="65" t="str">
        <f aca="false">IF($AV108="","",IF($T108&lt;&gt;"",$T108,IF($X108="Closed","Closed","Accepted to "&amp;$X108)))</f>
        <v/>
      </c>
      <c r="AX108" s="65" t="str">
        <f aca="false">IF(AND($Y108&lt;&gt;"",$R108&lt;&gt;""),$AF108+ROW()/100000,"")</f>
        <v/>
      </c>
      <c r="AY108" s="65" t="str">
        <f aca="false">IF(AND($Y108&lt;&gt;"",OR($AB108="Overdue",AND($AH108="Critical",$R108&lt;&gt;""))),$AF108+ROW()/100000,"")</f>
        <v/>
      </c>
      <c r="AZ108" s="65" t="str">
        <f aca="false">IF($AH108="Critical",$AF108+ROW()/100000,"")</f>
        <v/>
      </c>
    </row>
    <row r="109" customFormat="false" ht="15" hidden="false" customHeight="false" outlineLevel="0" collapsed="false">
      <c r="A109" s="28"/>
      <c r="B109" s="28"/>
      <c r="C109" s="28"/>
      <c r="D109" s="28"/>
      <c r="E109" s="28"/>
      <c r="F109" s="28"/>
      <c r="G109" s="63"/>
      <c r="H109" s="63"/>
      <c r="I109" s="63"/>
      <c r="J109" s="28"/>
      <c r="K109" s="28"/>
      <c r="L109" s="28"/>
      <c r="M109" s="28"/>
      <c r="N109" s="28"/>
      <c r="O109" s="64"/>
      <c r="P109" s="64"/>
      <c r="Q109" s="64"/>
      <c r="R109" s="28"/>
      <c r="S109" s="63"/>
      <c r="T109" s="64"/>
      <c r="U109" s="63"/>
      <c r="V109" s="64"/>
      <c r="W109" s="28"/>
      <c r="X109" s="65" t="str">
        <f aca="false">IF($A109="","",IF(OR($T109&lt;&gt;"",$U109&lt;&gt;""),"Closed",IFERROR(INDEX(MapStage,MATCH($C109,MapStatus,0)),"Unmapped")))</f>
        <v/>
      </c>
      <c r="Y109" s="65" t="str">
        <f aca="false">IF(OR($X109="",$X109="Closed",$X109="Unmapped"),"",MATCH($X109,StageName,0))</f>
        <v/>
      </c>
      <c r="Z109" s="65" t="str">
        <f aca="false">IF(OR($Y109="",$I109=""),"",$I109-AsOf)</f>
        <v/>
      </c>
      <c r="AA109" s="65" t="str">
        <f aca="false">IF($A109="","",AsOf-$H109)</f>
        <v/>
      </c>
      <c r="AB109" s="65" t="str">
        <f aca="false">IF($A109="","",IF($X109="Closed","Closed",IF($X109="Unmapped","Unmapped",IF($I109="","No target",IF($Z109&lt;0,"Overdue",IF($Z109&lt;=INDEX(StageWindow,$Y109),"At risk","On track"))))))</f>
        <v/>
      </c>
      <c r="AC109" s="65" t="str">
        <f aca="false">IF($Y109="","",IF($AA109&gt;2*INDEX(StageStale,$Y109),"Stale",IF($AA109&gt;INDEX(StageStale,$Y109),"Aging","Fresh")))</f>
        <v/>
      </c>
      <c r="AD109" s="65" t="str">
        <f aca="false">IF($A109="","",IF(OR(ISNUMBER(SEARCH("Reg report",$J109)),ISNUMBER(SEARCH("No human review",$J109)),COUNTIF(TierFuncs,$D109)&gt;0),"High",IF(OR(TRIM($J109)&lt;&gt;"",ISNUMBER(SEARCH("revenue",$K109))),"Medium","Low")))</f>
        <v/>
      </c>
      <c r="AE109" s="65" t="str">
        <f aca="false">IF($A109="","",INDEX(TierDays,MATCH($AD109,TierName,0)))</f>
        <v/>
      </c>
      <c r="AF109" s="65" t="str">
        <f aca="false">IF($A109="","",AsOf-$G109)</f>
        <v/>
      </c>
      <c r="AG109" s="65" t="str">
        <f aca="false">IF($Y109="","",IF($Y109&lt;=5,IF($AF109&gt;$AE109,"Over","Inside"),"Past approval"))</f>
        <v/>
      </c>
      <c r="AH109" s="65" t="str">
        <f aca="false">IF($Y109="","",CHOOSE($Y109,IF(OR(TRIM($F109)="",ISNUMBER(SEARCH("not named",$F109))),"Critical","Good"),IF($O109&lt;&gt;"Y","Critical",IF($Q109&lt;&gt;"Y","Warning","Good")),IF($P109="","Critical",IF($P109="partial","Warning",IF($P109="ready","Good","Critical"))),IF($R109&lt;&gt;"","Critical","Warning"),IF($L109="","Critical",IF($N109="","Warning","Good")),IF($R109&lt;&gt;"","Critical","Warning"),IF($R109&lt;&gt;"","Critical","Warning"),IF($Q109="Y","Good","Critical")))</f>
        <v/>
      </c>
      <c r="AI109" s="65" t="str">
        <f aca="false">IF($Y109="","",CHOOSE($Y109,IF(OR(TRIM($F109)="",ISNUMBER(SEARCH("not named",$F109))),"Name a sponsor accountable for the value",""),IF($O109&lt;&gt;"Y","State the success metric and the stop condition",IF($Q109&lt;&gt;"Y","Set the baseline the benefit will be measured against","")),IF($P109="","Assess data readiness and regulatory impact",IF($P109="partial","Close the known data gaps",IF($P109="ready","","Data is not available; reshape or park"))),IF($R109&lt;&gt;"",IF(OR(ISNUMBER(SEARCH("mrm",$R109)),ISNUMBER(SEARCH("model",$R109)),ISNUMBER(SEARCH("risk",$R109)),ISNUMBER(SEARCH("legal",$R109)),ISNUMBER(SEARCH("complian",$R109))),"Awaiting ","Held at the design gate: ")&amp;$R109,"Map the governance framework for its tier"),IF($L109="","Size the annual benefit",IF($N109="","Score it so it can be ranked against capacity","")),IF($R109&lt;&gt;"","Build held: "&amp;$R109,"In build, not yet through test"),IF($R109&lt;&gt;"","Not ready to scale: "&amp;$R109,"Monitoring and third-party review not yet signed off"),IF($Q109="Y","","Live without a measured baseline to judge it against")))</f>
        <v/>
      </c>
      <c r="AJ109" s="65" t="str">
        <f aca="false">IF($Y109="","",INDEX(StageForum,$Y109))</f>
        <v/>
      </c>
      <c r="AK109" s="65" t="str">
        <f aca="false">IF($Y109="","",IF(OR($X109="Delivery",$X109="Value"),"Committed",IF($N109&lt;&gt;"","Candidate","")))</f>
        <v/>
      </c>
      <c r="AL109" s="65" t="str">
        <f aca="false">IF($AK109&lt;&gt;"Candidate","",COUNTIFS($AK$2:$AK$501,"Candidate",$N$2:$N$501,"&gt;"&amp;$N109)+COUNTIFS($AK$2:$AK$501,"Candidate",$N$2:$N$501,$N109,$A$2:$A$501,"&lt;"&amp;$A109)+1)</f>
        <v/>
      </c>
      <c r="AM109" s="65" t="str">
        <f aca="false">IF($AL109="","",SUMIFS($M$2:$M$501,$AK$2:$AK$501,"Candidate",$AL$2:$AL$501,"&lt;="&amp;$AL109))</f>
        <v/>
      </c>
      <c r="AN109" s="65" t="str">
        <f aca="false">IF($AL109="","",IF($AM109&lt;=CapacityOpen,"Fits","Below line"))</f>
        <v/>
      </c>
      <c r="AO109" s="65" t="str">
        <f aca="false">IF($A109="","",IF($X109="Closed","",IF($X109="Unmapped","Warning",IF(OR($AB109="Overdue",$V109="Y",$AH109="Critical"),"Critical",IF(OR($AB109="At risk",$AC109="Stale",$AG109="Over"),"Warning","")))))</f>
        <v/>
      </c>
      <c r="AP109" s="65" t="str">
        <f aca="false">IF($AO109="","",IF($AO109="Critical",3000,2000)-IF($Z109="",0,$Z109)+ROW()/100000)</f>
        <v/>
      </c>
      <c r="AQ109" s="65" t="str">
        <f aca="false">IF($AO109="","",IF($X109="Unmapped","Status '"&amp;$C109&amp;"' is not in the Config map",IF($V109="Y","Flagged in Jira",IF($AB109="Overdue",-$Z109&amp;" days past its "&amp;$X109&amp;" target",IF($AH109="Critical",$AI109,IF($AB109="At risk","Target in "&amp;$Z109&amp;" days",IF($AC109="Stale","No update in "&amp;$AA109&amp;" days","Past its "&amp;$AE109&amp;"-day tier window")))))))</f>
        <v/>
      </c>
      <c r="AR109" s="65" t="str">
        <f aca="false">IF($AO109="","","draft Jira update for "&amp;$A109)</f>
        <v/>
      </c>
      <c r="AS109" s="65" t="str">
        <f aca="false">IF($A109="","",HYPERLINK(JiraSite&amp;"/browse/"&amp;$A109,"open"))</f>
        <v/>
      </c>
      <c r="AT109" s="65" t="str">
        <f aca="false">IF($Y109="","",$Y109*1000+ROW())</f>
        <v/>
      </c>
      <c r="AU109" s="65" t="str">
        <f aca="false">IF(AND($A109&lt;&gt;"",$G109&gt;=WeekStart),$G109+ROW()/100000,"")</f>
        <v/>
      </c>
      <c r="AV109" s="65" t="str">
        <f aca="false">IF($A109="","",IF(OR(AND($S109&lt;&gt;"",$S109&gt;=WeekStart),AND($U109&lt;&gt;"",$U109&gt;=WeekStart)),MAX($S109,$U109)+ROW()/100000,""))</f>
        <v/>
      </c>
      <c r="AW109" s="65" t="str">
        <f aca="false">IF($AV109="","",IF($T109&lt;&gt;"",$T109,IF($X109="Closed","Closed","Accepted to "&amp;$X109)))</f>
        <v/>
      </c>
      <c r="AX109" s="65" t="str">
        <f aca="false">IF(AND($Y109&lt;&gt;"",$R109&lt;&gt;""),$AF109+ROW()/100000,"")</f>
        <v/>
      </c>
      <c r="AY109" s="65" t="str">
        <f aca="false">IF(AND($Y109&lt;&gt;"",OR($AB109="Overdue",AND($AH109="Critical",$R109&lt;&gt;""))),$AF109+ROW()/100000,"")</f>
        <v/>
      </c>
      <c r="AZ109" s="65" t="str">
        <f aca="false">IF($AH109="Critical",$AF109+ROW()/100000,"")</f>
        <v/>
      </c>
    </row>
    <row r="110" customFormat="false" ht="15" hidden="false" customHeight="false" outlineLevel="0" collapsed="false">
      <c r="A110" s="28"/>
      <c r="B110" s="28"/>
      <c r="C110" s="28"/>
      <c r="D110" s="28"/>
      <c r="E110" s="28"/>
      <c r="F110" s="28"/>
      <c r="G110" s="63"/>
      <c r="H110" s="63"/>
      <c r="I110" s="63"/>
      <c r="J110" s="28"/>
      <c r="K110" s="28"/>
      <c r="L110" s="28"/>
      <c r="M110" s="28"/>
      <c r="N110" s="28"/>
      <c r="O110" s="64"/>
      <c r="P110" s="64"/>
      <c r="Q110" s="64"/>
      <c r="R110" s="28"/>
      <c r="S110" s="63"/>
      <c r="T110" s="64"/>
      <c r="U110" s="63"/>
      <c r="V110" s="64"/>
      <c r="W110" s="28"/>
      <c r="X110" s="65" t="str">
        <f aca="false">IF($A110="","",IF(OR($T110&lt;&gt;"",$U110&lt;&gt;""),"Closed",IFERROR(INDEX(MapStage,MATCH($C110,MapStatus,0)),"Unmapped")))</f>
        <v/>
      </c>
      <c r="Y110" s="65" t="str">
        <f aca="false">IF(OR($X110="",$X110="Closed",$X110="Unmapped"),"",MATCH($X110,StageName,0))</f>
        <v/>
      </c>
      <c r="Z110" s="65" t="str">
        <f aca="false">IF(OR($Y110="",$I110=""),"",$I110-AsOf)</f>
        <v/>
      </c>
      <c r="AA110" s="65" t="str">
        <f aca="false">IF($A110="","",AsOf-$H110)</f>
        <v/>
      </c>
      <c r="AB110" s="65" t="str">
        <f aca="false">IF($A110="","",IF($X110="Closed","Closed",IF($X110="Unmapped","Unmapped",IF($I110="","No target",IF($Z110&lt;0,"Overdue",IF($Z110&lt;=INDEX(StageWindow,$Y110),"At risk","On track"))))))</f>
        <v/>
      </c>
      <c r="AC110" s="65" t="str">
        <f aca="false">IF($Y110="","",IF($AA110&gt;2*INDEX(StageStale,$Y110),"Stale",IF($AA110&gt;INDEX(StageStale,$Y110),"Aging","Fresh")))</f>
        <v/>
      </c>
      <c r="AD110" s="65" t="str">
        <f aca="false">IF($A110="","",IF(OR(ISNUMBER(SEARCH("Reg report",$J110)),ISNUMBER(SEARCH("No human review",$J110)),COUNTIF(TierFuncs,$D110)&gt;0),"High",IF(OR(TRIM($J110)&lt;&gt;"",ISNUMBER(SEARCH("revenue",$K110))),"Medium","Low")))</f>
        <v/>
      </c>
      <c r="AE110" s="65" t="str">
        <f aca="false">IF($A110="","",INDEX(TierDays,MATCH($AD110,TierName,0)))</f>
        <v/>
      </c>
      <c r="AF110" s="65" t="str">
        <f aca="false">IF($A110="","",AsOf-$G110)</f>
        <v/>
      </c>
      <c r="AG110" s="65" t="str">
        <f aca="false">IF($Y110="","",IF($Y110&lt;=5,IF($AF110&gt;$AE110,"Over","Inside"),"Past approval"))</f>
        <v/>
      </c>
      <c r="AH110" s="65" t="str">
        <f aca="false">IF($Y110="","",CHOOSE($Y110,IF(OR(TRIM($F110)="",ISNUMBER(SEARCH("not named",$F110))),"Critical","Good"),IF($O110&lt;&gt;"Y","Critical",IF($Q110&lt;&gt;"Y","Warning","Good")),IF($P110="","Critical",IF($P110="partial","Warning",IF($P110="ready","Good","Critical"))),IF($R110&lt;&gt;"","Critical","Warning"),IF($L110="","Critical",IF($N110="","Warning","Good")),IF($R110&lt;&gt;"","Critical","Warning"),IF($R110&lt;&gt;"","Critical","Warning"),IF($Q110="Y","Good","Critical")))</f>
        <v/>
      </c>
      <c r="AI110" s="65" t="str">
        <f aca="false">IF($Y110="","",CHOOSE($Y110,IF(OR(TRIM($F110)="",ISNUMBER(SEARCH("not named",$F110))),"Name a sponsor accountable for the value",""),IF($O110&lt;&gt;"Y","State the success metric and the stop condition",IF($Q110&lt;&gt;"Y","Set the baseline the benefit will be measured against","")),IF($P110="","Assess data readiness and regulatory impact",IF($P110="partial","Close the known data gaps",IF($P110="ready","","Data is not available; reshape or park"))),IF($R110&lt;&gt;"",IF(OR(ISNUMBER(SEARCH("mrm",$R110)),ISNUMBER(SEARCH("model",$R110)),ISNUMBER(SEARCH("risk",$R110)),ISNUMBER(SEARCH("legal",$R110)),ISNUMBER(SEARCH("complian",$R110))),"Awaiting ","Held at the design gate: ")&amp;$R110,"Map the governance framework for its tier"),IF($L110="","Size the annual benefit",IF($N110="","Score it so it can be ranked against capacity","")),IF($R110&lt;&gt;"","Build held: "&amp;$R110,"In build, not yet through test"),IF($R110&lt;&gt;"","Not ready to scale: "&amp;$R110,"Monitoring and third-party review not yet signed off"),IF($Q110="Y","","Live without a measured baseline to judge it against")))</f>
        <v/>
      </c>
      <c r="AJ110" s="65" t="str">
        <f aca="false">IF($Y110="","",INDEX(StageForum,$Y110))</f>
        <v/>
      </c>
      <c r="AK110" s="65" t="str">
        <f aca="false">IF($Y110="","",IF(OR($X110="Delivery",$X110="Value"),"Committed",IF($N110&lt;&gt;"","Candidate","")))</f>
        <v/>
      </c>
      <c r="AL110" s="65" t="str">
        <f aca="false">IF($AK110&lt;&gt;"Candidate","",COUNTIFS($AK$2:$AK$501,"Candidate",$N$2:$N$501,"&gt;"&amp;$N110)+COUNTIFS($AK$2:$AK$501,"Candidate",$N$2:$N$501,$N110,$A$2:$A$501,"&lt;"&amp;$A110)+1)</f>
        <v/>
      </c>
      <c r="AM110" s="65" t="str">
        <f aca="false">IF($AL110="","",SUMIFS($M$2:$M$501,$AK$2:$AK$501,"Candidate",$AL$2:$AL$501,"&lt;="&amp;$AL110))</f>
        <v/>
      </c>
      <c r="AN110" s="65" t="str">
        <f aca="false">IF($AL110="","",IF($AM110&lt;=CapacityOpen,"Fits","Below line"))</f>
        <v/>
      </c>
      <c r="AO110" s="65" t="str">
        <f aca="false">IF($A110="","",IF($X110="Closed","",IF($X110="Unmapped","Warning",IF(OR($AB110="Overdue",$V110="Y",$AH110="Critical"),"Critical",IF(OR($AB110="At risk",$AC110="Stale",$AG110="Over"),"Warning","")))))</f>
        <v/>
      </c>
      <c r="AP110" s="65" t="str">
        <f aca="false">IF($AO110="","",IF($AO110="Critical",3000,2000)-IF($Z110="",0,$Z110)+ROW()/100000)</f>
        <v/>
      </c>
      <c r="AQ110" s="65" t="str">
        <f aca="false">IF($AO110="","",IF($X110="Unmapped","Status '"&amp;$C110&amp;"' is not in the Config map",IF($V110="Y","Flagged in Jira",IF($AB110="Overdue",-$Z110&amp;" days past its "&amp;$X110&amp;" target",IF($AH110="Critical",$AI110,IF($AB110="At risk","Target in "&amp;$Z110&amp;" days",IF($AC110="Stale","No update in "&amp;$AA110&amp;" days","Past its "&amp;$AE110&amp;"-day tier window")))))))</f>
        <v/>
      </c>
      <c r="AR110" s="65" t="str">
        <f aca="false">IF($AO110="","","draft Jira update for "&amp;$A110)</f>
        <v/>
      </c>
      <c r="AS110" s="65" t="str">
        <f aca="false">IF($A110="","",HYPERLINK(JiraSite&amp;"/browse/"&amp;$A110,"open"))</f>
        <v/>
      </c>
      <c r="AT110" s="65" t="str">
        <f aca="false">IF($Y110="","",$Y110*1000+ROW())</f>
        <v/>
      </c>
      <c r="AU110" s="65" t="str">
        <f aca="false">IF(AND($A110&lt;&gt;"",$G110&gt;=WeekStart),$G110+ROW()/100000,"")</f>
        <v/>
      </c>
      <c r="AV110" s="65" t="str">
        <f aca="false">IF($A110="","",IF(OR(AND($S110&lt;&gt;"",$S110&gt;=WeekStart),AND($U110&lt;&gt;"",$U110&gt;=WeekStart)),MAX($S110,$U110)+ROW()/100000,""))</f>
        <v/>
      </c>
      <c r="AW110" s="65" t="str">
        <f aca="false">IF($AV110="","",IF($T110&lt;&gt;"",$T110,IF($X110="Closed","Closed","Accepted to "&amp;$X110)))</f>
        <v/>
      </c>
      <c r="AX110" s="65" t="str">
        <f aca="false">IF(AND($Y110&lt;&gt;"",$R110&lt;&gt;""),$AF110+ROW()/100000,"")</f>
        <v/>
      </c>
      <c r="AY110" s="65" t="str">
        <f aca="false">IF(AND($Y110&lt;&gt;"",OR($AB110="Overdue",AND($AH110="Critical",$R110&lt;&gt;""))),$AF110+ROW()/100000,"")</f>
        <v/>
      </c>
      <c r="AZ110" s="65" t="str">
        <f aca="false">IF($AH110="Critical",$AF110+ROW()/100000,"")</f>
        <v/>
      </c>
    </row>
    <row r="111" customFormat="false" ht="15" hidden="false" customHeight="false" outlineLevel="0" collapsed="false">
      <c r="A111" s="28"/>
      <c r="B111" s="28"/>
      <c r="C111" s="28"/>
      <c r="D111" s="28"/>
      <c r="E111" s="28"/>
      <c r="F111" s="28"/>
      <c r="G111" s="63"/>
      <c r="H111" s="63"/>
      <c r="I111" s="63"/>
      <c r="J111" s="28"/>
      <c r="K111" s="28"/>
      <c r="L111" s="28"/>
      <c r="M111" s="28"/>
      <c r="N111" s="28"/>
      <c r="O111" s="64"/>
      <c r="P111" s="64"/>
      <c r="Q111" s="64"/>
      <c r="R111" s="28"/>
      <c r="S111" s="63"/>
      <c r="T111" s="64"/>
      <c r="U111" s="63"/>
      <c r="V111" s="64"/>
      <c r="W111" s="28"/>
      <c r="X111" s="65" t="str">
        <f aca="false">IF($A111="","",IF(OR($T111&lt;&gt;"",$U111&lt;&gt;""),"Closed",IFERROR(INDEX(MapStage,MATCH($C111,MapStatus,0)),"Unmapped")))</f>
        <v/>
      </c>
      <c r="Y111" s="65" t="str">
        <f aca="false">IF(OR($X111="",$X111="Closed",$X111="Unmapped"),"",MATCH($X111,StageName,0))</f>
        <v/>
      </c>
      <c r="Z111" s="65" t="str">
        <f aca="false">IF(OR($Y111="",$I111=""),"",$I111-AsOf)</f>
        <v/>
      </c>
      <c r="AA111" s="65" t="str">
        <f aca="false">IF($A111="","",AsOf-$H111)</f>
        <v/>
      </c>
      <c r="AB111" s="65" t="str">
        <f aca="false">IF($A111="","",IF($X111="Closed","Closed",IF($X111="Unmapped","Unmapped",IF($I111="","No target",IF($Z111&lt;0,"Overdue",IF($Z111&lt;=INDEX(StageWindow,$Y111),"At risk","On track"))))))</f>
        <v/>
      </c>
      <c r="AC111" s="65" t="str">
        <f aca="false">IF($Y111="","",IF($AA111&gt;2*INDEX(StageStale,$Y111),"Stale",IF($AA111&gt;INDEX(StageStale,$Y111),"Aging","Fresh")))</f>
        <v/>
      </c>
      <c r="AD111" s="65" t="str">
        <f aca="false">IF($A111="","",IF(OR(ISNUMBER(SEARCH("Reg report",$J111)),ISNUMBER(SEARCH("No human review",$J111)),COUNTIF(TierFuncs,$D111)&gt;0),"High",IF(OR(TRIM($J111)&lt;&gt;"",ISNUMBER(SEARCH("revenue",$K111))),"Medium","Low")))</f>
        <v/>
      </c>
      <c r="AE111" s="65" t="str">
        <f aca="false">IF($A111="","",INDEX(TierDays,MATCH($AD111,TierName,0)))</f>
        <v/>
      </c>
      <c r="AF111" s="65" t="str">
        <f aca="false">IF($A111="","",AsOf-$G111)</f>
        <v/>
      </c>
      <c r="AG111" s="65" t="str">
        <f aca="false">IF($Y111="","",IF($Y111&lt;=5,IF($AF111&gt;$AE111,"Over","Inside"),"Past approval"))</f>
        <v/>
      </c>
      <c r="AH111" s="65" t="str">
        <f aca="false">IF($Y111="","",CHOOSE($Y111,IF(OR(TRIM($F111)="",ISNUMBER(SEARCH("not named",$F111))),"Critical","Good"),IF($O111&lt;&gt;"Y","Critical",IF($Q111&lt;&gt;"Y","Warning","Good")),IF($P111="","Critical",IF($P111="partial","Warning",IF($P111="ready","Good","Critical"))),IF($R111&lt;&gt;"","Critical","Warning"),IF($L111="","Critical",IF($N111="","Warning","Good")),IF($R111&lt;&gt;"","Critical","Warning"),IF($R111&lt;&gt;"","Critical","Warning"),IF($Q111="Y","Good","Critical")))</f>
        <v/>
      </c>
      <c r="AI111" s="65" t="str">
        <f aca="false">IF($Y111="","",CHOOSE($Y111,IF(OR(TRIM($F111)="",ISNUMBER(SEARCH("not named",$F111))),"Name a sponsor accountable for the value",""),IF($O111&lt;&gt;"Y","State the success metric and the stop condition",IF($Q111&lt;&gt;"Y","Set the baseline the benefit will be measured against","")),IF($P111="","Assess data readiness and regulatory impact",IF($P111="partial","Close the known data gaps",IF($P111="ready","","Data is not available; reshape or park"))),IF($R111&lt;&gt;"",IF(OR(ISNUMBER(SEARCH("mrm",$R111)),ISNUMBER(SEARCH("model",$R111)),ISNUMBER(SEARCH("risk",$R111)),ISNUMBER(SEARCH("legal",$R111)),ISNUMBER(SEARCH("complian",$R111))),"Awaiting ","Held at the design gate: ")&amp;$R111,"Map the governance framework for its tier"),IF($L111="","Size the annual benefit",IF($N111="","Score it so it can be ranked against capacity","")),IF($R111&lt;&gt;"","Build held: "&amp;$R111,"In build, not yet through test"),IF($R111&lt;&gt;"","Not ready to scale: "&amp;$R111,"Monitoring and third-party review not yet signed off"),IF($Q111="Y","","Live without a measured baseline to judge it against")))</f>
        <v/>
      </c>
      <c r="AJ111" s="65" t="str">
        <f aca="false">IF($Y111="","",INDEX(StageForum,$Y111))</f>
        <v/>
      </c>
      <c r="AK111" s="65" t="str">
        <f aca="false">IF($Y111="","",IF(OR($X111="Delivery",$X111="Value"),"Committed",IF($N111&lt;&gt;"","Candidate","")))</f>
        <v/>
      </c>
      <c r="AL111" s="65" t="str">
        <f aca="false">IF($AK111&lt;&gt;"Candidate","",COUNTIFS($AK$2:$AK$501,"Candidate",$N$2:$N$501,"&gt;"&amp;$N111)+COUNTIFS($AK$2:$AK$501,"Candidate",$N$2:$N$501,$N111,$A$2:$A$501,"&lt;"&amp;$A111)+1)</f>
        <v/>
      </c>
      <c r="AM111" s="65" t="str">
        <f aca="false">IF($AL111="","",SUMIFS($M$2:$M$501,$AK$2:$AK$501,"Candidate",$AL$2:$AL$501,"&lt;="&amp;$AL111))</f>
        <v/>
      </c>
      <c r="AN111" s="65" t="str">
        <f aca="false">IF($AL111="","",IF($AM111&lt;=CapacityOpen,"Fits","Below line"))</f>
        <v/>
      </c>
      <c r="AO111" s="65" t="str">
        <f aca="false">IF($A111="","",IF($X111="Closed","",IF($X111="Unmapped","Warning",IF(OR($AB111="Overdue",$V111="Y",$AH111="Critical"),"Critical",IF(OR($AB111="At risk",$AC111="Stale",$AG111="Over"),"Warning","")))))</f>
        <v/>
      </c>
      <c r="AP111" s="65" t="str">
        <f aca="false">IF($AO111="","",IF($AO111="Critical",3000,2000)-IF($Z111="",0,$Z111)+ROW()/100000)</f>
        <v/>
      </c>
      <c r="AQ111" s="65" t="str">
        <f aca="false">IF($AO111="","",IF($X111="Unmapped","Status '"&amp;$C111&amp;"' is not in the Config map",IF($V111="Y","Flagged in Jira",IF($AB111="Overdue",-$Z111&amp;" days past its "&amp;$X111&amp;" target",IF($AH111="Critical",$AI111,IF($AB111="At risk","Target in "&amp;$Z111&amp;" days",IF($AC111="Stale","No update in "&amp;$AA111&amp;" days","Past its "&amp;$AE111&amp;"-day tier window")))))))</f>
        <v/>
      </c>
      <c r="AR111" s="65" t="str">
        <f aca="false">IF($AO111="","","draft Jira update for "&amp;$A111)</f>
        <v/>
      </c>
      <c r="AS111" s="65" t="str">
        <f aca="false">IF($A111="","",HYPERLINK(JiraSite&amp;"/browse/"&amp;$A111,"open"))</f>
        <v/>
      </c>
      <c r="AT111" s="65" t="str">
        <f aca="false">IF($Y111="","",$Y111*1000+ROW())</f>
        <v/>
      </c>
      <c r="AU111" s="65" t="str">
        <f aca="false">IF(AND($A111&lt;&gt;"",$G111&gt;=WeekStart),$G111+ROW()/100000,"")</f>
        <v/>
      </c>
      <c r="AV111" s="65" t="str">
        <f aca="false">IF($A111="","",IF(OR(AND($S111&lt;&gt;"",$S111&gt;=WeekStart),AND($U111&lt;&gt;"",$U111&gt;=WeekStart)),MAX($S111,$U111)+ROW()/100000,""))</f>
        <v/>
      </c>
      <c r="AW111" s="65" t="str">
        <f aca="false">IF($AV111="","",IF($T111&lt;&gt;"",$T111,IF($X111="Closed","Closed","Accepted to "&amp;$X111)))</f>
        <v/>
      </c>
      <c r="AX111" s="65" t="str">
        <f aca="false">IF(AND($Y111&lt;&gt;"",$R111&lt;&gt;""),$AF111+ROW()/100000,"")</f>
        <v/>
      </c>
      <c r="AY111" s="65" t="str">
        <f aca="false">IF(AND($Y111&lt;&gt;"",OR($AB111="Overdue",AND($AH111="Critical",$R111&lt;&gt;""))),$AF111+ROW()/100000,"")</f>
        <v/>
      </c>
      <c r="AZ111" s="65" t="str">
        <f aca="false">IF($AH111="Critical",$AF111+ROW()/100000,"")</f>
        <v/>
      </c>
    </row>
    <row r="112" customFormat="false" ht="15" hidden="false" customHeight="false" outlineLevel="0" collapsed="false">
      <c r="A112" s="28"/>
      <c r="B112" s="28"/>
      <c r="C112" s="28"/>
      <c r="D112" s="28"/>
      <c r="E112" s="28"/>
      <c r="F112" s="28"/>
      <c r="G112" s="63"/>
      <c r="H112" s="63"/>
      <c r="I112" s="63"/>
      <c r="J112" s="28"/>
      <c r="K112" s="28"/>
      <c r="L112" s="28"/>
      <c r="M112" s="28"/>
      <c r="N112" s="28"/>
      <c r="O112" s="64"/>
      <c r="P112" s="64"/>
      <c r="Q112" s="64"/>
      <c r="R112" s="28"/>
      <c r="S112" s="63"/>
      <c r="T112" s="64"/>
      <c r="U112" s="63"/>
      <c r="V112" s="64"/>
      <c r="W112" s="28"/>
      <c r="X112" s="65" t="str">
        <f aca="false">IF($A112="","",IF(OR($T112&lt;&gt;"",$U112&lt;&gt;""),"Closed",IFERROR(INDEX(MapStage,MATCH($C112,MapStatus,0)),"Unmapped")))</f>
        <v/>
      </c>
      <c r="Y112" s="65" t="str">
        <f aca="false">IF(OR($X112="",$X112="Closed",$X112="Unmapped"),"",MATCH($X112,StageName,0))</f>
        <v/>
      </c>
      <c r="Z112" s="65" t="str">
        <f aca="false">IF(OR($Y112="",$I112=""),"",$I112-AsOf)</f>
        <v/>
      </c>
      <c r="AA112" s="65" t="str">
        <f aca="false">IF($A112="","",AsOf-$H112)</f>
        <v/>
      </c>
      <c r="AB112" s="65" t="str">
        <f aca="false">IF($A112="","",IF($X112="Closed","Closed",IF($X112="Unmapped","Unmapped",IF($I112="","No target",IF($Z112&lt;0,"Overdue",IF($Z112&lt;=INDEX(StageWindow,$Y112),"At risk","On track"))))))</f>
        <v/>
      </c>
      <c r="AC112" s="65" t="str">
        <f aca="false">IF($Y112="","",IF($AA112&gt;2*INDEX(StageStale,$Y112),"Stale",IF($AA112&gt;INDEX(StageStale,$Y112),"Aging","Fresh")))</f>
        <v/>
      </c>
      <c r="AD112" s="65" t="str">
        <f aca="false">IF($A112="","",IF(OR(ISNUMBER(SEARCH("Reg report",$J112)),ISNUMBER(SEARCH("No human review",$J112)),COUNTIF(TierFuncs,$D112)&gt;0),"High",IF(OR(TRIM($J112)&lt;&gt;"",ISNUMBER(SEARCH("revenue",$K112))),"Medium","Low")))</f>
        <v/>
      </c>
      <c r="AE112" s="65" t="str">
        <f aca="false">IF($A112="","",INDEX(TierDays,MATCH($AD112,TierName,0)))</f>
        <v/>
      </c>
      <c r="AF112" s="65" t="str">
        <f aca="false">IF($A112="","",AsOf-$G112)</f>
        <v/>
      </c>
      <c r="AG112" s="65" t="str">
        <f aca="false">IF($Y112="","",IF($Y112&lt;=5,IF($AF112&gt;$AE112,"Over","Inside"),"Past approval"))</f>
        <v/>
      </c>
      <c r="AH112" s="65" t="str">
        <f aca="false">IF($Y112="","",CHOOSE($Y112,IF(OR(TRIM($F112)="",ISNUMBER(SEARCH("not named",$F112))),"Critical","Good"),IF($O112&lt;&gt;"Y","Critical",IF($Q112&lt;&gt;"Y","Warning","Good")),IF($P112="","Critical",IF($P112="partial","Warning",IF($P112="ready","Good","Critical"))),IF($R112&lt;&gt;"","Critical","Warning"),IF($L112="","Critical",IF($N112="","Warning","Good")),IF($R112&lt;&gt;"","Critical","Warning"),IF($R112&lt;&gt;"","Critical","Warning"),IF($Q112="Y","Good","Critical")))</f>
        <v/>
      </c>
      <c r="AI112" s="65" t="str">
        <f aca="false">IF($Y112="","",CHOOSE($Y112,IF(OR(TRIM($F112)="",ISNUMBER(SEARCH("not named",$F112))),"Name a sponsor accountable for the value",""),IF($O112&lt;&gt;"Y","State the success metric and the stop condition",IF($Q112&lt;&gt;"Y","Set the baseline the benefit will be measured against","")),IF($P112="","Assess data readiness and regulatory impact",IF($P112="partial","Close the known data gaps",IF($P112="ready","","Data is not available; reshape or park"))),IF($R112&lt;&gt;"",IF(OR(ISNUMBER(SEARCH("mrm",$R112)),ISNUMBER(SEARCH("model",$R112)),ISNUMBER(SEARCH("risk",$R112)),ISNUMBER(SEARCH("legal",$R112)),ISNUMBER(SEARCH("complian",$R112))),"Awaiting ","Held at the design gate: ")&amp;$R112,"Map the governance framework for its tier"),IF($L112="","Size the annual benefit",IF($N112="","Score it so it can be ranked against capacity","")),IF($R112&lt;&gt;"","Build held: "&amp;$R112,"In build, not yet through test"),IF($R112&lt;&gt;"","Not ready to scale: "&amp;$R112,"Monitoring and third-party review not yet signed off"),IF($Q112="Y","","Live without a measured baseline to judge it against")))</f>
        <v/>
      </c>
      <c r="AJ112" s="65" t="str">
        <f aca="false">IF($Y112="","",INDEX(StageForum,$Y112))</f>
        <v/>
      </c>
      <c r="AK112" s="65" t="str">
        <f aca="false">IF($Y112="","",IF(OR($X112="Delivery",$X112="Value"),"Committed",IF($N112&lt;&gt;"","Candidate","")))</f>
        <v/>
      </c>
      <c r="AL112" s="65" t="str">
        <f aca="false">IF($AK112&lt;&gt;"Candidate","",COUNTIFS($AK$2:$AK$501,"Candidate",$N$2:$N$501,"&gt;"&amp;$N112)+COUNTIFS($AK$2:$AK$501,"Candidate",$N$2:$N$501,$N112,$A$2:$A$501,"&lt;"&amp;$A112)+1)</f>
        <v/>
      </c>
      <c r="AM112" s="65" t="str">
        <f aca="false">IF($AL112="","",SUMIFS($M$2:$M$501,$AK$2:$AK$501,"Candidate",$AL$2:$AL$501,"&lt;="&amp;$AL112))</f>
        <v/>
      </c>
      <c r="AN112" s="65" t="str">
        <f aca="false">IF($AL112="","",IF($AM112&lt;=CapacityOpen,"Fits","Below line"))</f>
        <v/>
      </c>
      <c r="AO112" s="65" t="str">
        <f aca="false">IF($A112="","",IF($X112="Closed","",IF($X112="Unmapped","Warning",IF(OR($AB112="Overdue",$V112="Y",$AH112="Critical"),"Critical",IF(OR($AB112="At risk",$AC112="Stale",$AG112="Over"),"Warning","")))))</f>
        <v/>
      </c>
      <c r="AP112" s="65" t="str">
        <f aca="false">IF($AO112="","",IF($AO112="Critical",3000,2000)-IF($Z112="",0,$Z112)+ROW()/100000)</f>
        <v/>
      </c>
      <c r="AQ112" s="65" t="str">
        <f aca="false">IF($AO112="","",IF($X112="Unmapped","Status '"&amp;$C112&amp;"' is not in the Config map",IF($V112="Y","Flagged in Jira",IF($AB112="Overdue",-$Z112&amp;" days past its "&amp;$X112&amp;" target",IF($AH112="Critical",$AI112,IF($AB112="At risk","Target in "&amp;$Z112&amp;" days",IF($AC112="Stale","No update in "&amp;$AA112&amp;" days","Past its "&amp;$AE112&amp;"-day tier window")))))))</f>
        <v/>
      </c>
      <c r="AR112" s="65" t="str">
        <f aca="false">IF($AO112="","","draft Jira update for "&amp;$A112)</f>
        <v/>
      </c>
      <c r="AS112" s="65" t="str">
        <f aca="false">IF($A112="","",HYPERLINK(JiraSite&amp;"/browse/"&amp;$A112,"open"))</f>
        <v/>
      </c>
      <c r="AT112" s="65" t="str">
        <f aca="false">IF($Y112="","",$Y112*1000+ROW())</f>
        <v/>
      </c>
      <c r="AU112" s="65" t="str">
        <f aca="false">IF(AND($A112&lt;&gt;"",$G112&gt;=WeekStart),$G112+ROW()/100000,"")</f>
        <v/>
      </c>
      <c r="AV112" s="65" t="str">
        <f aca="false">IF($A112="","",IF(OR(AND($S112&lt;&gt;"",$S112&gt;=WeekStart),AND($U112&lt;&gt;"",$U112&gt;=WeekStart)),MAX($S112,$U112)+ROW()/100000,""))</f>
        <v/>
      </c>
      <c r="AW112" s="65" t="str">
        <f aca="false">IF($AV112="","",IF($T112&lt;&gt;"",$T112,IF($X112="Closed","Closed","Accepted to "&amp;$X112)))</f>
        <v/>
      </c>
      <c r="AX112" s="65" t="str">
        <f aca="false">IF(AND($Y112&lt;&gt;"",$R112&lt;&gt;""),$AF112+ROW()/100000,"")</f>
        <v/>
      </c>
      <c r="AY112" s="65" t="str">
        <f aca="false">IF(AND($Y112&lt;&gt;"",OR($AB112="Overdue",AND($AH112="Critical",$R112&lt;&gt;""))),$AF112+ROW()/100000,"")</f>
        <v/>
      </c>
      <c r="AZ112" s="65" t="str">
        <f aca="false">IF($AH112="Critical",$AF112+ROW()/100000,"")</f>
        <v/>
      </c>
    </row>
    <row r="113" customFormat="false" ht="15" hidden="false" customHeight="false" outlineLevel="0" collapsed="false">
      <c r="A113" s="28"/>
      <c r="B113" s="28"/>
      <c r="C113" s="28"/>
      <c r="D113" s="28"/>
      <c r="E113" s="28"/>
      <c r="F113" s="28"/>
      <c r="G113" s="63"/>
      <c r="H113" s="63"/>
      <c r="I113" s="63"/>
      <c r="J113" s="28"/>
      <c r="K113" s="28"/>
      <c r="L113" s="28"/>
      <c r="M113" s="28"/>
      <c r="N113" s="28"/>
      <c r="O113" s="64"/>
      <c r="P113" s="64"/>
      <c r="Q113" s="64"/>
      <c r="R113" s="28"/>
      <c r="S113" s="63"/>
      <c r="T113" s="64"/>
      <c r="U113" s="63"/>
      <c r="V113" s="64"/>
      <c r="W113" s="28"/>
      <c r="X113" s="65" t="str">
        <f aca="false">IF($A113="","",IF(OR($T113&lt;&gt;"",$U113&lt;&gt;""),"Closed",IFERROR(INDEX(MapStage,MATCH($C113,MapStatus,0)),"Unmapped")))</f>
        <v/>
      </c>
      <c r="Y113" s="65" t="str">
        <f aca="false">IF(OR($X113="",$X113="Closed",$X113="Unmapped"),"",MATCH($X113,StageName,0))</f>
        <v/>
      </c>
      <c r="Z113" s="65" t="str">
        <f aca="false">IF(OR($Y113="",$I113=""),"",$I113-AsOf)</f>
        <v/>
      </c>
      <c r="AA113" s="65" t="str">
        <f aca="false">IF($A113="","",AsOf-$H113)</f>
        <v/>
      </c>
      <c r="AB113" s="65" t="str">
        <f aca="false">IF($A113="","",IF($X113="Closed","Closed",IF($X113="Unmapped","Unmapped",IF($I113="","No target",IF($Z113&lt;0,"Overdue",IF($Z113&lt;=INDEX(StageWindow,$Y113),"At risk","On track"))))))</f>
        <v/>
      </c>
      <c r="AC113" s="65" t="str">
        <f aca="false">IF($Y113="","",IF($AA113&gt;2*INDEX(StageStale,$Y113),"Stale",IF($AA113&gt;INDEX(StageStale,$Y113),"Aging","Fresh")))</f>
        <v/>
      </c>
      <c r="AD113" s="65" t="str">
        <f aca="false">IF($A113="","",IF(OR(ISNUMBER(SEARCH("Reg report",$J113)),ISNUMBER(SEARCH("No human review",$J113)),COUNTIF(TierFuncs,$D113)&gt;0),"High",IF(OR(TRIM($J113)&lt;&gt;"",ISNUMBER(SEARCH("revenue",$K113))),"Medium","Low")))</f>
        <v/>
      </c>
      <c r="AE113" s="65" t="str">
        <f aca="false">IF($A113="","",INDEX(TierDays,MATCH($AD113,TierName,0)))</f>
        <v/>
      </c>
      <c r="AF113" s="65" t="str">
        <f aca="false">IF($A113="","",AsOf-$G113)</f>
        <v/>
      </c>
      <c r="AG113" s="65" t="str">
        <f aca="false">IF($Y113="","",IF($Y113&lt;=5,IF($AF113&gt;$AE113,"Over","Inside"),"Past approval"))</f>
        <v/>
      </c>
      <c r="AH113" s="65" t="str">
        <f aca="false">IF($Y113="","",CHOOSE($Y113,IF(OR(TRIM($F113)="",ISNUMBER(SEARCH("not named",$F113))),"Critical","Good"),IF($O113&lt;&gt;"Y","Critical",IF($Q113&lt;&gt;"Y","Warning","Good")),IF($P113="","Critical",IF($P113="partial","Warning",IF($P113="ready","Good","Critical"))),IF($R113&lt;&gt;"","Critical","Warning"),IF($L113="","Critical",IF($N113="","Warning","Good")),IF($R113&lt;&gt;"","Critical","Warning"),IF($R113&lt;&gt;"","Critical","Warning"),IF($Q113="Y","Good","Critical")))</f>
        <v/>
      </c>
      <c r="AI113" s="65" t="str">
        <f aca="false">IF($Y113="","",CHOOSE($Y113,IF(OR(TRIM($F113)="",ISNUMBER(SEARCH("not named",$F113))),"Name a sponsor accountable for the value",""),IF($O113&lt;&gt;"Y","State the success metric and the stop condition",IF($Q113&lt;&gt;"Y","Set the baseline the benefit will be measured against","")),IF($P113="","Assess data readiness and regulatory impact",IF($P113="partial","Close the known data gaps",IF($P113="ready","","Data is not available; reshape or park"))),IF($R113&lt;&gt;"",IF(OR(ISNUMBER(SEARCH("mrm",$R113)),ISNUMBER(SEARCH("model",$R113)),ISNUMBER(SEARCH("risk",$R113)),ISNUMBER(SEARCH("legal",$R113)),ISNUMBER(SEARCH("complian",$R113))),"Awaiting ","Held at the design gate: ")&amp;$R113,"Map the governance framework for its tier"),IF($L113="","Size the annual benefit",IF($N113="","Score it so it can be ranked against capacity","")),IF($R113&lt;&gt;"","Build held: "&amp;$R113,"In build, not yet through test"),IF($R113&lt;&gt;"","Not ready to scale: "&amp;$R113,"Monitoring and third-party review not yet signed off"),IF($Q113="Y","","Live without a measured baseline to judge it against")))</f>
        <v/>
      </c>
      <c r="AJ113" s="65" t="str">
        <f aca="false">IF($Y113="","",INDEX(StageForum,$Y113))</f>
        <v/>
      </c>
      <c r="AK113" s="65" t="str">
        <f aca="false">IF($Y113="","",IF(OR($X113="Delivery",$X113="Value"),"Committed",IF($N113&lt;&gt;"","Candidate","")))</f>
        <v/>
      </c>
      <c r="AL113" s="65" t="str">
        <f aca="false">IF($AK113&lt;&gt;"Candidate","",COUNTIFS($AK$2:$AK$501,"Candidate",$N$2:$N$501,"&gt;"&amp;$N113)+COUNTIFS($AK$2:$AK$501,"Candidate",$N$2:$N$501,$N113,$A$2:$A$501,"&lt;"&amp;$A113)+1)</f>
        <v/>
      </c>
      <c r="AM113" s="65" t="str">
        <f aca="false">IF($AL113="","",SUMIFS($M$2:$M$501,$AK$2:$AK$501,"Candidate",$AL$2:$AL$501,"&lt;="&amp;$AL113))</f>
        <v/>
      </c>
      <c r="AN113" s="65" t="str">
        <f aca="false">IF($AL113="","",IF($AM113&lt;=CapacityOpen,"Fits","Below line"))</f>
        <v/>
      </c>
      <c r="AO113" s="65" t="str">
        <f aca="false">IF($A113="","",IF($X113="Closed","",IF($X113="Unmapped","Warning",IF(OR($AB113="Overdue",$V113="Y",$AH113="Critical"),"Critical",IF(OR($AB113="At risk",$AC113="Stale",$AG113="Over"),"Warning","")))))</f>
        <v/>
      </c>
      <c r="AP113" s="65" t="str">
        <f aca="false">IF($AO113="","",IF($AO113="Critical",3000,2000)-IF($Z113="",0,$Z113)+ROW()/100000)</f>
        <v/>
      </c>
      <c r="AQ113" s="65" t="str">
        <f aca="false">IF($AO113="","",IF($X113="Unmapped","Status '"&amp;$C113&amp;"' is not in the Config map",IF($V113="Y","Flagged in Jira",IF($AB113="Overdue",-$Z113&amp;" days past its "&amp;$X113&amp;" target",IF($AH113="Critical",$AI113,IF($AB113="At risk","Target in "&amp;$Z113&amp;" days",IF($AC113="Stale","No update in "&amp;$AA113&amp;" days","Past its "&amp;$AE113&amp;"-day tier window")))))))</f>
        <v/>
      </c>
      <c r="AR113" s="65" t="str">
        <f aca="false">IF($AO113="","","draft Jira update for "&amp;$A113)</f>
        <v/>
      </c>
      <c r="AS113" s="65" t="str">
        <f aca="false">IF($A113="","",HYPERLINK(JiraSite&amp;"/browse/"&amp;$A113,"open"))</f>
        <v/>
      </c>
      <c r="AT113" s="65" t="str">
        <f aca="false">IF($Y113="","",$Y113*1000+ROW())</f>
        <v/>
      </c>
      <c r="AU113" s="65" t="str">
        <f aca="false">IF(AND($A113&lt;&gt;"",$G113&gt;=WeekStart),$G113+ROW()/100000,"")</f>
        <v/>
      </c>
      <c r="AV113" s="65" t="str">
        <f aca="false">IF($A113="","",IF(OR(AND($S113&lt;&gt;"",$S113&gt;=WeekStart),AND($U113&lt;&gt;"",$U113&gt;=WeekStart)),MAX($S113,$U113)+ROW()/100000,""))</f>
        <v/>
      </c>
      <c r="AW113" s="65" t="str">
        <f aca="false">IF($AV113="","",IF($T113&lt;&gt;"",$T113,IF($X113="Closed","Closed","Accepted to "&amp;$X113)))</f>
        <v/>
      </c>
      <c r="AX113" s="65" t="str">
        <f aca="false">IF(AND($Y113&lt;&gt;"",$R113&lt;&gt;""),$AF113+ROW()/100000,"")</f>
        <v/>
      </c>
      <c r="AY113" s="65" t="str">
        <f aca="false">IF(AND($Y113&lt;&gt;"",OR($AB113="Overdue",AND($AH113="Critical",$R113&lt;&gt;""))),$AF113+ROW()/100000,"")</f>
        <v/>
      </c>
      <c r="AZ113" s="65" t="str">
        <f aca="false">IF($AH113="Critical",$AF113+ROW()/100000,"")</f>
        <v/>
      </c>
    </row>
    <row r="114" customFormat="false" ht="15" hidden="false" customHeight="false" outlineLevel="0" collapsed="false">
      <c r="A114" s="28"/>
      <c r="B114" s="28"/>
      <c r="C114" s="28"/>
      <c r="D114" s="28"/>
      <c r="E114" s="28"/>
      <c r="F114" s="28"/>
      <c r="G114" s="63"/>
      <c r="H114" s="63"/>
      <c r="I114" s="63"/>
      <c r="J114" s="28"/>
      <c r="K114" s="28"/>
      <c r="L114" s="28"/>
      <c r="M114" s="28"/>
      <c r="N114" s="28"/>
      <c r="O114" s="64"/>
      <c r="P114" s="64"/>
      <c r="Q114" s="64"/>
      <c r="R114" s="28"/>
      <c r="S114" s="63"/>
      <c r="T114" s="64"/>
      <c r="U114" s="63"/>
      <c r="V114" s="64"/>
      <c r="W114" s="28"/>
      <c r="X114" s="65" t="str">
        <f aca="false">IF($A114="","",IF(OR($T114&lt;&gt;"",$U114&lt;&gt;""),"Closed",IFERROR(INDEX(MapStage,MATCH($C114,MapStatus,0)),"Unmapped")))</f>
        <v/>
      </c>
      <c r="Y114" s="65" t="str">
        <f aca="false">IF(OR($X114="",$X114="Closed",$X114="Unmapped"),"",MATCH($X114,StageName,0))</f>
        <v/>
      </c>
      <c r="Z114" s="65" t="str">
        <f aca="false">IF(OR($Y114="",$I114=""),"",$I114-AsOf)</f>
        <v/>
      </c>
      <c r="AA114" s="65" t="str">
        <f aca="false">IF($A114="","",AsOf-$H114)</f>
        <v/>
      </c>
      <c r="AB114" s="65" t="str">
        <f aca="false">IF($A114="","",IF($X114="Closed","Closed",IF($X114="Unmapped","Unmapped",IF($I114="","No target",IF($Z114&lt;0,"Overdue",IF($Z114&lt;=INDEX(StageWindow,$Y114),"At risk","On track"))))))</f>
        <v/>
      </c>
      <c r="AC114" s="65" t="str">
        <f aca="false">IF($Y114="","",IF($AA114&gt;2*INDEX(StageStale,$Y114),"Stale",IF($AA114&gt;INDEX(StageStale,$Y114),"Aging","Fresh")))</f>
        <v/>
      </c>
      <c r="AD114" s="65" t="str">
        <f aca="false">IF($A114="","",IF(OR(ISNUMBER(SEARCH("Reg report",$J114)),ISNUMBER(SEARCH("No human review",$J114)),COUNTIF(TierFuncs,$D114)&gt;0),"High",IF(OR(TRIM($J114)&lt;&gt;"",ISNUMBER(SEARCH("revenue",$K114))),"Medium","Low")))</f>
        <v/>
      </c>
      <c r="AE114" s="65" t="str">
        <f aca="false">IF($A114="","",INDEX(TierDays,MATCH($AD114,TierName,0)))</f>
        <v/>
      </c>
      <c r="AF114" s="65" t="str">
        <f aca="false">IF($A114="","",AsOf-$G114)</f>
        <v/>
      </c>
      <c r="AG114" s="65" t="str">
        <f aca="false">IF($Y114="","",IF($Y114&lt;=5,IF($AF114&gt;$AE114,"Over","Inside"),"Past approval"))</f>
        <v/>
      </c>
      <c r="AH114" s="65" t="str">
        <f aca="false">IF($Y114="","",CHOOSE($Y114,IF(OR(TRIM($F114)="",ISNUMBER(SEARCH("not named",$F114))),"Critical","Good"),IF($O114&lt;&gt;"Y","Critical",IF($Q114&lt;&gt;"Y","Warning","Good")),IF($P114="","Critical",IF($P114="partial","Warning",IF($P114="ready","Good","Critical"))),IF($R114&lt;&gt;"","Critical","Warning"),IF($L114="","Critical",IF($N114="","Warning","Good")),IF($R114&lt;&gt;"","Critical","Warning"),IF($R114&lt;&gt;"","Critical","Warning"),IF($Q114="Y","Good","Critical")))</f>
        <v/>
      </c>
      <c r="AI114" s="65" t="str">
        <f aca="false">IF($Y114="","",CHOOSE($Y114,IF(OR(TRIM($F114)="",ISNUMBER(SEARCH("not named",$F114))),"Name a sponsor accountable for the value",""),IF($O114&lt;&gt;"Y","State the success metric and the stop condition",IF($Q114&lt;&gt;"Y","Set the baseline the benefit will be measured against","")),IF($P114="","Assess data readiness and regulatory impact",IF($P114="partial","Close the known data gaps",IF($P114="ready","","Data is not available; reshape or park"))),IF($R114&lt;&gt;"",IF(OR(ISNUMBER(SEARCH("mrm",$R114)),ISNUMBER(SEARCH("model",$R114)),ISNUMBER(SEARCH("risk",$R114)),ISNUMBER(SEARCH("legal",$R114)),ISNUMBER(SEARCH("complian",$R114))),"Awaiting ","Held at the design gate: ")&amp;$R114,"Map the governance framework for its tier"),IF($L114="","Size the annual benefit",IF($N114="","Score it so it can be ranked against capacity","")),IF($R114&lt;&gt;"","Build held: "&amp;$R114,"In build, not yet through test"),IF($R114&lt;&gt;"","Not ready to scale: "&amp;$R114,"Monitoring and third-party review not yet signed off"),IF($Q114="Y","","Live without a measured baseline to judge it against")))</f>
        <v/>
      </c>
      <c r="AJ114" s="65" t="str">
        <f aca="false">IF($Y114="","",INDEX(StageForum,$Y114))</f>
        <v/>
      </c>
      <c r="AK114" s="65" t="str">
        <f aca="false">IF($Y114="","",IF(OR($X114="Delivery",$X114="Value"),"Committed",IF($N114&lt;&gt;"","Candidate","")))</f>
        <v/>
      </c>
      <c r="AL114" s="65" t="str">
        <f aca="false">IF($AK114&lt;&gt;"Candidate","",COUNTIFS($AK$2:$AK$501,"Candidate",$N$2:$N$501,"&gt;"&amp;$N114)+COUNTIFS($AK$2:$AK$501,"Candidate",$N$2:$N$501,$N114,$A$2:$A$501,"&lt;"&amp;$A114)+1)</f>
        <v/>
      </c>
      <c r="AM114" s="65" t="str">
        <f aca="false">IF($AL114="","",SUMIFS($M$2:$M$501,$AK$2:$AK$501,"Candidate",$AL$2:$AL$501,"&lt;="&amp;$AL114))</f>
        <v/>
      </c>
      <c r="AN114" s="65" t="str">
        <f aca="false">IF($AL114="","",IF($AM114&lt;=CapacityOpen,"Fits","Below line"))</f>
        <v/>
      </c>
      <c r="AO114" s="65" t="str">
        <f aca="false">IF($A114="","",IF($X114="Closed","",IF($X114="Unmapped","Warning",IF(OR($AB114="Overdue",$V114="Y",$AH114="Critical"),"Critical",IF(OR($AB114="At risk",$AC114="Stale",$AG114="Over"),"Warning","")))))</f>
        <v/>
      </c>
      <c r="AP114" s="65" t="str">
        <f aca="false">IF($AO114="","",IF($AO114="Critical",3000,2000)-IF($Z114="",0,$Z114)+ROW()/100000)</f>
        <v/>
      </c>
      <c r="AQ114" s="65" t="str">
        <f aca="false">IF($AO114="","",IF($X114="Unmapped","Status '"&amp;$C114&amp;"' is not in the Config map",IF($V114="Y","Flagged in Jira",IF($AB114="Overdue",-$Z114&amp;" days past its "&amp;$X114&amp;" target",IF($AH114="Critical",$AI114,IF($AB114="At risk","Target in "&amp;$Z114&amp;" days",IF($AC114="Stale","No update in "&amp;$AA114&amp;" days","Past its "&amp;$AE114&amp;"-day tier window")))))))</f>
        <v/>
      </c>
      <c r="AR114" s="65" t="str">
        <f aca="false">IF($AO114="","","draft Jira update for "&amp;$A114)</f>
        <v/>
      </c>
      <c r="AS114" s="65" t="str">
        <f aca="false">IF($A114="","",HYPERLINK(JiraSite&amp;"/browse/"&amp;$A114,"open"))</f>
        <v/>
      </c>
      <c r="AT114" s="65" t="str">
        <f aca="false">IF($Y114="","",$Y114*1000+ROW())</f>
        <v/>
      </c>
      <c r="AU114" s="65" t="str">
        <f aca="false">IF(AND($A114&lt;&gt;"",$G114&gt;=WeekStart),$G114+ROW()/100000,"")</f>
        <v/>
      </c>
      <c r="AV114" s="65" t="str">
        <f aca="false">IF($A114="","",IF(OR(AND($S114&lt;&gt;"",$S114&gt;=WeekStart),AND($U114&lt;&gt;"",$U114&gt;=WeekStart)),MAX($S114,$U114)+ROW()/100000,""))</f>
        <v/>
      </c>
      <c r="AW114" s="65" t="str">
        <f aca="false">IF($AV114="","",IF($T114&lt;&gt;"",$T114,IF($X114="Closed","Closed","Accepted to "&amp;$X114)))</f>
        <v/>
      </c>
      <c r="AX114" s="65" t="str">
        <f aca="false">IF(AND($Y114&lt;&gt;"",$R114&lt;&gt;""),$AF114+ROW()/100000,"")</f>
        <v/>
      </c>
      <c r="AY114" s="65" t="str">
        <f aca="false">IF(AND($Y114&lt;&gt;"",OR($AB114="Overdue",AND($AH114="Critical",$R114&lt;&gt;""))),$AF114+ROW()/100000,"")</f>
        <v/>
      </c>
      <c r="AZ114" s="65" t="str">
        <f aca="false">IF($AH114="Critical",$AF114+ROW()/100000,"")</f>
        <v/>
      </c>
    </row>
    <row r="115" customFormat="false" ht="15" hidden="false" customHeight="false" outlineLevel="0" collapsed="false">
      <c r="A115" s="28"/>
      <c r="B115" s="28"/>
      <c r="C115" s="28"/>
      <c r="D115" s="28"/>
      <c r="E115" s="28"/>
      <c r="F115" s="28"/>
      <c r="G115" s="63"/>
      <c r="H115" s="63"/>
      <c r="I115" s="63"/>
      <c r="J115" s="28"/>
      <c r="K115" s="28"/>
      <c r="L115" s="28"/>
      <c r="M115" s="28"/>
      <c r="N115" s="28"/>
      <c r="O115" s="64"/>
      <c r="P115" s="64"/>
      <c r="Q115" s="64"/>
      <c r="R115" s="28"/>
      <c r="S115" s="63"/>
      <c r="T115" s="64"/>
      <c r="U115" s="63"/>
      <c r="V115" s="64"/>
      <c r="W115" s="28"/>
      <c r="X115" s="65" t="str">
        <f aca="false">IF($A115="","",IF(OR($T115&lt;&gt;"",$U115&lt;&gt;""),"Closed",IFERROR(INDEX(MapStage,MATCH($C115,MapStatus,0)),"Unmapped")))</f>
        <v/>
      </c>
      <c r="Y115" s="65" t="str">
        <f aca="false">IF(OR($X115="",$X115="Closed",$X115="Unmapped"),"",MATCH($X115,StageName,0))</f>
        <v/>
      </c>
      <c r="Z115" s="65" t="str">
        <f aca="false">IF(OR($Y115="",$I115=""),"",$I115-AsOf)</f>
        <v/>
      </c>
      <c r="AA115" s="65" t="str">
        <f aca="false">IF($A115="","",AsOf-$H115)</f>
        <v/>
      </c>
      <c r="AB115" s="65" t="str">
        <f aca="false">IF($A115="","",IF($X115="Closed","Closed",IF($X115="Unmapped","Unmapped",IF($I115="","No target",IF($Z115&lt;0,"Overdue",IF($Z115&lt;=INDEX(StageWindow,$Y115),"At risk","On track"))))))</f>
        <v/>
      </c>
      <c r="AC115" s="65" t="str">
        <f aca="false">IF($Y115="","",IF($AA115&gt;2*INDEX(StageStale,$Y115),"Stale",IF($AA115&gt;INDEX(StageStale,$Y115),"Aging","Fresh")))</f>
        <v/>
      </c>
      <c r="AD115" s="65" t="str">
        <f aca="false">IF($A115="","",IF(OR(ISNUMBER(SEARCH("Reg report",$J115)),ISNUMBER(SEARCH("No human review",$J115)),COUNTIF(TierFuncs,$D115)&gt;0),"High",IF(OR(TRIM($J115)&lt;&gt;"",ISNUMBER(SEARCH("revenue",$K115))),"Medium","Low")))</f>
        <v/>
      </c>
      <c r="AE115" s="65" t="str">
        <f aca="false">IF($A115="","",INDEX(TierDays,MATCH($AD115,TierName,0)))</f>
        <v/>
      </c>
      <c r="AF115" s="65" t="str">
        <f aca="false">IF($A115="","",AsOf-$G115)</f>
        <v/>
      </c>
      <c r="AG115" s="65" t="str">
        <f aca="false">IF($Y115="","",IF($Y115&lt;=5,IF($AF115&gt;$AE115,"Over","Inside"),"Past approval"))</f>
        <v/>
      </c>
      <c r="AH115" s="65" t="str">
        <f aca="false">IF($Y115="","",CHOOSE($Y115,IF(OR(TRIM($F115)="",ISNUMBER(SEARCH("not named",$F115))),"Critical","Good"),IF($O115&lt;&gt;"Y","Critical",IF($Q115&lt;&gt;"Y","Warning","Good")),IF($P115="","Critical",IF($P115="partial","Warning",IF($P115="ready","Good","Critical"))),IF($R115&lt;&gt;"","Critical","Warning"),IF($L115="","Critical",IF($N115="","Warning","Good")),IF($R115&lt;&gt;"","Critical","Warning"),IF($R115&lt;&gt;"","Critical","Warning"),IF($Q115="Y","Good","Critical")))</f>
        <v/>
      </c>
      <c r="AI115" s="65" t="str">
        <f aca="false">IF($Y115="","",CHOOSE($Y115,IF(OR(TRIM($F115)="",ISNUMBER(SEARCH("not named",$F115))),"Name a sponsor accountable for the value",""),IF($O115&lt;&gt;"Y","State the success metric and the stop condition",IF($Q115&lt;&gt;"Y","Set the baseline the benefit will be measured against","")),IF($P115="","Assess data readiness and regulatory impact",IF($P115="partial","Close the known data gaps",IF($P115="ready","","Data is not available; reshape or park"))),IF($R115&lt;&gt;"",IF(OR(ISNUMBER(SEARCH("mrm",$R115)),ISNUMBER(SEARCH("model",$R115)),ISNUMBER(SEARCH("risk",$R115)),ISNUMBER(SEARCH("legal",$R115)),ISNUMBER(SEARCH("complian",$R115))),"Awaiting ","Held at the design gate: ")&amp;$R115,"Map the governance framework for its tier"),IF($L115="","Size the annual benefit",IF($N115="","Score it so it can be ranked against capacity","")),IF($R115&lt;&gt;"","Build held: "&amp;$R115,"In build, not yet through test"),IF($R115&lt;&gt;"","Not ready to scale: "&amp;$R115,"Monitoring and third-party review not yet signed off"),IF($Q115="Y","","Live without a measured baseline to judge it against")))</f>
        <v/>
      </c>
      <c r="AJ115" s="65" t="str">
        <f aca="false">IF($Y115="","",INDEX(StageForum,$Y115))</f>
        <v/>
      </c>
      <c r="AK115" s="65" t="str">
        <f aca="false">IF($Y115="","",IF(OR($X115="Delivery",$X115="Value"),"Committed",IF($N115&lt;&gt;"","Candidate","")))</f>
        <v/>
      </c>
      <c r="AL115" s="65" t="str">
        <f aca="false">IF($AK115&lt;&gt;"Candidate","",COUNTIFS($AK$2:$AK$501,"Candidate",$N$2:$N$501,"&gt;"&amp;$N115)+COUNTIFS($AK$2:$AK$501,"Candidate",$N$2:$N$501,$N115,$A$2:$A$501,"&lt;"&amp;$A115)+1)</f>
        <v/>
      </c>
      <c r="AM115" s="65" t="str">
        <f aca="false">IF($AL115="","",SUMIFS($M$2:$M$501,$AK$2:$AK$501,"Candidate",$AL$2:$AL$501,"&lt;="&amp;$AL115))</f>
        <v/>
      </c>
      <c r="AN115" s="65" t="str">
        <f aca="false">IF($AL115="","",IF($AM115&lt;=CapacityOpen,"Fits","Below line"))</f>
        <v/>
      </c>
      <c r="AO115" s="65" t="str">
        <f aca="false">IF($A115="","",IF($X115="Closed","",IF($X115="Unmapped","Warning",IF(OR($AB115="Overdue",$V115="Y",$AH115="Critical"),"Critical",IF(OR($AB115="At risk",$AC115="Stale",$AG115="Over"),"Warning","")))))</f>
        <v/>
      </c>
      <c r="AP115" s="65" t="str">
        <f aca="false">IF($AO115="","",IF($AO115="Critical",3000,2000)-IF($Z115="",0,$Z115)+ROW()/100000)</f>
        <v/>
      </c>
      <c r="AQ115" s="65" t="str">
        <f aca="false">IF($AO115="","",IF($X115="Unmapped","Status '"&amp;$C115&amp;"' is not in the Config map",IF($V115="Y","Flagged in Jira",IF($AB115="Overdue",-$Z115&amp;" days past its "&amp;$X115&amp;" target",IF($AH115="Critical",$AI115,IF($AB115="At risk","Target in "&amp;$Z115&amp;" days",IF($AC115="Stale","No update in "&amp;$AA115&amp;" days","Past its "&amp;$AE115&amp;"-day tier window")))))))</f>
        <v/>
      </c>
      <c r="AR115" s="65" t="str">
        <f aca="false">IF($AO115="","","draft Jira update for "&amp;$A115)</f>
        <v/>
      </c>
      <c r="AS115" s="65" t="str">
        <f aca="false">IF($A115="","",HYPERLINK(JiraSite&amp;"/browse/"&amp;$A115,"open"))</f>
        <v/>
      </c>
      <c r="AT115" s="65" t="str">
        <f aca="false">IF($Y115="","",$Y115*1000+ROW())</f>
        <v/>
      </c>
      <c r="AU115" s="65" t="str">
        <f aca="false">IF(AND($A115&lt;&gt;"",$G115&gt;=WeekStart),$G115+ROW()/100000,"")</f>
        <v/>
      </c>
      <c r="AV115" s="65" t="str">
        <f aca="false">IF($A115="","",IF(OR(AND($S115&lt;&gt;"",$S115&gt;=WeekStart),AND($U115&lt;&gt;"",$U115&gt;=WeekStart)),MAX($S115,$U115)+ROW()/100000,""))</f>
        <v/>
      </c>
      <c r="AW115" s="65" t="str">
        <f aca="false">IF($AV115="","",IF($T115&lt;&gt;"",$T115,IF($X115="Closed","Closed","Accepted to "&amp;$X115)))</f>
        <v/>
      </c>
      <c r="AX115" s="65" t="str">
        <f aca="false">IF(AND($Y115&lt;&gt;"",$R115&lt;&gt;""),$AF115+ROW()/100000,"")</f>
        <v/>
      </c>
      <c r="AY115" s="65" t="str">
        <f aca="false">IF(AND($Y115&lt;&gt;"",OR($AB115="Overdue",AND($AH115="Critical",$R115&lt;&gt;""))),$AF115+ROW()/100000,"")</f>
        <v/>
      </c>
      <c r="AZ115" s="65" t="str">
        <f aca="false">IF($AH115="Critical",$AF115+ROW()/100000,"")</f>
        <v/>
      </c>
    </row>
    <row r="116" customFormat="false" ht="15" hidden="false" customHeight="false" outlineLevel="0" collapsed="false">
      <c r="A116" s="28"/>
      <c r="B116" s="28"/>
      <c r="C116" s="28"/>
      <c r="D116" s="28"/>
      <c r="E116" s="28"/>
      <c r="F116" s="28"/>
      <c r="G116" s="63"/>
      <c r="H116" s="63"/>
      <c r="I116" s="63"/>
      <c r="J116" s="28"/>
      <c r="K116" s="28"/>
      <c r="L116" s="28"/>
      <c r="M116" s="28"/>
      <c r="N116" s="28"/>
      <c r="O116" s="64"/>
      <c r="P116" s="64"/>
      <c r="Q116" s="64"/>
      <c r="R116" s="28"/>
      <c r="S116" s="63"/>
      <c r="T116" s="64"/>
      <c r="U116" s="63"/>
      <c r="V116" s="64"/>
      <c r="W116" s="28"/>
      <c r="X116" s="65" t="str">
        <f aca="false">IF($A116="","",IF(OR($T116&lt;&gt;"",$U116&lt;&gt;""),"Closed",IFERROR(INDEX(MapStage,MATCH($C116,MapStatus,0)),"Unmapped")))</f>
        <v/>
      </c>
      <c r="Y116" s="65" t="str">
        <f aca="false">IF(OR($X116="",$X116="Closed",$X116="Unmapped"),"",MATCH($X116,StageName,0))</f>
        <v/>
      </c>
      <c r="Z116" s="65" t="str">
        <f aca="false">IF(OR($Y116="",$I116=""),"",$I116-AsOf)</f>
        <v/>
      </c>
      <c r="AA116" s="65" t="str">
        <f aca="false">IF($A116="","",AsOf-$H116)</f>
        <v/>
      </c>
      <c r="AB116" s="65" t="str">
        <f aca="false">IF($A116="","",IF($X116="Closed","Closed",IF($X116="Unmapped","Unmapped",IF($I116="","No target",IF($Z116&lt;0,"Overdue",IF($Z116&lt;=INDEX(StageWindow,$Y116),"At risk","On track"))))))</f>
        <v/>
      </c>
      <c r="AC116" s="65" t="str">
        <f aca="false">IF($Y116="","",IF($AA116&gt;2*INDEX(StageStale,$Y116),"Stale",IF($AA116&gt;INDEX(StageStale,$Y116),"Aging","Fresh")))</f>
        <v/>
      </c>
      <c r="AD116" s="65" t="str">
        <f aca="false">IF($A116="","",IF(OR(ISNUMBER(SEARCH("Reg report",$J116)),ISNUMBER(SEARCH("No human review",$J116)),COUNTIF(TierFuncs,$D116)&gt;0),"High",IF(OR(TRIM($J116)&lt;&gt;"",ISNUMBER(SEARCH("revenue",$K116))),"Medium","Low")))</f>
        <v/>
      </c>
      <c r="AE116" s="65" t="str">
        <f aca="false">IF($A116="","",INDEX(TierDays,MATCH($AD116,TierName,0)))</f>
        <v/>
      </c>
      <c r="AF116" s="65" t="str">
        <f aca="false">IF($A116="","",AsOf-$G116)</f>
        <v/>
      </c>
      <c r="AG116" s="65" t="str">
        <f aca="false">IF($Y116="","",IF($Y116&lt;=5,IF($AF116&gt;$AE116,"Over","Inside"),"Past approval"))</f>
        <v/>
      </c>
      <c r="AH116" s="65" t="str">
        <f aca="false">IF($Y116="","",CHOOSE($Y116,IF(OR(TRIM($F116)="",ISNUMBER(SEARCH("not named",$F116))),"Critical","Good"),IF($O116&lt;&gt;"Y","Critical",IF($Q116&lt;&gt;"Y","Warning","Good")),IF($P116="","Critical",IF($P116="partial","Warning",IF($P116="ready","Good","Critical"))),IF($R116&lt;&gt;"","Critical","Warning"),IF($L116="","Critical",IF($N116="","Warning","Good")),IF($R116&lt;&gt;"","Critical","Warning"),IF($R116&lt;&gt;"","Critical","Warning"),IF($Q116="Y","Good","Critical")))</f>
        <v/>
      </c>
      <c r="AI116" s="65" t="str">
        <f aca="false">IF($Y116="","",CHOOSE($Y116,IF(OR(TRIM($F116)="",ISNUMBER(SEARCH("not named",$F116))),"Name a sponsor accountable for the value",""),IF($O116&lt;&gt;"Y","State the success metric and the stop condition",IF($Q116&lt;&gt;"Y","Set the baseline the benefit will be measured against","")),IF($P116="","Assess data readiness and regulatory impact",IF($P116="partial","Close the known data gaps",IF($P116="ready","","Data is not available; reshape or park"))),IF($R116&lt;&gt;"",IF(OR(ISNUMBER(SEARCH("mrm",$R116)),ISNUMBER(SEARCH("model",$R116)),ISNUMBER(SEARCH("risk",$R116)),ISNUMBER(SEARCH("legal",$R116)),ISNUMBER(SEARCH("complian",$R116))),"Awaiting ","Held at the design gate: ")&amp;$R116,"Map the governance framework for its tier"),IF($L116="","Size the annual benefit",IF($N116="","Score it so it can be ranked against capacity","")),IF($R116&lt;&gt;"","Build held: "&amp;$R116,"In build, not yet through test"),IF($R116&lt;&gt;"","Not ready to scale: "&amp;$R116,"Monitoring and third-party review not yet signed off"),IF($Q116="Y","","Live without a measured baseline to judge it against")))</f>
        <v/>
      </c>
      <c r="AJ116" s="65" t="str">
        <f aca="false">IF($Y116="","",INDEX(StageForum,$Y116))</f>
        <v/>
      </c>
      <c r="AK116" s="65" t="str">
        <f aca="false">IF($Y116="","",IF(OR($X116="Delivery",$X116="Value"),"Committed",IF($N116&lt;&gt;"","Candidate","")))</f>
        <v/>
      </c>
      <c r="AL116" s="65" t="str">
        <f aca="false">IF($AK116&lt;&gt;"Candidate","",COUNTIFS($AK$2:$AK$501,"Candidate",$N$2:$N$501,"&gt;"&amp;$N116)+COUNTIFS($AK$2:$AK$501,"Candidate",$N$2:$N$501,$N116,$A$2:$A$501,"&lt;"&amp;$A116)+1)</f>
        <v/>
      </c>
      <c r="AM116" s="65" t="str">
        <f aca="false">IF($AL116="","",SUMIFS($M$2:$M$501,$AK$2:$AK$501,"Candidate",$AL$2:$AL$501,"&lt;="&amp;$AL116))</f>
        <v/>
      </c>
      <c r="AN116" s="65" t="str">
        <f aca="false">IF($AL116="","",IF($AM116&lt;=CapacityOpen,"Fits","Below line"))</f>
        <v/>
      </c>
      <c r="AO116" s="65" t="str">
        <f aca="false">IF($A116="","",IF($X116="Closed","",IF($X116="Unmapped","Warning",IF(OR($AB116="Overdue",$V116="Y",$AH116="Critical"),"Critical",IF(OR($AB116="At risk",$AC116="Stale",$AG116="Over"),"Warning","")))))</f>
        <v/>
      </c>
      <c r="AP116" s="65" t="str">
        <f aca="false">IF($AO116="","",IF($AO116="Critical",3000,2000)-IF($Z116="",0,$Z116)+ROW()/100000)</f>
        <v/>
      </c>
      <c r="AQ116" s="65" t="str">
        <f aca="false">IF($AO116="","",IF($X116="Unmapped","Status '"&amp;$C116&amp;"' is not in the Config map",IF($V116="Y","Flagged in Jira",IF($AB116="Overdue",-$Z116&amp;" days past its "&amp;$X116&amp;" target",IF($AH116="Critical",$AI116,IF($AB116="At risk","Target in "&amp;$Z116&amp;" days",IF($AC116="Stale","No update in "&amp;$AA116&amp;" days","Past its "&amp;$AE116&amp;"-day tier window")))))))</f>
        <v/>
      </c>
      <c r="AR116" s="65" t="str">
        <f aca="false">IF($AO116="","","draft Jira update for "&amp;$A116)</f>
        <v/>
      </c>
      <c r="AS116" s="65" t="str">
        <f aca="false">IF($A116="","",HYPERLINK(JiraSite&amp;"/browse/"&amp;$A116,"open"))</f>
        <v/>
      </c>
      <c r="AT116" s="65" t="str">
        <f aca="false">IF($Y116="","",$Y116*1000+ROW())</f>
        <v/>
      </c>
      <c r="AU116" s="65" t="str">
        <f aca="false">IF(AND($A116&lt;&gt;"",$G116&gt;=WeekStart),$G116+ROW()/100000,"")</f>
        <v/>
      </c>
      <c r="AV116" s="65" t="str">
        <f aca="false">IF($A116="","",IF(OR(AND($S116&lt;&gt;"",$S116&gt;=WeekStart),AND($U116&lt;&gt;"",$U116&gt;=WeekStart)),MAX($S116,$U116)+ROW()/100000,""))</f>
        <v/>
      </c>
      <c r="AW116" s="65" t="str">
        <f aca="false">IF($AV116="","",IF($T116&lt;&gt;"",$T116,IF($X116="Closed","Closed","Accepted to "&amp;$X116)))</f>
        <v/>
      </c>
      <c r="AX116" s="65" t="str">
        <f aca="false">IF(AND($Y116&lt;&gt;"",$R116&lt;&gt;""),$AF116+ROW()/100000,"")</f>
        <v/>
      </c>
      <c r="AY116" s="65" t="str">
        <f aca="false">IF(AND($Y116&lt;&gt;"",OR($AB116="Overdue",AND($AH116="Critical",$R116&lt;&gt;""))),$AF116+ROW()/100000,"")</f>
        <v/>
      </c>
      <c r="AZ116" s="65" t="str">
        <f aca="false">IF($AH116="Critical",$AF116+ROW()/100000,"")</f>
        <v/>
      </c>
    </row>
    <row r="117" customFormat="false" ht="15" hidden="false" customHeight="false" outlineLevel="0" collapsed="false">
      <c r="A117" s="28"/>
      <c r="B117" s="28"/>
      <c r="C117" s="28"/>
      <c r="D117" s="28"/>
      <c r="E117" s="28"/>
      <c r="F117" s="28"/>
      <c r="G117" s="63"/>
      <c r="H117" s="63"/>
      <c r="I117" s="63"/>
      <c r="J117" s="28"/>
      <c r="K117" s="28"/>
      <c r="L117" s="28"/>
      <c r="M117" s="28"/>
      <c r="N117" s="28"/>
      <c r="O117" s="64"/>
      <c r="P117" s="64"/>
      <c r="Q117" s="64"/>
      <c r="R117" s="28"/>
      <c r="S117" s="63"/>
      <c r="T117" s="64"/>
      <c r="U117" s="63"/>
      <c r="V117" s="64"/>
      <c r="W117" s="28"/>
      <c r="X117" s="65" t="str">
        <f aca="false">IF($A117="","",IF(OR($T117&lt;&gt;"",$U117&lt;&gt;""),"Closed",IFERROR(INDEX(MapStage,MATCH($C117,MapStatus,0)),"Unmapped")))</f>
        <v/>
      </c>
      <c r="Y117" s="65" t="str">
        <f aca="false">IF(OR($X117="",$X117="Closed",$X117="Unmapped"),"",MATCH($X117,StageName,0))</f>
        <v/>
      </c>
      <c r="Z117" s="65" t="str">
        <f aca="false">IF(OR($Y117="",$I117=""),"",$I117-AsOf)</f>
        <v/>
      </c>
      <c r="AA117" s="65" t="str">
        <f aca="false">IF($A117="","",AsOf-$H117)</f>
        <v/>
      </c>
      <c r="AB117" s="65" t="str">
        <f aca="false">IF($A117="","",IF($X117="Closed","Closed",IF($X117="Unmapped","Unmapped",IF($I117="","No target",IF($Z117&lt;0,"Overdue",IF($Z117&lt;=INDEX(StageWindow,$Y117),"At risk","On track"))))))</f>
        <v/>
      </c>
      <c r="AC117" s="65" t="str">
        <f aca="false">IF($Y117="","",IF($AA117&gt;2*INDEX(StageStale,$Y117),"Stale",IF($AA117&gt;INDEX(StageStale,$Y117),"Aging","Fresh")))</f>
        <v/>
      </c>
      <c r="AD117" s="65" t="str">
        <f aca="false">IF($A117="","",IF(OR(ISNUMBER(SEARCH("Reg report",$J117)),ISNUMBER(SEARCH("No human review",$J117)),COUNTIF(TierFuncs,$D117)&gt;0),"High",IF(OR(TRIM($J117)&lt;&gt;"",ISNUMBER(SEARCH("revenue",$K117))),"Medium","Low")))</f>
        <v/>
      </c>
      <c r="AE117" s="65" t="str">
        <f aca="false">IF($A117="","",INDEX(TierDays,MATCH($AD117,TierName,0)))</f>
        <v/>
      </c>
      <c r="AF117" s="65" t="str">
        <f aca="false">IF($A117="","",AsOf-$G117)</f>
        <v/>
      </c>
      <c r="AG117" s="65" t="str">
        <f aca="false">IF($Y117="","",IF($Y117&lt;=5,IF($AF117&gt;$AE117,"Over","Inside"),"Past approval"))</f>
        <v/>
      </c>
      <c r="AH117" s="65" t="str">
        <f aca="false">IF($Y117="","",CHOOSE($Y117,IF(OR(TRIM($F117)="",ISNUMBER(SEARCH("not named",$F117))),"Critical","Good"),IF($O117&lt;&gt;"Y","Critical",IF($Q117&lt;&gt;"Y","Warning","Good")),IF($P117="","Critical",IF($P117="partial","Warning",IF($P117="ready","Good","Critical"))),IF($R117&lt;&gt;"","Critical","Warning"),IF($L117="","Critical",IF($N117="","Warning","Good")),IF($R117&lt;&gt;"","Critical","Warning"),IF($R117&lt;&gt;"","Critical","Warning"),IF($Q117="Y","Good","Critical")))</f>
        <v/>
      </c>
      <c r="AI117" s="65" t="str">
        <f aca="false">IF($Y117="","",CHOOSE($Y117,IF(OR(TRIM($F117)="",ISNUMBER(SEARCH("not named",$F117))),"Name a sponsor accountable for the value",""),IF($O117&lt;&gt;"Y","State the success metric and the stop condition",IF($Q117&lt;&gt;"Y","Set the baseline the benefit will be measured against","")),IF($P117="","Assess data readiness and regulatory impact",IF($P117="partial","Close the known data gaps",IF($P117="ready","","Data is not available; reshape or park"))),IF($R117&lt;&gt;"",IF(OR(ISNUMBER(SEARCH("mrm",$R117)),ISNUMBER(SEARCH("model",$R117)),ISNUMBER(SEARCH("risk",$R117)),ISNUMBER(SEARCH("legal",$R117)),ISNUMBER(SEARCH("complian",$R117))),"Awaiting ","Held at the design gate: ")&amp;$R117,"Map the governance framework for its tier"),IF($L117="","Size the annual benefit",IF($N117="","Score it so it can be ranked against capacity","")),IF($R117&lt;&gt;"","Build held: "&amp;$R117,"In build, not yet through test"),IF($R117&lt;&gt;"","Not ready to scale: "&amp;$R117,"Monitoring and third-party review not yet signed off"),IF($Q117="Y","","Live without a measured baseline to judge it against")))</f>
        <v/>
      </c>
      <c r="AJ117" s="65" t="str">
        <f aca="false">IF($Y117="","",INDEX(StageForum,$Y117))</f>
        <v/>
      </c>
      <c r="AK117" s="65" t="str">
        <f aca="false">IF($Y117="","",IF(OR($X117="Delivery",$X117="Value"),"Committed",IF($N117&lt;&gt;"","Candidate","")))</f>
        <v/>
      </c>
      <c r="AL117" s="65" t="str">
        <f aca="false">IF($AK117&lt;&gt;"Candidate","",COUNTIFS($AK$2:$AK$501,"Candidate",$N$2:$N$501,"&gt;"&amp;$N117)+COUNTIFS($AK$2:$AK$501,"Candidate",$N$2:$N$501,$N117,$A$2:$A$501,"&lt;"&amp;$A117)+1)</f>
        <v/>
      </c>
      <c r="AM117" s="65" t="str">
        <f aca="false">IF($AL117="","",SUMIFS($M$2:$M$501,$AK$2:$AK$501,"Candidate",$AL$2:$AL$501,"&lt;="&amp;$AL117))</f>
        <v/>
      </c>
      <c r="AN117" s="65" t="str">
        <f aca="false">IF($AL117="","",IF($AM117&lt;=CapacityOpen,"Fits","Below line"))</f>
        <v/>
      </c>
      <c r="AO117" s="65" t="str">
        <f aca="false">IF($A117="","",IF($X117="Closed","",IF($X117="Unmapped","Warning",IF(OR($AB117="Overdue",$V117="Y",$AH117="Critical"),"Critical",IF(OR($AB117="At risk",$AC117="Stale",$AG117="Over"),"Warning","")))))</f>
        <v/>
      </c>
      <c r="AP117" s="65" t="str">
        <f aca="false">IF($AO117="","",IF($AO117="Critical",3000,2000)-IF($Z117="",0,$Z117)+ROW()/100000)</f>
        <v/>
      </c>
      <c r="AQ117" s="65" t="str">
        <f aca="false">IF($AO117="","",IF($X117="Unmapped","Status '"&amp;$C117&amp;"' is not in the Config map",IF($V117="Y","Flagged in Jira",IF($AB117="Overdue",-$Z117&amp;" days past its "&amp;$X117&amp;" target",IF($AH117="Critical",$AI117,IF($AB117="At risk","Target in "&amp;$Z117&amp;" days",IF($AC117="Stale","No update in "&amp;$AA117&amp;" days","Past its "&amp;$AE117&amp;"-day tier window")))))))</f>
        <v/>
      </c>
      <c r="AR117" s="65" t="str">
        <f aca="false">IF($AO117="","","draft Jira update for "&amp;$A117)</f>
        <v/>
      </c>
      <c r="AS117" s="65" t="str">
        <f aca="false">IF($A117="","",HYPERLINK(JiraSite&amp;"/browse/"&amp;$A117,"open"))</f>
        <v/>
      </c>
      <c r="AT117" s="65" t="str">
        <f aca="false">IF($Y117="","",$Y117*1000+ROW())</f>
        <v/>
      </c>
      <c r="AU117" s="65" t="str">
        <f aca="false">IF(AND($A117&lt;&gt;"",$G117&gt;=WeekStart),$G117+ROW()/100000,"")</f>
        <v/>
      </c>
      <c r="AV117" s="65" t="str">
        <f aca="false">IF($A117="","",IF(OR(AND($S117&lt;&gt;"",$S117&gt;=WeekStart),AND($U117&lt;&gt;"",$U117&gt;=WeekStart)),MAX($S117,$U117)+ROW()/100000,""))</f>
        <v/>
      </c>
      <c r="AW117" s="65" t="str">
        <f aca="false">IF($AV117="","",IF($T117&lt;&gt;"",$T117,IF($X117="Closed","Closed","Accepted to "&amp;$X117)))</f>
        <v/>
      </c>
      <c r="AX117" s="65" t="str">
        <f aca="false">IF(AND($Y117&lt;&gt;"",$R117&lt;&gt;""),$AF117+ROW()/100000,"")</f>
        <v/>
      </c>
      <c r="AY117" s="65" t="str">
        <f aca="false">IF(AND($Y117&lt;&gt;"",OR($AB117="Overdue",AND($AH117="Critical",$R117&lt;&gt;""))),$AF117+ROW()/100000,"")</f>
        <v/>
      </c>
      <c r="AZ117" s="65" t="str">
        <f aca="false">IF($AH117="Critical",$AF117+ROW()/100000,"")</f>
        <v/>
      </c>
    </row>
    <row r="118" customFormat="false" ht="15" hidden="false" customHeight="false" outlineLevel="0" collapsed="false">
      <c r="A118" s="28"/>
      <c r="B118" s="28"/>
      <c r="C118" s="28"/>
      <c r="D118" s="28"/>
      <c r="E118" s="28"/>
      <c r="F118" s="28"/>
      <c r="G118" s="63"/>
      <c r="H118" s="63"/>
      <c r="I118" s="63"/>
      <c r="J118" s="28"/>
      <c r="K118" s="28"/>
      <c r="L118" s="28"/>
      <c r="M118" s="28"/>
      <c r="N118" s="28"/>
      <c r="O118" s="64"/>
      <c r="P118" s="64"/>
      <c r="Q118" s="64"/>
      <c r="R118" s="28"/>
      <c r="S118" s="63"/>
      <c r="T118" s="64"/>
      <c r="U118" s="63"/>
      <c r="V118" s="64"/>
      <c r="W118" s="28"/>
      <c r="X118" s="65" t="str">
        <f aca="false">IF($A118="","",IF(OR($T118&lt;&gt;"",$U118&lt;&gt;""),"Closed",IFERROR(INDEX(MapStage,MATCH($C118,MapStatus,0)),"Unmapped")))</f>
        <v/>
      </c>
      <c r="Y118" s="65" t="str">
        <f aca="false">IF(OR($X118="",$X118="Closed",$X118="Unmapped"),"",MATCH($X118,StageName,0))</f>
        <v/>
      </c>
      <c r="Z118" s="65" t="str">
        <f aca="false">IF(OR($Y118="",$I118=""),"",$I118-AsOf)</f>
        <v/>
      </c>
      <c r="AA118" s="65" t="str">
        <f aca="false">IF($A118="","",AsOf-$H118)</f>
        <v/>
      </c>
      <c r="AB118" s="65" t="str">
        <f aca="false">IF($A118="","",IF($X118="Closed","Closed",IF($X118="Unmapped","Unmapped",IF($I118="","No target",IF($Z118&lt;0,"Overdue",IF($Z118&lt;=INDEX(StageWindow,$Y118),"At risk","On track"))))))</f>
        <v/>
      </c>
      <c r="AC118" s="65" t="str">
        <f aca="false">IF($Y118="","",IF($AA118&gt;2*INDEX(StageStale,$Y118),"Stale",IF($AA118&gt;INDEX(StageStale,$Y118),"Aging","Fresh")))</f>
        <v/>
      </c>
      <c r="AD118" s="65" t="str">
        <f aca="false">IF($A118="","",IF(OR(ISNUMBER(SEARCH("Reg report",$J118)),ISNUMBER(SEARCH("No human review",$J118)),COUNTIF(TierFuncs,$D118)&gt;0),"High",IF(OR(TRIM($J118)&lt;&gt;"",ISNUMBER(SEARCH("revenue",$K118))),"Medium","Low")))</f>
        <v/>
      </c>
      <c r="AE118" s="65" t="str">
        <f aca="false">IF($A118="","",INDEX(TierDays,MATCH($AD118,TierName,0)))</f>
        <v/>
      </c>
      <c r="AF118" s="65" t="str">
        <f aca="false">IF($A118="","",AsOf-$G118)</f>
        <v/>
      </c>
      <c r="AG118" s="65" t="str">
        <f aca="false">IF($Y118="","",IF($Y118&lt;=5,IF($AF118&gt;$AE118,"Over","Inside"),"Past approval"))</f>
        <v/>
      </c>
      <c r="AH118" s="65" t="str">
        <f aca="false">IF($Y118="","",CHOOSE($Y118,IF(OR(TRIM($F118)="",ISNUMBER(SEARCH("not named",$F118))),"Critical","Good"),IF($O118&lt;&gt;"Y","Critical",IF($Q118&lt;&gt;"Y","Warning","Good")),IF($P118="","Critical",IF($P118="partial","Warning",IF($P118="ready","Good","Critical"))),IF($R118&lt;&gt;"","Critical","Warning"),IF($L118="","Critical",IF($N118="","Warning","Good")),IF($R118&lt;&gt;"","Critical","Warning"),IF($R118&lt;&gt;"","Critical","Warning"),IF($Q118="Y","Good","Critical")))</f>
        <v/>
      </c>
      <c r="AI118" s="65" t="str">
        <f aca="false">IF($Y118="","",CHOOSE($Y118,IF(OR(TRIM($F118)="",ISNUMBER(SEARCH("not named",$F118))),"Name a sponsor accountable for the value",""),IF($O118&lt;&gt;"Y","State the success metric and the stop condition",IF($Q118&lt;&gt;"Y","Set the baseline the benefit will be measured against","")),IF($P118="","Assess data readiness and regulatory impact",IF($P118="partial","Close the known data gaps",IF($P118="ready","","Data is not available; reshape or park"))),IF($R118&lt;&gt;"",IF(OR(ISNUMBER(SEARCH("mrm",$R118)),ISNUMBER(SEARCH("model",$R118)),ISNUMBER(SEARCH("risk",$R118)),ISNUMBER(SEARCH("legal",$R118)),ISNUMBER(SEARCH("complian",$R118))),"Awaiting ","Held at the design gate: ")&amp;$R118,"Map the governance framework for its tier"),IF($L118="","Size the annual benefit",IF($N118="","Score it so it can be ranked against capacity","")),IF($R118&lt;&gt;"","Build held: "&amp;$R118,"In build, not yet through test"),IF($R118&lt;&gt;"","Not ready to scale: "&amp;$R118,"Monitoring and third-party review not yet signed off"),IF($Q118="Y","","Live without a measured baseline to judge it against")))</f>
        <v/>
      </c>
      <c r="AJ118" s="65" t="str">
        <f aca="false">IF($Y118="","",INDEX(StageForum,$Y118))</f>
        <v/>
      </c>
      <c r="AK118" s="65" t="str">
        <f aca="false">IF($Y118="","",IF(OR($X118="Delivery",$X118="Value"),"Committed",IF($N118&lt;&gt;"","Candidate","")))</f>
        <v/>
      </c>
      <c r="AL118" s="65" t="str">
        <f aca="false">IF($AK118&lt;&gt;"Candidate","",COUNTIFS($AK$2:$AK$501,"Candidate",$N$2:$N$501,"&gt;"&amp;$N118)+COUNTIFS($AK$2:$AK$501,"Candidate",$N$2:$N$501,$N118,$A$2:$A$501,"&lt;"&amp;$A118)+1)</f>
        <v/>
      </c>
      <c r="AM118" s="65" t="str">
        <f aca="false">IF($AL118="","",SUMIFS($M$2:$M$501,$AK$2:$AK$501,"Candidate",$AL$2:$AL$501,"&lt;="&amp;$AL118))</f>
        <v/>
      </c>
      <c r="AN118" s="65" t="str">
        <f aca="false">IF($AL118="","",IF($AM118&lt;=CapacityOpen,"Fits","Below line"))</f>
        <v/>
      </c>
      <c r="AO118" s="65" t="str">
        <f aca="false">IF($A118="","",IF($X118="Closed","",IF($X118="Unmapped","Warning",IF(OR($AB118="Overdue",$V118="Y",$AH118="Critical"),"Critical",IF(OR($AB118="At risk",$AC118="Stale",$AG118="Over"),"Warning","")))))</f>
        <v/>
      </c>
      <c r="AP118" s="65" t="str">
        <f aca="false">IF($AO118="","",IF($AO118="Critical",3000,2000)-IF($Z118="",0,$Z118)+ROW()/100000)</f>
        <v/>
      </c>
      <c r="AQ118" s="65" t="str">
        <f aca="false">IF($AO118="","",IF($X118="Unmapped","Status '"&amp;$C118&amp;"' is not in the Config map",IF($V118="Y","Flagged in Jira",IF($AB118="Overdue",-$Z118&amp;" days past its "&amp;$X118&amp;" target",IF($AH118="Critical",$AI118,IF($AB118="At risk","Target in "&amp;$Z118&amp;" days",IF($AC118="Stale","No update in "&amp;$AA118&amp;" days","Past its "&amp;$AE118&amp;"-day tier window")))))))</f>
        <v/>
      </c>
      <c r="AR118" s="65" t="str">
        <f aca="false">IF($AO118="","","draft Jira update for "&amp;$A118)</f>
        <v/>
      </c>
      <c r="AS118" s="65" t="str">
        <f aca="false">IF($A118="","",HYPERLINK(JiraSite&amp;"/browse/"&amp;$A118,"open"))</f>
        <v/>
      </c>
      <c r="AT118" s="65" t="str">
        <f aca="false">IF($Y118="","",$Y118*1000+ROW())</f>
        <v/>
      </c>
      <c r="AU118" s="65" t="str">
        <f aca="false">IF(AND($A118&lt;&gt;"",$G118&gt;=WeekStart),$G118+ROW()/100000,"")</f>
        <v/>
      </c>
      <c r="AV118" s="65" t="str">
        <f aca="false">IF($A118="","",IF(OR(AND($S118&lt;&gt;"",$S118&gt;=WeekStart),AND($U118&lt;&gt;"",$U118&gt;=WeekStart)),MAX($S118,$U118)+ROW()/100000,""))</f>
        <v/>
      </c>
      <c r="AW118" s="65" t="str">
        <f aca="false">IF($AV118="","",IF($T118&lt;&gt;"",$T118,IF($X118="Closed","Closed","Accepted to "&amp;$X118)))</f>
        <v/>
      </c>
      <c r="AX118" s="65" t="str">
        <f aca="false">IF(AND($Y118&lt;&gt;"",$R118&lt;&gt;""),$AF118+ROW()/100000,"")</f>
        <v/>
      </c>
      <c r="AY118" s="65" t="str">
        <f aca="false">IF(AND($Y118&lt;&gt;"",OR($AB118="Overdue",AND($AH118="Critical",$R118&lt;&gt;""))),$AF118+ROW()/100000,"")</f>
        <v/>
      </c>
      <c r="AZ118" s="65" t="str">
        <f aca="false">IF($AH118="Critical",$AF118+ROW()/100000,"")</f>
        <v/>
      </c>
    </row>
    <row r="119" customFormat="false" ht="15" hidden="false" customHeight="false" outlineLevel="0" collapsed="false">
      <c r="A119" s="28"/>
      <c r="B119" s="28"/>
      <c r="C119" s="28"/>
      <c r="D119" s="28"/>
      <c r="E119" s="28"/>
      <c r="F119" s="28"/>
      <c r="G119" s="63"/>
      <c r="H119" s="63"/>
      <c r="I119" s="63"/>
      <c r="J119" s="28"/>
      <c r="K119" s="28"/>
      <c r="L119" s="28"/>
      <c r="M119" s="28"/>
      <c r="N119" s="28"/>
      <c r="O119" s="64"/>
      <c r="P119" s="64"/>
      <c r="Q119" s="64"/>
      <c r="R119" s="28"/>
      <c r="S119" s="63"/>
      <c r="T119" s="64"/>
      <c r="U119" s="63"/>
      <c r="V119" s="64"/>
      <c r="W119" s="28"/>
      <c r="X119" s="65" t="str">
        <f aca="false">IF($A119="","",IF(OR($T119&lt;&gt;"",$U119&lt;&gt;""),"Closed",IFERROR(INDEX(MapStage,MATCH($C119,MapStatus,0)),"Unmapped")))</f>
        <v/>
      </c>
      <c r="Y119" s="65" t="str">
        <f aca="false">IF(OR($X119="",$X119="Closed",$X119="Unmapped"),"",MATCH($X119,StageName,0))</f>
        <v/>
      </c>
      <c r="Z119" s="65" t="str">
        <f aca="false">IF(OR($Y119="",$I119=""),"",$I119-AsOf)</f>
        <v/>
      </c>
      <c r="AA119" s="65" t="str">
        <f aca="false">IF($A119="","",AsOf-$H119)</f>
        <v/>
      </c>
      <c r="AB119" s="65" t="str">
        <f aca="false">IF($A119="","",IF($X119="Closed","Closed",IF($X119="Unmapped","Unmapped",IF($I119="","No target",IF($Z119&lt;0,"Overdue",IF($Z119&lt;=INDEX(StageWindow,$Y119),"At risk","On track"))))))</f>
        <v/>
      </c>
      <c r="AC119" s="65" t="str">
        <f aca="false">IF($Y119="","",IF($AA119&gt;2*INDEX(StageStale,$Y119),"Stale",IF($AA119&gt;INDEX(StageStale,$Y119),"Aging","Fresh")))</f>
        <v/>
      </c>
      <c r="AD119" s="65" t="str">
        <f aca="false">IF($A119="","",IF(OR(ISNUMBER(SEARCH("Reg report",$J119)),ISNUMBER(SEARCH("No human review",$J119)),COUNTIF(TierFuncs,$D119)&gt;0),"High",IF(OR(TRIM($J119)&lt;&gt;"",ISNUMBER(SEARCH("revenue",$K119))),"Medium","Low")))</f>
        <v/>
      </c>
      <c r="AE119" s="65" t="str">
        <f aca="false">IF($A119="","",INDEX(TierDays,MATCH($AD119,TierName,0)))</f>
        <v/>
      </c>
      <c r="AF119" s="65" t="str">
        <f aca="false">IF($A119="","",AsOf-$G119)</f>
        <v/>
      </c>
      <c r="AG119" s="65" t="str">
        <f aca="false">IF($Y119="","",IF($Y119&lt;=5,IF($AF119&gt;$AE119,"Over","Inside"),"Past approval"))</f>
        <v/>
      </c>
      <c r="AH119" s="65" t="str">
        <f aca="false">IF($Y119="","",CHOOSE($Y119,IF(OR(TRIM($F119)="",ISNUMBER(SEARCH("not named",$F119))),"Critical","Good"),IF($O119&lt;&gt;"Y","Critical",IF($Q119&lt;&gt;"Y","Warning","Good")),IF($P119="","Critical",IF($P119="partial","Warning",IF($P119="ready","Good","Critical"))),IF($R119&lt;&gt;"","Critical","Warning"),IF($L119="","Critical",IF($N119="","Warning","Good")),IF($R119&lt;&gt;"","Critical","Warning"),IF($R119&lt;&gt;"","Critical","Warning"),IF($Q119="Y","Good","Critical")))</f>
        <v/>
      </c>
      <c r="AI119" s="65" t="str">
        <f aca="false">IF($Y119="","",CHOOSE($Y119,IF(OR(TRIM($F119)="",ISNUMBER(SEARCH("not named",$F119))),"Name a sponsor accountable for the value",""),IF($O119&lt;&gt;"Y","State the success metric and the stop condition",IF($Q119&lt;&gt;"Y","Set the baseline the benefit will be measured against","")),IF($P119="","Assess data readiness and regulatory impact",IF($P119="partial","Close the known data gaps",IF($P119="ready","","Data is not available; reshape or park"))),IF($R119&lt;&gt;"",IF(OR(ISNUMBER(SEARCH("mrm",$R119)),ISNUMBER(SEARCH("model",$R119)),ISNUMBER(SEARCH("risk",$R119)),ISNUMBER(SEARCH("legal",$R119)),ISNUMBER(SEARCH("complian",$R119))),"Awaiting ","Held at the design gate: ")&amp;$R119,"Map the governance framework for its tier"),IF($L119="","Size the annual benefit",IF($N119="","Score it so it can be ranked against capacity","")),IF($R119&lt;&gt;"","Build held: "&amp;$R119,"In build, not yet through test"),IF($R119&lt;&gt;"","Not ready to scale: "&amp;$R119,"Monitoring and third-party review not yet signed off"),IF($Q119="Y","","Live without a measured baseline to judge it against")))</f>
        <v/>
      </c>
      <c r="AJ119" s="65" t="str">
        <f aca="false">IF($Y119="","",INDEX(StageForum,$Y119))</f>
        <v/>
      </c>
      <c r="AK119" s="65" t="str">
        <f aca="false">IF($Y119="","",IF(OR($X119="Delivery",$X119="Value"),"Committed",IF($N119&lt;&gt;"","Candidate","")))</f>
        <v/>
      </c>
      <c r="AL119" s="65" t="str">
        <f aca="false">IF($AK119&lt;&gt;"Candidate","",COUNTIFS($AK$2:$AK$501,"Candidate",$N$2:$N$501,"&gt;"&amp;$N119)+COUNTIFS($AK$2:$AK$501,"Candidate",$N$2:$N$501,$N119,$A$2:$A$501,"&lt;"&amp;$A119)+1)</f>
        <v/>
      </c>
      <c r="AM119" s="65" t="str">
        <f aca="false">IF($AL119="","",SUMIFS($M$2:$M$501,$AK$2:$AK$501,"Candidate",$AL$2:$AL$501,"&lt;="&amp;$AL119))</f>
        <v/>
      </c>
      <c r="AN119" s="65" t="str">
        <f aca="false">IF($AL119="","",IF($AM119&lt;=CapacityOpen,"Fits","Below line"))</f>
        <v/>
      </c>
      <c r="AO119" s="65" t="str">
        <f aca="false">IF($A119="","",IF($X119="Closed","",IF($X119="Unmapped","Warning",IF(OR($AB119="Overdue",$V119="Y",$AH119="Critical"),"Critical",IF(OR($AB119="At risk",$AC119="Stale",$AG119="Over"),"Warning","")))))</f>
        <v/>
      </c>
      <c r="AP119" s="65" t="str">
        <f aca="false">IF($AO119="","",IF($AO119="Critical",3000,2000)-IF($Z119="",0,$Z119)+ROW()/100000)</f>
        <v/>
      </c>
      <c r="AQ119" s="65" t="str">
        <f aca="false">IF($AO119="","",IF($X119="Unmapped","Status '"&amp;$C119&amp;"' is not in the Config map",IF($V119="Y","Flagged in Jira",IF($AB119="Overdue",-$Z119&amp;" days past its "&amp;$X119&amp;" target",IF($AH119="Critical",$AI119,IF($AB119="At risk","Target in "&amp;$Z119&amp;" days",IF($AC119="Stale","No update in "&amp;$AA119&amp;" days","Past its "&amp;$AE119&amp;"-day tier window")))))))</f>
        <v/>
      </c>
      <c r="AR119" s="65" t="str">
        <f aca="false">IF($AO119="","","draft Jira update for "&amp;$A119)</f>
        <v/>
      </c>
      <c r="AS119" s="65" t="str">
        <f aca="false">IF($A119="","",HYPERLINK(JiraSite&amp;"/browse/"&amp;$A119,"open"))</f>
        <v/>
      </c>
      <c r="AT119" s="65" t="str">
        <f aca="false">IF($Y119="","",$Y119*1000+ROW())</f>
        <v/>
      </c>
      <c r="AU119" s="65" t="str">
        <f aca="false">IF(AND($A119&lt;&gt;"",$G119&gt;=WeekStart),$G119+ROW()/100000,"")</f>
        <v/>
      </c>
      <c r="AV119" s="65" t="str">
        <f aca="false">IF($A119="","",IF(OR(AND($S119&lt;&gt;"",$S119&gt;=WeekStart),AND($U119&lt;&gt;"",$U119&gt;=WeekStart)),MAX($S119,$U119)+ROW()/100000,""))</f>
        <v/>
      </c>
      <c r="AW119" s="65" t="str">
        <f aca="false">IF($AV119="","",IF($T119&lt;&gt;"",$T119,IF($X119="Closed","Closed","Accepted to "&amp;$X119)))</f>
        <v/>
      </c>
      <c r="AX119" s="65" t="str">
        <f aca="false">IF(AND($Y119&lt;&gt;"",$R119&lt;&gt;""),$AF119+ROW()/100000,"")</f>
        <v/>
      </c>
      <c r="AY119" s="65" t="str">
        <f aca="false">IF(AND($Y119&lt;&gt;"",OR($AB119="Overdue",AND($AH119="Critical",$R119&lt;&gt;""))),$AF119+ROW()/100000,"")</f>
        <v/>
      </c>
      <c r="AZ119" s="65" t="str">
        <f aca="false">IF($AH119="Critical",$AF119+ROW()/100000,"")</f>
        <v/>
      </c>
    </row>
    <row r="120" customFormat="false" ht="15" hidden="false" customHeight="false" outlineLevel="0" collapsed="false">
      <c r="A120" s="28"/>
      <c r="B120" s="28"/>
      <c r="C120" s="28"/>
      <c r="D120" s="28"/>
      <c r="E120" s="28"/>
      <c r="F120" s="28"/>
      <c r="G120" s="63"/>
      <c r="H120" s="63"/>
      <c r="I120" s="63"/>
      <c r="J120" s="28"/>
      <c r="K120" s="28"/>
      <c r="L120" s="28"/>
      <c r="M120" s="28"/>
      <c r="N120" s="28"/>
      <c r="O120" s="64"/>
      <c r="P120" s="64"/>
      <c r="Q120" s="64"/>
      <c r="R120" s="28"/>
      <c r="S120" s="63"/>
      <c r="T120" s="64"/>
      <c r="U120" s="63"/>
      <c r="V120" s="64"/>
      <c r="W120" s="28"/>
      <c r="X120" s="65" t="str">
        <f aca="false">IF($A120="","",IF(OR($T120&lt;&gt;"",$U120&lt;&gt;""),"Closed",IFERROR(INDEX(MapStage,MATCH($C120,MapStatus,0)),"Unmapped")))</f>
        <v/>
      </c>
      <c r="Y120" s="65" t="str">
        <f aca="false">IF(OR($X120="",$X120="Closed",$X120="Unmapped"),"",MATCH($X120,StageName,0))</f>
        <v/>
      </c>
      <c r="Z120" s="65" t="str">
        <f aca="false">IF(OR($Y120="",$I120=""),"",$I120-AsOf)</f>
        <v/>
      </c>
      <c r="AA120" s="65" t="str">
        <f aca="false">IF($A120="","",AsOf-$H120)</f>
        <v/>
      </c>
      <c r="AB120" s="65" t="str">
        <f aca="false">IF($A120="","",IF($X120="Closed","Closed",IF($X120="Unmapped","Unmapped",IF($I120="","No target",IF($Z120&lt;0,"Overdue",IF($Z120&lt;=INDEX(StageWindow,$Y120),"At risk","On track"))))))</f>
        <v/>
      </c>
      <c r="AC120" s="65" t="str">
        <f aca="false">IF($Y120="","",IF($AA120&gt;2*INDEX(StageStale,$Y120),"Stale",IF($AA120&gt;INDEX(StageStale,$Y120),"Aging","Fresh")))</f>
        <v/>
      </c>
      <c r="AD120" s="65" t="str">
        <f aca="false">IF($A120="","",IF(OR(ISNUMBER(SEARCH("Reg report",$J120)),ISNUMBER(SEARCH("No human review",$J120)),COUNTIF(TierFuncs,$D120)&gt;0),"High",IF(OR(TRIM($J120)&lt;&gt;"",ISNUMBER(SEARCH("revenue",$K120))),"Medium","Low")))</f>
        <v/>
      </c>
      <c r="AE120" s="65" t="str">
        <f aca="false">IF($A120="","",INDEX(TierDays,MATCH($AD120,TierName,0)))</f>
        <v/>
      </c>
      <c r="AF120" s="65" t="str">
        <f aca="false">IF($A120="","",AsOf-$G120)</f>
        <v/>
      </c>
      <c r="AG120" s="65" t="str">
        <f aca="false">IF($Y120="","",IF($Y120&lt;=5,IF($AF120&gt;$AE120,"Over","Inside"),"Past approval"))</f>
        <v/>
      </c>
      <c r="AH120" s="65" t="str">
        <f aca="false">IF($Y120="","",CHOOSE($Y120,IF(OR(TRIM($F120)="",ISNUMBER(SEARCH("not named",$F120))),"Critical","Good"),IF($O120&lt;&gt;"Y","Critical",IF($Q120&lt;&gt;"Y","Warning","Good")),IF($P120="","Critical",IF($P120="partial","Warning",IF($P120="ready","Good","Critical"))),IF($R120&lt;&gt;"","Critical","Warning"),IF($L120="","Critical",IF($N120="","Warning","Good")),IF($R120&lt;&gt;"","Critical","Warning"),IF($R120&lt;&gt;"","Critical","Warning"),IF($Q120="Y","Good","Critical")))</f>
        <v/>
      </c>
      <c r="AI120" s="65" t="str">
        <f aca="false">IF($Y120="","",CHOOSE($Y120,IF(OR(TRIM($F120)="",ISNUMBER(SEARCH("not named",$F120))),"Name a sponsor accountable for the value",""),IF($O120&lt;&gt;"Y","State the success metric and the stop condition",IF($Q120&lt;&gt;"Y","Set the baseline the benefit will be measured against","")),IF($P120="","Assess data readiness and regulatory impact",IF($P120="partial","Close the known data gaps",IF($P120="ready","","Data is not available; reshape or park"))),IF($R120&lt;&gt;"",IF(OR(ISNUMBER(SEARCH("mrm",$R120)),ISNUMBER(SEARCH("model",$R120)),ISNUMBER(SEARCH("risk",$R120)),ISNUMBER(SEARCH("legal",$R120)),ISNUMBER(SEARCH("complian",$R120))),"Awaiting ","Held at the design gate: ")&amp;$R120,"Map the governance framework for its tier"),IF($L120="","Size the annual benefit",IF($N120="","Score it so it can be ranked against capacity","")),IF($R120&lt;&gt;"","Build held: "&amp;$R120,"In build, not yet through test"),IF($R120&lt;&gt;"","Not ready to scale: "&amp;$R120,"Monitoring and third-party review not yet signed off"),IF($Q120="Y","","Live without a measured baseline to judge it against")))</f>
        <v/>
      </c>
      <c r="AJ120" s="65" t="str">
        <f aca="false">IF($Y120="","",INDEX(StageForum,$Y120))</f>
        <v/>
      </c>
      <c r="AK120" s="65" t="str">
        <f aca="false">IF($Y120="","",IF(OR($X120="Delivery",$X120="Value"),"Committed",IF($N120&lt;&gt;"","Candidate","")))</f>
        <v/>
      </c>
      <c r="AL120" s="65" t="str">
        <f aca="false">IF($AK120&lt;&gt;"Candidate","",COUNTIFS($AK$2:$AK$501,"Candidate",$N$2:$N$501,"&gt;"&amp;$N120)+COUNTIFS($AK$2:$AK$501,"Candidate",$N$2:$N$501,$N120,$A$2:$A$501,"&lt;"&amp;$A120)+1)</f>
        <v/>
      </c>
      <c r="AM120" s="65" t="str">
        <f aca="false">IF($AL120="","",SUMIFS($M$2:$M$501,$AK$2:$AK$501,"Candidate",$AL$2:$AL$501,"&lt;="&amp;$AL120))</f>
        <v/>
      </c>
      <c r="AN120" s="65" t="str">
        <f aca="false">IF($AL120="","",IF($AM120&lt;=CapacityOpen,"Fits","Below line"))</f>
        <v/>
      </c>
      <c r="AO120" s="65" t="str">
        <f aca="false">IF($A120="","",IF($X120="Closed","",IF($X120="Unmapped","Warning",IF(OR($AB120="Overdue",$V120="Y",$AH120="Critical"),"Critical",IF(OR($AB120="At risk",$AC120="Stale",$AG120="Over"),"Warning","")))))</f>
        <v/>
      </c>
      <c r="AP120" s="65" t="str">
        <f aca="false">IF($AO120="","",IF($AO120="Critical",3000,2000)-IF($Z120="",0,$Z120)+ROW()/100000)</f>
        <v/>
      </c>
      <c r="AQ120" s="65" t="str">
        <f aca="false">IF($AO120="","",IF($X120="Unmapped","Status '"&amp;$C120&amp;"' is not in the Config map",IF($V120="Y","Flagged in Jira",IF($AB120="Overdue",-$Z120&amp;" days past its "&amp;$X120&amp;" target",IF($AH120="Critical",$AI120,IF($AB120="At risk","Target in "&amp;$Z120&amp;" days",IF($AC120="Stale","No update in "&amp;$AA120&amp;" days","Past its "&amp;$AE120&amp;"-day tier window")))))))</f>
        <v/>
      </c>
      <c r="AR120" s="65" t="str">
        <f aca="false">IF($AO120="","","draft Jira update for "&amp;$A120)</f>
        <v/>
      </c>
      <c r="AS120" s="65" t="str">
        <f aca="false">IF($A120="","",HYPERLINK(JiraSite&amp;"/browse/"&amp;$A120,"open"))</f>
        <v/>
      </c>
      <c r="AT120" s="65" t="str">
        <f aca="false">IF($Y120="","",$Y120*1000+ROW())</f>
        <v/>
      </c>
      <c r="AU120" s="65" t="str">
        <f aca="false">IF(AND($A120&lt;&gt;"",$G120&gt;=WeekStart),$G120+ROW()/100000,"")</f>
        <v/>
      </c>
      <c r="AV120" s="65" t="str">
        <f aca="false">IF($A120="","",IF(OR(AND($S120&lt;&gt;"",$S120&gt;=WeekStart),AND($U120&lt;&gt;"",$U120&gt;=WeekStart)),MAX($S120,$U120)+ROW()/100000,""))</f>
        <v/>
      </c>
      <c r="AW120" s="65" t="str">
        <f aca="false">IF($AV120="","",IF($T120&lt;&gt;"",$T120,IF($X120="Closed","Closed","Accepted to "&amp;$X120)))</f>
        <v/>
      </c>
      <c r="AX120" s="65" t="str">
        <f aca="false">IF(AND($Y120&lt;&gt;"",$R120&lt;&gt;""),$AF120+ROW()/100000,"")</f>
        <v/>
      </c>
      <c r="AY120" s="65" t="str">
        <f aca="false">IF(AND($Y120&lt;&gt;"",OR($AB120="Overdue",AND($AH120="Critical",$R120&lt;&gt;""))),$AF120+ROW()/100000,"")</f>
        <v/>
      </c>
      <c r="AZ120" s="65" t="str">
        <f aca="false">IF($AH120="Critical",$AF120+ROW()/100000,"")</f>
        <v/>
      </c>
    </row>
    <row r="121" customFormat="false" ht="15" hidden="false" customHeight="false" outlineLevel="0" collapsed="false">
      <c r="A121" s="28"/>
      <c r="B121" s="28"/>
      <c r="C121" s="28"/>
      <c r="D121" s="28"/>
      <c r="E121" s="28"/>
      <c r="F121" s="28"/>
      <c r="G121" s="63"/>
      <c r="H121" s="63"/>
      <c r="I121" s="63"/>
      <c r="J121" s="28"/>
      <c r="K121" s="28"/>
      <c r="L121" s="28"/>
      <c r="M121" s="28"/>
      <c r="N121" s="28"/>
      <c r="O121" s="64"/>
      <c r="P121" s="64"/>
      <c r="Q121" s="64"/>
      <c r="R121" s="28"/>
      <c r="S121" s="63"/>
      <c r="T121" s="64"/>
      <c r="U121" s="63"/>
      <c r="V121" s="64"/>
      <c r="W121" s="28"/>
      <c r="X121" s="65" t="str">
        <f aca="false">IF($A121="","",IF(OR($T121&lt;&gt;"",$U121&lt;&gt;""),"Closed",IFERROR(INDEX(MapStage,MATCH($C121,MapStatus,0)),"Unmapped")))</f>
        <v/>
      </c>
      <c r="Y121" s="65" t="str">
        <f aca="false">IF(OR($X121="",$X121="Closed",$X121="Unmapped"),"",MATCH($X121,StageName,0))</f>
        <v/>
      </c>
      <c r="Z121" s="65" t="str">
        <f aca="false">IF(OR($Y121="",$I121=""),"",$I121-AsOf)</f>
        <v/>
      </c>
      <c r="AA121" s="65" t="str">
        <f aca="false">IF($A121="","",AsOf-$H121)</f>
        <v/>
      </c>
      <c r="AB121" s="65" t="str">
        <f aca="false">IF($A121="","",IF($X121="Closed","Closed",IF($X121="Unmapped","Unmapped",IF($I121="","No target",IF($Z121&lt;0,"Overdue",IF($Z121&lt;=INDEX(StageWindow,$Y121),"At risk","On track"))))))</f>
        <v/>
      </c>
      <c r="AC121" s="65" t="str">
        <f aca="false">IF($Y121="","",IF($AA121&gt;2*INDEX(StageStale,$Y121),"Stale",IF($AA121&gt;INDEX(StageStale,$Y121),"Aging","Fresh")))</f>
        <v/>
      </c>
      <c r="AD121" s="65" t="str">
        <f aca="false">IF($A121="","",IF(OR(ISNUMBER(SEARCH("Reg report",$J121)),ISNUMBER(SEARCH("No human review",$J121)),COUNTIF(TierFuncs,$D121)&gt;0),"High",IF(OR(TRIM($J121)&lt;&gt;"",ISNUMBER(SEARCH("revenue",$K121))),"Medium","Low")))</f>
        <v/>
      </c>
      <c r="AE121" s="65" t="str">
        <f aca="false">IF($A121="","",INDEX(TierDays,MATCH($AD121,TierName,0)))</f>
        <v/>
      </c>
      <c r="AF121" s="65" t="str">
        <f aca="false">IF($A121="","",AsOf-$G121)</f>
        <v/>
      </c>
      <c r="AG121" s="65" t="str">
        <f aca="false">IF($Y121="","",IF($Y121&lt;=5,IF($AF121&gt;$AE121,"Over","Inside"),"Past approval"))</f>
        <v/>
      </c>
      <c r="AH121" s="65" t="str">
        <f aca="false">IF($Y121="","",CHOOSE($Y121,IF(OR(TRIM($F121)="",ISNUMBER(SEARCH("not named",$F121))),"Critical","Good"),IF($O121&lt;&gt;"Y","Critical",IF($Q121&lt;&gt;"Y","Warning","Good")),IF($P121="","Critical",IF($P121="partial","Warning",IF($P121="ready","Good","Critical"))),IF($R121&lt;&gt;"","Critical","Warning"),IF($L121="","Critical",IF($N121="","Warning","Good")),IF($R121&lt;&gt;"","Critical","Warning"),IF($R121&lt;&gt;"","Critical","Warning"),IF($Q121="Y","Good","Critical")))</f>
        <v/>
      </c>
      <c r="AI121" s="65" t="str">
        <f aca="false">IF($Y121="","",CHOOSE($Y121,IF(OR(TRIM($F121)="",ISNUMBER(SEARCH("not named",$F121))),"Name a sponsor accountable for the value",""),IF($O121&lt;&gt;"Y","State the success metric and the stop condition",IF($Q121&lt;&gt;"Y","Set the baseline the benefit will be measured against","")),IF($P121="","Assess data readiness and regulatory impact",IF($P121="partial","Close the known data gaps",IF($P121="ready","","Data is not available; reshape or park"))),IF($R121&lt;&gt;"",IF(OR(ISNUMBER(SEARCH("mrm",$R121)),ISNUMBER(SEARCH("model",$R121)),ISNUMBER(SEARCH("risk",$R121)),ISNUMBER(SEARCH("legal",$R121)),ISNUMBER(SEARCH("complian",$R121))),"Awaiting ","Held at the design gate: ")&amp;$R121,"Map the governance framework for its tier"),IF($L121="","Size the annual benefit",IF($N121="","Score it so it can be ranked against capacity","")),IF($R121&lt;&gt;"","Build held: "&amp;$R121,"In build, not yet through test"),IF($R121&lt;&gt;"","Not ready to scale: "&amp;$R121,"Monitoring and third-party review not yet signed off"),IF($Q121="Y","","Live without a measured baseline to judge it against")))</f>
        <v/>
      </c>
      <c r="AJ121" s="65" t="str">
        <f aca="false">IF($Y121="","",INDEX(StageForum,$Y121))</f>
        <v/>
      </c>
      <c r="AK121" s="65" t="str">
        <f aca="false">IF($Y121="","",IF(OR($X121="Delivery",$X121="Value"),"Committed",IF($N121&lt;&gt;"","Candidate","")))</f>
        <v/>
      </c>
      <c r="AL121" s="65" t="str">
        <f aca="false">IF($AK121&lt;&gt;"Candidate","",COUNTIFS($AK$2:$AK$501,"Candidate",$N$2:$N$501,"&gt;"&amp;$N121)+COUNTIFS($AK$2:$AK$501,"Candidate",$N$2:$N$501,$N121,$A$2:$A$501,"&lt;"&amp;$A121)+1)</f>
        <v/>
      </c>
      <c r="AM121" s="65" t="str">
        <f aca="false">IF($AL121="","",SUMIFS($M$2:$M$501,$AK$2:$AK$501,"Candidate",$AL$2:$AL$501,"&lt;="&amp;$AL121))</f>
        <v/>
      </c>
      <c r="AN121" s="65" t="str">
        <f aca="false">IF($AL121="","",IF($AM121&lt;=CapacityOpen,"Fits","Below line"))</f>
        <v/>
      </c>
      <c r="AO121" s="65" t="str">
        <f aca="false">IF($A121="","",IF($X121="Closed","",IF($X121="Unmapped","Warning",IF(OR($AB121="Overdue",$V121="Y",$AH121="Critical"),"Critical",IF(OR($AB121="At risk",$AC121="Stale",$AG121="Over"),"Warning","")))))</f>
        <v/>
      </c>
      <c r="AP121" s="65" t="str">
        <f aca="false">IF($AO121="","",IF($AO121="Critical",3000,2000)-IF($Z121="",0,$Z121)+ROW()/100000)</f>
        <v/>
      </c>
      <c r="AQ121" s="65" t="str">
        <f aca="false">IF($AO121="","",IF($X121="Unmapped","Status '"&amp;$C121&amp;"' is not in the Config map",IF($V121="Y","Flagged in Jira",IF($AB121="Overdue",-$Z121&amp;" days past its "&amp;$X121&amp;" target",IF($AH121="Critical",$AI121,IF($AB121="At risk","Target in "&amp;$Z121&amp;" days",IF($AC121="Stale","No update in "&amp;$AA121&amp;" days","Past its "&amp;$AE121&amp;"-day tier window")))))))</f>
        <v/>
      </c>
      <c r="AR121" s="65" t="str">
        <f aca="false">IF($AO121="","","draft Jira update for "&amp;$A121)</f>
        <v/>
      </c>
      <c r="AS121" s="65" t="str">
        <f aca="false">IF($A121="","",HYPERLINK(JiraSite&amp;"/browse/"&amp;$A121,"open"))</f>
        <v/>
      </c>
      <c r="AT121" s="65" t="str">
        <f aca="false">IF($Y121="","",$Y121*1000+ROW())</f>
        <v/>
      </c>
      <c r="AU121" s="65" t="str">
        <f aca="false">IF(AND($A121&lt;&gt;"",$G121&gt;=WeekStart),$G121+ROW()/100000,"")</f>
        <v/>
      </c>
      <c r="AV121" s="65" t="str">
        <f aca="false">IF($A121="","",IF(OR(AND($S121&lt;&gt;"",$S121&gt;=WeekStart),AND($U121&lt;&gt;"",$U121&gt;=WeekStart)),MAX($S121,$U121)+ROW()/100000,""))</f>
        <v/>
      </c>
      <c r="AW121" s="65" t="str">
        <f aca="false">IF($AV121="","",IF($T121&lt;&gt;"",$T121,IF($X121="Closed","Closed","Accepted to "&amp;$X121)))</f>
        <v/>
      </c>
      <c r="AX121" s="65" t="str">
        <f aca="false">IF(AND($Y121&lt;&gt;"",$R121&lt;&gt;""),$AF121+ROW()/100000,"")</f>
        <v/>
      </c>
      <c r="AY121" s="65" t="str">
        <f aca="false">IF(AND($Y121&lt;&gt;"",OR($AB121="Overdue",AND($AH121="Critical",$R121&lt;&gt;""))),$AF121+ROW()/100000,"")</f>
        <v/>
      </c>
      <c r="AZ121" s="65" t="str">
        <f aca="false">IF($AH121="Critical",$AF121+ROW()/100000,"")</f>
        <v/>
      </c>
    </row>
    <row r="122" customFormat="false" ht="15" hidden="false" customHeight="false" outlineLevel="0" collapsed="false">
      <c r="A122" s="28"/>
      <c r="B122" s="28"/>
      <c r="C122" s="28"/>
      <c r="D122" s="28"/>
      <c r="E122" s="28"/>
      <c r="F122" s="28"/>
      <c r="G122" s="63"/>
      <c r="H122" s="63"/>
      <c r="I122" s="63"/>
      <c r="J122" s="28"/>
      <c r="K122" s="28"/>
      <c r="L122" s="28"/>
      <c r="M122" s="28"/>
      <c r="N122" s="28"/>
      <c r="O122" s="64"/>
      <c r="P122" s="64"/>
      <c r="Q122" s="64"/>
      <c r="R122" s="28"/>
      <c r="S122" s="63"/>
      <c r="T122" s="64"/>
      <c r="U122" s="63"/>
      <c r="V122" s="64"/>
      <c r="W122" s="28"/>
      <c r="X122" s="65" t="str">
        <f aca="false">IF($A122="","",IF(OR($T122&lt;&gt;"",$U122&lt;&gt;""),"Closed",IFERROR(INDEX(MapStage,MATCH($C122,MapStatus,0)),"Unmapped")))</f>
        <v/>
      </c>
      <c r="Y122" s="65" t="str">
        <f aca="false">IF(OR($X122="",$X122="Closed",$X122="Unmapped"),"",MATCH($X122,StageName,0))</f>
        <v/>
      </c>
      <c r="Z122" s="65" t="str">
        <f aca="false">IF(OR($Y122="",$I122=""),"",$I122-AsOf)</f>
        <v/>
      </c>
      <c r="AA122" s="65" t="str">
        <f aca="false">IF($A122="","",AsOf-$H122)</f>
        <v/>
      </c>
      <c r="AB122" s="65" t="str">
        <f aca="false">IF($A122="","",IF($X122="Closed","Closed",IF($X122="Unmapped","Unmapped",IF($I122="","No target",IF($Z122&lt;0,"Overdue",IF($Z122&lt;=INDEX(StageWindow,$Y122),"At risk","On track"))))))</f>
        <v/>
      </c>
      <c r="AC122" s="65" t="str">
        <f aca="false">IF($Y122="","",IF($AA122&gt;2*INDEX(StageStale,$Y122),"Stale",IF($AA122&gt;INDEX(StageStale,$Y122),"Aging","Fresh")))</f>
        <v/>
      </c>
      <c r="AD122" s="65" t="str">
        <f aca="false">IF($A122="","",IF(OR(ISNUMBER(SEARCH("Reg report",$J122)),ISNUMBER(SEARCH("No human review",$J122)),COUNTIF(TierFuncs,$D122)&gt;0),"High",IF(OR(TRIM($J122)&lt;&gt;"",ISNUMBER(SEARCH("revenue",$K122))),"Medium","Low")))</f>
        <v/>
      </c>
      <c r="AE122" s="65" t="str">
        <f aca="false">IF($A122="","",INDEX(TierDays,MATCH($AD122,TierName,0)))</f>
        <v/>
      </c>
      <c r="AF122" s="65" t="str">
        <f aca="false">IF($A122="","",AsOf-$G122)</f>
        <v/>
      </c>
      <c r="AG122" s="65" t="str">
        <f aca="false">IF($Y122="","",IF($Y122&lt;=5,IF($AF122&gt;$AE122,"Over","Inside"),"Past approval"))</f>
        <v/>
      </c>
      <c r="AH122" s="65" t="str">
        <f aca="false">IF($Y122="","",CHOOSE($Y122,IF(OR(TRIM($F122)="",ISNUMBER(SEARCH("not named",$F122))),"Critical","Good"),IF($O122&lt;&gt;"Y","Critical",IF($Q122&lt;&gt;"Y","Warning","Good")),IF($P122="","Critical",IF($P122="partial","Warning",IF($P122="ready","Good","Critical"))),IF($R122&lt;&gt;"","Critical","Warning"),IF($L122="","Critical",IF($N122="","Warning","Good")),IF($R122&lt;&gt;"","Critical","Warning"),IF($R122&lt;&gt;"","Critical","Warning"),IF($Q122="Y","Good","Critical")))</f>
        <v/>
      </c>
      <c r="AI122" s="65" t="str">
        <f aca="false">IF($Y122="","",CHOOSE($Y122,IF(OR(TRIM($F122)="",ISNUMBER(SEARCH("not named",$F122))),"Name a sponsor accountable for the value",""),IF($O122&lt;&gt;"Y","State the success metric and the stop condition",IF($Q122&lt;&gt;"Y","Set the baseline the benefit will be measured against","")),IF($P122="","Assess data readiness and regulatory impact",IF($P122="partial","Close the known data gaps",IF($P122="ready","","Data is not available; reshape or park"))),IF($R122&lt;&gt;"",IF(OR(ISNUMBER(SEARCH("mrm",$R122)),ISNUMBER(SEARCH("model",$R122)),ISNUMBER(SEARCH("risk",$R122)),ISNUMBER(SEARCH("legal",$R122)),ISNUMBER(SEARCH("complian",$R122))),"Awaiting ","Held at the design gate: ")&amp;$R122,"Map the governance framework for its tier"),IF($L122="","Size the annual benefit",IF($N122="","Score it so it can be ranked against capacity","")),IF($R122&lt;&gt;"","Build held: "&amp;$R122,"In build, not yet through test"),IF($R122&lt;&gt;"","Not ready to scale: "&amp;$R122,"Monitoring and third-party review not yet signed off"),IF($Q122="Y","","Live without a measured baseline to judge it against")))</f>
        <v/>
      </c>
      <c r="AJ122" s="65" t="str">
        <f aca="false">IF($Y122="","",INDEX(StageForum,$Y122))</f>
        <v/>
      </c>
      <c r="AK122" s="65" t="str">
        <f aca="false">IF($Y122="","",IF(OR($X122="Delivery",$X122="Value"),"Committed",IF($N122&lt;&gt;"","Candidate","")))</f>
        <v/>
      </c>
      <c r="AL122" s="65" t="str">
        <f aca="false">IF($AK122&lt;&gt;"Candidate","",COUNTIFS($AK$2:$AK$501,"Candidate",$N$2:$N$501,"&gt;"&amp;$N122)+COUNTIFS($AK$2:$AK$501,"Candidate",$N$2:$N$501,$N122,$A$2:$A$501,"&lt;"&amp;$A122)+1)</f>
        <v/>
      </c>
      <c r="AM122" s="65" t="str">
        <f aca="false">IF($AL122="","",SUMIFS($M$2:$M$501,$AK$2:$AK$501,"Candidate",$AL$2:$AL$501,"&lt;="&amp;$AL122))</f>
        <v/>
      </c>
      <c r="AN122" s="65" t="str">
        <f aca="false">IF($AL122="","",IF($AM122&lt;=CapacityOpen,"Fits","Below line"))</f>
        <v/>
      </c>
      <c r="AO122" s="65" t="str">
        <f aca="false">IF($A122="","",IF($X122="Closed","",IF($X122="Unmapped","Warning",IF(OR($AB122="Overdue",$V122="Y",$AH122="Critical"),"Critical",IF(OR($AB122="At risk",$AC122="Stale",$AG122="Over"),"Warning","")))))</f>
        <v/>
      </c>
      <c r="AP122" s="65" t="str">
        <f aca="false">IF($AO122="","",IF($AO122="Critical",3000,2000)-IF($Z122="",0,$Z122)+ROW()/100000)</f>
        <v/>
      </c>
      <c r="AQ122" s="65" t="str">
        <f aca="false">IF($AO122="","",IF($X122="Unmapped","Status '"&amp;$C122&amp;"' is not in the Config map",IF($V122="Y","Flagged in Jira",IF($AB122="Overdue",-$Z122&amp;" days past its "&amp;$X122&amp;" target",IF($AH122="Critical",$AI122,IF($AB122="At risk","Target in "&amp;$Z122&amp;" days",IF($AC122="Stale","No update in "&amp;$AA122&amp;" days","Past its "&amp;$AE122&amp;"-day tier window")))))))</f>
        <v/>
      </c>
      <c r="AR122" s="65" t="str">
        <f aca="false">IF($AO122="","","draft Jira update for "&amp;$A122)</f>
        <v/>
      </c>
      <c r="AS122" s="65" t="str">
        <f aca="false">IF($A122="","",HYPERLINK(JiraSite&amp;"/browse/"&amp;$A122,"open"))</f>
        <v/>
      </c>
      <c r="AT122" s="65" t="str">
        <f aca="false">IF($Y122="","",$Y122*1000+ROW())</f>
        <v/>
      </c>
      <c r="AU122" s="65" t="str">
        <f aca="false">IF(AND($A122&lt;&gt;"",$G122&gt;=WeekStart),$G122+ROW()/100000,"")</f>
        <v/>
      </c>
      <c r="AV122" s="65" t="str">
        <f aca="false">IF($A122="","",IF(OR(AND($S122&lt;&gt;"",$S122&gt;=WeekStart),AND($U122&lt;&gt;"",$U122&gt;=WeekStart)),MAX($S122,$U122)+ROW()/100000,""))</f>
        <v/>
      </c>
      <c r="AW122" s="65" t="str">
        <f aca="false">IF($AV122="","",IF($T122&lt;&gt;"",$T122,IF($X122="Closed","Closed","Accepted to "&amp;$X122)))</f>
        <v/>
      </c>
      <c r="AX122" s="65" t="str">
        <f aca="false">IF(AND($Y122&lt;&gt;"",$R122&lt;&gt;""),$AF122+ROW()/100000,"")</f>
        <v/>
      </c>
      <c r="AY122" s="65" t="str">
        <f aca="false">IF(AND($Y122&lt;&gt;"",OR($AB122="Overdue",AND($AH122="Critical",$R122&lt;&gt;""))),$AF122+ROW()/100000,"")</f>
        <v/>
      </c>
      <c r="AZ122" s="65" t="str">
        <f aca="false">IF($AH122="Critical",$AF122+ROW()/100000,"")</f>
        <v/>
      </c>
    </row>
    <row r="123" customFormat="false" ht="15" hidden="false" customHeight="false" outlineLevel="0" collapsed="false">
      <c r="A123" s="28"/>
      <c r="B123" s="28"/>
      <c r="C123" s="28"/>
      <c r="D123" s="28"/>
      <c r="E123" s="28"/>
      <c r="F123" s="28"/>
      <c r="G123" s="63"/>
      <c r="H123" s="63"/>
      <c r="I123" s="63"/>
      <c r="J123" s="28"/>
      <c r="K123" s="28"/>
      <c r="L123" s="28"/>
      <c r="M123" s="28"/>
      <c r="N123" s="28"/>
      <c r="O123" s="64"/>
      <c r="P123" s="64"/>
      <c r="Q123" s="64"/>
      <c r="R123" s="28"/>
      <c r="S123" s="63"/>
      <c r="T123" s="64"/>
      <c r="U123" s="63"/>
      <c r="V123" s="64"/>
      <c r="W123" s="28"/>
      <c r="X123" s="65" t="str">
        <f aca="false">IF($A123="","",IF(OR($T123&lt;&gt;"",$U123&lt;&gt;""),"Closed",IFERROR(INDEX(MapStage,MATCH($C123,MapStatus,0)),"Unmapped")))</f>
        <v/>
      </c>
      <c r="Y123" s="65" t="str">
        <f aca="false">IF(OR($X123="",$X123="Closed",$X123="Unmapped"),"",MATCH($X123,StageName,0))</f>
        <v/>
      </c>
      <c r="Z123" s="65" t="str">
        <f aca="false">IF(OR($Y123="",$I123=""),"",$I123-AsOf)</f>
        <v/>
      </c>
      <c r="AA123" s="65" t="str">
        <f aca="false">IF($A123="","",AsOf-$H123)</f>
        <v/>
      </c>
      <c r="AB123" s="65" t="str">
        <f aca="false">IF($A123="","",IF($X123="Closed","Closed",IF($X123="Unmapped","Unmapped",IF($I123="","No target",IF($Z123&lt;0,"Overdue",IF($Z123&lt;=INDEX(StageWindow,$Y123),"At risk","On track"))))))</f>
        <v/>
      </c>
      <c r="AC123" s="65" t="str">
        <f aca="false">IF($Y123="","",IF($AA123&gt;2*INDEX(StageStale,$Y123),"Stale",IF($AA123&gt;INDEX(StageStale,$Y123),"Aging","Fresh")))</f>
        <v/>
      </c>
      <c r="AD123" s="65" t="str">
        <f aca="false">IF($A123="","",IF(OR(ISNUMBER(SEARCH("Reg report",$J123)),ISNUMBER(SEARCH("No human review",$J123)),COUNTIF(TierFuncs,$D123)&gt;0),"High",IF(OR(TRIM($J123)&lt;&gt;"",ISNUMBER(SEARCH("revenue",$K123))),"Medium","Low")))</f>
        <v/>
      </c>
      <c r="AE123" s="65" t="str">
        <f aca="false">IF($A123="","",INDEX(TierDays,MATCH($AD123,TierName,0)))</f>
        <v/>
      </c>
      <c r="AF123" s="65" t="str">
        <f aca="false">IF($A123="","",AsOf-$G123)</f>
        <v/>
      </c>
      <c r="AG123" s="65" t="str">
        <f aca="false">IF($Y123="","",IF($Y123&lt;=5,IF($AF123&gt;$AE123,"Over","Inside"),"Past approval"))</f>
        <v/>
      </c>
      <c r="AH123" s="65" t="str">
        <f aca="false">IF($Y123="","",CHOOSE($Y123,IF(OR(TRIM($F123)="",ISNUMBER(SEARCH("not named",$F123))),"Critical","Good"),IF($O123&lt;&gt;"Y","Critical",IF($Q123&lt;&gt;"Y","Warning","Good")),IF($P123="","Critical",IF($P123="partial","Warning",IF($P123="ready","Good","Critical"))),IF($R123&lt;&gt;"","Critical","Warning"),IF($L123="","Critical",IF($N123="","Warning","Good")),IF($R123&lt;&gt;"","Critical","Warning"),IF($R123&lt;&gt;"","Critical","Warning"),IF($Q123="Y","Good","Critical")))</f>
        <v/>
      </c>
      <c r="AI123" s="65" t="str">
        <f aca="false">IF($Y123="","",CHOOSE($Y123,IF(OR(TRIM($F123)="",ISNUMBER(SEARCH("not named",$F123))),"Name a sponsor accountable for the value",""),IF($O123&lt;&gt;"Y","State the success metric and the stop condition",IF($Q123&lt;&gt;"Y","Set the baseline the benefit will be measured against","")),IF($P123="","Assess data readiness and regulatory impact",IF($P123="partial","Close the known data gaps",IF($P123="ready","","Data is not available; reshape or park"))),IF($R123&lt;&gt;"",IF(OR(ISNUMBER(SEARCH("mrm",$R123)),ISNUMBER(SEARCH("model",$R123)),ISNUMBER(SEARCH("risk",$R123)),ISNUMBER(SEARCH("legal",$R123)),ISNUMBER(SEARCH("complian",$R123))),"Awaiting ","Held at the design gate: ")&amp;$R123,"Map the governance framework for its tier"),IF($L123="","Size the annual benefit",IF($N123="","Score it so it can be ranked against capacity","")),IF($R123&lt;&gt;"","Build held: "&amp;$R123,"In build, not yet through test"),IF($R123&lt;&gt;"","Not ready to scale: "&amp;$R123,"Monitoring and third-party review not yet signed off"),IF($Q123="Y","","Live without a measured baseline to judge it against")))</f>
        <v/>
      </c>
      <c r="AJ123" s="65" t="str">
        <f aca="false">IF($Y123="","",INDEX(StageForum,$Y123))</f>
        <v/>
      </c>
      <c r="AK123" s="65" t="str">
        <f aca="false">IF($Y123="","",IF(OR($X123="Delivery",$X123="Value"),"Committed",IF($N123&lt;&gt;"","Candidate","")))</f>
        <v/>
      </c>
      <c r="AL123" s="65" t="str">
        <f aca="false">IF($AK123&lt;&gt;"Candidate","",COUNTIFS($AK$2:$AK$501,"Candidate",$N$2:$N$501,"&gt;"&amp;$N123)+COUNTIFS($AK$2:$AK$501,"Candidate",$N$2:$N$501,$N123,$A$2:$A$501,"&lt;"&amp;$A123)+1)</f>
        <v/>
      </c>
      <c r="AM123" s="65" t="str">
        <f aca="false">IF($AL123="","",SUMIFS($M$2:$M$501,$AK$2:$AK$501,"Candidate",$AL$2:$AL$501,"&lt;="&amp;$AL123))</f>
        <v/>
      </c>
      <c r="AN123" s="65" t="str">
        <f aca="false">IF($AL123="","",IF($AM123&lt;=CapacityOpen,"Fits","Below line"))</f>
        <v/>
      </c>
      <c r="AO123" s="65" t="str">
        <f aca="false">IF($A123="","",IF($X123="Closed","",IF($X123="Unmapped","Warning",IF(OR($AB123="Overdue",$V123="Y",$AH123="Critical"),"Critical",IF(OR($AB123="At risk",$AC123="Stale",$AG123="Over"),"Warning","")))))</f>
        <v/>
      </c>
      <c r="AP123" s="65" t="str">
        <f aca="false">IF($AO123="","",IF($AO123="Critical",3000,2000)-IF($Z123="",0,$Z123)+ROW()/100000)</f>
        <v/>
      </c>
      <c r="AQ123" s="65" t="str">
        <f aca="false">IF($AO123="","",IF($X123="Unmapped","Status '"&amp;$C123&amp;"' is not in the Config map",IF($V123="Y","Flagged in Jira",IF($AB123="Overdue",-$Z123&amp;" days past its "&amp;$X123&amp;" target",IF($AH123="Critical",$AI123,IF($AB123="At risk","Target in "&amp;$Z123&amp;" days",IF($AC123="Stale","No update in "&amp;$AA123&amp;" days","Past its "&amp;$AE123&amp;"-day tier window")))))))</f>
        <v/>
      </c>
      <c r="AR123" s="65" t="str">
        <f aca="false">IF($AO123="","","draft Jira update for "&amp;$A123)</f>
        <v/>
      </c>
      <c r="AS123" s="65" t="str">
        <f aca="false">IF($A123="","",HYPERLINK(JiraSite&amp;"/browse/"&amp;$A123,"open"))</f>
        <v/>
      </c>
      <c r="AT123" s="65" t="str">
        <f aca="false">IF($Y123="","",$Y123*1000+ROW())</f>
        <v/>
      </c>
      <c r="AU123" s="65" t="str">
        <f aca="false">IF(AND($A123&lt;&gt;"",$G123&gt;=WeekStart),$G123+ROW()/100000,"")</f>
        <v/>
      </c>
      <c r="AV123" s="65" t="str">
        <f aca="false">IF($A123="","",IF(OR(AND($S123&lt;&gt;"",$S123&gt;=WeekStart),AND($U123&lt;&gt;"",$U123&gt;=WeekStart)),MAX($S123,$U123)+ROW()/100000,""))</f>
        <v/>
      </c>
      <c r="AW123" s="65" t="str">
        <f aca="false">IF($AV123="","",IF($T123&lt;&gt;"",$T123,IF($X123="Closed","Closed","Accepted to "&amp;$X123)))</f>
        <v/>
      </c>
      <c r="AX123" s="65" t="str">
        <f aca="false">IF(AND($Y123&lt;&gt;"",$R123&lt;&gt;""),$AF123+ROW()/100000,"")</f>
        <v/>
      </c>
      <c r="AY123" s="65" t="str">
        <f aca="false">IF(AND($Y123&lt;&gt;"",OR($AB123="Overdue",AND($AH123="Critical",$R123&lt;&gt;""))),$AF123+ROW()/100000,"")</f>
        <v/>
      </c>
      <c r="AZ123" s="65" t="str">
        <f aca="false">IF($AH123="Critical",$AF123+ROW()/100000,"")</f>
        <v/>
      </c>
    </row>
    <row r="124" customFormat="false" ht="15" hidden="false" customHeight="false" outlineLevel="0" collapsed="false">
      <c r="A124" s="28"/>
      <c r="B124" s="28"/>
      <c r="C124" s="28"/>
      <c r="D124" s="28"/>
      <c r="E124" s="28"/>
      <c r="F124" s="28"/>
      <c r="G124" s="63"/>
      <c r="H124" s="63"/>
      <c r="I124" s="63"/>
      <c r="J124" s="28"/>
      <c r="K124" s="28"/>
      <c r="L124" s="28"/>
      <c r="M124" s="28"/>
      <c r="N124" s="28"/>
      <c r="O124" s="64"/>
      <c r="P124" s="64"/>
      <c r="Q124" s="64"/>
      <c r="R124" s="28"/>
      <c r="S124" s="63"/>
      <c r="T124" s="64"/>
      <c r="U124" s="63"/>
      <c r="V124" s="64"/>
      <c r="W124" s="28"/>
      <c r="X124" s="65" t="str">
        <f aca="false">IF($A124="","",IF(OR($T124&lt;&gt;"",$U124&lt;&gt;""),"Closed",IFERROR(INDEX(MapStage,MATCH($C124,MapStatus,0)),"Unmapped")))</f>
        <v/>
      </c>
      <c r="Y124" s="65" t="str">
        <f aca="false">IF(OR($X124="",$X124="Closed",$X124="Unmapped"),"",MATCH($X124,StageName,0))</f>
        <v/>
      </c>
      <c r="Z124" s="65" t="str">
        <f aca="false">IF(OR($Y124="",$I124=""),"",$I124-AsOf)</f>
        <v/>
      </c>
      <c r="AA124" s="65" t="str">
        <f aca="false">IF($A124="","",AsOf-$H124)</f>
        <v/>
      </c>
      <c r="AB124" s="65" t="str">
        <f aca="false">IF($A124="","",IF($X124="Closed","Closed",IF($X124="Unmapped","Unmapped",IF($I124="","No target",IF($Z124&lt;0,"Overdue",IF($Z124&lt;=INDEX(StageWindow,$Y124),"At risk","On track"))))))</f>
        <v/>
      </c>
      <c r="AC124" s="65" t="str">
        <f aca="false">IF($Y124="","",IF($AA124&gt;2*INDEX(StageStale,$Y124),"Stale",IF($AA124&gt;INDEX(StageStale,$Y124),"Aging","Fresh")))</f>
        <v/>
      </c>
      <c r="AD124" s="65" t="str">
        <f aca="false">IF($A124="","",IF(OR(ISNUMBER(SEARCH("Reg report",$J124)),ISNUMBER(SEARCH("No human review",$J124)),COUNTIF(TierFuncs,$D124)&gt;0),"High",IF(OR(TRIM($J124)&lt;&gt;"",ISNUMBER(SEARCH("revenue",$K124))),"Medium","Low")))</f>
        <v/>
      </c>
      <c r="AE124" s="65" t="str">
        <f aca="false">IF($A124="","",INDEX(TierDays,MATCH($AD124,TierName,0)))</f>
        <v/>
      </c>
      <c r="AF124" s="65" t="str">
        <f aca="false">IF($A124="","",AsOf-$G124)</f>
        <v/>
      </c>
      <c r="AG124" s="65" t="str">
        <f aca="false">IF($Y124="","",IF($Y124&lt;=5,IF($AF124&gt;$AE124,"Over","Inside"),"Past approval"))</f>
        <v/>
      </c>
      <c r="AH124" s="65" t="str">
        <f aca="false">IF($Y124="","",CHOOSE($Y124,IF(OR(TRIM($F124)="",ISNUMBER(SEARCH("not named",$F124))),"Critical","Good"),IF($O124&lt;&gt;"Y","Critical",IF($Q124&lt;&gt;"Y","Warning","Good")),IF($P124="","Critical",IF($P124="partial","Warning",IF($P124="ready","Good","Critical"))),IF($R124&lt;&gt;"","Critical","Warning"),IF($L124="","Critical",IF($N124="","Warning","Good")),IF($R124&lt;&gt;"","Critical","Warning"),IF($R124&lt;&gt;"","Critical","Warning"),IF($Q124="Y","Good","Critical")))</f>
        <v/>
      </c>
      <c r="AI124" s="65" t="str">
        <f aca="false">IF($Y124="","",CHOOSE($Y124,IF(OR(TRIM($F124)="",ISNUMBER(SEARCH("not named",$F124))),"Name a sponsor accountable for the value",""),IF($O124&lt;&gt;"Y","State the success metric and the stop condition",IF($Q124&lt;&gt;"Y","Set the baseline the benefit will be measured against","")),IF($P124="","Assess data readiness and regulatory impact",IF($P124="partial","Close the known data gaps",IF($P124="ready","","Data is not available; reshape or park"))),IF($R124&lt;&gt;"",IF(OR(ISNUMBER(SEARCH("mrm",$R124)),ISNUMBER(SEARCH("model",$R124)),ISNUMBER(SEARCH("risk",$R124)),ISNUMBER(SEARCH("legal",$R124)),ISNUMBER(SEARCH("complian",$R124))),"Awaiting ","Held at the design gate: ")&amp;$R124,"Map the governance framework for its tier"),IF($L124="","Size the annual benefit",IF($N124="","Score it so it can be ranked against capacity","")),IF($R124&lt;&gt;"","Build held: "&amp;$R124,"In build, not yet through test"),IF($R124&lt;&gt;"","Not ready to scale: "&amp;$R124,"Monitoring and third-party review not yet signed off"),IF($Q124="Y","","Live without a measured baseline to judge it against")))</f>
        <v/>
      </c>
      <c r="AJ124" s="65" t="str">
        <f aca="false">IF($Y124="","",INDEX(StageForum,$Y124))</f>
        <v/>
      </c>
      <c r="AK124" s="65" t="str">
        <f aca="false">IF($Y124="","",IF(OR($X124="Delivery",$X124="Value"),"Committed",IF($N124&lt;&gt;"","Candidate","")))</f>
        <v/>
      </c>
      <c r="AL124" s="65" t="str">
        <f aca="false">IF($AK124&lt;&gt;"Candidate","",COUNTIFS($AK$2:$AK$501,"Candidate",$N$2:$N$501,"&gt;"&amp;$N124)+COUNTIFS($AK$2:$AK$501,"Candidate",$N$2:$N$501,$N124,$A$2:$A$501,"&lt;"&amp;$A124)+1)</f>
        <v/>
      </c>
      <c r="AM124" s="65" t="str">
        <f aca="false">IF($AL124="","",SUMIFS($M$2:$M$501,$AK$2:$AK$501,"Candidate",$AL$2:$AL$501,"&lt;="&amp;$AL124))</f>
        <v/>
      </c>
      <c r="AN124" s="65" t="str">
        <f aca="false">IF($AL124="","",IF($AM124&lt;=CapacityOpen,"Fits","Below line"))</f>
        <v/>
      </c>
      <c r="AO124" s="65" t="str">
        <f aca="false">IF($A124="","",IF($X124="Closed","",IF($X124="Unmapped","Warning",IF(OR($AB124="Overdue",$V124="Y",$AH124="Critical"),"Critical",IF(OR($AB124="At risk",$AC124="Stale",$AG124="Over"),"Warning","")))))</f>
        <v/>
      </c>
      <c r="AP124" s="65" t="str">
        <f aca="false">IF($AO124="","",IF($AO124="Critical",3000,2000)-IF($Z124="",0,$Z124)+ROW()/100000)</f>
        <v/>
      </c>
      <c r="AQ124" s="65" t="str">
        <f aca="false">IF($AO124="","",IF($X124="Unmapped","Status '"&amp;$C124&amp;"' is not in the Config map",IF($V124="Y","Flagged in Jira",IF($AB124="Overdue",-$Z124&amp;" days past its "&amp;$X124&amp;" target",IF($AH124="Critical",$AI124,IF($AB124="At risk","Target in "&amp;$Z124&amp;" days",IF($AC124="Stale","No update in "&amp;$AA124&amp;" days","Past its "&amp;$AE124&amp;"-day tier window")))))))</f>
        <v/>
      </c>
      <c r="AR124" s="65" t="str">
        <f aca="false">IF($AO124="","","draft Jira update for "&amp;$A124)</f>
        <v/>
      </c>
      <c r="AS124" s="65" t="str">
        <f aca="false">IF($A124="","",HYPERLINK(JiraSite&amp;"/browse/"&amp;$A124,"open"))</f>
        <v/>
      </c>
      <c r="AT124" s="65" t="str">
        <f aca="false">IF($Y124="","",$Y124*1000+ROW())</f>
        <v/>
      </c>
      <c r="AU124" s="65" t="str">
        <f aca="false">IF(AND($A124&lt;&gt;"",$G124&gt;=WeekStart),$G124+ROW()/100000,"")</f>
        <v/>
      </c>
      <c r="AV124" s="65" t="str">
        <f aca="false">IF($A124="","",IF(OR(AND($S124&lt;&gt;"",$S124&gt;=WeekStart),AND($U124&lt;&gt;"",$U124&gt;=WeekStart)),MAX($S124,$U124)+ROW()/100000,""))</f>
        <v/>
      </c>
      <c r="AW124" s="65" t="str">
        <f aca="false">IF($AV124="","",IF($T124&lt;&gt;"",$T124,IF($X124="Closed","Closed","Accepted to "&amp;$X124)))</f>
        <v/>
      </c>
      <c r="AX124" s="65" t="str">
        <f aca="false">IF(AND($Y124&lt;&gt;"",$R124&lt;&gt;""),$AF124+ROW()/100000,"")</f>
        <v/>
      </c>
      <c r="AY124" s="65" t="str">
        <f aca="false">IF(AND($Y124&lt;&gt;"",OR($AB124="Overdue",AND($AH124="Critical",$R124&lt;&gt;""))),$AF124+ROW()/100000,"")</f>
        <v/>
      </c>
      <c r="AZ124" s="65" t="str">
        <f aca="false">IF($AH124="Critical",$AF124+ROW()/100000,"")</f>
        <v/>
      </c>
    </row>
    <row r="125" customFormat="false" ht="15" hidden="false" customHeight="false" outlineLevel="0" collapsed="false">
      <c r="A125" s="28"/>
      <c r="B125" s="28"/>
      <c r="C125" s="28"/>
      <c r="D125" s="28"/>
      <c r="E125" s="28"/>
      <c r="F125" s="28"/>
      <c r="G125" s="63"/>
      <c r="H125" s="63"/>
      <c r="I125" s="63"/>
      <c r="J125" s="28"/>
      <c r="K125" s="28"/>
      <c r="L125" s="28"/>
      <c r="M125" s="28"/>
      <c r="N125" s="28"/>
      <c r="O125" s="64"/>
      <c r="P125" s="64"/>
      <c r="Q125" s="64"/>
      <c r="R125" s="28"/>
      <c r="S125" s="63"/>
      <c r="T125" s="64"/>
      <c r="U125" s="63"/>
      <c r="V125" s="64"/>
      <c r="W125" s="28"/>
      <c r="X125" s="65" t="str">
        <f aca="false">IF($A125="","",IF(OR($T125&lt;&gt;"",$U125&lt;&gt;""),"Closed",IFERROR(INDEX(MapStage,MATCH($C125,MapStatus,0)),"Unmapped")))</f>
        <v/>
      </c>
      <c r="Y125" s="65" t="str">
        <f aca="false">IF(OR($X125="",$X125="Closed",$X125="Unmapped"),"",MATCH($X125,StageName,0))</f>
        <v/>
      </c>
      <c r="Z125" s="65" t="str">
        <f aca="false">IF(OR($Y125="",$I125=""),"",$I125-AsOf)</f>
        <v/>
      </c>
      <c r="AA125" s="65" t="str">
        <f aca="false">IF($A125="","",AsOf-$H125)</f>
        <v/>
      </c>
      <c r="AB125" s="65" t="str">
        <f aca="false">IF($A125="","",IF($X125="Closed","Closed",IF($X125="Unmapped","Unmapped",IF($I125="","No target",IF($Z125&lt;0,"Overdue",IF($Z125&lt;=INDEX(StageWindow,$Y125),"At risk","On track"))))))</f>
        <v/>
      </c>
      <c r="AC125" s="65" t="str">
        <f aca="false">IF($Y125="","",IF($AA125&gt;2*INDEX(StageStale,$Y125),"Stale",IF($AA125&gt;INDEX(StageStale,$Y125),"Aging","Fresh")))</f>
        <v/>
      </c>
      <c r="AD125" s="65" t="str">
        <f aca="false">IF($A125="","",IF(OR(ISNUMBER(SEARCH("Reg report",$J125)),ISNUMBER(SEARCH("No human review",$J125)),COUNTIF(TierFuncs,$D125)&gt;0),"High",IF(OR(TRIM($J125)&lt;&gt;"",ISNUMBER(SEARCH("revenue",$K125))),"Medium","Low")))</f>
        <v/>
      </c>
      <c r="AE125" s="65" t="str">
        <f aca="false">IF($A125="","",INDEX(TierDays,MATCH($AD125,TierName,0)))</f>
        <v/>
      </c>
      <c r="AF125" s="65" t="str">
        <f aca="false">IF($A125="","",AsOf-$G125)</f>
        <v/>
      </c>
      <c r="AG125" s="65" t="str">
        <f aca="false">IF($Y125="","",IF($Y125&lt;=5,IF($AF125&gt;$AE125,"Over","Inside"),"Past approval"))</f>
        <v/>
      </c>
      <c r="AH125" s="65" t="str">
        <f aca="false">IF($Y125="","",CHOOSE($Y125,IF(OR(TRIM($F125)="",ISNUMBER(SEARCH("not named",$F125))),"Critical","Good"),IF($O125&lt;&gt;"Y","Critical",IF($Q125&lt;&gt;"Y","Warning","Good")),IF($P125="","Critical",IF($P125="partial","Warning",IF($P125="ready","Good","Critical"))),IF($R125&lt;&gt;"","Critical","Warning"),IF($L125="","Critical",IF($N125="","Warning","Good")),IF($R125&lt;&gt;"","Critical","Warning"),IF($R125&lt;&gt;"","Critical","Warning"),IF($Q125="Y","Good","Critical")))</f>
        <v/>
      </c>
      <c r="AI125" s="65" t="str">
        <f aca="false">IF($Y125="","",CHOOSE($Y125,IF(OR(TRIM($F125)="",ISNUMBER(SEARCH("not named",$F125))),"Name a sponsor accountable for the value",""),IF($O125&lt;&gt;"Y","State the success metric and the stop condition",IF($Q125&lt;&gt;"Y","Set the baseline the benefit will be measured against","")),IF($P125="","Assess data readiness and regulatory impact",IF($P125="partial","Close the known data gaps",IF($P125="ready","","Data is not available; reshape or park"))),IF($R125&lt;&gt;"",IF(OR(ISNUMBER(SEARCH("mrm",$R125)),ISNUMBER(SEARCH("model",$R125)),ISNUMBER(SEARCH("risk",$R125)),ISNUMBER(SEARCH("legal",$R125)),ISNUMBER(SEARCH("complian",$R125))),"Awaiting ","Held at the design gate: ")&amp;$R125,"Map the governance framework for its tier"),IF($L125="","Size the annual benefit",IF($N125="","Score it so it can be ranked against capacity","")),IF($R125&lt;&gt;"","Build held: "&amp;$R125,"In build, not yet through test"),IF($R125&lt;&gt;"","Not ready to scale: "&amp;$R125,"Monitoring and third-party review not yet signed off"),IF($Q125="Y","","Live without a measured baseline to judge it against")))</f>
        <v/>
      </c>
      <c r="AJ125" s="65" t="str">
        <f aca="false">IF($Y125="","",INDEX(StageForum,$Y125))</f>
        <v/>
      </c>
      <c r="AK125" s="65" t="str">
        <f aca="false">IF($Y125="","",IF(OR($X125="Delivery",$X125="Value"),"Committed",IF($N125&lt;&gt;"","Candidate","")))</f>
        <v/>
      </c>
      <c r="AL125" s="65" t="str">
        <f aca="false">IF($AK125&lt;&gt;"Candidate","",COUNTIFS($AK$2:$AK$501,"Candidate",$N$2:$N$501,"&gt;"&amp;$N125)+COUNTIFS($AK$2:$AK$501,"Candidate",$N$2:$N$501,$N125,$A$2:$A$501,"&lt;"&amp;$A125)+1)</f>
        <v/>
      </c>
      <c r="AM125" s="65" t="str">
        <f aca="false">IF($AL125="","",SUMIFS($M$2:$M$501,$AK$2:$AK$501,"Candidate",$AL$2:$AL$501,"&lt;="&amp;$AL125))</f>
        <v/>
      </c>
      <c r="AN125" s="65" t="str">
        <f aca="false">IF($AL125="","",IF($AM125&lt;=CapacityOpen,"Fits","Below line"))</f>
        <v/>
      </c>
      <c r="AO125" s="65" t="str">
        <f aca="false">IF($A125="","",IF($X125="Closed","",IF($X125="Unmapped","Warning",IF(OR($AB125="Overdue",$V125="Y",$AH125="Critical"),"Critical",IF(OR($AB125="At risk",$AC125="Stale",$AG125="Over"),"Warning","")))))</f>
        <v/>
      </c>
      <c r="AP125" s="65" t="str">
        <f aca="false">IF($AO125="","",IF($AO125="Critical",3000,2000)-IF($Z125="",0,$Z125)+ROW()/100000)</f>
        <v/>
      </c>
      <c r="AQ125" s="65" t="str">
        <f aca="false">IF($AO125="","",IF($X125="Unmapped","Status '"&amp;$C125&amp;"' is not in the Config map",IF($V125="Y","Flagged in Jira",IF($AB125="Overdue",-$Z125&amp;" days past its "&amp;$X125&amp;" target",IF($AH125="Critical",$AI125,IF($AB125="At risk","Target in "&amp;$Z125&amp;" days",IF($AC125="Stale","No update in "&amp;$AA125&amp;" days","Past its "&amp;$AE125&amp;"-day tier window")))))))</f>
        <v/>
      </c>
      <c r="AR125" s="65" t="str">
        <f aca="false">IF($AO125="","","draft Jira update for "&amp;$A125)</f>
        <v/>
      </c>
      <c r="AS125" s="65" t="str">
        <f aca="false">IF($A125="","",HYPERLINK(JiraSite&amp;"/browse/"&amp;$A125,"open"))</f>
        <v/>
      </c>
      <c r="AT125" s="65" t="str">
        <f aca="false">IF($Y125="","",$Y125*1000+ROW())</f>
        <v/>
      </c>
      <c r="AU125" s="65" t="str">
        <f aca="false">IF(AND($A125&lt;&gt;"",$G125&gt;=WeekStart),$G125+ROW()/100000,"")</f>
        <v/>
      </c>
      <c r="AV125" s="65" t="str">
        <f aca="false">IF($A125="","",IF(OR(AND($S125&lt;&gt;"",$S125&gt;=WeekStart),AND($U125&lt;&gt;"",$U125&gt;=WeekStart)),MAX($S125,$U125)+ROW()/100000,""))</f>
        <v/>
      </c>
      <c r="AW125" s="65" t="str">
        <f aca="false">IF($AV125="","",IF($T125&lt;&gt;"",$T125,IF($X125="Closed","Closed","Accepted to "&amp;$X125)))</f>
        <v/>
      </c>
      <c r="AX125" s="65" t="str">
        <f aca="false">IF(AND($Y125&lt;&gt;"",$R125&lt;&gt;""),$AF125+ROW()/100000,"")</f>
        <v/>
      </c>
      <c r="AY125" s="65" t="str">
        <f aca="false">IF(AND($Y125&lt;&gt;"",OR($AB125="Overdue",AND($AH125="Critical",$R125&lt;&gt;""))),$AF125+ROW()/100000,"")</f>
        <v/>
      </c>
      <c r="AZ125" s="65" t="str">
        <f aca="false">IF($AH125="Critical",$AF125+ROW()/100000,"")</f>
        <v/>
      </c>
    </row>
    <row r="126" customFormat="false" ht="15" hidden="false" customHeight="false" outlineLevel="0" collapsed="false">
      <c r="A126" s="28"/>
      <c r="B126" s="28"/>
      <c r="C126" s="28"/>
      <c r="D126" s="28"/>
      <c r="E126" s="28"/>
      <c r="F126" s="28"/>
      <c r="G126" s="63"/>
      <c r="H126" s="63"/>
      <c r="I126" s="63"/>
      <c r="J126" s="28"/>
      <c r="K126" s="28"/>
      <c r="L126" s="28"/>
      <c r="M126" s="28"/>
      <c r="N126" s="28"/>
      <c r="O126" s="64"/>
      <c r="P126" s="64"/>
      <c r="Q126" s="64"/>
      <c r="R126" s="28"/>
      <c r="S126" s="63"/>
      <c r="T126" s="64"/>
      <c r="U126" s="63"/>
      <c r="V126" s="64"/>
      <c r="W126" s="28"/>
      <c r="X126" s="65" t="str">
        <f aca="false">IF($A126="","",IF(OR($T126&lt;&gt;"",$U126&lt;&gt;""),"Closed",IFERROR(INDEX(MapStage,MATCH($C126,MapStatus,0)),"Unmapped")))</f>
        <v/>
      </c>
      <c r="Y126" s="65" t="str">
        <f aca="false">IF(OR($X126="",$X126="Closed",$X126="Unmapped"),"",MATCH($X126,StageName,0))</f>
        <v/>
      </c>
      <c r="Z126" s="65" t="str">
        <f aca="false">IF(OR($Y126="",$I126=""),"",$I126-AsOf)</f>
        <v/>
      </c>
      <c r="AA126" s="65" t="str">
        <f aca="false">IF($A126="","",AsOf-$H126)</f>
        <v/>
      </c>
      <c r="AB126" s="65" t="str">
        <f aca="false">IF($A126="","",IF($X126="Closed","Closed",IF($X126="Unmapped","Unmapped",IF($I126="","No target",IF($Z126&lt;0,"Overdue",IF($Z126&lt;=INDEX(StageWindow,$Y126),"At risk","On track"))))))</f>
        <v/>
      </c>
      <c r="AC126" s="65" t="str">
        <f aca="false">IF($Y126="","",IF($AA126&gt;2*INDEX(StageStale,$Y126),"Stale",IF($AA126&gt;INDEX(StageStale,$Y126),"Aging","Fresh")))</f>
        <v/>
      </c>
      <c r="AD126" s="65" t="str">
        <f aca="false">IF($A126="","",IF(OR(ISNUMBER(SEARCH("Reg report",$J126)),ISNUMBER(SEARCH("No human review",$J126)),COUNTIF(TierFuncs,$D126)&gt;0),"High",IF(OR(TRIM($J126)&lt;&gt;"",ISNUMBER(SEARCH("revenue",$K126))),"Medium","Low")))</f>
        <v/>
      </c>
      <c r="AE126" s="65" t="str">
        <f aca="false">IF($A126="","",INDEX(TierDays,MATCH($AD126,TierName,0)))</f>
        <v/>
      </c>
      <c r="AF126" s="65" t="str">
        <f aca="false">IF($A126="","",AsOf-$G126)</f>
        <v/>
      </c>
      <c r="AG126" s="65" t="str">
        <f aca="false">IF($Y126="","",IF($Y126&lt;=5,IF($AF126&gt;$AE126,"Over","Inside"),"Past approval"))</f>
        <v/>
      </c>
      <c r="AH126" s="65" t="str">
        <f aca="false">IF($Y126="","",CHOOSE($Y126,IF(OR(TRIM($F126)="",ISNUMBER(SEARCH("not named",$F126))),"Critical","Good"),IF($O126&lt;&gt;"Y","Critical",IF($Q126&lt;&gt;"Y","Warning","Good")),IF($P126="","Critical",IF($P126="partial","Warning",IF($P126="ready","Good","Critical"))),IF($R126&lt;&gt;"","Critical","Warning"),IF($L126="","Critical",IF($N126="","Warning","Good")),IF($R126&lt;&gt;"","Critical","Warning"),IF($R126&lt;&gt;"","Critical","Warning"),IF($Q126="Y","Good","Critical")))</f>
        <v/>
      </c>
      <c r="AI126" s="65" t="str">
        <f aca="false">IF($Y126="","",CHOOSE($Y126,IF(OR(TRIM($F126)="",ISNUMBER(SEARCH("not named",$F126))),"Name a sponsor accountable for the value",""),IF($O126&lt;&gt;"Y","State the success metric and the stop condition",IF($Q126&lt;&gt;"Y","Set the baseline the benefit will be measured against","")),IF($P126="","Assess data readiness and regulatory impact",IF($P126="partial","Close the known data gaps",IF($P126="ready","","Data is not available; reshape or park"))),IF($R126&lt;&gt;"",IF(OR(ISNUMBER(SEARCH("mrm",$R126)),ISNUMBER(SEARCH("model",$R126)),ISNUMBER(SEARCH("risk",$R126)),ISNUMBER(SEARCH("legal",$R126)),ISNUMBER(SEARCH("complian",$R126))),"Awaiting ","Held at the design gate: ")&amp;$R126,"Map the governance framework for its tier"),IF($L126="","Size the annual benefit",IF($N126="","Score it so it can be ranked against capacity","")),IF($R126&lt;&gt;"","Build held: "&amp;$R126,"In build, not yet through test"),IF($R126&lt;&gt;"","Not ready to scale: "&amp;$R126,"Monitoring and third-party review not yet signed off"),IF($Q126="Y","","Live without a measured baseline to judge it against")))</f>
        <v/>
      </c>
      <c r="AJ126" s="65" t="str">
        <f aca="false">IF($Y126="","",INDEX(StageForum,$Y126))</f>
        <v/>
      </c>
      <c r="AK126" s="65" t="str">
        <f aca="false">IF($Y126="","",IF(OR($X126="Delivery",$X126="Value"),"Committed",IF($N126&lt;&gt;"","Candidate","")))</f>
        <v/>
      </c>
      <c r="AL126" s="65" t="str">
        <f aca="false">IF($AK126&lt;&gt;"Candidate","",COUNTIFS($AK$2:$AK$501,"Candidate",$N$2:$N$501,"&gt;"&amp;$N126)+COUNTIFS($AK$2:$AK$501,"Candidate",$N$2:$N$501,$N126,$A$2:$A$501,"&lt;"&amp;$A126)+1)</f>
        <v/>
      </c>
      <c r="AM126" s="65" t="str">
        <f aca="false">IF($AL126="","",SUMIFS($M$2:$M$501,$AK$2:$AK$501,"Candidate",$AL$2:$AL$501,"&lt;="&amp;$AL126))</f>
        <v/>
      </c>
      <c r="AN126" s="65" t="str">
        <f aca="false">IF($AL126="","",IF($AM126&lt;=CapacityOpen,"Fits","Below line"))</f>
        <v/>
      </c>
      <c r="AO126" s="65" t="str">
        <f aca="false">IF($A126="","",IF($X126="Closed","",IF($X126="Unmapped","Warning",IF(OR($AB126="Overdue",$V126="Y",$AH126="Critical"),"Critical",IF(OR($AB126="At risk",$AC126="Stale",$AG126="Over"),"Warning","")))))</f>
        <v/>
      </c>
      <c r="AP126" s="65" t="str">
        <f aca="false">IF($AO126="","",IF($AO126="Critical",3000,2000)-IF($Z126="",0,$Z126)+ROW()/100000)</f>
        <v/>
      </c>
      <c r="AQ126" s="65" t="str">
        <f aca="false">IF($AO126="","",IF($X126="Unmapped","Status '"&amp;$C126&amp;"' is not in the Config map",IF($V126="Y","Flagged in Jira",IF($AB126="Overdue",-$Z126&amp;" days past its "&amp;$X126&amp;" target",IF($AH126="Critical",$AI126,IF($AB126="At risk","Target in "&amp;$Z126&amp;" days",IF($AC126="Stale","No update in "&amp;$AA126&amp;" days","Past its "&amp;$AE126&amp;"-day tier window")))))))</f>
        <v/>
      </c>
      <c r="AR126" s="65" t="str">
        <f aca="false">IF($AO126="","","draft Jira update for "&amp;$A126)</f>
        <v/>
      </c>
      <c r="AS126" s="65" t="str">
        <f aca="false">IF($A126="","",HYPERLINK(JiraSite&amp;"/browse/"&amp;$A126,"open"))</f>
        <v/>
      </c>
      <c r="AT126" s="65" t="str">
        <f aca="false">IF($Y126="","",$Y126*1000+ROW())</f>
        <v/>
      </c>
      <c r="AU126" s="65" t="str">
        <f aca="false">IF(AND($A126&lt;&gt;"",$G126&gt;=WeekStart),$G126+ROW()/100000,"")</f>
        <v/>
      </c>
      <c r="AV126" s="65" t="str">
        <f aca="false">IF($A126="","",IF(OR(AND($S126&lt;&gt;"",$S126&gt;=WeekStart),AND($U126&lt;&gt;"",$U126&gt;=WeekStart)),MAX($S126,$U126)+ROW()/100000,""))</f>
        <v/>
      </c>
      <c r="AW126" s="65" t="str">
        <f aca="false">IF($AV126="","",IF($T126&lt;&gt;"",$T126,IF($X126="Closed","Closed","Accepted to "&amp;$X126)))</f>
        <v/>
      </c>
      <c r="AX126" s="65" t="str">
        <f aca="false">IF(AND($Y126&lt;&gt;"",$R126&lt;&gt;""),$AF126+ROW()/100000,"")</f>
        <v/>
      </c>
      <c r="AY126" s="65" t="str">
        <f aca="false">IF(AND($Y126&lt;&gt;"",OR($AB126="Overdue",AND($AH126="Critical",$R126&lt;&gt;""))),$AF126+ROW()/100000,"")</f>
        <v/>
      </c>
      <c r="AZ126" s="65" t="str">
        <f aca="false">IF($AH126="Critical",$AF126+ROW()/100000,"")</f>
        <v/>
      </c>
    </row>
    <row r="127" customFormat="false" ht="15" hidden="false" customHeight="false" outlineLevel="0" collapsed="false">
      <c r="A127" s="28"/>
      <c r="B127" s="28"/>
      <c r="C127" s="28"/>
      <c r="D127" s="28"/>
      <c r="E127" s="28"/>
      <c r="F127" s="28"/>
      <c r="G127" s="63"/>
      <c r="H127" s="63"/>
      <c r="I127" s="63"/>
      <c r="J127" s="28"/>
      <c r="K127" s="28"/>
      <c r="L127" s="28"/>
      <c r="M127" s="28"/>
      <c r="N127" s="28"/>
      <c r="O127" s="64"/>
      <c r="P127" s="64"/>
      <c r="Q127" s="64"/>
      <c r="R127" s="28"/>
      <c r="S127" s="63"/>
      <c r="T127" s="64"/>
      <c r="U127" s="63"/>
      <c r="V127" s="64"/>
      <c r="W127" s="28"/>
      <c r="X127" s="65" t="str">
        <f aca="false">IF($A127="","",IF(OR($T127&lt;&gt;"",$U127&lt;&gt;""),"Closed",IFERROR(INDEX(MapStage,MATCH($C127,MapStatus,0)),"Unmapped")))</f>
        <v/>
      </c>
      <c r="Y127" s="65" t="str">
        <f aca="false">IF(OR($X127="",$X127="Closed",$X127="Unmapped"),"",MATCH($X127,StageName,0))</f>
        <v/>
      </c>
      <c r="Z127" s="65" t="str">
        <f aca="false">IF(OR($Y127="",$I127=""),"",$I127-AsOf)</f>
        <v/>
      </c>
      <c r="AA127" s="65" t="str">
        <f aca="false">IF($A127="","",AsOf-$H127)</f>
        <v/>
      </c>
      <c r="AB127" s="65" t="str">
        <f aca="false">IF($A127="","",IF($X127="Closed","Closed",IF($X127="Unmapped","Unmapped",IF($I127="","No target",IF($Z127&lt;0,"Overdue",IF($Z127&lt;=INDEX(StageWindow,$Y127),"At risk","On track"))))))</f>
        <v/>
      </c>
      <c r="AC127" s="65" t="str">
        <f aca="false">IF($Y127="","",IF($AA127&gt;2*INDEX(StageStale,$Y127),"Stale",IF($AA127&gt;INDEX(StageStale,$Y127),"Aging","Fresh")))</f>
        <v/>
      </c>
      <c r="AD127" s="65" t="str">
        <f aca="false">IF($A127="","",IF(OR(ISNUMBER(SEARCH("Reg report",$J127)),ISNUMBER(SEARCH("No human review",$J127)),COUNTIF(TierFuncs,$D127)&gt;0),"High",IF(OR(TRIM($J127)&lt;&gt;"",ISNUMBER(SEARCH("revenue",$K127))),"Medium","Low")))</f>
        <v/>
      </c>
      <c r="AE127" s="65" t="str">
        <f aca="false">IF($A127="","",INDEX(TierDays,MATCH($AD127,TierName,0)))</f>
        <v/>
      </c>
      <c r="AF127" s="65" t="str">
        <f aca="false">IF($A127="","",AsOf-$G127)</f>
        <v/>
      </c>
      <c r="AG127" s="65" t="str">
        <f aca="false">IF($Y127="","",IF($Y127&lt;=5,IF($AF127&gt;$AE127,"Over","Inside"),"Past approval"))</f>
        <v/>
      </c>
      <c r="AH127" s="65" t="str">
        <f aca="false">IF($Y127="","",CHOOSE($Y127,IF(OR(TRIM($F127)="",ISNUMBER(SEARCH("not named",$F127))),"Critical","Good"),IF($O127&lt;&gt;"Y","Critical",IF($Q127&lt;&gt;"Y","Warning","Good")),IF($P127="","Critical",IF($P127="partial","Warning",IF($P127="ready","Good","Critical"))),IF($R127&lt;&gt;"","Critical","Warning"),IF($L127="","Critical",IF($N127="","Warning","Good")),IF($R127&lt;&gt;"","Critical","Warning"),IF($R127&lt;&gt;"","Critical","Warning"),IF($Q127="Y","Good","Critical")))</f>
        <v/>
      </c>
      <c r="AI127" s="65" t="str">
        <f aca="false">IF($Y127="","",CHOOSE($Y127,IF(OR(TRIM($F127)="",ISNUMBER(SEARCH("not named",$F127))),"Name a sponsor accountable for the value",""),IF($O127&lt;&gt;"Y","State the success metric and the stop condition",IF($Q127&lt;&gt;"Y","Set the baseline the benefit will be measured against","")),IF($P127="","Assess data readiness and regulatory impact",IF($P127="partial","Close the known data gaps",IF($P127="ready","","Data is not available; reshape or park"))),IF($R127&lt;&gt;"",IF(OR(ISNUMBER(SEARCH("mrm",$R127)),ISNUMBER(SEARCH("model",$R127)),ISNUMBER(SEARCH("risk",$R127)),ISNUMBER(SEARCH("legal",$R127)),ISNUMBER(SEARCH("complian",$R127))),"Awaiting ","Held at the design gate: ")&amp;$R127,"Map the governance framework for its tier"),IF($L127="","Size the annual benefit",IF($N127="","Score it so it can be ranked against capacity","")),IF($R127&lt;&gt;"","Build held: "&amp;$R127,"In build, not yet through test"),IF($R127&lt;&gt;"","Not ready to scale: "&amp;$R127,"Monitoring and third-party review not yet signed off"),IF($Q127="Y","","Live without a measured baseline to judge it against")))</f>
        <v/>
      </c>
      <c r="AJ127" s="65" t="str">
        <f aca="false">IF($Y127="","",INDEX(StageForum,$Y127))</f>
        <v/>
      </c>
      <c r="AK127" s="65" t="str">
        <f aca="false">IF($Y127="","",IF(OR($X127="Delivery",$X127="Value"),"Committed",IF($N127&lt;&gt;"","Candidate","")))</f>
        <v/>
      </c>
      <c r="AL127" s="65" t="str">
        <f aca="false">IF($AK127&lt;&gt;"Candidate","",COUNTIFS($AK$2:$AK$501,"Candidate",$N$2:$N$501,"&gt;"&amp;$N127)+COUNTIFS($AK$2:$AK$501,"Candidate",$N$2:$N$501,$N127,$A$2:$A$501,"&lt;"&amp;$A127)+1)</f>
        <v/>
      </c>
      <c r="AM127" s="65" t="str">
        <f aca="false">IF($AL127="","",SUMIFS($M$2:$M$501,$AK$2:$AK$501,"Candidate",$AL$2:$AL$501,"&lt;="&amp;$AL127))</f>
        <v/>
      </c>
      <c r="AN127" s="65" t="str">
        <f aca="false">IF($AL127="","",IF($AM127&lt;=CapacityOpen,"Fits","Below line"))</f>
        <v/>
      </c>
      <c r="AO127" s="65" t="str">
        <f aca="false">IF($A127="","",IF($X127="Closed","",IF($X127="Unmapped","Warning",IF(OR($AB127="Overdue",$V127="Y",$AH127="Critical"),"Critical",IF(OR($AB127="At risk",$AC127="Stale",$AG127="Over"),"Warning","")))))</f>
        <v/>
      </c>
      <c r="AP127" s="65" t="str">
        <f aca="false">IF($AO127="","",IF($AO127="Critical",3000,2000)-IF($Z127="",0,$Z127)+ROW()/100000)</f>
        <v/>
      </c>
      <c r="AQ127" s="65" t="str">
        <f aca="false">IF($AO127="","",IF($X127="Unmapped","Status '"&amp;$C127&amp;"' is not in the Config map",IF($V127="Y","Flagged in Jira",IF($AB127="Overdue",-$Z127&amp;" days past its "&amp;$X127&amp;" target",IF($AH127="Critical",$AI127,IF($AB127="At risk","Target in "&amp;$Z127&amp;" days",IF($AC127="Stale","No update in "&amp;$AA127&amp;" days","Past its "&amp;$AE127&amp;"-day tier window")))))))</f>
        <v/>
      </c>
      <c r="AR127" s="65" t="str">
        <f aca="false">IF($AO127="","","draft Jira update for "&amp;$A127)</f>
        <v/>
      </c>
      <c r="AS127" s="65" t="str">
        <f aca="false">IF($A127="","",HYPERLINK(JiraSite&amp;"/browse/"&amp;$A127,"open"))</f>
        <v/>
      </c>
      <c r="AT127" s="65" t="str">
        <f aca="false">IF($Y127="","",$Y127*1000+ROW())</f>
        <v/>
      </c>
      <c r="AU127" s="65" t="str">
        <f aca="false">IF(AND($A127&lt;&gt;"",$G127&gt;=WeekStart),$G127+ROW()/100000,"")</f>
        <v/>
      </c>
      <c r="AV127" s="65" t="str">
        <f aca="false">IF($A127="","",IF(OR(AND($S127&lt;&gt;"",$S127&gt;=WeekStart),AND($U127&lt;&gt;"",$U127&gt;=WeekStart)),MAX($S127,$U127)+ROW()/100000,""))</f>
        <v/>
      </c>
      <c r="AW127" s="65" t="str">
        <f aca="false">IF($AV127="","",IF($T127&lt;&gt;"",$T127,IF($X127="Closed","Closed","Accepted to "&amp;$X127)))</f>
        <v/>
      </c>
      <c r="AX127" s="65" t="str">
        <f aca="false">IF(AND($Y127&lt;&gt;"",$R127&lt;&gt;""),$AF127+ROW()/100000,"")</f>
        <v/>
      </c>
      <c r="AY127" s="65" t="str">
        <f aca="false">IF(AND($Y127&lt;&gt;"",OR($AB127="Overdue",AND($AH127="Critical",$R127&lt;&gt;""))),$AF127+ROW()/100000,"")</f>
        <v/>
      </c>
      <c r="AZ127" s="65" t="str">
        <f aca="false">IF($AH127="Critical",$AF127+ROW()/100000,"")</f>
        <v/>
      </c>
    </row>
    <row r="128" customFormat="false" ht="15" hidden="false" customHeight="false" outlineLevel="0" collapsed="false">
      <c r="A128" s="28"/>
      <c r="B128" s="28"/>
      <c r="C128" s="28"/>
      <c r="D128" s="28"/>
      <c r="E128" s="28"/>
      <c r="F128" s="28"/>
      <c r="G128" s="63"/>
      <c r="H128" s="63"/>
      <c r="I128" s="63"/>
      <c r="J128" s="28"/>
      <c r="K128" s="28"/>
      <c r="L128" s="28"/>
      <c r="M128" s="28"/>
      <c r="N128" s="28"/>
      <c r="O128" s="64"/>
      <c r="P128" s="64"/>
      <c r="Q128" s="64"/>
      <c r="R128" s="28"/>
      <c r="S128" s="63"/>
      <c r="T128" s="64"/>
      <c r="U128" s="63"/>
      <c r="V128" s="64"/>
      <c r="W128" s="28"/>
      <c r="X128" s="65" t="str">
        <f aca="false">IF($A128="","",IF(OR($T128&lt;&gt;"",$U128&lt;&gt;""),"Closed",IFERROR(INDEX(MapStage,MATCH($C128,MapStatus,0)),"Unmapped")))</f>
        <v/>
      </c>
      <c r="Y128" s="65" t="str">
        <f aca="false">IF(OR($X128="",$X128="Closed",$X128="Unmapped"),"",MATCH($X128,StageName,0))</f>
        <v/>
      </c>
      <c r="Z128" s="65" t="str">
        <f aca="false">IF(OR($Y128="",$I128=""),"",$I128-AsOf)</f>
        <v/>
      </c>
      <c r="AA128" s="65" t="str">
        <f aca="false">IF($A128="","",AsOf-$H128)</f>
        <v/>
      </c>
      <c r="AB128" s="65" t="str">
        <f aca="false">IF($A128="","",IF($X128="Closed","Closed",IF($X128="Unmapped","Unmapped",IF($I128="","No target",IF($Z128&lt;0,"Overdue",IF($Z128&lt;=INDEX(StageWindow,$Y128),"At risk","On track"))))))</f>
        <v/>
      </c>
      <c r="AC128" s="65" t="str">
        <f aca="false">IF($Y128="","",IF($AA128&gt;2*INDEX(StageStale,$Y128),"Stale",IF($AA128&gt;INDEX(StageStale,$Y128),"Aging","Fresh")))</f>
        <v/>
      </c>
      <c r="AD128" s="65" t="str">
        <f aca="false">IF($A128="","",IF(OR(ISNUMBER(SEARCH("Reg report",$J128)),ISNUMBER(SEARCH("No human review",$J128)),COUNTIF(TierFuncs,$D128)&gt;0),"High",IF(OR(TRIM($J128)&lt;&gt;"",ISNUMBER(SEARCH("revenue",$K128))),"Medium","Low")))</f>
        <v/>
      </c>
      <c r="AE128" s="65" t="str">
        <f aca="false">IF($A128="","",INDEX(TierDays,MATCH($AD128,TierName,0)))</f>
        <v/>
      </c>
      <c r="AF128" s="65" t="str">
        <f aca="false">IF($A128="","",AsOf-$G128)</f>
        <v/>
      </c>
      <c r="AG128" s="65" t="str">
        <f aca="false">IF($Y128="","",IF($Y128&lt;=5,IF($AF128&gt;$AE128,"Over","Inside"),"Past approval"))</f>
        <v/>
      </c>
      <c r="AH128" s="65" t="str">
        <f aca="false">IF($Y128="","",CHOOSE($Y128,IF(OR(TRIM($F128)="",ISNUMBER(SEARCH("not named",$F128))),"Critical","Good"),IF($O128&lt;&gt;"Y","Critical",IF($Q128&lt;&gt;"Y","Warning","Good")),IF($P128="","Critical",IF($P128="partial","Warning",IF($P128="ready","Good","Critical"))),IF($R128&lt;&gt;"","Critical","Warning"),IF($L128="","Critical",IF($N128="","Warning","Good")),IF($R128&lt;&gt;"","Critical","Warning"),IF($R128&lt;&gt;"","Critical","Warning"),IF($Q128="Y","Good","Critical")))</f>
        <v/>
      </c>
      <c r="AI128" s="65" t="str">
        <f aca="false">IF($Y128="","",CHOOSE($Y128,IF(OR(TRIM($F128)="",ISNUMBER(SEARCH("not named",$F128))),"Name a sponsor accountable for the value",""),IF($O128&lt;&gt;"Y","State the success metric and the stop condition",IF($Q128&lt;&gt;"Y","Set the baseline the benefit will be measured against","")),IF($P128="","Assess data readiness and regulatory impact",IF($P128="partial","Close the known data gaps",IF($P128="ready","","Data is not available; reshape or park"))),IF($R128&lt;&gt;"",IF(OR(ISNUMBER(SEARCH("mrm",$R128)),ISNUMBER(SEARCH("model",$R128)),ISNUMBER(SEARCH("risk",$R128)),ISNUMBER(SEARCH("legal",$R128)),ISNUMBER(SEARCH("complian",$R128))),"Awaiting ","Held at the design gate: ")&amp;$R128,"Map the governance framework for its tier"),IF($L128="","Size the annual benefit",IF($N128="","Score it so it can be ranked against capacity","")),IF($R128&lt;&gt;"","Build held: "&amp;$R128,"In build, not yet through test"),IF($R128&lt;&gt;"","Not ready to scale: "&amp;$R128,"Monitoring and third-party review not yet signed off"),IF($Q128="Y","","Live without a measured baseline to judge it against")))</f>
        <v/>
      </c>
      <c r="AJ128" s="65" t="str">
        <f aca="false">IF($Y128="","",INDEX(StageForum,$Y128))</f>
        <v/>
      </c>
      <c r="AK128" s="65" t="str">
        <f aca="false">IF($Y128="","",IF(OR($X128="Delivery",$X128="Value"),"Committed",IF($N128&lt;&gt;"","Candidate","")))</f>
        <v/>
      </c>
      <c r="AL128" s="65" t="str">
        <f aca="false">IF($AK128&lt;&gt;"Candidate","",COUNTIFS($AK$2:$AK$501,"Candidate",$N$2:$N$501,"&gt;"&amp;$N128)+COUNTIFS($AK$2:$AK$501,"Candidate",$N$2:$N$501,$N128,$A$2:$A$501,"&lt;"&amp;$A128)+1)</f>
        <v/>
      </c>
      <c r="AM128" s="65" t="str">
        <f aca="false">IF($AL128="","",SUMIFS($M$2:$M$501,$AK$2:$AK$501,"Candidate",$AL$2:$AL$501,"&lt;="&amp;$AL128))</f>
        <v/>
      </c>
      <c r="AN128" s="65" t="str">
        <f aca="false">IF($AL128="","",IF($AM128&lt;=CapacityOpen,"Fits","Below line"))</f>
        <v/>
      </c>
      <c r="AO128" s="65" t="str">
        <f aca="false">IF($A128="","",IF($X128="Closed","",IF($X128="Unmapped","Warning",IF(OR($AB128="Overdue",$V128="Y",$AH128="Critical"),"Critical",IF(OR($AB128="At risk",$AC128="Stale",$AG128="Over"),"Warning","")))))</f>
        <v/>
      </c>
      <c r="AP128" s="65" t="str">
        <f aca="false">IF($AO128="","",IF($AO128="Critical",3000,2000)-IF($Z128="",0,$Z128)+ROW()/100000)</f>
        <v/>
      </c>
      <c r="AQ128" s="65" t="str">
        <f aca="false">IF($AO128="","",IF($X128="Unmapped","Status '"&amp;$C128&amp;"' is not in the Config map",IF($V128="Y","Flagged in Jira",IF($AB128="Overdue",-$Z128&amp;" days past its "&amp;$X128&amp;" target",IF($AH128="Critical",$AI128,IF($AB128="At risk","Target in "&amp;$Z128&amp;" days",IF($AC128="Stale","No update in "&amp;$AA128&amp;" days","Past its "&amp;$AE128&amp;"-day tier window")))))))</f>
        <v/>
      </c>
      <c r="AR128" s="65" t="str">
        <f aca="false">IF($AO128="","","draft Jira update for "&amp;$A128)</f>
        <v/>
      </c>
      <c r="AS128" s="65" t="str">
        <f aca="false">IF($A128="","",HYPERLINK(JiraSite&amp;"/browse/"&amp;$A128,"open"))</f>
        <v/>
      </c>
      <c r="AT128" s="65" t="str">
        <f aca="false">IF($Y128="","",$Y128*1000+ROW())</f>
        <v/>
      </c>
      <c r="AU128" s="65" t="str">
        <f aca="false">IF(AND($A128&lt;&gt;"",$G128&gt;=WeekStart),$G128+ROW()/100000,"")</f>
        <v/>
      </c>
      <c r="AV128" s="65" t="str">
        <f aca="false">IF($A128="","",IF(OR(AND($S128&lt;&gt;"",$S128&gt;=WeekStart),AND($U128&lt;&gt;"",$U128&gt;=WeekStart)),MAX($S128,$U128)+ROW()/100000,""))</f>
        <v/>
      </c>
      <c r="AW128" s="65" t="str">
        <f aca="false">IF($AV128="","",IF($T128&lt;&gt;"",$T128,IF($X128="Closed","Closed","Accepted to "&amp;$X128)))</f>
        <v/>
      </c>
      <c r="AX128" s="65" t="str">
        <f aca="false">IF(AND($Y128&lt;&gt;"",$R128&lt;&gt;""),$AF128+ROW()/100000,"")</f>
        <v/>
      </c>
      <c r="AY128" s="65" t="str">
        <f aca="false">IF(AND($Y128&lt;&gt;"",OR($AB128="Overdue",AND($AH128="Critical",$R128&lt;&gt;""))),$AF128+ROW()/100000,"")</f>
        <v/>
      </c>
      <c r="AZ128" s="65" t="str">
        <f aca="false">IF($AH128="Critical",$AF128+ROW()/100000,"")</f>
        <v/>
      </c>
    </row>
    <row r="129" customFormat="false" ht="15" hidden="false" customHeight="false" outlineLevel="0" collapsed="false">
      <c r="A129" s="28"/>
      <c r="B129" s="28"/>
      <c r="C129" s="28"/>
      <c r="D129" s="28"/>
      <c r="E129" s="28"/>
      <c r="F129" s="28"/>
      <c r="G129" s="63"/>
      <c r="H129" s="63"/>
      <c r="I129" s="63"/>
      <c r="J129" s="28"/>
      <c r="K129" s="28"/>
      <c r="L129" s="28"/>
      <c r="M129" s="28"/>
      <c r="N129" s="28"/>
      <c r="O129" s="64"/>
      <c r="P129" s="64"/>
      <c r="Q129" s="64"/>
      <c r="R129" s="28"/>
      <c r="S129" s="63"/>
      <c r="T129" s="64"/>
      <c r="U129" s="63"/>
      <c r="V129" s="64"/>
      <c r="W129" s="28"/>
      <c r="X129" s="65" t="str">
        <f aca="false">IF($A129="","",IF(OR($T129&lt;&gt;"",$U129&lt;&gt;""),"Closed",IFERROR(INDEX(MapStage,MATCH($C129,MapStatus,0)),"Unmapped")))</f>
        <v/>
      </c>
      <c r="Y129" s="65" t="str">
        <f aca="false">IF(OR($X129="",$X129="Closed",$X129="Unmapped"),"",MATCH($X129,StageName,0))</f>
        <v/>
      </c>
      <c r="Z129" s="65" t="str">
        <f aca="false">IF(OR($Y129="",$I129=""),"",$I129-AsOf)</f>
        <v/>
      </c>
      <c r="AA129" s="65" t="str">
        <f aca="false">IF($A129="","",AsOf-$H129)</f>
        <v/>
      </c>
      <c r="AB129" s="65" t="str">
        <f aca="false">IF($A129="","",IF($X129="Closed","Closed",IF($X129="Unmapped","Unmapped",IF($I129="","No target",IF($Z129&lt;0,"Overdue",IF($Z129&lt;=INDEX(StageWindow,$Y129),"At risk","On track"))))))</f>
        <v/>
      </c>
      <c r="AC129" s="65" t="str">
        <f aca="false">IF($Y129="","",IF($AA129&gt;2*INDEX(StageStale,$Y129),"Stale",IF($AA129&gt;INDEX(StageStale,$Y129),"Aging","Fresh")))</f>
        <v/>
      </c>
      <c r="AD129" s="65" t="str">
        <f aca="false">IF($A129="","",IF(OR(ISNUMBER(SEARCH("Reg report",$J129)),ISNUMBER(SEARCH("No human review",$J129)),COUNTIF(TierFuncs,$D129)&gt;0),"High",IF(OR(TRIM($J129)&lt;&gt;"",ISNUMBER(SEARCH("revenue",$K129))),"Medium","Low")))</f>
        <v/>
      </c>
      <c r="AE129" s="65" t="str">
        <f aca="false">IF($A129="","",INDEX(TierDays,MATCH($AD129,TierName,0)))</f>
        <v/>
      </c>
      <c r="AF129" s="65" t="str">
        <f aca="false">IF($A129="","",AsOf-$G129)</f>
        <v/>
      </c>
      <c r="AG129" s="65" t="str">
        <f aca="false">IF($Y129="","",IF($Y129&lt;=5,IF($AF129&gt;$AE129,"Over","Inside"),"Past approval"))</f>
        <v/>
      </c>
      <c r="AH129" s="65" t="str">
        <f aca="false">IF($Y129="","",CHOOSE($Y129,IF(OR(TRIM($F129)="",ISNUMBER(SEARCH("not named",$F129))),"Critical","Good"),IF($O129&lt;&gt;"Y","Critical",IF($Q129&lt;&gt;"Y","Warning","Good")),IF($P129="","Critical",IF($P129="partial","Warning",IF($P129="ready","Good","Critical"))),IF($R129&lt;&gt;"","Critical","Warning"),IF($L129="","Critical",IF($N129="","Warning","Good")),IF($R129&lt;&gt;"","Critical","Warning"),IF($R129&lt;&gt;"","Critical","Warning"),IF($Q129="Y","Good","Critical")))</f>
        <v/>
      </c>
      <c r="AI129" s="65" t="str">
        <f aca="false">IF($Y129="","",CHOOSE($Y129,IF(OR(TRIM($F129)="",ISNUMBER(SEARCH("not named",$F129))),"Name a sponsor accountable for the value",""),IF($O129&lt;&gt;"Y","State the success metric and the stop condition",IF($Q129&lt;&gt;"Y","Set the baseline the benefit will be measured against","")),IF($P129="","Assess data readiness and regulatory impact",IF($P129="partial","Close the known data gaps",IF($P129="ready","","Data is not available; reshape or park"))),IF($R129&lt;&gt;"",IF(OR(ISNUMBER(SEARCH("mrm",$R129)),ISNUMBER(SEARCH("model",$R129)),ISNUMBER(SEARCH("risk",$R129)),ISNUMBER(SEARCH("legal",$R129)),ISNUMBER(SEARCH("complian",$R129))),"Awaiting ","Held at the design gate: ")&amp;$R129,"Map the governance framework for its tier"),IF($L129="","Size the annual benefit",IF($N129="","Score it so it can be ranked against capacity","")),IF($R129&lt;&gt;"","Build held: "&amp;$R129,"In build, not yet through test"),IF($R129&lt;&gt;"","Not ready to scale: "&amp;$R129,"Monitoring and third-party review not yet signed off"),IF($Q129="Y","","Live without a measured baseline to judge it against")))</f>
        <v/>
      </c>
      <c r="AJ129" s="65" t="str">
        <f aca="false">IF($Y129="","",INDEX(StageForum,$Y129))</f>
        <v/>
      </c>
      <c r="AK129" s="65" t="str">
        <f aca="false">IF($Y129="","",IF(OR($X129="Delivery",$X129="Value"),"Committed",IF($N129&lt;&gt;"","Candidate","")))</f>
        <v/>
      </c>
      <c r="AL129" s="65" t="str">
        <f aca="false">IF($AK129&lt;&gt;"Candidate","",COUNTIFS($AK$2:$AK$501,"Candidate",$N$2:$N$501,"&gt;"&amp;$N129)+COUNTIFS($AK$2:$AK$501,"Candidate",$N$2:$N$501,$N129,$A$2:$A$501,"&lt;"&amp;$A129)+1)</f>
        <v/>
      </c>
      <c r="AM129" s="65" t="str">
        <f aca="false">IF($AL129="","",SUMIFS($M$2:$M$501,$AK$2:$AK$501,"Candidate",$AL$2:$AL$501,"&lt;="&amp;$AL129))</f>
        <v/>
      </c>
      <c r="AN129" s="65" t="str">
        <f aca="false">IF($AL129="","",IF($AM129&lt;=CapacityOpen,"Fits","Below line"))</f>
        <v/>
      </c>
      <c r="AO129" s="65" t="str">
        <f aca="false">IF($A129="","",IF($X129="Closed","",IF($X129="Unmapped","Warning",IF(OR($AB129="Overdue",$V129="Y",$AH129="Critical"),"Critical",IF(OR($AB129="At risk",$AC129="Stale",$AG129="Over"),"Warning","")))))</f>
        <v/>
      </c>
      <c r="AP129" s="65" t="str">
        <f aca="false">IF($AO129="","",IF($AO129="Critical",3000,2000)-IF($Z129="",0,$Z129)+ROW()/100000)</f>
        <v/>
      </c>
      <c r="AQ129" s="65" t="str">
        <f aca="false">IF($AO129="","",IF($X129="Unmapped","Status '"&amp;$C129&amp;"' is not in the Config map",IF($V129="Y","Flagged in Jira",IF($AB129="Overdue",-$Z129&amp;" days past its "&amp;$X129&amp;" target",IF($AH129="Critical",$AI129,IF($AB129="At risk","Target in "&amp;$Z129&amp;" days",IF($AC129="Stale","No update in "&amp;$AA129&amp;" days","Past its "&amp;$AE129&amp;"-day tier window")))))))</f>
        <v/>
      </c>
      <c r="AR129" s="65" t="str">
        <f aca="false">IF($AO129="","","draft Jira update for "&amp;$A129)</f>
        <v/>
      </c>
      <c r="AS129" s="65" t="str">
        <f aca="false">IF($A129="","",HYPERLINK(JiraSite&amp;"/browse/"&amp;$A129,"open"))</f>
        <v/>
      </c>
      <c r="AT129" s="65" t="str">
        <f aca="false">IF($Y129="","",$Y129*1000+ROW())</f>
        <v/>
      </c>
      <c r="AU129" s="65" t="str">
        <f aca="false">IF(AND($A129&lt;&gt;"",$G129&gt;=WeekStart),$G129+ROW()/100000,"")</f>
        <v/>
      </c>
      <c r="AV129" s="65" t="str">
        <f aca="false">IF($A129="","",IF(OR(AND($S129&lt;&gt;"",$S129&gt;=WeekStart),AND($U129&lt;&gt;"",$U129&gt;=WeekStart)),MAX($S129,$U129)+ROW()/100000,""))</f>
        <v/>
      </c>
      <c r="AW129" s="65" t="str">
        <f aca="false">IF($AV129="","",IF($T129&lt;&gt;"",$T129,IF($X129="Closed","Closed","Accepted to "&amp;$X129)))</f>
        <v/>
      </c>
      <c r="AX129" s="65" t="str">
        <f aca="false">IF(AND($Y129&lt;&gt;"",$R129&lt;&gt;""),$AF129+ROW()/100000,"")</f>
        <v/>
      </c>
      <c r="AY129" s="65" t="str">
        <f aca="false">IF(AND($Y129&lt;&gt;"",OR($AB129="Overdue",AND($AH129="Critical",$R129&lt;&gt;""))),$AF129+ROW()/100000,"")</f>
        <v/>
      </c>
      <c r="AZ129" s="65" t="str">
        <f aca="false">IF($AH129="Critical",$AF129+ROW()/100000,"")</f>
        <v/>
      </c>
    </row>
    <row r="130" customFormat="false" ht="15" hidden="false" customHeight="false" outlineLevel="0" collapsed="false">
      <c r="A130" s="28"/>
      <c r="B130" s="28"/>
      <c r="C130" s="28"/>
      <c r="D130" s="28"/>
      <c r="E130" s="28"/>
      <c r="F130" s="28"/>
      <c r="G130" s="63"/>
      <c r="H130" s="63"/>
      <c r="I130" s="63"/>
      <c r="J130" s="28"/>
      <c r="K130" s="28"/>
      <c r="L130" s="28"/>
      <c r="M130" s="28"/>
      <c r="N130" s="28"/>
      <c r="O130" s="64"/>
      <c r="P130" s="64"/>
      <c r="Q130" s="64"/>
      <c r="R130" s="28"/>
      <c r="S130" s="63"/>
      <c r="T130" s="64"/>
      <c r="U130" s="63"/>
      <c r="V130" s="64"/>
      <c r="W130" s="28"/>
      <c r="X130" s="65" t="str">
        <f aca="false">IF($A130="","",IF(OR($T130&lt;&gt;"",$U130&lt;&gt;""),"Closed",IFERROR(INDEX(MapStage,MATCH($C130,MapStatus,0)),"Unmapped")))</f>
        <v/>
      </c>
      <c r="Y130" s="65" t="str">
        <f aca="false">IF(OR($X130="",$X130="Closed",$X130="Unmapped"),"",MATCH($X130,StageName,0))</f>
        <v/>
      </c>
      <c r="Z130" s="65" t="str">
        <f aca="false">IF(OR($Y130="",$I130=""),"",$I130-AsOf)</f>
        <v/>
      </c>
      <c r="AA130" s="65" t="str">
        <f aca="false">IF($A130="","",AsOf-$H130)</f>
        <v/>
      </c>
      <c r="AB130" s="65" t="str">
        <f aca="false">IF($A130="","",IF($X130="Closed","Closed",IF($X130="Unmapped","Unmapped",IF($I130="","No target",IF($Z130&lt;0,"Overdue",IF($Z130&lt;=INDEX(StageWindow,$Y130),"At risk","On track"))))))</f>
        <v/>
      </c>
      <c r="AC130" s="65" t="str">
        <f aca="false">IF($Y130="","",IF($AA130&gt;2*INDEX(StageStale,$Y130),"Stale",IF($AA130&gt;INDEX(StageStale,$Y130),"Aging","Fresh")))</f>
        <v/>
      </c>
      <c r="AD130" s="65" t="str">
        <f aca="false">IF($A130="","",IF(OR(ISNUMBER(SEARCH("Reg report",$J130)),ISNUMBER(SEARCH("No human review",$J130)),COUNTIF(TierFuncs,$D130)&gt;0),"High",IF(OR(TRIM($J130)&lt;&gt;"",ISNUMBER(SEARCH("revenue",$K130))),"Medium","Low")))</f>
        <v/>
      </c>
      <c r="AE130" s="65" t="str">
        <f aca="false">IF($A130="","",INDEX(TierDays,MATCH($AD130,TierName,0)))</f>
        <v/>
      </c>
      <c r="AF130" s="65" t="str">
        <f aca="false">IF($A130="","",AsOf-$G130)</f>
        <v/>
      </c>
      <c r="AG130" s="65" t="str">
        <f aca="false">IF($Y130="","",IF($Y130&lt;=5,IF($AF130&gt;$AE130,"Over","Inside"),"Past approval"))</f>
        <v/>
      </c>
      <c r="AH130" s="65" t="str">
        <f aca="false">IF($Y130="","",CHOOSE($Y130,IF(OR(TRIM($F130)="",ISNUMBER(SEARCH("not named",$F130))),"Critical","Good"),IF($O130&lt;&gt;"Y","Critical",IF($Q130&lt;&gt;"Y","Warning","Good")),IF($P130="","Critical",IF($P130="partial","Warning",IF($P130="ready","Good","Critical"))),IF($R130&lt;&gt;"","Critical","Warning"),IF($L130="","Critical",IF($N130="","Warning","Good")),IF($R130&lt;&gt;"","Critical","Warning"),IF($R130&lt;&gt;"","Critical","Warning"),IF($Q130="Y","Good","Critical")))</f>
        <v/>
      </c>
      <c r="AI130" s="65" t="str">
        <f aca="false">IF($Y130="","",CHOOSE($Y130,IF(OR(TRIM($F130)="",ISNUMBER(SEARCH("not named",$F130))),"Name a sponsor accountable for the value",""),IF($O130&lt;&gt;"Y","State the success metric and the stop condition",IF($Q130&lt;&gt;"Y","Set the baseline the benefit will be measured against","")),IF($P130="","Assess data readiness and regulatory impact",IF($P130="partial","Close the known data gaps",IF($P130="ready","","Data is not available; reshape or park"))),IF($R130&lt;&gt;"",IF(OR(ISNUMBER(SEARCH("mrm",$R130)),ISNUMBER(SEARCH("model",$R130)),ISNUMBER(SEARCH("risk",$R130)),ISNUMBER(SEARCH("legal",$R130)),ISNUMBER(SEARCH("complian",$R130))),"Awaiting ","Held at the design gate: ")&amp;$R130,"Map the governance framework for its tier"),IF($L130="","Size the annual benefit",IF($N130="","Score it so it can be ranked against capacity","")),IF($R130&lt;&gt;"","Build held: "&amp;$R130,"In build, not yet through test"),IF($R130&lt;&gt;"","Not ready to scale: "&amp;$R130,"Monitoring and third-party review not yet signed off"),IF($Q130="Y","","Live without a measured baseline to judge it against")))</f>
        <v/>
      </c>
      <c r="AJ130" s="65" t="str">
        <f aca="false">IF($Y130="","",INDEX(StageForum,$Y130))</f>
        <v/>
      </c>
      <c r="AK130" s="65" t="str">
        <f aca="false">IF($Y130="","",IF(OR($X130="Delivery",$X130="Value"),"Committed",IF($N130&lt;&gt;"","Candidate","")))</f>
        <v/>
      </c>
      <c r="AL130" s="65" t="str">
        <f aca="false">IF($AK130&lt;&gt;"Candidate","",COUNTIFS($AK$2:$AK$501,"Candidate",$N$2:$N$501,"&gt;"&amp;$N130)+COUNTIFS($AK$2:$AK$501,"Candidate",$N$2:$N$501,$N130,$A$2:$A$501,"&lt;"&amp;$A130)+1)</f>
        <v/>
      </c>
      <c r="AM130" s="65" t="str">
        <f aca="false">IF($AL130="","",SUMIFS($M$2:$M$501,$AK$2:$AK$501,"Candidate",$AL$2:$AL$501,"&lt;="&amp;$AL130))</f>
        <v/>
      </c>
      <c r="AN130" s="65" t="str">
        <f aca="false">IF($AL130="","",IF($AM130&lt;=CapacityOpen,"Fits","Below line"))</f>
        <v/>
      </c>
      <c r="AO130" s="65" t="str">
        <f aca="false">IF($A130="","",IF($X130="Closed","",IF($X130="Unmapped","Warning",IF(OR($AB130="Overdue",$V130="Y",$AH130="Critical"),"Critical",IF(OR($AB130="At risk",$AC130="Stale",$AG130="Over"),"Warning","")))))</f>
        <v/>
      </c>
      <c r="AP130" s="65" t="str">
        <f aca="false">IF($AO130="","",IF($AO130="Critical",3000,2000)-IF($Z130="",0,$Z130)+ROW()/100000)</f>
        <v/>
      </c>
      <c r="AQ130" s="65" t="str">
        <f aca="false">IF($AO130="","",IF($X130="Unmapped","Status '"&amp;$C130&amp;"' is not in the Config map",IF($V130="Y","Flagged in Jira",IF($AB130="Overdue",-$Z130&amp;" days past its "&amp;$X130&amp;" target",IF($AH130="Critical",$AI130,IF($AB130="At risk","Target in "&amp;$Z130&amp;" days",IF($AC130="Stale","No update in "&amp;$AA130&amp;" days","Past its "&amp;$AE130&amp;"-day tier window")))))))</f>
        <v/>
      </c>
      <c r="AR130" s="65" t="str">
        <f aca="false">IF($AO130="","","draft Jira update for "&amp;$A130)</f>
        <v/>
      </c>
      <c r="AS130" s="65" t="str">
        <f aca="false">IF($A130="","",HYPERLINK(JiraSite&amp;"/browse/"&amp;$A130,"open"))</f>
        <v/>
      </c>
      <c r="AT130" s="65" t="str">
        <f aca="false">IF($Y130="","",$Y130*1000+ROW())</f>
        <v/>
      </c>
      <c r="AU130" s="65" t="str">
        <f aca="false">IF(AND($A130&lt;&gt;"",$G130&gt;=WeekStart),$G130+ROW()/100000,"")</f>
        <v/>
      </c>
      <c r="AV130" s="65" t="str">
        <f aca="false">IF($A130="","",IF(OR(AND($S130&lt;&gt;"",$S130&gt;=WeekStart),AND($U130&lt;&gt;"",$U130&gt;=WeekStart)),MAX($S130,$U130)+ROW()/100000,""))</f>
        <v/>
      </c>
      <c r="AW130" s="65" t="str">
        <f aca="false">IF($AV130="","",IF($T130&lt;&gt;"",$T130,IF($X130="Closed","Closed","Accepted to "&amp;$X130)))</f>
        <v/>
      </c>
      <c r="AX130" s="65" t="str">
        <f aca="false">IF(AND($Y130&lt;&gt;"",$R130&lt;&gt;""),$AF130+ROW()/100000,"")</f>
        <v/>
      </c>
      <c r="AY130" s="65" t="str">
        <f aca="false">IF(AND($Y130&lt;&gt;"",OR($AB130="Overdue",AND($AH130="Critical",$R130&lt;&gt;""))),$AF130+ROW()/100000,"")</f>
        <v/>
      </c>
      <c r="AZ130" s="65" t="str">
        <f aca="false">IF($AH130="Critical",$AF130+ROW()/100000,"")</f>
        <v/>
      </c>
    </row>
    <row r="131" customFormat="false" ht="15" hidden="false" customHeight="false" outlineLevel="0" collapsed="false">
      <c r="A131" s="28"/>
      <c r="B131" s="28"/>
      <c r="C131" s="28"/>
      <c r="D131" s="28"/>
      <c r="E131" s="28"/>
      <c r="F131" s="28"/>
      <c r="G131" s="63"/>
      <c r="H131" s="63"/>
      <c r="I131" s="63"/>
      <c r="J131" s="28"/>
      <c r="K131" s="28"/>
      <c r="L131" s="28"/>
      <c r="M131" s="28"/>
      <c r="N131" s="28"/>
      <c r="O131" s="64"/>
      <c r="P131" s="64"/>
      <c r="Q131" s="64"/>
      <c r="R131" s="28"/>
      <c r="S131" s="63"/>
      <c r="T131" s="64"/>
      <c r="U131" s="63"/>
      <c r="V131" s="64"/>
      <c r="W131" s="28"/>
      <c r="X131" s="65" t="str">
        <f aca="false">IF($A131="","",IF(OR($T131&lt;&gt;"",$U131&lt;&gt;""),"Closed",IFERROR(INDEX(MapStage,MATCH($C131,MapStatus,0)),"Unmapped")))</f>
        <v/>
      </c>
      <c r="Y131" s="65" t="str">
        <f aca="false">IF(OR($X131="",$X131="Closed",$X131="Unmapped"),"",MATCH($X131,StageName,0))</f>
        <v/>
      </c>
      <c r="Z131" s="65" t="str">
        <f aca="false">IF(OR($Y131="",$I131=""),"",$I131-AsOf)</f>
        <v/>
      </c>
      <c r="AA131" s="65" t="str">
        <f aca="false">IF($A131="","",AsOf-$H131)</f>
        <v/>
      </c>
      <c r="AB131" s="65" t="str">
        <f aca="false">IF($A131="","",IF($X131="Closed","Closed",IF($X131="Unmapped","Unmapped",IF($I131="","No target",IF($Z131&lt;0,"Overdue",IF($Z131&lt;=INDEX(StageWindow,$Y131),"At risk","On track"))))))</f>
        <v/>
      </c>
      <c r="AC131" s="65" t="str">
        <f aca="false">IF($Y131="","",IF($AA131&gt;2*INDEX(StageStale,$Y131),"Stale",IF($AA131&gt;INDEX(StageStale,$Y131),"Aging","Fresh")))</f>
        <v/>
      </c>
      <c r="AD131" s="65" t="str">
        <f aca="false">IF($A131="","",IF(OR(ISNUMBER(SEARCH("Reg report",$J131)),ISNUMBER(SEARCH("No human review",$J131)),COUNTIF(TierFuncs,$D131)&gt;0),"High",IF(OR(TRIM($J131)&lt;&gt;"",ISNUMBER(SEARCH("revenue",$K131))),"Medium","Low")))</f>
        <v/>
      </c>
      <c r="AE131" s="65" t="str">
        <f aca="false">IF($A131="","",INDEX(TierDays,MATCH($AD131,TierName,0)))</f>
        <v/>
      </c>
      <c r="AF131" s="65" t="str">
        <f aca="false">IF($A131="","",AsOf-$G131)</f>
        <v/>
      </c>
      <c r="AG131" s="65" t="str">
        <f aca="false">IF($Y131="","",IF($Y131&lt;=5,IF($AF131&gt;$AE131,"Over","Inside"),"Past approval"))</f>
        <v/>
      </c>
      <c r="AH131" s="65" t="str">
        <f aca="false">IF($Y131="","",CHOOSE($Y131,IF(OR(TRIM($F131)="",ISNUMBER(SEARCH("not named",$F131))),"Critical","Good"),IF($O131&lt;&gt;"Y","Critical",IF($Q131&lt;&gt;"Y","Warning","Good")),IF($P131="","Critical",IF($P131="partial","Warning",IF($P131="ready","Good","Critical"))),IF($R131&lt;&gt;"","Critical","Warning"),IF($L131="","Critical",IF($N131="","Warning","Good")),IF($R131&lt;&gt;"","Critical","Warning"),IF($R131&lt;&gt;"","Critical","Warning"),IF($Q131="Y","Good","Critical")))</f>
        <v/>
      </c>
      <c r="AI131" s="65" t="str">
        <f aca="false">IF($Y131="","",CHOOSE($Y131,IF(OR(TRIM($F131)="",ISNUMBER(SEARCH("not named",$F131))),"Name a sponsor accountable for the value",""),IF($O131&lt;&gt;"Y","State the success metric and the stop condition",IF($Q131&lt;&gt;"Y","Set the baseline the benefit will be measured against","")),IF($P131="","Assess data readiness and regulatory impact",IF($P131="partial","Close the known data gaps",IF($P131="ready","","Data is not available; reshape or park"))),IF($R131&lt;&gt;"",IF(OR(ISNUMBER(SEARCH("mrm",$R131)),ISNUMBER(SEARCH("model",$R131)),ISNUMBER(SEARCH("risk",$R131)),ISNUMBER(SEARCH("legal",$R131)),ISNUMBER(SEARCH("complian",$R131))),"Awaiting ","Held at the design gate: ")&amp;$R131,"Map the governance framework for its tier"),IF($L131="","Size the annual benefit",IF($N131="","Score it so it can be ranked against capacity","")),IF($R131&lt;&gt;"","Build held: "&amp;$R131,"In build, not yet through test"),IF($R131&lt;&gt;"","Not ready to scale: "&amp;$R131,"Monitoring and third-party review not yet signed off"),IF($Q131="Y","","Live without a measured baseline to judge it against")))</f>
        <v/>
      </c>
      <c r="AJ131" s="65" t="str">
        <f aca="false">IF($Y131="","",INDEX(StageForum,$Y131))</f>
        <v/>
      </c>
      <c r="AK131" s="65" t="str">
        <f aca="false">IF($Y131="","",IF(OR($X131="Delivery",$X131="Value"),"Committed",IF($N131&lt;&gt;"","Candidate","")))</f>
        <v/>
      </c>
      <c r="AL131" s="65" t="str">
        <f aca="false">IF($AK131&lt;&gt;"Candidate","",COUNTIFS($AK$2:$AK$501,"Candidate",$N$2:$N$501,"&gt;"&amp;$N131)+COUNTIFS($AK$2:$AK$501,"Candidate",$N$2:$N$501,$N131,$A$2:$A$501,"&lt;"&amp;$A131)+1)</f>
        <v/>
      </c>
      <c r="AM131" s="65" t="str">
        <f aca="false">IF($AL131="","",SUMIFS($M$2:$M$501,$AK$2:$AK$501,"Candidate",$AL$2:$AL$501,"&lt;="&amp;$AL131))</f>
        <v/>
      </c>
      <c r="AN131" s="65" t="str">
        <f aca="false">IF($AL131="","",IF($AM131&lt;=CapacityOpen,"Fits","Below line"))</f>
        <v/>
      </c>
      <c r="AO131" s="65" t="str">
        <f aca="false">IF($A131="","",IF($X131="Closed","",IF($X131="Unmapped","Warning",IF(OR($AB131="Overdue",$V131="Y",$AH131="Critical"),"Critical",IF(OR($AB131="At risk",$AC131="Stale",$AG131="Over"),"Warning","")))))</f>
        <v/>
      </c>
      <c r="AP131" s="65" t="str">
        <f aca="false">IF($AO131="","",IF($AO131="Critical",3000,2000)-IF($Z131="",0,$Z131)+ROW()/100000)</f>
        <v/>
      </c>
      <c r="AQ131" s="65" t="str">
        <f aca="false">IF($AO131="","",IF($X131="Unmapped","Status '"&amp;$C131&amp;"' is not in the Config map",IF($V131="Y","Flagged in Jira",IF($AB131="Overdue",-$Z131&amp;" days past its "&amp;$X131&amp;" target",IF($AH131="Critical",$AI131,IF($AB131="At risk","Target in "&amp;$Z131&amp;" days",IF($AC131="Stale","No update in "&amp;$AA131&amp;" days","Past its "&amp;$AE131&amp;"-day tier window")))))))</f>
        <v/>
      </c>
      <c r="AR131" s="65" t="str">
        <f aca="false">IF($AO131="","","draft Jira update for "&amp;$A131)</f>
        <v/>
      </c>
      <c r="AS131" s="65" t="str">
        <f aca="false">IF($A131="","",HYPERLINK(JiraSite&amp;"/browse/"&amp;$A131,"open"))</f>
        <v/>
      </c>
      <c r="AT131" s="65" t="str">
        <f aca="false">IF($Y131="","",$Y131*1000+ROW())</f>
        <v/>
      </c>
      <c r="AU131" s="65" t="str">
        <f aca="false">IF(AND($A131&lt;&gt;"",$G131&gt;=WeekStart),$G131+ROW()/100000,"")</f>
        <v/>
      </c>
      <c r="AV131" s="65" t="str">
        <f aca="false">IF($A131="","",IF(OR(AND($S131&lt;&gt;"",$S131&gt;=WeekStart),AND($U131&lt;&gt;"",$U131&gt;=WeekStart)),MAX($S131,$U131)+ROW()/100000,""))</f>
        <v/>
      </c>
      <c r="AW131" s="65" t="str">
        <f aca="false">IF($AV131="","",IF($T131&lt;&gt;"",$T131,IF($X131="Closed","Closed","Accepted to "&amp;$X131)))</f>
        <v/>
      </c>
      <c r="AX131" s="65" t="str">
        <f aca="false">IF(AND($Y131&lt;&gt;"",$R131&lt;&gt;""),$AF131+ROW()/100000,"")</f>
        <v/>
      </c>
      <c r="AY131" s="65" t="str">
        <f aca="false">IF(AND($Y131&lt;&gt;"",OR($AB131="Overdue",AND($AH131="Critical",$R131&lt;&gt;""))),$AF131+ROW()/100000,"")</f>
        <v/>
      </c>
      <c r="AZ131" s="65" t="str">
        <f aca="false">IF($AH131="Critical",$AF131+ROW()/100000,"")</f>
        <v/>
      </c>
    </row>
    <row r="132" customFormat="false" ht="15" hidden="false" customHeight="false" outlineLevel="0" collapsed="false">
      <c r="A132" s="28"/>
      <c r="B132" s="28"/>
      <c r="C132" s="28"/>
      <c r="D132" s="28"/>
      <c r="E132" s="28"/>
      <c r="F132" s="28"/>
      <c r="G132" s="63"/>
      <c r="H132" s="63"/>
      <c r="I132" s="63"/>
      <c r="J132" s="28"/>
      <c r="K132" s="28"/>
      <c r="L132" s="28"/>
      <c r="M132" s="28"/>
      <c r="N132" s="28"/>
      <c r="O132" s="64"/>
      <c r="P132" s="64"/>
      <c r="Q132" s="64"/>
      <c r="R132" s="28"/>
      <c r="S132" s="63"/>
      <c r="T132" s="64"/>
      <c r="U132" s="63"/>
      <c r="V132" s="64"/>
      <c r="W132" s="28"/>
      <c r="X132" s="65" t="str">
        <f aca="false">IF($A132="","",IF(OR($T132&lt;&gt;"",$U132&lt;&gt;""),"Closed",IFERROR(INDEX(MapStage,MATCH($C132,MapStatus,0)),"Unmapped")))</f>
        <v/>
      </c>
      <c r="Y132" s="65" t="str">
        <f aca="false">IF(OR($X132="",$X132="Closed",$X132="Unmapped"),"",MATCH($X132,StageName,0))</f>
        <v/>
      </c>
      <c r="Z132" s="65" t="str">
        <f aca="false">IF(OR($Y132="",$I132=""),"",$I132-AsOf)</f>
        <v/>
      </c>
      <c r="AA132" s="65" t="str">
        <f aca="false">IF($A132="","",AsOf-$H132)</f>
        <v/>
      </c>
      <c r="AB132" s="65" t="str">
        <f aca="false">IF($A132="","",IF($X132="Closed","Closed",IF($X132="Unmapped","Unmapped",IF($I132="","No target",IF($Z132&lt;0,"Overdue",IF($Z132&lt;=INDEX(StageWindow,$Y132),"At risk","On track"))))))</f>
        <v/>
      </c>
      <c r="AC132" s="65" t="str">
        <f aca="false">IF($Y132="","",IF($AA132&gt;2*INDEX(StageStale,$Y132),"Stale",IF($AA132&gt;INDEX(StageStale,$Y132),"Aging","Fresh")))</f>
        <v/>
      </c>
      <c r="AD132" s="65" t="str">
        <f aca="false">IF($A132="","",IF(OR(ISNUMBER(SEARCH("Reg report",$J132)),ISNUMBER(SEARCH("No human review",$J132)),COUNTIF(TierFuncs,$D132)&gt;0),"High",IF(OR(TRIM($J132)&lt;&gt;"",ISNUMBER(SEARCH("revenue",$K132))),"Medium","Low")))</f>
        <v/>
      </c>
      <c r="AE132" s="65" t="str">
        <f aca="false">IF($A132="","",INDEX(TierDays,MATCH($AD132,TierName,0)))</f>
        <v/>
      </c>
      <c r="AF132" s="65" t="str">
        <f aca="false">IF($A132="","",AsOf-$G132)</f>
        <v/>
      </c>
      <c r="AG132" s="65" t="str">
        <f aca="false">IF($Y132="","",IF($Y132&lt;=5,IF($AF132&gt;$AE132,"Over","Inside"),"Past approval"))</f>
        <v/>
      </c>
      <c r="AH132" s="65" t="str">
        <f aca="false">IF($Y132="","",CHOOSE($Y132,IF(OR(TRIM($F132)="",ISNUMBER(SEARCH("not named",$F132))),"Critical","Good"),IF($O132&lt;&gt;"Y","Critical",IF($Q132&lt;&gt;"Y","Warning","Good")),IF($P132="","Critical",IF($P132="partial","Warning",IF($P132="ready","Good","Critical"))),IF($R132&lt;&gt;"","Critical","Warning"),IF($L132="","Critical",IF($N132="","Warning","Good")),IF($R132&lt;&gt;"","Critical","Warning"),IF($R132&lt;&gt;"","Critical","Warning"),IF($Q132="Y","Good","Critical")))</f>
        <v/>
      </c>
      <c r="AI132" s="65" t="str">
        <f aca="false">IF($Y132="","",CHOOSE($Y132,IF(OR(TRIM($F132)="",ISNUMBER(SEARCH("not named",$F132))),"Name a sponsor accountable for the value",""),IF($O132&lt;&gt;"Y","State the success metric and the stop condition",IF($Q132&lt;&gt;"Y","Set the baseline the benefit will be measured against","")),IF($P132="","Assess data readiness and regulatory impact",IF($P132="partial","Close the known data gaps",IF($P132="ready","","Data is not available; reshape or park"))),IF($R132&lt;&gt;"",IF(OR(ISNUMBER(SEARCH("mrm",$R132)),ISNUMBER(SEARCH("model",$R132)),ISNUMBER(SEARCH("risk",$R132)),ISNUMBER(SEARCH("legal",$R132)),ISNUMBER(SEARCH("complian",$R132))),"Awaiting ","Held at the design gate: ")&amp;$R132,"Map the governance framework for its tier"),IF($L132="","Size the annual benefit",IF($N132="","Score it so it can be ranked against capacity","")),IF($R132&lt;&gt;"","Build held: "&amp;$R132,"In build, not yet through test"),IF($R132&lt;&gt;"","Not ready to scale: "&amp;$R132,"Monitoring and third-party review not yet signed off"),IF($Q132="Y","","Live without a measured baseline to judge it against")))</f>
        <v/>
      </c>
      <c r="AJ132" s="65" t="str">
        <f aca="false">IF($Y132="","",INDEX(StageForum,$Y132))</f>
        <v/>
      </c>
      <c r="AK132" s="65" t="str">
        <f aca="false">IF($Y132="","",IF(OR($X132="Delivery",$X132="Value"),"Committed",IF($N132&lt;&gt;"","Candidate","")))</f>
        <v/>
      </c>
      <c r="AL132" s="65" t="str">
        <f aca="false">IF($AK132&lt;&gt;"Candidate","",COUNTIFS($AK$2:$AK$501,"Candidate",$N$2:$N$501,"&gt;"&amp;$N132)+COUNTIFS($AK$2:$AK$501,"Candidate",$N$2:$N$501,$N132,$A$2:$A$501,"&lt;"&amp;$A132)+1)</f>
        <v/>
      </c>
      <c r="AM132" s="65" t="str">
        <f aca="false">IF($AL132="","",SUMIFS($M$2:$M$501,$AK$2:$AK$501,"Candidate",$AL$2:$AL$501,"&lt;="&amp;$AL132))</f>
        <v/>
      </c>
      <c r="AN132" s="65" t="str">
        <f aca="false">IF($AL132="","",IF($AM132&lt;=CapacityOpen,"Fits","Below line"))</f>
        <v/>
      </c>
      <c r="AO132" s="65" t="str">
        <f aca="false">IF($A132="","",IF($X132="Closed","",IF($X132="Unmapped","Warning",IF(OR($AB132="Overdue",$V132="Y",$AH132="Critical"),"Critical",IF(OR($AB132="At risk",$AC132="Stale",$AG132="Over"),"Warning","")))))</f>
        <v/>
      </c>
      <c r="AP132" s="65" t="str">
        <f aca="false">IF($AO132="","",IF($AO132="Critical",3000,2000)-IF($Z132="",0,$Z132)+ROW()/100000)</f>
        <v/>
      </c>
      <c r="AQ132" s="65" t="str">
        <f aca="false">IF($AO132="","",IF($X132="Unmapped","Status '"&amp;$C132&amp;"' is not in the Config map",IF($V132="Y","Flagged in Jira",IF($AB132="Overdue",-$Z132&amp;" days past its "&amp;$X132&amp;" target",IF($AH132="Critical",$AI132,IF($AB132="At risk","Target in "&amp;$Z132&amp;" days",IF($AC132="Stale","No update in "&amp;$AA132&amp;" days","Past its "&amp;$AE132&amp;"-day tier window")))))))</f>
        <v/>
      </c>
      <c r="AR132" s="65" t="str">
        <f aca="false">IF($AO132="","","draft Jira update for "&amp;$A132)</f>
        <v/>
      </c>
      <c r="AS132" s="65" t="str">
        <f aca="false">IF($A132="","",HYPERLINK(JiraSite&amp;"/browse/"&amp;$A132,"open"))</f>
        <v/>
      </c>
      <c r="AT132" s="65" t="str">
        <f aca="false">IF($Y132="","",$Y132*1000+ROW())</f>
        <v/>
      </c>
      <c r="AU132" s="65" t="str">
        <f aca="false">IF(AND($A132&lt;&gt;"",$G132&gt;=WeekStart),$G132+ROW()/100000,"")</f>
        <v/>
      </c>
      <c r="AV132" s="65" t="str">
        <f aca="false">IF($A132="","",IF(OR(AND($S132&lt;&gt;"",$S132&gt;=WeekStart),AND($U132&lt;&gt;"",$U132&gt;=WeekStart)),MAX($S132,$U132)+ROW()/100000,""))</f>
        <v/>
      </c>
      <c r="AW132" s="65" t="str">
        <f aca="false">IF($AV132="","",IF($T132&lt;&gt;"",$T132,IF($X132="Closed","Closed","Accepted to "&amp;$X132)))</f>
        <v/>
      </c>
      <c r="AX132" s="65" t="str">
        <f aca="false">IF(AND($Y132&lt;&gt;"",$R132&lt;&gt;""),$AF132+ROW()/100000,"")</f>
        <v/>
      </c>
      <c r="AY132" s="65" t="str">
        <f aca="false">IF(AND($Y132&lt;&gt;"",OR($AB132="Overdue",AND($AH132="Critical",$R132&lt;&gt;""))),$AF132+ROW()/100000,"")</f>
        <v/>
      </c>
      <c r="AZ132" s="65" t="str">
        <f aca="false">IF($AH132="Critical",$AF132+ROW()/100000,"")</f>
        <v/>
      </c>
    </row>
    <row r="133" customFormat="false" ht="15" hidden="false" customHeight="false" outlineLevel="0" collapsed="false">
      <c r="A133" s="28"/>
      <c r="B133" s="28"/>
      <c r="C133" s="28"/>
      <c r="D133" s="28"/>
      <c r="E133" s="28"/>
      <c r="F133" s="28"/>
      <c r="G133" s="63"/>
      <c r="H133" s="63"/>
      <c r="I133" s="63"/>
      <c r="J133" s="28"/>
      <c r="K133" s="28"/>
      <c r="L133" s="28"/>
      <c r="M133" s="28"/>
      <c r="N133" s="28"/>
      <c r="O133" s="64"/>
      <c r="P133" s="64"/>
      <c r="Q133" s="64"/>
      <c r="R133" s="28"/>
      <c r="S133" s="63"/>
      <c r="T133" s="64"/>
      <c r="U133" s="63"/>
      <c r="V133" s="64"/>
      <c r="W133" s="28"/>
      <c r="X133" s="65" t="str">
        <f aca="false">IF($A133="","",IF(OR($T133&lt;&gt;"",$U133&lt;&gt;""),"Closed",IFERROR(INDEX(MapStage,MATCH($C133,MapStatus,0)),"Unmapped")))</f>
        <v/>
      </c>
      <c r="Y133" s="65" t="str">
        <f aca="false">IF(OR($X133="",$X133="Closed",$X133="Unmapped"),"",MATCH($X133,StageName,0))</f>
        <v/>
      </c>
      <c r="Z133" s="65" t="str">
        <f aca="false">IF(OR($Y133="",$I133=""),"",$I133-AsOf)</f>
        <v/>
      </c>
      <c r="AA133" s="65" t="str">
        <f aca="false">IF($A133="","",AsOf-$H133)</f>
        <v/>
      </c>
      <c r="AB133" s="65" t="str">
        <f aca="false">IF($A133="","",IF($X133="Closed","Closed",IF($X133="Unmapped","Unmapped",IF($I133="","No target",IF($Z133&lt;0,"Overdue",IF($Z133&lt;=INDEX(StageWindow,$Y133),"At risk","On track"))))))</f>
        <v/>
      </c>
      <c r="AC133" s="65" t="str">
        <f aca="false">IF($Y133="","",IF($AA133&gt;2*INDEX(StageStale,$Y133),"Stale",IF($AA133&gt;INDEX(StageStale,$Y133),"Aging","Fresh")))</f>
        <v/>
      </c>
      <c r="AD133" s="65" t="str">
        <f aca="false">IF($A133="","",IF(OR(ISNUMBER(SEARCH("Reg report",$J133)),ISNUMBER(SEARCH("No human review",$J133)),COUNTIF(TierFuncs,$D133)&gt;0),"High",IF(OR(TRIM($J133)&lt;&gt;"",ISNUMBER(SEARCH("revenue",$K133))),"Medium","Low")))</f>
        <v/>
      </c>
      <c r="AE133" s="65" t="str">
        <f aca="false">IF($A133="","",INDEX(TierDays,MATCH($AD133,TierName,0)))</f>
        <v/>
      </c>
      <c r="AF133" s="65" t="str">
        <f aca="false">IF($A133="","",AsOf-$G133)</f>
        <v/>
      </c>
      <c r="AG133" s="65" t="str">
        <f aca="false">IF($Y133="","",IF($Y133&lt;=5,IF($AF133&gt;$AE133,"Over","Inside"),"Past approval"))</f>
        <v/>
      </c>
      <c r="AH133" s="65" t="str">
        <f aca="false">IF($Y133="","",CHOOSE($Y133,IF(OR(TRIM($F133)="",ISNUMBER(SEARCH("not named",$F133))),"Critical","Good"),IF($O133&lt;&gt;"Y","Critical",IF($Q133&lt;&gt;"Y","Warning","Good")),IF($P133="","Critical",IF($P133="partial","Warning",IF($P133="ready","Good","Critical"))),IF($R133&lt;&gt;"","Critical","Warning"),IF($L133="","Critical",IF($N133="","Warning","Good")),IF($R133&lt;&gt;"","Critical","Warning"),IF($R133&lt;&gt;"","Critical","Warning"),IF($Q133="Y","Good","Critical")))</f>
        <v/>
      </c>
      <c r="AI133" s="65" t="str">
        <f aca="false">IF($Y133="","",CHOOSE($Y133,IF(OR(TRIM($F133)="",ISNUMBER(SEARCH("not named",$F133))),"Name a sponsor accountable for the value",""),IF($O133&lt;&gt;"Y","State the success metric and the stop condition",IF($Q133&lt;&gt;"Y","Set the baseline the benefit will be measured against","")),IF($P133="","Assess data readiness and regulatory impact",IF($P133="partial","Close the known data gaps",IF($P133="ready","","Data is not available; reshape or park"))),IF($R133&lt;&gt;"",IF(OR(ISNUMBER(SEARCH("mrm",$R133)),ISNUMBER(SEARCH("model",$R133)),ISNUMBER(SEARCH("risk",$R133)),ISNUMBER(SEARCH("legal",$R133)),ISNUMBER(SEARCH("complian",$R133))),"Awaiting ","Held at the design gate: ")&amp;$R133,"Map the governance framework for its tier"),IF($L133="","Size the annual benefit",IF($N133="","Score it so it can be ranked against capacity","")),IF($R133&lt;&gt;"","Build held: "&amp;$R133,"In build, not yet through test"),IF($R133&lt;&gt;"","Not ready to scale: "&amp;$R133,"Monitoring and third-party review not yet signed off"),IF($Q133="Y","","Live without a measured baseline to judge it against")))</f>
        <v/>
      </c>
      <c r="AJ133" s="65" t="str">
        <f aca="false">IF($Y133="","",INDEX(StageForum,$Y133))</f>
        <v/>
      </c>
      <c r="AK133" s="65" t="str">
        <f aca="false">IF($Y133="","",IF(OR($X133="Delivery",$X133="Value"),"Committed",IF($N133&lt;&gt;"","Candidate","")))</f>
        <v/>
      </c>
      <c r="AL133" s="65" t="str">
        <f aca="false">IF($AK133&lt;&gt;"Candidate","",COUNTIFS($AK$2:$AK$501,"Candidate",$N$2:$N$501,"&gt;"&amp;$N133)+COUNTIFS($AK$2:$AK$501,"Candidate",$N$2:$N$501,$N133,$A$2:$A$501,"&lt;"&amp;$A133)+1)</f>
        <v/>
      </c>
      <c r="AM133" s="65" t="str">
        <f aca="false">IF($AL133="","",SUMIFS($M$2:$M$501,$AK$2:$AK$501,"Candidate",$AL$2:$AL$501,"&lt;="&amp;$AL133))</f>
        <v/>
      </c>
      <c r="AN133" s="65" t="str">
        <f aca="false">IF($AL133="","",IF($AM133&lt;=CapacityOpen,"Fits","Below line"))</f>
        <v/>
      </c>
      <c r="AO133" s="65" t="str">
        <f aca="false">IF($A133="","",IF($X133="Closed","",IF($X133="Unmapped","Warning",IF(OR($AB133="Overdue",$V133="Y",$AH133="Critical"),"Critical",IF(OR($AB133="At risk",$AC133="Stale",$AG133="Over"),"Warning","")))))</f>
        <v/>
      </c>
      <c r="AP133" s="65" t="str">
        <f aca="false">IF($AO133="","",IF($AO133="Critical",3000,2000)-IF($Z133="",0,$Z133)+ROW()/100000)</f>
        <v/>
      </c>
      <c r="AQ133" s="65" t="str">
        <f aca="false">IF($AO133="","",IF($X133="Unmapped","Status '"&amp;$C133&amp;"' is not in the Config map",IF($V133="Y","Flagged in Jira",IF($AB133="Overdue",-$Z133&amp;" days past its "&amp;$X133&amp;" target",IF($AH133="Critical",$AI133,IF($AB133="At risk","Target in "&amp;$Z133&amp;" days",IF($AC133="Stale","No update in "&amp;$AA133&amp;" days","Past its "&amp;$AE133&amp;"-day tier window")))))))</f>
        <v/>
      </c>
      <c r="AR133" s="65" t="str">
        <f aca="false">IF($AO133="","","draft Jira update for "&amp;$A133)</f>
        <v/>
      </c>
      <c r="AS133" s="65" t="str">
        <f aca="false">IF($A133="","",HYPERLINK(JiraSite&amp;"/browse/"&amp;$A133,"open"))</f>
        <v/>
      </c>
      <c r="AT133" s="65" t="str">
        <f aca="false">IF($Y133="","",$Y133*1000+ROW())</f>
        <v/>
      </c>
      <c r="AU133" s="65" t="str">
        <f aca="false">IF(AND($A133&lt;&gt;"",$G133&gt;=WeekStart),$G133+ROW()/100000,"")</f>
        <v/>
      </c>
      <c r="AV133" s="65" t="str">
        <f aca="false">IF($A133="","",IF(OR(AND($S133&lt;&gt;"",$S133&gt;=WeekStart),AND($U133&lt;&gt;"",$U133&gt;=WeekStart)),MAX($S133,$U133)+ROW()/100000,""))</f>
        <v/>
      </c>
      <c r="AW133" s="65" t="str">
        <f aca="false">IF($AV133="","",IF($T133&lt;&gt;"",$T133,IF($X133="Closed","Closed","Accepted to "&amp;$X133)))</f>
        <v/>
      </c>
      <c r="AX133" s="65" t="str">
        <f aca="false">IF(AND($Y133&lt;&gt;"",$R133&lt;&gt;""),$AF133+ROW()/100000,"")</f>
        <v/>
      </c>
      <c r="AY133" s="65" t="str">
        <f aca="false">IF(AND($Y133&lt;&gt;"",OR($AB133="Overdue",AND($AH133="Critical",$R133&lt;&gt;""))),$AF133+ROW()/100000,"")</f>
        <v/>
      </c>
      <c r="AZ133" s="65" t="str">
        <f aca="false">IF($AH133="Critical",$AF133+ROW()/100000,"")</f>
        <v/>
      </c>
    </row>
    <row r="134" customFormat="false" ht="15" hidden="false" customHeight="false" outlineLevel="0" collapsed="false">
      <c r="A134" s="28"/>
      <c r="B134" s="28"/>
      <c r="C134" s="28"/>
      <c r="D134" s="28"/>
      <c r="E134" s="28"/>
      <c r="F134" s="28"/>
      <c r="G134" s="63"/>
      <c r="H134" s="63"/>
      <c r="I134" s="63"/>
      <c r="J134" s="28"/>
      <c r="K134" s="28"/>
      <c r="L134" s="28"/>
      <c r="M134" s="28"/>
      <c r="N134" s="28"/>
      <c r="O134" s="64"/>
      <c r="P134" s="64"/>
      <c r="Q134" s="64"/>
      <c r="R134" s="28"/>
      <c r="S134" s="63"/>
      <c r="T134" s="64"/>
      <c r="U134" s="63"/>
      <c r="V134" s="64"/>
      <c r="W134" s="28"/>
      <c r="X134" s="65" t="str">
        <f aca="false">IF($A134="","",IF(OR($T134&lt;&gt;"",$U134&lt;&gt;""),"Closed",IFERROR(INDEX(MapStage,MATCH($C134,MapStatus,0)),"Unmapped")))</f>
        <v/>
      </c>
      <c r="Y134" s="65" t="str">
        <f aca="false">IF(OR($X134="",$X134="Closed",$X134="Unmapped"),"",MATCH($X134,StageName,0))</f>
        <v/>
      </c>
      <c r="Z134" s="65" t="str">
        <f aca="false">IF(OR($Y134="",$I134=""),"",$I134-AsOf)</f>
        <v/>
      </c>
      <c r="AA134" s="65" t="str">
        <f aca="false">IF($A134="","",AsOf-$H134)</f>
        <v/>
      </c>
      <c r="AB134" s="65" t="str">
        <f aca="false">IF($A134="","",IF($X134="Closed","Closed",IF($X134="Unmapped","Unmapped",IF($I134="","No target",IF($Z134&lt;0,"Overdue",IF($Z134&lt;=INDEX(StageWindow,$Y134),"At risk","On track"))))))</f>
        <v/>
      </c>
      <c r="AC134" s="65" t="str">
        <f aca="false">IF($Y134="","",IF($AA134&gt;2*INDEX(StageStale,$Y134),"Stale",IF($AA134&gt;INDEX(StageStale,$Y134),"Aging","Fresh")))</f>
        <v/>
      </c>
      <c r="AD134" s="65" t="str">
        <f aca="false">IF($A134="","",IF(OR(ISNUMBER(SEARCH("Reg report",$J134)),ISNUMBER(SEARCH("No human review",$J134)),COUNTIF(TierFuncs,$D134)&gt;0),"High",IF(OR(TRIM($J134)&lt;&gt;"",ISNUMBER(SEARCH("revenue",$K134))),"Medium","Low")))</f>
        <v/>
      </c>
      <c r="AE134" s="65" t="str">
        <f aca="false">IF($A134="","",INDEX(TierDays,MATCH($AD134,TierName,0)))</f>
        <v/>
      </c>
      <c r="AF134" s="65" t="str">
        <f aca="false">IF($A134="","",AsOf-$G134)</f>
        <v/>
      </c>
      <c r="AG134" s="65" t="str">
        <f aca="false">IF($Y134="","",IF($Y134&lt;=5,IF($AF134&gt;$AE134,"Over","Inside"),"Past approval"))</f>
        <v/>
      </c>
      <c r="AH134" s="65" t="str">
        <f aca="false">IF($Y134="","",CHOOSE($Y134,IF(OR(TRIM($F134)="",ISNUMBER(SEARCH("not named",$F134))),"Critical","Good"),IF($O134&lt;&gt;"Y","Critical",IF($Q134&lt;&gt;"Y","Warning","Good")),IF($P134="","Critical",IF($P134="partial","Warning",IF($P134="ready","Good","Critical"))),IF($R134&lt;&gt;"","Critical","Warning"),IF($L134="","Critical",IF($N134="","Warning","Good")),IF($R134&lt;&gt;"","Critical","Warning"),IF($R134&lt;&gt;"","Critical","Warning"),IF($Q134="Y","Good","Critical")))</f>
        <v/>
      </c>
      <c r="AI134" s="65" t="str">
        <f aca="false">IF($Y134="","",CHOOSE($Y134,IF(OR(TRIM($F134)="",ISNUMBER(SEARCH("not named",$F134))),"Name a sponsor accountable for the value",""),IF($O134&lt;&gt;"Y","State the success metric and the stop condition",IF($Q134&lt;&gt;"Y","Set the baseline the benefit will be measured against","")),IF($P134="","Assess data readiness and regulatory impact",IF($P134="partial","Close the known data gaps",IF($P134="ready","","Data is not available; reshape or park"))),IF($R134&lt;&gt;"",IF(OR(ISNUMBER(SEARCH("mrm",$R134)),ISNUMBER(SEARCH("model",$R134)),ISNUMBER(SEARCH("risk",$R134)),ISNUMBER(SEARCH("legal",$R134)),ISNUMBER(SEARCH("complian",$R134))),"Awaiting ","Held at the design gate: ")&amp;$R134,"Map the governance framework for its tier"),IF($L134="","Size the annual benefit",IF($N134="","Score it so it can be ranked against capacity","")),IF($R134&lt;&gt;"","Build held: "&amp;$R134,"In build, not yet through test"),IF($R134&lt;&gt;"","Not ready to scale: "&amp;$R134,"Monitoring and third-party review not yet signed off"),IF($Q134="Y","","Live without a measured baseline to judge it against")))</f>
        <v/>
      </c>
      <c r="AJ134" s="65" t="str">
        <f aca="false">IF($Y134="","",INDEX(StageForum,$Y134))</f>
        <v/>
      </c>
      <c r="AK134" s="65" t="str">
        <f aca="false">IF($Y134="","",IF(OR($X134="Delivery",$X134="Value"),"Committed",IF($N134&lt;&gt;"","Candidate","")))</f>
        <v/>
      </c>
      <c r="AL134" s="65" t="str">
        <f aca="false">IF($AK134&lt;&gt;"Candidate","",COUNTIFS($AK$2:$AK$501,"Candidate",$N$2:$N$501,"&gt;"&amp;$N134)+COUNTIFS($AK$2:$AK$501,"Candidate",$N$2:$N$501,$N134,$A$2:$A$501,"&lt;"&amp;$A134)+1)</f>
        <v/>
      </c>
      <c r="AM134" s="65" t="str">
        <f aca="false">IF($AL134="","",SUMIFS($M$2:$M$501,$AK$2:$AK$501,"Candidate",$AL$2:$AL$501,"&lt;="&amp;$AL134))</f>
        <v/>
      </c>
      <c r="AN134" s="65" t="str">
        <f aca="false">IF($AL134="","",IF($AM134&lt;=CapacityOpen,"Fits","Below line"))</f>
        <v/>
      </c>
      <c r="AO134" s="65" t="str">
        <f aca="false">IF($A134="","",IF($X134="Closed","",IF($X134="Unmapped","Warning",IF(OR($AB134="Overdue",$V134="Y",$AH134="Critical"),"Critical",IF(OR($AB134="At risk",$AC134="Stale",$AG134="Over"),"Warning","")))))</f>
        <v/>
      </c>
      <c r="AP134" s="65" t="str">
        <f aca="false">IF($AO134="","",IF($AO134="Critical",3000,2000)-IF($Z134="",0,$Z134)+ROW()/100000)</f>
        <v/>
      </c>
      <c r="AQ134" s="65" t="str">
        <f aca="false">IF($AO134="","",IF($X134="Unmapped","Status '"&amp;$C134&amp;"' is not in the Config map",IF($V134="Y","Flagged in Jira",IF($AB134="Overdue",-$Z134&amp;" days past its "&amp;$X134&amp;" target",IF($AH134="Critical",$AI134,IF($AB134="At risk","Target in "&amp;$Z134&amp;" days",IF($AC134="Stale","No update in "&amp;$AA134&amp;" days","Past its "&amp;$AE134&amp;"-day tier window")))))))</f>
        <v/>
      </c>
      <c r="AR134" s="65" t="str">
        <f aca="false">IF($AO134="","","draft Jira update for "&amp;$A134)</f>
        <v/>
      </c>
      <c r="AS134" s="65" t="str">
        <f aca="false">IF($A134="","",HYPERLINK(JiraSite&amp;"/browse/"&amp;$A134,"open"))</f>
        <v/>
      </c>
      <c r="AT134" s="65" t="str">
        <f aca="false">IF($Y134="","",$Y134*1000+ROW())</f>
        <v/>
      </c>
      <c r="AU134" s="65" t="str">
        <f aca="false">IF(AND($A134&lt;&gt;"",$G134&gt;=WeekStart),$G134+ROW()/100000,"")</f>
        <v/>
      </c>
      <c r="AV134" s="65" t="str">
        <f aca="false">IF($A134="","",IF(OR(AND($S134&lt;&gt;"",$S134&gt;=WeekStart),AND($U134&lt;&gt;"",$U134&gt;=WeekStart)),MAX($S134,$U134)+ROW()/100000,""))</f>
        <v/>
      </c>
      <c r="AW134" s="65" t="str">
        <f aca="false">IF($AV134="","",IF($T134&lt;&gt;"",$T134,IF($X134="Closed","Closed","Accepted to "&amp;$X134)))</f>
        <v/>
      </c>
      <c r="AX134" s="65" t="str">
        <f aca="false">IF(AND($Y134&lt;&gt;"",$R134&lt;&gt;""),$AF134+ROW()/100000,"")</f>
        <v/>
      </c>
      <c r="AY134" s="65" t="str">
        <f aca="false">IF(AND($Y134&lt;&gt;"",OR($AB134="Overdue",AND($AH134="Critical",$R134&lt;&gt;""))),$AF134+ROW()/100000,"")</f>
        <v/>
      </c>
      <c r="AZ134" s="65" t="str">
        <f aca="false">IF($AH134="Critical",$AF134+ROW()/100000,"")</f>
        <v/>
      </c>
    </row>
    <row r="135" customFormat="false" ht="15" hidden="false" customHeight="false" outlineLevel="0" collapsed="false">
      <c r="A135" s="28"/>
      <c r="B135" s="28"/>
      <c r="C135" s="28"/>
      <c r="D135" s="28"/>
      <c r="E135" s="28"/>
      <c r="F135" s="28"/>
      <c r="G135" s="63"/>
      <c r="H135" s="63"/>
      <c r="I135" s="63"/>
      <c r="J135" s="28"/>
      <c r="K135" s="28"/>
      <c r="L135" s="28"/>
      <c r="M135" s="28"/>
      <c r="N135" s="28"/>
      <c r="O135" s="64"/>
      <c r="P135" s="64"/>
      <c r="Q135" s="64"/>
      <c r="R135" s="28"/>
      <c r="S135" s="63"/>
      <c r="T135" s="64"/>
      <c r="U135" s="63"/>
      <c r="V135" s="64"/>
      <c r="W135" s="28"/>
      <c r="X135" s="65" t="str">
        <f aca="false">IF($A135="","",IF(OR($T135&lt;&gt;"",$U135&lt;&gt;""),"Closed",IFERROR(INDEX(MapStage,MATCH($C135,MapStatus,0)),"Unmapped")))</f>
        <v/>
      </c>
      <c r="Y135" s="65" t="str">
        <f aca="false">IF(OR($X135="",$X135="Closed",$X135="Unmapped"),"",MATCH($X135,StageName,0))</f>
        <v/>
      </c>
      <c r="Z135" s="65" t="str">
        <f aca="false">IF(OR($Y135="",$I135=""),"",$I135-AsOf)</f>
        <v/>
      </c>
      <c r="AA135" s="65" t="str">
        <f aca="false">IF($A135="","",AsOf-$H135)</f>
        <v/>
      </c>
      <c r="AB135" s="65" t="str">
        <f aca="false">IF($A135="","",IF($X135="Closed","Closed",IF($X135="Unmapped","Unmapped",IF($I135="","No target",IF($Z135&lt;0,"Overdue",IF($Z135&lt;=INDEX(StageWindow,$Y135),"At risk","On track"))))))</f>
        <v/>
      </c>
      <c r="AC135" s="65" t="str">
        <f aca="false">IF($Y135="","",IF($AA135&gt;2*INDEX(StageStale,$Y135),"Stale",IF($AA135&gt;INDEX(StageStale,$Y135),"Aging","Fresh")))</f>
        <v/>
      </c>
      <c r="AD135" s="65" t="str">
        <f aca="false">IF($A135="","",IF(OR(ISNUMBER(SEARCH("Reg report",$J135)),ISNUMBER(SEARCH("No human review",$J135)),COUNTIF(TierFuncs,$D135)&gt;0),"High",IF(OR(TRIM($J135)&lt;&gt;"",ISNUMBER(SEARCH("revenue",$K135))),"Medium","Low")))</f>
        <v/>
      </c>
      <c r="AE135" s="65" t="str">
        <f aca="false">IF($A135="","",INDEX(TierDays,MATCH($AD135,TierName,0)))</f>
        <v/>
      </c>
      <c r="AF135" s="65" t="str">
        <f aca="false">IF($A135="","",AsOf-$G135)</f>
        <v/>
      </c>
      <c r="AG135" s="65" t="str">
        <f aca="false">IF($Y135="","",IF($Y135&lt;=5,IF($AF135&gt;$AE135,"Over","Inside"),"Past approval"))</f>
        <v/>
      </c>
      <c r="AH135" s="65" t="str">
        <f aca="false">IF($Y135="","",CHOOSE($Y135,IF(OR(TRIM($F135)="",ISNUMBER(SEARCH("not named",$F135))),"Critical","Good"),IF($O135&lt;&gt;"Y","Critical",IF($Q135&lt;&gt;"Y","Warning","Good")),IF($P135="","Critical",IF($P135="partial","Warning",IF($P135="ready","Good","Critical"))),IF($R135&lt;&gt;"","Critical","Warning"),IF($L135="","Critical",IF($N135="","Warning","Good")),IF($R135&lt;&gt;"","Critical","Warning"),IF($R135&lt;&gt;"","Critical","Warning"),IF($Q135="Y","Good","Critical")))</f>
        <v/>
      </c>
      <c r="AI135" s="65" t="str">
        <f aca="false">IF($Y135="","",CHOOSE($Y135,IF(OR(TRIM($F135)="",ISNUMBER(SEARCH("not named",$F135))),"Name a sponsor accountable for the value",""),IF($O135&lt;&gt;"Y","State the success metric and the stop condition",IF($Q135&lt;&gt;"Y","Set the baseline the benefit will be measured against","")),IF($P135="","Assess data readiness and regulatory impact",IF($P135="partial","Close the known data gaps",IF($P135="ready","","Data is not available; reshape or park"))),IF($R135&lt;&gt;"",IF(OR(ISNUMBER(SEARCH("mrm",$R135)),ISNUMBER(SEARCH("model",$R135)),ISNUMBER(SEARCH("risk",$R135)),ISNUMBER(SEARCH("legal",$R135)),ISNUMBER(SEARCH("complian",$R135))),"Awaiting ","Held at the design gate: ")&amp;$R135,"Map the governance framework for its tier"),IF($L135="","Size the annual benefit",IF($N135="","Score it so it can be ranked against capacity","")),IF($R135&lt;&gt;"","Build held: "&amp;$R135,"In build, not yet through test"),IF($R135&lt;&gt;"","Not ready to scale: "&amp;$R135,"Monitoring and third-party review not yet signed off"),IF($Q135="Y","","Live without a measured baseline to judge it against")))</f>
        <v/>
      </c>
      <c r="AJ135" s="65" t="str">
        <f aca="false">IF($Y135="","",INDEX(StageForum,$Y135))</f>
        <v/>
      </c>
      <c r="AK135" s="65" t="str">
        <f aca="false">IF($Y135="","",IF(OR($X135="Delivery",$X135="Value"),"Committed",IF($N135&lt;&gt;"","Candidate","")))</f>
        <v/>
      </c>
      <c r="AL135" s="65" t="str">
        <f aca="false">IF($AK135&lt;&gt;"Candidate","",COUNTIFS($AK$2:$AK$501,"Candidate",$N$2:$N$501,"&gt;"&amp;$N135)+COUNTIFS($AK$2:$AK$501,"Candidate",$N$2:$N$501,$N135,$A$2:$A$501,"&lt;"&amp;$A135)+1)</f>
        <v/>
      </c>
      <c r="AM135" s="65" t="str">
        <f aca="false">IF($AL135="","",SUMIFS($M$2:$M$501,$AK$2:$AK$501,"Candidate",$AL$2:$AL$501,"&lt;="&amp;$AL135))</f>
        <v/>
      </c>
      <c r="AN135" s="65" t="str">
        <f aca="false">IF($AL135="","",IF($AM135&lt;=CapacityOpen,"Fits","Below line"))</f>
        <v/>
      </c>
      <c r="AO135" s="65" t="str">
        <f aca="false">IF($A135="","",IF($X135="Closed","",IF($X135="Unmapped","Warning",IF(OR($AB135="Overdue",$V135="Y",$AH135="Critical"),"Critical",IF(OR($AB135="At risk",$AC135="Stale",$AG135="Over"),"Warning","")))))</f>
        <v/>
      </c>
      <c r="AP135" s="65" t="str">
        <f aca="false">IF($AO135="","",IF($AO135="Critical",3000,2000)-IF($Z135="",0,$Z135)+ROW()/100000)</f>
        <v/>
      </c>
      <c r="AQ135" s="65" t="str">
        <f aca="false">IF($AO135="","",IF($X135="Unmapped","Status '"&amp;$C135&amp;"' is not in the Config map",IF($V135="Y","Flagged in Jira",IF($AB135="Overdue",-$Z135&amp;" days past its "&amp;$X135&amp;" target",IF($AH135="Critical",$AI135,IF($AB135="At risk","Target in "&amp;$Z135&amp;" days",IF($AC135="Stale","No update in "&amp;$AA135&amp;" days","Past its "&amp;$AE135&amp;"-day tier window")))))))</f>
        <v/>
      </c>
      <c r="AR135" s="65" t="str">
        <f aca="false">IF($AO135="","","draft Jira update for "&amp;$A135)</f>
        <v/>
      </c>
      <c r="AS135" s="65" t="str">
        <f aca="false">IF($A135="","",HYPERLINK(JiraSite&amp;"/browse/"&amp;$A135,"open"))</f>
        <v/>
      </c>
      <c r="AT135" s="65" t="str">
        <f aca="false">IF($Y135="","",$Y135*1000+ROW())</f>
        <v/>
      </c>
      <c r="AU135" s="65" t="str">
        <f aca="false">IF(AND($A135&lt;&gt;"",$G135&gt;=WeekStart),$G135+ROW()/100000,"")</f>
        <v/>
      </c>
      <c r="AV135" s="65" t="str">
        <f aca="false">IF($A135="","",IF(OR(AND($S135&lt;&gt;"",$S135&gt;=WeekStart),AND($U135&lt;&gt;"",$U135&gt;=WeekStart)),MAX($S135,$U135)+ROW()/100000,""))</f>
        <v/>
      </c>
      <c r="AW135" s="65" t="str">
        <f aca="false">IF($AV135="","",IF($T135&lt;&gt;"",$T135,IF($X135="Closed","Closed","Accepted to "&amp;$X135)))</f>
        <v/>
      </c>
      <c r="AX135" s="65" t="str">
        <f aca="false">IF(AND($Y135&lt;&gt;"",$R135&lt;&gt;""),$AF135+ROW()/100000,"")</f>
        <v/>
      </c>
      <c r="AY135" s="65" t="str">
        <f aca="false">IF(AND($Y135&lt;&gt;"",OR($AB135="Overdue",AND($AH135="Critical",$R135&lt;&gt;""))),$AF135+ROW()/100000,"")</f>
        <v/>
      </c>
      <c r="AZ135" s="65" t="str">
        <f aca="false">IF($AH135="Critical",$AF135+ROW()/100000,"")</f>
        <v/>
      </c>
    </row>
    <row r="136" customFormat="false" ht="15" hidden="false" customHeight="false" outlineLevel="0" collapsed="false">
      <c r="A136" s="28"/>
      <c r="B136" s="28"/>
      <c r="C136" s="28"/>
      <c r="D136" s="28"/>
      <c r="E136" s="28"/>
      <c r="F136" s="28"/>
      <c r="G136" s="63"/>
      <c r="H136" s="63"/>
      <c r="I136" s="63"/>
      <c r="J136" s="28"/>
      <c r="K136" s="28"/>
      <c r="L136" s="28"/>
      <c r="M136" s="28"/>
      <c r="N136" s="28"/>
      <c r="O136" s="64"/>
      <c r="P136" s="64"/>
      <c r="Q136" s="64"/>
      <c r="R136" s="28"/>
      <c r="S136" s="63"/>
      <c r="T136" s="64"/>
      <c r="U136" s="63"/>
      <c r="V136" s="64"/>
      <c r="W136" s="28"/>
      <c r="X136" s="65" t="str">
        <f aca="false">IF($A136="","",IF(OR($T136&lt;&gt;"",$U136&lt;&gt;""),"Closed",IFERROR(INDEX(MapStage,MATCH($C136,MapStatus,0)),"Unmapped")))</f>
        <v/>
      </c>
      <c r="Y136" s="65" t="str">
        <f aca="false">IF(OR($X136="",$X136="Closed",$X136="Unmapped"),"",MATCH($X136,StageName,0))</f>
        <v/>
      </c>
      <c r="Z136" s="65" t="str">
        <f aca="false">IF(OR($Y136="",$I136=""),"",$I136-AsOf)</f>
        <v/>
      </c>
      <c r="AA136" s="65" t="str">
        <f aca="false">IF($A136="","",AsOf-$H136)</f>
        <v/>
      </c>
      <c r="AB136" s="65" t="str">
        <f aca="false">IF($A136="","",IF($X136="Closed","Closed",IF($X136="Unmapped","Unmapped",IF($I136="","No target",IF($Z136&lt;0,"Overdue",IF($Z136&lt;=INDEX(StageWindow,$Y136),"At risk","On track"))))))</f>
        <v/>
      </c>
      <c r="AC136" s="65" t="str">
        <f aca="false">IF($Y136="","",IF($AA136&gt;2*INDEX(StageStale,$Y136),"Stale",IF($AA136&gt;INDEX(StageStale,$Y136),"Aging","Fresh")))</f>
        <v/>
      </c>
      <c r="AD136" s="65" t="str">
        <f aca="false">IF($A136="","",IF(OR(ISNUMBER(SEARCH("Reg report",$J136)),ISNUMBER(SEARCH("No human review",$J136)),COUNTIF(TierFuncs,$D136)&gt;0),"High",IF(OR(TRIM($J136)&lt;&gt;"",ISNUMBER(SEARCH("revenue",$K136))),"Medium","Low")))</f>
        <v/>
      </c>
      <c r="AE136" s="65" t="str">
        <f aca="false">IF($A136="","",INDEX(TierDays,MATCH($AD136,TierName,0)))</f>
        <v/>
      </c>
      <c r="AF136" s="65" t="str">
        <f aca="false">IF($A136="","",AsOf-$G136)</f>
        <v/>
      </c>
      <c r="AG136" s="65" t="str">
        <f aca="false">IF($Y136="","",IF($Y136&lt;=5,IF($AF136&gt;$AE136,"Over","Inside"),"Past approval"))</f>
        <v/>
      </c>
      <c r="AH136" s="65" t="str">
        <f aca="false">IF($Y136="","",CHOOSE($Y136,IF(OR(TRIM($F136)="",ISNUMBER(SEARCH("not named",$F136))),"Critical","Good"),IF($O136&lt;&gt;"Y","Critical",IF($Q136&lt;&gt;"Y","Warning","Good")),IF($P136="","Critical",IF($P136="partial","Warning",IF($P136="ready","Good","Critical"))),IF($R136&lt;&gt;"","Critical","Warning"),IF($L136="","Critical",IF($N136="","Warning","Good")),IF($R136&lt;&gt;"","Critical","Warning"),IF($R136&lt;&gt;"","Critical","Warning"),IF($Q136="Y","Good","Critical")))</f>
        <v/>
      </c>
      <c r="AI136" s="65" t="str">
        <f aca="false">IF($Y136="","",CHOOSE($Y136,IF(OR(TRIM($F136)="",ISNUMBER(SEARCH("not named",$F136))),"Name a sponsor accountable for the value",""),IF($O136&lt;&gt;"Y","State the success metric and the stop condition",IF($Q136&lt;&gt;"Y","Set the baseline the benefit will be measured against","")),IF($P136="","Assess data readiness and regulatory impact",IF($P136="partial","Close the known data gaps",IF($P136="ready","","Data is not available; reshape or park"))),IF($R136&lt;&gt;"",IF(OR(ISNUMBER(SEARCH("mrm",$R136)),ISNUMBER(SEARCH("model",$R136)),ISNUMBER(SEARCH("risk",$R136)),ISNUMBER(SEARCH("legal",$R136)),ISNUMBER(SEARCH("complian",$R136))),"Awaiting ","Held at the design gate: ")&amp;$R136,"Map the governance framework for its tier"),IF($L136="","Size the annual benefit",IF($N136="","Score it so it can be ranked against capacity","")),IF($R136&lt;&gt;"","Build held: "&amp;$R136,"In build, not yet through test"),IF($R136&lt;&gt;"","Not ready to scale: "&amp;$R136,"Monitoring and third-party review not yet signed off"),IF($Q136="Y","","Live without a measured baseline to judge it against")))</f>
        <v/>
      </c>
      <c r="AJ136" s="65" t="str">
        <f aca="false">IF($Y136="","",INDEX(StageForum,$Y136))</f>
        <v/>
      </c>
      <c r="AK136" s="65" t="str">
        <f aca="false">IF($Y136="","",IF(OR($X136="Delivery",$X136="Value"),"Committed",IF($N136&lt;&gt;"","Candidate","")))</f>
        <v/>
      </c>
      <c r="AL136" s="65" t="str">
        <f aca="false">IF($AK136&lt;&gt;"Candidate","",COUNTIFS($AK$2:$AK$501,"Candidate",$N$2:$N$501,"&gt;"&amp;$N136)+COUNTIFS($AK$2:$AK$501,"Candidate",$N$2:$N$501,$N136,$A$2:$A$501,"&lt;"&amp;$A136)+1)</f>
        <v/>
      </c>
      <c r="AM136" s="65" t="str">
        <f aca="false">IF($AL136="","",SUMIFS($M$2:$M$501,$AK$2:$AK$501,"Candidate",$AL$2:$AL$501,"&lt;="&amp;$AL136))</f>
        <v/>
      </c>
      <c r="AN136" s="65" t="str">
        <f aca="false">IF($AL136="","",IF($AM136&lt;=CapacityOpen,"Fits","Below line"))</f>
        <v/>
      </c>
      <c r="AO136" s="65" t="str">
        <f aca="false">IF($A136="","",IF($X136="Closed","",IF($X136="Unmapped","Warning",IF(OR($AB136="Overdue",$V136="Y",$AH136="Critical"),"Critical",IF(OR($AB136="At risk",$AC136="Stale",$AG136="Over"),"Warning","")))))</f>
        <v/>
      </c>
      <c r="AP136" s="65" t="str">
        <f aca="false">IF($AO136="","",IF($AO136="Critical",3000,2000)-IF($Z136="",0,$Z136)+ROW()/100000)</f>
        <v/>
      </c>
      <c r="AQ136" s="65" t="str">
        <f aca="false">IF($AO136="","",IF($X136="Unmapped","Status '"&amp;$C136&amp;"' is not in the Config map",IF($V136="Y","Flagged in Jira",IF($AB136="Overdue",-$Z136&amp;" days past its "&amp;$X136&amp;" target",IF($AH136="Critical",$AI136,IF($AB136="At risk","Target in "&amp;$Z136&amp;" days",IF($AC136="Stale","No update in "&amp;$AA136&amp;" days","Past its "&amp;$AE136&amp;"-day tier window")))))))</f>
        <v/>
      </c>
      <c r="AR136" s="65" t="str">
        <f aca="false">IF($AO136="","","draft Jira update for "&amp;$A136)</f>
        <v/>
      </c>
      <c r="AS136" s="65" t="str">
        <f aca="false">IF($A136="","",HYPERLINK(JiraSite&amp;"/browse/"&amp;$A136,"open"))</f>
        <v/>
      </c>
      <c r="AT136" s="65" t="str">
        <f aca="false">IF($Y136="","",$Y136*1000+ROW())</f>
        <v/>
      </c>
      <c r="AU136" s="65" t="str">
        <f aca="false">IF(AND($A136&lt;&gt;"",$G136&gt;=WeekStart),$G136+ROW()/100000,"")</f>
        <v/>
      </c>
      <c r="AV136" s="65" t="str">
        <f aca="false">IF($A136="","",IF(OR(AND($S136&lt;&gt;"",$S136&gt;=WeekStart),AND($U136&lt;&gt;"",$U136&gt;=WeekStart)),MAX($S136,$U136)+ROW()/100000,""))</f>
        <v/>
      </c>
      <c r="AW136" s="65" t="str">
        <f aca="false">IF($AV136="","",IF($T136&lt;&gt;"",$T136,IF($X136="Closed","Closed","Accepted to "&amp;$X136)))</f>
        <v/>
      </c>
      <c r="AX136" s="65" t="str">
        <f aca="false">IF(AND($Y136&lt;&gt;"",$R136&lt;&gt;""),$AF136+ROW()/100000,"")</f>
        <v/>
      </c>
      <c r="AY136" s="65" t="str">
        <f aca="false">IF(AND($Y136&lt;&gt;"",OR($AB136="Overdue",AND($AH136="Critical",$R136&lt;&gt;""))),$AF136+ROW()/100000,"")</f>
        <v/>
      </c>
      <c r="AZ136" s="65" t="str">
        <f aca="false">IF($AH136="Critical",$AF136+ROW()/100000,"")</f>
        <v/>
      </c>
    </row>
    <row r="137" customFormat="false" ht="15" hidden="false" customHeight="false" outlineLevel="0" collapsed="false">
      <c r="A137" s="28"/>
      <c r="B137" s="28"/>
      <c r="C137" s="28"/>
      <c r="D137" s="28"/>
      <c r="E137" s="28"/>
      <c r="F137" s="28"/>
      <c r="G137" s="63"/>
      <c r="H137" s="63"/>
      <c r="I137" s="63"/>
      <c r="J137" s="28"/>
      <c r="K137" s="28"/>
      <c r="L137" s="28"/>
      <c r="M137" s="28"/>
      <c r="N137" s="28"/>
      <c r="O137" s="64"/>
      <c r="P137" s="64"/>
      <c r="Q137" s="64"/>
      <c r="R137" s="28"/>
      <c r="S137" s="63"/>
      <c r="T137" s="64"/>
      <c r="U137" s="63"/>
      <c r="V137" s="64"/>
      <c r="W137" s="28"/>
      <c r="X137" s="65" t="str">
        <f aca="false">IF($A137="","",IF(OR($T137&lt;&gt;"",$U137&lt;&gt;""),"Closed",IFERROR(INDEX(MapStage,MATCH($C137,MapStatus,0)),"Unmapped")))</f>
        <v/>
      </c>
      <c r="Y137" s="65" t="str">
        <f aca="false">IF(OR($X137="",$X137="Closed",$X137="Unmapped"),"",MATCH($X137,StageName,0))</f>
        <v/>
      </c>
      <c r="Z137" s="65" t="str">
        <f aca="false">IF(OR($Y137="",$I137=""),"",$I137-AsOf)</f>
        <v/>
      </c>
      <c r="AA137" s="65" t="str">
        <f aca="false">IF($A137="","",AsOf-$H137)</f>
        <v/>
      </c>
      <c r="AB137" s="65" t="str">
        <f aca="false">IF($A137="","",IF($X137="Closed","Closed",IF($X137="Unmapped","Unmapped",IF($I137="","No target",IF($Z137&lt;0,"Overdue",IF($Z137&lt;=INDEX(StageWindow,$Y137),"At risk","On track"))))))</f>
        <v/>
      </c>
      <c r="AC137" s="65" t="str">
        <f aca="false">IF($Y137="","",IF($AA137&gt;2*INDEX(StageStale,$Y137),"Stale",IF($AA137&gt;INDEX(StageStale,$Y137),"Aging","Fresh")))</f>
        <v/>
      </c>
      <c r="AD137" s="65" t="str">
        <f aca="false">IF($A137="","",IF(OR(ISNUMBER(SEARCH("Reg report",$J137)),ISNUMBER(SEARCH("No human review",$J137)),COUNTIF(TierFuncs,$D137)&gt;0),"High",IF(OR(TRIM($J137)&lt;&gt;"",ISNUMBER(SEARCH("revenue",$K137))),"Medium","Low")))</f>
        <v/>
      </c>
      <c r="AE137" s="65" t="str">
        <f aca="false">IF($A137="","",INDEX(TierDays,MATCH($AD137,TierName,0)))</f>
        <v/>
      </c>
      <c r="AF137" s="65" t="str">
        <f aca="false">IF($A137="","",AsOf-$G137)</f>
        <v/>
      </c>
      <c r="AG137" s="65" t="str">
        <f aca="false">IF($Y137="","",IF($Y137&lt;=5,IF($AF137&gt;$AE137,"Over","Inside"),"Past approval"))</f>
        <v/>
      </c>
      <c r="AH137" s="65" t="str">
        <f aca="false">IF($Y137="","",CHOOSE($Y137,IF(OR(TRIM($F137)="",ISNUMBER(SEARCH("not named",$F137))),"Critical","Good"),IF($O137&lt;&gt;"Y","Critical",IF($Q137&lt;&gt;"Y","Warning","Good")),IF($P137="","Critical",IF($P137="partial","Warning",IF($P137="ready","Good","Critical"))),IF($R137&lt;&gt;"","Critical","Warning"),IF($L137="","Critical",IF($N137="","Warning","Good")),IF($R137&lt;&gt;"","Critical","Warning"),IF($R137&lt;&gt;"","Critical","Warning"),IF($Q137="Y","Good","Critical")))</f>
        <v/>
      </c>
      <c r="AI137" s="65" t="str">
        <f aca="false">IF($Y137="","",CHOOSE($Y137,IF(OR(TRIM($F137)="",ISNUMBER(SEARCH("not named",$F137))),"Name a sponsor accountable for the value",""),IF($O137&lt;&gt;"Y","State the success metric and the stop condition",IF($Q137&lt;&gt;"Y","Set the baseline the benefit will be measured against","")),IF($P137="","Assess data readiness and regulatory impact",IF($P137="partial","Close the known data gaps",IF($P137="ready","","Data is not available; reshape or park"))),IF($R137&lt;&gt;"",IF(OR(ISNUMBER(SEARCH("mrm",$R137)),ISNUMBER(SEARCH("model",$R137)),ISNUMBER(SEARCH("risk",$R137)),ISNUMBER(SEARCH("legal",$R137)),ISNUMBER(SEARCH("complian",$R137))),"Awaiting ","Held at the design gate: ")&amp;$R137,"Map the governance framework for its tier"),IF($L137="","Size the annual benefit",IF($N137="","Score it so it can be ranked against capacity","")),IF($R137&lt;&gt;"","Build held: "&amp;$R137,"In build, not yet through test"),IF($R137&lt;&gt;"","Not ready to scale: "&amp;$R137,"Monitoring and third-party review not yet signed off"),IF($Q137="Y","","Live without a measured baseline to judge it against")))</f>
        <v/>
      </c>
      <c r="AJ137" s="65" t="str">
        <f aca="false">IF($Y137="","",INDEX(StageForum,$Y137))</f>
        <v/>
      </c>
      <c r="AK137" s="65" t="str">
        <f aca="false">IF($Y137="","",IF(OR($X137="Delivery",$X137="Value"),"Committed",IF($N137&lt;&gt;"","Candidate","")))</f>
        <v/>
      </c>
      <c r="AL137" s="65" t="str">
        <f aca="false">IF($AK137&lt;&gt;"Candidate","",COUNTIFS($AK$2:$AK$501,"Candidate",$N$2:$N$501,"&gt;"&amp;$N137)+COUNTIFS($AK$2:$AK$501,"Candidate",$N$2:$N$501,$N137,$A$2:$A$501,"&lt;"&amp;$A137)+1)</f>
        <v/>
      </c>
      <c r="AM137" s="65" t="str">
        <f aca="false">IF($AL137="","",SUMIFS($M$2:$M$501,$AK$2:$AK$501,"Candidate",$AL$2:$AL$501,"&lt;="&amp;$AL137))</f>
        <v/>
      </c>
      <c r="AN137" s="65" t="str">
        <f aca="false">IF($AL137="","",IF($AM137&lt;=CapacityOpen,"Fits","Below line"))</f>
        <v/>
      </c>
      <c r="AO137" s="65" t="str">
        <f aca="false">IF($A137="","",IF($X137="Closed","",IF($X137="Unmapped","Warning",IF(OR($AB137="Overdue",$V137="Y",$AH137="Critical"),"Critical",IF(OR($AB137="At risk",$AC137="Stale",$AG137="Over"),"Warning","")))))</f>
        <v/>
      </c>
      <c r="AP137" s="65" t="str">
        <f aca="false">IF($AO137="","",IF($AO137="Critical",3000,2000)-IF($Z137="",0,$Z137)+ROW()/100000)</f>
        <v/>
      </c>
      <c r="AQ137" s="65" t="str">
        <f aca="false">IF($AO137="","",IF($X137="Unmapped","Status '"&amp;$C137&amp;"' is not in the Config map",IF($V137="Y","Flagged in Jira",IF($AB137="Overdue",-$Z137&amp;" days past its "&amp;$X137&amp;" target",IF($AH137="Critical",$AI137,IF($AB137="At risk","Target in "&amp;$Z137&amp;" days",IF($AC137="Stale","No update in "&amp;$AA137&amp;" days","Past its "&amp;$AE137&amp;"-day tier window")))))))</f>
        <v/>
      </c>
      <c r="AR137" s="65" t="str">
        <f aca="false">IF($AO137="","","draft Jira update for "&amp;$A137)</f>
        <v/>
      </c>
      <c r="AS137" s="65" t="str">
        <f aca="false">IF($A137="","",HYPERLINK(JiraSite&amp;"/browse/"&amp;$A137,"open"))</f>
        <v/>
      </c>
      <c r="AT137" s="65" t="str">
        <f aca="false">IF($Y137="","",$Y137*1000+ROW())</f>
        <v/>
      </c>
      <c r="AU137" s="65" t="str">
        <f aca="false">IF(AND($A137&lt;&gt;"",$G137&gt;=WeekStart),$G137+ROW()/100000,"")</f>
        <v/>
      </c>
      <c r="AV137" s="65" t="str">
        <f aca="false">IF($A137="","",IF(OR(AND($S137&lt;&gt;"",$S137&gt;=WeekStart),AND($U137&lt;&gt;"",$U137&gt;=WeekStart)),MAX($S137,$U137)+ROW()/100000,""))</f>
        <v/>
      </c>
      <c r="AW137" s="65" t="str">
        <f aca="false">IF($AV137="","",IF($T137&lt;&gt;"",$T137,IF($X137="Closed","Closed","Accepted to "&amp;$X137)))</f>
        <v/>
      </c>
      <c r="AX137" s="65" t="str">
        <f aca="false">IF(AND($Y137&lt;&gt;"",$R137&lt;&gt;""),$AF137+ROW()/100000,"")</f>
        <v/>
      </c>
      <c r="AY137" s="65" t="str">
        <f aca="false">IF(AND($Y137&lt;&gt;"",OR($AB137="Overdue",AND($AH137="Critical",$R137&lt;&gt;""))),$AF137+ROW()/100000,"")</f>
        <v/>
      </c>
      <c r="AZ137" s="65" t="str">
        <f aca="false">IF($AH137="Critical",$AF137+ROW()/100000,"")</f>
        <v/>
      </c>
    </row>
    <row r="138" customFormat="false" ht="15" hidden="false" customHeight="false" outlineLevel="0" collapsed="false">
      <c r="A138" s="28"/>
      <c r="B138" s="28"/>
      <c r="C138" s="28"/>
      <c r="D138" s="28"/>
      <c r="E138" s="28"/>
      <c r="F138" s="28"/>
      <c r="G138" s="63"/>
      <c r="H138" s="63"/>
      <c r="I138" s="63"/>
      <c r="J138" s="28"/>
      <c r="K138" s="28"/>
      <c r="L138" s="28"/>
      <c r="M138" s="28"/>
      <c r="N138" s="28"/>
      <c r="O138" s="64"/>
      <c r="P138" s="64"/>
      <c r="Q138" s="64"/>
      <c r="R138" s="28"/>
      <c r="S138" s="63"/>
      <c r="T138" s="64"/>
      <c r="U138" s="63"/>
      <c r="V138" s="64"/>
      <c r="W138" s="28"/>
      <c r="X138" s="65" t="str">
        <f aca="false">IF($A138="","",IF(OR($T138&lt;&gt;"",$U138&lt;&gt;""),"Closed",IFERROR(INDEX(MapStage,MATCH($C138,MapStatus,0)),"Unmapped")))</f>
        <v/>
      </c>
      <c r="Y138" s="65" t="str">
        <f aca="false">IF(OR($X138="",$X138="Closed",$X138="Unmapped"),"",MATCH($X138,StageName,0))</f>
        <v/>
      </c>
      <c r="Z138" s="65" t="str">
        <f aca="false">IF(OR($Y138="",$I138=""),"",$I138-AsOf)</f>
        <v/>
      </c>
      <c r="AA138" s="65" t="str">
        <f aca="false">IF($A138="","",AsOf-$H138)</f>
        <v/>
      </c>
      <c r="AB138" s="65" t="str">
        <f aca="false">IF($A138="","",IF($X138="Closed","Closed",IF($X138="Unmapped","Unmapped",IF($I138="","No target",IF($Z138&lt;0,"Overdue",IF($Z138&lt;=INDEX(StageWindow,$Y138),"At risk","On track"))))))</f>
        <v/>
      </c>
      <c r="AC138" s="65" t="str">
        <f aca="false">IF($Y138="","",IF($AA138&gt;2*INDEX(StageStale,$Y138),"Stale",IF($AA138&gt;INDEX(StageStale,$Y138),"Aging","Fresh")))</f>
        <v/>
      </c>
      <c r="AD138" s="65" t="str">
        <f aca="false">IF($A138="","",IF(OR(ISNUMBER(SEARCH("Reg report",$J138)),ISNUMBER(SEARCH("No human review",$J138)),COUNTIF(TierFuncs,$D138)&gt;0),"High",IF(OR(TRIM($J138)&lt;&gt;"",ISNUMBER(SEARCH("revenue",$K138))),"Medium","Low")))</f>
        <v/>
      </c>
      <c r="AE138" s="65" t="str">
        <f aca="false">IF($A138="","",INDEX(TierDays,MATCH($AD138,TierName,0)))</f>
        <v/>
      </c>
      <c r="AF138" s="65" t="str">
        <f aca="false">IF($A138="","",AsOf-$G138)</f>
        <v/>
      </c>
      <c r="AG138" s="65" t="str">
        <f aca="false">IF($Y138="","",IF($Y138&lt;=5,IF($AF138&gt;$AE138,"Over","Inside"),"Past approval"))</f>
        <v/>
      </c>
      <c r="AH138" s="65" t="str">
        <f aca="false">IF($Y138="","",CHOOSE($Y138,IF(OR(TRIM($F138)="",ISNUMBER(SEARCH("not named",$F138))),"Critical","Good"),IF($O138&lt;&gt;"Y","Critical",IF($Q138&lt;&gt;"Y","Warning","Good")),IF($P138="","Critical",IF($P138="partial","Warning",IF($P138="ready","Good","Critical"))),IF($R138&lt;&gt;"","Critical","Warning"),IF($L138="","Critical",IF($N138="","Warning","Good")),IF($R138&lt;&gt;"","Critical","Warning"),IF($R138&lt;&gt;"","Critical","Warning"),IF($Q138="Y","Good","Critical")))</f>
        <v/>
      </c>
      <c r="AI138" s="65" t="str">
        <f aca="false">IF($Y138="","",CHOOSE($Y138,IF(OR(TRIM($F138)="",ISNUMBER(SEARCH("not named",$F138))),"Name a sponsor accountable for the value",""),IF($O138&lt;&gt;"Y","State the success metric and the stop condition",IF($Q138&lt;&gt;"Y","Set the baseline the benefit will be measured against","")),IF($P138="","Assess data readiness and regulatory impact",IF($P138="partial","Close the known data gaps",IF($P138="ready","","Data is not available; reshape or park"))),IF($R138&lt;&gt;"",IF(OR(ISNUMBER(SEARCH("mrm",$R138)),ISNUMBER(SEARCH("model",$R138)),ISNUMBER(SEARCH("risk",$R138)),ISNUMBER(SEARCH("legal",$R138)),ISNUMBER(SEARCH("complian",$R138))),"Awaiting ","Held at the design gate: ")&amp;$R138,"Map the governance framework for its tier"),IF($L138="","Size the annual benefit",IF($N138="","Score it so it can be ranked against capacity","")),IF($R138&lt;&gt;"","Build held: "&amp;$R138,"In build, not yet through test"),IF($R138&lt;&gt;"","Not ready to scale: "&amp;$R138,"Monitoring and third-party review not yet signed off"),IF($Q138="Y","","Live without a measured baseline to judge it against")))</f>
        <v/>
      </c>
      <c r="AJ138" s="65" t="str">
        <f aca="false">IF($Y138="","",INDEX(StageForum,$Y138))</f>
        <v/>
      </c>
      <c r="AK138" s="65" t="str">
        <f aca="false">IF($Y138="","",IF(OR($X138="Delivery",$X138="Value"),"Committed",IF($N138&lt;&gt;"","Candidate","")))</f>
        <v/>
      </c>
      <c r="AL138" s="65" t="str">
        <f aca="false">IF($AK138&lt;&gt;"Candidate","",COUNTIFS($AK$2:$AK$501,"Candidate",$N$2:$N$501,"&gt;"&amp;$N138)+COUNTIFS($AK$2:$AK$501,"Candidate",$N$2:$N$501,$N138,$A$2:$A$501,"&lt;"&amp;$A138)+1)</f>
        <v/>
      </c>
      <c r="AM138" s="65" t="str">
        <f aca="false">IF($AL138="","",SUMIFS($M$2:$M$501,$AK$2:$AK$501,"Candidate",$AL$2:$AL$501,"&lt;="&amp;$AL138))</f>
        <v/>
      </c>
      <c r="AN138" s="65" t="str">
        <f aca="false">IF($AL138="","",IF($AM138&lt;=CapacityOpen,"Fits","Below line"))</f>
        <v/>
      </c>
      <c r="AO138" s="65" t="str">
        <f aca="false">IF($A138="","",IF($X138="Closed","",IF($X138="Unmapped","Warning",IF(OR($AB138="Overdue",$V138="Y",$AH138="Critical"),"Critical",IF(OR($AB138="At risk",$AC138="Stale",$AG138="Over"),"Warning","")))))</f>
        <v/>
      </c>
      <c r="AP138" s="65" t="str">
        <f aca="false">IF($AO138="","",IF($AO138="Critical",3000,2000)-IF($Z138="",0,$Z138)+ROW()/100000)</f>
        <v/>
      </c>
      <c r="AQ138" s="65" t="str">
        <f aca="false">IF($AO138="","",IF($X138="Unmapped","Status '"&amp;$C138&amp;"' is not in the Config map",IF($V138="Y","Flagged in Jira",IF($AB138="Overdue",-$Z138&amp;" days past its "&amp;$X138&amp;" target",IF($AH138="Critical",$AI138,IF($AB138="At risk","Target in "&amp;$Z138&amp;" days",IF($AC138="Stale","No update in "&amp;$AA138&amp;" days","Past its "&amp;$AE138&amp;"-day tier window")))))))</f>
        <v/>
      </c>
      <c r="AR138" s="65" t="str">
        <f aca="false">IF($AO138="","","draft Jira update for "&amp;$A138)</f>
        <v/>
      </c>
      <c r="AS138" s="65" t="str">
        <f aca="false">IF($A138="","",HYPERLINK(JiraSite&amp;"/browse/"&amp;$A138,"open"))</f>
        <v/>
      </c>
      <c r="AT138" s="65" t="str">
        <f aca="false">IF($Y138="","",$Y138*1000+ROW())</f>
        <v/>
      </c>
      <c r="AU138" s="65" t="str">
        <f aca="false">IF(AND($A138&lt;&gt;"",$G138&gt;=WeekStart),$G138+ROW()/100000,"")</f>
        <v/>
      </c>
      <c r="AV138" s="65" t="str">
        <f aca="false">IF($A138="","",IF(OR(AND($S138&lt;&gt;"",$S138&gt;=WeekStart),AND($U138&lt;&gt;"",$U138&gt;=WeekStart)),MAX($S138,$U138)+ROW()/100000,""))</f>
        <v/>
      </c>
      <c r="AW138" s="65" t="str">
        <f aca="false">IF($AV138="","",IF($T138&lt;&gt;"",$T138,IF($X138="Closed","Closed","Accepted to "&amp;$X138)))</f>
        <v/>
      </c>
      <c r="AX138" s="65" t="str">
        <f aca="false">IF(AND($Y138&lt;&gt;"",$R138&lt;&gt;""),$AF138+ROW()/100000,"")</f>
        <v/>
      </c>
      <c r="AY138" s="65" t="str">
        <f aca="false">IF(AND($Y138&lt;&gt;"",OR($AB138="Overdue",AND($AH138="Critical",$R138&lt;&gt;""))),$AF138+ROW()/100000,"")</f>
        <v/>
      </c>
      <c r="AZ138" s="65" t="str">
        <f aca="false">IF($AH138="Critical",$AF138+ROW()/100000,"")</f>
        <v/>
      </c>
    </row>
    <row r="139" customFormat="false" ht="15" hidden="false" customHeight="false" outlineLevel="0" collapsed="false">
      <c r="A139" s="28"/>
      <c r="B139" s="28"/>
      <c r="C139" s="28"/>
      <c r="D139" s="28"/>
      <c r="E139" s="28"/>
      <c r="F139" s="28"/>
      <c r="G139" s="63"/>
      <c r="H139" s="63"/>
      <c r="I139" s="63"/>
      <c r="J139" s="28"/>
      <c r="K139" s="28"/>
      <c r="L139" s="28"/>
      <c r="M139" s="28"/>
      <c r="N139" s="28"/>
      <c r="O139" s="64"/>
      <c r="P139" s="64"/>
      <c r="Q139" s="64"/>
      <c r="R139" s="28"/>
      <c r="S139" s="63"/>
      <c r="T139" s="64"/>
      <c r="U139" s="63"/>
      <c r="V139" s="64"/>
      <c r="W139" s="28"/>
      <c r="X139" s="65" t="str">
        <f aca="false">IF($A139="","",IF(OR($T139&lt;&gt;"",$U139&lt;&gt;""),"Closed",IFERROR(INDEX(MapStage,MATCH($C139,MapStatus,0)),"Unmapped")))</f>
        <v/>
      </c>
      <c r="Y139" s="65" t="str">
        <f aca="false">IF(OR($X139="",$X139="Closed",$X139="Unmapped"),"",MATCH($X139,StageName,0))</f>
        <v/>
      </c>
      <c r="Z139" s="65" t="str">
        <f aca="false">IF(OR($Y139="",$I139=""),"",$I139-AsOf)</f>
        <v/>
      </c>
      <c r="AA139" s="65" t="str">
        <f aca="false">IF($A139="","",AsOf-$H139)</f>
        <v/>
      </c>
      <c r="AB139" s="65" t="str">
        <f aca="false">IF($A139="","",IF($X139="Closed","Closed",IF($X139="Unmapped","Unmapped",IF($I139="","No target",IF($Z139&lt;0,"Overdue",IF($Z139&lt;=INDEX(StageWindow,$Y139),"At risk","On track"))))))</f>
        <v/>
      </c>
      <c r="AC139" s="65" t="str">
        <f aca="false">IF($Y139="","",IF($AA139&gt;2*INDEX(StageStale,$Y139),"Stale",IF($AA139&gt;INDEX(StageStale,$Y139),"Aging","Fresh")))</f>
        <v/>
      </c>
      <c r="AD139" s="65" t="str">
        <f aca="false">IF($A139="","",IF(OR(ISNUMBER(SEARCH("Reg report",$J139)),ISNUMBER(SEARCH("No human review",$J139)),COUNTIF(TierFuncs,$D139)&gt;0),"High",IF(OR(TRIM($J139)&lt;&gt;"",ISNUMBER(SEARCH("revenue",$K139))),"Medium","Low")))</f>
        <v/>
      </c>
      <c r="AE139" s="65" t="str">
        <f aca="false">IF($A139="","",INDEX(TierDays,MATCH($AD139,TierName,0)))</f>
        <v/>
      </c>
      <c r="AF139" s="65" t="str">
        <f aca="false">IF($A139="","",AsOf-$G139)</f>
        <v/>
      </c>
      <c r="AG139" s="65" t="str">
        <f aca="false">IF($Y139="","",IF($Y139&lt;=5,IF($AF139&gt;$AE139,"Over","Inside"),"Past approval"))</f>
        <v/>
      </c>
      <c r="AH139" s="65" t="str">
        <f aca="false">IF($Y139="","",CHOOSE($Y139,IF(OR(TRIM($F139)="",ISNUMBER(SEARCH("not named",$F139))),"Critical","Good"),IF($O139&lt;&gt;"Y","Critical",IF($Q139&lt;&gt;"Y","Warning","Good")),IF($P139="","Critical",IF($P139="partial","Warning",IF($P139="ready","Good","Critical"))),IF($R139&lt;&gt;"","Critical","Warning"),IF($L139="","Critical",IF($N139="","Warning","Good")),IF($R139&lt;&gt;"","Critical","Warning"),IF($R139&lt;&gt;"","Critical","Warning"),IF($Q139="Y","Good","Critical")))</f>
        <v/>
      </c>
      <c r="AI139" s="65" t="str">
        <f aca="false">IF($Y139="","",CHOOSE($Y139,IF(OR(TRIM($F139)="",ISNUMBER(SEARCH("not named",$F139))),"Name a sponsor accountable for the value",""),IF($O139&lt;&gt;"Y","State the success metric and the stop condition",IF($Q139&lt;&gt;"Y","Set the baseline the benefit will be measured against","")),IF($P139="","Assess data readiness and regulatory impact",IF($P139="partial","Close the known data gaps",IF($P139="ready","","Data is not available; reshape or park"))),IF($R139&lt;&gt;"",IF(OR(ISNUMBER(SEARCH("mrm",$R139)),ISNUMBER(SEARCH("model",$R139)),ISNUMBER(SEARCH("risk",$R139)),ISNUMBER(SEARCH("legal",$R139)),ISNUMBER(SEARCH("complian",$R139))),"Awaiting ","Held at the design gate: ")&amp;$R139,"Map the governance framework for its tier"),IF($L139="","Size the annual benefit",IF($N139="","Score it so it can be ranked against capacity","")),IF($R139&lt;&gt;"","Build held: "&amp;$R139,"In build, not yet through test"),IF($R139&lt;&gt;"","Not ready to scale: "&amp;$R139,"Monitoring and third-party review not yet signed off"),IF($Q139="Y","","Live without a measured baseline to judge it against")))</f>
        <v/>
      </c>
      <c r="AJ139" s="65" t="str">
        <f aca="false">IF($Y139="","",INDEX(StageForum,$Y139))</f>
        <v/>
      </c>
      <c r="AK139" s="65" t="str">
        <f aca="false">IF($Y139="","",IF(OR($X139="Delivery",$X139="Value"),"Committed",IF($N139&lt;&gt;"","Candidate","")))</f>
        <v/>
      </c>
      <c r="AL139" s="65" t="str">
        <f aca="false">IF($AK139&lt;&gt;"Candidate","",COUNTIFS($AK$2:$AK$501,"Candidate",$N$2:$N$501,"&gt;"&amp;$N139)+COUNTIFS($AK$2:$AK$501,"Candidate",$N$2:$N$501,$N139,$A$2:$A$501,"&lt;"&amp;$A139)+1)</f>
        <v/>
      </c>
      <c r="AM139" s="65" t="str">
        <f aca="false">IF($AL139="","",SUMIFS($M$2:$M$501,$AK$2:$AK$501,"Candidate",$AL$2:$AL$501,"&lt;="&amp;$AL139))</f>
        <v/>
      </c>
      <c r="AN139" s="65" t="str">
        <f aca="false">IF($AL139="","",IF($AM139&lt;=CapacityOpen,"Fits","Below line"))</f>
        <v/>
      </c>
      <c r="AO139" s="65" t="str">
        <f aca="false">IF($A139="","",IF($X139="Closed","",IF($X139="Unmapped","Warning",IF(OR($AB139="Overdue",$V139="Y",$AH139="Critical"),"Critical",IF(OR($AB139="At risk",$AC139="Stale",$AG139="Over"),"Warning","")))))</f>
        <v/>
      </c>
      <c r="AP139" s="65" t="str">
        <f aca="false">IF($AO139="","",IF($AO139="Critical",3000,2000)-IF($Z139="",0,$Z139)+ROW()/100000)</f>
        <v/>
      </c>
      <c r="AQ139" s="65" t="str">
        <f aca="false">IF($AO139="","",IF($X139="Unmapped","Status '"&amp;$C139&amp;"' is not in the Config map",IF($V139="Y","Flagged in Jira",IF($AB139="Overdue",-$Z139&amp;" days past its "&amp;$X139&amp;" target",IF($AH139="Critical",$AI139,IF($AB139="At risk","Target in "&amp;$Z139&amp;" days",IF($AC139="Stale","No update in "&amp;$AA139&amp;" days","Past its "&amp;$AE139&amp;"-day tier window")))))))</f>
        <v/>
      </c>
      <c r="AR139" s="65" t="str">
        <f aca="false">IF($AO139="","","draft Jira update for "&amp;$A139)</f>
        <v/>
      </c>
      <c r="AS139" s="65" t="str">
        <f aca="false">IF($A139="","",HYPERLINK(JiraSite&amp;"/browse/"&amp;$A139,"open"))</f>
        <v/>
      </c>
      <c r="AT139" s="65" t="str">
        <f aca="false">IF($Y139="","",$Y139*1000+ROW())</f>
        <v/>
      </c>
      <c r="AU139" s="65" t="str">
        <f aca="false">IF(AND($A139&lt;&gt;"",$G139&gt;=WeekStart),$G139+ROW()/100000,"")</f>
        <v/>
      </c>
      <c r="AV139" s="65" t="str">
        <f aca="false">IF($A139="","",IF(OR(AND($S139&lt;&gt;"",$S139&gt;=WeekStart),AND($U139&lt;&gt;"",$U139&gt;=WeekStart)),MAX($S139,$U139)+ROW()/100000,""))</f>
        <v/>
      </c>
      <c r="AW139" s="65" t="str">
        <f aca="false">IF($AV139="","",IF($T139&lt;&gt;"",$T139,IF($X139="Closed","Closed","Accepted to "&amp;$X139)))</f>
        <v/>
      </c>
      <c r="AX139" s="65" t="str">
        <f aca="false">IF(AND($Y139&lt;&gt;"",$R139&lt;&gt;""),$AF139+ROW()/100000,"")</f>
        <v/>
      </c>
      <c r="AY139" s="65" t="str">
        <f aca="false">IF(AND($Y139&lt;&gt;"",OR($AB139="Overdue",AND($AH139="Critical",$R139&lt;&gt;""))),$AF139+ROW()/100000,"")</f>
        <v/>
      </c>
      <c r="AZ139" s="65" t="str">
        <f aca="false">IF($AH139="Critical",$AF139+ROW()/100000,"")</f>
        <v/>
      </c>
    </row>
    <row r="140" customFormat="false" ht="15" hidden="false" customHeight="false" outlineLevel="0" collapsed="false">
      <c r="A140" s="28"/>
      <c r="B140" s="28"/>
      <c r="C140" s="28"/>
      <c r="D140" s="28"/>
      <c r="E140" s="28"/>
      <c r="F140" s="28"/>
      <c r="G140" s="63"/>
      <c r="H140" s="63"/>
      <c r="I140" s="63"/>
      <c r="J140" s="28"/>
      <c r="K140" s="28"/>
      <c r="L140" s="28"/>
      <c r="M140" s="28"/>
      <c r="N140" s="28"/>
      <c r="O140" s="64"/>
      <c r="P140" s="64"/>
      <c r="Q140" s="64"/>
      <c r="R140" s="28"/>
      <c r="S140" s="63"/>
      <c r="T140" s="64"/>
      <c r="U140" s="63"/>
      <c r="V140" s="64"/>
      <c r="W140" s="28"/>
      <c r="X140" s="65" t="str">
        <f aca="false">IF($A140="","",IF(OR($T140&lt;&gt;"",$U140&lt;&gt;""),"Closed",IFERROR(INDEX(MapStage,MATCH($C140,MapStatus,0)),"Unmapped")))</f>
        <v/>
      </c>
      <c r="Y140" s="65" t="str">
        <f aca="false">IF(OR($X140="",$X140="Closed",$X140="Unmapped"),"",MATCH($X140,StageName,0))</f>
        <v/>
      </c>
      <c r="Z140" s="65" t="str">
        <f aca="false">IF(OR($Y140="",$I140=""),"",$I140-AsOf)</f>
        <v/>
      </c>
      <c r="AA140" s="65" t="str">
        <f aca="false">IF($A140="","",AsOf-$H140)</f>
        <v/>
      </c>
      <c r="AB140" s="65" t="str">
        <f aca="false">IF($A140="","",IF($X140="Closed","Closed",IF($X140="Unmapped","Unmapped",IF($I140="","No target",IF($Z140&lt;0,"Overdue",IF($Z140&lt;=INDEX(StageWindow,$Y140),"At risk","On track"))))))</f>
        <v/>
      </c>
      <c r="AC140" s="65" t="str">
        <f aca="false">IF($Y140="","",IF($AA140&gt;2*INDEX(StageStale,$Y140),"Stale",IF($AA140&gt;INDEX(StageStale,$Y140),"Aging","Fresh")))</f>
        <v/>
      </c>
      <c r="AD140" s="65" t="str">
        <f aca="false">IF($A140="","",IF(OR(ISNUMBER(SEARCH("Reg report",$J140)),ISNUMBER(SEARCH("No human review",$J140)),COUNTIF(TierFuncs,$D140)&gt;0),"High",IF(OR(TRIM($J140)&lt;&gt;"",ISNUMBER(SEARCH("revenue",$K140))),"Medium","Low")))</f>
        <v/>
      </c>
      <c r="AE140" s="65" t="str">
        <f aca="false">IF($A140="","",INDEX(TierDays,MATCH($AD140,TierName,0)))</f>
        <v/>
      </c>
      <c r="AF140" s="65" t="str">
        <f aca="false">IF($A140="","",AsOf-$G140)</f>
        <v/>
      </c>
      <c r="AG140" s="65" t="str">
        <f aca="false">IF($Y140="","",IF($Y140&lt;=5,IF($AF140&gt;$AE140,"Over","Inside"),"Past approval"))</f>
        <v/>
      </c>
      <c r="AH140" s="65" t="str">
        <f aca="false">IF($Y140="","",CHOOSE($Y140,IF(OR(TRIM($F140)="",ISNUMBER(SEARCH("not named",$F140))),"Critical","Good"),IF($O140&lt;&gt;"Y","Critical",IF($Q140&lt;&gt;"Y","Warning","Good")),IF($P140="","Critical",IF($P140="partial","Warning",IF($P140="ready","Good","Critical"))),IF($R140&lt;&gt;"","Critical","Warning"),IF($L140="","Critical",IF($N140="","Warning","Good")),IF($R140&lt;&gt;"","Critical","Warning"),IF($R140&lt;&gt;"","Critical","Warning"),IF($Q140="Y","Good","Critical")))</f>
        <v/>
      </c>
      <c r="AI140" s="65" t="str">
        <f aca="false">IF($Y140="","",CHOOSE($Y140,IF(OR(TRIM($F140)="",ISNUMBER(SEARCH("not named",$F140))),"Name a sponsor accountable for the value",""),IF($O140&lt;&gt;"Y","State the success metric and the stop condition",IF($Q140&lt;&gt;"Y","Set the baseline the benefit will be measured against","")),IF($P140="","Assess data readiness and regulatory impact",IF($P140="partial","Close the known data gaps",IF($P140="ready","","Data is not available; reshape or park"))),IF($R140&lt;&gt;"",IF(OR(ISNUMBER(SEARCH("mrm",$R140)),ISNUMBER(SEARCH("model",$R140)),ISNUMBER(SEARCH("risk",$R140)),ISNUMBER(SEARCH("legal",$R140)),ISNUMBER(SEARCH("complian",$R140))),"Awaiting ","Held at the design gate: ")&amp;$R140,"Map the governance framework for its tier"),IF($L140="","Size the annual benefit",IF($N140="","Score it so it can be ranked against capacity","")),IF($R140&lt;&gt;"","Build held: "&amp;$R140,"In build, not yet through test"),IF($R140&lt;&gt;"","Not ready to scale: "&amp;$R140,"Monitoring and third-party review not yet signed off"),IF($Q140="Y","","Live without a measured baseline to judge it against")))</f>
        <v/>
      </c>
      <c r="AJ140" s="65" t="str">
        <f aca="false">IF($Y140="","",INDEX(StageForum,$Y140))</f>
        <v/>
      </c>
      <c r="AK140" s="65" t="str">
        <f aca="false">IF($Y140="","",IF(OR($X140="Delivery",$X140="Value"),"Committed",IF($N140&lt;&gt;"","Candidate","")))</f>
        <v/>
      </c>
      <c r="AL140" s="65" t="str">
        <f aca="false">IF($AK140&lt;&gt;"Candidate","",COUNTIFS($AK$2:$AK$501,"Candidate",$N$2:$N$501,"&gt;"&amp;$N140)+COUNTIFS($AK$2:$AK$501,"Candidate",$N$2:$N$501,$N140,$A$2:$A$501,"&lt;"&amp;$A140)+1)</f>
        <v/>
      </c>
      <c r="AM140" s="65" t="str">
        <f aca="false">IF($AL140="","",SUMIFS($M$2:$M$501,$AK$2:$AK$501,"Candidate",$AL$2:$AL$501,"&lt;="&amp;$AL140))</f>
        <v/>
      </c>
      <c r="AN140" s="65" t="str">
        <f aca="false">IF($AL140="","",IF($AM140&lt;=CapacityOpen,"Fits","Below line"))</f>
        <v/>
      </c>
      <c r="AO140" s="65" t="str">
        <f aca="false">IF($A140="","",IF($X140="Closed","",IF($X140="Unmapped","Warning",IF(OR($AB140="Overdue",$V140="Y",$AH140="Critical"),"Critical",IF(OR($AB140="At risk",$AC140="Stale",$AG140="Over"),"Warning","")))))</f>
        <v/>
      </c>
      <c r="AP140" s="65" t="str">
        <f aca="false">IF($AO140="","",IF($AO140="Critical",3000,2000)-IF($Z140="",0,$Z140)+ROW()/100000)</f>
        <v/>
      </c>
      <c r="AQ140" s="65" t="str">
        <f aca="false">IF($AO140="","",IF($X140="Unmapped","Status '"&amp;$C140&amp;"' is not in the Config map",IF($V140="Y","Flagged in Jira",IF($AB140="Overdue",-$Z140&amp;" days past its "&amp;$X140&amp;" target",IF($AH140="Critical",$AI140,IF($AB140="At risk","Target in "&amp;$Z140&amp;" days",IF($AC140="Stale","No update in "&amp;$AA140&amp;" days","Past its "&amp;$AE140&amp;"-day tier window")))))))</f>
        <v/>
      </c>
      <c r="AR140" s="65" t="str">
        <f aca="false">IF($AO140="","","draft Jira update for "&amp;$A140)</f>
        <v/>
      </c>
      <c r="AS140" s="65" t="str">
        <f aca="false">IF($A140="","",HYPERLINK(JiraSite&amp;"/browse/"&amp;$A140,"open"))</f>
        <v/>
      </c>
      <c r="AT140" s="65" t="str">
        <f aca="false">IF($Y140="","",$Y140*1000+ROW())</f>
        <v/>
      </c>
      <c r="AU140" s="65" t="str">
        <f aca="false">IF(AND($A140&lt;&gt;"",$G140&gt;=WeekStart),$G140+ROW()/100000,"")</f>
        <v/>
      </c>
      <c r="AV140" s="65" t="str">
        <f aca="false">IF($A140="","",IF(OR(AND($S140&lt;&gt;"",$S140&gt;=WeekStart),AND($U140&lt;&gt;"",$U140&gt;=WeekStart)),MAX($S140,$U140)+ROW()/100000,""))</f>
        <v/>
      </c>
      <c r="AW140" s="65" t="str">
        <f aca="false">IF($AV140="","",IF($T140&lt;&gt;"",$T140,IF($X140="Closed","Closed","Accepted to "&amp;$X140)))</f>
        <v/>
      </c>
      <c r="AX140" s="65" t="str">
        <f aca="false">IF(AND($Y140&lt;&gt;"",$R140&lt;&gt;""),$AF140+ROW()/100000,"")</f>
        <v/>
      </c>
      <c r="AY140" s="65" t="str">
        <f aca="false">IF(AND($Y140&lt;&gt;"",OR($AB140="Overdue",AND($AH140="Critical",$R140&lt;&gt;""))),$AF140+ROW()/100000,"")</f>
        <v/>
      </c>
      <c r="AZ140" s="65" t="str">
        <f aca="false">IF($AH140="Critical",$AF140+ROW()/100000,"")</f>
        <v/>
      </c>
    </row>
    <row r="141" customFormat="false" ht="15" hidden="false" customHeight="false" outlineLevel="0" collapsed="false">
      <c r="A141" s="28"/>
      <c r="B141" s="28"/>
      <c r="C141" s="28"/>
      <c r="D141" s="28"/>
      <c r="E141" s="28"/>
      <c r="F141" s="28"/>
      <c r="G141" s="63"/>
      <c r="H141" s="63"/>
      <c r="I141" s="63"/>
      <c r="J141" s="28"/>
      <c r="K141" s="28"/>
      <c r="L141" s="28"/>
      <c r="M141" s="28"/>
      <c r="N141" s="28"/>
      <c r="O141" s="64"/>
      <c r="P141" s="64"/>
      <c r="Q141" s="64"/>
      <c r="R141" s="28"/>
      <c r="S141" s="63"/>
      <c r="T141" s="64"/>
      <c r="U141" s="63"/>
      <c r="V141" s="64"/>
      <c r="W141" s="28"/>
      <c r="X141" s="65" t="str">
        <f aca="false">IF($A141="","",IF(OR($T141&lt;&gt;"",$U141&lt;&gt;""),"Closed",IFERROR(INDEX(MapStage,MATCH($C141,MapStatus,0)),"Unmapped")))</f>
        <v/>
      </c>
      <c r="Y141" s="65" t="str">
        <f aca="false">IF(OR($X141="",$X141="Closed",$X141="Unmapped"),"",MATCH($X141,StageName,0))</f>
        <v/>
      </c>
      <c r="Z141" s="65" t="str">
        <f aca="false">IF(OR($Y141="",$I141=""),"",$I141-AsOf)</f>
        <v/>
      </c>
      <c r="AA141" s="65" t="str">
        <f aca="false">IF($A141="","",AsOf-$H141)</f>
        <v/>
      </c>
      <c r="AB141" s="65" t="str">
        <f aca="false">IF($A141="","",IF($X141="Closed","Closed",IF($X141="Unmapped","Unmapped",IF($I141="","No target",IF($Z141&lt;0,"Overdue",IF($Z141&lt;=INDEX(StageWindow,$Y141),"At risk","On track"))))))</f>
        <v/>
      </c>
      <c r="AC141" s="65" t="str">
        <f aca="false">IF($Y141="","",IF($AA141&gt;2*INDEX(StageStale,$Y141),"Stale",IF($AA141&gt;INDEX(StageStale,$Y141),"Aging","Fresh")))</f>
        <v/>
      </c>
      <c r="AD141" s="65" t="str">
        <f aca="false">IF($A141="","",IF(OR(ISNUMBER(SEARCH("Reg report",$J141)),ISNUMBER(SEARCH("No human review",$J141)),COUNTIF(TierFuncs,$D141)&gt;0),"High",IF(OR(TRIM($J141)&lt;&gt;"",ISNUMBER(SEARCH("revenue",$K141))),"Medium","Low")))</f>
        <v/>
      </c>
      <c r="AE141" s="65" t="str">
        <f aca="false">IF($A141="","",INDEX(TierDays,MATCH($AD141,TierName,0)))</f>
        <v/>
      </c>
      <c r="AF141" s="65" t="str">
        <f aca="false">IF($A141="","",AsOf-$G141)</f>
        <v/>
      </c>
      <c r="AG141" s="65" t="str">
        <f aca="false">IF($Y141="","",IF($Y141&lt;=5,IF($AF141&gt;$AE141,"Over","Inside"),"Past approval"))</f>
        <v/>
      </c>
      <c r="AH141" s="65" t="str">
        <f aca="false">IF($Y141="","",CHOOSE($Y141,IF(OR(TRIM($F141)="",ISNUMBER(SEARCH("not named",$F141))),"Critical","Good"),IF($O141&lt;&gt;"Y","Critical",IF($Q141&lt;&gt;"Y","Warning","Good")),IF($P141="","Critical",IF($P141="partial","Warning",IF($P141="ready","Good","Critical"))),IF($R141&lt;&gt;"","Critical","Warning"),IF($L141="","Critical",IF($N141="","Warning","Good")),IF($R141&lt;&gt;"","Critical","Warning"),IF($R141&lt;&gt;"","Critical","Warning"),IF($Q141="Y","Good","Critical")))</f>
        <v/>
      </c>
      <c r="AI141" s="65" t="str">
        <f aca="false">IF($Y141="","",CHOOSE($Y141,IF(OR(TRIM($F141)="",ISNUMBER(SEARCH("not named",$F141))),"Name a sponsor accountable for the value",""),IF($O141&lt;&gt;"Y","State the success metric and the stop condition",IF($Q141&lt;&gt;"Y","Set the baseline the benefit will be measured against","")),IF($P141="","Assess data readiness and regulatory impact",IF($P141="partial","Close the known data gaps",IF($P141="ready","","Data is not available; reshape or park"))),IF($R141&lt;&gt;"",IF(OR(ISNUMBER(SEARCH("mrm",$R141)),ISNUMBER(SEARCH("model",$R141)),ISNUMBER(SEARCH("risk",$R141)),ISNUMBER(SEARCH("legal",$R141)),ISNUMBER(SEARCH("complian",$R141))),"Awaiting ","Held at the design gate: ")&amp;$R141,"Map the governance framework for its tier"),IF($L141="","Size the annual benefit",IF($N141="","Score it so it can be ranked against capacity","")),IF($R141&lt;&gt;"","Build held: "&amp;$R141,"In build, not yet through test"),IF($R141&lt;&gt;"","Not ready to scale: "&amp;$R141,"Monitoring and third-party review not yet signed off"),IF($Q141="Y","","Live without a measured baseline to judge it against")))</f>
        <v/>
      </c>
      <c r="AJ141" s="65" t="str">
        <f aca="false">IF($Y141="","",INDEX(StageForum,$Y141))</f>
        <v/>
      </c>
      <c r="AK141" s="65" t="str">
        <f aca="false">IF($Y141="","",IF(OR($X141="Delivery",$X141="Value"),"Committed",IF($N141&lt;&gt;"","Candidate","")))</f>
        <v/>
      </c>
      <c r="AL141" s="65" t="str">
        <f aca="false">IF($AK141&lt;&gt;"Candidate","",COUNTIFS($AK$2:$AK$501,"Candidate",$N$2:$N$501,"&gt;"&amp;$N141)+COUNTIFS($AK$2:$AK$501,"Candidate",$N$2:$N$501,$N141,$A$2:$A$501,"&lt;"&amp;$A141)+1)</f>
        <v/>
      </c>
      <c r="AM141" s="65" t="str">
        <f aca="false">IF($AL141="","",SUMIFS($M$2:$M$501,$AK$2:$AK$501,"Candidate",$AL$2:$AL$501,"&lt;="&amp;$AL141))</f>
        <v/>
      </c>
      <c r="AN141" s="65" t="str">
        <f aca="false">IF($AL141="","",IF($AM141&lt;=CapacityOpen,"Fits","Below line"))</f>
        <v/>
      </c>
      <c r="AO141" s="65" t="str">
        <f aca="false">IF($A141="","",IF($X141="Closed","",IF($X141="Unmapped","Warning",IF(OR($AB141="Overdue",$V141="Y",$AH141="Critical"),"Critical",IF(OR($AB141="At risk",$AC141="Stale",$AG141="Over"),"Warning","")))))</f>
        <v/>
      </c>
      <c r="AP141" s="65" t="str">
        <f aca="false">IF($AO141="","",IF($AO141="Critical",3000,2000)-IF($Z141="",0,$Z141)+ROW()/100000)</f>
        <v/>
      </c>
      <c r="AQ141" s="65" t="str">
        <f aca="false">IF($AO141="","",IF($X141="Unmapped","Status '"&amp;$C141&amp;"' is not in the Config map",IF($V141="Y","Flagged in Jira",IF($AB141="Overdue",-$Z141&amp;" days past its "&amp;$X141&amp;" target",IF($AH141="Critical",$AI141,IF($AB141="At risk","Target in "&amp;$Z141&amp;" days",IF($AC141="Stale","No update in "&amp;$AA141&amp;" days","Past its "&amp;$AE141&amp;"-day tier window")))))))</f>
        <v/>
      </c>
      <c r="AR141" s="65" t="str">
        <f aca="false">IF($AO141="","","draft Jira update for "&amp;$A141)</f>
        <v/>
      </c>
      <c r="AS141" s="65" t="str">
        <f aca="false">IF($A141="","",HYPERLINK(JiraSite&amp;"/browse/"&amp;$A141,"open"))</f>
        <v/>
      </c>
      <c r="AT141" s="65" t="str">
        <f aca="false">IF($Y141="","",$Y141*1000+ROW())</f>
        <v/>
      </c>
      <c r="AU141" s="65" t="str">
        <f aca="false">IF(AND($A141&lt;&gt;"",$G141&gt;=WeekStart),$G141+ROW()/100000,"")</f>
        <v/>
      </c>
      <c r="AV141" s="65" t="str">
        <f aca="false">IF($A141="","",IF(OR(AND($S141&lt;&gt;"",$S141&gt;=WeekStart),AND($U141&lt;&gt;"",$U141&gt;=WeekStart)),MAX($S141,$U141)+ROW()/100000,""))</f>
        <v/>
      </c>
      <c r="AW141" s="65" t="str">
        <f aca="false">IF($AV141="","",IF($T141&lt;&gt;"",$T141,IF($X141="Closed","Closed","Accepted to "&amp;$X141)))</f>
        <v/>
      </c>
      <c r="AX141" s="65" t="str">
        <f aca="false">IF(AND($Y141&lt;&gt;"",$R141&lt;&gt;""),$AF141+ROW()/100000,"")</f>
        <v/>
      </c>
      <c r="AY141" s="65" t="str">
        <f aca="false">IF(AND($Y141&lt;&gt;"",OR($AB141="Overdue",AND($AH141="Critical",$R141&lt;&gt;""))),$AF141+ROW()/100000,"")</f>
        <v/>
      </c>
      <c r="AZ141" s="65" t="str">
        <f aca="false">IF($AH141="Critical",$AF141+ROW()/100000,"")</f>
        <v/>
      </c>
    </row>
    <row r="142" customFormat="false" ht="15" hidden="false" customHeight="false" outlineLevel="0" collapsed="false">
      <c r="A142" s="28"/>
      <c r="B142" s="28"/>
      <c r="C142" s="28"/>
      <c r="D142" s="28"/>
      <c r="E142" s="28"/>
      <c r="F142" s="28"/>
      <c r="G142" s="63"/>
      <c r="H142" s="63"/>
      <c r="I142" s="63"/>
      <c r="J142" s="28"/>
      <c r="K142" s="28"/>
      <c r="L142" s="28"/>
      <c r="M142" s="28"/>
      <c r="N142" s="28"/>
      <c r="O142" s="64"/>
      <c r="P142" s="64"/>
      <c r="Q142" s="64"/>
      <c r="R142" s="28"/>
      <c r="S142" s="63"/>
      <c r="T142" s="64"/>
      <c r="U142" s="63"/>
      <c r="V142" s="64"/>
      <c r="W142" s="28"/>
      <c r="X142" s="65" t="str">
        <f aca="false">IF($A142="","",IF(OR($T142&lt;&gt;"",$U142&lt;&gt;""),"Closed",IFERROR(INDEX(MapStage,MATCH($C142,MapStatus,0)),"Unmapped")))</f>
        <v/>
      </c>
      <c r="Y142" s="65" t="str">
        <f aca="false">IF(OR($X142="",$X142="Closed",$X142="Unmapped"),"",MATCH($X142,StageName,0))</f>
        <v/>
      </c>
      <c r="Z142" s="65" t="str">
        <f aca="false">IF(OR($Y142="",$I142=""),"",$I142-AsOf)</f>
        <v/>
      </c>
      <c r="AA142" s="65" t="str">
        <f aca="false">IF($A142="","",AsOf-$H142)</f>
        <v/>
      </c>
      <c r="AB142" s="65" t="str">
        <f aca="false">IF($A142="","",IF($X142="Closed","Closed",IF($X142="Unmapped","Unmapped",IF($I142="","No target",IF($Z142&lt;0,"Overdue",IF($Z142&lt;=INDEX(StageWindow,$Y142),"At risk","On track"))))))</f>
        <v/>
      </c>
      <c r="AC142" s="65" t="str">
        <f aca="false">IF($Y142="","",IF($AA142&gt;2*INDEX(StageStale,$Y142),"Stale",IF($AA142&gt;INDEX(StageStale,$Y142),"Aging","Fresh")))</f>
        <v/>
      </c>
      <c r="AD142" s="65" t="str">
        <f aca="false">IF($A142="","",IF(OR(ISNUMBER(SEARCH("Reg report",$J142)),ISNUMBER(SEARCH("No human review",$J142)),COUNTIF(TierFuncs,$D142)&gt;0),"High",IF(OR(TRIM($J142)&lt;&gt;"",ISNUMBER(SEARCH("revenue",$K142))),"Medium","Low")))</f>
        <v/>
      </c>
      <c r="AE142" s="65" t="str">
        <f aca="false">IF($A142="","",INDEX(TierDays,MATCH($AD142,TierName,0)))</f>
        <v/>
      </c>
      <c r="AF142" s="65" t="str">
        <f aca="false">IF($A142="","",AsOf-$G142)</f>
        <v/>
      </c>
      <c r="AG142" s="65" t="str">
        <f aca="false">IF($Y142="","",IF($Y142&lt;=5,IF($AF142&gt;$AE142,"Over","Inside"),"Past approval"))</f>
        <v/>
      </c>
      <c r="AH142" s="65" t="str">
        <f aca="false">IF($Y142="","",CHOOSE($Y142,IF(OR(TRIM($F142)="",ISNUMBER(SEARCH("not named",$F142))),"Critical","Good"),IF($O142&lt;&gt;"Y","Critical",IF($Q142&lt;&gt;"Y","Warning","Good")),IF($P142="","Critical",IF($P142="partial","Warning",IF($P142="ready","Good","Critical"))),IF($R142&lt;&gt;"","Critical","Warning"),IF($L142="","Critical",IF($N142="","Warning","Good")),IF($R142&lt;&gt;"","Critical","Warning"),IF($R142&lt;&gt;"","Critical","Warning"),IF($Q142="Y","Good","Critical")))</f>
        <v/>
      </c>
      <c r="AI142" s="65" t="str">
        <f aca="false">IF($Y142="","",CHOOSE($Y142,IF(OR(TRIM($F142)="",ISNUMBER(SEARCH("not named",$F142))),"Name a sponsor accountable for the value",""),IF($O142&lt;&gt;"Y","State the success metric and the stop condition",IF($Q142&lt;&gt;"Y","Set the baseline the benefit will be measured against","")),IF($P142="","Assess data readiness and regulatory impact",IF($P142="partial","Close the known data gaps",IF($P142="ready","","Data is not available; reshape or park"))),IF($R142&lt;&gt;"",IF(OR(ISNUMBER(SEARCH("mrm",$R142)),ISNUMBER(SEARCH("model",$R142)),ISNUMBER(SEARCH("risk",$R142)),ISNUMBER(SEARCH("legal",$R142)),ISNUMBER(SEARCH("complian",$R142))),"Awaiting ","Held at the design gate: ")&amp;$R142,"Map the governance framework for its tier"),IF($L142="","Size the annual benefit",IF($N142="","Score it so it can be ranked against capacity","")),IF($R142&lt;&gt;"","Build held: "&amp;$R142,"In build, not yet through test"),IF($R142&lt;&gt;"","Not ready to scale: "&amp;$R142,"Monitoring and third-party review not yet signed off"),IF($Q142="Y","","Live without a measured baseline to judge it against")))</f>
        <v/>
      </c>
      <c r="AJ142" s="65" t="str">
        <f aca="false">IF($Y142="","",INDEX(StageForum,$Y142))</f>
        <v/>
      </c>
      <c r="AK142" s="65" t="str">
        <f aca="false">IF($Y142="","",IF(OR($X142="Delivery",$X142="Value"),"Committed",IF($N142&lt;&gt;"","Candidate","")))</f>
        <v/>
      </c>
      <c r="AL142" s="65" t="str">
        <f aca="false">IF($AK142&lt;&gt;"Candidate","",COUNTIFS($AK$2:$AK$501,"Candidate",$N$2:$N$501,"&gt;"&amp;$N142)+COUNTIFS($AK$2:$AK$501,"Candidate",$N$2:$N$501,$N142,$A$2:$A$501,"&lt;"&amp;$A142)+1)</f>
        <v/>
      </c>
      <c r="AM142" s="65" t="str">
        <f aca="false">IF($AL142="","",SUMIFS($M$2:$M$501,$AK$2:$AK$501,"Candidate",$AL$2:$AL$501,"&lt;="&amp;$AL142))</f>
        <v/>
      </c>
      <c r="AN142" s="65" t="str">
        <f aca="false">IF($AL142="","",IF($AM142&lt;=CapacityOpen,"Fits","Below line"))</f>
        <v/>
      </c>
      <c r="AO142" s="65" t="str">
        <f aca="false">IF($A142="","",IF($X142="Closed","",IF($X142="Unmapped","Warning",IF(OR($AB142="Overdue",$V142="Y",$AH142="Critical"),"Critical",IF(OR($AB142="At risk",$AC142="Stale",$AG142="Over"),"Warning","")))))</f>
        <v/>
      </c>
      <c r="AP142" s="65" t="str">
        <f aca="false">IF($AO142="","",IF($AO142="Critical",3000,2000)-IF($Z142="",0,$Z142)+ROW()/100000)</f>
        <v/>
      </c>
      <c r="AQ142" s="65" t="str">
        <f aca="false">IF($AO142="","",IF($X142="Unmapped","Status '"&amp;$C142&amp;"' is not in the Config map",IF($V142="Y","Flagged in Jira",IF($AB142="Overdue",-$Z142&amp;" days past its "&amp;$X142&amp;" target",IF($AH142="Critical",$AI142,IF($AB142="At risk","Target in "&amp;$Z142&amp;" days",IF($AC142="Stale","No update in "&amp;$AA142&amp;" days","Past its "&amp;$AE142&amp;"-day tier window")))))))</f>
        <v/>
      </c>
      <c r="AR142" s="65" t="str">
        <f aca="false">IF($AO142="","","draft Jira update for "&amp;$A142)</f>
        <v/>
      </c>
      <c r="AS142" s="65" t="str">
        <f aca="false">IF($A142="","",HYPERLINK(JiraSite&amp;"/browse/"&amp;$A142,"open"))</f>
        <v/>
      </c>
      <c r="AT142" s="65" t="str">
        <f aca="false">IF($Y142="","",$Y142*1000+ROW())</f>
        <v/>
      </c>
      <c r="AU142" s="65" t="str">
        <f aca="false">IF(AND($A142&lt;&gt;"",$G142&gt;=WeekStart),$G142+ROW()/100000,"")</f>
        <v/>
      </c>
      <c r="AV142" s="65" t="str">
        <f aca="false">IF($A142="","",IF(OR(AND($S142&lt;&gt;"",$S142&gt;=WeekStart),AND($U142&lt;&gt;"",$U142&gt;=WeekStart)),MAX($S142,$U142)+ROW()/100000,""))</f>
        <v/>
      </c>
      <c r="AW142" s="65" t="str">
        <f aca="false">IF($AV142="","",IF($T142&lt;&gt;"",$T142,IF($X142="Closed","Closed","Accepted to "&amp;$X142)))</f>
        <v/>
      </c>
      <c r="AX142" s="65" t="str">
        <f aca="false">IF(AND($Y142&lt;&gt;"",$R142&lt;&gt;""),$AF142+ROW()/100000,"")</f>
        <v/>
      </c>
      <c r="AY142" s="65" t="str">
        <f aca="false">IF(AND($Y142&lt;&gt;"",OR($AB142="Overdue",AND($AH142="Critical",$R142&lt;&gt;""))),$AF142+ROW()/100000,"")</f>
        <v/>
      </c>
      <c r="AZ142" s="65" t="str">
        <f aca="false">IF($AH142="Critical",$AF142+ROW()/100000,"")</f>
        <v/>
      </c>
    </row>
    <row r="143" customFormat="false" ht="15" hidden="false" customHeight="false" outlineLevel="0" collapsed="false">
      <c r="A143" s="28"/>
      <c r="B143" s="28"/>
      <c r="C143" s="28"/>
      <c r="D143" s="28"/>
      <c r="E143" s="28"/>
      <c r="F143" s="28"/>
      <c r="G143" s="63"/>
      <c r="H143" s="63"/>
      <c r="I143" s="63"/>
      <c r="J143" s="28"/>
      <c r="K143" s="28"/>
      <c r="L143" s="28"/>
      <c r="M143" s="28"/>
      <c r="N143" s="28"/>
      <c r="O143" s="64"/>
      <c r="P143" s="64"/>
      <c r="Q143" s="64"/>
      <c r="R143" s="28"/>
      <c r="S143" s="63"/>
      <c r="T143" s="64"/>
      <c r="U143" s="63"/>
      <c r="V143" s="64"/>
      <c r="W143" s="28"/>
      <c r="X143" s="65" t="str">
        <f aca="false">IF($A143="","",IF(OR($T143&lt;&gt;"",$U143&lt;&gt;""),"Closed",IFERROR(INDEX(MapStage,MATCH($C143,MapStatus,0)),"Unmapped")))</f>
        <v/>
      </c>
      <c r="Y143" s="65" t="str">
        <f aca="false">IF(OR($X143="",$X143="Closed",$X143="Unmapped"),"",MATCH($X143,StageName,0))</f>
        <v/>
      </c>
      <c r="Z143" s="65" t="str">
        <f aca="false">IF(OR($Y143="",$I143=""),"",$I143-AsOf)</f>
        <v/>
      </c>
      <c r="AA143" s="65" t="str">
        <f aca="false">IF($A143="","",AsOf-$H143)</f>
        <v/>
      </c>
      <c r="AB143" s="65" t="str">
        <f aca="false">IF($A143="","",IF($X143="Closed","Closed",IF($X143="Unmapped","Unmapped",IF($I143="","No target",IF($Z143&lt;0,"Overdue",IF($Z143&lt;=INDEX(StageWindow,$Y143),"At risk","On track"))))))</f>
        <v/>
      </c>
      <c r="AC143" s="65" t="str">
        <f aca="false">IF($Y143="","",IF($AA143&gt;2*INDEX(StageStale,$Y143),"Stale",IF($AA143&gt;INDEX(StageStale,$Y143),"Aging","Fresh")))</f>
        <v/>
      </c>
      <c r="AD143" s="65" t="str">
        <f aca="false">IF($A143="","",IF(OR(ISNUMBER(SEARCH("Reg report",$J143)),ISNUMBER(SEARCH("No human review",$J143)),COUNTIF(TierFuncs,$D143)&gt;0),"High",IF(OR(TRIM($J143)&lt;&gt;"",ISNUMBER(SEARCH("revenue",$K143))),"Medium","Low")))</f>
        <v/>
      </c>
      <c r="AE143" s="65" t="str">
        <f aca="false">IF($A143="","",INDEX(TierDays,MATCH($AD143,TierName,0)))</f>
        <v/>
      </c>
      <c r="AF143" s="65" t="str">
        <f aca="false">IF($A143="","",AsOf-$G143)</f>
        <v/>
      </c>
      <c r="AG143" s="65" t="str">
        <f aca="false">IF($Y143="","",IF($Y143&lt;=5,IF($AF143&gt;$AE143,"Over","Inside"),"Past approval"))</f>
        <v/>
      </c>
      <c r="AH143" s="65" t="str">
        <f aca="false">IF($Y143="","",CHOOSE($Y143,IF(OR(TRIM($F143)="",ISNUMBER(SEARCH("not named",$F143))),"Critical","Good"),IF($O143&lt;&gt;"Y","Critical",IF($Q143&lt;&gt;"Y","Warning","Good")),IF($P143="","Critical",IF($P143="partial","Warning",IF($P143="ready","Good","Critical"))),IF($R143&lt;&gt;"","Critical","Warning"),IF($L143="","Critical",IF($N143="","Warning","Good")),IF($R143&lt;&gt;"","Critical","Warning"),IF($R143&lt;&gt;"","Critical","Warning"),IF($Q143="Y","Good","Critical")))</f>
        <v/>
      </c>
      <c r="AI143" s="65" t="str">
        <f aca="false">IF($Y143="","",CHOOSE($Y143,IF(OR(TRIM($F143)="",ISNUMBER(SEARCH("not named",$F143))),"Name a sponsor accountable for the value",""),IF($O143&lt;&gt;"Y","State the success metric and the stop condition",IF($Q143&lt;&gt;"Y","Set the baseline the benefit will be measured against","")),IF($P143="","Assess data readiness and regulatory impact",IF($P143="partial","Close the known data gaps",IF($P143="ready","","Data is not available; reshape or park"))),IF($R143&lt;&gt;"",IF(OR(ISNUMBER(SEARCH("mrm",$R143)),ISNUMBER(SEARCH("model",$R143)),ISNUMBER(SEARCH("risk",$R143)),ISNUMBER(SEARCH("legal",$R143)),ISNUMBER(SEARCH("complian",$R143))),"Awaiting ","Held at the design gate: ")&amp;$R143,"Map the governance framework for its tier"),IF($L143="","Size the annual benefit",IF($N143="","Score it so it can be ranked against capacity","")),IF($R143&lt;&gt;"","Build held: "&amp;$R143,"In build, not yet through test"),IF($R143&lt;&gt;"","Not ready to scale: "&amp;$R143,"Monitoring and third-party review not yet signed off"),IF($Q143="Y","","Live without a measured baseline to judge it against")))</f>
        <v/>
      </c>
      <c r="AJ143" s="65" t="str">
        <f aca="false">IF($Y143="","",INDEX(StageForum,$Y143))</f>
        <v/>
      </c>
      <c r="AK143" s="65" t="str">
        <f aca="false">IF($Y143="","",IF(OR($X143="Delivery",$X143="Value"),"Committed",IF($N143&lt;&gt;"","Candidate","")))</f>
        <v/>
      </c>
      <c r="AL143" s="65" t="str">
        <f aca="false">IF($AK143&lt;&gt;"Candidate","",COUNTIFS($AK$2:$AK$501,"Candidate",$N$2:$N$501,"&gt;"&amp;$N143)+COUNTIFS($AK$2:$AK$501,"Candidate",$N$2:$N$501,$N143,$A$2:$A$501,"&lt;"&amp;$A143)+1)</f>
        <v/>
      </c>
      <c r="AM143" s="65" t="str">
        <f aca="false">IF($AL143="","",SUMIFS($M$2:$M$501,$AK$2:$AK$501,"Candidate",$AL$2:$AL$501,"&lt;="&amp;$AL143))</f>
        <v/>
      </c>
      <c r="AN143" s="65" t="str">
        <f aca="false">IF($AL143="","",IF($AM143&lt;=CapacityOpen,"Fits","Below line"))</f>
        <v/>
      </c>
      <c r="AO143" s="65" t="str">
        <f aca="false">IF($A143="","",IF($X143="Closed","",IF($X143="Unmapped","Warning",IF(OR($AB143="Overdue",$V143="Y",$AH143="Critical"),"Critical",IF(OR($AB143="At risk",$AC143="Stale",$AG143="Over"),"Warning","")))))</f>
        <v/>
      </c>
      <c r="AP143" s="65" t="str">
        <f aca="false">IF($AO143="","",IF($AO143="Critical",3000,2000)-IF($Z143="",0,$Z143)+ROW()/100000)</f>
        <v/>
      </c>
      <c r="AQ143" s="65" t="str">
        <f aca="false">IF($AO143="","",IF($X143="Unmapped","Status '"&amp;$C143&amp;"' is not in the Config map",IF($V143="Y","Flagged in Jira",IF($AB143="Overdue",-$Z143&amp;" days past its "&amp;$X143&amp;" target",IF($AH143="Critical",$AI143,IF($AB143="At risk","Target in "&amp;$Z143&amp;" days",IF($AC143="Stale","No update in "&amp;$AA143&amp;" days","Past its "&amp;$AE143&amp;"-day tier window")))))))</f>
        <v/>
      </c>
      <c r="AR143" s="65" t="str">
        <f aca="false">IF($AO143="","","draft Jira update for "&amp;$A143)</f>
        <v/>
      </c>
      <c r="AS143" s="65" t="str">
        <f aca="false">IF($A143="","",HYPERLINK(JiraSite&amp;"/browse/"&amp;$A143,"open"))</f>
        <v/>
      </c>
      <c r="AT143" s="65" t="str">
        <f aca="false">IF($Y143="","",$Y143*1000+ROW())</f>
        <v/>
      </c>
      <c r="AU143" s="65" t="str">
        <f aca="false">IF(AND($A143&lt;&gt;"",$G143&gt;=WeekStart),$G143+ROW()/100000,"")</f>
        <v/>
      </c>
      <c r="AV143" s="65" t="str">
        <f aca="false">IF($A143="","",IF(OR(AND($S143&lt;&gt;"",$S143&gt;=WeekStart),AND($U143&lt;&gt;"",$U143&gt;=WeekStart)),MAX($S143,$U143)+ROW()/100000,""))</f>
        <v/>
      </c>
      <c r="AW143" s="65" t="str">
        <f aca="false">IF($AV143="","",IF($T143&lt;&gt;"",$T143,IF($X143="Closed","Closed","Accepted to "&amp;$X143)))</f>
        <v/>
      </c>
      <c r="AX143" s="65" t="str">
        <f aca="false">IF(AND($Y143&lt;&gt;"",$R143&lt;&gt;""),$AF143+ROW()/100000,"")</f>
        <v/>
      </c>
      <c r="AY143" s="65" t="str">
        <f aca="false">IF(AND($Y143&lt;&gt;"",OR($AB143="Overdue",AND($AH143="Critical",$R143&lt;&gt;""))),$AF143+ROW()/100000,"")</f>
        <v/>
      </c>
      <c r="AZ143" s="65" t="str">
        <f aca="false">IF($AH143="Critical",$AF143+ROW()/100000,"")</f>
        <v/>
      </c>
    </row>
    <row r="144" customFormat="false" ht="15" hidden="false" customHeight="false" outlineLevel="0" collapsed="false">
      <c r="A144" s="28"/>
      <c r="B144" s="28"/>
      <c r="C144" s="28"/>
      <c r="D144" s="28"/>
      <c r="E144" s="28"/>
      <c r="F144" s="28"/>
      <c r="G144" s="63"/>
      <c r="H144" s="63"/>
      <c r="I144" s="63"/>
      <c r="J144" s="28"/>
      <c r="K144" s="28"/>
      <c r="L144" s="28"/>
      <c r="M144" s="28"/>
      <c r="N144" s="28"/>
      <c r="O144" s="64"/>
      <c r="P144" s="64"/>
      <c r="Q144" s="64"/>
      <c r="R144" s="28"/>
      <c r="S144" s="63"/>
      <c r="T144" s="64"/>
      <c r="U144" s="63"/>
      <c r="V144" s="64"/>
      <c r="W144" s="28"/>
      <c r="X144" s="65" t="str">
        <f aca="false">IF($A144="","",IF(OR($T144&lt;&gt;"",$U144&lt;&gt;""),"Closed",IFERROR(INDEX(MapStage,MATCH($C144,MapStatus,0)),"Unmapped")))</f>
        <v/>
      </c>
      <c r="Y144" s="65" t="str">
        <f aca="false">IF(OR($X144="",$X144="Closed",$X144="Unmapped"),"",MATCH($X144,StageName,0))</f>
        <v/>
      </c>
      <c r="Z144" s="65" t="str">
        <f aca="false">IF(OR($Y144="",$I144=""),"",$I144-AsOf)</f>
        <v/>
      </c>
      <c r="AA144" s="65" t="str">
        <f aca="false">IF($A144="","",AsOf-$H144)</f>
        <v/>
      </c>
      <c r="AB144" s="65" t="str">
        <f aca="false">IF($A144="","",IF($X144="Closed","Closed",IF($X144="Unmapped","Unmapped",IF($I144="","No target",IF($Z144&lt;0,"Overdue",IF($Z144&lt;=INDEX(StageWindow,$Y144),"At risk","On track"))))))</f>
        <v/>
      </c>
      <c r="AC144" s="65" t="str">
        <f aca="false">IF($Y144="","",IF($AA144&gt;2*INDEX(StageStale,$Y144),"Stale",IF($AA144&gt;INDEX(StageStale,$Y144),"Aging","Fresh")))</f>
        <v/>
      </c>
      <c r="AD144" s="65" t="str">
        <f aca="false">IF($A144="","",IF(OR(ISNUMBER(SEARCH("Reg report",$J144)),ISNUMBER(SEARCH("No human review",$J144)),COUNTIF(TierFuncs,$D144)&gt;0),"High",IF(OR(TRIM($J144)&lt;&gt;"",ISNUMBER(SEARCH("revenue",$K144))),"Medium","Low")))</f>
        <v/>
      </c>
      <c r="AE144" s="65" t="str">
        <f aca="false">IF($A144="","",INDEX(TierDays,MATCH($AD144,TierName,0)))</f>
        <v/>
      </c>
      <c r="AF144" s="65" t="str">
        <f aca="false">IF($A144="","",AsOf-$G144)</f>
        <v/>
      </c>
      <c r="AG144" s="65" t="str">
        <f aca="false">IF($Y144="","",IF($Y144&lt;=5,IF($AF144&gt;$AE144,"Over","Inside"),"Past approval"))</f>
        <v/>
      </c>
      <c r="AH144" s="65" t="str">
        <f aca="false">IF($Y144="","",CHOOSE($Y144,IF(OR(TRIM($F144)="",ISNUMBER(SEARCH("not named",$F144))),"Critical","Good"),IF($O144&lt;&gt;"Y","Critical",IF($Q144&lt;&gt;"Y","Warning","Good")),IF($P144="","Critical",IF($P144="partial","Warning",IF($P144="ready","Good","Critical"))),IF($R144&lt;&gt;"","Critical","Warning"),IF($L144="","Critical",IF($N144="","Warning","Good")),IF($R144&lt;&gt;"","Critical","Warning"),IF($R144&lt;&gt;"","Critical","Warning"),IF($Q144="Y","Good","Critical")))</f>
        <v/>
      </c>
      <c r="AI144" s="65" t="str">
        <f aca="false">IF($Y144="","",CHOOSE($Y144,IF(OR(TRIM($F144)="",ISNUMBER(SEARCH("not named",$F144))),"Name a sponsor accountable for the value",""),IF($O144&lt;&gt;"Y","State the success metric and the stop condition",IF($Q144&lt;&gt;"Y","Set the baseline the benefit will be measured against","")),IF($P144="","Assess data readiness and regulatory impact",IF($P144="partial","Close the known data gaps",IF($P144="ready","","Data is not available; reshape or park"))),IF($R144&lt;&gt;"",IF(OR(ISNUMBER(SEARCH("mrm",$R144)),ISNUMBER(SEARCH("model",$R144)),ISNUMBER(SEARCH("risk",$R144)),ISNUMBER(SEARCH("legal",$R144)),ISNUMBER(SEARCH("complian",$R144))),"Awaiting ","Held at the design gate: ")&amp;$R144,"Map the governance framework for its tier"),IF($L144="","Size the annual benefit",IF($N144="","Score it so it can be ranked against capacity","")),IF($R144&lt;&gt;"","Build held: "&amp;$R144,"In build, not yet through test"),IF($R144&lt;&gt;"","Not ready to scale: "&amp;$R144,"Monitoring and third-party review not yet signed off"),IF($Q144="Y","","Live without a measured baseline to judge it against")))</f>
        <v/>
      </c>
      <c r="AJ144" s="65" t="str">
        <f aca="false">IF($Y144="","",INDEX(StageForum,$Y144))</f>
        <v/>
      </c>
      <c r="AK144" s="65" t="str">
        <f aca="false">IF($Y144="","",IF(OR($X144="Delivery",$X144="Value"),"Committed",IF($N144&lt;&gt;"","Candidate","")))</f>
        <v/>
      </c>
      <c r="AL144" s="65" t="str">
        <f aca="false">IF($AK144&lt;&gt;"Candidate","",COUNTIFS($AK$2:$AK$501,"Candidate",$N$2:$N$501,"&gt;"&amp;$N144)+COUNTIFS($AK$2:$AK$501,"Candidate",$N$2:$N$501,$N144,$A$2:$A$501,"&lt;"&amp;$A144)+1)</f>
        <v/>
      </c>
      <c r="AM144" s="65" t="str">
        <f aca="false">IF($AL144="","",SUMIFS($M$2:$M$501,$AK$2:$AK$501,"Candidate",$AL$2:$AL$501,"&lt;="&amp;$AL144))</f>
        <v/>
      </c>
      <c r="AN144" s="65" t="str">
        <f aca="false">IF($AL144="","",IF($AM144&lt;=CapacityOpen,"Fits","Below line"))</f>
        <v/>
      </c>
      <c r="AO144" s="65" t="str">
        <f aca="false">IF($A144="","",IF($X144="Closed","",IF($X144="Unmapped","Warning",IF(OR($AB144="Overdue",$V144="Y",$AH144="Critical"),"Critical",IF(OR($AB144="At risk",$AC144="Stale",$AG144="Over"),"Warning","")))))</f>
        <v/>
      </c>
      <c r="AP144" s="65" t="str">
        <f aca="false">IF($AO144="","",IF($AO144="Critical",3000,2000)-IF($Z144="",0,$Z144)+ROW()/100000)</f>
        <v/>
      </c>
      <c r="AQ144" s="65" t="str">
        <f aca="false">IF($AO144="","",IF($X144="Unmapped","Status '"&amp;$C144&amp;"' is not in the Config map",IF($V144="Y","Flagged in Jira",IF($AB144="Overdue",-$Z144&amp;" days past its "&amp;$X144&amp;" target",IF($AH144="Critical",$AI144,IF($AB144="At risk","Target in "&amp;$Z144&amp;" days",IF($AC144="Stale","No update in "&amp;$AA144&amp;" days","Past its "&amp;$AE144&amp;"-day tier window")))))))</f>
        <v/>
      </c>
      <c r="AR144" s="65" t="str">
        <f aca="false">IF($AO144="","","draft Jira update for "&amp;$A144)</f>
        <v/>
      </c>
      <c r="AS144" s="65" t="str">
        <f aca="false">IF($A144="","",HYPERLINK(JiraSite&amp;"/browse/"&amp;$A144,"open"))</f>
        <v/>
      </c>
      <c r="AT144" s="65" t="str">
        <f aca="false">IF($Y144="","",$Y144*1000+ROW())</f>
        <v/>
      </c>
      <c r="AU144" s="65" t="str">
        <f aca="false">IF(AND($A144&lt;&gt;"",$G144&gt;=WeekStart),$G144+ROW()/100000,"")</f>
        <v/>
      </c>
      <c r="AV144" s="65" t="str">
        <f aca="false">IF($A144="","",IF(OR(AND($S144&lt;&gt;"",$S144&gt;=WeekStart),AND($U144&lt;&gt;"",$U144&gt;=WeekStart)),MAX($S144,$U144)+ROW()/100000,""))</f>
        <v/>
      </c>
      <c r="AW144" s="65" t="str">
        <f aca="false">IF($AV144="","",IF($T144&lt;&gt;"",$T144,IF($X144="Closed","Closed","Accepted to "&amp;$X144)))</f>
        <v/>
      </c>
      <c r="AX144" s="65" t="str">
        <f aca="false">IF(AND($Y144&lt;&gt;"",$R144&lt;&gt;""),$AF144+ROW()/100000,"")</f>
        <v/>
      </c>
      <c r="AY144" s="65" t="str">
        <f aca="false">IF(AND($Y144&lt;&gt;"",OR($AB144="Overdue",AND($AH144="Critical",$R144&lt;&gt;""))),$AF144+ROW()/100000,"")</f>
        <v/>
      </c>
      <c r="AZ144" s="65" t="str">
        <f aca="false">IF($AH144="Critical",$AF144+ROW()/100000,"")</f>
        <v/>
      </c>
    </row>
    <row r="145" customFormat="false" ht="15" hidden="false" customHeight="false" outlineLevel="0" collapsed="false">
      <c r="A145" s="28"/>
      <c r="B145" s="28"/>
      <c r="C145" s="28"/>
      <c r="D145" s="28"/>
      <c r="E145" s="28"/>
      <c r="F145" s="28"/>
      <c r="G145" s="63"/>
      <c r="H145" s="63"/>
      <c r="I145" s="63"/>
      <c r="J145" s="28"/>
      <c r="K145" s="28"/>
      <c r="L145" s="28"/>
      <c r="M145" s="28"/>
      <c r="N145" s="28"/>
      <c r="O145" s="64"/>
      <c r="P145" s="64"/>
      <c r="Q145" s="64"/>
      <c r="R145" s="28"/>
      <c r="S145" s="63"/>
      <c r="T145" s="64"/>
      <c r="U145" s="63"/>
      <c r="V145" s="64"/>
      <c r="W145" s="28"/>
      <c r="X145" s="65" t="str">
        <f aca="false">IF($A145="","",IF(OR($T145&lt;&gt;"",$U145&lt;&gt;""),"Closed",IFERROR(INDEX(MapStage,MATCH($C145,MapStatus,0)),"Unmapped")))</f>
        <v/>
      </c>
      <c r="Y145" s="65" t="str">
        <f aca="false">IF(OR($X145="",$X145="Closed",$X145="Unmapped"),"",MATCH($X145,StageName,0))</f>
        <v/>
      </c>
      <c r="Z145" s="65" t="str">
        <f aca="false">IF(OR($Y145="",$I145=""),"",$I145-AsOf)</f>
        <v/>
      </c>
      <c r="AA145" s="65" t="str">
        <f aca="false">IF($A145="","",AsOf-$H145)</f>
        <v/>
      </c>
      <c r="AB145" s="65" t="str">
        <f aca="false">IF($A145="","",IF($X145="Closed","Closed",IF($X145="Unmapped","Unmapped",IF($I145="","No target",IF($Z145&lt;0,"Overdue",IF($Z145&lt;=INDEX(StageWindow,$Y145),"At risk","On track"))))))</f>
        <v/>
      </c>
      <c r="AC145" s="65" t="str">
        <f aca="false">IF($Y145="","",IF($AA145&gt;2*INDEX(StageStale,$Y145),"Stale",IF($AA145&gt;INDEX(StageStale,$Y145),"Aging","Fresh")))</f>
        <v/>
      </c>
      <c r="AD145" s="65" t="str">
        <f aca="false">IF($A145="","",IF(OR(ISNUMBER(SEARCH("Reg report",$J145)),ISNUMBER(SEARCH("No human review",$J145)),COUNTIF(TierFuncs,$D145)&gt;0),"High",IF(OR(TRIM($J145)&lt;&gt;"",ISNUMBER(SEARCH("revenue",$K145))),"Medium","Low")))</f>
        <v/>
      </c>
      <c r="AE145" s="65" t="str">
        <f aca="false">IF($A145="","",INDEX(TierDays,MATCH($AD145,TierName,0)))</f>
        <v/>
      </c>
      <c r="AF145" s="65" t="str">
        <f aca="false">IF($A145="","",AsOf-$G145)</f>
        <v/>
      </c>
      <c r="AG145" s="65" t="str">
        <f aca="false">IF($Y145="","",IF($Y145&lt;=5,IF($AF145&gt;$AE145,"Over","Inside"),"Past approval"))</f>
        <v/>
      </c>
      <c r="AH145" s="65" t="str">
        <f aca="false">IF($Y145="","",CHOOSE($Y145,IF(OR(TRIM($F145)="",ISNUMBER(SEARCH("not named",$F145))),"Critical","Good"),IF($O145&lt;&gt;"Y","Critical",IF($Q145&lt;&gt;"Y","Warning","Good")),IF($P145="","Critical",IF($P145="partial","Warning",IF($P145="ready","Good","Critical"))),IF($R145&lt;&gt;"","Critical","Warning"),IF($L145="","Critical",IF($N145="","Warning","Good")),IF($R145&lt;&gt;"","Critical","Warning"),IF($R145&lt;&gt;"","Critical","Warning"),IF($Q145="Y","Good","Critical")))</f>
        <v/>
      </c>
      <c r="AI145" s="65" t="str">
        <f aca="false">IF($Y145="","",CHOOSE($Y145,IF(OR(TRIM($F145)="",ISNUMBER(SEARCH("not named",$F145))),"Name a sponsor accountable for the value",""),IF($O145&lt;&gt;"Y","State the success metric and the stop condition",IF($Q145&lt;&gt;"Y","Set the baseline the benefit will be measured against","")),IF($P145="","Assess data readiness and regulatory impact",IF($P145="partial","Close the known data gaps",IF($P145="ready","","Data is not available; reshape or park"))),IF($R145&lt;&gt;"",IF(OR(ISNUMBER(SEARCH("mrm",$R145)),ISNUMBER(SEARCH("model",$R145)),ISNUMBER(SEARCH("risk",$R145)),ISNUMBER(SEARCH("legal",$R145)),ISNUMBER(SEARCH("complian",$R145))),"Awaiting ","Held at the design gate: ")&amp;$R145,"Map the governance framework for its tier"),IF($L145="","Size the annual benefit",IF($N145="","Score it so it can be ranked against capacity","")),IF($R145&lt;&gt;"","Build held: "&amp;$R145,"In build, not yet through test"),IF($R145&lt;&gt;"","Not ready to scale: "&amp;$R145,"Monitoring and third-party review not yet signed off"),IF($Q145="Y","","Live without a measured baseline to judge it against")))</f>
        <v/>
      </c>
      <c r="AJ145" s="65" t="str">
        <f aca="false">IF($Y145="","",INDEX(StageForum,$Y145))</f>
        <v/>
      </c>
      <c r="AK145" s="65" t="str">
        <f aca="false">IF($Y145="","",IF(OR($X145="Delivery",$X145="Value"),"Committed",IF($N145&lt;&gt;"","Candidate","")))</f>
        <v/>
      </c>
      <c r="AL145" s="65" t="str">
        <f aca="false">IF($AK145&lt;&gt;"Candidate","",COUNTIFS($AK$2:$AK$501,"Candidate",$N$2:$N$501,"&gt;"&amp;$N145)+COUNTIFS($AK$2:$AK$501,"Candidate",$N$2:$N$501,$N145,$A$2:$A$501,"&lt;"&amp;$A145)+1)</f>
        <v/>
      </c>
      <c r="AM145" s="65" t="str">
        <f aca="false">IF($AL145="","",SUMIFS($M$2:$M$501,$AK$2:$AK$501,"Candidate",$AL$2:$AL$501,"&lt;="&amp;$AL145))</f>
        <v/>
      </c>
      <c r="AN145" s="65" t="str">
        <f aca="false">IF($AL145="","",IF($AM145&lt;=CapacityOpen,"Fits","Below line"))</f>
        <v/>
      </c>
      <c r="AO145" s="65" t="str">
        <f aca="false">IF($A145="","",IF($X145="Closed","",IF($X145="Unmapped","Warning",IF(OR($AB145="Overdue",$V145="Y",$AH145="Critical"),"Critical",IF(OR($AB145="At risk",$AC145="Stale",$AG145="Over"),"Warning","")))))</f>
        <v/>
      </c>
      <c r="AP145" s="65" t="str">
        <f aca="false">IF($AO145="","",IF($AO145="Critical",3000,2000)-IF($Z145="",0,$Z145)+ROW()/100000)</f>
        <v/>
      </c>
      <c r="AQ145" s="65" t="str">
        <f aca="false">IF($AO145="","",IF($X145="Unmapped","Status '"&amp;$C145&amp;"' is not in the Config map",IF($V145="Y","Flagged in Jira",IF($AB145="Overdue",-$Z145&amp;" days past its "&amp;$X145&amp;" target",IF($AH145="Critical",$AI145,IF($AB145="At risk","Target in "&amp;$Z145&amp;" days",IF($AC145="Stale","No update in "&amp;$AA145&amp;" days","Past its "&amp;$AE145&amp;"-day tier window")))))))</f>
        <v/>
      </c>
      <c r="AR145" s="65" t="str">
        <f aca="false">IF($AO145="","","draft Jira update for "&amp;$A145)</f>
        <v/>
      </c>
      <c r="AS145" s="65" t="str">
        <f aca="false">IF($A145="","",HYPERLINK(JiraSite&amp;"/browse/"&amp;$A145,"open"))</f>
        <v/>
      </c>
      <c r="AT145" s="65" t="str">
        <f aca="false">IF($Y145="","",$Y145*1000+ROW())</f>
        <v/>
      </c>
      <c r="AU145" s="65" t="str">
        <f aca="false">IF(AND($A145&lt;&gt;"",$G145&gt;=WeekStart),$G145+ROW()/100000,"")</f>
        <v/>
      </c>
      <c r="AV145" s="65" t="str">
        <f aca="false">IF($A145="","",IF(OR(AND($S145&lt;&gt;"",$S145&gt;=WeekStart),AND($U145&lt;&gt;"",$U145&gt;=WeekStart)),MAX($S145,$U145)+ROW()/100000,""))</f>
        <v/>
      </c>
      <c r="AW145" s="65" t="str">
        <f aca="false">IF($AV145="","",IF($T145&lt;&gt;"",$T145,IF($X145="Closed","Closed","Accepted to "&amp;$X145)))</f>
        <v/>
      </c>
      <c r="AX145" s="65" t="str">
        <f aca="false">IF(AND($Y145&lt;&gt;"",$R145&lt;&gt;""),$AF145+ROW()/100000,"")</f>
        <v/>
      </c>
      <c r="AY145" s="65" t="str">
        <f aca="false">IF(AND($Y145&lt;&gt;"",OR($AB145="Overdue",AND($AH145="Critical",$R145&lt;&gt;""))),$AF145+ROW()/100000,"")</f>
        <v/>
      </c>
      <c r="AZ145" s="65" t="str">
        <f aca="false">IF($AH145="Critical",$AF145+ROW()/100000,"")</f>
        <v/>
      </c>
    </row>
    <row r="146" customFormat="false" ht="15" hidden="false" customHeight="false" outlineLevel="0" collapsed="false">
      <c r="A146" s="28"/>
      <c r="B146" s="28"/>
      <c r="C146" s="28"/>
      <c r="D146" s="28"/>
      <c r="E146" s="28"/>
      <c r="F146" s="28"/>
      <c r="G146" s="63"/>
      <c r="H146" s="63"/>
      <c r="I146" s="63"/>
      <c r="J146" s="28"/>
      <c r="K146" s="28"/>
      <c r="L146" s="28"/>
      <c r="M146" s="28"/>
      <c r="N146" s="28"/>
      <c r="O146" s="64"/>
      <c r="P146" s="64"/>
      <c r="Q146" s="64"/>
      <c r="R146" s="28"/>
      <c r="S146" s="63"/>
      <c r="T146" s="64"/>
      <c r="U146" s="63"/>
      <c r="V146" s="64"/>
      <c r="W146" s="28"/>
      <c r="X146" s="65" t="str">
        <f aca="false">IF($A146="","",IF(OR($T146&lt;&gt;"",$U146&lt;&gt;""),"Closed",IFERROR(INDEX(MapStage,MATCH($C146,MapStatus,0)),"Unmapped")))</f>
        <v/>
      </c>
      <c r="Y146" s="65" t="str">
        <f aca="false">IF(OR($X146="",$X146="Closed",$X146="Unmapped"),"",MATCH($X146,StageName,0))</f>
        <v/>
      </c>
      <c r="Z146" s="65" t="str">
        <f aca="false">IF(OR($Y146="",$I146=""),"",$I146-AsOf)</f>
        <v/>
      </c>
      <c r="AA146" s="65" t="str">
        <f aca="false">IF($A146="","",AsOf-$H146)</f>
        <v/>
      </c>
      <c r="AB146" s="65" t="str">
        <f aca="false">IF($A146="","",IF($X146="Closed","Closed",IF($X146="Unmapped","Unmapped",IF($I146="","No target",IF($Z146&lt;0,"Overdue",IF($Z146&lt;=INDEX(StageWindow,$Y146),"At risk","On track"))))))</f>
        <v/>
      </c>
      <c r="AC146" s="65" t="str">
        <f aca="false">IF($Y146="","",IF($AA146&gt;2*INDEX(StageStale,$Y146),"Stale",IF($AA146&gt;INDEX(StageStale,$Y146),"Aging","Fresh")))</f>
        <v/>
      </c>
      <c r="AD146" s="65" t="str">
        <f aca="false">IF($A146="","",IF(OR(ISNUMBER(SEARCH("Reg report",$J146)),ISNUMBER(SEARCH("No human review",$J146)),COUNTIF(TierFuncs,$D146)&gt;0),"High",IF(OR(TRIM($J146)&lt;&gt;"",ISNUMBER(SEARCH("revenue",$K146))),"Medium","Low")))</f>
        <v/>
      </c>
      <c r="AE146" s="65" t="str">
        <f aca="false">IF($A146="","",INDEX(TierDays,MATCH($AD146,TierName,0)))</f>
        <v/>
      </c>
      <c r="AF146" s="65" t="str">
        <f aca="false">IF($A146="","",AsOf-$G146)</f>
        <v/>
      </c>
      <c r="AG146" s="65" t="str">
        <f aca="false">IF($Y146="","",IF($Y146&lt;=5,IF($AF146&gt;$AE146,"Over","Inside"),"Past approval"))</f>
        <v/>
      </c>
      <c r="AH146" s="65" t="str">
        <f aca="false">IF($Y146="","",CHOOSE($Y146,IF(OR(TRIM($F146)="",ISNUMBER(SEARCH("not named",$F146))),"Critical","Good"),IF($O146&lt;&gt;"Y","Critical",IF($Q146&lt;&gt;"Y","Warning","Good")),IF($P146="","Critical",IF($P146="partial","Warning",IF($P146="ready","Good","Critical"))),IF($R146&lt;&gt;"","Critical","Warning"),IF($L146="","Critical",IF($N146="","Warning","Good")),IF($R146&lt;&gt;"","Critical","Warning"),IF($R146&lt;&gt;"","Critical","Warning"),IF($Q146="Y","Good","Critical")))</f>
        <v/>
      </c>
      <c r="AI146" s="65" t="str">
        <f aca="false">IF($Y146="","",CHOOSE($Y146,IF(OR(TRIM($F146)="",ISNUMBER(SEARCH("not named",$F146))),"Name a sponsor accountable for the value",""),IF($O146&lt;&gt;"Y","State the success metric and the stop condition",IF($Q146&lt;&gt;"Y","Set the baseline the benefit will be measured against","")),IF($P146="","Assess data readiness and regulatory impact",IF($P146="partial","Close the known data gaps",IF($P146="ready","","Data is not available; reshape or park"))),IF($R146&lt;&gt;"",IF(OR(ISNUMBER(SEARCH("mrm",$R146)),ISNUMBER(SEARCH("model",$R146)),ISNUMBER(SEARCH("risk",$R146)),ISNUMBER(SEARCH("legal",$R146)),ISNUMBER(SEARCH("complian",$R146))),"Awaiting ","Held at the design gate: ")&amp;$R146,"Map the governance framework for its tier"),IF($L146="","Size the annual benefit",IF($N146="","Score it so it can be ranked against capacity","")),IF($R146&lt;&gt;"","Build held: "&amp;$R146,"In build, not yet through test"),IF($R146&lt;&gt;"","Not ready to scale: "&amp;$R146,"Monitoring and third-party review not yet signed off"),IF($Q146="Y","","Live without a measured baseline to judge it against")))</f>
        <v/>
      </c>
      <c r="AJ146" s="65" t="str">
        <f aca="false">IF($Y146="","",INDEX(StageForum,$Y146))</f>
        <v/>
      </c>
      <c r="AK146" s="65" t="str">
        <f aca="false">IF($Y146="","",IF(OR($X146="Delivery",$X146="Value"),"Committed",IF($N146&lt;&gt;"","Candidate","")))</f>
        <v/>
      </c>
      <c r="AL146" s="65" t="str">
        <f aca="false">IF($AK146&lt;&gt;"Candidate","",COUNTIFS($AK$2:$AK$501,"Candidate",$N$2:$N$501,"&gt;"&amp;$N146)+COUNTIFS($AK$2:$AK$501,"Candidate",$N$2:$N$501,$N146,$A$2:$A$501,"&lt;"&amp;$A146)+1)</f>
        <v/>
      </c>
      <c r="AM146" s="65" t="str">
        <f aca="false">IF($AL146="","",SUMIFS($M$2:$M$501,$AK$2:$AK$501,"Candidate",$AL$2:$AL$501,"&lt;="&amp;$AL146))</f>
        <v/>
      </c>
      <c r="AN146" s="65" t="str">
        <f aca="false">IF($AL146="","",IF($AM146&lt;=CapacityOpen,"Fits","Below line"))</f>
        <v/>
      </c>
      <c r="AO146" s="65" t="str">
        <f aca="false">IF($A146="","",IF($X146="Closed","",IF($X146="Unmapped","Warning",IF(OR($AB146="Overdue",$V146="Y",$AH146="Critical"),"Critical",IF(OR($AB146="At risk",$AC146="Stale",$AG146="Over"),"Warning","")))))</f>
        <v/>
      </c>
      <c r="AP146" s="65" t="str">
        <f aca="false">IF($AO146="","",IF($AO146="Critical",3000,2000)-IF($Z146="",0,$Z146)+ROW()/100000)</f>
        <v/>
      </c>
      <c r="AQ146" s="65" t="str">
        <f aca="false">IF($AO146="","",IF($X146="Unmapped","Status '"&amp;$C146&amp;"' is not in the Config map",IF($V146="Y","Flagged in Jira",IF($AB146="Overdue",-$Z146&amp;" days past its "&amp;$X146&amp;" target",IF($AH146="Critical",$AI146,IF($AB146="At risk","Target in "&amp;$Z146&amp;" days",IF($AC146="Stale","No update in "&amp;$AA146&amp;" days","Past its "&amp;$AE146&amp;"-day tier window")))))))</f>
        <v/>
      </c>
      <c r="AR146" s="65" t="str">
        <f aca="false">IF($AO146="","","draft Jira update for "&amp;$A146)</f>
        <v/>
      </c>
      <c r="AS146" s="65" t="str">
        <f aca="false">IF($A146="","",HYPERLINK(JiraSite&amp;"/browse/"&amp;$A146,"open"))</f>
        <v/>
      </c>
      <c r="AT146" s="65" t="str">
        <f aca="false">IF($Y146="","",$Y146*1000+ROW())</f>
        <v/>
      </c>
      <c r="AU146" s="65" t="str">
        <f aca="false">IF(AND($A146&lt;&gt;"",$G146&gt;=WeekStart),$G146+ROW()/100000,"")</f>
        <v/>
      </c>
      <c r="AV146" s="65" t="str">
        <f aca="false">IF($A146="","",IF(OR(AND($S146&lt;&gt;"",$S146&gt;=WeekStart),AND($U146&lt;&gt;"",$U146&gt;=WeekStart)),MAX($S146,$U146)+ROW()/100000,""))</f>
        <v/>
      </c>
      <c r="AW146" s="65" t="str">
        <f aca="false">IF($AV146="","",IF($T146&lt;&gt;"",$T146,IF($X146="Closed","Closed","Accepted to "&amp;$X146)))</f>
        <v/>
      </c>
      <c r="AX146" s="65" t="str">
        <f aca="false">IF(AND($Y146&lt;&gt;"",$R146&lt;&gt;""),$AF146+ROW()/100000,"")</f>
        <v/>
      </c>
      <c r="AY146" s="65" t="str">
        <f aca="false">IF(AND($Y146&lt;&gt;"",OR($AB146="Overdue",AND($AH146="Critical",$R146&lt;&gt;""))),$AF146+ROW()/100000,"")</f>
        <v/>
      </c>
      <c r="AZ146" s="65" t="str">
        <f aca="false">IF($AH146="Critical",$AF146+ROW()/100000,"")</f>
        <v/>
      </c>
    </row>
    <row r="147" customFormat="false" ht="15" hidden="false" customHeight="false" outlineLevel="0" collapsed="false">
      <c r="A147" s="28"/>
      <c r="B147" s="28"/>
      <c r="C147" s="28"/>
      <c r="D147" s="28"/>
      <c r="E147" s="28"/>
      <c r="F147" s="28"/>
      <c r="G147" s="63"/>
      <c r="H147" s="63"/>
      <c r="I147" s="63"/>
      <c r="J147" s="28"/>
      <c r="K147" s="28"/>
      <c r="L147" s="28"/>
      <c r="M147" s="28"/>
      <c r="N147" s="28"/>
      <c r="O147" s="64"/>
      <c r="P147" s="64"/>
      <c r="Q147" s="64"/>
      <c r="R147" s="28"/>
      <c r="S147" s="63"/>
      <c r="T147" s="64"/>
      <c r="U147" s="63"/>
      <c r="V147" s="64"/>
      <c r="W147" s="28"/>
      <c r="X147" s="65" t="str">
        <f aca="false">IF($A147="","",IF(OR($T147&lt;&gt;"",$U147&lt;&gt;""),"Closed",IFERROR(INDEX(MapStage,MATCH($C147,MapStatus,0)),"Unmapped")))</f>
        <v/>
      </c>
      <c r="Y147" s="65" t="str">
        <f aca="false">IF(OR($X147="",$X147="Closed",$X147="Unmapped"),"",MATCH($X147,StageName,0))</f>
        <v/>
      </c>
      <c r="Z147" s="65" t="str">
        <f aca="false">IF(OR($Y147="",$I147=""),"",$I147-AsOf)</f>
        <v/>
      </c>
      <c r="AA147" s="65" t="str">
        <f aca="false">IF($A147="","",AsOf-$H147)</f>
        <v/>
      </c>
      <c r="AB147" s="65" t="str">
        <f aca="false">IF($A147="","",IF($X147="Closed","Closed",IF($X147="Unmapped","Unmapped",IF($I147="","No target",IF($Z147&lt;0,"Overdue",IF($Z147&lt;=INDEX(StageWindow,$Y147),"At risk","On track"))))))</f>
        <v/>
      </c>
      <c r="AC147" s="65" t="str">
        <f aca="false">IF($Y147="","",IF($AA147&gt;2*INDEX(StageStale,$Y147),"Stale",IF($AA147&gt;INDEX(StageStale,$Y147),"Aging","Fresh")))</f>
        <v/>
      </c>
      <c r="AD147" s="65" t="str">
        <f aca="false">IF($A147="","",IF(OR(ISNUMBER(SEARCH("Reg report",$J147)),ISNUMBER(SEARCH("No human review",$J147)),COUNTIF(TierFuncs,$D147)&gt;0),"High",IF(OR(TRIM($J147)&lt;&gt;"",ISNUMBER(SEARCH("revenue",$K147))),"Medium","Low")))</f>
        <v/>
      </c>
      <c r="AE147" s="65" t="str">
        <f aca="false">IF($A147="","",INDEX(TierDays,MATCH($AD147,TierName,0)))</f>
        <v/>
      </c>
      <c r="AF147" s="65" t="str">
        <f aca="false">IF($A147="","",AsOf-$G147)</f>
        <v/>
      </c>
      <c r="AG147" s="65" t="str">
        <f aca="false">IF($Y147="","",IF($Y147&lt;=5,IF($AF147&gt;$AE147,"Over","Inside"),"Past approval"))</f>
        <v/>
      </c>
      <c r="AH147" s="65" t="str">
        <f aca="false">IF($Y147="","",CHOOSE($Y147,IF(OR(TRIM($F147)="",ISNUMBER(SEARCH("not named",$F147))),"Critical","Good"),IF($O147&lt;&gt;"Y","Critical",IF($Q147&lt;&gt;"Y","Warning","Good")),IF($P147="","Critical",IF($P147="partial","Warning",IF($P147="ready","Good","Critical"))),IF($R147&lt;&gt;"","Critical","Warning"),IF($L147="","Critical",IF($N147="","Warning","Good")),IF($R147&lt;&gt;"","Critical","Warning"),IF($R147&lt;&gt;"","Critical","Warning"),IF($Q147="Y","Good","Critical")))</f>
        <v/>
      </c>
      <c r="AI147" s="65" t="str">
        <f aca="false">IF($Y147="","",CHOOSE($Y147,IF(OR(TRIM($F147)="",ISNUMBER(SEARCH("not named",$F147))),"Name a sponsor accountable for the value",""),IF($O147&lt;&gt;"Y","State the success metric and the stop condition",IF($Q147&lt;&gt;"Y","Set the baseline the benefit will be measured against","")),IF($P147="","Assess data readiness and regulatory impact",IF($P147="partial","Close the known data gaps",IF($P147="ready","","Data is not available; reshape or park"))),IF($R147&lt;&gt;"",IF(OR(ISNUMBER(SEARCH("mrm",$R147)),ISNUMBER(SEARCH("model",$R147)),ISNUMBER(SEARCH("risk",$R147)),ISNUMBER(SEARCH("legal",$R147)),ISNUMBER(SEARCH("complian",$R147))),"Awaiting ","Held at the design gate: ")&amp;$R147,"Map the governance framework for its tier"),IF($L147="","Size the annual benefit",IF($N147="","Score it so it can be ranked against capacity","")),IF($R147&lt;&gt;"","Build held: "&amp;$R147,"In build, not yet through test"),IF($R147&lt;&gt;"","Not ready to scale: "&amp;$R147,"Monitoring and third-party review not yet signed off"),IF($Q147="Y","","Live without a measured baseline to judge it against")))</f>
        <v/>
      </c>
      <c r="AJ147" s="65" t="str">
        <f aca="false">IF($Y147="","",INDEX(StageForum,$Y147))</f>
        <v/>
      </c>
      <c r="AK147" s="65" t="str">
        <f aca="false">IF($Y147="","",IF(OR($X147="Delivery",$X147="Value"),"Committed",IF($N147&lt;&gt;"","Candidate","")))</f>
        <v/>
      </c>
      <c r="AL147" s="65" t="str">
        <f aca="false">IF($AK147&lt;&gt;"Candidate","",COUNTIFS($AK$2:$AK$501,"Candidate",$N$2:$N$501,"&gt;"&amp;$N147)+COUNTIFS($AK$2:$AK$501,"Candidate",$N$2:$N$501,$N147,$A$2:$A$501,"&lt;"&amp;$A147)+1)</f>
        <v/>
      </c>
      <c r="AM147" s="65" t="str">
        <f aca="false">IF($AL147="","",SUMIFS($M$2:$M$501,$AK$2:$AK$501,"Candidate",$AL$2:$AL$501,"&lt;="&amp;$AL147))</f>
        <v/>
      </c>
      <c r="AN147" s="65" t="str">
        <f aca="false">IF($AL147="","",IF($AM147&lt;=CapacityOpen,"Fits","Below line"))</f>
        <v/>
      </c>
      <c r="AO147" s="65" t="str">
        <f aca="false">IF($A147="","",IF($X147="Closed","",IF($X147="Unmapped","Warning",IF(OR($AB147="Overdue",$V147="Y",$AH147="Critical"),"Critical",IF(OR($AB147="At risk",$AC147="Stale",$AG147="Over"),"Warning","")))))</f>
        <v/>
      </c>
      <c r="AP147" s="65" t="str">
        <f aca="false">IF($AO147="","",IF($AO147="Critical",3000,2000)-IF($Z147="",0,$Z147)+ROW()/100000)</f>
        <v/>
      </c>
      <c r="AQ147" s="65" t="str">
        <f aca="false">IF($AO147="","",IF($X147="Unmapped","Status '"&amp;$C147&amp;"' is not in the Config map",IF($V147="Y","Flagged in Jira",IF($AB147="Overdue",-$Z147&amp;" days past its "&amp;$X147&amp;" target",IF($AH147="Critical",$AI147,IF($AB147="At risk","Target in "&amp;$Z147&amp;" days",IF($AC147="Stale","No update in "&amp;$AA147&amp;" days","Past its "&amp;$AE147&amp;"-day tier window")))))))</f>
        <v/>
      </c>
      <c r="AR147" s="65" t="str">
        <f aca="false">IF($AO147="","","draft Jira update for "&amp;$A147)</f>
        <v/>
      </c>
      <c r="AS147" s="65" t="str">
        <f aca="false">IF($A147="","",HYPERLINK(JiraSite&amp;"/browse/"&amp;$A147,"open"))</f>
        <v/>
      </c>
      <c r="AT147" s="65" t="str">
        <f aca="false">IF($Y147="","",$Y147*1000+ROW())</f>
        <v/>
      </c>
      <c r="AU147" s="65" t="str">
        <f aca="false">IF(AND($A147&lt;&gt;"",$G147&gt;=WeekStart),$G147+ROW()/100000,"")</f>
        <v/>
      </c>
      <c r="AV147" s="65" t="str">
        <f aca="false">IF($A147="","",IF(OR(AND($S147&lt;&gt;"",$S147&gt;=WeekStart),AND($U147&lt;&gt;"",$U147&gt;=WeekStart)),MAX($S147,$U147)+ROW()/100000,""))</f>
        <v/>
      </c>
      <c r="AW147" s="65" t="str">
        <f aca="false">IF($AV147="","",IF($T147&lt;&gt;"",$T147,IF($X147="Closed","Closed","Accepted to "&amp;$X147)))</f>
        <v/>
      </c>
      <c r="AX147" s="65" t="str">
        <f aca="false">IF(AND($Y147&lt;&gt;"",$R147&lt;&gt;""),$AF147+ROW()/100000,"")</f>
        <v/>
      </c>
      <c r="AY147" s="65" t="str">
        <f aca="false">IF(AND($Y147&lt;&gt;"",OR($AB147="Overdue",AND($AH147="Critical",$R147&lt;&gt;""))),$AF147+ROW()/100000,"")</f>
        <v/>
      </c>
      <c r="AZ147" s="65" t="str">
        <f aca="false">IF($AH147="Critical",$AF147+ROW()/100000,"")</f>
        <v/>
      </c>
    </row>
    <row r="148" customFormat="false" ht="15" hidden="false" customHeight="false" outlineLevel="0" collapsed="false">
      <c r="A148" s="28"/>
      <c r="B148" s="28"/>
      <c r="C148" s="28"/>
      <c r="D148" s="28"/>
      <c r="E148" s="28"/>
      <c r="F148" s="28"/>
      <c r="G148" s="63"/>
      <c r="H148" s="63"/>
      <c r="I148" s="63"/>
      <c r="J148" s="28"/>
      <c r="K148" s="28"/>
      <c r="L148" s="28"/>
      <c r="M148" s="28"/>
      <c r="N148" s="28"/>
      <c r="O148" s="64"/>
      <c r="P148" s="64"/>
      <c r="Q148" s="64"/>
      <c r="R148" s="28"/>
      <c r="S148" s="63"/>
      <c r="T148" s="64"/>
      <c r="U148" s="63"/>
      <c r="V148" s="64"/>
      <c r="W148" s="28"/>
      <c r="X148" s="65" t="str">
        <f aca="false">IF($A148="","",IF(OR($T148&lt;&gt;"",$U148&lt;&gt;""),"Closed",IFERROR(INDEX(MapStage,MATCH($C148,MapStatus,0)),"Unmapped")))</f>
        <v/>
      </c>
      <c r="Y148" s="65" t="str">
        <f aca="false">IF(OR($X148="",$X148="Closed",$X148="Unmapped"),"",MATCH($X148,StageName,0))</f>
        <v/>
      </c>
      <c r="Z148" s="65" t="str">
        <f aca="false">IF(OR($Y148="",$I148=""),"",$I148-AsOf)</f>
        <v/>
      </c>
      <c r="AA148" s="65" t="str">
        <f aca="false">IF($A148="","",AsOf-$H148)</f>
        <v/>
      </c>
      <c r="AB148" s="65" t="str">
        <f aca="false">IF($A148="","",IF($X148="Closed","Closed",IF($X148="Unmapped","Unmapped",IF($I148="","No target",IF($Z148&lt;0,"Overdue",IF($Z148&lt;=INDEX(StageWindow,$Y148),"At risk","On track"))))))</f>
        <v/>
      </c>
      <c r="AC148" s="65" t="str">
        <f aca="false">IF($Y148="","",IF($AA148&gt;2*INDEX(StageStale,$Y148),"Stale",IF($AA148&gt;INDEX(StageStale,$Y148),"Aging","Fresh")))</f>
        <v/>
      </c>
      <c r="AD148" s="65" t="str">
        <f aca="false">IF($A148="","",IF(OR(ISNUMBER(SEARCH("Reg report",$J148)),ISNUMBER(SEARCH("No human review",$J148)),COUNTIF(TierFuncs,$D148)&gt;0),"High",IF(OR(TRIM($J148)&lt;&gt;"",ISNUMBER(SEARCH("revenue",$K148))),"Medium","Low")))</f>
        <v/>
      </c>
      <c r="AE148" s="65" t="str">
        <f aca="false">IF($A148="","",INDEX(TierDays,MATCH($AD148,TierName,0)))</f>
        <v/>
      </c>
      <c r="AF148" s="65" t="str">
        <f aca="false">IF($A148="","",AsOf-$G148)</f>
        <v/>
      </c>
      <c r="AG148" s="65" t="str">
        <f aca="false">IF($Y148="","",IF($Y148&lt;=5,IF($AF148&gt;$AE148,"Over","Inside"),"Past approval"))</f>
        <v/>
      </c>
      <c r="AH148" s="65" t="str">
        <f aca="false">IF($Y148="","",CHOOSE($Y148,IF(OR(TRIM($F148)="",ISNUMBER(SEARCH("not named",$F148))),"Critical","Good"),IF($O148&lt;&gt;"Y","Critical",IF($Q148&lt;&gt;"Y","Warning","Good")),IF($P148="","Critical",IF($P148="partial","Warning",IF($P148="ready","Good","Critical"))),IF($R148&lt;&gt;"","Critical","Warning"),IF($L148="","Critical",IF($N148="","Warning","Good")),IF($R148&lt;&gt;"","Critical","Warning"),IF($R148&lt;&gt;"","Critical","Warning"),IF($Q148="Y","Good","Critical")))</f>
        <v/>
      </c>
      <c r="AI148" s="65" t="str">
        <f aca="false">IF($Y148="","",CHOOSE($Y148,IF(OR(TRIM($F148)="",ISNUMBER(SEARCH("not named",$F148))),"Name a sponsor accountable for the value",""),IF($O148&lt;&gt;"Y","State the success metric and the stop condition",IF($Q148&lt;&gt;"Y","Set the baseline the benefit will be measured against","")),IF($P148="","Assess data readiness and regulatory impact",IF($P148="partial","Close the known data gaps",IF($P148="ready","","Data is not available; reshape or park"))),IF($R148&lt;&gt;"",IF(OR(ISNUMBER(SEARCH("mrm",$R148)),ISNUMBER(SEARCH("model",$R148)),ISNUMBER(SEARCH("risk",$R148)),ISNUMBER(SEARCH("legal",$R148)),ISNUMBER(SEARCH("complian",$R148))),"Awaiting ","Held at the design gate: ")&amp;$R148,"Map the governance framework for its tier"),IF($L148="","Size the annual benefit",IF($N148="","Score it so it can be ranked against capacity","")),IF($R148&lt;&gt;"","Build held: "&amp;$R148,"In build, not yet through test"),IF($R148&lt;&gt;"","Not ready to scale: "&amp;$R148,"Monitoring and third-party review not yet signed off"),IF($Q148="Y","","Live without a measured baseline to judge it against")))</f>
        <v/>
      </c>
      <c r="AJ148" s="65" t="str">
        <f aca="false">IF($Y148="","",INDEX(StageForum,$Y148))</f>
        <v/>
      </c>
      <c r="AK148" s="65" t="str">
        <f aca="false">IF($Y148="","",IF(OR($X148="Delivery",$X148="Value"),"Committed",IF($N148&lt;&gt;"","Candidate","")))</f>
        <v/>
      </c>
      <c r="AL148" s="65" t="str">
        <f aca="false">IF($AK148&lt;&gt;"Candidate","",COUNTIFS($AK$2:$AK$501,"Candidate",$N$2:$N$501,"&gt;"&amp;$N148)+COUNTIFS($AK$2:$AK$501,"Candidate",$N$2:$N$501,$N148,$A$2:$A$501,"&lt;"&amp;$A148)+1)</f>
        <v/>
      </c>
      <c r="AM148" s="65" t="str">
        <f aca="false">IF($AL148="","",SUMIFS($M$2:$M$501,$AK$2:$AK$501,"Candidate",$AL$2:$AL$501,"&lt;="&amp;$AL148))</f>
        <v/>
      </c>
      <c r="AN148" s="65" t="str">
        <f aca="false">IF($AL148="","",IF($AM148&lt;=CapacityOpen,"Fits","Below line"))</f>
        <v/>
      </c>
      <c r="AO148" s="65" t="str">
        <f aca="false">IF($A148="","",IF($X148="Closed","",IF($X148="Unmapped","Warning",IF(OR($AB148="Overdue",$V148="Y",$AH148="Critical"),"Critical",IF(OR($AB148="At risk",$AC148="Stale",$AG148="Over"),"Warning","")))))</f>
        <v/>
      </c>
      <c r="AP148" s="65" t="str">
        <f aca="false">IF($AO148="","",IF($AO148="Critical",3000,2000)-IF($Z148="",0,$Z148)+ROW()/100000)</f>
        <v/>
      </c>
      <c r="AQ148" s="65" t="str">
        <f aca="false">IF($AO148="","",IF($X148="Unmapped","Status '"&amp;$C148&amp;"' is not in the Config map",IF($V148="Y","Flagged in Jira",IF($AB148="Overdue",-$Z148&amp;" days past its "&amp;$X148&amp;" target",IF($AH148="Critical",$AI148,IF($AB148="At risk","Target in "&amp;$Z148&amp;" days",IF($AC148="Stale","No update in "&amp;$AA148&amp;" days","Past its "&amp;$AE148&amp;"-day tier window")))))))</f>
        <v/>
      </c>
      <c r="AR148" s="65" t="str">
        <f aca="false">IF($AO148="","","draft Jira update for "&amp;$A148)</f>
        <v/>
      </c>
      <c r="AS148" s="65" t="str">
        <f aca="false">IF($A148="","",HYPERLINK(JiraSite&amp;"/browse/"&amp;$A148,"open"))</f>
        <v/>
      </c>
      <c r="AT148" s="65" t="str">
        <f aca="false">IF($Y148="","",$Y148*1000+ROW())</f>
        <v/>
      </c>
      <c r="AU148" s="65" t="str">
        <f aca="false">IF(AND($A148&lt;&gt;"",$G148&gt;=WeekStart),$G148+ROW()/100000,"")</f>
        <v/>
      </c>
      <c r="AV148" s="65" t="str">
        <f aca="false">IF($A148="","",IF(OR(AND($S148&lt;&gt;"",$S148&gt;=WeekStart),AND($U148&lt;&gt;"",$U148&gt;=WeekStart)),MAX($S148,$U148)+ROW()/100000,""))</f>
        <v/>
      </c>
      <c r="AW148" s="65" t="str">
        <f aca="false">IF($AV148="","",IF($T148&lt;&gt;"",$T148,IF($X148="Closed","Closed","Accepted to "&amp;$X148)))</f>
        <v/>
      </c>
      <c r="AX148" s="65" t="str">
        <f aca="false">IF(AND($Y148&lt;&gt;"",$R148&lt;&gt;""),$AF148+ROW()/100000,"")</f>
        <v/>
      </c>
      <c r="AY148" s="65" t="str">
        <f aca="false">IF(AND($Y148&lt;&gt;"",OR($AB148="Overdue",AND($AH148="Critical",$R148&lt;&gt;""))),$AF148+ROW()/100000,"")</f>
        <v/>
      </c>
      <c r="AZ148" s="65" t="str">
        <f aca="false">IF($AH148="Critical",$AF148+ROW()/100000,"")</f>
        <v/>
      </c>
    </row>
    <row r="149" customFormat="false" ht="15" hidden="false" customHeight="false" outlineLevel="0" collapsed="false">
      <c r="A149" s="28"/>
      <c r="B149" s="28"/>
      <c r="C149" s="28"/>
      <c r="D149" s="28"/>
      <c r="E149" s="28"/>
      <c r="F149" s="28"/>
      <c r="G149" s="63"/>
      <c r="H149" s="63"/>
      <c r="I149" s="63"/>
      <c r="J149" s="28"/>
      <c r="K149" s="28"/>
      <c r="L149" s="28"/>
      <c r="M149" s="28"/>
      <c r="N149" s="28"/>
      <c r="O149" s="64"/>
      <c r="P149" s="64"/>
      <c r="Q149" s="64"/>
      <c r="R149" s="28"/>
      <c r="S149" s="63"/>
      <c r="T149" s="64"/>
      <c r="U149" s="63"/>
      <c r="V149" s="64"/>
      <c r="W149" s="28"/>
      <c r="X149" s="65" t="str">
        <f aca="false">IF($A149="","",IF(OR($T149&lt;&gt;"",$U149&lt;&gt;""),"Closed",IFERROR(INDEX(MapStage,MATCH($C149,MapStatus,0)),"Unmapped")))</f>
        <v/>
      </c>
      <c r="Y149" s="65" t="str">
        <f aca="false">IF(OR($X149="",$X149="Closed",$X149="Unmapped"),"",MATCH($X149,StageName,0))</f>
        <v/>
      </c>
      <c r="Z149" s="65" t="str">
        <f aca="false">IF(OR($Y149="",$I149=""),"",$I149-AsOf)</f>
        <v/>
      </c>
      <c r="AA149" s="65" t="str">
        <f aca="false">IF($A149="","",AsOf-$H149)</f>
        <v/>
      </c>
      <c r="AB149" s="65" t="str">
        <f aca="false">IF($A149="","",IF($X149="Closed","Closed",IF($X149="Unmapped","Unmapped",IF($I149="","No target",IF($Z149&lt;0,"Overdue",IF($Z149&lt;=INDEX(StageWindow,$Y149),"At risk","On track"))))))</f>
        <v/>
      </c>
      <c r="AC149" s="65" t="str">
        <f aca="false">IF($Y149="","",IF($AA149&gt;2*INDEX(StageStale,$Y149),"Stale",IF($AA149&gt;INDEX(StageStale,$Y149),"Aging","Fresh")))</f>
        <v/>
      </c>
      <c r="AD149" s="65" t="str">
        <f aca="false">IF($A149="","",IF(OR(ISNUMBER(SEARCH("Reg report",$J149)),ISNUMBER(SEARCH("No human review",$J149)),COUNTIF(TierFuncs,$D149)&gt;0),"High",IF(OR(TRIM($J149)&lt;&gt;"",ISNUMBER(SEARCH("revenue",$K149))),"Medium","Low")))</f>
        <v/>
      </c>
      <c r="AE149" s="65" t="str">
        <f aca="false">IF($A149="","",INDEX(TierDays,MATCH($AD149,TierName,0)))</f>
        <v/>
      </c>
      <c r="AF149" s="65" t="str">
        <f aca="false">IF($A149="","",AsOf-$G149)</f>
        <v/>
      </c>
      <c r="AG149" s="65" t="str">
        <f aca="false">IF($Y149="","",IF($Y149&lt;=5,IF($AF149&gt;$AE149,"Over","Inside"),"Past approval"))</f>
        <v/>
      </c>
      <c r="AH149" s="65" t="str">
        <f aca="false">IF($Y149="","",CHOOSE($Y149,IF(OR(TRIM($F149)="",ISNUMBER(SEARCH("not named",$F149))),"Critical","Good"),IF($O149&lt;&gt;"Y","Critical",IF($Q149&lt;&gt;"Y","Warning","Good")),IF($P149="","Critical",IF($P149="partial","Warning",IF($P149="ready","Good","Critical"))),IF($R149&lt;&gt;"","Critical","Warning"),IF($L149="","Critical",IF($N149="","Warning","Good")),IF($R149&lt;&gt;"","Critical","Warning"),IF($R149&lt;&gt;"","Critical","Warning"),IF($Q149="Y","Good","Critical")))</f>
        <v/>
      </c>
      <c r="AI149" s="65" t="str">
        <f aca="false">IF($Y149="","",CHOOSE($Y149,IF(OR(TRIM($F149)="",ISNUMBER(SEARCH("not named",$F149))),"Name a sponsor accountable for the value",""),IF($O149&lt;&gt;"Y","State the success metric and the stop condition",IF($Q149&lt;&gt;"Y","Set the baseline the benefit will be measured against","")),IF($P149="","Assess data readiness and regulatory impact",IF($P149="partial","Close the known data gaps",IF($P149="ready","","Data is not available; reshape or park"))),IF($R149&lt;&gt;"",IF(OR(ISNUMBER(SEARCH("mrm",$R149)),ISNUMBER(SEARCH("model",$R149)),ISNUMBER(SEARCH("risk",$R149)),ISNUMBER(SEARCH("legal",$R149)),ISNUMBER(SEARCH("complian",$R149))),"Awaiting ","Held at the design gate: ")&amp;$R149,"Map the governance framework for its tier"),IF($L149="","Size the annual benefit",IF($N149="","Score it so it can be ranked against capacity","")),IF($R149&lt;&gt;"","Build held: "&amp;$R149,"In build, not yet through test"),IF($R149&lt;&gt;"","Not ready to scale: "&amp;$R149,"Monitoring and third-party review not yet signed off"),IF($Q149="Y","","Live without a measured baseline to judge it against")))</f>
        <v/>
      </c>
      <c r="AJ149" s="65" t="str">
        <f aca="false">IF($Y149="","",INDEX(StageForum,$Y149))</f>
        <v/>
      </c>
      <c r="AK149" s="65" t="str">
        <f aca="false">IF($Y149="","",IF(OR($X149="Delivery",$X149="Value"),"Committed",IF($N149&lt;&gt;"","Candidate","")))</f>
        <v/>
      </c>
      <c r="AL149" s="65" t="str">
        <f aca="false">IF($AK149&lt;&gt;"Candidate","",COUNTIFS($AK$2:$AK$501,"Candidate",$N$2:$N$501,"&gt;"&amp;$N149)+COUNTIFS($AK$2:$AK$501,"Candidate",$N$2:$N$501,$N149,$A$2:$A$501,"&lt;"&amp;$A149)+1)</f>
        <v/>
      </c>
      <c r="AM149" s="65" t="str">
        <f aca="false">IF($AL149="","",SUMIFS($M$2:$M$501,$AK$2:$AK$501,"Candidate",$AL$2:$AL$501,"&lt;="&amp;$AL149))</f>
        <v/>
      </c>
      <c r="AN149" s="65" t="str">
        <f aca="false">IF($AL149="","",IF($AM149&lt;=CapacityOpen,"Fits","Below line"))</f>
        <v/>
      </c>
      <c r="AO149" s="65" t="str">
        <f aca="false">IF($A149="","",IF($X149="Closed","",IF($X149="Unmapped","Warning",IF(OR($AB149="Overdue",$V149="Y",$AH149="Critical"),"Critical",IF(OR($AB149="At risk",$AC149="Stale",$AG149="Over"),"Warning","")))))</f>
        <v/>
      </c>
      <c r="AP149" s="65" t="str">
        <f aca="false">IF($AO149="","",IF($AO149="Critical",3000,2000)-IF($Z149="",0,$Z149)+ROW()/100000)</f>
        <v/>
      </c>
      <c r="AQ149" s="65" t="str">
        <f aca="false">IF($AO149="","",IF($X149="Unmapped","Status '"&amp;$C149&amp;"' is not in the Config map",IF($V149="Y","Flagged in Jira",IF($AB149="Overdue",-$Z149&amp;" days past its "&amp;$X149&amp;" target",IF($AH149="Critical",$AI149,IF($AB149="At risk","Target in "&amp;$Z149&amp;" days",IF($AC149="Stale","No update in "&amp;$AA149&amp;" days","Past its "&amp;$AE149&amp;"-day tier window")))))))</f>
        <v/>
      </c>
      <c r="AR149" s="65" t="str">
        <f aca="false">IF($AO149="","","draft Jira update for "&amp;$A149)</f>
        <v/>
      </c>
      <c r="AS149" s="65" t="str">
        <f aca="false">IF($A149="","",HYPERLINK(JiraSite&amp;"/browse/"&amp;$A149,"open"))</f>
        <v/>
      </c>
      <c r="AT149" s="65" t="str">
        <f aca="false">IF($Y149="","",$Y149*1000+ROW())</f>
        <v/>
      </c>
      <c r="AU149" s="65" t="str">
        <f aca="false">IF(AND($A149&lt;&gt;"",$G149&gt;=WeekStart),$G149+ROW()/100000,"")</f>
        <v/>
      </c>
      <c r="AV149" s="65" t="str">
        <f aca="false">IF($A149="","",IF(OR(AND($S149&lt;&gt;"",$S149&gt;=WeekStart),AND($U149&lt;&gt;"",$U149&gt;=WeekStart)),MAX($S149,$U149)+ROW()/100000,""))</f>
        <v/>
      </c>
      <c r="AW149" s="65" t="str">
        <f aca="false">IF($AV149="","",IF($T149&lt;&gt;"",$T149,IF($X149="Closed","Closed","Accepted to "&amp;$X149)))</f>
        <v/>
      </c>
      <c r="AX149" s="65" t="str">
        <f aca="false">IF(AND($Y149&lt;&gt;"",$R149&lt;&gt;""),$AF149+ROW()/100000,"")</f>
        <v/>
      </c>
      <c r="AY149" s="65" t="str">
        <f aca="false">IF(AND($Y149&lt;&gt;"",OR($AB149="Overdue",AND($AH149="Critical",$R149&lt;&gt;""))),$AF149+ROW()/100000,"")</f>
        <v/>
      </c>
      <c r="AZ149" s="65" t="str">
        <f aca="false">IF($AH149="Critical",$AF149+ROW()/100000,"")</f>
        <v/>
      </c>
    </row>
    <row r="150" customFormat="false" ht="15" hidden="false" customHeight="false" outlineLevel="0" collapsed="false">
      <c r="A150" s="28"/>
      <c r="B150" s="28"/>
      <c r="C150" s="28"/>
      <c r="D150" s="28"/>
      <c r="E150" s="28"/>
      <c r="F150" s="28"/>
      <c r="G150" s="63"/>
      <c r="H150" s="63"/>
      <c r="I150" s="63"/>
      <c r="J150" s="28"/>
      <c r="K150" s="28"/>
      <c r="L150" s="28"/>
      <c r="M150" s="28"/>
      <c r="N150" s="28"/>
      <c r="O150" s="64"/>
      <c r="P150" s="64"/>
      <c r="Q150" s="64"/>
      <c r="R150" s="28"/>
      <c r="S150" s="63"/>
      <c r="T150" s="64"/>
      <c r="U150" s="63"/>
      <c r="V150" s="64"/>
      <c r="W150" s="28"/>
      <c r="X150" s="65" t="str">
        <f aca="false">IF($A150="","",IF(OR($T150&lt;&gt;"",$U150&lt;&gt;""),"Closed",IFERROR(INDEX(MapStage,MATCH($C150,MapStatus,0)),"Unmapped")))</f>
        <v/>
      </c>
      <c r="Y150" s="65" t="str">
        <f aca="false">IF(OR($X150="",$X150="Closed",$X150="Unmapped"),"",MATCH($X150,StageName,0))</f>
        <v/>
      </c>
      <c r="Z150" s="65" t="str">
        <f aca="false">IF(OR($Y150="",$I150=""),"",$I150-AsOf)</f>
        <v/>
      </c>
      <c r="AA150" s="65" t="str">
        <f aca="false">IF($A150="","",AsOf-$H150)</f>
        <v/>
      </c>
      <c r="AB150" s="65" t="str">
        <f aca="false">IF($A150="","",IF($X150="Closed","Closed",IF($X150="Unmapped","Unmapped",IF($I150="","No target",IF($Z150&lt;0,"Overdue",IF($Z150&lt;=INDEX(StageWindow,$Y150),"At risk","On track"))))))</f>
        <v/>
      </c>
      <c r="AC150" s="65" t="str">
        <f aca="false">IF($Y150="","",IF($AA150&gt;2*INDEX(StageStale,$Y150),"Stale",IF($AA150&gt;INDEX(StageStale,$Y150),"Aging","Fresh")))</f>
        <v/>
      </c>
      <c r="AD150" s="65" t="str">
        <f aca="false">IF($A150="","",IF(OR(ISNUMBER(SEARCH("Reg report",$J150)),ISNUMBER(SEARCH("No human review",$J150)),COUNTIF(TierFuncs,$D150)&gt;0),"High",IF(OR(TRIM($J150)&lt;&gt;"",ISNUMBER(SEARCH("revenue",$K150))),"Medium","Low")))</f>
        <v/>
      </c>
      <c r="AE150" s="65" t="str">
        <f aca="false">IF($A150="","",INDEX(TierDays,MATCH($AD150,TierName,0)))</f>
        <v/>
      </c>
      <c r="AF150" s="65" t="str">
        <f aca="false">IF($A150="","",AsOf-$G150)</f>
        <v/>
      </c>
      <c r="AG150" s="65" t="str">
        <f aca="false">IF($Y150="","",IF($Y150&lt;=5,IF($AF150&gt;$AE150,"Over","Inside"),"Past approval"))</f>
        <v/>
      </c>
      <c r="AH150" s="65" t="str">
        <f aca="false">IF($Y150="","",CHOOSE($Y150,IF(OR(TRIM($F150)="",ISNUMBER(SEARCH("not named",$F150))),"Critical","Good"),IF($O150&lt;&gt;"Y","Critical",IF($Q150&lt;&gt;"Y","Warning","Good")),IF($P150="","Critical",IF($P150="partial","Warning",IF($P150="ready","Good","Critical"))),IF($R150&lt;&gt;"","Critical","Warning"),IF($L150="","Critical",IF($N150="","Warning","Good")),IF($R150&lt;&gt;"","Critical","Warning"),IF($R150&lt;&gt;"","Critical","Warning"),IF($Q150="Y","Good","Critical")))</f>
        <v/>
      </c>
      <c r="AI150" s="65" t="str">
        <f aca="false">IF($Y150="","",CHOOSE($Y150,IF(OR(TRIM($F150)="",ISNUMBER(SEARCH("not named",$F150))),"Name a sponsor accountable for the value",""),IF($O150&lt;&gt;"Y","State the success metric and the stop condition",IF($Q150&lt;&gt;"Y","Set the baseline the benefit will be measured against","")),IF($P150="","Assess data readiness and regulatory impact",IF($P150="partial","Close the known data gaps",IF($P150="ready","","Data is not available; reshape or park"))),IF($R150&lt;&gt;"",IF(OR(ISNUMBER(SEARCH("mrm",$R150)),ISNUMBER(SEARCH("model",$R150)),ISNUMBER(SEARCH("risk",$R150)),ISNUMBER(SEARCH("legal",$R150)),ISNUMBER(SEARCH("complian",$R150))),"Awaiting ","Held at the design gate: ")&amp;$R150,"Map the governance framework for its tier"),IF($L150="","Size the annual benefit",IF($N150="","Score it so it can be ranked against capacity","")),IF($R150&lt;&gt;"","Build held: "&amp;$R150,"In build, not yet through test"),IF($R150&lt;&gt;"","Not ready to scale: "&amp;$R150,"Monitoring and third-party review not yet signed off"),IF($Q150="Y","","Live without a measured baseline to judge it against")))</f>
        <v/>
      </c>
      <c r="AJ150" s="65" t="str">
        <f aca="false">IF($Y150="","",INDEX(StageForum,$Y150))</f>
        <v/>
      </c>
      <c r="AK150" s="65" t="str">
        <f aca="false">IF($Y150="","",IF(OR($X150="Delivery",$X150="Value"),"Committed",IF($N150&lt;&gt;"","Candidate","")))</f>
        <v/>
      </c>
      <c r="AL150" s="65" t="str">
        <f aca="false">IF($AK150&lt;&gt;"Candidate","",COUNTIFS($AK$2:$AK$501,"Candidate",$N$2:$N$501,"&gt;"&amp;$N150)+COUNTIFS($AK$2:$AK$501,"Candidate",$N$2:$N$501,$N150,$A$2:$A$501,"&lt;"&amp;$A150)+1)</f>
        <v/>
      </c>
      <c r="AM150" s="65" t="str">
        <f aca="false">IF($AL150="","",SUMIFS($M$2:$M$501,$AK$2:$AK$501,"Candidate",$AL$2:$AL$501,"&lt;="&amp;$AL150))</f>
        <v/>
      </c>
      <c r="AN150" s="65" t="str">
        <f aca="false">IF($AL150="","",IF($AM150&lt;=CapacityOpen,"Fits","Below line"))</f>
        <v/>
      </c>
      <c r="AO150" s="65" t="str">
        <f aca="false">IF($A150="","",IF($X150="Closed","",IF($X150="Unmapped","Warning",IF(OR($AB150="Overdue",$V150="Y",$AH150="Critical"),"Critical",IF(OR($AB150="At risk",$AC150="Stale",$AG150="Over"),"Warning","")))))</f>
        <v/>
      </c>
      <c r="AP150" s="65" t="str">
        <f aca="false">IF($AO150="","",IF($AO150="Critical",3000,2000)-IF($Z150="",0,$Z150)+ROW()/100000)</f>
        <v/>
      </c>
      <c r="AQ150" s="65" t="str">
        <f aca="false">IF($AO150="","",IF($X150="Unmapped","Status '"&amp;$C150&amp;"' is not in the Config map",IF($V150="Y","Flagged in Jira",IF($AB150="Overdue",-$Z150&amp;" days past its "&amp;$X150&amp;" target",IF($AH150="Critical",$AI150,IF($AB150="At risk","Target in "&amp;$Z150&amp;" days",IF($AC150="Stale","No update in "&amp;$AA150&amp;" days","Past its "&amp;$AE150&amp;"-day tier window")))))))</f>
        <v/>
      </c>
      <c r="AR150" s="65" t="str">
        <f aca="false">IF($AO150="","","draft Jira update for "&amp;$A150)</f>
        <v/>
      </c>
      <c r="AS150" s="65" t="str">
        <f aca="false">IF($A150="","",HYPERLINK(JiraSite&amp;"/browse/"&amp;$A150,"open"))</f>
        <v/>
      </c>
      <c r="AT150" s="65" t="str">
        <f aca="false">IF($Y150="","",$Y150*1000+ROW())</f>
        <v/>
      </c>
      <c r="AU150" s="65" t="str">
        <f aca="false">IF(AND($A150&lt;&gt;"",$G150&gt;=WeekStart),$G150+ROW()/100000,"")</f>
        <v/>
      </c>
      <c r="AV150" s="65" t="str">
        <f aca="false">IF($A150="","",IF(OR(AND($S150&lt;&gt;"",$S150&gt;=WeekStart),AND($U150&lt;&gt;"",$U150&gt;=WeekStart)),MAX($S150,$U150)+ROW()/100000,""))</f>
        <v/>
      </c>
      <c r="AW150" s="65" t="str">
        <f aca="false">IF($AV150="","",IF($T150&lt;&gt;"",$T150,IF($X150="Closed","Closed","Accepted to "&amp;$X150)))</f>
        <v/>
      </c>
      <c r="AX150" s="65" t="str">
        <f aca="false">IF(AND($Y150&lt;&gt;"",$R150&lt;&gt;""),$AF150+ROW()/100000,"")</f>
        <v/>
      </c>
      <c r="AY150" s="65" t="str">
        <f aca="false">IF(AND($Y150&lt;&gt;"",OR($AB150="Overdue",AND($AH150="Critical",$R150&lt;&gt;""))),$AF150+ROW()/100000,"")</f>
        <v/>
      </c>
      <c r="AZ150" s="65" t="str">
        <f aca="false">IF($AH150="Critical",$AF150+ROW()/100000,"")</f>
        <v/>
      </c>
    </row>
    <row r="151" customFormat="false" ht="15" hidden="false" customHeight="false" outlineLevel="0" collapsed="false">
      <c r="A151" s="28"/>
      <c r="B151" s="28"/>
      <c r="C151" s="28"/>
      <c r="D151" s="28"/>
      <c r="E151" s="28"/>
      <c r="F151" s="28"/>
      <c r="G151" s="63"/>
      <c r="H151" s="63"/>
      <c r="I151" s="63"/>
      <c r="J151" s="28"/>
      <c r="K151" s="28"/>
      <c r="L151" s="28"/>
      <c r="M151" s="28"/>
      <c r="N151" s="28"/>
      <c r="O151" s="64"/>
      <c r="P151" s="64"/>
      <c r="Q151" s="64"/>
      <c r="R151" s="28"/>
      <c r="S151" s="63"/>
      <c r="T151" s="64"/>
      <c r="U151" s="63"/>
      <c r="V151" s="64"/>
      <c r="W151" s="28"/>
      <c r="X151" s="65" t="str">
        <f aca="false">IF($A151="","",IF(OR($T151&lt;&gt;"",$U151&lt;&gt;""),"Closed",IFERROR(INDEX(MapStage,MATCH($C151,MapStatus,0)),"Unmapped")))</f>
        <v/>
      </c>
      <c r="Y151" s="65" t="str">
        <f aca="false">IF(OR($X151="",$X151="Closed",$X151="Unmapped"),"",MATCH($X151,StageName,0))</f>
        <v/>
      </c>
      <c r="Z151" s="65" t="str">
        <f aca="false">IF(OR($Y151="",$I151=""),"",$I151-AsOf)</f>
        <v/>
      </c>
      <c r="AA151" s="65" t="str">
        <f aca="false">IF($A151="","",AsOf-$H151)</f>
        <v/>
      </c>
      <c r="AB151" s="65" t="str">
        <f aca="false">IF($A151="","",IF($X151="Closed","Closed",IF($X151="Unmapped","Unmapped",IF($I151="","No target",IF($Z151&lt;0,"Overdue",IF($Z151&lt;=INDEX(StageWindow,$Y151),"At risk","On track"))))))</f>
        <v/>
      </c>
      <c r="AC151" s="65" t="str">
        <f aca="false">IF($Y151="","",IF($AA151&gt;2*INDEX(StageStale,$Y151),"Stale",IF($AA151&gt;INDEX(StageStale,$Y151),"Aging","Fresh")))</f>
        <v/>
      </c>
      <c r="AD151" s="65" t="str">
        <f aca="false">IF($A151="","",IF(OR(ISNUMBER(SEARCH("Reg report",$J151)),ISNUMBER(SEARCH("No human review",$J151)),COUNTIF(TierFuncs,$D151)&gt;0),"High",IF(OR(TRIM($J151)&lt;&gt;"",ISNUMBER(SEARCH("revenue",$K151))),"Medium","Low")))</f>
        <v/>
      </c>
      <c r="AE151" s="65" t="str">
        <f aca="false">IF($A151="","",INDEX(TierDays,MATCH($AD151,TierName,0)))</f>
        <v/>
      </c>
      <c r="AF151" s="65" t="str">
        <f aca="false">IF($A151="","",AsOf-$G151)</f>
        <v/>
      </c>
      <c r="AG151" s="65" t="str">
        <f aca="false">IF($Y151="","",IF($Y151&lt;=5,IF($AF151&gt;$AE151,"Over","Inside"),"Past approval"))</f>
        <v/>
      </c>
      <c r="AH151" s="65" t="str">
        <f aca="false">IF($Y151="","",CHOOSE($Y151,IF(OR(TRIM($F151)="",ISNUMBER(SEARCH("not named",$F151))),"Critical","Good"),IF($O151&lt;&gt;"Y","Critical",IF($Q151&lt;&gt;"Y","Warning","Good")),IF($P151="","Critical",IF($P151="partial","Warning",IF($P151="ready","Good","Critical"))),IF($R151&lt;&gt;"","Critical","Warning"),IF($L151="","Critical",IF($N151="","Warning","Good")),IF($R151&lt;&gt;"","Critical","Warning"),IF($R151&lt;&gt;"","Critical","Warning"),IF($Q151="Y","Good","Critical")))</f>
        <v/>
      </c>
      <c r="AI151" s="65" t="str">
        <f aca="false">IF($Y151="","",CHOOSE($Y151,IF(OR(TRIM($F151)="",ISNUMBER(SEARCH("not named",$F151))),"Name a sponsor accountable for the value",""),IF($O151&lt;&gt;"Y","State the success metric and the stop condition",IF($Q151&lt;&gt;"Y","Set the baseline the benefit will be measured against","")),IF($P151="","Assess data readiness and regulatory impact",IF($P151="partial","Close the known data gaps",IF($P151="ready","","Data is not available; reshape or park"))),IF($R151&lt;&gt;"",IF(OR(ISNUMBER(SEARCH("mrm",$R151)),ISNUMBER(SEARCH("model",$R151)),ISNUMBER(SEARCH("risk",$R151)),ISNUMBER(SEARCH("legal",$R151)),ISNUMBER(SEARCH("complian",$R151))),"Awaiting ","Held at the design gate: ")&amp;$R151,"Map the governance framework for its tier"),IF($L151="","Size the annual benefit",IF($N151="","Score it so it can be ranked against capacity","")),IF($R151&lt;&gt;"","Build held: "&amp;$R151,"In build, not yet through test"),IF($R151&lt;&gt;"","Not ready to scale: "&amp;$R151,"Monitoring and third-party review not yet signed off"),IF($Q151="Y","","Live without a measured baseline to judge it against")))</f>
        <v/>
      </c>
      <c r="AJ151" s="65" t="str">
        <f aca="false">IF($Y151="","",INDEX(StageForum,$Y151))</f>
        <v/>
      </c>
      <c r="AK151" s="65" t="str">
        <f aca="false">IF($Y151="","",IF(OR($X151="Delivery",$X151="Value"),"Committed",IF($N151&lt;&gt;"","Candidate","")))</f>
        <v/>
      </c>
      <c r="AL151" s="65" t="str">
        <f aca="false">IF($AK151&lt;&gt;"Candidate","",COUNTIFS($AK$2:$AK$501,"Candidate",$N$2:$N$501,"&gt;"&amp;$N151)+COUNTIFS($AK$2:$AK$501,"Candidate",$N$2:$N$501,$N151,$A$2:$A$501,"&lt;"&amp;$A151)+1)</f>
        <v/>
      </c>
      <c r="AM151" s="65" t="str">
        <f aca="false">IF($AL151="","",SUMIFS($M$2:$M$501,$AK$2:$AK$501,"Candidate",$AL$2:$AL$501,"&lt;="&amp;$AL151))</f>
        <v/>
      </c>
      <c r="AN151" s="65" t="str">
        <f aca="false">IF($AL151="","",IF($AM151&lt;=CapacityOpen,"Fits","Below line"))</f>
        <v/>
      </c>
      <c r="AO151" s="65" t="str">
        <f aca="false">IF($A151="","",IF($X151="Closed","",IF($X151="Unmapped","Warning",IF(OR($AB151="Overdue",$V151="Y",$AH151="Critical"),"Critical",IF(OR($AB151="At risk",$AC151="Stale",$AG151="Over"),"Warning","")))))</f>
        <v/>
      </c>
      <c r="AP151" s="65" t="str">
        <f aca="false">IF($AO151="","",IF($AO151="Critical",3000,2000)-IF($Z151="",0,$Z151)+ROW()/100000)</f>
        <v/>
      </c>
      <c r="AQ151" s="65" t="str">
        <f aca="false">IF($AO151="","",IF($X151="Unmapped","Status '"&amp;$C151&amp;"' is not in the Config map",IF($V151="Y","Flagged in Jira",IF($AB151="Overdue",-$Z151&amp;" days past its "&amp;$X151&amp;" target",IF($AH151="Critical",$AI151,IF($AB151="At risk","Target in "&amp;$Z151&amp;" days",IF($AC151="Stale","No update in "&amp;$AA151&amp;" days","Past its "&amp;$AE151&amp;"-day tier window")))))))</f>
        <v/>
      </c>
      <c r="AR151" s="65" t="str">
        <f aca="false">IF($AO151="","","draft Jira update for "&amp;$A151)</f>
        <v/>
      </c>
      <c r="AS151" s="65" t="str">
        <f aca="false">IF($A151="","",HYPERLINK(JiraSite&amp;"/browse/"&amp;$A151,"open"))</f>
        <v/>
      </c>
      <c r="AT151" s="65" t="str">
        <f aca="false">IF($Y151="","",$Y151*1000+ROW())</f>
        <v/>
      </c>
      <c r="AU151" s="65" t="str">
        <f aca="false">IF(AND($A151&lt;&gt;"",$G151&gt;=WeekStart),$G151+ROW()/100000,"")</f>
        <v/>
      </c>
      <c r="AV151" s="65" t="str">
        <f aca="false">IF($A151="","",IF(OR(AND($S151&lt;&gt;"",$S151&gt;=WeekStart),AND($U151&lt;&gt;"",$U151&gt;=WeekStart)),MAX($S151,$U151)+ROW()/100000,""))</f>
        <v/>
      </c>
      <c r="AW151" s="65" t="str">
        <f aca="false">IF($AV151="","",IF($T151&lt;&gt;"",$T151,IF($X151="Closed","Closed","Accepted to "&amp;$X151)))</f>
        <v/>
      </c>
      <c r="AX151" s="65" t="str">
        <f aca="false">IF(AND($Y151&lt;&gt;"",$R151&lt;&gt;""),$AF151+ROW()/100000,"")</f>
        <v/>
      </c>
      <c r="AY151" s="65" t="str">
        <f aca="false">IF(AND($Y151&lt;&gt;"",OR($AB151="Overdue",AND($AH151="Critical",$R151&lt;&gt;""))),$AF151+ROW()/100000,"")</f>
        <v/>
      </c>
      <c r="AZ151" s="65" t="str">
        <f aca="false">IF($AH151="Critical",$AF151+ROW()/100000,"")</f>
        <v/>
      </c>
    </row>
    <row r="152" customFormat="false" ht="15" hidden="false" customHeight="false" outlineLevel="0" collapsed="false">
      <c r="A152" s="28"/>
      <c r="B152" s="28"/>
      <c r="C152" s="28"/>
      <c r="D152" s="28"/>
      <c r="E152" s="28"/>
      <c r="F152" s="28"/>
      <c r="G152" s="63"/>
      <c r="H152" s="63"/>
      <c r="I152" s="63"/>
      <c r="J152" s="28"/>
      <c r="K152" s="28"/>
      <c r="L152" s="28"/>
      <c r="M152" s="28"/>
      <c r="N152" s="28"/>
      <c r="O152" s="64"/>
      <c r="P152" s="64"/>
      <c r="Q152" s="64"/>
      <c r="R152" s="28"/>
      <c r="S152" s="63"/>
      <c r="T152" s="64"/>
      <c r="U152" s="63"/>
      <c r="V152" s="64"/>
      <c r="W152" s="28"/>
      <c r="X152" s="65" t="str">
        <f aca="false">IF($A152="","",IF(OR($T152&lt;&gt;"",$U152&lt;&gt;""),"Closed",IFERROR(INDEX(MapStage,MATCH($C152,MapStatus,0)),"Unmapped")))</f>
        <v/>
      </c>
      <c r="Y152" s="65" t="str">
        <f aca="false">IF(OR($X152="",$X152="Closed",$X152="Unmapped"),"",MATCH($X152,StageName,0))</f>
        <v/>
      </c>
      <c r="Z152" s="65" t="str">
        <f aca="false">IF(OR($Y152="",$I152=""),"",$I152-AsOf)</f>
        <v/>
      </c>
      <c r="AA152" s="65" t="str">
        <f aca="false">IF($A152="","",AsOf-$H152)</f>
        <v/>
      </c>
      <c r="AB152" s="65" t="str">
        <f aca="false">IF($A152="","",IF($X152="Closed","Closed",IF($X152="Unmapped","Unmapped",IF($I152="","No target",IF($Z152&lt;0,"Overdue",IF($Z152&lt;=INDEX(StageWindow,$Y152),"At risk","On track"))))))</f>
        <v/>
      </c>
      <c r="AC152" s="65" t="str">
        <f aca="false">IF($Y152="","",IF($AA152&gt;2*INDEX(StageStale,$Y152),"Stale",IF($AA152&gt;INDEX(StageStale,$Y152),"Aging","Fresh")))</f>
        <v/>
      </c>
      <c r="AD152" s="65" t="str">
        <f aca="false">IF($A152="","",IF(OR(ISNUMBER(SEARCH("Reg report",$J152)),ISNUMBER(SEARCH("No human review",$J152)),COUNTIF(TierFuncs,$D152)&gt;0),"High",IF(OR(TRIM($J152)&lt;&gt;"",ISNUMBER(SEARCH("revenue",$K152))),"Medium","Low")))</f>
        <v/>
      </c>
      <c r="AE152" s="65" t="str">
        <f aca="false">IF($A152="","",INDEX(TierDays,MATCH($AD152,TierName,0)))</f>
        <v/>
      </c>
      <c r="AF152" s="65" t="str">
        <f aca="false">IF($A152="","",AsOf-$G152)</f>
        <v/>
      </c>
      <c r="AG152" s="65" t="str">
        <f aca="false">IF($Y152="","",IF($Y152&lt;=5,IF($AF152&gt;$AE152,"Over","Inside"),"Past approval"))</f>
        <v/>
      </c>
      <c r="AH152" s="65" t="str">
        <f aca="false">IF($Y152="","",CHOOSE($Y152,IF(OR(TRIM($F152)="",ISNUMBER(SEARCH("not named",$F152))),"Critical","Good"),IF($O152&lt;&gt;"Y","Critical",IF($Q152&lt;&gt;"Y","Warning","Good")),IF($P152="","Critical",IF($P152="partial","Warning",IF($P152="ready","Good","Critical"))),IF($R152&lt;&gt;"","Critical","Warning"),IF($L152="","Critical",IF($N152="","Warning","Good")),IF($R152&lt;&gt;"","Critical","Warning"),IF($R152&lt;&gt;"","Critical","Warning"),IF($Q152="Y","Good","Critical")))</f>
        <v/>
      </c>
      <c r="AI152" s="65" t="str">
        <f aca="false">IF($Y152="","",CHOOSE($Y152,IF(OR(TRIM($F152)="",ISNUMBER(SEARCH("not named",$F152))),"Name a sponsor accountable for the value",""),IF($O152&lt;&gt;"Y","State the success metric and the stop condition",IF($Q152&lt;&gt;"Y","Set the baseline the benefit will be measured against","")),IF($P152="","Assess data readiness and regulatory impact",IF($P152="partial","Close the known data gaps",IF($P152="ready","","Data is not available; reshape or park"))),IF($R152&lt;&gt;"",IF(OR(ISNUMBER(SEARCH("mrm",$R152)),ISNUMBER(SEARCH("model",$R152)),ISNUMBER(SEARCH("risk",$R152)),ISNUMBER(SEARCH("legal",$R152)),ISNUMBER(SEARCH("complian",$R152))),"Awaiting ","Held at the design gate: ")&amp;$R152,"Map the governance framework for its tier"),IF($L152="","Size the annual benefit",IF($N152="","Score it so it can be ranked against capacity","")),IF($R152&lt;&gt;"","Build held: "&amp;$R152,"In build, not yet through test"),IF($R152&lt;&gt;"","Not ready to scale: "&amp;$R152,"Monitoring and third-party review not yet signed off"),IF($Q152="Y","","Live without a measured baseline to judge it against")))</f>
        <v/>
      </c>
      <c r="AJ152" s="65" t="str">
        <f aca="false">IF($Y152="","",INDEX(StageForum,$Y152))</f>
        <v/>
      </c>
      <c r="AK152" s="65" t="str">
        <f aca="false">IF($Y152="","",IF(OR($X152="Delivery",$X152="Value"),"Committed",IF($N152&lt;&gt;"","Candidate","")))</f>
        <v/>
      </c>
      <c r="AL152" s="65" t="str">
        <f aca="false">IF($AK152&lt;&gt;"Candidate","",COUNTIFS($AK$2:$AK$501,"Candidate",$N$2:$N$501,"&gt;"&amp;$N152)+COUNTIFS($AK$2:$AK$501,"Candidate",$N$2:$N$501,$N152,$A$2:$A$501,"&lt;"&amp;$A152)+1)</f>
        <v/>
      </c>
      <c r="AM152" s="65" t="str">
        <f aca="false">IF($AL152="","",SUMIFS($M$2:$M$501,$AK$2:$AK$501,"Candidate",$AL$2:$AL$501,"&lt;="&amp;$AL152))</f>
        <v/>
      </c>
      <c r="AN152" s="65" t="str">
        <f aca="false">IF($AL152="","",IF($AM152&lt;=CapacityOpen,"Fits","Below line"))</f>
        <v/>
      </c>
      <c r="AO152" s="65" t="str">
        <f aca="false">IF($A152="","",IF($X152="Closed","",IF($X152="Unmapped","Warning",IF(OR($AB152="Overdue",$V152="Y",$AH152="Critical"),"Critical",IF(OR($AB152="At risk",$AC152="Stale",$AG152="Over"),"Warning","")))))</f>
        <v/>
      </c>
      <c r="AP152" s="65" t="str">
        <f aca="false">IF($AO152="","",IF($AO152="Critical",3000,2000)-IF($Z152="",0,$Z152)+ROW()/100000)</f>
        <v/>
      </c>
      <c r="AQ152" s="65" t="str">
        <f aca="false">IF($AO152="","",IF($X152="Unmapped","Status '"&amp;$C152&amp;"' is not in the Config map",IF($V152="Y","Flagged in Jira",IF($AB152="Overdue",-$Z152&amp;" days past its "&amp;$X152&amp;" target",IF($AH152="Critical",$AI152,IF($AB152="At risk","Target in "&amp;$Z152&amp;" days",IF($AC152="Stale","No update in "&amp;$AA152&amp;" days","Past its "&amp;$AE152&amp;"-day tier window")))))))</f>
        <v/>
      </c>
      <c r="AR152" s="65" t="str">
        <f aca="false">IF($AO152="","","draft Jira update for "&amp;$A152)</f>
        <v/>
      </c>
      <c r="AS152" s="65" t="str">
        <f aca="false">IF($A152="","",HYPERLINK(JiraSite&amp;"/browse/"&amp;$A152,"open"))</f>
        <v/>
      </c>
      <c r="AT152" s="65" t="str">
        <f aca="false">IF($Y152="","",$Y152*1000+ROW())</f>
        <v/>
      </c>
      <c r="AU152" s="65" t="str">
        <f aca="false">IF(AND($A152&lt;&gt;"",$G152&gt;=WeekStart),$G152+ROW()/100000,"")</f>
        <v/>
      </c>
      <c r="AV152" s="65" t="str">
        <f aca="false">IF($A152="","",IF(OR(AND($S152&lt;&gt;"",$S152&gt;=WeekStart),AND($U152&lt;&gt;"",$U152&gt;=WeekStart)),MAX($S152,$U152)+ROW()/100000,""))</f>
        <v/>
      </c>
      <c r="AW152" s="65" t="str">
        <f aca="false">IF($AV152="","",IF($T152&lt;&gt;"",$T152,IF($X152="Closed","Closed","Accepted to "&amp;$X152)))</f>
        <v/>
      </c>
      <c r="AX152" s="65" t="str">
        <f aca="false">IF(AND($Y152&lt;&gt;"",$R152&lt;&gt;""),$AF152+ROW()/100000,"")</f>
        <v/>
      </c>
      <c r="AY152" s="65" t="str">
        <f aca="false">IF(AND($Y152&lt;&gt;"",OR($AB152="Overdue",AND($AH152="Critical",$R152&lt;&gt;""))),$AF152+ROW()/100000,"")</f>
        <v/>
      </c>
      <c r="AZ152" s="65" t="str">
        <f aca="false">IF($AH152="Critical",$AF152+ROW()/100000,"")</f>
        <v/>
      </c>
    </row>
    <row r="153" customFormat="false" ht="15" hidden="false" customHeight="false" outlineLevel="0" collapsed="false">
      <c r="A153" s="28"/>
      <c r="B153" s="28"/>
      <c r="C153" s="28"/>
      <c r="D153" s="28"/>
      <c r="E153" s="28"/>
      <c r="F153" s="28"/>
      <c r="G153" s="63"/>
      <c r="H153" s="63"/>
      <c r="I153" s="63"/>
      <c r="J153" s="28"/>
      <c r="K153" s="28"/>
      <c r="L153" s="28"/>
      <c r="M153" s="28"/>
      <c r="N153" s="28"/>
      <c r="O153" s="64"/>
      <c r="P153" s="64"/>
      <c r="Q153" s="64"/>
      <c r="R153" s="28"/>
      <c r="S153" s="63"/>
      <c r="T153" s="64"/>
      <c r="U153" s="63"/>
      <c r="V153" s="64"/>
      <c r="W153" s="28"/>
      <c r="X153" s="65" t="str">
        <f aca="false">IF($A153="","",IF(OR($T153&lt;&gt;"",$U153&lt;&gt;""),"Closed",IFERROR(INDEX(MapStage,MATCH($C153,MapStatus,0)),"Unmapped")))</f>
        <v/>
      </c>
      <c r="Y153" s="65" t="str">
        <f aca="false">IF(OR($X153="",$X153="Closed",$X153="Unmapped"),"",MATCH($X153,StageName,0))</f>
        <v/>
      </c>
      <c r="Z153" s="65" t="str">
        <f aca="false">IF(OR($Y153="",$I153=""),"",$I153-AsOf)</f>
        <v/>
      </c>
      <c r="AA153" s="65" t="str">
        <f aca="false">IF($A153="","",AsOf-$H153)</f>
        <v/>
      </c>
      <c r="AB153" s="65" t="str">
        <f aca="false">IF($A153="","",IF($X153="Closed","Closed",IF($X153="Unmapped","Unmapped",IF($I153="","No target",IF($Z153&lt;0,"Overdue",IF($Z153&lt;=INDEX(StageWindow,$Y153),"At risk","On track"))))))</f>
        <v/>
      </c>
      <c r="AC153" s="65" t="str">
        <f aca="false">IF($Y153="","",IF($AA153&gt;2*INDEX(StageStale,$Y153),"Stale",IF($AA153&gt;INDEX(StageStale,$Y153),"Aging","Fresh")))</f>
        <v/>
      </c>
      <c r="AD153" s="65" t="str">
        <f aca="false">IF($A153="","",IF(OR(ISNUMBER(SEARCH("Reg report",$J153)),ISNUMBER(SEARCH("No human review",$J153)),COUNTIF(TierFuncs,$D153)&gt;0),"High",IF(OR(TRIM($J153)&lt;&gt;"",ISNUMBER(SEARCH("revenue",$K153))),"Medium","Low")))</f>
        <v/>
      </c>
      <c r="AE153" s="65" t="str">
        <f aca="false">IF($A153="","",INDEX(TierDays,MATCH($AD153,TierName,0)))</f>
        <v/>
      </c>
      <c r="AF153" s="65" t="str">
        <f aca="false">IF($A153="","",AsOf-$G153)</f>
        <v/>
      </c>
      <c r="AG153" s="65" t="str">
        <f aca="false">IF($Y153="","",IF($Y153&lt;=5,IF($AF153&gt;$AE153,"Over","Inside"),"Past approval"))</f>
        <v/>
      </c>
      <c r="AH153" s="65" t="str">
        <f aca="false">IF($Y153="","",CHOOSE($Y153,IF(OR(TRIM($F153)="",ISNUMBER(SEARCH("not named",$F153))),"Critical","Good"),IF($O153&lt;&gt;"Y","Critical",IF($Q153&lt;&gt;"Y","Warning","Good")),IF($P153="","Critical",IF($P153="partial","Warning",IF($P153="ready","Good","Critical"))),IF($R153&lt;&gt;"","Critical","Warning"),IF($L153="","Critical",IF($N153="","Warning","Good")),IF($R153&lt;&gt;"","Critical","Warning"),IF($R153&lt;&gt;"","Critical","Warning"),IF($Q153="Y","Good","Critical")))</f>
        <v/>
      </c>
      <c r="AI153" s="65" t="str">
        <f aca="false">IF($Y153="","",CHOOSE($Y153,IF(OR(TRIM($F153)="",ISNUMBER(SEARCH("not named",$F153))),"Name a sponsor accountable for the value",""),IF($O153&lt;&gt;"Y","State the success metric and the stop condition",IF($Q153&lt;&gt;"Y","Set the baseline the benefit will be measured against","")),IF($P153="","Assess data readiness and regulatory impact",IF($P153="partial","Close the known data gaps",IF($P153="ready","","Data is not available; reshape or park"))),IF($R153&lt;&gt;"",IF(OR(ISNUMBER(SEARCH("mrm",$R153)),ISNUMBER(SEARCH("model",$R153)),ISNUMBER(SEARCH("risk",$R153)),ISNUMBER(SEARCH("legal",$R153)),ISNUMBER(SEARCH("complian",$R153))),"Awaiting ","Held at the design gate: ")&amp;$R153,"Map the governance framework for its tier"),IF($L153="","Size the annual benefit",IF($N153="","Score it so it can be ranked against capacity","")),IF($R153&lt;&gt;"","Build held: "&amp;$R153,"In build, not yet through test"),IF($R153&lt;&gt;"","Not ready to scale: "&amp;$R153,"Monitoring and third-party review not yet signed off"),IF($Q153="Y","","Live without a measured baseline to judge it against")))</f>
        <v/>
      </c>
      <c r="AJ153" s="65" t="str">
        <f aca="false">IF($Y153="","",INDEX(StageForum,$Y153))</f>
        <v/>
      </c>
      <c r="AK153" s="65" t="str">
        <f aca="false">IF($Y153="","",IF(OR($X153="Delivery",$X153="Value"),"Committed",IF($N153&lt;&gt;"","Candidate","")))</f>
        <v/>
      </c>
      <c r="AL153" s="65" t="str">
        <f aca="false">IF($AK153&lt;&gt;"Candidate","",COUNTIFS($AK$2:$AK$501,"Candidate",$N$2:$N$501,"&gt;"&amp;$N153)+COUNTIFS($AK$2:$AK$501,"Candidate",$N$2:$N$501,$N153,$A$2:$A$501,"&lt;"&amp;$A153)+1)</f>
        <v/>
      </c>
      <c r="AM153" s="65" t="str">
        <f aca="false">IF($AL153="","",SUMIFS($M$2:$M$501,$AK$2:$AK$501,"Candidate",$AL$2:$AL$501,"&lt;="&amp;$AL153))</f>
        <v/>
      </c>
      <c r="AN153" s="65" t="str">
        <f aca="false">IF($AL153="","",IF($AM153&lt;=CapacityOpen,"Fits","Below line"))</f>
        <v/>
      </c>
      <c r="AO153" s="65" t="str">
        <f aca="false">IF($A153="","",IF($X153="Closed","",IF($X153="Unmapped","Warning",IF(OR($AB153="Overdue",$V153="Y",$AH153="Critical"),"Critical",IF(OR($AB153="At risk",$AC153="Stale",$AG153="Over"),"Warning","")))))</f>
        <v/>
      </c>
      <c r="AP153" s="65" t="str">
        <f aca="false">IF($AO153="","",IF($AO153="Critical",3000,2000)-IF($Z153="",0,$Z153)+ROW()/100000)</f>
        <v/>
      </c>
      <c r="AQ153" s="65" t="str">
        <f aca="false">IF($AO153="","",IF($X153="Unmapped","Status '"&amp;$C153&amp;"' is not in the Config map",IF($V153="Y","Flagged in Jira",IF($AB153="Overdue",-$Z153&amp;" days past its "&amp;$X153&amp;" target",IF($AH153="Critical",$AI153,IF($AB153="At risk","Target in "&amp;$Z153&amp;" days",IF($AC153="Stale","No update in "&amp;$AA153&amp;" days","Past its "&amp;$AE153&amp;"-day tier window")))))))</f>
        <v/>
      </c>
      <c r="AR153" s="65" t="str">
        <f aca="false">IF($AO153="","","draft Jira update for "&amp;$A153)</f>
        <v/>
      </c>
      <c r="AS153" s="65" t="str">
        <f aca="false">IF($A153="","",HYPERLINK(JiraSite&amp;"/browse/"&amp;$A153,"open"))</f>
        <v/>
      </c>
      <c r="AT153" s="65" t="str">
        <f aca="false">IF($Y153="","",$Y153*1000+ROW())</f>
        <v/>
      </c>
      <c r="AU153" s="65" t="str">
        <f aca="false">IF(AND($A153&lt;&gt;"",$G153&gt;=WeekStart),$G153+ROW()/100000,"")</f>
        <v/>
      </c>
      <c r="AV153" s="65" t="str">
        <f aca="false">IF($A153="","",IF(OR(AND($S153&lt;&gt;"",$S153&gt;=WeekStart),AND($U153&lt;&gt;"",$U153&gt;=WeekStart)),MAX($S153,$U153)+ROW()/100000,""))</f>
        <v/>
      </c>
      <c r="AW153" s="65" t="str">
        <f aca="false">IF($AV153="","",IF($T153&lt;&gt;"",$T153,IF($X153="Closed","Closed","Accepted to "&amp;$X153)))</f>
        <v/>
      </c>
      <c r="AX153" s="65" t="str">
        <f aca="false">IF(AND($Y153&lt;&gt;"",$R153&lt;&gt;""),$AF153+ROW()/100000,"")</f>
        <v/>
      </c>
      <c r="AY153" s="65" t="str">
        <f aca="false">IF(AND($Y153&lt;&gt;"",OR($AB153="Overdue",AND($AH153="Critical",$R153&lt;&gt;""))),$AF153+ROW()/100000,"")</f>
        <v/>
      </c>
      <c r="AZ153" s="65" t="str">
        <f aca="false">IF($AH153="Critical",$AF153+ROW()/100000,"")</f>
        <v/>
      </c>
    </row>
    <row r="154" customFormat="false" ht="15" hidden="false" customHeight="false" outlineLevel="0" collapsed="false">
      <c r="A154" s="28"/>
      <c r="B154" s="28"/>
      <c r="C154" s="28"/>
      <c r="D154" s="28"/>
      <c r="E154" s="28"/>
      <c r="F154" s="28"/>
      <c r="G154" s="63"/>
      <c r="H154" s="63"/>
      <c r="I154" s="63"/>
      <c r="J154" s="28"/>
      <c r="K154" s="28"/>
      <c r="L154" s="28"/>
      <c r="M154" s="28"/>
      <c r="N154" s="28"/>
      <c r="O154" s="64"/>
      <c r="P154" s="64"/>
      <c r="Q154" s="64"/>
      <c r="R154" s="28"/>
      <c r="S154" s="63"/>
      <c r="T154" s="64"/>
      <c r="U154" s="63"/>
      <c r="V154" s="64"/>
      <c r="W154" s="28"/>
      <c r="X154" s="65" t="str">
        <f aca="false">IF($A154="","",IF(OR($T154&lt;&gt;"",$U154&lt;&gt;""),"Closed",IFERROR(INDEX(MapStage,MATCH($C154,MapStatus,0)),"Unmapped")))</f>
        <v/>
      </c>
      <c r="Y154" s="65" t="str">
        <f aca="false">IF(OR($X154="",$X154="Closed",$X154="Unmapped"),"",MATCH($X154,StageName,0))</f>
        <v/>
      </c>
      <c r="Z154" s="65" t="str">
        <f aca="false">IF(OR($Y154="",$I154=""),"",$I154-AsOf)</f>
        <v/>
      </c>
      <c r="AA154" s="65" t="str">
        <f aca="false">IF($A154="","",AsOf-$H154)</f>
        <v/>
      </c>
      <c r="AB154" s="65" t="str">
        <f aca="false">IF($A154="","",IF($X154="Closed","Closed",IF($X154="Unmapped","Unmapped",IF($I154="","No target",IF($Z154&lt;0,"Overdue",IF($Z154&lt;=INDEX(StageWindow,$Y154),"At risk","On track"))))))</f>
        <v/>
      </c>
      <c r="AC154" s="65" t="str">
        <f aca="false">IF($Y154="","",IF($AA154&gt;2*INDEX(StageStale,$Y154),"Stale",IF($AA154&gt;INDEX(StageStale,$Y154),"Aging","Fresh")))</f>
        <v/>
      </c>
      <c r="AD154" s="65" t="str">
        <f aca="false">IF($A154="","",IF(OR(ISNUMBER(SEARCH("Reg report",$J154)),ISNUMBER(SEARCH("No human review",$J154)),COUNTIF(TierFuncs,$D154)&gt;0),"High",IF(OR(TRIM($J154)&lt;&gt;"",ISNUMBER(SEARCH("revenue",$K154))),"Medium","Low")))</f>
        <v/>
      </c>
      <c r="AE154" s="65" t="str">
        <f aca="false">IF($A154="","",INDEX(TierDays,MATCH($AD154,TierName,0)))</f>
        <v/>
      </c>
      <c r="AF154" s="65" t="str">
        <f aca="false">IF($A154="","",AsOf-$G154)</f>
        <v/>
      </c>
      <c r="AG154" s="65" t="str">
        <f aca="false">IF($Y154="","",IF($Y154&lt;=5,IF($AF154&gt;$AE154,"Over","Inside"),"Past approval"))</f>
        <v/>
      </c>
      <c r="AH154" s="65" t="str">
        <f aca="false">IF($Y154="","",CHOOSE($Y154,IF(OR(TRIM($F154)="",ISNUMBER(SEARCH("not named",$F154))),"Critical","Good"),IF($O154&lt;&gt;"Y","Critical",IF($Q154&lt;&gt;"Y","Warning","Good")),IF($P154="","Critical",IF($P154="partial","Warning",IF($P154="ready","Good","Critical"))),IF($R154&lt;&gt;"","Critical","Warning"),IF($L154="","Critical",IF($N154="","Warning","Good")),IF($R154&lt;&gt;"","Critical","Warning"),IF($R154&lt;&gt;"","Critical","Warning"),IF($Q154="Y","Good","Critical")))</f>
        <v/>
      </c>
      <c r="AI154" s="65" t="str">
        <f aca="false">IF($Y154="","",CHOOSE($Y154,IF(OR(TRIM($F154)="",ISNUMBER(SEARCH("not named",$F154))),"Name a sponsor accountable for the value",""),IF($O154&lt;&gt;"Y","State the success metric and the stop condition",IF($Q154&lt;&gt;"Y","Set the baseline the benefit will be measured against","")),IF($P154="","Assess data readiness and regulatory impact",IF($P154="partial","Close the known data gaps",IF($P154="ready","","Data is not available; reshape or park"))),IF($R154&lt;&gt;"",IF(OR(ISNUMBER(SEARCH("mrm",$R154)),ISNUMBER(SEARCH("model",$R154)),ISNUMBER(SEARCH("risk",$R154)),ISNUMBER(SEARCH("legal",$R154)),ISNUMBER(SEARCH("complian",$R154))),"Awaiting ","Held at the design gate: ")&amp;$R154,"Map the governance framework for its tier"),IF($L154="","Size the annual benefit",IF($N154="","Score it so it can be ranked against capacity","")),IF($R154&lt;&gt;"","Build held: "&amp;$R154,"In build, not yet through test"),IF($R154&lt;&gt;"","Not ready to scale: "&amp;$R154,"Monitoring and third-party review not yet signed off"),IF($Q154="Y","","Live without a measured baseline to judge it against")))</f>
        <v/>
      </c>
      <c r="AJ154" s="65" t="str">
        <f aca="false">IF($Y154="","",INDEX(StageForum,$Y154))</f>
        <v/>
      </c>
      <c r="AK154" s="65" t="str">
        <f aca="false">IF($Y154="","",IF(OR($X154="Delivery",$X154="Value"),"Committed",IF($N154&lt;&gt;"","Candidate","")))</f>
        <v/>
      </c>
      <c r="AL154" s="65" t="str">
        <f aca="false">IF($AK154&lt;&gt;"Candidate","",COUNTIFS($AK$2:$AK$501,"Candidate",$N$2:$N$501,"&gt;"&amp;$N154)+COUNTIFS($AK$2:$AK$501,"Candidate",$N$2:$N$501,$N154,$A$2:$A$501,"&lt;"&amp;$A154)+1)</f>
        <v/>
      </c>
      <c r="AM154" s="65" t="str">
        <f aca="false">IF($AL154="","",SUMIFS($M$2:$M$501,$AK$2:$AK$501,"Candidate",$AL$2:$AL$501,"&lt;="&amp;$AL154))</f>
        <v/>
      </c>
      <c r="AN154" s="65" t="str">
        <f aca="false">IF($AL154="","",IF($AM154&lt;=CapacityOpen,"Fits","Below line"))</f>
        <v/>
      </c>
      <c r="AO154" s="65" t="str">
        <f aca="false">IF($A154="","",IF($X154="Closed","",IF($X154="Unmapped","Warning",IF(OR($AB154="Overdue",$V154="Y",$AH154="Critical"),"Critical",IF(OR($AB154="At risk",$AC154="Stale",$AG154="Over"),"Warning","")))))</f>
        <v/>
      </c>
      <c r="AP154" s="65" t="str">
        <f aca="false">IF($AO154="","",IF($AO154="Critical",3000,2000)-IF($Z154="",0,$Z154)+ROW()/100000)</f>
        <v/>
      </c>
      <c r="AQ154" s="65" t="str">
        <f aca="false">IF($AO154="","",IF($X154="Unmapped","Status '"&amp;$C154&amp;"' is not in the Config map",IF($V154="Y","Flagged in Jira",IF($AB154="Overdue",-$Z154&amp;" days past its "&amp;$X154&amp;" target",IF($AH154="Critical",$AI154,IF($AB154="At risk","Target in "&amp;$Z154&amp;" days",IF($AC154="Stale","No update in "&amp;$AA154&amp;" days","Past its "&amp;$AE154&amp;"-day tier window")))))))</f>
        <v/>
      </c>
      <c r="AR154" s="65" t="str">
        <f aca="false">IF($AO154="","","draft Jira update for "&amp;$A154)</f>
        <v/>
      </c>
      <c r="AS154" s="65" t="str">
        <f aca="false">IF($A154="","",HYPERLINK(JiraSite&amp;"/browse/"&amp;$A154,"open"))</f>
        <v/>
      </c>
      <c r="AT154" s="65" t="str">
        <f aca="false">IF($Y154="","",$Y154*1000+ROW())</f>
        <v/>
      </c>
      <c r="AU154" s="65" t="str">
        <f aca="false">IF(AND($A154&lt;&gt;"",$G154&gt;=WeekStart),$G154+ROW()/100000,"")</f>
        <v/>
      </c>
      <c r="AV154" s="65" t="str">
        <f aca="false">IF($A154="","",IF(OR(AND($S154&lt;&gt;"",$S154&gt;=WeekStart),AND($U154&lt;&gt;"",$U154&gt;=WeekStart)),MAX($S154,$U154)+ROW()/100000,""))</f>
        <v/>
      </c>
      <c r="AW154" s="65" t="str">
        <f aca="false">IF($AV154="","",IF($T154&lt;&gt;"",$T154,IF($X154="Closed","Closed","Accepted to "&amp;$X154)))</f>
        <v/>
      </c>
      <c r="AX154" s="65" t="str">
        <f aca="false">IF(AND($Y154&lt;&gt;"",$R154&lt;&gt;""),$AF154+ROW()/100000,"")</f>
        <v/>
      </c>
      <c r="AY154" s="65" t="str">
        <f aca="false">IF(AND($Y154&lt;&gt;"",OR($AB154="Overdue",AND($AH154="Critical",$R154&lt;&gt;""))),$AF154+ROW()/100000,"")</f>
        <v/>
      </c>
      <c r="AZ154" s="65" t="str">
        <f aca="false">IF($AH154="Critical",$AF154+ROW()/100000,"")</f>
        <v/>
      </c>
    </row>
    <row r="155" customFormat="false" ht="15" hidden="false" customHeight="false" outlineLevel="0" collapsed="false">
      <c r="A155" s="28"/>
      <c r="B155" s="28"/>
      <c r="C155" s="28"/>
      <c r="D155" s="28"/>
      <c r="E155" s="28"/>
      <c r="F155" s="28"/>
      <c r="G155" s="63"/>
      <c r="H155" s="63"/>
      <c r="I155" s="63"/>
      <c r="J155" s="28"/>
      <c r="K155" s="28"/>
      <c r="L155" s="28"/>
      <c r="M155" s="28"/>
      <c r="N155" s="28"/>
      <c r="O155" s="64"/>
      <c r="P155" s="64"/>
      <c r="Q155" s="64"/>
      <c r="R155" s="28"/>
      <c r="S155" s="63"/>
      <c r="T155" s="64"/>
      <c r="U155" s="63"/>
      <c r="V155" s="64"/>
      <c r="W155" s="28"/>
      <c r="X155" s="65" t="str">
        <f aca="false">IF($A155="","",IF(OR($T155&lt;&gt;"",$U155&lt;&gt;""),"Closed",IFERROR(INDEX(MapStage,MATCH($C155,MapStatus,0)),"Unmapped")))</f>
        <v/>
      </c>
      <c r="Y155" s="65" t="str">
        <f aca="false">IF(OR($X155="",$X155="Closed",$X155="Unmapped"),"",MATCH($X155,StageName,0))</f>
        <v/>
      </c>
      <c r="Z155" s="65" t="str">
        <f aca="false">IF(OR($Y155="",$I155=""),"",$I155-AsOf)</f>
        <v/>
      </c>
      <c r="AA155" s="65" t="str">
        <f aca="false">IF($A155="","",AsOf-$H155)</f>
        <v/>
      </c>
      <c r="AB155" s="65" t="str">
        <f aca="false">IF($A155="","",IF($X155="Closed","Closed",IF($X155="Unmapped","Unmapped",IF($I155="","No target",IF($Z155&lt;0,"Overdue",IF($Z155&lt;=INDEX(StageWindow,$Y155),"At risk","On track"))))))</f>
        <v/>
      </c>
      <c r="AC155" s="65" t="str">
        <f aca="false">IF($Y155="","",IF($AA155&gt;2*INDEX(StageStale,$Y155),"Stale",IF($AA155&gt;INDEX(StageStale,$Y155),"Aging","Fresh")))</f>
        <v/>
      </c>
      <c r="AD155" s="65" t="str">
        <f aca="false">IF($A155="","",IF(OR(ISNUMBER(SEARCH("Reg report",$J155)),ISNUMBER(SEARCH("No human review",$J155)),COUNTIF(TierFuncs,$D155)&gt;0),"High",IF(OR(TRIM($J155)&lt;&gt;"",ISNUMBER(SEARCH("revenue",$K155))),"Medium","Low")))</f>
        <v/>
      </c>
      <c r="AE155" s="65" t="str">
        <f aca="false">IF($A155="","",INDEX(TierDays,MATCH($AD155,TierName,0)))</f>
        <v/>
      </c>
      <c r="AF155" s="65" t="str">
        <f aca="false">IF($A155="","",AsOf-$G155)</f>
        <v/>
      </c>
      <c r="AG155" s="65" t="str">
        <f aca="false">IF($Y155="","",IF($Y155&lt;=5,IF($AF155&gt;$AE155,"Over","Inside"),"Past approval"))</f>
        <v/>
      </c>
      <c r="AH155" s="65" t="str">
        <f aca="false">IF($Y155="","",CHOOSE($Y155,IF(OR(TRIM($F155)="",ISNUMBER(SEARCH("not named",$F155))),"Critical","Good"),IF($O155&lt;&gt;"Y","Critical",IF($Q155&lt;&gt;"Y","Warning","Good")),IF($P155="","Critical",IF($P155="partial","Warning",IF($P155="ready","Good","Critical"))),IF($R155&lt;&gt;"","Critical","Warning"),IF($L155="","Critical",IF($N155="","Warning","Good")),IF($R155&lt;&gt;"","Critical","Warning"),IF($R155&lt;&gt;"","Critical","Warning"),IF($Q155="Y","Good","Critical")))</f>
        <v/>
      </c>
      <c r="AI155" s="65" t="str">
        <f aca="false">IF($Y155="","",CHOOSE($Y155,IF(OR(TRIM($F155)="",ISNUMBER(SEARCH("not named",$F155))),"Name a sponsor accountable for the value",""),IF($O155&lt;&gt;"Y","State the success metric and the stop condition",IF($Q155&lt;&gt;"Y","Set the baseline the benefit will be measured against","")),IF($P155="","Assess data readiness and regulatory impact",IF($P155="partial","Close the known data gaps",IF($P155="ready","","Data is not available; reshape or park"))),IF($R155&lt;&gt;"",IF(OR(ISNUMBER(SEARCH("mrm",$R155)),ISNUMBER(SEARCH("model",$R155)),ISNUMBER(SEARCH("risk",$R155)),ISNUMBER(SEARCH("legal",$R155)),ISNUMBER(SEARCH("complian",$R155))),"Awaiting ","Held at the design gate: ")&amp;$R155,"Map the governance framework for its tier"),IF($L155="","Size the annual benefit",IF($N155="","Score it so it can be ranked against capacity","")),IF($R155&lt;&gt;"","Build held: "&amp;$R155,"In build, not yet through test"),IF($R155&lt;&gt;"","Not ready to scale: "&amp;$R155,"Monitoring and third-party review not yet signed off"),IF($Q155="Y","","Live without a measured baseline to judge it against")))</f>
        <v/>
      </c>
      <c r="AJ155" s="65" t="str">
        <f aca="false">IF($Y155="","",INDEX(StageForum,$Y155))</f>
        <v/>
      </c>
      <c r="AK155" s="65" t="str">
        <f aca="false">IF($Y155="","",IF(OR($X155="Delivery",$X155="Value"),"Committed",IF($N155&lt;&gt;"","Candidate","")))</f>
        <v/>
      </c>
      <c r="AL155" s="65" t="str">
        <f aca="false">IF($AK155&lt;&gt;"Candidate","",COUNTIFS($AK$2:$AK$501,"Candidate",$N$2:$N$501,"&gt;"&amp;$N155)+COUNTIFS($AK$2:$AK$501,"Candidate",$N$2:$N$501,$N155,$A$2:$A$501,"&lt;"&amp;$A155)+1)</f>
        <v/>
      </c>
      <c r="AM155" s="65" t="str">
        <f aca="false">IF($AL155="","",SUMIFS($M$2:$M$501,$AK$2:$AK$501,"Candidate",$AL$2:$AL$501,"&lt;="&amp;$AL155))</f>
        <v/>
      </c>
      <c r="AN155" s="65" t="str">
        <f aca="false">IF($AL155="","",IF($AM155&lt;=CapacityOpen,"Fits","Below line"))</f>
        <v/>
      </c>
      <c r="AO155" s="65" t="str">
        <f aca="false">IF($A155="","",IF($X155="Closed","",IF($X155="Unmapped","Warning",IF(OR($AB155="Overdue",$V155="Y",$AH155="Critical"),"Critical",IF(OR($AB155="At risk",$AC155="Stale",$AG155="Over"),"Warning","")))))</f>
        <v/>
      </c>
      <c r="AP155" s="65" t="str">
        <f aca="false">IF($AO155="","",IF($AO155="Critical",3000,2000)-IF($Z155="",0,$Z155)+ROW()/100000)</f>
        <v/>
      </c>
      <c r="AQ155" s="65" t="str">
        <f aca="false">IF($AO155="","",IF($X155="Unmapped","Status '"&amp;$C155&amp;"' is not in the Config map",IF($V155="Y","Flagged in Jira",IF($AB155="Overdue",-$Z155&amp;" days past its "&amp;$X155&amp;" target",IF($AH155="Critical",$AI155,IF($AB155="At risk","Target in "&amp;$Z155&amp;" days",IF($AC155="Stale","No update in "&amp;$AA155&amp;" days","Past its "&amp;$AE155&amp;"-day tier window")))))))</f>
        <v/>
      </c>
      <c r="AR155" s="65" t="str">
        <f aca="false">IF($AO155="","","draft Jira update for "&amp;$A155)</f>
        <v/>
      </c>
      <c r="AS155" s="65" t="str">
        <f aca="false">IF($A155="","",HYPERLINK(JiraSite&amp;"/browse/"&amp;$A155,"open"))</f>
        <v/>
      </c>
      <c r="AT155" s="65" t="str">
        <f aca="false">IF($Y155="","",$Y155*1000+ROW())</f>
        <v/>
      </c>
      <c r="AU155" s="65" t="str">
        <f aca="false">IF(AND($A155&lt;&gt;"",$G155&gt;=WeekStart),$G155+ROW()/100000,"")</f>
        <v/>
      </c>
      <c r="AV155" s="65" t="str">
        <f aca="false">IF($A155="","",IF(OR(AND($S155&lt;&gt;"",$S155&gt;=WeekStart),AND($U155&lt;&gt;"",$U155&gt;=WeekStart)),MAX($S155,$U155)+ROW()/100000,""))</f>
        <v/>
      </c>
      <c r="AW155" s="65" t="str">
        <f aca="false">IF($AV155="","",IF($T155&lt;&gt;"",$T155,IF($X155="Closed","Closed","Accepted to "&amp;$X155)))</f>
        <v/>
      </c>
      <c r="AX155" s="65" t="str">
        <f aca="false">IF(AND($Y155&lt;&gt;"",$R155&lt;&gt;""),$AF155+ROW()/100000,"")</f>
        <v/>
      </c>
      <c r="AY155" s="65" t="str">
        <f aca="false">IF(AND($Y155&lt;&gt;"",OR($AB155="Overdue",AND($AH155="Critical",$R155&lt;&gt;""))),$AF155+ROW()/100000,"")</f>
        <v/>
      </c>
      <c r="AZ155" s="65" t="str">
        <f aca="false">IF($AH155="Critical",$AF155+ROW()/100000,"")</f>
        <v/>
      </c>
    </row>
    <row r="156" customFormat="false" ht="15" hidden="false" customHeight="false" outlineLevel="0" collapsed="false">
      <c r="A156" s="28"/>
      <c r="B156" s="28"/>
      <c r="C156" s="28"/>
      <c r="D156" s="28"/>
      <c r="E156" s="28"/>
      <c r="F156" s="28"/>
      <c r="G156" s="63"/>
      <c r="H156" s="63"/>
      <c r="I156" s="63"/>
      <c r="J156" s="28"/>
      <c r="K156" s="28"/>
      <c r="L156" s="28"/>
      <c r="M156" s="28"/>
      <c r="N156" s="28"/>
      <c r="O156" s="64"/>
      <c r="P156" s="64"/>
      <c r="Q156" s="64"/>
      <c r="R156" s="28"/>
      <c r="S156" s="63"/>
      <c r="T156" s="64"/>
      <c r="U156" s="63"/>
      <c r="V156" s="64"/>
      <c r="W156" s="28"/>
      <c r="X156" s="65" t="str">
        <f aca="false">IF($A156="","",IF(OR($T156&lt;&gt;"",$U156&lt;&gt;""),"Closed",IFERROR(INDEX(MapStage,MATCH($C156,MapStatus,0)),"Unmapped")))</f>
        <v/>
      </c>
      <c r="Y156" s="65" t="str">
        <f aca="false">IF(OR($X156="",$X156="Closed",$X156="Unmapped"),"",MATCH($X156,StageName,0))</f>
        <v/>
      </c>
      <c r="Z156" s="65" t="str">
        <f aca="false">IF(OR($Y156="",$I156=""),"",$I156-AsOf)</f>
        <v/>
      </c>
      <c r="AA156" s="65" t="str">
        <f aca="false">IF($A156="","",AsOf-$H156)</f>
        <v/>
      </c>
      <c r="AB156" s="65" t="str">
        <f aca="false">IF($A156="","",IF($X156="Closed","Closed",IF($X156="Unmapped","Unmapped",IF($I156="","No target",IF($Z156&lt;0,"Overdue",IF($Z156&lt;=INDEX(StageWindow,$Y156),"At risk","On track"))))))</f>
        <v/>
      </c>
      <c r="AC156" s="65" t="str">
        <f aca="false">IF($Y156="","",IF($AA156&gt;2*INDEX(StageStale,$Y156),"Stale",IF($AA156&gt;INDEX(StageStale,$Y156),"Aging","Fresh")))</f>
        <v/>
      </c>
      <c r="AD156" s="65" t="str">
        <f aca="false">IF($A156="","",IF(OR(ISNUMBER(SEARCH("Reg report",$J156)),ISNUMBER(SEARCH("No human review",$J156)),COUNTIF(TierFuncs,$D156)&gt;0),"High",IF(OR(TRIM($J156)&lt;&gt;"",ISNUMBER(SEARCH("revenue",$K156))),"Medium","Low")))</f>
        <v/>
      </c>
      <c r="AE156" s="65" t="str">
        <f aca="false">IF($A156="","",INDEX(TierDays,MATCH($AD156,TierName,0)))</f>
        <v/>
      </c>
      <c r="AF156" s="65" t="str">
        <f aca="false">IF($A156="","",AsOf-$G156)</f>
        <v/>
      </c>
      <c r="AG156" s="65" t="str">
        <f aca="false">IF($Y156="","",IF($Y156&lt;=5,IF($AF156&gt;$AE156,"Over","Inside"),"Past approval"))</f>
        <v/>
      </c>
      <c r="AH156" s="65" t="str">
        <f aca="false">IF($Y156="","",CHOOSE($Y156,IF(OR(TRIM($F156)="",ISNUMBER(SEARCH("not named",$F156))),"Critical","Good"),IF($O156&lt;&gt;"Y","Critical",IF($Q156&lt;&gt;"Y","Warning","Good")),IF($P156="","Critical",IF($P156="partial","Warning",IF($P156="ready","Good","Critical"))),IF($R156&lt;&gt;"","Critical","Warning"),IF($L156="","Critical",IF($N156="","Warning","Good")),IF($R156&lt;&gt;"","Critical","Warning"),IF($R156&lt;&gt;"","Critical","Warning"),IF($Q156="Y","Good","Critical")))</f>
        <v/>
      </c>
      <c r="AI156" s="65" t="str">
        <f aca="false">IF($Y156="","",CHOOSE($Y156,IF(OR(TRIM($F156)="",ISNUMBER(SEARCH("not named",$F156))),"Name a sponsor accountable for the value",""),IF($O156&lt;&gt;"Y","State the success metric and the stop condition",IF($Q156&lt;&gt;"Y","Set the baseline the benefit will be measured against","")),IF($P156="","Assess data readiness and regulatory impact",IF($P156="partial","Close the known data gaps",IF($P156="ready","","Data is not available; reshape or park"))),IF($R156&lt;&gt;"",IF(OR(ISNUMBER(SEARCH("mrm",$R156)),ISNUMBER(SEARCH("model",$R156)),ISNUMBER(SEARCH("risk",$R156)),ISNUMBER(SEARCH("legal",$R156)),ISNUMBER(SEARCH("complian",$R156))),"Awaiting ","Held at the design gate: ")&amp;$R156,"Map the governance framework for its tier"),IF($L156="","Size the annual benefit",IF($N156="","Score it so it can be ranked against capacity","")),IF($R156&lt;&gt;"","Build held: "&amp;$R156,"In build, not yet through test"),IF($R156&lt;&gt;"","Not ready to scale: "&amp;$R156,"Monitoring and third-party review not yet signed off"),IF($Q156="Y","","Live without a measured baseline to judge it against")))</f>
        <v/>
      </c>
      <c r="AJ156" s="65" t="str">
        <f aca="false">IF($Y156="","",INDEX(StageForum,$Y156))</f>
        <v/>
      </c>
      <c r="AK156" s="65" t="str">
        <f aca="false">IF($Y156="","",IF(OR($X156="Delivery",$X156="Value"),"Committed",IF($N156&lt;&gt;"","Candidate","")))</f>
        <v/>
      </c>
      <c r="AL156" s="65" t="str">
        <f aca="false">IF($AK156&lt;&gt;"Candidate","",COUNTIFS($AK$2:$AK$501,"Candidate",$N$2:$N$501,"&gt;"&amp;$N156)+COUNTIFS($AK$2:$AK$501,"Candidate",$N$2:$N$501,$N156,$A$2:$A$501,"&lt;"&amp;$A156)+1)</f>
        <v/>
      </c>
      <c r="AM156" s="65" t="str">
        <f aca="false">IF($AL156="","",SUMIFS($M$2:$M$501,$AK$2:$AK$501,"Candidate",$AL$2:$AL$501,"&lt;="&amp;$AL156))</f>
        <v/>
      </c>
      <c r="AN156" s="65" t="str">
        <f aca="false">IF($AL156="","",IF($AM156&lt;=CapacityOpen,"Fits","Below line"))</f>
        <v/>
      </c>
      <c r="AO156" s="65" t="str">
        <f aca="false">IF($A156="","",IF($X156="Closed","",IF($X156="Unmapped","Warning",IF(OR($AB156="Overdue",$V156="Y",$AH156="Critical"),"Critical",IF(OR($AB156="At risk",$AC156="Stale",$AG156="Over"),"Warning","")))))</f>
        <v/>
      </c>
      <c r="AP156" s="65" t="str">
        <f aca="false">IF($AO156="","",IF($AO156="Critical",3000,2000)-IF($Z156="",0,$Z156)+ROW()/100000)</f>
        <v/>
      </c>
      <c r="AQ156" s="65" t="str">
        <f aca="false">IF($AO156="","",IF($X156="Unmapped","Status '"&amp;$C156&amp;"' is not in the Config map",IF($V156="Y","Flagged in Jira",IF($AB156="Overdue",-$Z156&amp;" days past its "&amp;$X156&amp;" target",IF($AH156="Critical",$AI156,IF($AB156="At risk","Target in "&amp;$Z156&amp;" days",IF($AC156="Stale","No update in "&amp;$AA156&amp;" days","Past its "&amp;$AE156&amp;"-day tier window")))))))</f>
        <v/>
      </c>
      <c r="AR156" s="65" t="str">
        <f aca="false">IF($AO156="","","draft Jira update for "&amp;$A156)</f>
        <v/>
      </c>
      <c r="AS156" s="65" t="str">
        <f aca="false">IF($A156="","",HYPERLINK(JiraSite&amp;"/browse/"&amp;$A156,"open"))</f>
        <v/>
      </c>
      <c r="AT156" s="65" t="str">
        <f aca="false">IF($Y156="","",$Y156*1000+ROW())</f>
        <v/>
      </c>
      <c r="AU156" s="65" t="str">
        <f aca="false">IF(AND($A156&lt;&gt;"",$G156&gt;=WeekStart),$G156+ROW()/100000,"")</f>
        <v/>
      </c>
      <c r="AV156" s="65" t="str">
        <f aca="false">IF($A156="","",IF(OR(AND($S156&lt;&gt;"",$S156&gt;=WeekStart),AND($U156&lt;&gt;"",$U156&gt;=WeekStart)),MAX($S156,$U156)+ROW()/100000,""))</f>
        <v/>
      </c>
      <c r="AW156" s="65" t="str">
        <f aca="false">IF($AV156="","",IF($T156&lt;&gt;"",$T156,IF($X156="Closed","Closed","Accepted to "&amp;$X156)))</f>
        <v/>
      </c>
      <c r="AX156" s="65" t="str">
        <f aca="false">IF(AND($Y156&lt;&gt;"",$R156&lt;&gt;""),$AF156+ROW()/100000,"")</f>
        <v/>
      </c>
      <c r="AY156" s="65" t="str">
        <f aca="false">IF(AND($Y156&lt;&gt;"",OR($AB156="Overdue",AND($AH156="Critical",$R156&lt;&gt;""))),$AF156+ROW()/100000,"")</f>
        <v/>
      </c>
      <c r="AZ156" s="65" t="str">
        <f aca="false">IF($AH156="Critical",$AF156+ROW()/100000,"")</f>
        <v/>
      </c>
    </row>
    <row r="157" customFormat="false" ht="15" hidden="false" customHeight="false" outlineLevel="0" collapsed="false">
      <c r="A157" s="28"/>
      <c r="B157" s="28"/>
      <c r="C157" s="28"/>
      <c r="D157" s="28"/>
      <c r="E157" s="28"/>
      <c r="F157" s="28"/>
      <c r="G157" s="63"/>
      <c r="H157" s="63"/>
      <c r="I157" s="63"/>
      <c r="J157" s="28"/>
      <c r="K157" s="28"/>
      <c r="L157" s="28"/>
      <c r="M157" s="28"/>
      <c r="N157" s="28"/>
      <c r="O157" s="64"/>
      <c r="P157" s="64"/>
      <c r="Q157" s="64"/>
      <c r="R157" s="28"/>
      <c r="S157" s="63"/>
      <c r="T157" s="64"/>
      <c r="U157" s="63"/>
      <c r="V157" s="64"/>
      <c r="W157" s="28"/>
      <c r="X157" s="65" t="str">
        <f aca="false">IF($A157="","",IF(OR($T157&lt;&gt;"",$U157&lt;&gt;""),"Closed",IFERROR(INDEX(MapStage,MATCH($C157,MapStatus,0)),"Unmapped")))</f>
        <v/>
      </c>
      <c r="Y157" s="65" t="str">
        <f aca="false">IF(OR($X157="",$X157="Closed",$X157="Unmapped"),"",MATCH($X157,StageName,0))</f>
        <v/>
      </c>
      <c r="Z157" s="65" t="str">
        <f aca="false">IF(OR($Y157="",$I157=""),"",$I157-AsOf)</f>
        <v/>
      </c>
      <c r="AA157" s="65" t="str">
        <f aca="false">IF($A157="","",AsOf-$H157)</f>
        <v/>
      </c>
      <c r="AB157" s="65" t="str">
        <f aca="false">IF($A157="","",IF($X157="Closed","Closed",IF($X157="Unmapped","Unmapped",IF($I157="","No target",IF($Z157&lt;0,"Overdue",IF($Z157&lt;=INDEX(StageWindow,$Y157),"At risk","On track"))))))</f>
        <v/>
      </c>
      <c r="AC157" s="65" t="str">
        <f aca="false">IF($Y157="","",IF($AA157&gt;2*INDEX(StageStale,$Y157),"Stale",IF($AA157&gt;INDEX(StageStale,$Y157),"Aging","Fresh")))</f>
        <v/>
      </c>
      <c r="AD157" s="65" t="str">
        <f aca="false">IF($A157="","",IF(OR(ISNUMBER(SEARCH("Reg report",$J157)),ISNUMBER(SEARCH("No human review",$J157)),COUNTIF(TierFuncs,$D157)&gt;0),"High",IF(OR(TRIM($J157)&lt;&gt;"",ISNUMBER(SEARCH("revenue",$K157))),"Medium","Low")))</f>
        <v/>
      </c>
      <c r="AE157" s="65" t="str">
        <f aca="false">IF($A157="","",INDEX(TierDays,MATCH($AD157,TierName,0)))</f>
        <v/>
      </c>
      <c r="AF157" s="65" t="str">
        <f aca="false">IF($A157="","",AsOf-$G157)</f>
        <v/>
      </c>
      <c r="AG157" s="65" t="str">
        <f aca="false">IF($Y157="","",IF($Y157&lt;=5,IF($AF157&gt;$AE157,"Over","Inside"),"Past approval"))</f>
        <v/>
      </c>
      <c r="AH157" s="65" t="str">
        <f aca="false">IF($Y157="","",CHOOSE($Y157,IF(OR(TRIM($F157)="",ISNUMBER(SEARCH("not named",$F157))),"Critical","Good"),IF($O157&lt;&gt;"Y","Critical",IF($Q157&lt;&gt;"Y","Warning","Good")),IF($P157="","Critical",IF($P157="partial","Warning",IF($P157="ready","Good","Critical"))),IF($R157&lt;&gt;"","Critical","Warning"),IF($L157="","Critical",IF($N157="","Warning","Good")),IF($R157&lt;&gt;"","Critical","Warning"),IF($R157&lt;&gt;"","Critical","Warning"),IF($Q157="Y","Good","Critical")))</f>
        <v/>
      </c>
      <c r="AI157" s="65" t="str">
        <f aca="false">IF($Y157="","",CHOOSE($Y157,IF(OR(TRIM($F157)="",ISNUMBER(SEARCH("not named",$F157))),"Name a sponsor accountable for the value",""),IF($O157&lt;&gt;"Y","State the success metric and the stop condition",IF($Q157&lt;&gt;"Y","Set the baseline the benefit will be measured against","")),IF($P157="","Assess data readiness and regulatory impact",IF($P157="partial","Close the known data gaps",IF($P157="ready","","Data is not available; reshape or park"))),IF($R157&lt;&gt;"",IF(OR(ISNUMBER(SEARCH("mrm",$R157)),ISNUMBER(SEARCH("model",$R157)),ISNUMBER(SEARCH("risk",$R157)),ISNUMBER(SEARCH("legal",$R157)),ISNUMBER(SEARCH("complian",$R157))),"Awaiting ","Held at the design gate: ")&amp;$R157,"Map the governance framework for its tier"),IF($L157="","Size the annual benefit",IF($N157="","Score it so it can be ranked against capacity","")),IF($R157&lt;&gt;"","Build held: "&amp;$R157,"In build, not yet through test"),IF($R157&lt;&gt;"","Not ready to scale: "&amp;$R157,"Monitoring and third-party review not yet signed off"),IF($Q157="Y","","Live without a measured baseline to judge it against")))</f>
        <v/>
      </c>
      <c r="AJ157" s="65" t="str">
        <f aca="false">IF($Y157="","",INDEX(StageForum,$Y157))</f>
        <v/>
      </c>
      <c r="AK157" s="65" t="str">
        <f aca="false">IF($Y157="","",IF(OR($X157="Delivery",$X157="Value"),"Committed",IF($N157&lt;&gt;"","Candidate","")))</f>
        <v/>
      </c>
      <c r="AL157" s="65" t="str">
        <f aca="false">IF($AK157&lt;&gt;"Candidate","",COUNTIFS($AK$2:$AK$501,"Candidate",$N$2:$N$501,"&gt;"&amp;$N157)+COUNTIFS($AK$2:$AK$501,"Candidate",$N$2:$N$501,$N157,$A$2:$A$501,"&lt;"&amp;$A157)+1)</f>
        <v/>
      </c>
      <c r="AM157" s="65" t="str">
        <f aca="false">IF($AL157="","",SUMIFS($M$2:$M$501,$AK$2:$AK$501,"Candidate",$AL$2:$AL$501,"&lt;="&amp;$AL157))</f>
        <v/>
      </c>
      <c r="AN157" s="65" t="str">
        <f aca="false">IF($AL157="","",IF($AM157&lt;=CapacityOpen,"Fits","Below line"))</f>
        <v/>
      </c>
      <c r="AO157" s="65" t="str">
        <f aca="false">IF($A157="","",IF($X157="Closed","",IF($X157="Unmapped","Warning",IF(OR($AB157="Overdue",$V157="Y",$AH157="Critical"),"Critical",IF(OR($AB157="At risk",$AC157="Stale",$AG157="Over"),"Warning","")))))</f>
        <v/>
      </c>
      <c r="AP157" s="65" t="str">
        <f aca="false">IF($AO157="","",IF($AO157="Critical",3000,2000)-IF($Z157="",0,$Z157)+ROW()/100000)</f>
        <v/>
      </c>
      <c r="AQ157" s="65" t="str">
        <f aca="false">IF($AO157="","",IF($X157="Unmapped","Status '"&amp;$C157&amp;"' is not in the Config map",IF($V157="Y","Flagged in Jira",IF($AB157="Overdue",-$Z157&amp;" days past its "&amp;$X157&amp;" target",IF($AH157="Critical",$AI157,IF($AB157="At risk","Target in "&amp;$Z157&amp;" days",IF($AC157="Stale","No update in "&amp;$AA157&amp;" days","Past its "&amp;$AE157&amp;"-day tier window")))))))</f>
        <v/>
      </c>
      <c r="AR157" s="65" t="str">
        <f aca="false">IF($AO157="","","draft Jira update for "&amp;$A157)</f>
        <v/>
      </c>
      <c r="AS157" s="65" t="str">
        <f aca="false">IF($A157="","",HYPERLINK(JiraSite&amp;"/browse/"&amp;$A157,"open"))</f>
        <v/>
      </c>
      <c r="AT157" s="65" t="str">
        <f aca="false">IF($Y157="","",$Y157*1000+ROW())</f>
        <v/>
      </c>
      <c r="AU157" s="65" t="str">
        <f aca="false">IF(AND($A157&lt;&gt;"",$G157&gt;=WeekStart),$G157+ROW()/100000,"")</f>
        <v/>
      </c>
      <c r="AV157" s="65" t="str">
        <f aca="false">IF($A157="","",IF(OR(AND($S157&lt;&gt;"",$S157&gt;=WeekStart),AND($U157&lt;&gt;"",$U157&gt;=WeekStart)),MAX($S157,$U157)+ROW()/100000,""))</f>
        <v/>
      </c>
      <c r="AW157" s="65" t="str">
        <f aca="false">IF($AV157="","",IF($T157&lt;&gt;"",$T157,IF($X157="Closed","Closed","Accepted to "&amp;$X157)))</f>
        <v/>
      </c>
      <c r="AX157" s="65" t="str">
        <f aca="false">IF(AND($Y157&lt;&gt;"",$R157&lt;&gt;""),$AF157+ROW()/100000,"")</f>
        <v/>
      </c>
      <c r="AY157" s="65" t="str">
        <f aca="false">IF(AND($Y157&lt;&gt;"",OR($AB157="Overdue",AND($AH157="Critical",$R157&lt;&gt;""))),$AF157+ROW()/100000,"")</f>
        <v/>
      </c>
      <c r="AZ157" s="65" t="str">
        <f aca="false">IF($AH157="Critical",$AF157+ROW()/100000,"")</f>
        <v/>
      </c>
    </row>
    <row r="158" customFormat="false" ht="15" hidden="false" customHeight="false" outlineLevel="0" collapsed="false">
      <c r="A158" s="28"/>
      <c r="B158" s="28"/>
      <c r="C158" s="28"/>
      <c r="D158" s="28"/>
      <c r="E158" s="28"/>
      <c r="F158" s="28"/>
      <c r="G158" s="63"/>
      <c r="H158" s="63"/>
      <c r="I158" s="63"/>
      <c r="J158" s="28"/>
      <c r="K158" s="28"/>
      <c r="L158" s="28"/>
      <c r="M158" s="28"/>
      <c r="N158" s="28"/>
      <c r="O158" s="64"/>
      <c r="P158" s="64"/>
      <c r="Q158" s="64"/>
      <c r="R158" s="28"/>
      <c r="S158" s="63"/>
      <c r="T158" s="64"/>
      <c r="U158" s="63"/>
      <c r="V158" s="64"/>
      <c r="W158" s="28"/>
      <c r="X158" s="65" t="str">
        <f aca="false">IF($A158="","",IF(OR($T158&lt;&gt;"",$U158&lt;&gt;""),"Closed",IFERROR(INDEX(MapStage,MATCH($C158,MapStatus,0)),"Unmapped")))</f>
        <v/>
      </c>
      <c r="Y158" s="65" t="str">
        <f aca="false">IF(OR($X158="",$X158="Closed",$X158="Unmapped"),"",MATCH($X158,StageName,0))</f>
        <v/>
      </c>
      <c r="Z158" s="65" t="str">
        <f aca="false">IF(OR($Y158="",$I158=""),"",$I158-AsOf)</f>
        <v/>
      </c>
      <c r="AA158" s="65" t="str">
        <f aca="false">IF($A158="","",AsOf-$H158)</f>
        <v/>
      </c>
      <c r="AB158" s="65" t="str">
        <f aca="false">IF($A158="","",IF($X158="Closed","Closed",IF($X158="Unmapped","Unmapped",IF($I158="","No target",IF($Z158&lt;0,"Overdue",IF($Z158&lt;=INDEX(StageWindow,$Y158),"At risk","On track"))))))</f>
        <v/>
      </c>
      <c r="AC158" s="65" t="str">
        <f aca="false">IF($Y158="","",IF($AA158&gt;2*INDEX(StageStale,$Y158),"Stale",IF($AA158&gt;INDEX(StageStale,$Y158),"Aging","Fresh")))</f>
        <v/>
      </c>
      <c r="AD158" s="65" t="str">
        <f aca="false">IF($A158="","",IF(OR(ISNUMBER(SEARCH("Reg report",$J158)),ISNUMBER(SEARCH("No human review",$J158)),COUNTIF(TierFuncs,$D158)&gt;0),"High",IF(OR(TRIM($J158)&lt;&gt;"",ISNUMBER(SEARCH("revenue",$K158))),"Medium","Low")))</f>
        <v/>
      </c>
      <c r="AE158" s="65" t="str">
        <f aca="false">IF($A158="","",INDEX(TierDays,MATCH($AD158,TierName,0)))</f>
        <v/>
      </c>
      <c r="AF158" s="65" t="str">
        <f aca="false">IF($A158="","",AsOf-$G158)</f>
        <v/>
      </c>
      <c r="AG158" s="65" t="str">
        <f aca="false">IF($Y158="","",IF($Y158&lt;=5,IF($AF158&gt;$AE158,"Over","Inside"),"Past approval"))</f>
        <v/>
      </c>
      <c r="AH158" s="65" t="str">
        <f aca="false">IF($Y158="","",CHOOSE($Y158,IF(OR(TRIM($F158)="",ISNUMBER(SEARCH("not named",$F158))),"Critical","Good"),IF($O158&lt;&gt;"Y","Critical",IF($Q158&lt;&gt;"Y","Warning","Good")),IF($P158="","Critical",IF($P158="partial","Warning",IF($P158="ready","Good","Critical"))),IF($R158&lt;&gt;"","Critical","Warning"),IF($L158="","Critical",IF($N158="","Warning","Good")),IF($R158&lt;&gt;"","Critical","Warning"),IF($R158&lt;&gt;"","Critical","Warning"),IF($Q158="Y","Good","Critical")))</f>
        <v/>
      </c>
      <c r="AI158" s="65" t="str">
        <f aca="false">IF($Y158="","",CHOOSE($Y158,IF(OR(TRIM($F158)="",ISNUMBER(SEARCH("not named",$F158))),"Name a sponsor accountable for the value",""),IF($O158&lt;&gt;"Y","State the success metric and the stop condition",IF($Q158&lt;&gt;"Y","Set the baseline the benefit will be measured against","")),IF($P158="","Assess data readiness and regulatory impact",IF($P158="partial","Close the known data gaps",IF($P158="ready","","Data is not available; reshape or park"))),IF($R158&lt;&gt;"",IF(OR(ISNUMBER(SEARCH("mrm",$R158)),ISNUMBER(SEARCH("model",$R158)),ISNUMBER(SEARCH("risk",$R158)),ISNUMBER(SEARCH("legal",$R158)),ISNUMBER(SEARCH("complian",$R158))),"Awaiting ","Held at the design gate: ")&amp;$R158,"Map the governance framework for its tier"),IF($L158="","Size the annual benefit",IF($N158="","Score it so it can be ranked against capacity","")),IF($R158&lt;&gt;"","Build held: "&amp;$R158,"In build, not yet through test"),IF($R158&lt;&gt;"","Not ready to scale: "&amp;$R158,"Monitoring and third-party review not yet signed off"),IF($Q158="Y","","Live without a measured baseline to judge it against")))</f>
        <v/>
      </c>
      <c r="AJ158" s="65" t="str">
        <f aca="false">IF($Y158="","",INDEX(StageForum,$Y158))</f>
        <v/>
      </c>
      <c r="AK158" s="65" t="str">
        <f aca="false">IF($Y158="","",IF(OR($X158="Delivery",$X158="Value"),"Committed",IF($N158&lt;&gt;"","Candidate","")))</f>
        <v/>
      </c>
      <c r="AL158" s="65" t="str">
        <f aca="false">IF($AK158&lt;&gt;"Candidate","",COUNTIFS($AK$2:$AK$501,"Candidate",$N$2:$N$501,"&gt;"&amp;$N158)+COUNTIFS($AK$2:$AK$501,"Candidate",$N$2:$N$501,$N158,$A$2:$A$501,"&lt;"&amp;$A158)+1)</f>
        <v/>
      </c>
      <c r="AM158" s="65" t="str">
        <f aca="false">IF($AL158="","",SUMIFS($M$2:$M$501,$AK$2:$AK$501,"Candidate",$AL$2:$AL$501,"&lt;="&amp;$AL158))</f>
        <v/>
      </c>
      <c r="AN158" s="65" t="str">
        <f aca="false">IF($AL158="","",IF($AM158&lt;=CapacityOpen,"Fits","Below line"))</f>
        <v/>
      </c>
      <c r="AO158" s="65" t="str">
        <f aca="false">IF($A158="","",IF($X158="Closed","",IF($X158="Unmapped","Warning",IF(OR($AB158="Overdue",$V158="Y",$AH158="Critical"),"Critical",IF(OR($AB158="At risk",$AC158="Stale",$AG158="Over"),"Warning","")))))</f>
        <v/>
      </c>
      <c r="AP158" s="65" t="str">
        <f aca="false">IF($AO158="","",IF($AO158="Critical",3000,2000)-IF($Z158="",0,$Z158)+ROW()/100000)</f>
        <v/>
      </c>
      <c r="AQ158" s="65" t="str">
        <f aca="false">IF($AO158="","",IF($X158="Unmapped","Status '"&amp;$C158&amp;"' is not in the Config map",IF($V158="Y","Flagged in Jira",IF($AB158="Overdue",-$Z158&amp;" days past its "&amp;$X158&amp;" target",IF($AH158="Critical",$AI158,IF($AB158="At risk","Target in "&amp;$Z158&amp;" days",IF($AC158="Stale","No update in "&amp;$AA158&amp;" days","Past its "&amp;$AE158&amp;"-day tier window")))))))</f>
        <v/>
      </c>
      <c r="AR158" s="65" t="str">
        <f aca="false">IF($AO158="","","draft Jira update for "&amp;$A158)</f>
        <v/>
      </c>
      <c r="AS158" s="65" t="str">
        <f aca="false">IF($A158="","",HYPERLINK(JiraSite&amp;"/browse/"&amp;$A158,"open"))</f>
        <v/>
      </c>
      <c r="AT158" s="65" t="str">
        <f aca="false">IF($Y158="","",$Y158*1000+ROW())</f>
        <v/>
      </c>
      <c r="AU158" s="65" t="str">
        <f aca="false">IF(AND($A158&lt;&gt;"",$G158&gt;=WeekStart),$G158+ROW()/100000,"")</f>
        <v/>
      </c>
      <c r="AV158" s="65" t="str">
        <f aca="false">IF($A158="","",IF(OR(AND($S158&lt;&gt;"",$S158&gt;=WeekStart),AND($U158&lt;&gt;"",$U158&gt;=WeekStart)),MAX($S158,$U158)+ROW()/100000,""))</f>
        <v/>
      </c>
      <c r="AW158" s="65" t="str">
        <f aca="false">IF($AV158="","",IF($T158&lt;&gt;"",$T158,IF($X158="Closed","Closed","Accepted to "&amp;$X158)))</f>
        <v/>
      </c>
      <c r="AX158" s="65" t="str">
        <f aca="false">IF(AND($Y158&lt;&gt;"",$R158&lt;&gt;""),$AF158+ROW()/100000,"")</f>
        <v/>
      </c>
      <c r="AY158" s="65" t="str">
        <f aca="false">IF(AND($Y158&lt;&gt;"",OR($AB158="Overdue",AND($AH158="Critical",$R158&lt;&gt;""))),$AF158+ROW()/100000,"")</f>
        <v/>
      </c>
      <c r="AZ158" s="65" t="str">
        <f aca="false">IF($AH158="Critical",$AF158+ROW()/100000,"")</f>
        <v/>
      </c>
    </row>
    <row r="159" customFormat="false" ht="15" hidden="false" customHeight="false" outlineLevel="0" collapsed="false">
      <c r="A159" s="28"/>
      <c r="B159" s="28"/>
      <c r="C159" s="28"/>
      <c r="D159" s="28"/>
      <c r="E159" s="28"/>
      <c r="F159" s="28"/>
      <c r="G159" s="63"/>
      <c r="H159" s="63"/>
      <c r="I159" s="63"/>
      <c r="J159" s="28"/>
      <c r="K159" s="28"/>
      <c r="L159" s="28"/>
      <c r="M159" s="28"/>
      <c r="N159" s="28"/>
      <c r="O159" s="64"/>
      <c r="P159" s="64"/>
      <c r="Q159" s="64"/>
      <c r="R159" s="28"/>
      <c r="S159" s="63"/>
      <c r="T159" s="64"/>
      <c r="U159" s="63"/>
      <c r="V159" s="64"/>
      <c r="W159" s="28"/>
      <c r="X159" s="65" t="str">
        <f aca="false">IF($A159="","",IF(OR($T159&lt;&gt;"",$U159&lt;&gt;""),"Closed",IFERROR(INDEX(MapStage,MATCH($C159,MapStatus,0)),"Unmapped")))</f>
        <v/>
      </c>
      <c r="Y159" s="65" t="str">
        <f aca="false">IF(OR($X159="",$X159="Closed",$X159="Unmapped"),"",MATCH($X159,StageName,0))</f>
        <v/>
      </c>
      <c r="Z159" s="65" t="str">
        <f aca="false">IF(OR($Y159="",$I159=""),"",$I159-AsOf)</f>
        <v/>
      </c>
      <c r="AA159" s="65" t="str">
        <f aca="false">IF($A159="","",AsOf-$H159)</f>
        <v/>
      </c>
      <c r="AB159" s="65" t="str">
        <f aca="false">IF($A159="","",IF($X159="Closed","Closed",IF($X159="Unmapped","Unmapped",IF($I159="","No target",IF($Z159&lt;0,"Overdue",IF($Z159&lt;=INDEX(StageWindow,$Y159),"At risk","On track"))))))</f>
        <v/>
      </c>
      <c r="AC159" s="65" t="str">
        <f aca="false">IF($Y159="","",IF($AA159&gt;2*INDEX(StageStale,$Y159),"Stale",IF($AA159&gt;INDEX(StageStale,$Y159),"Aging","Fresh")))</f>
        <v/>
      </c>
      <c r="AD159" s="65" t="str">
        <f aca="false">IF($A159="","",IF(OR(ISNUMBER(SEARCH("Reg report",$J159)),ISNUMBER(SEARCH("No human review",$J159)),COUNTIF(TierFuncs,$D159)&gt;0),"High",IF(OR(TRIM($J159)&lt;&gt;"",ISNUMBER(SEARCH("revenue",$K159))),"Medium","Low")))</f>
        <v/>
      </c>
      <c r="AE159" s="65" t="str">
        <f aca="false">IF($A159="","",INDEX(TierDays,MATCH($AD159,TierName,0)))</f>
        <v/>
      </c>
      <c r="AF159" s="65" t="str">
        <f aca="false">IF($A159="","",AsOf-$G159)</f>
        <v/>
      </c>
      <c r="AG159" s="65" t="str">
        <f aca="false">IF($Y159="","",IF($Y159&lt;=5,IF($AF159&gt;$AE159,"Over","Inside"),"Past approval"))</f>
        <v/>
      </c>
      <c r="AH159" s="65" t="str">
        <f aca="false">IF($Y159="","",CHOOSE($Y159,IF(OR(TRIM($F159)="",ISNUMBER(SEARCH("not named",$F159))),"Critical","Good"),IF($O159&lt;&gt;"Y","Critical",IF($Q159&lt;&gt;"Y","Warning","Good")),IF($P159="","Critical",IF($P159="partial","Warning",IF($P159="ready","Good","Critical"))),IF($R159&lt;&gt;"","Critical","Warning"),IF($L159="","Critical",IF($N159="","Warning","Good")),IF($R159&lt;&gt;"","Critical","Warning"),IF($R159&lt;&gt;"","Critical","Warning"),IF($Q159="Y","Good","Critical")))</f>
        <v/>
      </c>
      <c r="AI159" s="65" t="str">
        <f aca="false">IF($Y159="","",CHOOSE($Y159,IF(OR(TRIM($F159)="",ISNUMBER(SEARCH("not named",$F159))),"Name a sponsor accountable for the value",""),IF($O159&lt;&gt;"Y","State the success metric and the stop condition",IF($Q159&lt;&gt;"Y","Set the baseline the benefit will be measured against","")),IF($P159="","Assess data readiness and regulatory impact",IF($P159="partial","Close the known data gaps",IF($P159="ready","","Data is not available; reshape or park"))),IF($R159&lt;&gt;"",IF(OR(ISNUMBER(SEARCH("mrm",$R159)),ISNUMBER(SEARCH("model",$R159)),ISNUMBER(SEARCH("risk",$R159)),ISNUMBER(SEARCH("legal",$R159)),ISNUMBER(SEARCH("complian",$R159))),"Awaiting ","Held at the design gate: ")&amp;$R159,"Map the governance framework for its tier"),IF($L159="","Size the annual benefit",IF($N159="","Score it so it can be ranked against capacity","")),IF($R159&lt;&gt;"","Build held: "&amp;$R159,"In build, not yet through test"),IF($R159&lt;&gt;"","Not ready to scale: "&amp;$R159,"Monitoring and third-party review not yet signed off"),IF($Q159="Y","","Live without a measured baseline to judge it against")))</f>
        <v/>
      </c>
      <c r="AJ159" s="65" t="str">
        <f aca="false">IF($Y159="","",INDEX(StageForum,$Y159))</f>
        <v/>
      </c>
      <c r="AK159" s="65" t="str">
        <f aca="false">IF($Y159="","",IF(OR($X159="Delivery",$X159="Value"),"Committed",IF($N159&lt;&gt;"","Candidate","")))</f>
        <v/>
      </c>
      <c r="AL159" s="65" t="str">
        <f aca="false">IF($AK159&lt;&gt;"Candidate","",COUNTIFS($AK$2:$AK$501,"Candidate",$N$2:$N$501,"&gt;"&amp;$N159)+COUNTIFS($AK$2:$AK$501,"Candidate",$N$2:$N$501,$N159,$A$2:$A$501,"&lt;"&amp;$A159)+1)</f>
        <v/>
      </c>
      <c r="AM159" s="65" t="str">
        <f aca="false">IF($AL159="","",SUMIFS($M$2:$M$501,$AK$2:$AK$501,"Candidate",$AL$2:$AL$501,"&lt;="&amp;$AL159))</f>
        <v/>
      </c>
      <c r="AN159" s="65" t="str">
        <f aca="false">IF($AL159="","",IF($AM159&lt;=CapacityOpen,"Fits","Below line"))</f>
        <v/>
      </c>
      <c r="AO159" s="65" t="str">
        <f aca="false">IF($A159="","",IF($X159="Closed","",IF($X159="Unmapped","Warning",IF(OR($AB159="Overdue",$V159="Y",$AH159="Critical"),"Critical",IF(OR($AB159="At risk",$AC159="Stale",$AG159="Over"),"Warning","")))))</f>
        <v/>
      </c>
      <c r="AP159" s="65" t="str">
        <f aca="false">IF($AO159="","",IF($AO159="Critical",3000,2000)-IF($Z159="",0,$Z159)+ROW()/100000)</f>
        <v/>
      </c>
      <c r="AQ159" s="65" t="str">
        <f aca="false">IF($AO159="","",IF($X159="Unmapped","Status '"&amp;$C159&amp;"' is not in the Config map",IF($V159="Y","Flagged in Jira",IF($AB159="Overdue",-$Z159&amp;" days past its "&amp;$X159&amp;" target",IF($AH159="Critical",$AI159,IF($AB159="At risk","Target in "&amp;$Z159&amp;" days",IF($AC159="Stale","No update in "&amp;$AA159&amp;" days","Past its "&amp;$AE159&amp;"-day tier window")))))))</f>
        <v/>
      </c>
      <c r="AR159" s="65" t="str">
        <f aca="false">IF($AO159="","","draft Jira update for "&amp;$A159)</f>
        <v/>
      </c>
      <c r="AS159" s="65" t="str">
        <f aca="false">IF($A159="","",HYPERLINK(JiraSite&amp;"/browse/"&amp;$A159,"open"))</f>
        <v/>
      </c>
      <c r="AT159" s="65" t="str">
        <f aca="false">IF($Y159="","",$Y159*1000+ROW())</f>
        <v/>
      </c>
      <c r="AU159" s="65" t="str">
        <f aca="false">IF(AND($A159&lt;&gt;"",$G159&gt;=WeekStart),$G159+ROW()/100000,"")</f>
        <v/>
      </c>
      <c r="AV159" s="65" t="str">
        <f aca="false">IF($A159="","",IF(OR(AND($S159&lt;&gt;"",$S159&gt;=WeekStart),AND($U159&lt;&gt;"",$U159&gt;=WeekStart)),MAX($S159,$U159)+ROW()/100000,""))</f>
        <v/>
      </c>
      <c r="AW159" s="65" t="str">
        <f aca="false">IF($AV159="","",IF($T159&lt;&gt;"",$T159,IF($X159="Closed","Closed","Accepted to "&amp;$X159)))</f>
        <v/>
      </c>
      <c r="AX159" s="65" t="str">
        <f aca="false">IF(AND($Y159&lt;&gt;"",$R159&lt;&gt;""),$AF159+ROW()/100000,"")</f>
        <v/>
      </c>
      <c r="AY159" s="65" t="str">
        <f aca="false">IF(AND($Y159&lt;&gt;"",OR($AB159="Overdue",AND($AH159="Critical",$R159&lt;&gt;""))),$AF159+ROW()/100000,"")</f>
        <v/>
      </c>
      <c r="AZ159" s="65" t="str">
        <f aca="false">IF($AH159="Critical",$AF159+ROW()/100000,"")</f>
        <v/>
      </c>
    </row>
    <row r="160" customFormat="false" ht="15" hidden="false" customHeight="false" outlineLevel="0" collapsed="false">
      <c r="A160" s="28"/>
      <c r="B160" s="28"/>
      <c r="C160" s="28"/>
      <c r="D160" s="28"/>
      <c r="E160" s="28"/>
      <c r="F160" s="28"/>
      <c r="G160" s="63"/>
      <c r="H160" s="63"/>
      <c r="I160" s="63"/>
      <c r="J160" s="28"/>
      <c r="K160" s="28"/>
      <c r="L160" s="28"/>
      <c r="M160" s="28"/>
      <c r="N160" s="28"/>
      <c r="O160" s="64"/>
      <c r="P160" s="64"/>
      <c r="Q160" s="64"/>
      <c r="R160" s="28"/>
      <c r="S160" s="63"/>
      <c r="T160" s="64"/>
      <c r="U160" s="63"/>
      <c r="V160" s="64"/>
      <c r="W160" s="28"/>
      <c r="X160" s="65" t="str">
        <f aca="false">IF($A160="","",IF(OR($T160&lt;&gt;"",$U160&lt;&gt;""),"Closed",IFERROR(INDEX(MapStage,MATCH($C160,MapStatus,0)),"Unmapped")))</f>
        <v/>
      </c>
      <c r="Y160" s="65" t="str">
        <f aca="false">IF(OR($X160="",$X160="Closed",$X160="Unmapped"),"",MATCH($X160,StageName,0))</f>
        <v/>
      </c>
      <c r="Z160" s="65" t="str">
        <f aca="false">IF(OR($Y160="",$I160=""),"",$I160-AsOf)</f>
        <v/>
      </c>
      <c r="AA160" s="65" t="str">
        <f aca="false">IF($A160="","",AsOf-$H160)</f>
        <v/>
      </c>
      <c r="AB160" s="65" t="str">
        <f aca="false">IF($A160="","",IF($X160="Closed","Closed",IF($X160="Unmapped","Unmapped",IF($I160="","No target",IF($Z160&lt;0,"Overdue",IF($Z160&lt;=INDEX(StageWindow,$Y160),"At risk","On track"))))))</f>
        <v/>
      </c>
      <c r="AC160" s="65" t="str">
        <f aca="false">IF($Y160="","",IF($AA160&gt;2*INDEX(StageStale,$Y160),"Stale",IF($AA160&gt;INDEX(StageStale,$Y160),"Aging","Fresh")))</f>
        <v/>
      </c>
      <c r="AD160" s="65" t="str">
        <f aca="false">IF($A160="","",IF(OR(ISNUMBER(SEARCH("Reg report",$J160)),ISNUMBER(SEARCH("No human review",$J160)),COUNTIF(TierFuncs,$D160)&gt;0),"High",IF(OR(TRIM($J160)&lt;&gt;"",ISNUMBER(SEARCH("revenue",$K160))),"Medium","Low")))</f>
        <v/>
      </c>
      <c r="AE160" s="65" t="str">
        <f aca="false">IF($A160="","",INDEX(TierDays,MATCH($AD160,TierName,0)))</f>
        <v/>
      </c>
      <c r="AF160" s="65" t="str">
        <f aca="false">IF($A160="","",AsOf-$G160)</f>
        <v/>
      </c>
      <c r="AG160" s="65" t="str">
        <f aca="false">IF($Y160="","",IF($Y160&lt;=5,IF($AF160&gt;$AE160,"Over","Inside"),"Past approval"))</f>
        <v/>
      </c>
      <c r="AH160" s="65" t="str">
        <f aca="false">IF($Y160="","",CHOOSE($Y160,IF(OR(TRIM($F160)="",ISNUMBER(SEARCH("not named",$F160))),"Critical","Good"),IF($O160&lt;&gt;"Y","Critical",IF($Q160&lt;&gt;"Y","Warning","Good")),IF($P160="","Critical",IF($P160="partial","Warning",IF($P160="ready","Good","Critical"))),IF($R160&lt;&gt;"","Critical","Warning"),IF($L160="","Critical",IF($N160="","Warning","Good")),IF($R160&lt;&gt;"","Critical","Warning"),IF($R160&lt;&gt;"","Critical","Warning"),IF($Q160="Y","Good","Critical")))</f>
        <v/>
      </c>
      <c r="AI160" s="65" t="str">
        <f aca="false">IF($Y160="","",CHOOSE($Y160,IF(OR(TRIM($F160)="",ISNUMBER(SEARCH("not named",$F160))),"Name a sponsor accountable for the value",""),IF($O160&lt;&gt;"Y","State the success metric and the stop condition",IF($Q160&lt;&gt;"Y","Set the baseline the benefit will be measured against","")),IF($P160="","Assess data readiness and regulatory impact",IF($P160="partial","Close the known data gaps",IF($P160="ready","","Data is not available; reshape or park"))),IF($R160&lt;&gt;"",IF(OR(ISNUMBER(SEARCH("mrm",$R160)),ISNUMBER(SEARCH("model",$R160)),ISNUMBER(SEARCH("risk",$R160)),ISNUMBER(SEARCH("legal",$R160)),ISNUMBER(SEARCH("complian",$R160))),"Awaiting ","Held at the design gate: ")&amp;$R160,"Map the governance framework for its tier"),IF($L160="","Size the annual benefit",IF($N160="","Score it so it can be ranked against capacity","")),IF($R160&lt;&gt;"","Build held: "&amp;$R160,"In build, not yet through test"),IF($R160&lt;&gt;"","Not ready to scale: "&amp;$R160,"Monitoring and third-party review not yet signed off"),IF($Q160="Y","","Live without a measured baseline to judge it against")))</f>
        <v/>
      </c>
      <c r="AJ160" s="65" t="str">
        <f aca="false">IF($Y160="","",INDEX(StageForum,$Y160))</f>
        <v/>
      </c>
      <c r="AK160" s="65" t="str">
        <f aca="false">IF($Y160="","",IF(OR($X160="Delivery",$X160="Value"),"Committed",IF($N160&lt;&gt;"","Candidate","")))</f>
        <v/>
      </c>
      <c r="AL160" s="65" t="str">
        <f aca="false">IF($AK160&lt;&gt;"Candidate","",COUNTIFS($AK$2:$AK$501,"Candidate",$N$2:$N$501,"&gt;"&amp;$N160)+COUNTIFS($AK$2:$AK$501,"Candidate",$N$2:$N$501,$N160,$A$2:$A$501,"&lt;"&amp;$A160)+1)</f>
        <v/>
      </c>
      <c r="AM160" s="65" t="str">
        <f aca="false">IF($AL160="","",SUMIFS($M$2:$M$501,$AK$2:$AK$501,"Candidate",$AL$2:$AL$501,"&lt;="&amp;$AL160))</f>
        <v/>
      </c>
      <c r="AN160" s="65" t="str">
        <f aca="false">IF($AL160="","",IF($AM160&lt;=CapacityOpen,"Fits","Below line"))</f>
        <v/>
      </c>
      <c r="AO160" s="65" t="str">
        <f aca="false">IF($A160="","",IF($X160="Closed","",IF($X160="Unmapped","Warning",IF(OR($AB160="Overdue",$V160="Y",$AH160="Critical"),"Critical",IF(OR($AB160="At risk",$AC160="Stale",$AG160="Over"),"Warning","")))))</f>
        <v/>
      </c>
      <c r="AP160" s="65" t="str">
        <f aca="false">IF($AO160="","",IF($AO160="Critical",3000,2000)-IF($Z160="",0,$Z160)+ROW()/100000)</f>
        <v/>
      </c>
      <c r="AQ160" s="65" t="str">
        <f aca="false">IF($AO160="","",IF($X160="Unmapped","Status '"&amp;$C160&amp;"' is not in the Config map",IF($V160="Y","Flagged in Jira",IF($AB160="Overdue",-$Z160&amp;" days past its "&amp;$X160&amp;" target",IF($AH160="Critical",$AI160,IF($AB160="At risk","Target in "&amp;$Z160&amp;" days",IF($AC160="Stale","No update in "&amp;$AA160&amp;" days","Past its "&amp;$AE160&amp;"-day tier window")))))))</f>
        <v/>
      </c>
      <c r="AR160" s="65" t="str">
        <f aca="false">IF($AO160="","","draft Jira update for "&amp;$A160)</f>
        <v/>
      </c>
      <c r="AS160" s="65" t="str">
        <f aca="false">IF($A160="","",HYPERLINK(JiraSite&amp;"/browse/"&amp;$A160,"open"))</f>
        <v/>
      </c>
      <c r="AT160" s="65" t="str">
        <f aca="false">IF($Y160="","",$Y160*1000+ROW())</f>
        <v/>
      </c>
      <c r="AU160" s="65" t="str">
        <f aca="false">IF(AND($A160&lt;&gt;"",$G160&gt;=WeekStart),$G160+ROW()/100000,"")</f>
        <v/>
      </c>
      <c r="AV160" s="65" t="str">
        <f aca="false">IF($A160="","",IF(OR(AND($S160&lt;&gt;"",$S160&gt;=WeekStart),AND($U160&lt;&gt;"",$U160&gt;=WeekStart)),MAX($S160,$U160)+ROW()/100000,""))</f>
        <v/>
      </c>
      <c r="AW160" s="65" t="str">
        <f aca="false">IF($AV160="","",IF($T160&lt;&gt;"",$T160,IF($X160="Closed","Closed","Accepted to "&amp;$X160)))</f>
        <v/>
      </c>
      <c r="AX160" s="65" t="str">
        <f aca="false">IF(AND($Y160&lt;&gt;"",$R160&lt;&gt;""),$AF160+ROW()/100000,"")</f>
        <v/>
      </c>
      <c r="AY160" s="65" t="str">
        <f aca="false">IF(AND($Y160&lt;&gt;"",OR($AB160="Overdue",AND($AH160="Critical",$R160&lt;&gt;""))),$AF160+ROW()/100000,"")</f>
        <v/>
      </c>
      <c r="AZ160" s="65" t="str">
        <f aca="false">IF($AH160="Critical",$AF160+ROW()/100000,"")</f>
        <v/>
      </c>
    </row>
    <row r="161" customFormat="false" ht="15" hidden="false" customHeight="false" outlineLevel="0" collapsed="false">
      <c r="A161" s="28"/>
      <c r="B161" s="28"/>
      <c r="C161" s="28"/>
      <c r="D161" s="28"/>
      <c r="E161" s="28"/>
      <c r="F161" s="28"/>
      <c r="G161" s="63"/>
      <c r="H161" s="63"/>
      <c r="I161" s="63"/>
      <c r="J161" s="28"/>
      <c r="K161" s="28"/>
      <c r="L161" s="28"/>
      <c r="M161" s="28"/>
      <c r="N161" s="28"/>
      <c r="O161" s="64"/>
      <c r="P161" s="64"/>
      <c r="Q161" s="64"/>
      <c r="R161" s="28"/>
      <c r="S161" s="63"/>
      <c r="T161" s="64"/>
      <c r="U161" s="63"/>
      <c r="V161" s="64"/>
      <c r="W161" s="28"/>
      <c r="X161" s="65" t="str">
        <f aca="false">IF($A161="","",IF(OR($T161&lt;&gt;"",$U161&lt;&gt;""),"Closed",IFERROR(INDEX(MapStage,MATCH($C161,MapStatus,0)),"Unmapped")))</f>
        <v/>
      </c>
      <c r="Y161" s="65" t="str">
        <f aca="false">IF(OR($X161="",$X161="Closed",$X161="Unmapped"),"",MATCH($X161,StageName,0))</f>
        <v/>
      </c>
      <c r="Z161" s="65" t="str">
        <f aca="false">IF(OR($Y161="",$I161=""),"",$I161-AsOf)</f>
        <v/>
      </c>
      <c r="AA161" s="65" t="str">
        <f aca="false">IF($A161="","",AsOf-$H161)</f>
        <v/>
      </c>
      <c r="AB161" s="65" t="str">
        <f aca="false">IF($A161="","",IF($X161="Closed","Closed",IF($X161="Unmapped","Unmapped",IF($I161="","No target",IF($Z161&lt;0,"Overdue",IF($Z161&lt;=INDEX(StageWindow,$Y161),"At risk","On track"))))))</f>
        <v/>
      </c>
      <c r="AC161" s="65" t="str">
        <f aca="false">IF($Y161="","",IF($AA161&gt;2*INDEX(StageStale,$Y161),"Stale",IF($AA161&gt;INDEX(StageStale,$Y161),"Aging","Fresh")))</f>
        <v/>
      </c>
      <c r="AD161" s="65" t="str">
        <f aca="false">IF($A161="","",IF(OR(ISNUMBER(SEARCH("Reg report",$J161)),ISNUMBER(SEARCH("No human review",$J161)),COUNTIF(TierFuncs,$D161)&gt;0),"High",IF(OR(TRIM($J161)&lt;&gt;"",ISNUMBER(SEARCH("revenue",$K161))),"Medium","Low")))</f>
        <v/>
      </c>
      <c r="AE161" s="65" t="str">
        <f aca="false">IF($A161="","",INDEX(TierDays,MATCH($AD161,TierName,0)))</f>
        <v/>
      </c>
      <c r="AF161" s="65" t="str">
        <f aca="false">IF($A161="","",AsOf-$G161)</f>
        <v/>
      </c>
      <c r="AG161" s="65" t="str">
        <f aca="false">IF($Y161="","",IF($Y161&lt;=5,IF($AF161&gt;$AE161,"Over","Inside"),"Past approval"))</f>
        <v/>
      </c>
      <c r="AH161" s="65" t="str">
        <f aca="false">IF($Y161="","",CHOOSE($Y161,IF(OR(TRIM($F161)="",ISNUMBER(SEARCH("not named",$F161))),"Critical","Good"),IF($O161&lt;&gt;"Y","Critical",IF($Q161&lt;&gt;"Y","Warning","Good")),IF($P161="","Critical",IF($P161="partial","Warning",IF($P161="ready","Good","Critical"))),IF($R161&lt;&gt;"","Critical","Warning"),IF($L161="","Critical",IF($N161="","Warning","Good")),IF($R161&lt;&gt;"","Critical","Warning"),IF($R161&lt;&gt;"","Critical","Warning"),IF($Q161="Y","Good","Critical")))</f>
        <v/>
      </c>
      <c r="AI161" s="65" t="str">
        <f aca="false">IF($Y161="","",CHOOSE($Y161,IF(OR(TRIM($F161)="",ISNUMBER(SEARCH("not named",$F161))),"Name a sponsor accountable for the value",""),IF($O161&lt;&gt;"Y","State the success metric and the stop condition",IF($Q161&lt;&gt;"Y","Set the baseline the benefit will be measured against","")),IF($P161="","Assess data readiness and regulatory impact",IF($P161="partial","Close the known data gaps",IF($P161="ready","","Data is not available; reshape or park"))),IF($R161&lt;&gt;"",IF(OR(ISNUMBER(SEARCH("mrm",$R161)),ISNUMBER(SEARCH("model",$R161)),ISNUMBER(SEARCH("risk",$R161)),ISNUMBER(SEARCH("legal",$R161)),ISNUMBER(SEARCH("complian",$R161))),"Awaiting ","Held at the design gate: ")&amp;$R161,"Map the governance framework for its tier"),IF($L161="","Size the annual benefit",IF($N161="","Score it so it can be ranked against capacity","")),IF($R161&lt;&gt;"","Build held: "&amp;$R161,"In build, not yet through test"),IF($R161&lt;&gt;"","Not ready to scale: "&amp;$R161,"Monitoring and third-party review not yet signed off"),IF($Q161="Y","","Live without a measured baseline to judge it against")))</f>
        <v/>
      </c>
      <c r="AJ161" s="65" t="str">
        <f aca="false">IF($Y161="","",INDEX(StageForum,$Y161))</f>
        <v/>
      </c>
      <c r="AK161" s="65" t="str">
        <f aca="false">IF($Y161="","",IF(OR($X161="Delivery",$X161="Value"),"Committed",IF($N161&lt;&gt;"","Candidate","")))</f>
        <v/>
      </c>
      <c r="AL161" s="65" t="str">
        <f aca="false">IF($AK161&lt;&gt;"Candidate","",COUNTIFS($AK$2:$AK$501,"Candidate",$N$2:$N$501,"&gt;"&amp;$N161)+COUNTIFS($AK$2:$AK$501,"Candidate",$N$2:$N$501,$N161,$A$2:$A$501,"&lt;"&amp;$A161)+1)</f>
        <v/>
      </c>
      <c r="AM161" s="65" t="str">
        <f aca="false">IF($AL161="","",SUMIFS($M$2:$M$501,$AK$2:$AK$501,"Candidate",$AL$2:$AL$501,"&lt;="&amp;$AL161))</f>
        <v/>
      </c>
      <c r="AN161" s="65" t="str">
        <f aca="false">IF($AL161="","",IF($AM161&lt;=CapacityOpen,"Fits","Below line"))</f>
        <v/>
      </c>
      <c r="AO161" s="65" t="str">
        <f aca="false">IF($A161="","",IF($X161="Closed","",IF($X161="Unmapped","Warning",IF(OR($AB161="Overdue",$V161="Y",$AH161="Critical"),"Critical",IF(OR($AB161="At risk",$AC161="Stale",$AG161="Over"),"Warning","")))))</f>
        <v/>
      </c>
      <c r="AP161" s="65" t="str">
        <f aca="false">IF($AO161="","",IF($AO161="Critical",3000,2000)-IF($Z161="",0,$Z161)+ROW()/100000)</f>
        <v/>
      </c>
      <c r="AQ161" s="65" t="str">
        <f aca="false">IF($AO161="","",IF($X161="Unmapped","Status '"&amp;$C161&amp;"' is not in the Config map",IF($V161="Y","Flagged in Jira",IF($AB161="Overdue",-$Z161&amp;" days past its "&amp;$X161&amp;" target",IF($AH161="Critical",$AI161,IF($AB161="At risk","Target in "&amp;$Z161&amp;" days",IF($AC161="Stale","No update in "&amp;$AA161&amp;" days","Past its "&amp;$AE161&amp;"-day tier window")))))))</f>
        <v/>
      </c>
      <c r="AR161" s="65" t="str">
        <f aca="false">IF($AO161="","","draft Jira update for "&amp;$A161)</f>
        <v/>
      </c>
      <c r="AS161" s="65" t="str">
        <f aca="false">IF($A161="","",HYPERLINK(JiraSite&amp;"/browse/"&amp;$A161,"open"))</f>
        <v/>
      </c>
      <c r="AT161" s="65" t="str">
        <f aca="false">IF($Y161="","",$Y161*1000+ROW())</f>
        <v/>
      </c>
      <c r="AU161" s="65" t="str">
        <f aca="false">IF(AND($A161&lt;&gt;"",$G161&gt;=WeekStart),$G161+ROW()/100000,"")</f>
        <v/>
      </c>
      <c r="AV161" s="65" t="str">
        <f aca="false">IF($A161="","",IF(OR(AND($S161&lt;&gt;"",$S161&gt;=WeekStart),AND($U161&lt;&gt;"",$U161&gt;=WeekStart)),MAX($S161,$U161)+ROW()/100000,""))</f>
        <v/>
      </c>
      <c r="AW161" s="65" t="str">
        <f aca="false">IF($AV161="","",IF($T161&lt;&gt;"",$T161,IF($X161="Closed","Closed","Accepted to "&amp;$X161)))</f>
        <v/>
      </c>
      <c r="AX161" s="65" t="str">
        <f aca="false">IF(AND($Y161&lt;&gt;"",$R161&lt;&gt;""),$AF161+ROW()/100000,"")</f>
        <v/>
      </c>
      <c r="AY161" s="65" t="str">
        <f aca="false">IF(AND($Y161&lt;&gt;"",OR($AB161="Overdue",AND($AH161="Critical",$R161&lt;&gt;""))),$AF161+ROW()/100000,"")</f>
        <v/>
      </c>
      <c r="AZ161" s="65" t="str">
        <f aca="false">IF($AH161="Critical",$AF161+ROW()/100000,"")</f>
        <v/>
      </c>
    </row>
    <row r="162" customFormat="false" ht="15" hidden="false" customHeight="false" outlineLevel="0" collapsed="false">
      <c r="A162" s="28"/>
      <c r="B162" s="28"/>
      <c r="C162" s="28"/>
      <c r="D162" s="28"/>
      <c r="E162" s="28"/>
      <c r="F162" s="28"/>
      <c r="G162" s="63"/>
      <c r="H162" s="63"/>
      <c r="I162" s="63"/>
      <c r="J162" s="28"/>
      <c r="K162" s="28"/>
      <c r="L162" s="28"/>
      <c r="M162" s="28"/>
      <c r="N162" s="28"/>
      <c r="O162" s="64"/>
      <c r="P162" s="64"/>
      <c r="Q162" s="64"/>
      <c r="R162" s="28"/>
      <c r="S162" s="63"/>
      <c r="T162" s="64"/>
      <c r="U162" s="63"/>
      <c r="V162" s="64"/>
      <c r="W162" s="28"/>
      <c r="X162" s="65" t="str">
        <f aca="false">IF($A162="","",IF(OR($T162&lt;&gt;"",$U162&lt;&gt;""),"Closed",IFERROR(INDEX(MapStage,MATCH($C162,MapStatus,0)),"Unmapped")))</f>
        <v/>
      </c>
      <c r="Y162" s="65" t="str">
        <f aca="false">IF(OR($X162="",$X162="Closed",$X162="Unmapped"),"",MATCH($X162,StageName,0))</f>
        <v/>
      </c>
      <c r="Z162" s="65" t="str">
        <f aca="false">IF(OR($Y162="",$I162=""),"",$I162-AsOf)</f>
        <v/>
      </c>
      <c r="AA162" s="65" t="str">
        <f aca="false">IF($A162="","",AsOf-$H162)</f>
        <v/>
      </c>
      <c r="AB162" s="65" t="str">
        <f aca="false">IF($A162="","",IF($X162="Closed","Closed",IF($X162="Unmapped","Unmapped",IF($I162="","No target",IF($Z162&lt;0,"Overdue",IF($Z162&lt;=INDEX(StageWindow,$Y162),"At risk","On track"))))))</f>
        <v/>
      </c>
      <c r="AC162" s="65" t="str">
        <f aca="false">IF($Y162="","",IF($AA162&gt;2*INDEX(StageStale,$Y162),"Stale",IF($AA162&gt;INDEX(StageStale,$Y162),"Aging","Fresh")))</f>
        <v/>
      </c>
      <c r="AD162" s="65" t="str">
        <f aca="false">IF($A162="","",IF(OR(ISNUMBER(SEARCH("Reg report",$J162)),ISNUMBER(SEARCH("No human review",$J162)),COUNTIF(TierFuncs,$D162)&gt;0),"High",IF(OR(TRIM($J162)&lt;&gt;"",ISNUMBER(SEARCH("revenue",$K162))),"Medium","Low")))</f>
        <v/>
      </c>
      <c r="AE162" s="65" t="str">
        <f aca="false">IF($A162="","",INDEX(TierDays,MATCH($AD162,TierName,0)))</f>
        <v/>
      </c>
      <c r="AF162" s="65" t="str">
        <f aca="false">IF($A162="","",AsOf-$G162)</f>
        <v/>
      </c>
      <c r="AG162" s="65" t="str">
        <f aca="false">IF($Y162="","",IF($Y162&lt;=5,IF($AF162&gt;$AE162,"Over","Inside"),"Past approval"))</f>
        <v/>
      </c>
      <c r="AH162" s="65" t="str">
        <f aca="false">IF($Y162="","",CHOOSE($Y162,IF(OR(TRIM($F162)="",ISNUMBER(SEARCH("not named",$F162))),"Critical","Good"),IF($O162&lt;&gt;"Y","Critical",IF($Q162&lt;&gt;"Y","Warning","Good")),IF($P162="","Critical",IF($P162="partial","Warning",IF($P162="ready","Good","Critical"))),IF($R162&lt;&gt;"","Critical","Warning"),IF($L162="","Critical",IF($N162="","Warning","Good")),IF($R162&lt;&gt;"","Critical","Warning"),IF($R162&lt;&gt;"","Critical","Warning"),IF($Q162="Y","Good","Critical")))</f>
        <v/>
      </c>
      <c r="AI162" s="65" t="str">
        <f aca="false">IF($Y162="","",CHOOSE($Y162,IF(OR(TRIM($F162)="",ISNUMBER(SEARCH("not named",$F162))),"Name a sponsor accountable for the value",""),IF($O162&lt;&gt;"Y","State the success metric and the stop condition",IF($Q162&lt;&gt;"Y","Set the baseline the benefit will be measured against","")),IF($P162="","Assess data readiness and regulatory impact",IF($P162="partial","Close the known data gaps",IF($P162="ready","","Data is not available; reshape or park"))),IF($R162&lt;&gt;"",IF(OR(ISNUMBER(SEARCH("mrm",$R162)),ISNUMBER(SEARCH("model",$R162)),ISNUMBER(SEARCH("risk",$R162)),ISNUMBER(SEARCH("legal",$R162)),ISNUMBER(SEARCH("complian",$R162))),"Awaiting ","Held at the design gate: ")&amp;$R162,"Map the governance framework for its tier"),IF($L162="","Size the annual benefit",IF($N162="","Score it so it can be ranked against capacity","")),IF($R162&lt;&gt;"","Build held: "&amp;$R162,"In build, not yet through test"),IF($R162&lt;&gt;"","Not ready to scale: "&amp;$R162,"Monitoring and third-party review not yet signed off"),IF($Q162="Y","","Live without a measured baseline to judge it against")))</f>
        <v/>
      </c>
      <c r="AJ162" s="65" t="str">
        <f aca="false">IF($Y162="","",INDEX(StageForum,$Y162))</f>
        <v/>
      </c>
      <c r="AK162" s="65" t="str">
        <f aca="false">IF($Y162="","",IF(OR($X162="Delivery",$X162="Value"),"Committed",IF($N162&lt;&gt;"","Candidate","")))</f>
        <v/>
      </c>
      <c r="AL162" s="65" t="str">
        <f aca="false">IF($AK162&lt;&gt;"Candidate","",COUNTIFS($AK$2:$AK$501,"Candidate",$N$2:$N$501,"&gt;"&amp;$N162)+COUNTIFS($AK$2:$AK$501,"Candidate",$N$2:$N$501,$N162,$A$2:$A$501,"&lt;"&amp;$A162)+1)</f>
        <v/>
      </c>
      <c r="AM162" s="65" t="str">
        <f aca="false">IF($AL162="","",SUMIFS($M$2:$M$501,$AK$2:$AK$501,"Candidate",$AL$2:$AL$501,"&lt;="&amp;$AL162))</f>
        <v/>
      </c>
      <c r="AN162" s="65" t="str">
        <f aca="false">IF($AL162="","",IF($AM162&lt;=CapacityOpen,"Fits","Below line"))</f>
        <v/>
      </c>
      <c r="AO162" s="65" t="str">
        <f aca="false">IF($A162="","",IF($X162="Closed","",IF($X162="Unmapped","Warning",IF(OR($AB162="Overdue",$V162="Y",$AH162="Critical"),"Critical",IF(OR($AB162="At risk",$AC162="Stale",$AG162="Over"),"Warning","")))))</f>
        <v/>
      </c>
      <c r="AP162" s="65" t="str">
        <f aca="false">IF($AO162="","",IF($AO162="Critical",3000,2000)-IF($Z162="",0,$Z162)+ROW()/100000)</f>
        <v/>
      </c>
      <c r="AQ162" s="65" t="str">
        <f aca="false">IF($AO162="","",IF($X162="Unmapped","Status '"&amp;$C162&amp;"' is not in the Config map",IF($V162="Y","Flagged in Jira",IF($AB162="Overdue",-$Z162&amp;" days past its "&amp;$X162&amp;" target",IF($AH162="Critical",$AI162,IF($AB162="At risk","Target in "&amp;$Z162&amp;" days",IF($AC162="Stale","No update in "&amp;$AA162&amp;" days","Past its "&amp;$AE162&amp;"-day tier window")))))))</f>
        <v/>
      </c>
      <c r="AR162" s="65" t="str">
        <f aca="false">IF($AO162="","","draft Jira update for "&amp;$A162)</f>
        <v/>
      </c>
      <c r="AS162" s="65" t="str">
        <f aca="false">IF($A162="","",HYPERLINK(JiraSite&amp;"/browse/"&amp;$A162,"open"))</f>
        <v/>
      </c>
      <c r="AT162" s="65" t="str">
        <f aca="false">IF($Y162="","",$Y162*1000+ROW())</f>
        <v/>
      </c>
      <c r="AU162" s="65" t="str">
        <f aca="false">IF(AND($A162&lt;&gt;"",$G162&gt;=WeekStart),$G162+ROW()/100000,"")</f>
        <v/>
      </c>
      <c r="AV162" s="65" t="str">
        <f aca="false">IF($A162="","",IF(OR(AND($S162&lt;&gt;"",$S162&gt;=WeekStart),AND($U162&lt;&gt;"",$U162&gt;=WeekStart)),MAX($S162,$U162)+ROW()/100000,""))</f>
        <v/>
      </c>
      <c r="AW162" s="65" t="str">
        <f aca="false">IF($AV162="","",IF($T162&lt;&gt;"",$T162,IF($X162="Closed","Closed","Accepted to "&amp;$X162)))</f>
        <v/>
      </c>
      <c r="AX162" s="65" t="str">
        <f aca="false">IF(AND($Y162&lt;&gt;"",$R162&lt;&gt;""),$AF162+ROW()/100000,"")</f>
        <v/>
      </c>
      <c r="AY162" s="65" t="str">
        <f aca="false">IF(AND($Y162&lt;&gt;"",OR($AB162="Overdue",AND($AH162="Critical",$R162&lt;&gt;""))),$AF162+ROW()/100000,"")</f>
        <v/>
      </c>
      <c r="AZ162" s="65" t="str">
        <f aca="false">IF($AH162="Critical",$AF162+ROW()/100000,"")</f>
        <v/>
      </c>
    </row>
    <row r="163" customFormat="false" ht="15" hidden="false" customHeight="false" outlineLevel="0" collapsed="false">
      <c r="A163" s="28"/>
      <c r="B163" s="28"/>
      <c r="C163" s="28"/>
      <c r="D163" s="28"/>
      <c r="E163" s="28"/>
      <c r="F163" s="28"/>
      <c r="G163" s="63"/>
      <c r="H163" s="63"/>
      <c r="I163" s="63"/>
      <c r="J163" s="28"/>
      <c r="K163" s="28"/>
      <c r="L163" s="28"/>
      <c r="M163" s="28"/>
      <c r="N163" s="28"/>
      <c r="O163" s="64"/>
      <c r="P163" s="64"/>
      <c r="Q163" s="64"/>
      <c r="R163" s="28"/>
      <c r="S163" s="63"/>
      <c r="T163" s="64"/>
      <c r="U163" s="63"/>
      <c r="V163" s="64"/>
      <c r="W163" s="28"/>
      <c r="X163" s="65" t="str">
        <f aca="false">IF($A163="","",IF(OR($T163&lt;&gt;"",$U163&lt;&gt;""),"Closed",IFERROR(INDEX(MapStage,MATCH($C163,MapStatus,0)),"Unmapped")))</f>
        <v/>
      </c>
      <c r="Y163" s="65" t="str">
        <f aca="false">IF(OR($X163="",$X163="Closed",$X163="Unmapped"),"",MATCH($X163,StageName,0))</f>
        <v/>
      </c>
      <c r="Z163" s="65" t="str">
        <f aca="false">IF(OR($Y163="",$I163=""),"",$I163-AsOf)</f>
        <v/>
      </c>
      <c r="AA163" s="65" t="str">
        <f aca="false">IF($A163="","",AsOf-$H163)</f>
        <v/>
      </c>
      <c r="AB163" s="65" t="str">
        <f aca="false">IF($A163="","",IF($X163="Closed","Closed",IF($X163="Unmapped","Unmapped",IF($I163="","No target",IF($Z163&lt;0,"Overdue",IF($Z163&lt;=INDEX(StageWindow,$Y163),"At risk","On track"))))))</f>
        <v/>
      </c>
      <c r="AC163" s="65" t="str">
        <f aca="false">IF($Y163="","",IF($AA163&gt;2*INDEX(StageStale,$Y163),"Stale",IF($AA163&gt;INDEX(StageStale,$Y163),"Aging","Fresh")))</f>
        <v/>
      </c>
      <c r="AD163" s="65" t="str">
        <f aca="false">IF($A163="","",IF(OR(ISNUMBER(SEARCH("Reg report",$J163)),ISNUMBER(SEARCH("No human review",$J163)),COUNTIF(TierFuncs,$D163)&gt;0),"High",IF(OR(TRIM($J163)&lt;&gt;"",ISNUMBER(SEARCH("revenue",$K163))),"Medium","Low")))</f>
        <v/>
      </c>
      <c r="AE163" s="65" t="str">
        <f aca="false">IF($A163="","",INDEX(TierDays,MATCH($AD163,TierName,0)))</f>
        <v/>
      </c>
      <c r="AF163" s="65" t="str">
        <f aca="false">IF($A163="","",AsOf-$G163)</f>
        <v/>
      </c>
      <c r="AG163" s="65" t="str">
        <f aca="false">IF($Y163="","",IF($Y163&lt;=5,IF($AF163&gt;$AE163,"Over","Inside"),"Past approval"))</f>
        <v/>
      </c>
      <c r="AH163" s="65" t="str">
        <f aca="false">IF($Y163="","",CHOOSE($Y163,IF(OR(TRIM($F163)="",ISNUMBER(SEARCH("not named",$F163))),"Critical","Good"),IF($O163&lt;&gt;"Y","Critical",IF($Q163&lt;&gt;"Y","Warning","Good")),IF($P163="","Critical",IF($P163="partial","Warning",IF($P163="ready","Good","Critical"))),IF($R163&lt;&gt;"","Critical","Warning"),IF($L163="","Critical",IF($N163="","Warning","Good")),IF($R163&lt;&gt;"","Critical","Warning"),IF($R163&lt;&gt;"","Critical","Warning"),IF($Q163="Y","Good","Critical")))</f>
        <v/>
      </c>
      <c r="AI163" s="65" t="str">
        <f aca="false">IF($Y163="","",CHOOSE($Y163,IF(OR(TRIM($F163)="",ISNUMBER(SEARCH("not named",$F163))),"Name a sponsor accountable for the value",""),IF($O163&lt;&gt;"Y","State the success metric and the stop condition",IF($Q163&lt;&gt;"Y","Set the baseline the benefit will be measured against","")),IF($P163="","Assess data readiness and regulatory impact",IF($P163="partial","Close the known data gaps",IF($P163="ready","","Data is not available; reshape or park"))),IF($R163&lt;&gt;"",IF(OR(ISNUMBER(SEARCH("mrm",$R163)),ISNUMBER(SEARCH("model",$R163)),ISNUMBER(SEARCH("risk",$R163)),ISNUMBER(SEARCH("legal",$R163)),ISNUMBER(SEARCH("complian",$R163))),"Awaiting ","Held at the design gate: ")&amp;$R163,"Map the governance framework for its tier"),IF($L163="","Size the annual benefit",IF($N163="","Score it so it can be ranked against capacity","")),IF($R163&lt;&gt;"","Build held: "&amp;$R163,"In build, not yet through test"),IF($R163&lt;&gt;"","Not ready to scale: "&amp;$R163,"Monitoring and third-party review not yet signed off"),IF($Q163="Y","","Live without a measured baseline to judge it against")))</f>
        <v/>
      </c>
      <c r="AJ163" s="65" t="str">
        <f aca="false">IF($Y163="","",INDEX(StageForum,$Y163))</f>
        <v/>
      </c>
      <c r="AK163" s="65" t="str">
        <f aca="false">IF($Y163="","",IF(OR($X163="Delivery",$X163="Value"),"Committed",IF($N163&lt;&gt;"","Candidate","")))</f>
        <v/>
      </c>
      <c r="AL163" s="65" t="str">
        <f aca="false">IF($AK163&lt;&gt;"Candidate","",COUNTIFS($AK$2:$AK$501,"Candidate",$N$2:$N$501,"&gt;"&amp;$N163)+COUNTIFS($AK$2:$AK$501,"Candidate",$N$2:$N$501,$N163,$A$2:$A$501,"&lt;"&amp;$A163)+1)</f>
        <v/>
      </c>
      <c r="AM163" s="65" t="str">
        <f aca="false">IF($AL163="","",SUMIFS($M$2:$M$501,$AK$2:$AK$501,"Candidate",$AL$2:$AL$501,"&lt;="&amp;$AL163))</f>
        <v/>
      </c>
      <c r="AN163" s="65" t="str">
        <f aca="false">IF($AL163="","",IF($AM163&lt;=CapacityOpen,"Fits","Below line"))</f>
        <v/>
      </c>
      <c r="AO163" s="65" t="str">
        <f aca="false">IF($A163="","",IF($X163="Closed","",IF($X163="Unmapped","Warning",IF(OR($AB163="Overdue",$V163="Y",$AH163="Critical"),"Critical",IF(OR($AB163="At risk",$AC163="Stale",$AG163="Over"),"Warning","")))))</f>
        <v/>
      </c>
      <c r="AP163" s="65" t="str">
        <f aca="false">IF($AO163="","",IF($AO163="Critical",3000,2000)-IF($Z163="",0,$Z163)+ROW()/100000)</f>
        <v/>
      </c>
      <c r="AQ163" s="65" t="str">
        <f aca="false">IF($AO163="","",IF($X163="Unmapped","Status '"&amp;$C163&amp;"' is not in the Config map",IF($V163="Y","Flagged in Jira",IF($AB163="Overdue",-$Z163&amp;" days past its "&amp;$X163&amp;" target",IF($AH163="Critical",$AI163,IF($AB163="At risk","Target in "&amp;$Z163&amp;" days",IF($AC163="Stale","No update in "&amp;$AA163&amp;" days","Past its "&amp;$AE163&amp;"-day tier window")))))))</f>
        <v/>
      </c>
      <c r="AR163" s="65" t="str">
        <f aca="false">IF($AO163="","","draft Jira update for "&amp;$A163)</f>
        <v/>
      </c>
      <c r="AS163" s="65" t="str">
        <f aca="false">IF($A163="","",HYPERLINK(JiraSite&amp;"/browse/"&amp;$A163,"open"))</f>
        <v/>
      </c>
      <c r="AT163" s="65" t="str">
        <f aca="false">IF($Y163="","",$Y163*1000+ROW())</f>
        <v/>
      </c>
      <c r="AU163" s="65" t="str">
        <f aca="false">IF(AND($A163&lt;&gt;"",$G163&gt;=WeekStart),$G163+ROW()/100000,"")</f>
        <v/>
      </c>
      <c r="AV163" s="65" t="str">
        <f aca="false">IF($A163="","",IF(OR(AND($S163&lt;&gt;"",$S163&gt;=WeekStart),AND($U163&lt;&gt;"",$U163&gt;=WeekStart)),MAX($S163,$U163)+ROW()/100000,""))</f>
        <v/>
      </c>
      <c r="AW163" s="65" t="str">
        <f aca="false">IF($AV163="","",IF($T163&lt;&gt;"",$T163,IF($X163="Closed","Closed","Accepted to "&amp;$X163)))</f>
        <v/>
      </c>
      <c r="AX163" s="65" t="str">
        <f aca="false">IF(AND($Y163&lt;&gt;"",$R163&lt;&gt;""),$AF163+ROW()/100000,"")</f>
        <v/>
      </c>
      <c r="AY163" s="65" t="str">
        <f aca="false">IF(AND($Y163&lt;&gt;"",OR($AB163="Overdue",AND($AH163="Critical",$R163&lt;&gt;""))),$AF163+ROW()/100000,"")</f>
        <v/>
      </c>
      <c r="AZ163" s="65" t="str">
        <f aca="false">IF($AH163="Critical",$AF163+ROW()/100000,"")</f>
        <v/>
      </c>
    </row>
    <row r="164" customFormat="false" ht="15" hidden="false" customHeight="false" outlineLevel="0" collapsed="false">
      <c r="A164" s="28"/>
      <c r="B164" s="28"/>
      <c r="C164" s="28"/>
      <c r="D164" s="28"/>
      <c r="E164" s="28"/>
      <c r="F164" s="28"/>
      <c r="G164" s="63"/>
      <c r="H164" s="63"/>
      <c r="I164" s="63"/>
      <c r="J164" s="28"/>
      <c r="K164" s="28"/>
      <c r="L164" s="28"/>
      <c r="M164" s="28"/>
      <c r="N164" s="28"/>
      <c r="O164" s="64"/>
      <c r="P164" s="64"/>
      <c r="Q164" s="64"/>
      <c r="R164" s="28"/>
      <c r="S164" s="63"/>
      <c r="T164" s="64"/>
      <c r="U164" s="63"/>
      <c r="V164" s="64"/>
      <c r="W164" s="28"/>
      <c r="X164" s="65" t="str">
        <f aca="false">IF($A164="","",IF(OR($T164&lt;&gt;"",$U164&lt;&gt;""),"Closed",IFERROR(INDEX(MapStage,MATCH($C164,MapStatus,0)),"Unmapped")))</f>
        <v/>
      </c>
      <c r="Y164" s="65" t="str">
        <f aca="false">IF(OR($X164="",$X164="Closed",$X164="Unmapped"),"",MATCH($X164,StageName,0))</f>
        <v/>
      </c>
      <c r="Z164" s="65" t="str">
        <f aca="false">IF(OR($Y164="",$I164=""),"",$I164-AsOf)</f>
        <v/>
      </c>
      <c r="AA164" s="65" t="str">
        <f aca="false">IF($A164="","",AsOf-$H164)</f>
        <v/>
      </c>
      <c r="AB164" s="65" t="str">
        <f aca="false">IF($A164="","",IF($X164="Closed","Closed",IF($X164="Unmapped","Unmapped",IF($I164="","No target",IF($Z164&lt;0,"Overdue",IF($Z164&lt;=INDEX(StageWindow,$Y164),"At risk","On track"))))))</f>
        <v/>
      </c>
      <c r="AC164" s="65" t="str">
        <f aca="false">IF($Y164="","",IF($AA164&gt;2*INDEX(StageStale,$Y164),"Stale",IF($AA164&gt;INDEX(StageStale,$Y164),"Aging","Fresh")))</f>
        <v/>
      </c>
      <c r="AD164" s="65" t="str">
        <f aca="false">IF($A164="","",IF(OR(ISNUMBER(SEARCH("Reg report",$J164)),ISNUMBER(SEARCH("No human review",$J164)),COUNTIF(TierFuncs,$D164)&gt;0),"High",IF(OR(TRIM($J164)&lt;&gt;"",ISNUMBER(SEARCH("revenue",$K164))),"Medium","Low")))</f>
        <v/>
      </c>
      <c r="AE164" s="65" t="str">
        <f aca="false">IF($A164="","",INDEX(TierDays,MATCH($AD164,TierName,0)))</f>
        <v/>
      </c>
      <c r="AF164" s="65" t="str">
        <f aca="false">IF($A164="","",AsOf-$G164)</f>
        <v/>
      </c>
      <c r="AG164" s="65" t="str">
        <f aca="false">IF($Y164="","",IF($Y164&lt;=5,IF($AF164&gt;$AE164,"Over","Inside"),"Past approval"))</f>
        <v/>
      </c>
      <c r="AH164" s="65" t="str">
        <f aca="false">IF($Y164="","",CHOOSE($Y164,IF(OR(TRIM($F164)="",ISNUMBER(SEARCH("not named",$F164))),"Critical","Good"),IF($O164&lt;&gt;"Y","Critical",IF($Q164&lt;&gt;"Y","Warning","Good")),IF($P164="","Critical",IF($P164="partial","Warning",IF($P164="ready","Good","Critical"))),IF($R164&lt;&gt;"","Critical","Warning"),IF($L164="","Critical",IF($N164="","Warning","Good")),IF($R164&lt;&gt;"","Critical","Warning"),IF($R164&lt;&gt;"","Critical","Warning"),IF($Q164="Y","Good","Critical")))</f>
        <v/>
      </c>
      <c r="AI164" s="65" t="str">
        <f aca="false">IF($Y164="","",CHOOSE($Y164,IF(OR(TRIM($F164)="",ISNUMBER(SEARCH("not named",$F164))),"Name a sponsor accountable for the value",""),IF($O164&lt;&gt;"Y","State the success metric and the stop condition",IF($Q164&lt;&gt;"Y","Set the baseline the benefit will be measured against","")),IF($P164="","Assess data readiness and regulatory impact",IF($P164="partial","Close the known data gaps",IF($P164="ready","","Data is not available; reshape or park"))),IF($R164&lt;&gt;"",IF(OR(ISNUMBER(SEARCH("mrm",$R164)),ISNUMBER(SEARCH("model",$R164)),ISNUMBER(SEARCH("risk",$R164)),ISNUMBER(SEARCH("legal",$R164)),ISNUMBER(SEARCH("complian",$R164))),"Awaiting ","Held at the design gate: ")&amp;$R164,"Map the governance framework for its tier"),IF($L164="","Size the annual benefit",IF($N164="","Score it so it can be ranked against capacity","")),IF($R164&lt;&gt;"","Build held: "&amp;$R164,"In build, not yet through test"),IF($R164&lt;&gt;"","Not ready to scale: "&amp;$R164,"Monitoring and third-party review not yet signed off"),IF($Q164="Y","","Live without a measured baseline to judge it against")))</f>
        <v/>
      </c>
      <c r="AJ164" s="65" t="str">
        <f aca="false">IF($Y164="","",INDEX(StageForum,$Y164))</f>
        <v/>
      </c>
      <c r="AK164" s="65" t="str">
        <f aca="false">IF($Y164="","",IF(OR($X164="Delivery",$X164="Value"),"Committed",IF($N164&lt;&gt;"","Candidate","")))</f>
        <v/>
      </c>
      <c r="AL164" s="65" t="str">
        <f aca="false">IF($AK164&lt;&gt;"Candidate","",COUNTIFS($AK$2:$AK$501,"Candidate",$N$2:$N$501,"&gt;"&amp;$N164)+COUNTIFS($AK$2:$AK$501,"Candidate",$N$2:$N$501,$N164,$A$2:$A$501,"&lt;"&amp;$A164)+1)</f>
        <v/>
      </c>
      <c r="AM164" s="65" t="str">
        <f aca="false">IF($AL164="","",SUMIFS($M$2:$M$501,$AK$2:$AK$501,"Candidate",$AL$2:$AL$501,"&lt;="&amp;$AL164))</f>
        <v/>
      </c>
      <c r="AN164" s="65" t="str">
        <f aca="false">IF($AL164="","",IF($AM164&lt;=CapacityOpen,"Fits","Below line"))</f>
        <v/>
      </c>
      <c r="AO164" s="65" t="str">
        <f aca="false">IF($A164="","",IF($X164="Closed","",IF($X164="Unmapped","Warning",IF(OR($AB164="Overdue",$V164="Y",$AH164="Critical"),"Critical",IF(OR($AB164="At risk",$AC164="Stale",$AG164="Over"),"Warning","")))))</f>
        <v/>
      </c>
      <c r="AP164" s="65" t="str">
        <f aca="false">IF($AO164="","",IF($AO164="Critical",3000,2000)-IF($Z164="",0,$Z164)+ROW()/100000)</f>
        <v/>
      </c>
      <c r="AQ164" s="65" t="str">
        <f aca="false">IF($AO164="","",IF($X164="Unmapped","Status '"&amp;$C164&amp;"' is not in the Config map",IF($V164="Y","Flagged in Jira",IF($AB164="Overdue",-$Z164&amp;" days past its "&amp;$X164&amp;" target",IF($AH164="Critical",$AI164,IF($AB164="At risk","Target in "&amp;$Z164&amp;" days",IF($AC164="Stale","No update in "&amp;$AA164&amp;" days","Past its "&amp;$AE164&amp;"-day tier window")))))))</f>
        <v/>
      </c>
      <c r="AR164" s="65" t="str">
        <f aca="false">IF($AO164="","","draft Jira update for "&amp;$A164)</f>
        <v/>
      </c>
      <c r="AS164" s="65" t="str">
        <f aca="false">IF($A164="","",HYPERLINK(JiraSite&amp;"/browse/"&amp;$A164,"open"))</f>
        <v/>
      </c>
      <c r="AT164" s="65" t="str">
        <f aca="false">IF($Y164="","",$Y164*1000+ROW())</f>
        <v/>
      </c>
      <c r="AU164" s="65" t="str">
        <f aca="false">IF(AND($A164&lt;&gt;"",$G164&gt;=WeekStart),$G164+ROW()/100000,"")</f>
        <v/>
      </c>
      <c r="AV164" s="65" t="str">
        <f aca="false">IF($A164="","",IF(OR(AND($S164&lt;&gt;"",$S164&gt;=WeekStart),AND($U164&lt;&gt;"",$U164&gt;=WeekStart)),MAX($S164,$U164)+ROW()/100000,""))</f>
        <v/>
      </c>
      <c r="AW164" s="65" t="str">
        <f aca="false">IF($AV164="","",IF($T164&lt;&gt;"",$T164,IF($X164="Closed","Closed","Accepted to "&amp;$X164)))</f>
        <v/>
      </c>
      <c r="AX164" s="65" t="str">
        <f aca="false">IF(AND($Y164&lt;&gt;"",$R164&lt;&gt;""),$AF164+ROW()/100000,"")</f>
        <v/>
      </c>
      <c r="AY164" s="65" t="str">
        <f aca="false">IF(AND($Y164&lt;&gt;"",OR($AB164="Overdue",AND($AH164="Critical",$R164&lt;&gt;""))),$AF164+ROW()/100000,"")</f>
        <v/>
      </c>
      <c r="AZ164" s="65" t="str">
        <f aca="false">IF($AH164="Critical",$AF164+ROW()/100000,"")</f>
        <v/>
      </c>
    </row>
    <row r="165" customFormat="false" ht="15" hidden="false" customHeight="false" outlineLevel="0" collapsed="false">
      <c r="A165" s="28"/>
      <c r="B165" s="28"/>
      <c r="C165" s="28"/>
      <c r="D165" s="28"/>
      <c r="E165" s="28"/>
      <c r="F165" s="28"/>
      <c r="G165" s="63"/>
      <c r="H165" s="63"/>
      <c r="I165" s="63"/>
      <c r="J165" s="28"/>
      <c r="K165" s="28"/>
      <c r="L165" s="28"/>
      <c r="M165" s="28"/>
      <c r="N165" s="28"/>
      <c r="O165" s="64"/>
      <c r="P165" s="64"/>
      <c r="Q165" s="64"/>
      <c r="R165" s="28"/>
      <c r="S165" s="63"/>
      <c r="T165" s="64"/>
      <c r="U165" s="63"/>
      <c r="V165" s="64"/>
      <c r="W165" s="28"/>
      <c r="X165" s="65" t="str">
        <f aca="false">IF($A165="","",IF(OR($T165&lt;&gt;"",$U165&lt;&gt;""),"Closed",IFERROR(INDEX(MapStage,MATCH($C165,MapStatus,0)),"Unmapped")))</f>
        <v/>
      </c>
      <c r="Y165" s="65" t="str">
        <f aca="false">IF(OR($X165="",$X165="Closed",$X165="Unmapped"),"",MATCH($X165,StageName,0))</f>
        <v/>
      </c>
      <c r="Z165" s="65" t="str">
        <f aca="false">IF(OR($Y165="",$I165=""),"",$I165-AsOf)</f>
        <v/>
      </c>
      <c r="AA165" s="65" t="str">
        <f aca="false">IF($A165="","",AsOf-$H165)</f>
        <v/>
      </c>
      <c r="AB165" s="65" t="str">
        <f aca="false">IF($A165="","",IF($X165="Closed","Closed",IF($X165="Unmapped","Unmapped",IF($I165="","No target",IF($Z165&lt;0,"Overdue",IF($Z165&lt;=INDEX(StageWindow,$Y165),"At risk","On track"))))))</f>
        <v/>
      </c>
      <c r="AC165" s="65" t="str">
        <f aca="false">IF($Y165="","",IF($AA165&gt;2*INDEX(StageStale,$Y165),"Stale",IF($AA165&gt;INDEX(StageStale,$Y165),"Aging","Fresh")))</f>
        <v/>
      </c>
      <c r="AD165" s="65" t="str">
        <f aca="false">IF($A165="","",IF(OR(ISNUMBER(SEARCH("Reg report",$J165)),ISNUMBER(SEARCH("No human review",$J165)),COUNTIF(TierFuncs,$D165)&gt;0),"High",IF(OR(TRIM($J165)&lt;&gt;"",ISNUMBER(SEARCH("revenue",$K165))),"Medium","Low")))</f>
        <v/>
      </c>
      <c r="AE165" s="65" t="str">
        <f aca="false">IF($A165="","",INDEX(TierDays,MATCH($AD165,TierName,0)))</f>
        <v/>
      </c>
      <c r="AF165" s="65" t="str">
        <f aca="false">IF($A165="","",AsOf-$G165)</f>
        <v/>
      </c>
      <c r="AG165" s="65" t="str">
        <f aca="false">IF($Y165="","",IF($Y165&lt;=5,IF($AF165&gt;$AE165,"Over","Inside"),"Past approval"))</f>
        <v/>
      </c>
      <c r="AH165" s="65" t="str">
        <f aca="false">IF($Y165="","",CHOOSE($Y165,IF(OR(TRIM($F165)="",ISNUMBER(SEARCH("not named",$F165))),"Critical","Good"),IF($O165&lt;&gt;"Y","Critical",IF($Q165&lt;&gt;"Y","Warning","Good")),IF($P165="","Critical",IF($P165="partial","Warning",IF($P165="ready","Good","Critical"))),IF($R165&lt;&gt;"","Critical","Warning"),IF($L165="","Critical",IF($N165="","Warning","Good")),IF($R165&lt;&gt;"","Critical","Warning"),IF($R165&lt;&gt;"","Critical","Warning"),IF($Q165="Y","Good","Critical")))</f>
        <v/>
      </c>
      <c r="AI165" s="65" t="str">
        <f aca="false">IF($Y165="","",CHOOSE($Y165,IF(OR(TRIM($F165)="",ISNUMBER(SEARCH("not named",$F165))),"Name a sponsor accountable for the value",""),IF($O165&lt;&gt;"Y","State the success metric and the stop condition",IF($Q165&lt;&gt;"Y","Set the baseline the benefit will be measured against","")),IF($P165="","Assess data readiness and regulatory impact",IF($P165="partial","Close the known data gaps",IF($P165="ready","","Data is not available; reshape or park"))),IF($R165&lt;&gt;"",IF(OR(ISNUMBER(SEARCH("mrm",$R165)),ISNUMBER(SEARCH("model",$R165)),ISNUMBER(SEARCH("risk",$R165)),ISNUMBER(SEARCH("legal",$R165)),ISNUMBER(SEARCH("complian",$R165))),"Awaiting ","Held at the design gate: ")&amp;$R165,"Map the governance framework for its tier"),IF($L165="","Size the annual benefit",IF($N165="","Score it so it can be ranked against capacity","")),IF($R165&lt;&gt;"","Build held: "&amp;$R165,"In build, not yet through test"),IF($R165&lt;&gt;"","Not ready to scale: "&amp;$R165,"Monitoring and third-party review not yet signed off"),IF($Q165="Y","","Live without a measured baseline to judge it against")))</f>
        <v/>
      </c>
      <c r="AJ165" s="65" t="str">
        <f aca="false">IF($Y165="","",INDEX(StageForum,$Y165))</f>
        <v/>
      </c>
      <c r="AK165" s="65" t="str">
        <f aca="false">IF($Y165="","",IF(OR($X165="Delivery",$X165="Value"),"Committed",IF($N165&lt;&gt;"","Candidate","")))</f>
        <v/>
      </c>
      <c r="AL165" s="65" t="str">
        <f aca="false">IF($AK165&lt;&gt;"Candidate","",COUNTIFS($AK$2:$AK$501,"Candidate",$N$2:$N$501,"&gt;"&amp;$N165)+COUNTIFS($AK$2:$AK$501,"Candidate",$N$2:$N$501,$N165,$A$2:$A$501,"&lt;"&amp;$A165)+1)</f>
        <v/>
      </c>
      <c r="AM165" s="65" t="str">
        <f aca="false">IF($AL165="","",SUMIFS($M$2:$M$501,$AK$2:$AK$501,"Candidate",$AL$2:$AL$501,"&lt;="&amp;$AL165))</f>
        <v/>
      </c>
      <c r="AN165" s="65" t="str">
        <f aca="false">IF($AL165="","",IF($AM165&lt;=CapacityOpen,"Fits","Below line"))</f>
        <v/>
      </c>
      <c r="AO165" s="65" t="str">
        <f aca="false">IF($A165="","",IF($X165="Closed","",IF($X165="Unmapped","Warning",IF(OR($AB165="Overdue",$V165="Y",$AH165="Critical"),"Critical",IF(OR($AB165="At risk",$AC165="Stale",$AG165="Over"),"Warning","")))))</f>
        <v/>
      </c>
      <c r="AP165" s="65" t="str">
        <f aca="false">IF($AO165="","",IF($AO165="Critical",3000,2000)-IF($Z165="",0,$Z165)+ROW()/100000)</f>
        <v/>
      </c>
      <c r="AQ165" s="65" t="str">
        <f aca="false">IF($AO165="","",IF($X165="Unmapped","Status '"&amp;$C165&amp;"' is not in the Config map",IF($V165="Y","Flagged in Jira",IF($AB165="Overdue",-$Z165&amp;" days past its "&amp;$X165&amp;" target",IF($AH165="Critical",$AI165,IF($AB165="At risk","Target in "&amp;$Z165&amp;" days",IF($AC165="Stale","No update in "&amp;$AA165&amp;" days","Past its "&amp;$AE165&amp;"-day tier window")))))))</f>
        <v/>
      </c>
      <c r="AR165" s="65" t="str">
        <f aca="false">IF($AO165="","","draft Jira update for "&amp;$A165)</f>
        <v/>
      </c>
      <c r="AS165" s="65" t="str">
        <f aca="false">IF($A165="","",HYPERLINK(JiraSite&amp;"/browse/"&amp;$A165,"open"))</f>
        <v/>
      </c>
      <c r="AT165" s="65" t="str">
        <f aca="false">IF($Y165="","",$Y165*1000+ROW())</f>
        <v/>
      </c>
      <c r="AU165" s="65" t="str">
        <f aca="false">IF(AND($A165&lt;&gt;"",$G165&gt;=WeekStart),$G165+ROW()/100000,"")</f>
        <v/>
      </c>
      <c r="AV165" s="65" t="str">
        <f aca="false">IF($A165="","",IF(OR(AND($S165&lt;&gt;"",$S165&gt;=WeekStart),AND($U165&lt;&gt;"",$U165&gt;=WeekStart)),MAX($S165,$U165)+ROW()/100000,""))</f>
        <v/>
      </c>
      <c r="AW165" s="65" t="str">
        <f aca="false">IF($AV165="","",IF($T165&lt;&gt;"",$T165,IF($X165="Closed","Closed","Accepted to "&amp;$X165)))</f>
        <v/>
      </c>
      <c r="AX165" s="65" t="str">
        <f aca="false">IF(AND($Y165&lt;&gt;"",$R165&lt;&gt;""),$AF165+ROW()/100000,"")</f>
        <v/>
      </c>
      <c r="AY165" s="65" t="str">
        <f aca="false">IF(AND($Y165&lt;&gt;"",OR($AB165="Overdue",AND($AH165="Critical",$R165&lt;&gt;""))),$AF165+ROW()/100000,"")</f>
        <v/>
      </c>
      <c r="AZ165" s="65" t="str">
        <f aca="false">IF($AH165="Critical",$AF165+ROW()/100000,"")</f>
        <v/>
      </c>
    </row>
    <row r="166" customFormat="false" ht="15" hidden="false" customHeight="false" outlineLevel="0" collapsed="false">
      <c r="A166" s="28"/>
      <c r="B166" s="28"/>
      <c r="C166" s="28"/>
      <c r="D166" s="28"/>
      <c r="E166" s="28"/>
      <c r="F166" s="28"/>
      <c r="G166" s="63"/>
      <c r="H166" s="63"/>
      <c r="I166" s="63"/>
      <c r="J166" s="28"/>
      <c r="K166" s="28"/>
      <c r="L166" s="28"/>
      <c r="M166" s="28"/>
      <c r="N166" s="28"/>
      <c r="O166" s="64"/>
      <c r="P166" s="64"/>
      <c r="Q166" s="64"/>
      <c r="R166" s="28"/>
      <c r="S166" s="63"/>
      <c r="T166" s="64"/>
      <c r="U166" s="63"/>
      <c r="V166" s="64"/>
      <c r="W166" s="28"/>
      <c r="X166" s="65" t="str">
        <f aca="false">IF($A166="","",IF(OR($T166&lt;&gt;"",$U166&lt;&gt;""),"Closed",IFERROR(INDEX(MapStage,MATCH($C166,MapStatus,0)),"Unmapped")))</f>
        <v/>
      </c>
      <c r="Y166" s="65" t="str">
        <f aca="false">IF(OR($X166="",$X166="Closed",$X166="Unmapped"),"",MATCH($X166,StageName,0))</f>
        <v/>
      </c>
      <c r="Z166" s="65" t="str">
        <f aca="false">IF(OR($Y166="",$I166=""),"",$I166-AsOf)</f>
        <v/>
      </c>
      <c r="AA166" s="65" t="str">
        <f aca="false">IF($A166="","",AsOf-$H166)</f>
        <v/>
      </c>
      <c r="AB166" s="65" t="str">
        <f aca="false">IF($A166="","",IF($X166="Closed","Closed",IF($X166="Unmapped","Unmapped",IF($I166="","No target",IF($Z166&lt;0,"Overdue",IF($Z166&lt;=INDEX(StageWindow,$Y166),"At risk","On track"))))))</f>
        <v/>
      </c>
      <c r="AC166" s="65" t="str">
        <f aca="false">IF($Y166="","",IF($AA166&gt;2*INDEX(StageStale,$Y166),"Stale",IF($AA166&gt;INDEX(StageStale,$Y166),"Aging","Fresh")))</f>
        <v/>
      </c>
      <c r="AD166" s="65" t="str">
        <f aca="false">IF($A166="","",IF(OR(ISNUMBER(SEARCH("Reg report",$J166)),ISNUMBER(SEARCH("No human review",$J166)),COUNTIF(TierFuncs,$D166)&gt;0),"High",IF(OR(TRIM($J166)&lt;&gt;"",ISNUMBER(SEARCH("revenue",$K166))),"Medium","Low")))</f>
        <v/>
      </c>
      <c r="AE166" s="65" t="str">
        <f aca="false">IF($A166="","",INDEX(TierDays,MATCH($AD166,TierName,0)))</f>
        <v/>
      </c>
      <c r="AF166" s="65" t="str">
        <f aca="false">IF($A166="","",AsOf-$G166)</f>
        <v/>
      </c>
      <c r="AG166" s="65" t="str">
        <f aca="false">IF($Y166="","",IF($Y166&lt;=5,IF($AF166&gt;$AE166,"Over","Inside"),"Past approval"))</f>
        <v/>
      </c>
      <c r="AH166" s="65" t="str">
        <f aca="false">IF($Y166="","",CHOOSE($Y166,IF(OR(TRIM($F166)="",ISNUMBER(SEARCH("not named",$F166))),"Critical","Good"),IF($O166&lt;&gt;"Y","Critical",IF($Q166&lt;&gt;"Y","Warning","Good")),IF($P166="","Critical",IF($P166="partial","Warning",IF($P166="ready","Good","Critical"))),IF($R166&lt;&gt;"","Critical","Warning"),IF($L166="","Critical",IF($N166="","Warning","Good")),IF($R166&lt;&gt;"","Critical","Warning"),IF($R166&lt;&gt;"","Critical","Warning"),IF($Q166="Y","Good","Critical")))</f>
        <v/>
      </c>
      <c r="AI166" s="65" t="str">
        <f aca="false">IF($Y166="","",CHOOSE($Y166,IF(OR(TRIM($F166)="",ISNUMBER(SEARCH("not named",$F166))),"Name a sponsor accountable for the value",""),IF($O166&lt;&gt;"Y","State the success metric and the stop condition",IF($Q166&lt;&gt;"Y","Set the baseline the benefit will be measured against","")),IF($P166="","Assess data readiness and regulatory impact",IF($P166="partial","Close the known data gaps",IF($P166="ready","","Data is not available; reshape or park"))),IF($R166&lt;&gt;"",IF(OR(ISNUMBER(SEARCH("mrm",$R166)),ISNUMBER(SEARCH("model",$R166)),ISNUMBER(SEARCH("risk",$R166)),ISNUMBER(SEARCH("legal",$R166)),ISNUMBER(SEARCH("complian",$R166))),"Awaiting ","Held at the design gate: ")&amp;$R166,"Map the governance framework for its tier"),IF($L166="","Size the annual benefit",IF($N166="","Score it so it can be ranked against capacity","")),IF($R166&lt;&gt;"","Build held: "&amp;$R166,"In build, not yet through test"),IF($R166&lt;&gt;"","Not ready to scale: "&amp;$R166,"Monitoring and third-party review not yet signed off"),IF($Q166="Y","","Live without a measured baseline to judge it against")))</f>
        <v/>
      </c>
      <c r="AJ166" s="65" t="str">
        <f aca="false">IF($Y166="","",INDEX(StageForum,$Y166))</f>
        <v/>
      </c>
      <c r="AK166" s="65" t="str">
        <f aca="false">IF($Y166="","",IF(OR($X166="Delivery",$X166="Value"),"Committed",IF($N166&lt;&gt;"","Candidate","")))</f>
        <v/>
      </c>
      <c r="AL166" s="65" t="str">
        <f aca="false">IF($AK166&lt;&gt;"Candidate","",COUNTIFS($AK$2:$AK$501,"Candidate",$N$2:$N$501,"&gt;"&amp;$N166)+COUNTIFS($AK$2:$AK$501,"Candidate",$N$2:$N$501,$N166,$A$2:$A$501,"&lt;"&amp;$A166)+1)</f>
        <v/>
      </c>
      <c r="AM166" s="65" t="str">
        <f aca="false">IF($AL166="","",SUMIFS($M$2:$M$501,$AK$2:$AK$501,"Candidate",$AL$2:$AL$501,"&lt;="&amp;$AL166))</f>
        <v/>
      </c>
      <c r="AN166" s="65" t="str">
        <f aca="false">IF($AL166="","",IF($AM166&lt;=CapacityOpen,"Fits","Below line"))</f>
        <v/>
      </c>
      <c r="AO166" s="65" t="str">
        <f aca="false">IF($A166="","",IF($X166="Closed","",IF($X166="Unmapped","Warning",IF(OR($AB166="Overdue",$V166="Y",$AH166="Critical"),"Critical",IF(OR($AB166="At risk",$AC166="Stale",$AG166="Over"),"Warning","")))))</f>
        <v/>
      </c>
      <c r="AP166" s="65" t="str">
        <f aca="false">IF($AO166="","",IF($AO166="Critical",3000,2000)-IF($Z166="",0,$Z166)+ROW()/100000)</f>
        <v/>
      </c>
      <c r="AQ166" s="65" t="str">
        <f aca="false">IF($AO166="","",IF($X166="Unmapped","Status '"&amp;$C166&amp;"' is not in the Config map",IF($V166="Y","Flagged in Jira",IF($AB166="Overdue",-$Z166&amp;" days past its "&amp;$X166&amp;" target",IF($AH166="Critical",$AI166,IF($AB166="At risk","Target in "&amp;$Z166&amp;" days",IF($AC166="Stale","No update in "&amp;$AA166&amp;" days","Past its "&amp;$AE166&amp;"-day tier window")))))))</f>
        <v/>
      </c>
      <c r="AR166" s="65" t="str">
        <f aca="false">IF($AO166="","","draft Jira update for "&amp;$A166)</f>
        <v/>
      </c>
      <c r="AS166" s="65" t="str">
        <f aca="false">IF($A166="","",HYPERLINK(JiraSite&amp;"/browse/"&amp;$A166,"open"))</f>
        <v/>
      </c>
      <c r="AT166" s="65" t="str">
        <f aca="false">IF($Y166="","",$Y166*1000+ROW())</f>
        <v/>
      </c>
      <c r="AU166" s="65" t="str">
        <f aca="false">IF(AND($A166&lt;&gt;"",$G166&gt;=WeekStart),$G166+ROW()/100000,"")</f>
        <v/>
      </c>
      <c r="AV166" s="65" t="str">
        <f aca="false">IF($A166="","",IF(OR(AND($S166&lt;&gt;"",$S166&gt;=WeekStart),AND($U166&lt;&gt;"",$U166&gt;=WeekStart)),MAX($S166,$U166)+ROW()/100000,""))</f>
        <v/>
      </c>
      <c r="AW166" s="65" t="str">
        <f aca="false">IF($AV166="","",IF($T166&lt;&gt;"",$T166,IF($X166="Closed","Closed","Accepted to "&amp;$X166)))</f>
        <v/>
      </c>
      <c r="AX166" s="65" t="str">
        <f aca="false">IF(AND($Y166&lt;&gt;"",$R166&lt;&gt;""),$AF166+ROW()/100000,"")</f>
        <v/>
      </c>
      <c r="AY166" s="65" t="str">
        <f aca="false">IF(AND($Y166&lt;&gt;"",OR($AB166="Overdue",AND($AH166="Critical",$R166&lt;&gt;""))),$AF166+ROW()/100000,"")</f>
        <v/>
      </c>
      <c r="AZ166" s="65" t="str">
        <f aca="false">IF($AH166="Critical",$AF166+ROW()/100000,"")</f>
        <v/>
      </c>
    </row>
    <row r="167" customFormat="false" ht="15" hidden="false" customHeight="false" outlineLevel="0" collapsed="false">
      <c r="A167" s="28"/>
      <c r="B167" s="28"/>
      <c r="C167" s="28"/>
      <c r="D167" s="28"/>
      <c r="E167" s="28"/>
      <c r="F167" s="28"/>
      <c r="G167" s="63"/>
      <c r="H167" s="63"/>
      <c r="I167" s="63"/>
      <c r="J167" s="28"/>
      <c r="K167" s="28"/>
      <c r="L167" s="28"/>
      <c r="M167" s="28"/>
      <c r="N167" s="28"/>
      <c r="O167" s="64"/>
      <c r="P167" s="64"/>
      <c r="Q167" s="64"/>
      <c r="R167" s="28"/>
      <c r="S167" s="63"/>
      <c r="T167" s="64"/>
      <c r="U167" s="63"/>
      <c r="V167" s="64"/>
      <c r="W167" s="28"/>
      <c r="X167" s="65" t="str">
        <f aca="false">IF($A167="","",IF(OR($T167&lt;&gt;"",$U167&lt;&gt;""),"Closed",IFERROR(INDEX(MapStage,MATCH($C167,MapStatus,0)),"Unmapped")))</f>
        <v/>
      </c>
      <c r="Y167" s="65" t="str">
        <f aca="false">IF(OR($X167="",$X167="Closed",$X167="Unmapped"),"",MATCH($X167,StageName,0))</f>
        <v/>
      </c>
      <c r="Z167" s="65" t="str">
        <f aca="false">IF(OR($Y167="",$I167=""),"",$I167-AsOf)</f>
        <v/>
      </c>
      <c r="AA167" s="65" t="str">
        <f aca="false">IF($A167="","",AsOf-$H167)</f>
        <v/>
      </c>
      <c r="AB167" s="65" t="str">
        <f aca="false">IF($A167="","",IF($X167="Closed","Closed",IF($X167="Unmapped","Unmapped",IF($I167="","No target",IF($Z167&lt;0,"Overdue",IF($Z167&lt;=INDEX(StageWindow,$Y167),"At risk","On track"))))))</f>
        <v/>
      </c>
      <c r="AC167" s="65" t="str">
        <f aca="false">IF($Y167="","",IF($AA167&gt;2*INDEX(StageStale,$Y167),"Stale",IF($AA167&gt;INDEX(StageStale,$Y167),"Aging","Fresh")))</f>
        <v/>
      </c>
      <c r="AD167" s="65" t="str">
        <f aca="false">IF($A167="","",IF(OR(ISNUMBER(SEARCH("Reg report",$J167)),ISNUMBER(SEARCH("No human review",$J167)),COUNTIF(TierFuncs,$D167)&gt;0),"High",IF(OR(TRIM($J167)&lt;&gt;"",ISNUMBER(SEARCH("revenue",$K167))),"Medium","Low")))</f>
        <v/>
      </c>
      <c r="AE167" s="65" t="str">
        <f aca="false">IF($A167="","",INDEX(TierDays,MATCH($AD167,TierName,0)))</f>
        <v/>
      </c>
      <c r="AF167" s="65" t="str">
        <f aca="false">IF($A167="","",AsOf-$G167)</f>
        <v/>
      </c>
      <c r="AG167" s="65" t="str">
        <f aca="false">IF($Y167="","",IF($Y167&lt;=5,IF($AF167&gt;$AE167,"Over","Inside"),"Past approval"))</f>
        <v/>
      </c>
      <c r="AH167" s="65" t="str">
        <f aca="false">IF($Y167="","",CHOOSE($Y167,IF(OR(TRIM($F167)="",ISNUMBER(SEARCH("not named",$F167))),"Critical","Good"),IF($O167&lt;&gt;"Y","Critical",IF($Q167&lt;&gt;"Y","Warning","Good")),IF($P167="","Critical",IF($P167="partial","Warning",IF($P167="ready","Good","Critical"))),IF($R167&lt;&gt;"","Critical","Warning"),IF($L167="","Critical",IF($N167="","Warning","Good")),IF($R167&lt;&gt;"","Critical","Warning"),IF($R167&lt;&gt;"","Critical","Warning"),IF($Q167="Y","Good","Critical")))</f>
        <v/>
      </c>
      <c r="AI167" s="65" t="str">
        <f aca="false">IF($Y167="","",CHOOSE($Y167,IF(OR(TRIM($F167)="",ISNUMBER(SEARCH("not named",$F167))),"Name a sponsor accountable for the value",""),IF($O167&lt;&gt;"Y","State the success metric and the stop condition",IF($Q167&lt;&gt;"Y","Set the baseline the benefit will be measured against","")),IF($P167="","Assess data readiness and regulatory impact",IF($P167="partial","Close the known data gaps",IF($P167="ready","","Data is not available; reshape or park"))),IF($R167&lt;&gt;"",IF(OR(ISNUMBER(SEARCH("mrm",$R167)),ISNUMBER(SEARCH("model",$R167)),ISNUMBER(SEARCH("risk",$R167)),ISNUMBER(SEARCH("legal",$R167)),ISNUMBER(SEARCH("complian",$R167))),"Awaiting ","Held at the design gate: ")&amp;$R167,"Map the governance framework for its tier"),IF($L167="","Size the annual benefit",IF($N167="","Score it so it can be ranked against capacity","")),IF($R167&lt;&gt;"","Build held: "&amp;$R167,"In build, not yet through test"),IF($R167&lt;&gt;"","Not ready to scale: "&amp;$R167,"Monitoring and third-party review not yet signed off"),IF($Q167="Y","","Live without a measured baseline to judge it against")))</f>
        <v/>
      </c>
      <c r="AJ167" s="65" t="str">
        <f aca="false">IF($Y167="","",INDEX(StageForum,$Y167))</f>
        <v/>
      </c>
      <c r="AK167" s="65" t="str">
        <f aca="false">IF($Y167="","",IF(OR($X167="Delivery",$X167="Value"),"Committed",IF($N167&lt;&gt;"","Candidate","")))</f>
        <v/>
      </c>
      <c r="AL167" s="65" t="str">
        <f aca="false">IF($AK167&lt;&gt;"Candidate","",COUNTIFS($AK$2:$AK$501,"Candidate",$N$2:$N$501,"&gt;"&amp;$N167)+COUNTIFS($AK$2:$AK$501,"Candidate",$N$2:$N$501,$N167,$A$2:$A$501,"&lt;"&amp;$A167)+1)</f>
        <v/>
      </c>
      <c r="AM167" s="65" t="str">
        <f aca="false">IF($AL167="","",SUMIFS($M$2:$M$501,$AK$2:$AK$501,"Candidate",$AL$2:$AL$501,"&lt;="&amp;$AL167))</f>
        <v/>
      </c>
      <c r="AN167" s="65" t="str">
        <f aca="false">IF($AL167="","",IF($AM167&lt;=CapacityOpen,"Fits","Below line"))</f>
        <v/>
      </c>
      <c r="AO167" s="65" t="str">
        <f aca="false">IF($A167="","",IF($X167="Closed","",IF($X167="Unmapped","Warning",IF(OR($AB167="Overdue",$V167="Y",$AH167="Critical"),"Critical",IF(OR($AB167="At risk",$AC167="Stale",$AG167="Over"),"Warning","")))))</f>
        <v/>
      </c>
      <c r="AP167" s="65" t="str">
        <f aca="false">IF($AO167="","",IF($AO167="Critical",3000,2000)-IF($Z167="",0,$Z167)+ROW()/100000)</f>
        <v/>
      </c>
      <c r="AQ167" s="65" t="str">
        <f aca="false">IF($AO167="","",IF($X167="Unmapped","Status '"&amp;$C167&amp;"' is not in the Config map",IF($V167="Y","Flagged in Jira",IF($AB167="Overdue",-$Z167&amp;" days past its "&amp;$X167&amp;" target",IF($AH167="Critical",$AI167,IF($AB167="At risk","Target in "&amp;$Z167&amp;" days",IF($AC167="Stale","No update in "&amp;$AA167&amp;" days","Past its "&amp;$AE167&amp;"-day tier window")))))))</f>
        <v/>
      </c>
      <c r="AR167" s="65" t="str">
        <f aca="false">IF($AO167="","","draft Jira update for "&amp;$A167)</f>
        <v/>
      </c>
      <c r="AS167" s="65" t="str">
        <f aca="false">IF($A167="","",HYPERLINK(JiraSite&amp;"/browse/"&amp;$A167,"open"))</f>
        <v/>
      </c>
      <c r="AT167" s="65" t="str">
        <f aca="false">IF($Y167="","",$Y167*1000+ROW())</f>
        <v/>
      </c>
      <c r="AU167" s="65" t="str">
        <f aca="false">IF(AND($A167&lt;&gt;"",$G167&gt;=WeekStart),$G167+ROW()/100000,"")</f>
        <v/>
      </c>
      <c r="AV167" s="65" t="str">
        <f aca="false">IF($A167="","",IF(OR(AND($S167&lt;&gt;"",$S167&gt;=WeekStart),AND($U167&lt;&gt;"",$U167&gt;=WeekStart)),MAX($S167,$U167)+ROW()/100000,""))</f>
        <v/>
      </c>
      <c r="AW167" s="65" t="str">
        <f aca="false">IF($AV167="","",IF($T167&lt;&gt;"",$T167,IF($X167="Closed","Closed","Accepted to "&amp;$X167)))</f>
        <v/>
      </c>
      <c r="AX167" s="65" t="str">
        <f aca="false">IF(AND($Y167&lt;&gt;"",$R167&lt;&gt;""),$AF167+ROW()/100000,"")</f>
        <v/>
      </c>
      <c r="AY167" s="65" t="str">
        <f aca="false">IF(AND($Y167&lt;&gt;"",OR($AB167="Overdue",AND($AH167="Critical",$R167&lt;&gt;""))),$AF167+ROW()/100000,"")</f>
        <v/>
      </c>
      <c r="AZ167" s="65" t="str">
        <f aca="false">IF($AH167="Critical",$AF167+ROW()/100000,"")</f>
        <v/>
      </c>
    </row>
    <row r="168" customFormat="false" ht="15" hidden="false" customHeight="false" outlineLevel="0" collapsed="false">
      <c r="A168" s="28"/>
      <c r="B168" s="28"/>
      <c r="C168" s="28"/>
      <c r="D168" s="28"/>
      <c r="E168" s="28"/>
      <c r="F168" s="28"/>
      <c r="G168" s="63"/>
      <c r="H168" s="63"/>
      <c r="I168" s="63"/>
      <c r="J168" s="28"/>
      <c r="K168" s="28"/>
      <c r="L168" s="28"/>
      <c r="M168" s="28"/>
      <c r="N168" s="28"/>
      <c r="O168" s="64"/>
      <c r="P168" s="64"/>
      <c r="Q168" s="64"/>
      <c r="R168" s="28"/>
      <c r="S168" s="63"/>
      <c r="T168" s="64"/>
      <c r="U168" s="63"/>
      <c r="V168" s="64"/>
      <c r="W168" s="28"/>
      <c r="X168" s="65" t="str">
        <f aca="false">IF($A168="","",IF(OR($T168&lt;&gt;"",$U168&lt;&gt;""),"Closed",IFERROR(INDEX(MapStage,MATCH($C168,MapStatus,0)),"Unmapped")))</f>
        <v/>
      </c>
      <c r="Y168" s="65" t="str">
        <f aca="false">IF(OR($X168="",$X168="Closed",$X168="Unmapped"),"",MATCH($X168,StageName,0))</f>
        <v/>
      </c>
      <c r="Z168" s="65" t="str">
        <f aca="false">IF(OR($Y168="",$I168=""),"",$I168-AsOf)</f>
        <v/>
      </c>
      <c r="AA168" s="65" t="str">
        <f aca="false">IF($A168="","",AsOf-$H168)</f>
        <v/>
      </c>
      <c r="AB168" s="65" t="str">
        <f aca="false">IF($A168="","",IF($X168="Closed","Closed",IF($X168="Unmapped","Unmapped",IF($I168="","No target",IF($Z168&lt;0,"Overdue",IF($Z168&lt;=INDEX(StageWindow,$Y168),"At risk","On track"))))))</f>
        <v/>
      </c>
      <c r="AC168" s="65" t="str">
        <f aca="false">IF($Y168="","",IF($AA168&gt;2*INDEX(StageStale,$Y168),"Stale",IF($AA168&gt;INDEX(StageStale,$Y168),"Aging","Fresh")))</f>
        <v/>
      </c>
      <c r="AD168" s="65" t="str">
        <f aca="false">IF($A168="","",IF(OR(ISNUMBER(SEARCH("Reg report",$J168)),ISNUMBER(SEARCH("No human review",$J168)),COUNTIF(TierFuncs,$D168)&gt;0),"High",IF(OR(TRIM($J168)&lt;&gt;"",ISNUMBER(SEARCH("revenue",$K168))),"Medium","Low")))</f>
        <v/>
      </c>
      <c r="AE168" s="65" t="str">
        <f aca="false">IF($A168="","",INDEX(TierDays,MATCH($AD168,TierName,0)))</f>
        <v/>
      </c>
      <c r="AF168" s="65" t="str">
        <f aca="false">IF($A168="","",AsOf-$G168)</f>
        <v/>
      </c>
      <c r="AG168" s="65" t="str">
        <f aca="false">IF($Y168="","",IF($Y168&lt;=5,IF($AF168&gt;$AE168,"Over","Inside"),"Past approval"))</f>
        <v/>
      </c>
      <c r="AH168" s="65" t="str">
        <f aca="false">IF($Y168="","",CHOOSE($Y168,IF(OR(TRIM($F168)="",ISNUMBER(SEARCH("not named",$F168))),"Critical","Good"),IF($O168&lt;&gt;"Y","Critical",IF($Q168&lt;&gt;"Y","Warning","Good")),IF($P168="","Critical",IF($P168="partial","Warning",IF($P168="ready","Good","Critical"))),IF($R168&lt;&gt;"","Critical","Warning"),IF($L168="","Critical",IF($N168="","Warning","Good")),IF($R168&lt;&gt;"","Critical","Warning"),IF($R168&lt;&gt;"","Critical","Warning"),IF($Q168="Y","Good","Critical")))</f>
        <v/>
      </c>
      <c r="AI168" s="65" t="str">
        <f aca="false">IF($Y168="","",CHOOSE($Y168,IF(OR(TRIM($F168)="",ISNUMBER(SEARCH("not named",$F168))),"Name a sponsor accountable for the value",""),IF($O168&lt;&gt;"Y","State the success metric and the stop condition",IF($Q168&lt;&gt;"Y","Set the baseline the benefit will be measured against","")),IF($P168="","Assess data readiness and regulatory impact",IF($P168="partial","Close the known data gaps",IF($P168="ready","","Data is not available; reshape or park"))),IF($R168&lt;&gt;"",IF(OR(ISNUMBER(SEARCH("mrm",$R168)),ISNUMBER(SEARCH("model",$R168)),ISNUMBER(SEARCH("risk",$R168)),ISNUMBER(SEARCH("legal",$R168)),ISNUMBER(SEARCH("complian",$R168))),"Awaiting ","Held at the design gate: ")&amp;$R168,"Map the governance framework for its tier"),IF($L168="","Size the annual benefit",IF($N168="","Score it so it can be ranked against capacity","")),IF($R168&lt;&gt;"","Build held: "&amp;$R168,"In build, not yet through test"),IF($R168&lt;&gt;"","Not ready to scale: "&amp;$R168,"Monitoring and third-party review not yet signed off"),IF($Q168="Y","","Live without a measured baseline to judge it against")))</f>
        <v/>
      </c>
      <c r="AJ168" s="65" t="str">
        <f aca="false">IF($Y168="","",INDEX(StageForum,$Y168))</f>
        <v/>
      </c>
      <c r="AK168" s="65" t="str">
        <f aca="false">IF($Y168="","",IF(OR($X168="Delivery",$X168="Value"),"Committed",IF($N168&lt;&gt;"","Candidate","")))</f>
        <v/>
      </c>
      <c r="AL168" s="65" t="str">
        <f aca="false">IF($AK168&lt;&gt;"Candidate","",COUNTIFS($AK$2:$AK$501,"Candidate",$N$2:$N$501,"&gt;"&amp;$N168)+COUNTIFS($AK$2:$AK$501,"Candidate",$N$2:$N$501,$N168,$A$2:$A$501,"&lt;"&amp;$A168)+1)</f>
        <v/>
      </c>
      <c r="AM168" s="65" t="str">
        <f aca="false">IF($AL168="","",SUMIFS($M$2:$M$501,$AK$2:$AK$501,"Candidate",$AL$2:$AL$501,"&lt;="&amp;$AL168))</f>
        <v/>
      </c>
      <c r="AN168" s="65" t="str">
        <f aca="false">IF($AL168="","",IF($AM168&lt;=CapacityOpen,"Fits","Below line"))</f>
        <v/>
      </c>
      <c r="AO168" s="65" t="str">
        <f aca="false">IF($A168="","",IF($X168="Closed","",IF($X168="Unmapped","Warning",IF(OR($AB168="Overdue",$V168="Y",$AH168="Critical"),"Critical",IF(OR($AB168="At risk",$AC168="Stale",$AG168="Over"),"Warning","")))))</f>
        <v/>
      </c>
      <c r="AP168" s="65" t="str">
        <f aca="false">IF($AO168="","",IF($AO168="Critical",3000,2000)-IF($Z168="",0,$Z168)+ROW()/100000)</f>
        <v/>
      </c>
      <c r="AQ168" s="65" t="str">
        <f aca="false">IF($AO168="","",IF($X168="Unmapped","Status '"&amp;$C168&amp;"' is not in the Config map",IF($V168="Y","Flagged in Jira",IF($AB168="Overdue",-$Z168&amp;" days past its "&amp;$X168&amp;" target",IF($AH168="Critical",$AI168,IF($AB168="At risk","Target in "&amp;$Z168&amp;" days",IF($AC168="Stale","No update in "&amp;$AA168&amp;" days","Past its "&amp;$AE168&amp;"-day tier window")))))))</f>
        <v/>
      </c>
      <c r="AR168" s="65" t="str">
        <f aca="false">IF($AO168="","","draft Jira update for "&amp;$A168)</f>
        <v/>
      </c>
      <c r="AS168" s="65" t="str">
        <f aca="false">IF($A168="","",HYPERLINK(JiraSite&amp;"/browse/"&amp;$A168,"open"))</f>
        <v/>
      </c>
      <c r="AT168" s="65" t="str">
        <f aca="false">IF($Y168="","",$Y168*1000+ROW())</f>
        <v/>
      </c>
      <c r="AU168" s="65" t="str">
        <f aca="false">IF(AND($A168&lt;&gt;"",$G168&gt;=WeekStart),$G168+ROW()/100000,"")</f>
        <v/>
      </c>
      <c r="AV168" s="65" t="str">
        <f aca="false">IF($A168="","",IF(OR(AND($S168&lt;&gt;"",$S168&gt;=WeekStart),AND($U168&lt;&gt;"",$U168&gt;=WeekStart)),MAX($S168,$U168)+ROW()/100000,""))</f>
        <v/>
      </c>
      <c r="AW168" s="65" t="str">
        <f aca="false">IF($AV168="","",IF($T168&lt;&gt;"",$T168,IF($X168="Closed","Closed","Accepted to "&amp;$X168)))</f>
        <v/>
      </c>
      <c r="AX168" s="65" t="str">
        <f aca="false">IF(AND($Y168&lt;&gt;"",$R168&lt;&gt;""),$AF168+ROW()/100000,"")</f>
        <v/>
      </c>
      <c r="AY168" s="65" t="str">
        <f aca="false">IF(AND($Y168&lt;&gt;"",OR($AB168="Overdue",AND($AH168="Critical",$R168&lt;&gt;""))),$AF168+ROW()/100000,"")</f>
        <v/>
      </c>
      <c r="AZ168" s="65" t="str">
        <f aca="false">IF($AH168="Critical",$AF168+ROW()/100000,"")</f>
        <v/>
      </c>
    </row>
    <row r="169" customFormat="false" ht="15" hidden="false" customHeight="false" outlineLevel="0" collapsed="false">
      <c r="A169" s="28"/>
      <c r="B169" s="28"/>
      <c r="C169" s="28"/>
      <c r="D169" s="28"/>
      <c r="E169" s="28"/>
      <c r="F169" s="28"/>
      <c r="G169" s="63"/>
      <c r="H169" s="63"/>
      <c r="I169" s="63"/>
      <c r="J169" s="28"/>
      <c r="K169" s="28"/>
      <c r="L169" s="28"/>
      <c r="M169" s="28"/>
      <c r="N169" s="28"/>
      <c r="O169" s="64"/>
      <c r="P169" s="64"/>
      <c r="Q169" s="64"/>
      <c r="R169" s="28"/>
      <c r="S169" s="63"/>
      <c r="T169" s="64"/>
      <c r="U169" s="63"/>
      <c r="V169" s="64"/>
      <c r="W169" s="28"/>
      <c r="X169" s="65" t="str">
        <f aca="false">IF($A169="","",IF(OR($T169&lt;&gt;"",$U169&lt;&gt;""),"Closed",IFERROR(INDEX(MapStage,MATCH($C169,MapStatus,0)),"Unmapped")))</f>
        <v/>
      </c>
      <c r="Y169" s="65" t="str">
        <f aca="false">IF(OR($X169="",$X169="Closed",$X169="Unmapped"),"",MATCH($X169,StageName,0))</f>
        <v/>
      </c>
      <c r="Z169" s="65" t="str">
        <f aca="false">IF(OR($Y169="",$I169=""),"",$I169-AsOf)</f>
        <v/>
      </c>
      <c r="AA169" s="65" t="str">
        <f aca="false">IF($A169="","",AsOf-$H169)</f>
        <v/>
      </c>
      <c r="AB169" s="65" t="str">
        <f aca="false">IF($A169="","",IF($X169="Closed","Closed",IF($X169="Unmapped","Unmapped",IF($I169="","No target",IF($Z169&lt;0,"Overdue",IF($Z169&lt;=INDEX(StageWindow,$Y169),"At risk","On track"))))))</f>
        <v/>
      </c>
      <c r="AC169" s="65" t="str">
        <f aca="false">IF($Y169="","",IF($AA169&gt;2*INDEX(StageStale,$Y169),"Stale",IF($AA169&gt;INDEX(StageStale,$Y169),"Aging","Fresh")))</f>
        <v/>
      </c>
      <c r="AD169" s="65" t="str">
        <f aca="false">IF($A169="","",IF(OR(ISNUMBER(SEARCH("Reg report",$J169)),ISNUMBER(SEARCH("No human review",$J169)),COUNTIF(TierFuncs,$D169)&gt;0),"High",IF(OR(TRIM($J169)&lt;&gt;"",ISNUMBER(SEARCH("revenue",$K169))),"Medium","Low")))</f>
        <v/>
      </c>
      <c r="AE169" s="65" t="str">
        <f aca="false">IF($A169="","",INDEX(TierDays,MATCH($AD169,TierName,0)))</f>
        <v/>
      </c>
      <c r="AF169" s="65" t="str">
        <f aca="false">IF($A169="","",AsOf-$G169)</f>
        <v/>
      </c>
      <c r="AG169" s="65" t="str">
        <f aca="false">IF($Y169="","",IF($Y169&lt;=5,IF($AF169&gt;$AE169,"Over","Inside"),"Past approval"))</f>
        <v/>
      </c>
      <c r="AH169" s="65" t="str">
        <f aca="false">IF($Y169="","",CHOOSE($Y169,IF(OR(TRIM($F169)="",ISNUMBER(SEARCH("not named",$F169))),"Critical","Good"),IF($O169&lt;&gt;"Y","Critical",IF($Q169&lt;&gt;"Y","Warning","Good")),IF($P169="","Critical",IF($P169="partial","Warning",IF($P169="ready","Good","Critical"))),IF($R169&lt;&gt;"","Critical","Warning"),IF($L169="","Critical",IF($N169="","Warning","Good")),IF($R169&lt;&gt;"","Critical","Warning"),IF($R169&lt;&gt;"","Critical","Warning"),IF($Q169="Y","Good","Critical")))</f>
        <v/>
      </c>
      <c r="AI169" s="65" t="str">
        <f aca="false">IF($Y169="","",CHOOSE($Y169,IF(OR(TRIM($F169)="",ISNUMBER(SEARCH("not named",$F169))),"Name a sponsor accountable for the value",""),IF($O169&lt;&gt;"Y","State the success metric and the stop condition",IF($Q169&lt;&gt;"Y","Set the baseline the benefit will be measured against","")),IF($P169="","Assess data readiness and regulatory impact",IF($P169="partial","Close the known data gaps",IF($P169="ready","","Data is not available; reshape or park"))),IF($R169&lt;&gt;"",IF(OR(ISNUMBER(SEARCH("mrm",$R169)),ISNUMBER(SEARCH("model",$R169)),ISNUMBER(SEARCH("risk",$R169)),ISNUMBER(SEARCH("legal",$R169)),ISNUMBER(SEARCH("complian",$R169))),"Awaiting ","Held at the design gate: ")&amp;$R169,"Map the governance framework for its tier"),IF($L169="","Size the annual benefit",IF($N169="","Score it so it can be ranked against capacity","")),IF($R169&lt;&gt;"","Build held: "&amp;$R169,"In build, not yet through test"),IF($R169&lt;&gt;"","Not ready to scale: "&amp;$R169,"Monitoring and third-party review not yet signed off"),IF($Q169="Y","","Live without a measured baseline to judge it against")))</f>
        <v/>
      </c>
      <c r="AJ169" s="65" t="str">
        <f aca="false">IF($Y169="","",INDEX(StageForum,$Y169))</f>
        <v/>
      </c>
      <c r="AK169" s="65" t="str">
        <f aca="false">IF($Y169="","",IF(OR($X169="Delivery",$X169="Value"),"Committed",IF($N169&lt;&gt;"","Candidate","")))</f>
        <v/>
      </c>
      <c r="AL169" s="65" t="str">
        <f aca="false">IF($AK169&lt;&gt;"Candidate","",COUNTIFS($AK$2:$AK$501,"Candidate",$N$2:$N$501,"&gt;"&amp;$N169)+COUNTIFS($AK$2:$AK$501,"Candidate",$N$2:$N$501,$N169,$A$2:$A$501,"&lt;"&amp;$A169)+1)</f>
        <v/>
      </c>
      <c r="AM169" s="65" t="str">
        <f aca="false">IF($AL169="","",SUMIFS($M$2:$M$501,$AK$2:$AK$501,"Candidate",$AL$2:$AL$501,"&lt;="&amp;$AL169))</f>
        <v/>
      </c>
      <c r="AN169" s="65" t="str">
        <f aca="false">IF($AL169="","",IF($AM169&lt;=CapacityOpen,"Fits","Below line"))</f>
        <v/>
      </c>
      <c r="AO169" s="65" t="str">
        <f aca="false">IF($A169="","",IF($X169="Closed","",IF($X169="Unmapped","Warning",IF(OR($AB169="Overdue",$V169="Y",$AH169="Critical"),"Critical",IF(OR($AB169="At risk",$AC169="Stale",$AG169="Over"),"Warning","")))))</f>
        <v/>
      </c>
      <c r="AP169" s="65" t="str">
        <f aca="false">IF($AO169="","",IF($AO169="Critical",3000,2000)-IF($Z169="",0,$Z169)+ROW()/100000)</f>
        <v/>
      </c>
      <c r="AQ169" s="65" t="str">
        <f aca="false">IF($AO169="","",IF($X169="Unmapped","Status '"&amp;$C169&amp;"' is not in the Config map",IF($V169="Y","Flagged in Jira",IF($AB169="Overdue",-$Z169&amp;" days past its "&amp;$X169&amp;" target",IF($AH169="Critical",$AI169,IF($AB169="At risk","Target in "&amp;$Z169&amp;" days",IF($AC169="Stale","No update in "&amp;$AA169&amp;" days","Past its "&amp;$AE169&amp;"-day tier window")))))))</f>
        <v/>
      </c>
      <c r="AR169" s="65" t="str">
        <f aca="false">IF($AO169="","","draft Jira update for "&amp;$A169)</f>
        <v/>
      </c>
      <c r="AS169" s="65" t="str">
        <f aca="false">IF($A169="","",HYPERLINK(JiraSite&amp;"/browse/"&amp;$A169,"open"))</f>
        <v/>
      </c>
      <c r="AT169" s="65" t="str">
        <f aca="false">IF($Y169="","",$Y169*1000+ROW())</f>
        <v/>
      </c>
      <c r="AU169" s="65" t="str">
        <f aca="false">IF(AND($A169&lt;&gt;"",$G169&gt;=WeekStart),$G169+ROW()/100000,"")</f>
        <v/>
      </c>
      <c r="AV169" s="65" t="str">
        <f aca="false">IF($A169="","",IF(OR(AND($S169&lt;&gt;"",$S169&gt;=WeekStart),AND($U169&lt;&gt;"",$U169&gt;=WeekStart)),MAX($S169,$U169)+ROW()/100000,""))</f>
        <v/>
      </c>
      <c r="AW169" s="65" t="str">
        <f aca="false">IF($AV169="","",IF($T169&lt;&gt;"",$T169,IF($X169="Closed","Closed","Accepted to "&amp;$X169)))</f>
        <v/>
      </c>
      <c r="AX169" s="65" t="str">
        <f aca="false">IF(AND($Y169&lt;&gt;"",$R169&lt;&gt;""),$AF169+ROW()/100000,"")</f>
        <v/>
      </c>
      <c r="AY169" s="65" t="str">
        <f aca="false">IF(AND($Y169&lt;&gt;"",OR($AB169="Overdue",AND($AH169="Critical",$R169&lt;&gt;""))),$AF169+ROW()/100000,"")</f>
        <v/>
      </c>
      <c r="AZ169" s="65" t="str">
        <f aca="false">IF($AH169="Critical",$AF169+ROW()/100000,"")</f>
        <v/>
      </c>
    </row>
    <row r="170" customFormat="false" ht="15" hidden="false" customHeight="false" outlineLevel="0" collapsed="false">
      <c r="A170" s="28"/>
      <c r="B170" s="28"/>
      <c r="C170" s="28"/>
      <c r="D170" s="28"/>
      <c r="E170" s="28"/>
      <c r="F170" s="28"/>
      <c r="G170" s="63"/>
      <c r="H170" s="63"/>
      <c r="I170" s="63"/>
      <c r="J170" s="28"/>
      <c r="K170" s="28"/>
      <c r="L170" s="28"/>
      <c r="M170" s="28"/>
      <c r="N170" s="28"/>
      <c r="O170" s="64"/>
      <c r="P170" s="64"/>
      <c r="Q170" s="64"/>
      <c r="R170" s="28"/>
      <c r="S170" s="63"/>
      <c r="T170" s="64"/>
      <c r="U170" s="63"/>
      <c r="V170" s="64"/>
      <c r="W170" s="28"/>
      <c r="X170" s="65" t="str">
        <f aca="false">IF($A170="","",IF(OR($T170&lt;&gt;"",$U170&lt;&gt;""),"Closed",IFERROR(INDEX(MapStage,MATCH($C170,MapStatus,0)),"Unmapped")))</f>
        <v/>
      </c>
      <c r="Y170" s="65" t="str">
        <f aca="false">IF(OR($X170="",$X170="Closed",$X170="Unmapped"),"",MATCH($X170,StageName,0))</f>
        <v/>
      </c>
      <c r="Z170" s="65" t="str">
        <f aca="false">IF(OR($Y170="",$I170=""),"",$I170-AsOf)</f>
        <v/>
      </c>
      <c r="AA170" s="65" t="str">
        <f aca="false">IF($A170="","",AsOf-$H170)</f>
        <v/>
      </c>
      <c r="AB170" s="65" t="str">
        <f aca="false">IF($A170="","",IF($X170="Closed","Closed",IF($X170="Unmapped","Unmapped",IF($I170="","No target",IF($Z170&lt;0,"Overdue",IF($Z170&lt;=INDEX(StageWindow,$Y170),"At risk","On track"))))))</f>
        <v/>
      </c>
      <c r="AC170" s="65" t="str">
        <f aca="false">IF($Y170="","",IF($AA170&gt;2*INDEX(StageStale,$Y170),"Stale",IF($AA170&gt;INDEX(StageStale,$Y170),"Aging","Fresh")))</f>
        <v/>
      </c>
      <c r="AD170" s="65" t="str">
        <f aca="false">IF($A170="","",IF(OR(ISNUMBER(SEARCH("Reg report",$J170)),ISNUMBER(SEARCH("No human review",$J170)),COUNTIF(TierFuncs,$D170)&gt;0),"High",IF(OR(TRIM($J170)&lt;&gt;"",ISNUMBER(SEARCH("revenue",$K170))),"Medium","Low")))</f>
        <v/>
      </c>
      <c r="AE170" s="65" t="str">
        <f aca="false">IF($A170="","",INDEX(TierDays,MATCH($AD170,TierName,0)))</f>
        <v/>
      </c>
      <c r="AF170" s="65" t="str">
        <f aca="false">IF($A170="","",AsOf-$G170)</f>
        <v/>
      </c>
      <c r="AG170" s="65" t="str">
        <f aca="false">IF($Y170="","",IF($Y170&lt;=5,IF($AF170&gt;$AE170,"Over","Inside"),"Past approval"))</f>
        <v/>
      </c>
      <c r="AH170" s="65" t="str">
        <f aca="false">IF($Y170="","",CHOOSE($Y170,IF(OR(TRIM($F170)="",ISNUMBER(SEARCH("not named",$F170))),"Critical","Good"),IF($O170&lt;&gt;"Y","Critical",IF($Q170&lt;&gt;"Y","Warning","Good")),IF($P170="","Critical",IF($P170="partial","Warning",IF($P170="ready","Good","Critical"))),IF($R170&lt;&gt;"","Critical","Warning"),IF($L170="","Critical",IF($N170="","Warning","Good")),IF($R170&lt;&gt;"","Critical","Warning"),IF($R170&lt;&gt;"","Critical","Warning"),IF($Q170="Y","Good","Critical")))</f>
        <v/>
      </c>
      <c r="AI170" s="65" t="str">
        <f aca="false">IF($Y170="","",CHOOSE($Y170,IF(OR(TRIM($F170)="",ISNUMBER(SEARCH("not named",$F170))),"Name a sponsor accountable for the value",""),IF($O170&lt;&gt;"Y","State the success metric and the stop condition",IF($Q170&lt;&gt;"Y","Set the baseline the benefit will be measured against","")),IF($P170="","Assess data readiness and regulatory impact",IF($P170="partial","Close the known data gaps",IF($P170="ready","","Data is not available; reshape or park"))),IF($R170&lt;&gt;"",IF(OR(ISNUMBER(SEARCH("mrm",$R170)),ISNUMBER(SEARCH("model",$R170)),ISNUMBER(SEARCH("risk",$R170)),ISNUMBER(SEARCH("legal",$R170)),ISNUMBER(SEARCH("complian",$R170))),"Awaiting ","Held at the design gate: ")&amp;$R170,"Map the governance framework for its tier"),IF($L170="","Size the annual benefit",IF($N170="","Score it so it can be ranked against capacity","")),IF($R170&lt;&gt;"","Build held: "&amp;$R170,"In build, not yet through test"),IF($R170&lt;&gt;"","Not ready to scale: "&amp;$R170,"Monitoring and third-party review not yet signed off"),IF($Q170="Y","","Live without a measured baseline to judge it against")))</f>
        <v/>
      </c>
      <c r="AJ170" s="65" t="str">
        <f aca="false">IF($Y170="","",INDEX(StageForum,$Y170))</f>
        <v/>
      </c>
      <c r="AK170" s="65" t="str">
        <f aca="false">IF($Y170="","",IF(OR($X170="Delivery",$X170="Value"),"Committed",IF($N170&lt;&gt;"","Candidate","")))</f>
        <v/>
      </c>
      <c r="AL170" s="65" t="str">
        <f aca="false">IF($AK170&lt;&gt;"Candidate","",COUNTIFS($AK$2:$AK$501,"Candidate",$N$2:$N$501,"&gt;"&amp;$N170)+COUNTIFS($AK$2:$AK$501,"Candidate",$N$2:$N$501,$N170,$A$2:$A$501,"&lt;"&amp;$A170)+1)</f>
        <v/>
      </c>
      <c r="AM170" s="65" t="str">
        <f aca="false">IF($AL170="","",SUMIFS($M$2:$M$501,$AK$2:$AK$501,"Candidate",$AL$2:$AL$501,"&lt;="&amp;$AL170))</f>
        <v/>
      </c>
      <c r="AN170" s="65" t="str">
        <f aca="false">IF($AL170="","",IF($AM170&lt;=CapacityOpen,"Fits","Below line"))</f>
        <v/>
      </c>
      <c r="AO170" s="65" t="str">
        <f aca="false">IF($A170="","",IF($X170="Closed","",IF($X170="Unmapped","Warning",IF(OR($AB170="Overdue",$V170="Y",$AH170="Critical"),"Critical",IF(OR($AB170="At risk",$AC170="Stale",$AG170="Over"),"Warning","")))))</f>
        <v/>
      </c>
      <c r="AP170" s="65" t="str">
        <f aca="false">IF($AO170="","",IF($AO170="Critical",3000,2000)-IF($Z170="",0,$Z170)+ROW()/100000)</f>
        <v/>
      </c>
      <c r="AQ170" s="65" t="str">
        <f aca="false">IF($AO170="","",IF($X170="Unmapped","Status '"&amp;$C170&amp;"' is not in the Config map",IF($V170="Y","Flagged in Jira",IF($AB170="Overdue",-$Z170&amp;" days past its "&amp;$X170&amp;" target",IF($AH170="Critical",$AI170,IF($AB170="At risk","Target in "&amp;$Z170&amp;" days",IF($AC170="Stale","No update in "&amp;$AA170&amp;" days","Past its "&amp;$AE170&amp;"-day tier window")))))))</f>
        <v/>
      </c>
      <c r="AR170" s="65" t="str">
        <f aca="false">IF($AO170="","","draft Jira update for "&amp;$A170)</f>
        <v/>
      </c>
      <c r="AS170" s="65" t="str">
        <f aca="false">IF($A170="","",HYPERLINK(JiraSite&amp;"/browse/"&amp;$A170,"open"))</f>
        <v/>
      </c>
      <c r="AT170" s="65" t="str">
        <f aca="false">IF($Y170="","",$Y170*1000+ROW())</f>
        <v/>
      </c>
      <c r="AU170" s="65" t="str">
        <f aca="false">IF(AND($A170&lt;&gt;"",$G170&gt;=WeekStart),$G170+ROW()/100000,"")</f>
        <v/>
      </c>
      <c r="AV170" s="65" t="str">
        <f aca="false">IF($A170="","",IF(OR(AND($S170&lt;&gt;"",$S170&gt;=WeekStart),AND($U170&lt;&gt;"",$U170&gt;=WeekStart)),MAX($S170,$U170)+ROW()/100000,""))</f>
        <v/>
      </c>
      <c r="AW170" s="65" t="str">
        <f aca="false">IF($AV170="","",IF($T170&lt;&gt;"",$T170,IF($X170="Closed","Closed","Accepted to "&amp;$X170)))</f>
        <v/>
      </c>
      <c r="AX170" s="65" t="str">
        <f aca="false">IF(AND($Y170&lt;&gt;"",$R170&lt;&gt;""),$AF170+ROW()/100000,"")</f>
        <v/>
      </c>
      <c r="AY170" s="65" t="str">
        <f aca="false">IF(AND($Y170&lt;&gt;"",OR($AB170="Overdue",AND($AH170="Critical",$R170&lt;&gt;""))),$AF170+ROW()/100000,"")</f>
        <v/>
      </c>
      <c r="AZ170" s="65" t="str">
        <f aca="false">IF($AH170="Critical",$AF170+ROW()/100000,"")</f>
        <v/>
      </c>
    </row>
    <row r="171" customFormat="false" ht="15" hidden="false" customHeight="false" outlineLevel="0" collapsed="false">
      <c r="A171" s="28"/>
      <c r="B171" s="28"/>
      <c r="C171" s="28"/>
      <c r="D171" s="28"/>
      <c r="E171" s="28"/>
      <c r="F171" s="28"/>
      <c r="G171" s="63"/>
      <c r="H171" s="63"/>
      <c r="I171" s="63"/>
      <c r="J171" s="28"/>
      <c r="K171" s="28"/>
      <c r="L171" s="28"/>
      <c r="M171" s="28"/>
      <c r="N171" s="28"/>
      <c r="O171" s="64"/>
      <c r="P171" s="64"/>
      <c r="Q171" s="64"/>
      <c r="R171" s="28"/>
      <c r="S171" s="63"/>
      <c r="T171" s="64"/>
      <c r="U171" s="63"/>
      <c r="V171" s="64"/>
      <c r="W171" s="28"/>
      <c r="X171" s="65" t="str">
        <f aca="false">IF($A171="","",IF(OR($T171&lt;&gt;"",$U171&lt;&gt;""),"Closed",IFERROR(INDEX(MapStage,MATCH($C171,MapStatus,0)),"Unmapped")))</f>
        <v/>
      </c>
      <c r="Y171" s="65" t="str">
        <f aca="false">IF(OR($X171="",$X171="Closed",$X171="Unmapped"),"",MATCH($X171,StageName,0))</f>
        <v/>
      </c>
      <c r="Z171" s="65" t="str">
        <f aca="false">IF(OR($Y171="",$I171=""),"",$I171-AsOf)</f>
        <v/>
      </c>
      <c r="AA171" s="65" t="str">
        <f aca="false">IF($A171="","",AsOf-$H171)</f>
        <v/>
      </c>
      <c r="AB171" s="65" t="str">
        <f aca="false">IF($A171="","",IF($X171="Closed","Closed",IF($X171="Unmapped","Unmapped",IF($I171="","No target",IF($Z171&lt;0,"Overdue",IF($Z171&lt;=INDEX(StageWindow,$Y171),"At risk","On track"))))))</f>
        <v/>
      </c>
      <c r="AC171" s="65" t="str">
        <f aca="false">IF($Y171="","",IF($AA171&gt;2*INDEX(StageStale,$Y171),"Stale",IF($AA171&gt;INDEX(StageStale,$Y171),"Aging","Fresh")))</f>
        <v/>
      </c>
      <c r="AD171" s="65" t="str">
        <f aca="false">IF($A171="","",IF(OR(ISNUMBER(SEARCH("Reg report",$J171)),ISNUMBER(SEARCH("No human review",$J171)),COUNTIF(TierFuncs,$D171)&gt;0),"High",IF(OR(TRIM($J171)&lt;&gt;"",ISNUMBER(SEARCH("revenue",$K171))),"Medium","Low")))</f>
        <v/>
      </c>
      <c r="AE171" s="65" t="str">
        <f aca="false">IF($A171="","",INDEX(TierDays,MATCH($AD171,TierName,0)))</f>
        <v/>
      </c>
      <c r="AF171" s="65" t="str">
        <f aca="false">IF($A171="","",AsOf-$G171)</f>
        <v/>
      </c>
      <c r="AG171" s="65" t="str">
        <f aca="false">IF($Y171="","",IF($Y171&lt;=5,IF($AF171&gt;$AE171,"Over","Inside"),"Past approval"))</f>
        <v/>
      </c>
      <c r="AH171" s="65" t="str">
        <f aca="false">IF($Y171="","",CHOOSE($Y171,IF(OR(TRIM($F171)="",ISNUMBER(SEARCH("not named",$F171))),"Critical","Good"),IF($O171&lt;&gt;"Y","Critical",IF($Q171&lt;&gt;"Y","Warning","Good")),IF($P171="","Critical",IF($P171="partial","Warning",IF($P171="ready","Good","Critical"))),IF($R171&lt;&gt;"","Critical","Warning"),IF($L171="","Critical",IF($N171="","Warning","Good")),IF($R171&lt;&gt;"","Critical","Warning"),IF($R171&lt;&gt;"","Critical","Warning"),IF($Q171="Y","Good","Critical")))</f>
        <v/>
      </c>
      <c r="AI171" s="65" t="str">
        <f aca="false">IF($Y171="","",CHOOSE($Y171,IF(OR(TRIM($F171)="",ISNUMBER(SEARCH("not named",$F171))),"Name a sponsor accountable for the value",""),IF($O171&lt;&gt;"Y","State the success metric and the stop condition",IF($Q171&lt;&gt;"Y","Set the baseline the benefit will be measured against","")),IF($P171="","Assess data readiness and regulatory impact",IF($P171="partial","Close the known data gaps",IF($P171="ready","","Data is not available; reshape or park"))),IF($R171&lt;&gt;"",IF(OR(ISNUMBER(SEARCH("mrm",$R171)),ISNUMBER(SEARCH("model",$R171)),ISNUMBER(SEARCH("risk",$R171)),ISNUMBER(SEARCH("legal",$R171)),ISNUMBER(SEARCH("complian",$R171))),"Awaiting ","Held at the design gate: ")&amp;$R171,"Map the governance framework for its tier"),IF($L171="","Size the annual benefit",IF($N171="","Score it so it can be ranked against capacity","")),IF($R171&lt;&gt;"","Build held: "&amp;$R171,"In build, not yet through test"),IF($R171&lt;&gt;"","Not ready to scale: "&amp;$R171,"Monitoring and third-party review not yet signed off"),IF($Q171="Y","","Live without a measured baseline to judge it against")))</f>
        <v/>
      </c>
      <c r="AJ171" s="65" t="str">
        <f aca="false">IF($Y171="","",INDEX(StageForum,$Y171))</f>
        <v/>
      </c>
      <c r="AK171" s="65" t="str">
        <f aca="false">IF($Y171="","",IF(OR($X171="Delivery",$X171="Value"),"Committed",IF($N171&lt;&gt;"","Candidate","")))</f>
        <v/>
      </c>
      <c r="AL171" s="65" t="str">
        <f aca="false">IF($AK171&lt;&gt;"Candidate","",COUNTIFS($AK$2:$AK$501,"Candidate",$N$2:$N$501,"&gt;"&amp;$N171)+COUNTIFS($AK$2:$AK$501,"Candidate",$N$2:$N$501,$N171,$A$2:$A$501,"&lt;"&amp;$A171)+1)</f>
        <v/>
      </c>
      <c r="AM171" s="65" t="str">
        <f aca="false">IF($AL171="","",SUMIFS($M$2:$M$501,$AK$2:$AK$501,"Candidate",$AL$2:$AL$501,"&lt;="&amp;$AL171))</f>
        <v/>
      </c>
      <c r="AN171" s="65" t="str">
        <f aca="false">IF($AL171="","",IF($AM171&lt;=CapacityOpen,"Fits","Below line"))</f>
        <v/>
      </c>
      <c r="AO171" s="65" t="str">
        <f aca="false">IF($A171="","",IF($X171="Closed","",IF($X171="Unmapped","Warning",IF(OR($AB171="Overdue",$V171="Y",$AH171="Critical"),"Critical",IF(OR($AB171="At risk",$AC171="Stale",$AG171="Over"),"Warning","")))))</f>
        <v/>
      </c>
      <c r="AP171" s="65" t="str">
        <f aca="false">IF($AO171="","",IF($AO171="Critical",3000,2000)-IF($Z171="",0,$Z171)+ROW()/100000)</f>
        <v/>
      </c>
      <c r="AQ171" s="65" t="str">
        <f aca="false">IF($AO171="","",IF($X171="Unmapped","Status '"&amp;$C171&amp;"' is not in the Config map",IF($V171="Y","Flagged in Jira",IF($AB171="Overdue",-$Z171&amp;" days past its "&amp;$X171&amp;" target",IF($AH171="Critical",$AI171,IF($AB171="At risk","Target in "&amp;$Z171&amp;" days",IF($AC171="Stale","No update in "&amp;$AA171&amp;" days","Past its "&amp;$AE171&amp;"-day tier window")))))))</f>
        <v/>
      </c>
      <c r="AR171" s="65" t="str">
        <f aca="false">IF($AO171="","","draft Jira update for "&amp;$A171)</f>
        <v/>
      </c>
      <c r="AS171" s="65" t="str">
        <f aca="false">IF($A171="","",HYPERLINK(JiraSite&amp;"/browse/"&amp;$A171,"open"))</f>
        <v/>
      </c>
      <c r="AT171" s="65" t="str">
        <f aca="false">IF($Y171="","",$Y171*1000+ROW())</f>
        <v/>
      </c>
      <c r="AU171" s="65" t="str">
        <f aca="false">IF(AND($A171&lt;&gt;"",$G171&gt;=WeekStart),$G171+ROW()/100000,"")</f>
        <v/>
      </c>
      <c r="AV171" s="65" t="str">
        <f aca="false">IF($A171="","",IF(OR(AND($S171&lt;&gt;"",$S171&gt;=WeekStart),AND($U171&lt;&gt;"",$U171&gt;=WeekStart)),MAX($S171,$U171)+ROW()/100000,""))</f>
        <v/>
      </c>
      <c r="AW171" s="65" t="str">
        <f aca="false">IF($AV171="","",IF($T171&lt;&gt;"",$T171,IF($X171="Closed","Closed","Accepted to "&amp;$X171)))</f>
        <v/>
      </c>
      <c r="AX171" s="65" t="str">
        <f aca="false">IF(AND($Y171&lt;&gt;"",$R171&lt;&gt;""),$AF171+ROW()/100000,"")</f>
        <v/>
      </c>
      <c r="AY171" s="65" t="str">
        <f aca="false">IF(AND($Y171&lt;&gt;"",OR($AB171="Overdue",AND($AH171="Critical",$R171&lt;&gt;""))),$AF171+ROW()/100000,"")</f>
        <v/>
      </c>
      <c r="AZ171" s="65" t="str">
        <f aca="false">IF($AH171="Critical",$AF171+ROW()/100000,"")</f>
        <v/>
      </c>
    </row>
    <row r="172" customFormat="false" ht="15" hidden="false" customHeight="false" outlineLevel="0" collapsed="false">
      <c r="A172" s="28"/>
      <c r="B172" s="28"/>
      <c r="C172" s="28"/>
      <c r="D172" s="28"/>
      <c r="E172" s="28"/>
      <c r="F172" s="28"/>
      <c r="G172" s="63"/>
      <c r="H172" s="63"/>
      <c r="I172" s="63"/>
      <c r="J172" s="28"/>
      <c r="K172" s="28"/>
      <c r="L172" s="28"/>
      <c r="M172" s="28"/>
      <c r="N172" s="28"/>
      <c r="O172" s="64"/>
      <c r="P172" s="64"/>
      <c r="Q172" s="64"/>
      <c r="R172" s="28"/>
      <c r="S172" s="63"/>
      <c r="T172" s="64"/>
      <c r="U172" s="63"/>
      <c r="V172" s="64"/>
      <c r="W172" s="28"/>
      <c r="X172" s="65" t="str">
        <f aca="false">IF($A172="","",IF(OR($T172&lt;&gt;"",$U172&lt;&gt;""),"Closed",IFERROR(INDEX(MapStage,MATCH($C172,MapStatus,0)),"Unmapped")))</f>
        <v/>
      </c>
      <c r="Y172" s="65" t="str">
        <f aca="false">IF(OR($X172="",$X172="Closed",$X172="Unmapped"),"",MATCH($X172,StageName,0))</f>
        <v/>
      </c>
      <c r="Z172" s="65" t="str">
        <f aca="false">IF(OR($Y172="",$I172=""),"",$I172-AsOf)</f>
        <v/>
      </c>
      <c r="AA172" s="65" t="str">
        <f aca="false">IF($A172="","",AsOf-$H172)</f>
        <v/>
      </c>
      <c r="AB172" s="65" t="str">
        <f aca="false">IF($A172="","",IF($X172="Closed","Closed",IF($X172="Unmapped","Unmapped",IF($I172="","No target",IF($Z172&lt;0,"Overdue",IF($Z172&lt;=INDEX(StageWindow,$Y172),"At risk","On track"))))))</f>
        <v/>
      </c>
      <c r="AC172" s="65" t="str">
        <f aca="false">IF($Y172="","",IF($AA172&gt;2*INDEX(StageStale,$Y172),"Stale",IF($AA172&gt;INDEX(StageStale,$Y172),"Aging","Fresh")))</f>
        <v/>
      </c>
      <c r="AD172" s="65" t="str">
        <f aca="false">IF($A172="","",IF(OR(ISNUMBER(SEARCH("Reg report",$J172)),ISNUMBER(SEARCH("No human review",$J172)),COUNTIF(TierFuncs,$D172)&gt;0),"High",IF(OR(TRIM($J172)&lt;&gt;"",ISNUMBER(SEARCH("revenue",$K172))),"Medium","Low")))</f>
        <v/>
      </c>
      <c r="AE172" s="65" t="str">
        <f aca="false">IF($A172="","",INDEX(TierDays,MATCH($AD172,TierName,0)))</f>
        <v/>
      </c>
      <c r="AF172" s="65" t="str">
        <f aca="false">IF($A172="","",AsOf-$G172)</f>
        <v/>
      </c>
      <c r="AG172" s="65" t="str">
        <f aca="false">IF($Y172="","",IF($Y172&lt;=5,IF($AF172&gt;$AE172,"Over","Inside"),"Past approval"))</f>
        <v/>
      </c>
      <c r="AH172" s="65" t="str">
        <f aca="false">IF($Y172="","",CHOOSE($Y172,IF(OR(TRIM($F172)="",ISNUMBER(SEARCH("not named",$F172))),"Critical","Good"),IF($O172&lt;&gt;"Y","Critical",IF($Q172&lt;&gt;"Y","Warning","Good")),IF($P172="","Critical",IF($P172="partial","Warning",IF($P172="ready","Good","Critical"))),IF($R172&lt;&gt;"","Critical","Warning"),IF($L172="","Critical",IF($N172="","Warning","Good")),IF($R172&lt;&gt;"","Critical","Warning"),IF($R172&lt;&gt;"","Critical","Warning"),IF($Q172="Y","Good","Critical")))</f>
        <v/>
      </c>
      <c r="AI172" s="65" t="str">
        <f aca="false">IF($Y172="","",CHOOSE($Y172,IF(OR(TRIM($F172)="",ISNUMBER(SEARCH("not named",$F172))),"Name a sponsor accountable for the value",""),IF($O172&lt;&gt;"Y","State the success metric and the stop condition",IF($Q172&lt;&gt;"Y","Set the baseline the benefit will be measured against","")),IF($P172="","Assess data readiness and regulatory impact",IF($P172="partial","Close the known data gaps",IF($P172="ready","","Data is not available; reshape or park"))),IF($R172&lt;&gt;"",IF(OR(ISNUMBER(SEARCH("mrm",$R172)),ISNUMBER(SEARCH("model",$R172)),ISNUMBER(SEARCH("risk",$R172)),ISNUMBER(SEARCH("legal",$R172)),ISNUMBER(SEARCH("complian",$R172))),"Awaiting ","Held at the design gate: ")&amp;$R172,"Map the governance framework for its tier"),IF($L172="","Size the annual benefit",IF($N172="","Score it so it can be ranked against capacity","")),IF($R172&lt;&gt;"","Build held: "&amp;$R172,"In build, not yet through test"),IF($R172&lt;&gt;"","Not ready to scale: "&amp;$R172,"Monitoring and third-party review not yet signed off"),IF($Q172="Y","","Live without a measured baseline to judge it against")))</f>
        <v/>
      </c>
      <c r="AJ172" s="65" t="str">
        <f aca="false">IF($Y172="","",INDEX(StageForum,$Y172))</f>
        <v/>
      </c>
      <c r="AK172" s="65" t="str">
        <f aca="false">IF($Y172="","",IF(OR($X172="Delivery",$X172="Value"),"Committed",IF($N172&lt;&gt;"","Candidate","")))</f>
        <v/>
      </c>
      <c r="AL172" s="65" t="str">
        <f aca="false">IF($AK172&lt;&gt;"Candidate","",COUNTIFS($AK$2:$AK$501,"Candidate",$N$2:$N$501,"&gt;"&amp;$N172)+COUNTIFS($AK$2:$AK$501,"Candidate",$N$2:$N$501,$N172,$A$2:$A$501,"&lt;"&amp;$A172)+1)</f>
        <v/>
      </c>
      <c r="AM172" s="65" t="str">
        <f aca="false">IF($AL172="","",SUMIFS($M$2:$M$501,$AK$2:$AK$501,"Candidate",$AL$2:$AL$501,"&lt;="&amp;$AL172))</f>
        <v/>
      </c>
      <c r="AN172" s="65" t="str">
        <f aca="false">IF($AL172="","",IF($AM172&lt;=CapacityOpen,"Fits","Below line"))</f>
        <v/>
      </c>
      <c r="AO172" s="65" t="str">
        <f aca="false">IF($A172="","",IF($X172="Closed","",IF($X172="Unmapped","Warning",IF(OR($AB172="Overdue",$V172="Y",$AH172="Critical"),"Critical",IF(OR($AB172="At risk",$AC172="Stale",$AG172="Over"),"Warning","")))))</f>
        <v/>
      </c>
      <c r="AP172" s="65" t="str">
        <f aca="false">IF($AO172="","",IF($AO172="Critical",3000,2000)-IF($Z172="",0,$Z172)+ROW()/100000)</f>
        <v/>
      </c>
      <c r="AQ172" s="65" t="str">
        <f aca="false">IF($AO172="","",IF($X172="Unmapped","Status '"&amp;$C172&amp;"' is not in the Config map",IF($V172="Y","Flagged in Jira",IF($AB172="Overdue",-$Z172&amp;" days past its "&amp;$X172&amp;" target",IF($AH172="Critical",$AI172,IF($AB172="At risk","Target in "&amp;$Z172&amp;" days",IF($AC172="Stale","No update in "&amp;$AA172&amp;" days","Past its "&amp;$AE172&amp;"-day tier window")))))))</f>
        <v/>
      </c>
      <c r="AR172" s="65" t="str">
        <f aca="false">IF($AO172="","","draft Jira update for "&amp;$A172)</f>
        <v/>
      </c>
      <c r="AS172" s="65" t="str">
        <f aca="false">IF($A172="","",HYPERLINK(JiraSite&amp;"/browse/"&amp;$A172,"open"))</f>
        <v/>
      </c>
      <c r="AT172" s="65" t="str">
        <f aca="false">IF($Y172="","",$Y172*1000+ROW())</f>
        <v/>
      </c>
      <c r="AU172" s="65" t="str">
        <f aca="false">IF(AND($A172&lt;&gt;"",$G172&gt;=WeekStart),$G172+ROW()/100000,"")</f>
        <v/>
      </c>
      <c r="AV172" s="65" t="str">
        <f aca="false">IF($A172="","",IF(OR(AND($S172&lt;&gt;"",$S172&gt;=WeekStart),AND($U172&lt;&gt;"",$U172&gt;=WeekStart)),MAX($S172,$U172)+ROW()/100000,""))</f>
        <v/>
      </c>
      <c r="AW172" s="65" t="str">
        <f aca="false">IF($AV172="","",IF($T172&lt;&gt;"",$T172,IF($X172="Closed","Closed","Accepted to "&amp;$X172)))</f>
        <v/>
      </c>
      <c r="AX172" s="65" t="str">
        <f aca="false">IF(AND($Y172&lt;&gt;"",$R172&lt;&gt;""),$AF172+ROW()/100000,"")</f>
        <v/>
      </c>
      <c r="AY172" s="65" t="str">
        <f aca="false">IF(AND($Y172&lt;&gt;"",OR($AB172="Overdue",AND($AH172="Critical",$R172&lt;&gt;""))),$AF172+ROW()/100000,"")</f>
        <v/>
      </c>
      <c r="AZ172" s="65" t="str">
        <f aca="false">IF($AH172="Critical",$AF172+ROW()/100000,"")</f>
        <v/>
      </c>
    </row>
    <row r="173" customFormat="false" ht="15" hidden="false" customHeight="false" outlineLevel="0" collapsed="false">
      <c r="A173" s="28"/>
      <c r="B173" s="28"/>
      <c r="C173" s="28"/>
      <c r="D173" s="28"/>
      <c r="E173" s="28"/>
      <c r="F173" s="28"/>
      <c r="G173" s="63"/>
      <c r="H173" s="63"/>
      <c r="I173" s="63"/>
      <c r="J173" s="28"/>
      <c r="K173" s="28"/>
      <c r="L173" s="28"/>
      <c r="M173" s="28"/>
      <c r="N173" s="28"/>
      <c r="O173" s="64"/>
      <c r="P173" s="64"/>
      <c r="Q173" s="64"/>
      <c r="R173" s="28"/>
      <c r="S173" s="63"/>
      <c r="T173" s="64"/>
      <c r="U173" s="63"/>
      <c r="V173" s="64"/>
      <c r="W173" s="28"/>
      <c r="X173" s="65" t="str">
        <f aca="false">IF($A173="","",IF(OR($T173&lt;&gt;"",$U173&lt;&gt;""),"Closed",IFERROR(INDEX(MapStage,MATCH($C173,MapStatus,0)),"Unmapped")))</f>
        <v/>
      </c>
      <c r="Y173" s="65" t="str">
        <f aca="false">IF(OR($X173="",$X173="Closed",$X173="Unmapped"),"",MATCH($X173,StageName,0))</f>
        <v/>
      </c>
      <c r="Z173" s="65" t="str">
        <f aca="false">IF(OR($Y173="",$I173=""),"",$I173-AsOf)</f>
        <v/>
      </c>
      <c r="AA173" s="65" t="str">
        <f aca="false">IF($A173="","",AsOf-$H173)</f>
        <v/>
      </c>
      <c r="AB173" s="65" t="str">
        <f aca="false">IF($A173="","",IF($X173="Closed","Closed",IF($X173="Unmapped","Unmapped",IF($I173="","No target",IF($Z173&lt;0,"Overdue",IF($Z173&lt;=INDEX(StageWindow,$Y173),"At risk","On track"))))))</f>
        <v/>
      </c>
      <c r="AC173" s="65" t="str">
        <f aca="false">IF($Y173="","",IF($AA173&gt;2*INDEX(StageStale,$Y173),"Stale",IF($AA173&gt;INDEX(StageStale,$Y173),"Aging","Fresh")))</f>
        <v/>
      </c>
      <c r="AD173" s="65" t="str">
        <f aca="false">IF($A173="","",IF(OR(ISNUMBER(SEARCH("Reg report",$J173)),ISNUMBER(SEARCH("No human review",$J173)),COUNTIF(TierFuncs,$D173)&gt;0),"High",IF(OR(TRIM($J173)&lt;&gt;"",ISNUMBER(SEARCH("revenue",$K173))),"Medium","Low")))</f>
        <v/>
      </c>
      <c r="AE173" s="65" t="str">
        <f aca="false">IF($A173="","",INDEX(TierDays,MATCH($AD173,TierName,0)))</f>
        <v/>
      </c>
      <c r="AF173" s="65" t="str">
        <f aca="false">IF($A173="","",AsOf-$G173)</f>
        <v/>
      </c>
      <c r="AG173" s="65" t="str">
        <f aca="false">IF($Y173="","",IF($Y173&lt;=5,IF($AF173&gt;$AE173,"Over","Inside"),"Past approval"))</f>
        <v/>
      </c>
      <c r="AH173" s="65" t="str">
        <f aca="false">IF($Y173="","",CHOOSE($Y173,IF(OR(TRIM($F173)="",ISNUMBER(SEARCH("not named",$F173))),"Critical","Good"),IF($O173&lt;&gt;"Y","Critical",IF($Q173&lt;&gt;"Y","Warning","Good")),IF($P173="","Critical",IF($P173="partial","Warning",IF($P173="ready","Good","Critical"))),IF($R173&lt;&gt;"","Critical","Warning"),IF($L173="","Critical",IF($N173="","Warning","Good")),IF($R173&lt;&gt;"","Critical","Warning"),IF($R173&lt;&gt;"","Critical","Warning"),IF($Q173="Y","Good","Critical")))</f>
        <v/>
      </c>
      <c r="AI173" s="65" t="str">
        <f aca="false">IF($Y173="","",CHOOSE($Y173,IF(OR(TRIM($F173)="",ISNUMBER(SEARCH("not named",$F173))),"Name a sponsor accountable for the value",""),IF($O173&lt;&gt;"Y","State the success metric and the stop condition",IF($Q173&lt;&gt;"Y","Set the baseline the benefit will be measured against","")),IF($P173="","Assess data readiness and regulatory impact",IF($P173="partial","Close the known data gaps",IF($P173="ready","","Data is not available; reshape or park"))),IF($R173&lt;&gt;"",IF(OR(ISNUMBER(SEARCH("mrm",$R173)),ISNUMBER(SEARCH("model",$R173)),ISNUMBER(SEARCH("risk",$R173)),ISNUMBER(SEARCH("legal",$R173)),ISNUMBER(SEARCH("complian",$R173))),"Awaiting ","Held at the design gate: ")&amp;$R173,"Map the governance framework for its tier"),IF($L173="","Size the annual benefit",IF($N173="","Score it so it can be ranked against capacity","")),IF($R173&lt;&gt;"","Build held: "&amp;$R173,"In build, not yet through test"),IF($R173&lt;&gt;"","Not ready to scale: "&amp;$R173,"Monitoring and third-party review not yet signed off"),IF($Q173="Y","","Live without a measured baseline to judge it against")))</f>
        <v/>
      </c>
      <c r="AJ173" s="65" t="str">
        <f aca="false">IF($Y173="","",INDEX(StageForum,$Y173))</f>
        <v/>
      </c>
      <c r="AK173" s="65" t="str">
        <f aca="false">IF($Y173="","",IF(OR($X173="Delivery",$X173="Value"),"Committed",IF($N173&lt;&gt;"","Candidate","")))</f>
        <v/>
      </c>
      <c r="AL173" s="65" t="str">
        <f aca="false">IF($AK173&lt;&gt;"Candidate","",COUNTIFS($AK$2:$AK$501,"Candidate",$N$2:$N$501,"&gt;"&amp;$N173)+COUNTIFS($AK$2:$AK$501,"Candidate",$N$2:$N$501,$N173,$A$2:$A$501,"&lt;"&amp;$A173)+1)</f>
        <v/>
      </c>
      <c r="AM173" s="65" t="str">
        <f aca="false">IF($AL173="","",SUMIFS($M$2:$M$501,$AK$2:$AK$501,"Candidate",$AL$2:$AL$501,"&lt;="&amp;$AL173))</f>
        <v/>
      </c>
      <c r="AN173" s="65" t="str">
        <f aca="false">IF($AL173="","",IF($AM173&lt;=CapacityOpen,"Fits","Below line"))</f>
        <v/>
      </c>
      <c r="AO173" s="65" t="str">
        <f aca="false">IF($A173="","",IF($X173="Closed","",IF($X173="Unmapped","Warning",IF(OR($AB173="Overdue",$V173="Y",$AH173="Critical"),"Critical",IF(OR($AB173="At risk",$AC173="Stale",$AG173="Over"),"Warning","")))))</f>
        <v/>
      </c>
      <c r="AP173" s="65" t="str">
        <f aca="false">IF($AO173="","",IF($AO173="Critical",3000,2000)-IF($Z173="",0,$Z173)+ROW()/100000)</f>
        <v/>
      </c>
      <c r="AQ173" s="65" t="str">
        <f aca="false">IF($AO173="","",IF($X173="Unmapped","Status '"&amp;$C173&amp;"' is not in the Config map",IF($V173="Y","Flagged in Jira",IF($AB173="Overdue",-$Z173&amp;" days past its "&amp;$X173&amp;" target",IF($AH173="Critical",$AI173,IF($AB173="At risk","Target in "&amp;$Z173&amp;" days",IF($AC173="Stale","No update in "&amp;$AA173&amp;" days","Past its "&amp;$AE173&amp;"-day tier window")))))))</f>
        <v/>
      </c>
      <c r="AR173" s="65" t="str">
        <f aca="false">IF($AO173="","","draft Jira update for "&amp;$A173)</f>
        <v/>
      </c>
      <c r="AS173" s="65" t="str">
        <f aca="false">IF($A173="","",HYPERLINK(JiraSite&amp;"/browse/"&amp;$A173,"open"))</f>
        <v/>
      </c>
      <c r="AT173" s="65" t="str">
        <f aca="false">IF($Y173="","",$Y173*1000+ROW())</f>
        <v/>
      </c>
      <c r="AU173" s="65" t="str">
        <f aca="false">IF(AND($A173&lt;&gt;"",$G173&gt;=WeekStart),$G173+ROW()/100000,"")</f>
        <v/>
      </c>
      <c r="AV173" s="65" t="str">
        <f aca="false">IF($A173="","",IF(OR(AND($S173&lt;&gt;"",$S173&gt;=WeekStart),AND($U173&lt;&gt;"",$U173&gt;=WeekStart)),MAX($S173,$U173)+ROW()/100000,""))</f>
        <v/>
      </c>
      <c r="AW173" s="65" t="str">
        <f aca="false">IF($AV173="","",IF($T173&lt;&gt;"",$T173,IF($X173="Closed","Closed","Accepted to "&amp;$X173)))</f>
        <v/>
      </c>
      <c r="AX173" s="65" t="str">
        <f aca="false">IF(AND($Y173&lt;&gt;"",$R173&lt;&gt;""),$AF173+ROW()/100000,"")</f>
        <v/>
      </c>
      <c r="AY173" s="65" t="str">
        <f aca="false">IF(AND($Y173&lt;&gt;"",OR($AB173="Overdue",AND($AH173="Critical",$R173&lt;&gt;""))),$AF173+ROW()/100000,"")</f>
        <v/>
      </c>
      <c r="AZ173" s="65" t="str">
        <f aca="false">IF($AH173="Critical",$AF173+ROW()/100000,"")</f>
        <v/>
      </c>
    </row>
    <row r="174" customFormat="false" ht="15" hidden="false" customHeight="false" outlineLevel="0" collapsed="false">
      <c r="A174" s="28"/>
      <c r="B174" s="28"/>
      <c r="C174" s="28"/>
      <c r="D174" s="28"/>
      <c r="E174" s="28"/>
      <c r="F174" s="28"/>
      <c r="G174" s="63"/>
      <c r="H174" s="63"/>
      <c r="I174" s="63"/>
      <c r="J174" s="28"/>
      <c r="K174" s="28"/>
      <c r="L174" s="28"/>
      <c r="M174" s="28"/>
      <c r="N174" s="28"/>
      <c r="O174" s="64"/>
      <c r="P174" s="64"/>
      <c r="Q174" s="64"/>
      <c r="R174" s="28"/>
      <c r="S174" s="63"/>
      <c r="T174" s="64"/>
      <c r="U174" s="63"/>
      <c r="V174" s="64"/>
      <c r="W174" s="28"/>
      <c r="X174" s="65" t="str">
        <f aca="false">IF($A174="","",IF(OR($T174&lt;&gt;"",$U174&lt;&gt;""),"Closed",IFERROR(INDEX(MapStage,MATCH($C174,MapStatus,0)),"Unmapped")))</f>
        <v/>
      </c>
      <c r="Y174" s="65" t="str">
        <f aca="false">IF(OR($X174="",$X174="Closed",$X174="Unmapped"),"",MATCH($X174,StageName,0))</f>
        <v/>
      </c>
      <c r="Z174" s="65" t="str">
        <f aca="false">IF(OR($Y174="",$I174=""),"",$I174-AsOf)</f>
        <v/>
      </c>
      <c r="AA174" s="65" t="str">
        <f aca="false">IF($A174="","",AsOf-$H174)</f>
        <v/>
      </c>
      <c r="AB174" s="65" t="str">
        <f aca="false">IF($A174="","",IF($X174="Closed","Closed",IF($X174="Unmapped","Unmapped",IF($I174="","No target",IF($Z174&lt;0,"Overdue",IF($Z174&lt;=INDEX(StageWindow,$Y174),"At risk","On track"))))))</f>
        <v/>
      </c>
      <c r="AC174" s="65" t="str">
        <f aca="false">IF($Y174="","",IF($AA174&gt;2*INDEX(StageStale,$Y174),"Stale",IF($AA174&gt;INDEX(StageStale,$Y174),"Aging","Fresh")))</f>
        <v/>
      </c>
      <c r="AD174" s="65" t="str">
        <f aca="false">IF($A174="","",IF(OR(ISNUMBER(SEARCH("Reg report",$J174)),ISNUMBER(SEARCH("No human review",$J174)),COUNTIF(TierFuncs,$D174)&gt;0),"High",IF(OR(TRIM($J174)&lt;&gt;"",ISNUMBER(SEARCH("revenue",$K174))),"Medium","Low")))</f>
        <v/>
      </c>
      <c r="AE174" s="65" t="str">
        <f aca="false">IF($A174="","",INDEX(TierDays,MATCH($AD174,TierName,0)))</f>
        <v/>
      </c>
      <c r="AF174" s="65" t="str">
        <f aca="false">IF($A174="","",AsOf-$G174)</f>
        <v/>
      </c>
      <c r="AG174" s="65" t="str">
        <f aca="false">IF($Y174="","",IF($Y174&lt;=5,IF($AF174&gt;$AE174,"Over","Inside"),"Past approval"))</f>
        <v/>
      </c>
      <c r="AH174" s="65" t="str">
        <f aca="false">IF($Y174="","",CHOOSE($Y174,IF(OR(TRIM($F174)="",ISNUMBER(SEARCH("not named",$F174))),"Critical","Good"),IF($O174&lt;&gt;"Y","Critical",IF($Q174&lt;&gt;"Y","Warning","Good")),IF($P174="","Critical",IF($P174="partial","Warning",IF($P174="ready","Good","Critical"))),IF($R174&lt;&gt;"","Critical","Warning"),IF($L174="","Critical",IF($N174="","Warning","Good")),IF($R174&lt;&gt;"","Critical","Warning"),IF($R174&lt;&gt;"","Critical","Warning"),IF($Q174="Y","Good","Critical")))</f>
        <v/>
      </c>
      <c r="AI174" s="65" t="str">
        <f aca="false">IF($Y174="","",CHOOSE($Y174,IF(OR(TRIM($F174)="",ISNUMBER(SEARCH("not named",$F174))),"Name a sponsor accountable for the value",""),IF($O174&lt;&gt;"Y","State the success metric and the stop condition",IF($Q174&lt;&gt;"Y","Set the baseline the benefit will be measured against","")),IF($P174="","Assess data readiness and regulatory impact",IF($P174="partial","Close the known data gaps",IF($P174="ready","","Data is not available; reshape or park"))),IF($R174&lt;&gt;"",IF(OR(ISNUMBER(SEARCH("mrm",$R174)),ISNUMBER(SEARCH("model",$R174)),ISNUMBER(SEARCH("risk",$R174)),ISNUMBER(SEARCH("legal",$R174)),ISNUMBER(SEARCH("complian",$R174))),"Awaiting ","Held at the design gate: ")&amp;$R174,"Map the governance framework for its tier"),IF($L174="","Size the annual benefit",IF($N174="","Score it so it can be ranked against capacity","")),IF($R174&lt;&gt;"","Build held: "&amp;$R174,"In build, not yet through test"),IF($R174&lt;&gt;"","Not ready to scale: "&amp;$R174,"Monitoring and third-party review not yet signed off"),IF($Q174="Y","","Live without a measured baseline to judge it against")))</f>
        <v/>
      </c>
      <c r="AJ174" s="65" t="str">
        <f aca="false">IF($Y174="","",INDEX(StageForum,$Y174))</f>
        <v/>
      </c>
      <c r="AK174" s="65" t="str">
        <f aca="false">IF($Y174="","",IF(OR($X174="Delivery",$X174="Value"),"Committed",IF($N174&lt;&gt;"","Candidate","")))</f>
        <v/>
      </c>
      <c r="AL174" s="65" t="str">
        <f aca="false">IF($AK174&lt;&gt;"Candidate","",COUNTIFS($AK$2:$AK$501,"Candidate",$N$2:$N$501,"&gt;"&amp;$N174)+COUNTIFS($AK$2:$AK$501,"Candidate",$N$2:$N$501,$N174,$A$2:$A$501,"&lt;"&amp;$A174)+1)</f>
        <v/>
      </c>
      <c r="AM174" s="65" t="str">
        <f aca="false">IF($AL174="","",SUMIFS($M$2:$M$501,$AK$2:$AK$501,"Candidate",$AL$2:$AL$501,"&lt;="&amp;$AL174))</f>
        <v/>
      </c>
      <c r="AN174" s="65" t="str">
        <f aca="false">IF($AL174="","",IF($AM174&lt;=CapacityOpen,"Fits","Below line"))</f>
        <v/>
      </c>
      <c r="AO174" s="65" t="str">
        <f aca="false">IF($A174="","",IF($X174="Closed","",IF($X174="Unmapped","Warning",IF(OR($AB174="Overdue",$V174="Y",$AH174="Critical"),"Critical",IF(OR($AB174="At risk",$AC174="Stale",$AG174="Over"),"Warning","")))))</f>
        <v/>
      </c>
      <c r="AP174" s="65" t="str">
        <f aca="false">IF($AO174="","",IF($AO174="Critical",3000,2000)-IF($Z174="",0,$Z174)+ROW()/100000)</f>
        <v/>
      </c>
      <c r="AQ174" s="65" t="str">
        <f aca="false">IF($AO174="","",IF($X174="Unmapped","Status '"&amp;$C174&amp;"' is not in the Config map",IF($V174="Y","Flagged in Jira",IF($AB174="Overdue",-$Z174&amp;" days past its "&amp;$X174&amp;" target",IF($AH174="Critical",$AI174,IF($AB174="At risk","Target in "&amp;$Z174&amp;" days",IF($AC174="Stale","No update in "&amp;$AA174&amp;" days","Past its "&amp;$AE174&amp;"-day tier window")))))))</f>
        <v/>
      </c>
      <c r="AR174" s="65" t="str">
        <f aca="false">IF($AO174="","","draft Jira update for "&amp;$A174)</f>
        <v/>
      </c>
      <c r="AS174" s="65" t="str">
        <f aca="false">IF($A174="","",HYPERLINK(JiraSite&amp;"/browse/"&amp;$A174,"open"))</f>
        <v/>
      </c>
      <c r="AT174" s="65" t="str">
        <f aca="false">IF($Y174="","",$Y174*1000+ROW())</f>
        <v/>
      </c>
      <c r="AU174" s="65" t="str">
        <f aca="false">IF(AND($A174&lt;&gt;"",$G174&gt;=WeekStart),$G174+ROW()/100000,"")</f>
        <v/>
      </c>
      <c r="AV174" s="65" t="str">
        <f aca="false">IF($A174="","",IF(OR(AND($S174&lt;&gt;"",$S174&gt;=WeekStart),AND($U174&lt;&gt;"",$U174&gt;=WeekStart)),MAX($S174,$U174)+ROW()/100000,""))</f>
        <v/>
      </c>
      <c r="AW174" s="65" t="str">
        <f aca="false">IF($AV174="","",IF($T174&lt;&gt;"",$T174,IF($X174="Closed","Closed","Accepted to "&amp;$X174)))</f>
        <v/>
      </c>
      <c r="AX174" s="65" t="str">
        <f aca="false">IF(AND($Y174&lt;&gt;"",$R174&lt;&gt;""),$AF174+ROW()/100000,"")</f>
        <v/>
      </c>
      <c r="AY174" s="65" t="str">
        <f aca="false">IF(AND($Y174&lt;&gt;"",OR($AB174="Overdue",AND($AH174="Critical",$R174&lt;&gt;""))),$AF174+ROW()/100000,"")</f>
        <v/>
      </c>
      <c r="AZ174" s="65" t="str">
        <f aca="false">IF($AH174="Critical",$AF174+ROW()/100000,"")</f>
        <v/>
      </c>
    </row>
    <row r="175" customFormat="false" ht="15" hidden="false" customHeight="false" outlineLevel="0" collapsed="false">
      <c r="A175" s="28"/>
      <c r="B175" s="28"/>
      <c r="C175" s="28"/>
      <c r="D175" s="28"/>
      <c r="E175" s="28"/>
      <c r="F175" s="28"/>
      <c r="G175" s="63"/>
      <c r="H175" s="63"/>
      <c r="I175" s="63"/>
      <c r="J175" s="28"/>
      <c r="K175" s="28"/>
      <c r="L175" s="28"/>
      <c r="M175" s="28"/>
      <c r="N175" s="28"/>
      <c r="O175" s="64"/>
      <c r="P175" s="64"/>
      <c r="Q175" s="64"/>
      <c r="R175" s="28"/>
      <c r="S175" s="63"/>
      <c r="T175" s="64"/>
      <c r="U175" s="63"/>
      <c r="V175" s="64"/>
      <c r="W175" s="28"/>
      <c r="X175" s="65" t="str">
        <f aca="false">IF($A175="","",IF(OR($T175&lt;&gt;"",$U175&lt;&gt;""),"Closed",IFERROR(INDEX(MapStage,MATCH($C175,MapStatus,0)),"Unmapped")))</f>
        <v/>
      </c>
      <c r="Y175" s="65" t="str">
        <f aca="false">IF(OR($X175="",$X175="Closed",$X175="Unmapped"),"",MATCH($X175,StageName,0))</f>
        <v/>
      </c>
      <c r="Z175" s="65" t="str">
        <f aca="false">IF(OR($Y175="",$I175=""),"",$I175-AsOf)</f>
        <v/>
      </c>
      <c r="AA175" s="65" t="str">
        <f aca="false">IF($A175="","",AsOf-$H175)</f>
        <v/>
      </c>
      <c r="AB175" s="65" t="str">
        <f aca="false">IF($A175="","",IF($X175="Closed","Closed",IF($X175="Unmapped","Unmapped",IF($I175="","No target",IF($Z175&lt;0,"Overdue",IF($Z175&lt;=INDEX(StageWindow,$Y175),"At risk","On track"))))))</f>
        <v/>
      </c>
      <c r="AC175" s="65" t="str">
        <f aca="false">IF($Y175="","",IF($AA175&gt;2*INDEX(StageStale,$Y175),"Stale",IF($AA175&gt;INDEX(StageStale,$Y175),"Aging","Fresh")))</f>
        <v/>
      </c>
      <c r="AD175" s="65" t="str">
        <f aca="false">IF($A175="","",IF(OR(ISNUMBER(SEARCH("Reg report",$J175)),ISNUMBER(SEARCH("No human review",$J175)),COUNTIF(TierFuncs,$D175)&gt;0),"High",IF(OR(TRIM($J175)&lt;&gt;"",ISNUMBER(SEARCH("revenue",$K175))),"Medium","Low")))</f>
        <v/>
      </c>
      <c r="AE175" s="65" t="str">
        <f aca="false">IF($A175="","",INDEX(TierDays,MATCH($AD175,TierName,0)))</f>
        <v/>
      </c>
      <c r="AF175" s="65" t="str">
        <f aca="false">IF($A175="","",AsOf-$G175)</f>
        <v/>
      </c>
      <c r="AG175" s="65" t="str">
        <f aca="false">IF($Y175="","",IF($Y175&lt;=5,IF($AF175&gt;$AE175,"Over","Inside"),"Past approval"))</f>
        <v/>
      </c>
      <c r="AH175" s="65" t="str">
        <f aca="false">IF($Y175="","",CHOOSE($Y175,IF(OR(TRIM($F175)="",ISNUMBER(SEARCH("not named",$F175))),"Critical","Good"),IF($O175&lt;&gt;"Y","Critical",IF($Q175&lt;&gt;"Y","Warning","Good")),IF($P175="","Critical",IF($P175="partial","Warning",IF($P175="ready","Good","Critical"))),IF($R175&lt;&gt;"","Critical","Warning"),IF($L175="","Critical",IF($N175="","Warning","Good")),IF($R175&lt;&gt;"","Critical","Warning"),IF($R175&lt;&gt;"","Critical","Warning"),IF($Q175="Y","Good","Critical")))</f>
        <v/>
      </c>
      <c r="AI175" s="65" t="str">
        <f aca="false">IF($Y175="","",CHOOSE($Y175,IF(OR(TRIM($F175)="",ISNUMBER(SEARCH("not named",$F175))),"Name a sponsor accountable for the value",""),IF($O175&lt;&gt;"Y","State the success metric and the stop condition",IF($Q175&lt;&gt;"Y","Set the baseline the benefit will be measured against","")),IF($P175="","Assess data readiness and regulatory impact",IF($P175="partial","Close the known data gaps",IF($P175="ready","","Data is not available; reshape or park"))),IF($R175&lt;&gt;"",IF(OR(ISNUMBER(SEARCH("mrm",$R175)),ISNUMBER(SEARCH("model",$R175)),ISNUMBER(SEARCH("risk",$R175)),ISNUMBER(SEARCH("legal",$R175)),ISNUMBER(SEARCH("complian",$R175))),"Awaiting ","Held at the design gate: ")&amp;$R175,"Map the governance framework for its tier"),IF($L175="","Size the annual benefit",IF($N175="","Score it so it can be ranked against capacity","")),IF($R175&lt;&gt;"","Build held: "&amp;$R175,"In build, not yet through test"),IF($R175&lt;&gt;"","Not ready to scale: "&amp;$R175,"Monitoring and third-party review not yet signed off"),IF($Q175="Y","","Live without a measured baseline to judge it against")))</f>
        <v/>
      </c>
      <c r="AJ175" s="65" t="str">
        <f aca="false">IF($Y175="","",INDEX(StageForum,$Y175))</f>
        <v/>
      </c>
      <c r="AK175" s="65" t="str">
        <f aca="false">IF($Y175="","",IF(OR($X175="Delivery",$X175="Value"),"Committed",IF($N175&lt;&gt;"","Candidate","")))</f>
        <v/>
      </c>
      <c r="AL175" s="65" t="str">
        <f aca="false">IF($AK175&lt;&gt;"Candidate","",COUNTIFS($AK$2:$AK$501,"Candidate",$N$2:$N$501,"&gt;"&amp;$N175)+COUNTIFS($AK$2:$AK$501,"Candidate",$N$2:$N$501,$N175,$A$2:$A$501,"&lt;"&amp;$A175)+1)</f>
        <v/>
      </c>
      <c r="AM175" s="65" t="str">
        <f aca="false">IF($AL175="","",SUMIFS($M$2:$M$501,$AK$2:$AK$501,"Candidate",$AL$2:$AL$501,"&lt;="&amp;$AL175))</f>
        <v/>
      </c>
      <c r="AN175" s="65" t="str">
        <f aca="false">IF($AL175="","",IF($AM175&lt;=CapacityOpen,"Fits","Below line"))</f>
        <v/>
      </c>
      <c r="AO175" s="65" t="str">
        <f aca="false">IF($A175="","",IF($X175="Closed","",IF($X175="Unmapped","Warning",IF(OR($AB175="Overdue",$V175="Y",$AH175="Critical"),"Critical",IF(OR($AB175="At risk",$AC175="Stale",$AG175="Over"),"Warning","")))))</f>
        <v/>
      </c>
      <c r="AP175" s="65" t="str">
        <f aca="false">IF($AO175="","",IF($AO175="Critical",3000,2000)-IF($Z175="",0,$Z175)+ROW()/100000)</f>
        <v/>
      </c>
      <c r="AQ175" s="65" t="str">
        <f aca="false">IF($AO175="","",IF($X175="Unmapped","Status '"&amp;$C175&amp;"' is not in the Config map",IF($V175="Y","Flagged in Jira",IF($AB175="Overdue",-$Z175&amp;" days past its "&amp;$X175&amp;" target",IF($AH175="Critical",$AI175,IF($AB175="At risk","Target in "&amp;$Z175&amp;" days",IF($AC175="Stale","No update in "&amp;$AA175&amp;" days","Past its "&amp;$AE175&amp;"-day tier window")))))))</f>
        <v/>
      </c>
      <c r="AR175" s="65" t="str">
        <f aca="false">IF($AO175="","","draft Jira update for "&amp;$A175)</f>
        <v/>
      </c>
      <c r="AS175" s="65" t="str">
        <f aca="false">IF($A175="","",HYPERLINK(JiraSite&amp;"/browse/"&amp;$A175,"open"))</f>
        <v/>
      </c>
      <c r="AT175" s="65" t="str">
        <f aca="false">IF($Y175="","",$Y175*1000+ROW())</f>
        <v/>
      </c>
      <c r="AU175" s="65" t="str">
        <f aca="false">IF(AND($A175&lt;&gt;"",$G175&gt;=WeekStart),$G175+ROW()/100000,"")</f>
        <v/>
      </c>
      <c r="AV175" s="65" t="str">
        <f aca="false">IF($A175="","",IF(OR(AND($S175&lt;&gt;"",$S175&gt;=WeekStart),AND($U175&lt;&gt;"",$U175&gt;=WeekStart)),MAX($S175,$U175)+ROW()/100000,""))</f>
        <v/>
      </c>
      <c r="AW175" s="65" t="str">
        <f aca="false">IF($AV175="","",IF($T175&lt;&gt;"",$T175,IF($X175="Closed","Closed","Accepted to "&amp;$X175)))</f>
        <v/>
      </c>
      <c r="AX175" s="65" t="str">
        <f aca="false">IF(AND($Y175&lt;&gt;"",$R175&lt;&gt;""),$AF175+ROW()/100000,"")</f>
        <v/>
      </c>
      <c r="AY175" s="65" t="str">
        <f aca="false">IF(AND($Y175&lt;&gt;"",OR($AB175="Overdue",AND($AH175="Critical",$R175&lt;&gt;""))),$AF175+ROW()/100000,"")</f>
        <v/>
      </c>
      <c r="AZ175" s="65" t="str">
        <f aca="false">IF($AH175="Critical",$AF175+ROW()/100000,"")</f>
        <v/>
      </c>
    </row>
    <row r="176" customFormat="false" ht="15" hidden="false" customHeight="false" outlineLevel="0" collapsed="false">
      <c r="A176" s="28"/>
      <c r="B176" s="28"/>
      <c r="C176" s="28"/>
      <c r="D176" s="28"/>
      <c r="E176" s="28"/>
      <c r="F176" s="28"/>
      <c r="G176" s="63"/>
      <c r="H176" s="63"/>
      <c r="I176" s="63"/>
      <c r="J176" s="28"/>
      <c r="K176" s="28"/>
      <c r="L176" s="28"/>
      <c r="M176" s="28"/>
      <c r="N176" s="28"/>
      <c r="O176" s="64"/>
      <c r="P176" s="64"/>
      <c r="Q176" s="64"/>
      <c r="R176" s="28"/>
      <c r="S176" s="63"/>
      <c r="T176" s="64"/>
      <c r="U176" s="63"/>
      <c r="V176" s="64"/>
      <c r="W176" s="28"/>
      <c r="X176" s="65" t="str">
        <f aca="false">IF($A176="","",IF(OR($T176&lt;&gt;"",$U176&lt;&gt;""),"Closed",IFERROR(INDEX(MapStage,MATCH($C176,MapStatus,0)),"Unmapped")))</f>
        <v/>
      </c>
      <c r="Y176" s="65" t="str">
        <f aca="false">IF(OR($X176="",$X176="Closed",$X176="Unmapped"),"",MATCH($X176,StageName,0))</f>
        <v/>
      </c>
      <c r="Z176" s="65" t="str">
        <f aca="false">IF(OR($Y176="",$I176=""),"",$I176-AsOf)</f>
        <v/>
      </c>
      <c r="AA176" s="65" t="str">
        <f aca="false">IF($A176="","",AsOf-$H176)</f>
        <v/>
      </c>
      <c r="AB176" s="65" t="str">
        <f aca="false">IF($A176="","",IF($X176="Closed","Closed",IF($X176="Unmapped","Unmapped",IF($I176="","No target",IF($Z176&lt;0,"Overdue",IF($Z176&lt;=INDEX(StageWindow,$Y176),"At risk","On track"))))))</f>
        <v/>
      </c>
      <c r="AC176" s="65" t="str">
        <f aca="false">IF($Y176="","",IF($AA176&gt;2*INDEX(StageStale,$Y176),"Stale",IF($AA176&gt;INDEX(StageStale,$Y176),"Aging","Fresh")))</f>
        <v/>
      </c>
      <c r="AD176" s="65" t="str">
        <f aca="false">IF($A176="","",IF(OR(ISNUMBER(SEARCH("Reg report",$J176)),ISNUMBER(SEARCH("No human review",$J176)),COUNTIF(TierFuncs,$D176)&gt;0),"High",IF(OR(TRIM($J176)&lt;&gt;"",ISNUMBER(SEARCH("revenue",$K176))),"Medium","Low")))</f>
        <v/>
      </c>
      <c r="AE176" s="65" t="str">
        <f aca="false">IF($A176="","",INDEX(TierDays,MATCH($AD176,TierName,0)))</f>
        <v/>
      </c>
      <c r="AF176" s="65" t="str">
        <f aca="false">IF($A176="","",AsOf-$G176)</f>
        <v/>
      </c>
      <c r="AG176" s="65" t="str">
        <f aca="false">IF($Y176="","",IF($Y176&lt;=5,IF($AF176&gt;$AE176,"Over","Inside"),"Past approval"))</f>
        <v/>
      </c>
      <c r="AH176" s="65" t="str">
        <f aca="false">IF($Y176="","",CHOOSE($Y176,IF(OR(TRIM($F176)="",ISNUMBER(SEARCH("not named",$F176))),"Critical","Good"),IF($O176&lt;&gt;"Y","Critical",IF($Q176&lt;&gt;"Y","Warning","Good")),IF($P176="","Critical",IF($P176="partial","Warning",IF($P176="ready","Good","Critical"))),IF($R176&lt;&gt;"","Critical","Warning"),IF($L176="","Critical",IF($N176="","Warning","Good")),IF($R176&lt;&gt;"","Critical","Warning"),IF($R176&lt;&gt;"","Critical","Warning"),IF($Q176="Y","Good","Critical")))</f>
        <v/>
      </c>
      <c r="AI176" s="65" t="str">
        <f aca="false">IF($Y176="","",CHOOSE($Y176,IF(OR(TRIM($F176)="",ISNUMBER(SEARCH("not named",$F176))),"Name a sponsor accountable for the value",""),IF($O176&lt;&gt;"Y","State the success metric and the stop condition",IF($Q176&lt;&gt;"Y","Set the baseline the benefit will be measured against","")),IF($P176="","Assess data readiness and regulatory impact",IF($P176="partial","Close the known data gaps",IF($P176="ready","","Data is not available; reshape or park"))),IF($R176&lt;&gt;"",IF(OR(ISNUMBER(SEARCH("mrm",$R176)),ISNUMBER(SEARCH("model",$R176)),ISNUMBER(SEARCH("risk",$R176)),ISNUMBER(SEARCH("legal",$R176)),ISNUMBER(SEARCH("complian",$R176))),"Awaiting ","Held at the design gate: ")&amp;$R176,"Map the governance framework for its tier"),IF($L176="","Size the annual benefit",IF($N176="","Score it so it can be ranked against capacity","")),IF($R176&lt;&gt;"","Build held: "&amp;$R176,"In build, not yet through test"),IF($R176&lt;&gt;"","Not ready to scale: "&amp;$R176,"Monitoring and third-party review not yet signed off"),IF($Q176="Y","","Live without a measured baseline to judge it against")))</f>
        <v/>
      </c>
      <c r="AJ176" s="65" t="str">
        <f aca="false">IF($Y176="","",INDEX(StageForum,$Y176))</f>
        <v/>
      </c>
      <c r="AK176" s="65" t="str">
        <f aca="false">IF($Y176="","",IF(OR($X176="Delivery",$X176="Value"),"Committed",IF($N176&lt;&gt;"","Candidate","")))</f>
        <v/>
      </c>
      <c r="AL176" s="65" t="str">
        <f aca="false">IF($AK176&lt;&gt;"Candidate","",COUNTIFS($AK$2:$AK$501,"Candidate",$N$2:$N$501,"&gt;"&amp;$N176)+COUNTIFS($AK$2:$AK$501,"Candidate",$N$2:$N$501,$N176,$A$2:$A$501,"&lt;"&amp;$A176)+1)</f>
        <v/>
      </c>
      <c r="AM176" s="65" t="str">
        <f aca="false">IF($AL176="","",SUMIFS($M$2:$M$501,$AK$2:$AK$501,"Candidate",$AL$2:$AL$501,"&lt;="&amp;$AL176))</f>
        <v/>
      </c>
      <c r="AN176" s="65" t="str">
        <f aca="false">IF($AL176="","",IF($AM176&lt;=CapacityOpen,"Fits","Below line"))</f>
        <v/>
      </c>
      <c r="AO176" s="65" t="str">
        <f aca="false">IF($A176="","",IF($X176="Closed","",IF($X176="Unmapped","Warning",IF(OR($AB176="Overdue",$V176="Y",$AH176="Critical"),"Critical",IF(OR($AB176="At risk",$AC176="Stale",$AG176="Over"),"Warning","")))))</f>
        <v/>
      </c>
      <c r="AP176" s="65" t="str">
        <f aca="false">IF($AO176="","",IF($AO176="Critical",3000,2000)-IF($Z176="",0,$Z176)+ROW()/100000)</f>
        <v/>
      </c>
      <c r="AQ176" s="65" t="str">
        <f aca="false">IF($AO176="","",IF($X176="Unmapped","Status '"&amp;$C176&amp;"' is not in the Config map",IF($V176="Y","Flagged in Jira",IF($AB176="Overdue",-$Z176&amp;" days past its "&amp;$X176&amp;" target",IF($AH176="Critical",$AI176,IF($AB176="At risk","Target in "&amp;$Z176&amp;" days",IF($AC176="Stale","No update in "&amp;$AA176&amp;" days","Past its "&amp;$AE176&amp;"-day tier window")))))))</f>
        <v/>
      </c>
      <c r="AR176" s="65" t="str">
        <f aca="false">IF($AO176="","","draft Jira update for "&amp;$A176)</f>
        <v/>
      </c>
      <c r="AS176" s="65" t="str">
        <f aca="false">IF($A176="","",HYPERLINK(JiraSite&amp;"/browse/"&amp;$A176,"open"))</f>
        <v/>
      </c>
      <c r="AT176" s="65" t="str">
        <f aca="false">IF($Y176="","",$Y176*1000+ROW())</f>
        <v/>
      </c>
      <c r="AU176" s="65" t="str">
        <f aca="false">IF(AND($A176&lt;&gt;"",$G176&gt;=WeekStart),$G176+ROW()/100000,"")</f>
        <v/>
      </c>
      <c r="AV176" s="65" t="str">
        <f aca="false">IF($A176="","",IF(OR(AND($S176&lt;&gt;"",$S176&gt;=WeekStart),AND($U176&lt;&gt;"",$U176&gt;=WeekStart)),MAX($S176,$U176)+ROW()/100000,""))</f>
        <v/>
      </c>
      <c r="AW176" s="65" t="str">
        <f aca="false">IF($AV176="","",IF($T176&lt;&gt;"",$T176,IF($X176="Closed","Closed","Accepted to "&amp;$X176)))</f>
        <v/>
      </c>
      <c r="AX176" s="65" t="str">
        <f aca="false">IF(AND($Y176&lt;&gt;"",$R176&lt;&gt;""),$AF176+ROW()/100000,"")</f>
        <v/>
      </c>
      <c r="AY176" s="65" t="str">
        <f aca="false">IF(AND($Y176&lt;&gt;"",OR($AB176="Overdue",AND($AH176="Critical",$R176&lt;&gt;""))),$AF176+ROW()/100000,"")</f>
        <v/>
      </c>
      <c r="AZ176" s="65" t="str">
        <f aca="false">IF($AH176="Critical",$AF176+ROW()/100000,"")</f>
        <v/>
      </c>
    </row>
    <row r="177" customFormat="false" ht="15" hidden="false" customHeight="false" outlineLevel="0" collapsed="false">
      <c r="A177" s="28"/>
      <c r="B177" s="28"/>
      <c r="C177" s="28"/>
      <c r="D177" s="28"/>
      <c r="E177" s="28"/>
      <c r="F177" s="28"/>
      <c r="G177" s="63"/>
      <c r="H177" s="63"/>
      <c r="I177" s="63"/>
      <c r="J177" s="28"/>
      <c r="K177" s="28"/>
      <c r="L177" s="28"/>
      <c r="M177" s="28"/>
      <c r="N177" s="28"/>
      <c r="O177" s="64"/>
      <c r="P177" s="64"/>
      <c r="Q177" s="64"/>
      <c r="R177" s="28"/>
      <c r="S177" s="63"/>
      <c r="T177" s="64"/>
      <c r="U177" s="63"/>
      <c r="V177" s="64"/>
      <c r="W177" s="28"/>
      <c r="X177" s="65" t="str">
        <f aca="false">IF($A177="","",IF(OR($T177&lt;&gt;"",$U177&lt;&gt;""),"Closed",IFERROR(INDEX(MapStage,MATCH($C177,MapStatus,0)),"Unmapped")))</f>
        <v/>
      </c>
      <c r="Y177" s="65" t="str">
        <f aca="false">IF(OR($X177="",$X177="Closed",$X177="Unmapped"),"",MATCH($X177,StageName,0))</f>
        <v/>
      </c>
      <c r="Z177" s="65" t="str">
        <f aca="false">IF(OR($Y177="",$I177=""),"",$I177-AsOf)</f>
        <v/>
      </c>
      <c r="AA177" s="65" t="str">
        <f aca="false">IF($A177="","",AsOf-$H177)</f>
        <v/>
      </c>
      <c r="AB177" s="65" t="str">
        <f aca="false">IF($A177="","",IF($X177="Closed","Closed",IF($X177="Unmapped","Unmapped",IF($I177="","No target",IF($Z177&lt;0,"Overdue",IF($Z177&lt;=INDEX(StageWindow,$Y177),"At risk","On track"))))))</f>
        <v/>
      </c>
      <c r="AC177" s="65" t="str">
        <f aca="false">IF($Y177="","",IF($AA177&gt;2*INDEX(StageStale,$Y177),"Stale",IF($AA177&gt;INDEX(StageStale,$Y177),"Aging","Fresh")))</f>
        <v/>
      </c>
      <c r="AD177" s="65" t="str">
        <f aca="false">IF($A177="","",IF(OR(ISNUMBER(SEARCH("Reg report",$J177)),ISNUMBER(SEARCH("No human review",$J177)),COUNTIF(TierFuncs,$D177)&gt;0),"High",IF(OR(TRIM($J177)&lt;&gt;"",ISNUMBER(SEARCH("revenue",$K177))),"Medium","Low")))</f>
        <v/>
      </c>
      <c r="AE177" s="65" t="str">
        <f aca="false">IF($A177="","",INDEX(TierDays,MATCH($AD177,TierName,0)))</f>
        <v/>
      </c>
      <c r="AF177" s="65" t="str">
        <f aca="false">IF($A177="","",AsOf-$G177)</f>
        <v/>
      </c>
      <c r="AG177" s="65" t="str">
        <f aca="false">IF($Y177="","",IF($Y177&lt;=5,IF($AF177&gt;$AE177,"Over","Inside"),"Past approval"))</f>
        <v/>
      </c>
      <c r="AH177" s="65" t="str">
        <f aca="false">IF($Y177="","",CHOOSE($Y177,IF(OR(TRIM($F177)="",ISNUMBER(SEARCH("not named",$F177))),"Critical","Good"),IF($O177&lt;&gt;"Y","Critical",IF($Q177&lt;&gt;"Y","Warning","Good")),IF($P177="","Critical",IF($P177="partial","Warning",IF($P177="ready","Good","Critical"))),IF($R177&lt;&gt;"","Critical","Warning"),IF($L177="","Critical",IF($N177="","Warning","Good")),IF($R177&lt;&gt;"","Critical","Warning"),IF($R177&lt;&gt;"","Critical","Warning"),IF($Q177="Y","Good","Critical")))</f>
        <v/>
      </c>
      <c r="AI177" s="65" t="str">
        <f aca="false">IF($Y177="","",CHOOSE($Y177,IF(OR(TRIM($F177)="",ISNUMBER(SEARCH("not named",$F177))),"Name a sponsor accountable for the value",""),IF($O177&lt;&gt;"Y","State the success metric and the stop condition",IF($Q177&lt;&gt;"Y","Set the baseline the benefit will be measured against","")),IF($P177="","Assess data readiness and regulatory impact",IF($P177="partial","Close the known data gaps",IF($P177="ready","","Data is not available; reshape or park"))),IF($R177&lt;&gt;"",IF(OR(ISNUMBER(SEARCH("mrm",$R177)),ISNUMBER(SEARCH("model",$R177)),ISNUMBER(SEARCH("risk",$R177)),ISNUMBER(SEARCH("legal",$R177)),ISNUMBER(SEARCH("complian",$R177))),"Awaiting ","Held at the design gate: ")&amp;$R177,"Map the governance framework for its tier"),IF($L177="","Size the annual benefit",IF($N177="","Score it so it can be ranked against capacity","")),IF($R177&lt;&gt;"","Build held: "&amp;$R177,"In build, not yet through test"),IF($R177&lt;&gt;"","Not ready to scale: "&amp;$R177,"Monitoring and third-party review not yet signed off"),IF($Q177="Y","","Live without a measured baseline to judge it against")))</f>
        <v/>
      </c>
      <c r="AJ177" s="65" t="str">
        <f aca="false">IF($Y177="","",INDEX(StageForum,$Y177))</f>
        <v/>
      </c>
      <c r="AK177" s="65" t="str">
        <f aca="false">IF($Y177="","",IF(OR($X177="Delivery",$X177="Value"),"Committed",IF($N177&lt;&gt;"","Candidate","")))</f>
        <v/>
      </c>
      <c r="AL177" s="65" t="str">
        <f aca="false">IF($AK177&lt;&gt;"Candidate","",COUNTIFS($AK$2:$AK$501,"Candidate",$N$2:$N$501,"&gt;"&amp;$N177)+COUNTIFS($AK$2:$AK$501,"Candidate",$N$2:$N$501,$N177,$A$2:$A$501,"&lt;"&amp;$A177)+1)</f>
        <v/>
      </c>
      <c r="AM177" s="65" t="str">
        <f aca="false">IF($AL177="","",SUMIFS($M$2:$M$501,$AK$2:$AK$501,"Candidate",$AL$2:$AL$501,"&lt;="&amp;$AL177))</f>
        <v/>
      </c>
      <c r="AN177" s="65" t="str">
        <f aca="false">IF($AL177="","",IF($AM177&lt;=CapacityOpen,"Fits","Below line"))</f>
        <v/>
      </c>
      <c r="AO177" s="65" t="str">
        <f aca="false">IF($A177="","",IF($X177="Closed","",IF($X177="Unmapped","Warning",IF(OR($AB177="Overdue",$V177="Y",$AH177="Critical"),"Critical",IF(OR($AB177="At risk",$AC177="Stale",$AG177="Over"),"Warning","")))))</f>
        <v/>
      </c>
      <c r="AP177" s="65" t="str">
        <f aca="false">IF($AO177="","",IF($AO177="Critical",3000,2000)-IF($Z177="",0,$Z177)+ROW()/100000)</f>
        <v/>
      </c>
      <c r="AQ177" s="65" t="str">
        <f aca="false">IF($AO177="","",IF($X177="Unmapped","Status '"&amp;$C177&amp;"' is not in the Config map",IF($V177="Y","Flagged in Jira",IF($AB177="Overdue",-$Z177&amp;" days past its "&amp;$X177&amp;" target",IF($AH177="Critical",$AI177,IF($AB177="At risk","Target in "&amp;$Z177&amp;" days",IF($AC177="Stale","No update in "&amp;$AA177&amp;" days","Past its "&amp;$AE177&amp;"-day tier window")))))))</f>
        <v/>
      </c>
      <c r="AR177" s="65" t="str">
        <f aca="false">IF($AO177="","","draft Jira update for "&amp;$A177)</f>
        <v/>
      </c>
      <c r="AS177" s="65" t="str">
        <f aca="false">IF($A177="","",HYPERLINK(JiraSite&amp;"/browse/"&amp;$A177,"open"))</f>
        <v/>
      </c>
      <c r="AT177" s="65" t="str">
        <f aca="false">IF($Y177="","",$Y177*1000+ROW())</f>
        <v/>
      </c>
      <c r="AU177" s="65" t="str">
        <f aca="false">IF(AND($A177&lt;&gt;"",$G177&gt;=WeekStart),$G177+ROW()/100000,"")</f>
        <v/>
      </c>
      <c r="AV177" s="65" t="str">
        <f aca="false">IF($A177="","",IF(OR(AND($S177&lt;&gt;"",$S177&gt;=WeekStart),AND($U177&lt;&gt;"",$U177&gt;=WeekStart)),MAX($S177,$U177)+ROW()/100000,""))</f>
        <v/>
      </c>
      <c r="AW177" s="65" t="str">
        <f aca="false">IF($AV177="","",IF($T177&lt;&gt;"",$T177,IF($X177="Closed","Closed","Accepted to "&amp;$X177)))</f>
        <v/>
      </c>
      <c r="AX177" s="65" t="str">
        <f aca="false">IF(AND($Y177&lt;&gt;"",$R177&lt;&gt;""),$AF177+ROW()/100000,"")</f>
        <v/>
      </c>
      <c r="AY177" s="65" t="str">
        <f aca="false">IF(AND($Y177&lt;&gt;"",OR($AB177="Overdue",AND($AH177="Critical",$R177&lt;&gt;""))),$AF177+ROW()/100000,"")</f>
        <v/>
      </c>
      <c r="AZ177" s="65" t="str">
        <f aca="false">IF($AH177="Critical",$AF177+ROW()/100000,"")</f>
        <v/>
      </c>
    </row>
    <row r="178" customFormat="false" ht="15" hidden="false" customHeight="false" outlineLevel="0" collapsed="false">
      <c r="A178" s="28"/>
      <c r="B178" s="28"/>
      <c r="C178" s="28"/>
      <c r="D178" s="28"/>
      <c r="E178" s="28"/>
      <c r="F178" s="28"/>
      <c r="G178" s="63"/>
      <c r="H178" s="63"/>
      <c r="I178" s="63"/>
      <c r="J178" s="28"/>
      <c r="K178" s="28"/>
      <c r="L178" s="28"/>
      <c r="M178" s="28"/>
      <c r="N178" s="28"/>
      <c r="O178" s="64"/>
      <c r="P178" s="64"/>
      <c r="Q178" s="64"/>
      <c r="R178" s="28"/>
      <c r="S178" s="63"/>
      <c r="T178" s="64"/>
      <c r="U178" s="63"/>
      <c r="V178" s="64"/>
      <c r="W178" s="28"/>
      <c r="X178" s="65" t="str">
        <f aca="false">IF($A178="","",IF(OR($T178&lt;&gt;"",$U178&lt;&gt;""),"Closed",IFERROR(INDEX(MapStage,MATCH($C178,MapStatus,0)),"Unmapped")))</f>
        <v/>
      </c>
      <c r="Y178" s="65" t="str">
        <f aca="false">IF(OR($X178="",$X178="Closed",$X178="Unmapped"),"",MATCH($X178,StageName,0))</f>
        <v/>
      </c>
      <c r="Z178" s="65" t="str">
        <f aca="false">IF(OR($Y178="",$I178=""),"",$I178-AsOf)</f>
        <v/>
      </c>
      <c r="AA178" s="65" t="str">
        <f aca="false">IF($A178="","",AsOf-$H178)</f>
        <v/>
      </c>
      <c r="AB178" s="65" t="str">
        <f aca="false">IF($A178="","",IF($X178="Closed","Closed",IF($X178="Unmapped","Unmapped",IF($I178="","No target",IF($Z178&lt;0,"Overdue",IF($Z178&lt;=INDEX(StageWindow,$Y178),"At risk","On track"))))))</f>
        <v/>
      </c>
      <c r="AC178" s="65" t="str">
        <f aca="false">IF($Y178="","",IF($AA178&gt;2*INDEX(StageStale,$Y178),"Stale",IF($AA178&gt;INDEX(StageStale,$Y178),"Aging","Fresh")))</f>
        <v/>
      </c>
      <c r="AD178" s="65" t="str">
        <f aca="false">IF($A178="","",IF(OR(ISNUMBER(SEARCH("Reg report",$J178)),ISNUMBER(SEARCH("No human review",$J178)),COUNTIF(TierFuncs,$D178)&gt;0),"High",IF(OR(TRIM($J178)&lt;&gt;"",ISNUMBER(SEARCH("revenue",$K178))),"Medium","Low")))</f>
        <v/>
      </c>
      <c r="AE178" s="65" t="str">
        <f aca="false">IF($A178="","",INDEX(TierDays,MATCH($AD178,TierName,0)))</f>
        <v/>
      </c>
      <c r="AF178" s="65" t="str">
        <f aca="false">IF($A178="","",AsOf-$G178)</f>
        <v/>
      </c>
      <c r="AG178" s="65" t="str">
        <f aca="false">IF($Y178="","",IF($Y178&lt;=5,IF($AF178&gt;$AE178,"Over","Inside"),"Past approval"))</f>
        <v/>
      </c>
      <c r="AH178" s="65" t="str">
        <f aca="false">IF($Y178="","",CHOOSE($Y178,IF(OR(TRIM($F178)="",ISNUMBER(SEARCH("not named",$F178))),"Critical","Good"),IF($O178&lt;&gt;"Y","Critical",IF($Q178&lt;&gt;"Y","Warning","Good")),IF($P178="","Critical",IF($P178="partial","Warning",IF($P178="ready","Good","Critical"))),IF($R178&lt;&gt;"","Critical","Warning"),IF($L178="","Critical",IF($N178="","Warning","Good")),IF($R178&lt;&gt;"","Critical","Warning"),IF($R178&lt;&gt;"","Critical","Warning"),IF($Q178="Y","Good","Critical")))</f>
        <v/>
      </c>
      <c r="AI178" s="65" t="str">
        <f aca="false">IF($Y178="","",CHOOSE($Y178,IF(OR(TRIM($F178)="",ISNUMBER(SEARCH("not named",$F178))),"Name a sponsor accountable for the value",""),IF($O178&lt;&gt;"Y","State the success metric and the stop condition",IF($Q178&lt;&gt;"Y","Set the baseline the benefit will be measured against","")),IF($P178="","Assess data readiness and regulatory impact",IF($P178="partial","Close the known data gaps",IF($P178="ready","","Data is not available; reshape or park"))),IF($R178&lt;&gt;"",IF(OR(ISNUMBER(SEARCH("mrm",$R178)),ISNUMBER(SEARCH("model",$R178)),ISNUMBER(SEARCH("risk",$R178)),ISNUMBER(SEARCH("legal",$R178)),ISNUMBER(SEARCH("complian",$R178))),"Awaiting ","Held at the design gate: ")&amp;$R178,"Map the governance framework for its tier"),IF($L178="","Size the annual benefit",IF($N178="","Score it so it can be ranked against capacity","")),IF($R178&lt;&gt;"","Build held: "&amp;$R178,"In build, not yet through test"),IF($R178&lt;&gt;"","Not ready to scale: "&amp;$R178,"Monitoring and third-party review not yet signed off"),IF($Q178="Y","","Live without a measured baseline to judge it against")))</f>
        <v/>
      </c>
      <c r="AJ178" s="65" t="str">
        <f aca="false">IF($Y178="","",INDEX(StageForum,$Y178))</f>
        <v/>
      </c>
      <c r="AK178" s="65" t="str">
        <f aca="false">IF($Y178="","",IF(OR($X178="Delivery",$X178="Value"),"Committed",IF($N178&lt;&gt;"","Candidate","")))</f>
        <v/>
      </c>
      <c r="AL178" s="65" t="str">
        <f aca="false">IF($AK178&lt;&gt;"Candidate","",COUNTIFS($AK$2:$AK$501,"Candidate",$N$2:$N$501,"&gt;"&amp;$N178)+COUNTIFS($AK$2:$AK$501,"Candidate",$N$2:$N$501,$N178,$A$2:$A$501,"&lt;"&amp;$A178)+1)</f>
        <v/>
      </c>
      <c r="AM178" s="65" t="str">
        <f aca="false">IF($AL178="","",SUMIFS($M$2:$M$501,$AK$2:$AK$501,"Candidate",$AL$2:$AL$501,"&lt;="&amp;$AL178))</f>
        <v/>
      </c>
      <c r="AN178" s="65" t="str">
        <f aca="false">IF($AL178="","",IF($AM178&lt;=CapacityOpen,"Fits","Below line"))</f>
        <v/>
      </c>
      <c r="AO178" s="65" t="str">
        <f aca="false">IF($A178="","",IF($X178="Closed","",IF($X178="Unmapped","Warning",IF(OR($AB178="Overdue",$V178="Y",$AH178="Critical"),"Critical",IF(OR($AB178="At risk",$AC178="Stale",$AG178="Over"),"Warning","")))))</f>
        <v/>
      </c>
      <c r="AP178" s="65" t="str">
        <f aca="false">IF($AO178="","",IF($AO178="Critical",3000,2000)-IF($Z178="",0,$Z178)+ROW()/100000)</f>
        <v/>
      </c>
      <c r="AQ178" s="65" t="str">
        <f aca="false">IF($AO178="","",IF($X178="Unmapped","Status '"&amp;$C178&amp;"' is not in the Config map",IF($V178="Y","Flagged in Jira",IF($AB178="Overdue",-$Z178&amp;" days past its "&amp;$X178&amp;" target",IF($AH178="Critical",$AI178,IF($AB178="At risk","Target in "&amp;$Z178&amp;" days",IF($AC178="Stale","No update in "&amp;$AA178&amp;" days","Past its "&amp;$AE178&amp;"-day tier window")))))))</f>
        <v/>
      </c>
      <c r="AR178" s="65" t="str">
        <f aca="false">IF($AO178="","","draft Jira update for "&amp;$A178)</f>
        <v/>
      </c>
      <c r="AS178" s="65" t="str">
        <f aca="false">IF($A178="","",HYPERLINK(JiraSite&amp;"/browse/"&amp;$A178,"open"))</f>
        <v/>
      </c>
      <c r="AT178" s="65" t="str">
        <f aca="false">IF($Y178="","",$Y178*1000+ROW())</f>
        <v/>
      </c>
      <c r="AU178" s="65" t="str">
        <f aca="false">IF(AND($A178&lt;&gt;"",$G178&gt;=WeekStart),$G178+ROW()/100000,"")</f>
        <v/>
      </c>
      <c r="AV178" s="65" t="str">
        <f aca="false">IF($A178="","",IF(OR(AND($S178&lt;&gt;"",$S178&gt;=WeekStart),AND($U178&lt;&gt;"",$U178&gt;=WeekStart)),MAX($S178,$U178)+ROW()/100000,""))</f>
        <v/>
      </c>
      <c r="AW178" s="65" t="str">
        <f aca="false">IF($AV178="","",IF($T178&lt;&gt;"",$T178,IF($X178="Closed","Closed","Accepted to "&amp;$X178)))</f>
        <v/>
      </c>
      <c r="AX178" s="65" t="str">
        <f aca="false">IF(AND($Y178&lt;&gt;"",$R178&lt;&gt;""),$AF178+ROW()/100000,"")</f>
        <v/>
      </c>
      <c r="AY178" s="65" t="str">
        <f aca="false">IF(AND($Y178&lt;&gt;"",OR($AB178="Overdue",AND($AH178="Critical",$R178&lt;&gt;""))),$AF178+ROW()/100000,"")</f>
        <v/>
      </c>
      <c r="AZ178" s="65" t="str">
        <f aca="false">IF($AH178="Critical",$AF178+ROW()/100000,"")</f>
        <v/>
      </c>
    </row>
    <row r="179" customFormat="false" ht="15" hidden="false" customHeight="false" outlineLevel="0" collapsed="false">
      <c r="A179" s="28"/>
      <c r="B179" s="28"/>
      <c r="C179" s="28"/>
      <c r="D179" s="28"/>
      <c r="E179" s="28"/>
      <c r="F179" s="28"/>
      <c r="G179" s="63"/>
      <c r="H179" s="63"/>
      <c r="I179" s="63"/>
      <c r="J179" s="28"/>
      <c r="K179" s="28"/>
      <c r="L179" s="28"/>
      <c r="M179" s="28"/>
      <c r="N179" s="28"/>
      <c r="O179" s="64"/>
      <c r="P179" s="64"/>
      <c r="Q179" s="64"/>
      <c r="R179" s="28"/>
      <c r="S179" s="63"/>
      <c r="T179" s="64"/>
      <c r="U179" s="63"/>
      <c r="V179" s="64"/>
      <c r="W179" s="28"/>
      <c r="X179" s="65" t="str">
        <f aca="false">IF($A179="","",IF(OR($T179&lt;&gt;"",$U179&lt;&gt;""),"Closed",IFERROR(INDEX(MapStage,MATCH($C179,MapStatus,0)),"Unmapped")))</f>
        <v/>
      </c>
      <c r="Y179" s="65" t="str">
        <f aca="false">IF(OR($X179="",$X179="Closed",$X179="Unmapped"),"",MATCH($X179,StageName,0))</f>
        <v/>
      </c>
      <c r="Z179" s="65" t="str">
        <f aca="false">IF(OR($Y179="",$I179=""),"",$I179-AsOf)</f>
        <v/>
      </c>
      <c r="AA179" s="65" t="str">
        <f aca="false">IF($A179="","",AsOf-$H179)</f>
        <v/>
      </c>
      <c r="AB179" s="65" t="str">
        <f aca="false">IF($A179="","",IF($X179="Closed","Closed",IF($X179="Unmapped","Unmapped",IF($I179="","No target",IF($Z179&lt;0,"Overdue",IF($Z179&lt;=INDEX(StageWindow,$Y179),"At risk","On track"))))))</f>
        <v/>
      </c>
      <c r="AC179" s="65" t="str">
        <f aca="false">IF($Y179="","",IF($AA179&gt;2*INDEX(StageStale,$Y179),"Stale",IF($AA179&gt;INDEX(StageStale,$Y179),"Aging","Fresh")))</f>
        <v/>
      </c>
      <c r="AD179" s="65" t="str">
        <f aca="false">IF($A179="","",IF(OR(ISNUMBER(SEARCH("Reg report",$J179)),ISNUMBER(SEARCH("No human review",$J179)),COUNTIF(TierFuncs,$D179)&gt;0),"High",IF(OR(TRIM($J179)&lt;&gt;"",ISNUMBER(SEARCH("revenue",$K179))),"Medium","Low")))</f>
        <v/>
      </c>
      <c r="AE179" s="65" t="str">
        <f aca="false">IF($A179="","",INDEX(TierDays,MATCH($AD179,TierName,0)))</f>
        <v/>
      </c>
      <c r="AF179" s="65" t="str">
        <f aca="false">IF($A179="","",AsOf-$G179)</f>
        <v/>
      </c>
      <c r="AG179" s="65" t="str">
        <f aca="false">IF($Y179="","",IF($Y179&lt;=5,IF($AF179&gt;$AE179,"Over","Inside"),"Past approval"))</f>
        <v/>
      </c>
      <c r="AH179" s="65" t="str">
        <f aca="false">IF($Y179="","",CHOOSE($Y179,IF(OR(TRIM($F179)="",ISNUMBER(SEARCH("not named",$F179))),"Critical","Good"),IF($O179&lt;&gt;"Y","Critical",IF($Q179&lt;&gt;"Y","Warning","Good")),IF($P179="","Critical",IF($P179="partial","Warning",IF($P179="ready","Good","Critical"))),IF($R179&lt;&gt;"","Critical","Warning"),IF($L179="","Critical",IF($N179="","Warning","Good")),IF($R179&lt;&gt;"","Critical","Warning"),IF($R179&lt;&gt;"","Critical","Warning"),IF($Q179="Y","Good","Critical")))</f>
        <v/>
      </c>
      <c r="AI179" s="65" t="str">
        <f aca="false">IF($Y179="","",CHOOSE($Y179,IF(OR(TRIM($F179)="",ISNUMBER(SEARCH("not named",$F179))),"Name a sponsor accountable for the value",""),IF($O179&lt;&gt;"Y","State the success metric and the stop condition",IF($Q179&lt;&gt;"Y","Set the baseline the benefit will be measured against","")),IF($P179="","Assess data readiness and regulatory impact",IF($P179="partial","Close the known data gaps",IF($P179="ready","","Data is not available; reshape or park"))),IF($R179&lt;&gt;"",IF(OR(ISNUMBER(SEARCH("mrm",$R179)),ISNUMBER(SEARCH("model",$R179)),ISNUMBER(SEARCH("risk",$R179)),ISNUMBER(SEARCH("legal",$R179)),ISNUMBER(SEARCH("complian",$R179))),"Awaiting ","Held at the design gate: ")&amp;$R179,"Map the governance framework for its tier"),IF($L179="","Size the annual benefit",IF($N179="","Score it so it can be ranked against capacity","")),IF($R179&lt;&gt;"","Build held: "&amp;$R179,"In build, not yet through test"),IF($R179&lt;&gt;"","Not ready to scale: "&amp;$R179,"Monitoring and third-party review not yet signed off"),IF($Q179="Y","","Live without a measured baseline to judge it against")))</f>
        <v/>
      </c>
      <c r="AJ179" s="65" t="str">
        <f aca="false">IF($Y179="","",INDEX(StageForum,$Y179))</f>
        <v/>
      </c>
      <c r="AK179" s="65" t="str">
        <f aca="false">IF($Y179="","",IF(OR($X179="Delivery",$X179="Value"),"Committed",IF($N179&lt;&gt;"","Candidate","")))</f>
        <v/>
      </c>
      <c r="AL179" s="65" t="str">
        <f aca="false">IF($AK179&lt;&gt;"Candidate","",COUNTIFS($AK$2:$AK$501,"Candidate",$N$2:$N$501,"&gt;"&amp;$N179)+COUNTIFS($AK$2:$AK$501,"Candidate",$N$2:$N$501,$N179,$A$2:$A$501,"&lt;"&amp;$A179)+1)</f>
        <v/>
      </c>
      <c r="AM179" s="65" t="str">
        <f aca="false">IF($AL179="","",SUMIFS($M$2:$M$501,$AK$2:$AK$501,"Candidate",$AL$2:$AL$501,"&lt;="&amp;$AL179))</f>
        <v/>
      </c>
      <c r="AN179" s="65" t="str">
        <f aca="false">IF($AL179="","",IF($AM179&lt;=CapacityOpen,"Fits","Below line"))</f>
        <v/>
      </c>
      <c r="AO179" s="65" t="str">
        <f aca="false">IF($A179="","",IF($X179="Closed","",IF($X179="Unmapped","Warning",IF(OR($AB179="Overdue",$V179="Y",$AH179="Critical"),"Critical",IF(OR($AB179="At risk",$AC179="Stale",$AG179="Over"),"Warning","")))))</f>
        <v/>
      </c>
      <c r="AP179" s="65" t="str">
        <f aca="false">IF($AO179="","",IF($AO179="Critical",3000,2000)-IF($Z179="",0,$Z179)+ROW()/100000)</f>
        <v/>
      </c>
      <c r="AQ179" s="65" t="str">
        <f aca="false">IF($AO179="","",IF($X179="Unmapped","Status '"&amp;$C179&amp;"' is not in the Config map",IF($V179="Y","Flagged in Jira",IF($AB179="Overdue",-$Z179&amp;" days past its "&amp;$X179&amp;" target",IF($AH179="Critical",$AI179,IF($AB179="At risk","Target in "&amp;$Z179&amp;" days",IF($AC179="Stale","No update in "&amp;$AA179&amp;" days","Past its "&amp;$AE179&amp;"-day tier window")))))))</f>
        <v/>
      </c>
      <c r="AR179" s="65" t="str">
        <f aca="false">IF($AO179="","","draft Jira update for "&amp;$A179)</f>
        <v/>
      </c>
      <c r="AS179" s="65" t="str">
        <f aca="false">IF($A179="","",HYPERLINK(JiraSite&amp;"/browse/"&amp;$A179,"open"))</f>
        <v/>
      </c>
      <c r="AT179" s="65" t="str">
        <f aca="false">IF($Y179="","",$Y179*1000+ROW())</f>
        <v/>
      </c>
      <c r="AU179" s="65" t="str">
        <f aca="false">IF(AND($A179&lt;&gt;"",$G179&gt;=WeekStart),$G179+ROW()/100000,"")</f>
        <v/>
      </c>
      <c r="AV179" s="65" t="str">
        <f aca="false">IF($A179="","",IF(OR(AND($S179&lt;&gt;"",$S179&gt;=WeekStart),AND($U179&lt;&gt;"",$U179&gt;=WeekStart)),MAX($S179,$U179)+ROW()/100000,""))</f>
        <v/>
      </c>
      <c r="AW179" s="65" t="str">
        <f aca="false">IF($AV179="","",IF($T179&lt;&gt;"",$T179,IF($X179="Closed","Closed","Accepted to "&amp;$X179)))</f>
        <v/>
      </c>
      <c r="AX179" s="65" t="str">
        <f aca="false">IF(AND($Y179&lt;&gt;"",$R179&lt;&gt;""),$AF179+ROW()/100000,"")</f>
        <v/>
      </c>
      <c r="AY179" s="65" t="str">
        <f aca="false">IF(AND($Y179&lt;&gt;"",OR($AB179="Overdue",AND($AH179="Critical",$R179&lt;&gt;""))),$AF179+ROW()/100000,"")</f>
        <v/>
      </c>
      <c r="AZ179" s="65" t="str">
        <f aca="false">IF($AH179="Critical",$AF179+ROW()/100000,"")</f>
        <v/>
      </c>
    </row>
    <row r="180" customFormat="false" ht="15" hidden="false" customHeight="false" outlineLevel="0" collapsed="false">
      <c r="A180" s="28"/>
      <c r="B180" s="28"/>
      <c r="C180" s="28"/>
      <c r="D180" s="28"/>
      <c r="E180" s="28"/>
      <c r="F180" s="28"/>
      <c r="G180" s="63"/>
      <c r="H180" s="63"/>
      <c r="I180" s="63"/>
      <c r="J180" s="28"/>
      <c r="K180" s="28"/>
      <c r="L180" s="28"/>
      <c r="M180" s="28"/>
      <c r="N180" s="28"/>
      <c r="O180" s="64"/>
      <c r="P180" s="64"/>
      <c r="Q180" s="64"/>
      <c r="R180" s="28"/>
      <c r="S180" s="63"/>
      <c r="T180" s="64"/>
      <c r="U180" s="63"/>
      <c r="V180" s="64"/>
      <c r="W180" s="28"/>
      <c r="X180" s="65" t="str">
        <f aca="false">IF($A180="","",IF(OR($T180&lt;&gt;"",$U180&lt;&gt;""),"Closed",IFERROR(INDEX(MapStage,MATCH($C180,MapStatus,0)),"Unmapped")))</f>
        <v/>
      </c>
      <c r="Y180" s="65" t="str">
        <f aca="false">IF(OR($X180="",$X180="Closed",$X180="Unmapped"),"",MATCH($X180,StageName,0))</f>
        <v/>
      </c>
      <c r="Z180" s="65" t="str">
        <f aca="false">IF(OR($Y180="",$I180=""),"",$I180-AsOf)</f>
        <v/>
      </c>
      <c r="AA180" s="65" t="str">
        <f aca="false">IF($A180="","",AsOf-$H180)</f>
        <v/>
      </c>
      <c r="AB180" s="65" t="str">
        <f aca="false">IF($A180="","",IF($X180="Closed","Closed",IF($X180="Unmapped","Unmapped",IF($I180="","No target",IF($Z180&lt;0,"Overdue",IF($Z180&lt;=INDEX(StageWindow,$Y180),"At risk","On track"))))))</f>
        <v/>
      </c>
      <c r="AC180" s="65" t="str">
        <f aca="false">IF($Y180="","",IF($AA180&gt;2*INDEX(StageStale,$Y180),"Stale",IF($AA180&gt;INDEX(StageStale,$Y180),"Aging","Fresh")))</f>
        <v/>
      </c>
      <c r="AD180" s="65" t="str">
        <f aca="false">IF($A180="","",IF(OR(ISNUMBER(SEARCH("Reg report",$J180)),ISNUMBER(SEARCH("No human review",$J180)),COUNTIF(TierFuncs,$D180)&gt;0),"High",IF(OR(TRIM($J180)&lt;&gt;"",ISNUMBER(SEARCH("revenue",$K180))),"Medium","Low")))</f>
        <v/>
      </c>
      <c r="AE180" s="65" t="str">
        <f aca="false">IF($A180="","",INDEX(TierDays,MATCH($AD180,TierName,0)))</f>
        <v/>
      </c>
      <c r="AF180" s="65" t="str">
        <f aca="false">IF($A180="","",AsOf-$G180)</f>
        <v/>
      </c>
      <c r="AG180" s="65" t="str">
        <f aca="false">IF($Y180="","",IF($Y180&lt;=5,IF($AF180&gt;$AE180,"Over","Inside"),"Past approval"))</f>
        <v/>
      </c>
      <c r="AH180" s="65" t="str">
        <f aca="false">IF($Y180="","",CHOOSE($Y180,IF(OR(TRIM($F180)="",ISNUMBER(SEARCH("not named",$F180))),"Critical","Good"),IF($O180&lt;&gt;"Y","Critical",IF($Q180&lt;&gt;"Y","Warning","Good")),IF($P180="","Critical",IF($P180="partial","Warning",IF($P180="ready","Good","Critical"))),IF($R180&lt;&gt;"","Critical","Warning"),IF($L180="","Critical",IF($N180="","Warning","Good")),IF($R180&lt;&gt;"","Critical","Warning"),IF($R180&lt;&gt;"","Critical","Warning"),IF($Q180="Y","Good","Critical")))</f>
        <v/>
      </c>
      <c r="AI180" s="65" t="str">
        <f aca="false">IF($Y180="","",CHOOSE($Y180,IF(OR(TRIM($F180)="",ISNUMBER(SEARCH("not named",$F180))),"Name a sponsor accountable for the value",""),IF($O180&lt;&gt;"Y","State the success metric and the stop condition",IF($Q180&lt;&gt;"Y","Set the baseline the benefit will be measured against","")),IF($P180="","Assess data readiness and regulatory impact",IF($P180="partial","Close the known data gaps",IF($P180="ready","","Data is not available; reshape or park"))),IF($R180&lt;&gt;"",IF(OR(ISNUMBER(SEARCH("mrm",$R180)),ISNUMBER(SEARCH("model",$R180)),ISNUMBER(SEARCH("risk",$R180)),ISNUMBER(SEARCH("legal",$R180)),ISNUMBER(SEARCH("complian",$R180))),"Awaiting ","Held at the design gate: ")&amp;$R180,"Map the governance framework for its tier"),IF($L180="","Size the annual benefit",IF($N180="","Score it so it can be ranked against capacity","")),IF($R180&lt;&gt;"","Build held: "&amp;$R180,"In build, not yet through test"),IF($R180&lt;&gt;"","Not ready to scale: "&amp;$R180,"Monitoring and third-party review not yet signed off"),IF($Q180="Y","","Live without a measured baseline to judge it against")))</f>
        <v/>
      </c>
      <c r="AJ180" s="65" t="str">
        <f aca="false">IF($Y180="","",INDEX(StageForum,$Y180))</f>
        <v/>
      </c>
      <c r="AK180" s="65" t="str">
        <f aca="false">IF($Y180="","",IF(OR($X180="Delivery",$X180="Value"),"Committed",IF($N180&lt;&gt;"","Candidate","")))</f>
        <v/>
      </c>
      <c r="AL180" s="65" t="str">
        <f aca="false">IF($AK180&lt;&gt;"Candidate","",COUNTIFS($AK$2:$AK$501,"Candidate",$N$2:$N$501,"&gt;"&amp;$N180)+COUNTIFS($AK$2:$AK$501,"Candidate",$N$2:$N$501,$N180,$A$2:$A$501,"&lt;"&amp;$A180)+1)</f>
        <v/>
      </c>
      <c r="AM180" s="65" t="str">
        <f aca="false">IF($AL180="","",SUMIFS($M$2:$M$501,$AK$2:$AK$501,"Candidate",$AL$2:$AL$501,"&lt;="&amp;$AL180))</f>
        <v/>
      </c>
      <c r="AN180" s="65" t="str">
        <f aca="false">IF($AL180="","",IF($AM180&lt;=CapacityOpen,"Fits","Below line"))</f>
        <v/>
      </c>
      <c r="AO180" s="65" t="str">
        <f aca="false">IF($A180="","",IF($X180="Closed","",IF($X180="Unmapped","Warning",IF(OR($AB180="Overdue",$V180="Y",$AH180="Critical"),"Critical",IF(OR($AB180="At risk",$AC180="Stale",$AG180="Over"),"Warning","")))))</f>
        <v/>
      </c>
      <c r="AP180" s="65" t="str">
        <f aca="false">IF($AO180="","",IF($AO180="Critical",3000,2000)-IF($Z180="",0,$Z180)+ROW()/100000)</f>
        <v/>
      </c>
      <c r="AQ180" s="65" t="str">
        <f aca="false">IF($AO180="","",IF($X180="Unmapped","Status '"&amp;$C180&amp;"' is not in the Config map",IF($V180="Y","Flagged in Jira",IF($AB180="Overdue",-$Z180&amp;" days past its "&amp;$X180&amp;" target",IF($AH180="Critical",$AI180,IF($AB180="At risk","Target in "&amp;$Z180&amp;" days",IF($AC180="Stale","No update in "&amp;$AA180&amp;" days","Past its "&amp;$AE180&amp;"-day tier window")))))))</f>
        <v/>
      </c>
      <c r="AR180" s="65" t="str">
        <f aca="false">IF($AO180="","","draft Jira update for "&amp;$A180)</f>
        <v/>
      </c>
      <c r="AS180" s="65" t="str">
        <f aca="false">IF($A180="","",HYPERLINK(JiraSite&amp;"/browse/"&amp;$A180,"open"))</f>
        <v/>
      </c>
      <c r="AT180" s="65" t="str">
        <f aca="false">IF($Y180="","",$Y180*1000+ROW())</f>
        <v/>
      </c>
      <c r="AU180" s="65" t="str">
        <f aca="false">IF(AND($A180&lt;&gt;"",$G180&gt;=WeekStart),$G180+ROW()/100000,"")</f>
        <v/>
      </c>
      <c r="AV180" s="65" t="str">
        <f aca="false">IF($A180="","",IF(OR(AND($S180&lt;&gt;"",$S180&gt;=WeekStart),AND($U180&lt;&gt;"",$U180&gt;=WeekStart)),MAX($S180,$U180)+ROW()/100000,""))</f>
        <v/>
      </c>
      <c r="AW180" s="65" t="str">
        <f aca="false">IF($AV180="","",IF($T180&lt;&gt;"",$T180,IF($X180="Closed","Closed","Accepted to "&amp;$X180)))</f>
        <v/>
      </c>
      <c r="AX180" s="65" t="str">
        <f aca="false">IF(AND($Y180&lt;&gt;"",$R180&lt;&gt;""),$AF180+ROW()/100000,"")</f>
        <v/>
      </c>
      <c r="AY180" s="65" t="str">
        <f aca="false">IF(AND($Y180&lt;&gt;"",OR($AB180="Overdue",AND($AH180="Critical",$R180&lt;&gt;""))),$AF180+ROW()/100000,"")</f>
        <v/>
      </c>
      <c r="AZ180" s="65" t="str">
        <f aca="false">IF($AH180="Critical",$AF180+ROW()/100000,"")</f>
        <v/>
      </c>
    </row>
    <row r="181" customFormat="false" ht="15" hidden="false" customHeight="false" outlineLevel="0" collapsed="false">
      <c r="A181" s="28"/>
      <c r="B181" s="28"/>
      <c r="C181" s="28"/>
      <c r="D181" s="28"/>
      <c r="E181" s="28"/>
      <c r="F181" s="28"/>
      <c r="G181" s="63"/>
      <c r="H181" s="63"/>
      <c r="I181" s="63"/>
      <c r="J181" s="28"/>
      <c r="K181" s="28"/>
      <c r="L181" s="28"/>
      <c r="M181" s="28"/>
      <c r="N181" s="28"/>
      <c r="O181" s="64"/>
      <c r="P181" s="64"/>
      <c r="Q181" s="64"/>
      <c r="R181" s="28"/>
      <c r="S181" s="63"/>
      <c r="T181" s="64"/>
      <c r="U181" s="63"/>
      <c r="V181" s="64"/>
      <c r="W181" s="28"/>
      <c r="X181" s="65" t="str">
        <f aca="false">IF($A181="","",IF(OR($T181&lt;&gt;"",$U181&lt;&gt;""),"Closed",IFERROR(INDEX(MapStage,MATCH($C181,MapStatus,0)),"Unmapped")))</f>
        <v/>
      </c>
      <c r="Y181" s="65" t="str">
        <f aca="false">IF(OR($X181="",$X181="Closed",$X181="Unmapped"),"",MATCH($X181,StageName,0))</f>
        <v/>
      </c>
      <c r="Z181" s="65" t="str">
        <f aca="false">IF(OR($Y181="",$I181=""),"",$I181-AsOf)</f>
        <v/>
      </c>
      <c r="AA181" s="65" t="str">
        <f aca="false">IF($A181="","",AsOf-$H181)</f>
        <v/>
      </c>
      <c r="AB181" s="65" t="str">
        <f aca="false">IF($A181="","",IF($X181="Closed","Closed",IF($X181="Unmapped","Unmapped",IF($I181="","No target",IF($Z181&lt;0,"Overdue",IF($Z181&lt;=INDEX(StageWindow,$Y181),"At risk","On track"))))))</f>
        <v/>
      </c>
      <c r="AC181" s="65" t="str">
        <f aca="false">IF($Y181="","",IF($AA181&gt;2*INDEX(StageStale,$Y181),"Stale",IF($AA181&gt;INDEX(StageStale,$Y181),"Aging","Fresh")))</f>
        <v/>
      </c>
      <c r="AD181" s="65" t="str">
        <f aca="false">IF($A181="","",IF(OR(ISNUMBER(SEARCH("Reg report",$J181)),ISNUMBER(SEARCH("No human review",$J181)),COUNTIF(TierFuncs,$D181)&gt;0),"High",IF(OR(TRIM($J181)&lt;&gt;"",ISNUMBER(SEARCH("revenue",$K181))),"Medium","Low")))</f>
        <v/>
      </c>
      <c r="AE181" s="65" t="str">
        <f aca="false">IF($A181="","",INDEX(TierDays,MATCH($AD181,TierName,0)))</f>
        <v/>
      </c>
      <c r="AF181" s="65" t="str">
        <f aca="false">IF($A181="","",AsOf-$G181)</f>
        <v/>
      </c>
      <c r="AG181" s="65" t="str">
        <f aca="false">IF($Y181="","",IF($Y181&lt;=5,IF($AF181&gt;$AE181,"Over","Inside"),"Past approval"))</f>
        <v/>
      </c>
      <c r="AH181" s="65" t="str">
        <f aca="false">IF($Y181="","",CHOOSE($Y181,IF(OR(TRIM($F181)="",ISNUMBER(SEARCH("not named",$F181))),"Critical","Good"),IF($O181&lt;&gt;"Y","Critical",IF($Q181&lt;&gt;"Y","Warning","Good")),IF($P181="","Critical",IF($P181="partial","Warning",IF($P181="ready","Good","Critical"))),IF($R181&lt;&gt;"","Critical","Warning"),IF($L181="","Critical",IF($N181="","Warning","Good")),IF($R181&lt;&gt;"","Critical","Warning"),IF($R181&lt;&gt;"","Critical","Warning"),IF($Q181="Y","Good","Critical")))</f>
        <v/>
      </c>
      <c r="AI181" s="65" t="str">
        <f aca="false">IF($Y181="","",CHOOSE($Y181,IF(OR(TRIM($F181)="",ISNUMBER(SEARCH("not named",$F181))),"Name a sponsor accountable for the value",""),IF($O181&lt;&gt;"Y","State the success metric and the stop condition",IF($Q181&lt;&gt;"Y","Set the baseline the benefit will be measured against","")),IF($P181="","Assess data readiness and regulatory impact",IF($P181="partial","Close the known data gaps",IF($P181="ready","","Data is not available; reshape or park"))),IF($R181&lt;&gt;"",IF(OR(ISNUMBER(SEARCH("mrm",$R181)),ISNUMBER(SEARCH("model",$R181)),ISNUMBER(SEARCH("risk",$R181)),ISNUMBER(SEARCH("legal",$R181)),ISNUMBER(SEARCH("complian",$R181))),"Awaiting ","Held at the design gate: ")&amp;$R181,"Map the governance framework for its tier"),IF($L181="","Size the annual benefit",IF($N181="","Score it so it can be ranked against capacity","")),IF($R181&lt;&gt;"","Build held: "&amp;$R181,"In build, not yet through test"),IF($R181&lt;&gt;"","Not ready to scale: "&amp;$R181,"Monitoring and third-party review not yet signed off"),IF($Q181="Y","","Live without a measured baseline to judge it against")))</f>
        <v/>
      </c>
      <c r="AJ181" s="65" t="str">
        <f aca="false">IF($Y181="","",INDEX(StageForum,$Y181))</f>
        <v/>
      </c>
      <c r="AK181" s="65" t="str">
        <f aca="false">IF($Y181="","",IF(OR($X181="Delivery",$X181="Value"),"Committed",IF($N181&lt;&gt;"","Candidate","")))</f>
        <v/>
      </c>
      <c r="AL181" s="65" t="str">
        <f aca="false">IF($AK181&lt;&gt;"Candidate","",COUNTIFS($AK$2:$AK$501,"Candidate",$N$2:$N$501,"&gt;"&amp;$N181)+COUNTIFS($AK$2:$AK$501,"Candidate",$N$2:$N$501,$N181,$A$2:$A$501,"&lt;"&amp;$A181)+1)</f>
        <v/>
      </c>
      <c r="AM181" s="65" t="str">
        <f aca="false">IF($AL181="","",SUMIFS($M$2:$M$501,$AK$2:$AK$501,"Candidate",$AL$2:$AL$501,"&lt;="&amp;$AL181))</f>
        <v/>
      </c>
      <c r="AN181" s="65" t="str">
        <f aca="false">IF($AL181="","",IF($AM181&lt;=CapacityOpen,"Fits","Below line"))</f>
        <v/>
      </c>
      <c r="AO181" s="65" t="str">
        <f aca="false">IF($A181="","",IF($X181="Closed","",IF($X181="Unmapped","Warning",IF(OR($AB181="Overdue",$V181="Y",$AH181="Critical"),"Critical",IF(OR($AB181="At risk",$AC181="Stale",$AG181="Over"),"Warning","")))))</f>
        <v/>
      </c>
      <c r="AP181" s="65" t="str">
        <f aca="false">IF($AO181="","",IF($AO181="Critical",3000,2000)-IF($Z181="",0,$Z181)+ROW()/100000)</f>
        <v/>
      </c>
      <c r="AQ181" s="65" t="str">
        <f aca="false">IF($AO181="","",IF($X181="Unmapped","Status '"&amp;$C181&amp;"' is not in the Config map",IF($V181="Y","Flagged in Jira",IF($AB181="Overdue",-$Z181&amp;" days past its "&amp;$X181&amp;" target",IF($AH181="Critical",$AI181,IF($AB181="At risk","Target in "&amp;$Z181&amp;" days",IF($AC181="Stale","No update in "&amp;$AA181&amp;" days","Past its "&amp;$AE181&amp;"-day tier window")))))))</f>
        <v/>
      </c>
      <c r="AR181" s="65" t="str">
        <f aca="false">IF($AO181="","","draft Jira update for "&amp;$A181)</f>
        <v/>
      </c>
      <c r="AS181" s="65" t="str">
        <f aca="false">IF($A181="","",HYPERLINK(JiraSite&amp;"/browse/"&amp;$A181,"open"))</f>
        <v/>
      </c>
      <c r="AT181" s="65" t="str">
        <f aca="false">IF($Y181="","",$Y181*1000+ROW())</f>
        <v/>
      </c>
      <c r="AU181" s="65" t="str">
        <f aca="false">IF(AND($A181&lt;&gt;"",$G181&gt;=WeekStart),$G181+ROW()/100000,"")</f>
        <v/>
      </c>
      <c r="AV181" s="65" t="str">
        <f aca="false">IF($A181="","",IF(OR(AND($S181&lt;&gt;"",$S181&gt;=WeekStart),AND($U181&lt;&gt;"",$U181&gt;=WeekStart)),MAX($S181,$U181)+ROW()/100000,""))</f>
        <v/>
      </c>
      <c r="AW181" s="65" t="str">
        <f aca="false">IF($AV181="","",IF($T181&lt;&gt;"",$T181,IF($X181="Closed","Closed","Accepted to "&amp;$X181)))</f>
        <v/>
      </c>
      <c r="AX181" s="65" t="str">
        <f aca="false">IF(AND($Y181&lt;&gt;"",$R181&lt;&gt;""),$AF181+ROW()/100000,"")</f>
        <v/>
      </c>
      <c r="AY181" s="65" t="str">
        <f aca="false">IF(AND($Y181&lt;&gt;"",OR($AB181="Overdue",AND($AH181="Critical",$R181&lt;&gt;""))),$AF181+ROW()/100000,"")</f>
        <v/>
      </c>
      <c r="AZ181" s="65" t="str">
        <f aca="false">IF($AH181="Critical",$AF181+ROW()/100000,"")</f>
        <v/>
      </c>
    </row>
    <row r="182" customFormat="false" ht="15" hidden="false" customHeight="false" outlineLevel="0" collapsed="false">
      <c r="A182" s="28"/>
      <c r="B182" s="28"/>
      <c r="C182" s="28"/>
      <c r="D182" s="28"/>
      <c r="E182" s="28"/>
      <c r="F182" s="28"/>
      <c r="G182" s="63"/>
      <c r="H182" s="63"/>
      <c r="I182" s="63"/>
      <c r="J182" s="28"/>
      <c r="K182" s="28"/>
      <c r="L182" s="28"/>
      <c r="M182" s="28"/>
      <c r="N182" s="28"/>
      <c r="O182" s="64"/>
      <c r="P182" s="64"/>
      <c r="Q182" s="64"/>
      <c r="R182" s="28"/>
      <c r="S182" s="63"/>
      <c r="T182" s="64"/>
      <c r="U182" s="63"/>
      <c r="V182" s="64"/>
      <c r="W182" s="28"/>
      <c r="X182" s="65" t="str">
        <f aca="false">IF($A182="","",IF(OR($T182&lt;&gt;"",$U182&lt;&gt;""),"Closed",IFERROR(INDEX(MapStage,MATCH($C182,MapStatus,0)),"Unmapped")))</f>
        <v/>
      </c>
      <c r="Y182" s="65" t="str">
        <f aca="false">IF(OR($X182="",$X182="Closed",$X182="Unmapped"),"",MATCH($X182,StageName,0))</f>
        <v/>
      </c>
      <c r="Z182" s="65" t="str">
        <f aca="false">IF(OR($Y182="",$I182=""),"",$I182-AsOf)</f>
        <v/>
      </c>
      <c r="AA182" s="65" t="str">
        <f aca="false">IF($A182="","",AsOf-$H182)</f>
        <v/>
      </c>
      <c r="AB182" s="65" t="str">
        <f aca="false">IF($A182="","",IF($X182="Closed","Closed",IF($X182="Unmapped","Unmapped",IF($I182="","No target",IF($Z182&lt;0,"Overdue",IF($Z182&lt;=INDEX(StageWindow,$Y182),"At risk","On track"))))))</f>
        <v/>
      </c>
      <c r="AC182" s="65" t="str">
        <f aca="false">IF($Y182="","",IF($AA182&gt;2*INDEX(StageStale,$Y182),"Stale",IF($AA182&gt;INDEX(StageStale,$Y182),"Aging","Fresh")))</f>
        <v/>
      </c>
      <c r="AD182" s="65" t="str">
        <f aca="false">IF($A182="","",IF(OR(ISNUMBER(SEARCH("Reg report",$J182)),ISNUMBER(SEARCH("No human review",$J182)),COUNTIF(TierFuncs,$D182)&gt;0),"High",IF(OR(TRIM($J182)&lt;&gt;"",ISNUMBER(SEARCH("revenue",$K182))),"Medium","Low")))</f>
        <v/>
      </c>
      <c r="AE182" s="65" t="str">
        <f aca="false">IF($A182="","",INDEX(TierDays,MATCH($AD182,TierName,0)))</f>
        <v/>
      </c>
      <c r="AF182" s="65" t="str">
        <f aca="false">IF($A182="","",AsOf-$G182)</f>
        <v/>
      </c>
      <c r="AG182" s="65" t="str">
        <f aca="false">IF($Y182="","",IF($Y182&lt;=5,IF($AF182&gt;$AE182,"Over","Inside"),"Past approval"))</f>
        <v/>
      </c>
      <c r="AH182" s="65" t="str">
        <f aca="false">IF($Y182="","",CHOOSE($Y182,IF(OR(TRIM($F182)="",ISNUMBER(SEARCH("not named",$F182))),"Critical","Good"),IF($O182&lt;&gt;"Y","Critical",IF($Q182&lt;&gt;"Y","Warning","Good")),IF($P182="","Critical",IF($P182="partial","Warning",IF($P182="ready","Good","Critical"))),IF($R182&lt;&gt;"","Critical","Warning"),IF($L182="","Critical",IF($N182="","Warning","Good")),IF($R182&lt;&gt;"","Critical","Warning"),IF($R182&lt;&gt;"","Critical","Warning"),IF($Q182="Y","Good","Critical")))</f>
        <v/>
      </c>
      <c r="AI182" s="65" t="str">
        <f aca="false">IF($Y182="","",CHOOSE($Y182,IF(OR(TRIM($F182)="",ISNUMBER(SEARCH("not named",$F182))),"Name a sponsor accountable for the value",""),IF($O182&lt;&gt;"Y","State the success metric and the stop condition",IF($Q182&lt;&gt;"Y","Set the baseline the benefit will be measured against","")),IF($P182="","Assess data readiness and regulatory impact",IF($P182="partial","Close the known data gaps",IF($P182="ready","","Data is not available; reshape or park"))),IF($R182&lt;&gt;"",IF(OR(ISNUMBER(SEARCH("mrm",$R182)),ISNUMBER(SEARCH("model",$R182)),ISNUMBER(SEARCH("risk",$R182)),ISNUMBER(SEARCH("legal",$R182)),ISNUMBER(SEARCH("complian",$R182))),"Awaiting ","Held at the design gate: ")&amp;$R182,"Map the governance framework for its tier"),IF($L182="","Size the annual benefit",IF($N182="","Score it so it can be ranked against capacity","")),IF($R182&lt;&gt;"","Build held: "&amp;$R182,"In build, not yet through test"),IF($R182&lt;&gt;"","Not ready to scale: "&amp;$R182,"Monitoring and third-party review not yet signed off"),IF($Q182="Y","","Live without a measured baseline to judge it against")))</f>
        <v/>
      </c>
      <c r="AJ182" s="65" t="str">
        <f aca="false">IF($Y182="","",INDEX(StageForum,$Y182))</f>
        <v/>
      </c>
      <c r="AK182" s="65" t="str">
        <f aca="false">IF($Y182="","",IF(OR($X182="Delivery",$X182="Value"),"Committed",IF($N182&lt;&gt;"","Candidate","")))</f>
        <v/>
      </c>
      <c r="AL182" s="65" t="str">
        <f aca="false">IF($AK182&lt;&gt;"Candidate","",COUNTIFS($AK$2:$AK$501,"Candidate",$N$2:$N$501,"&gt;"&amp;$N182)+COUNTIFS($AK$2:$AK$501,"Candidate",$N$2:$N$501,$N182,$A$2:$A$501,"&lt;"&amp;$A182)+1)</f>
        <v/>
      </c>
      <c r="AM182" s="65" t="str">
        <f aca="false">IF($AL182="","",SUMIFS($M$2:$M$501,$AK$2:$AK$501,"Candidate",$AL$2:$AL$501,"&lt;="&amp;$AL182))</f>
        <v/>
      </c>
      <c r="AN182" s="65" t="str">
        <f aca="false">IF($AL182="","",IF($AM182&lt;=CapacityOpen,"Fits","Below line"))</f>
        <v/>
      </c>
      <c r="AO182" s="65" t="str">
        <f aca="false">IF($A182="","",IF($X182="Closed","",IF($X182="Unmapped","Warning",IF(OR($AB182="Overdue",$V182="Y",$AH182="Critical"),"Critical",IF(OR($AB182="At risk",$AC182="Stale",$AG182="Over"),"Warning","")))))</f>
        <v/>
      </c>
      <c r="AP182" s="65" t="str">
        <f aca="false">IF($AO182="","",IF($AO182="Critical",3000,2000)-IF($Z182="",0,$Z182)+ROW()/100000)</f>
        <v/>
      </c>
      <c r="AQ182" s="65" t="str">
        <f aca="false">IF($AO182="","",IF($X182="Unmapped","Status '"&amp;$C182&amp;"' is not in the Config map",IF($V182="Y","Flagged in Jira",IF($AB182="Overdue",-$Z182&amp;" days past its "&amp;$X182&amp;" target",IF($AH182="Critical",$AI182,IF($AB182="At risk","Target in "&amp;$Z182&amp;" days",IF($AC182="Stale","No update in "&amp;$AA182&amp;" days","Past its "&amp;$AE182&amp;"-day tier window")))))))</f>
        <v/>
      </c>
      <c r="AR182" s="65" t="str">
        <f aca="false">IF($AO182="","","draft Jira update for "&amp;$A182)</f>
        <v/>
      </c>
      <c r="AS182" s="65" t="str">
        <f aca="false">IF($A182="","",HYPERLINK(JiraSite&amp;"/browse/"&amp;$A182,"open"))</f>
        <v/>
      </c>
      <c r="AT182" s="65" t="str">
        <f aca="false">IF($Y182="","",$Y182*1000+ROW())</f>
        <v/>
      </c>
      <c r="AU182" s="65" t="str">
        <f aca="false">IF(AND($A182&lt;&gt;"",$G182&gt;=WeekStart),$G182+ROW()/100000,"")</f>
        <v/>
      </c>
      <c r="AV182" s="65" t="str">
        <f aca="false">IF($A182="","",IF(OR(AND($S182&lt;&gt;"",$S182&gt;=WeekStart),AND($U182&lt;&gt;"",$U182&gt;=WeekStart)),MAX($S182,$U182)+ROW()/100000,""))</f>
        <v/>
      </c>
      <c r="AW182" s="65" t="str">
        <f aca="false">IF($AV182="","",IF($T182&lt;&gt;"",$T182,IF($X182="Closed","Closed","Accepted to "&amp;$X182)))</f>
        <v/>
      </c>
      <c r="AX182" s="65" t="str">
        <f aca="false">IF(AND($Y182&lt;&gt;"",$R182&lt;&gt;""),$AF182+ROW()/100000,"")</f>
        <v/>
      </c>
      <c r="AY182" s="65" t="str">
        <f aca="false">IF(AND($Y182&lt;&gt;"",OR($AB182="Overdue",AND($AH182="Critical",$R182&lt;&gt;""))),$AF182+ROW()/100000,"")</f>
        <v/>
      </c>
      <c r="AZ182" s="65" t="str">
        <f aca="false">IF($AH182="Critical",$AF182+ROW()/100000,"")</f>
        <v/>
      </c>
    </row>
    <row r="183" customFormat="false" ht="15" hidden="false" customHeight="false" outlineLevel="0" collapsed="false">
      <c r="A183" s="28"/>
      <c r="B183" s="28"/>
      <c r="C183" s="28"/>
      <c r="D183" s="28"/>
      <c r="E183" s="28"/>
      <c r="F183" s="28"/>
      <c r="G183" s="63"/>
      <c r="H183" s="63"/>
      <c r="I183" s="63"/>
      <c r="J183" s="28"/>
      <c r="K183" s="28"/>
      <c r="L183" s="28"/>
      <c r="M183" s="28"/>
      <c r="N183" s="28"/>
      <c r="O183" s="64"/>
      <c r="P183" s="64"/>
      <c r="Q183" s="64"/>
      <c r="R183" s="28"/>
      <c r="S183" s="63"/>
      <c r="T183" s="64"/>
      <c r="U183" s="63"/>
      <c r="V183" s="64"/>
      <c r="W183" s="28"/>
      <c r="X183" s="65" t="str">
        <f aca="false">IF($A183="","",IF(OR($T183&lt;&gt;"",$U183&lt;&gt;""),"Closed",IFERROR(INDEX(MapStage,MATCH($C183,MapStatus,0)),"Unmapped")))</f>
        <v/>
      </c>
      <c r="Y183" s="65" t="str">
        <f aca="false">IF(OR($X183="",$X183="Closed",$X183="Unmapped"),"",MATCH($X183,StageName,0))</f>
        <v/>
      </c>
      <c r="Z183" s="65" t="str">
        <f aca="false">IF(OR($Y183="",$I183=""),"",$I183-AsOf)</f>
        <v/>
      </c>
      <c r="AA183" s="65" t="str">
        <f aca="false">IF($A183="","",AsOf-$H183)</f>
        <v/>
      </c>
      <c r="AB183" s="65" t="str">
        <f aca="false">IF($A183="","",IF($X183="Closed","Closed",IF($X183="Unmapped","Unmapped",IF($I183="","No target",IF($Z183&lt;0,"Overdue",IF($Z183&lt;=INDEX(StageWindow,$Y183),"At risk","On track"))))))</f>
        <v/>
      </c>
      <c r="AC183" s="65" t="str">
        <f aca="false">IF($Y183="","",IF($AA183&gt;2*INDEX(StageStale,$Y183),"Stale",IF($AA183&gt;INDEX(StageStale,$Y183),"Aging","Fresh")))</f>
        <v/>
      </c>
      <c r="AD183" s="65" t="str">
        <f aca="false">IF($A183="","",IF(OR(ISNUMBER(SEARCH("Reg report",$J183)),ISNUMBER(SEARCH("No human review",$J183)),COUNTIF(TierFuncs,$D183)&gt;0),"High",IF(OR(TRIM($J183)&lt;&gt;"",ISNUMBER(SEARCH("revenue",$K183))),"Medium","Low")))</f>
        <v/>
      </c>
      <c r="AE183" s="65" t="str">
        <f aca="false">IF($A183="","",INDEX(TierDays,MATCH($AD183,TierName,0)))</f>
        <v/>
      </c>
      <c r="AF183" s="65" t="str">
        <f aca="false">IF($A183="","",AsOf-$G183)</f>
        <v/>
      </c>
      <c r="AG183" s="65" t="str">
        <f aca="false">IF($Y183="","",IF($Y183&lt;=5,IF($AF183&gt;$AE183,"Over","Inside"),"Past approval"))</f>
        <v/>
      </c>
      <c r="AH183" s="65" t="str">
        <f aca="false">IF($Y183="","",CHOOSE($Y183,IF(OR(TRIM($F183)="",ISNUMBER(SEARCH("not named",$F183))),"Critical","Good"),IF($O183&lt;&gt;"Y","Critical",IF($Q183&lt;&gt;"Y","Warning","Good")),IF($P183="","Critical",IF($P183="partial","Warning",IF($P183="ready","Good","Critical"))),IF($R183&lt;&gt;"","Critical","Warning"),IF($L183="","Critical",IF($N183="","Warning","Good")),IF($R183&lt;&gt;"","Critical","Warning"),IF($R183&lt;&gt;"","Critical","Warning"),IF($Q183="Y","Good","Critical")))</f>
        <v/>
      </c>
      <c r="AI183" s="65" t="str">
        <f aca="false">IF($Y183="","",CHOOSE($Y183,IF(OR(TRIM($F183)="",ISNUMBER(SEARCH("not named",$F183))),"Name a sponsor accountable for the value",""),IF($O183&lt;&gt;"Y","State the success metric and the stop condition",IF($Q183&lt;&gt;"Y","Set the baseline the benefit will be measured against","")),IF($P183="","Assess data readiness and regulatory impact",IF($P183="partial","Close the known data gaps",IF($P183="ready","","Data is not available; reshape or park"))),IF($R183&lt;&gt;"",IF(OR(ISNUMBER(SEARCH("mrm",$R183)),ISNUMBER(SEARCH("model",$R183)),ISNUMBER(SEARCH("risk",$R183)),ISNUMBER(SEARCH("legal",$R183)),ISNUMBER(SEARCH("complian",$R183))),"Awaiting ","Held at the design gate: ")&amp;$R183,"Map the governance framework for its tier"),IF($L183="","Size the annual benefit",IF($N183="","Score it so it can be ranked against capacity","")),IF($R183&lt;&gt;"","Build held: "&amp;$R183,"In build, not yet through test"),IF($R183&lt;&gt;"","Not ready to scale: "&amp;$R183,"Monitoring and third-party review not yet signed off"),IF($Q183="Y","","Live without a measured baseline to judge it against")))</f>
        <v/>
      </c>
      <c r="AJ183" s="65" t="str">
        <f aca="false">IF($Y183="","",INDEX(StageForum,$Y183))</f>
        <v/>
      </c>
      <c r="AK183" s="65" t="str">
        <f aca="false">IF($Y183="","",IF(OR($X183="Delivery",$X183="Value"),"Committed",IF($N183&lt;&gt;"","Candidate","")))</f>
        <v/>
      </c>
      <c r="AL183" s="65" t="str">
        <f aca="false">IF($AK183&lt;&gt;"Candidate","",COUNTIFS($AK$2:$AK$501,"Candidate",$N$2:$N$501,"&gt;"&amp;$N183)+COUNTIFS($AK$2:$AK$501,"Candidate",$N$2:$N$501,$N183,$A$2:$A$501,"&lt;"&amp;$A183)+1)</f>
        <v/>
      </c>
      <c r="AM183" s="65" t="str">
        <f aca="false">IF($AL183="","",SUMIFS($M$2:$M$501,$AK$2:$AK$501,"Candidate",$AL$2:$AL$501,"&lt;="&amp;$AL183))</f>
        <v/>
      </c>
      <c r="AN183" s="65" t="str">
        <f aca="false">IF($AL183="","",IF($AM183&lt;=CapacityOpen,"Fits","Below line"))</f>
        <v/>
      </c>
      <c r="AO183" s="65" t="str">
        <f aca="false">IF($A183="","",IF($X183="Closed","",IF($X183="Unmapped","Warning",IF(OR($AB183="Overdue",$V183="Y",$AH183="Critical"),"Critical",IF(OR($AB183="At risk",$AC183="Stale",$AG183="Over"),"Warning","")))))</f>
        <v/>
      </c>
      <c r="AP183" s="65" t="str">
        <f aca="false">IF($AO183="","",IF($AO183="Critical",3000,2000)-IF($Z183="",0,$Z183)+ROW()/100000)</f>
        <v/>
      </c>
      <c r="AQ183" s="65" t="str">
        <f aca="false">IF($AO183="","",IF($X183="Unmapped","Status '"&amp;$C183&amp;"' is not in the Config map",IF($V183="Y","Flagged in Jira",IF($AB183="Overdue",-$Z183&amp;" days past its "&amp;$X183&amp;" target",IF($AH183="Critical",$AI183,IF($AB183="At risk","Target in "&amp;$Z183&amp;" days",IF($AC183="Stale","No update in "&amp;$AA183&amp;" days","Past its "&amp;$AE183&amp;"-day tier window")))))))</f>
        <v/>
      </c>
      <c r="AR183" s="65" t="str">
        <f aca="false">IF($AO183="","","draft Jira update for "&amp;$A183)</f>
        <v/>
      </c>
      <c r="AS183" s="65" t="str">
        <f aca="false">IF($A183="","",HYPERLINK(JiraSite&amp;"/browse/"&amp;$A183,"open"))</f>
        <v/>
      </c>
      <c r="AT183" s="65" t="str">
        <f aca="false">IF($Y183="","",$Y183*1000+ROW())</f>
        <v/>
      </c>
      <c r="AU183" s="65" t="str">
        <f aca="false">IF(AND($A183&lt;&gt;"",$G183&gt;=WeekStart),$G183+ROW()/100000,"")</f>
        <v/>
      </c>
      <c r="AV183" s="65" t="str">
        <f aca="false">IF($A183="","",IF(OR(AND($S183&lt;&gt;"",$S183&gt;=WeekStart),AND($U183&lt;&gt;"",$U183&gt;=WeekStart)),MAX($S183,$U183)+ROW()/100000,""))</f>
        <v/>
      </c>
      <c r="AW183" s="65" t="str">
        <f aca="false">IF($AV183="","",IF($T183&lt;&gt;"",$T183,IF($X183="Closed","Closed","Accepted to "&amp;$X183)))</f>
        <v/>
      </c>
      <c r="AX183" s="65" t="str">
        <f aca="false">IF(AND($Y183&lt;&gt;"",$R183&lt;&gt;""),$AF183+ROW()/100000,"")</f>
        <v/>
      </c>
      <c r="AY183" s="65" t="str">
        <f aca="false">IF(AND($Y183&lt;&gt;"",OR($AB183="Overdue",AND($AH183="Critical",$R183&lt;&gt;""))),$AF183+ROW()/100000,"")</f>
        <v/>
      </c>
      <c r="AZ183" s="65" t="str">
        <f aca="false">IF($AH183="Critical",$AF183+ROW()/100000,"")</f>
        <v/>
      </c>
    </row>
    <row r="184" customFormat="false" ht="15" hidden="false" customHeight="false" outlineLevel="0" collapsed="false">
      <c r="A184" s="28"/>
      <c r="B184" s="28"/>
      <c r="C184" s="28"/>
      <c r="D184" s="28"/>
      <c r="E184" s="28"/>
      <c r="F184" s="28"/>
      <c r="G184" s="63"/>
      <c r="H184" s="63"/>
      <c r="I184" s="63"/>
      <c r="J184" s="28"/>
      <c r="K184" s="28"/>
      <c r="L184" s="28"/>
      <c r="M184" s="28"/>
      <c r="N184" s="28"/>
      <c r="O184" s="64"/>
      <c r="P184" s="64"/>
      <c r="Q184" s="64"/>
      <c r="R184" s="28"/>
      <c r="S184" s="63"/>
      <c r="T184" s="64"/>
      <c r="U184" s="63"/>
      <c r="V184" s="64"/>
      <c r="W184" s="28"/>
      <c r="X184" s="65" t="str">
        <f aca="false">IF($A184="","",IF(OR($T184&lt;&gt;"",$U184&lt;&gt;""),"Closed",IFERROR(INDEX(MapStage,MATCH($C184,MapStatus,0)),"Unmapped")))</f>
        <v/>
      </c>
      <c r="Y184" s="65" t="str">
        <f aca="false">IF(OR($X184="",$X184="Closed",$X184="Unmapped"),"",MATCH($X184,StageName,0))</f>
        <v/>
      </c>
      <c r="Z184" s="65" t="str">
        <f aca="false">IF(OR($Y184="",$I184=""),"",$I184-AsOf)</f>
        <v/>
      </c>
      <c r="AA184" s="65" t="str">
        <f aca="false">IF($A184="","",AsOf-$H184)</f>
        <v/>
      </c>
      <c r="AB184" s="65" t="str">
        <f aca="false">IF($A184="","",IF($X184="Closed","Closed",IF($X184="Unmapped","Unmapped",IF($I184="","No target",IF($Z184&lt;0,"Overdue",IF($Z184&lt;=INDEX(StageWindow,$Y184),"At risk","On track"))))))</f>
        <v/>
      </c>
      <c r="AC184" s="65" t="str">
        <f aca="false">IF($Y184="","",IF($AA184&gt;2*INDEX(StageStale,$Y184),"Stale",IF($AA184&gt;INDEX(StageStale,$Y184),"Aging","Fresh")))</f>
        <v/>
      </c>
      <c r="AD184" s="65" t="str">
        <f aca="false">IF($A184="","",IF(OR(ISNUMBER(SEARCH("Reg report",$J184)),ISNUMBER(SEARCH("No human review",$J184)),COUNTIF(TierFuncs,$D184)&gt;0),"High",IF(OR(TRIM($J184)&lt;&gt;"",ISNUMBER(SEARCH("revenue",$K184))),"Medium","Low")))</f>
        <v/>
      </c>
      <c r="AE184" s="65" t="str">
        <f aca="false">IF($A184="","",INDEX(TierDays,MATCH($AD184,TierName,0)))</f>
        <v/>
      </c>
      <c r="AF184" s="65" t="str">
        <f aca="false">IF($A184="","",AsOf-$G184)</f>
        <v/>
      </c>
      <c r="AG184" s="65" t="str">
        <f aca="false">IF($Y184="","",IF($Y184&lt;=5,IF($AF184&gt;$AE184,"Over","Inside"),"Past approval"))</f>
        <v/>
      </c>
      <c r="AH184" s="65" t="str">
        <f aca="false">IF($Y184="","",CHOOSE($Y184,IF(OR(TRIM($F184)="",ISNUMBER(SEARCH("not named",$F184))),"Critical","Good"),IF($O184&lt;&gt;"Y","Critical",IF($Q184&lt;&gt;"Y","Warning","Good")),IF($P184="","Critical",IF($P184="partial","Warning",IF($P184="ready","Good","Critical"))),IF($R184&lt;&gt;"","Critical","Warning"),IF($L184="","Critical",IF($N184="","Warning","Good")),IF($R184&lt;&gt;"","Critical","Warning"),IF($R184&lt;&gt;"","Critical","Warning"),IF($Q184="Y","Good","Critical")))</f>
        <v/>
      </c>
      <c r="AI184" s="65" t="str">
        <f aca="false">IF($Y184="","",CHOOSE($Y184,IF(OR(TRIM($F184)="",ISNUMBER(SEARCH("not named",$F184))),"Name a sponsor accountable for the value",""),IF($O184&lt;&gt;"Y","State the success metric and the stop condition",IF($Q184&lt;&gt;"Y","Set the baseline the benefit will be measured against","")),IF($P184="","Assess data readiness and regulatory impact",IF($P184="partial","Close the known data gaps",IF($P184="ready","","Data is not available; reshape or park"))),IF($R184&lt;&gt;"",IF(OR(ISNUMBER(SEARCH("mrm",$R184)),ISNUMBER(SEARCH("model",$R184)),ISNUMBER(SEARCH("risk",$R184)),ISNUMBER(SEARCH("legal",$R184)),ISNUMBER(SEARCH("complian",$R184))),"Awaiting ","Held at the design gate: ")&amp;$R184,"Map the governance framework for its tier"),IF($L184="","Size the annual benefit",IF($N184="","Score it so it can be ranked against capacity","")),IF($R184&lt;&gt;"","Build held: "&amp;$R184,"In build, not yet through test"),IF($R184&lt;&gt;"","Not ready to scale: "&amp;$R184,"Monitoring and third-party review not yet signed off"),IF($Q184="Y","","Live without a measured baseline to judge it against")))</f>
        <v/>
      </c>
      <c r="AJ184" s="65" t="str">
        <f aca="false">IF($Y184="","",INDEX(StageForum,$Y184))</f>
        <v/>
      </c>
      <c r="AK184" s="65" t="str">
        <f aca="false">IF($Y184="","",IF(OR($X184="Delivery",$X184="Value"),"Committed",IF($N184&lt;&gt;"","Candidate","")))</f>
        <v/>
      </c>
      <c r="AL184" s="65" t="str">
        <f aca="false">IF($AK184&lt;&gt;"Candidate","",COUNTIFS($AK$2:$AK$501,"Candidate",$N$2:$N$501,"&gt;"&amp;$N184)+COUNTIFS($AK$2:$AK$501,"Candidate",$N$2:$N$501,$N184,$A$2:$A$501,"&lt;"&amp;$A184)+1)</f>
        <v/>
      </c>
      <c r="AM184" s="65" t="str">
        <f aca="false">IF($AL184="","",SUMIFS($M$2:$M$501,$AK$2:$AK$501,"Candidate",$AL$2:$AL$501,"&lt;="&amp;$AL184))</f>
        <v/>
      </c>
      <c r="AN184" s="65" t="str">
        <f aca="false">IF($AL184="","",IF($AM184&lt;=CapacityOpen,"Fits","Below line"))</f>
        <v/>
      </c>
      <c r="AO184" s="65" t="str">
        <f aca="false">IF($A184="","",IF($X184="Closed","",IF($X184="Unmapped","Warning",IF(OR($AB184="Overdue",$V184="Y",$AH184="Critical"),"Critical",IF(OR($AB184="At risk",$AC184="Stale",$AG184="Over"),"Warning","")))))</f>
        <v/>
      </c>
      <c r="AP184" s="65" t="str">
        <f aca="false">IF($AO184="","",IF($AO184="Critical",3000,2000)-IF($Z184="",0,$Z184)+ROW()/100000)</f>
        <v/>
      </c>
      <c r="AQ184" s="65" t="str">
        <f aca="false">IF($AO184="","",IF($X184="Unmapped","Status '"&amp;$C184&amp;"' is not in the Config map",IF($V184="Y","Flagged in Jira",IF($AB184="Overdue",-$Z184&amp;" days past its "&amp;$X184&amp;" target",IF($AH184="Critical",$AI184,IF($AB184="At risk","Target in "&amp;$Z184&amp;" days",IF($AC184="Stale","No update in "&amp;$AA184&amp;" days","Past its "&amp;$AE184&amp;"-day tier window")))))))</f>
        <v/>
      </c>
      <c r="AR184" s="65" t="str">
        <f aca="false">IF($AO184="","","draft Jira update for "&amp;$A184)</f>
        <v/>
      </c>
      <c r="AS184" s="65" t="str">
        <f aca="false">IF($A184="","",HYPERLINK(JiraSite&amp;"/browse/"&amp;$A184,"open"))</f>
        <v/>
      </c>
      <c r="AT184" s="65" t="str">
        <f aca="false">IF($Y184="","",$Y184*1000+ROW())</f>
        <v/>
      </c>
      <c r="AU184" s="65" t="str">
        <f aca="false">IF(AND($A184&lt;&gt;"",$G184&gt;=WeekStart),$G184+ROW()/100000,"")</f>
        <v/>
      </c>
      <c r="AV184" s="65" t="str">
        <f aca="false">IF($A184="","",IF(OR(AND($S184&lt;&gt;"",$S184&gt;=WeekStart),AND($U184&lt;&gt;"",$U184&gt;=WeekStart)),MAX($S184,$U184)+ROW()/100000,""))</f>
        <v/>
      </c>
      <c r="AW184" s="65" t="str">
        <f aca="false">IF($AV184="","",IF($T184&lt;&gt;"",$T184,IF($X184="Closed","Closed","Accepted to "&amp;$X184)))</f>
        <v/>
      </c>
      <c r="AX184" s="65" t="str">
        <f aca="false">IF(AND($Y184&lt;&gt;"",$R184&lt;&gt;""),$AF184+ROW()/100000,"")</f>
        <v/>
      </c>
      <c r="AY184" s="65" t="str">
        <f aca="false">IF(AND($Y184&lt;&gt;"",OR($AB184="Overdue",AND($AH184="Critical",$R184&lt;&gt;""))),$AF184+ROW()/100000,"")</f>
        <v/>
      </c>
      <c r="AZ184" s="65" t="str">
        <f aca="false">IF($AH184="Critical",$AF184+ROW()/100000,"")</f>
        <v/>
      </c>
    </row>
    <row r="185" customFormat="false" ht="15" hidden="false" customHeight="false" outlineLevel="0" collapsed="false">
      <c r="A185" s="28"/>
      <c r="B185" s="28"/>
      <c r="C185" s="28"/>
      <c r="D185" s="28"/>
      <c r="E185" s="28"/>
      <c r="F185" s="28"/>
      <c r="G185" s="63"/>
      <c r="H185" s="63"/>
      <c r="I185" s="63"/>
      <c r="J185" s="28"/>
      <c r="K185" s="28"/>
      <c r="L185" s="28"/>
      <c r="M185" s="28"/>
      <c r="N185" s="28"/>
      <c r="O185" s="64"/>
      <c r="P185" s="64"/>
      <c r="Q185" s="64"/>
      <c r="R185" s="28"/>
      <c r="S185" s="63"/>
      <c r="T185" s="64"/>
      <c r="U185" s="63"/>
      <c r="V185" s="64"/>
      <c r="W185" s="28"/>
      <c r="X185" s="65" t="str">
        <f aca="false">IF($A185="","",IF(OR($T185&lt;&gt;"",$U185&lt;&gt;""),"Closed",IFERROR(INDEX(MapStage,MATCH($C185,MapStatus,0)),"Unmapped")))</f>
        <v/>
      </c>
      <c r="Y185" s="65" t="str">
        <f aca="false">IF(OR($X185="",$X185="Closed",$X185="Unmapped"),"",MATCH($X185,StageName,0))</f>
        <v/>
      </c>
      <c r="Z185" s="65" t="str">
        <f aca="false">IF(OR($Y185="",$I185=""),"",$I185-AsOf)</f>
        <v/>
      </c>
      <c r="AA185" s="65" t="str">
        <f aca="false">IF($A185="","",AsOf-$H185)</f>
        <v/>
      </c>
      <c r="AB185" s="65" t="str">
        <f aca="false">IF($A185="","",IF($X185="Closed","Closed",IF($X185="Unmapped","Unmapped",IF($I185="","No target",IF($Z185&lt;0,"Overdue",IF($Z185&lt;=INDEX(StageWindow,$Y185),"At risk","On track"))))))</f>
        <v/>
      </c>
      <c r="AC185" s="65" t="str">
        <f aca="false">IF($Y185="","",IF($AA185&gt;2*INDEX(StageStale,$Y185),"Stale",IF($AA185&gt;INDEX(StageStale,$Y185),"Aging","Fresh")))</f>
        <v/>
      </c>
      <c r="AD185" s="65" t="str">
        <f aca="false">IF($A185="","",IF(OR(ISNUMBER(SEARCH("Reg report",$J185)),ISNUMBER(SEARCH("No human review",$J185)),COUNTIF(TierFuncs,$D185)&gt;0),"High",IF(OR(TRIM($J185)&lt;&gt;"",ISNUMBER(SEARCH("revenue",$K185))),"Medium","Low")))</f>
        <v/>
      </c>
      <c r="AE185" s="65" t="str">
        <f aca="false">IF($A185="","",INDEX(TierDays,MATCH($AD185,TierName,0)))</f>
        <v/>
      </c>
      <c r="AF185" s="65" t="str">
        <f aca="false">IF($A185="","",AsOf-$G185)</f>
        <v/>
      </c>
      <c r="AG185" s="65" t="str">
        <f aca="false">IF($Y185="","",IF($Y185&lt;=5,IF($AF185&gt;$AE185,"Over","Inside"),"Past approval"))</f>
        <v/>
      </c>
      <c r="AH185" s="65" t="str">
        <f aca="false">IF($Y185="","",CHOOSE($Y185,IF(OR(TRIM($F185)="",ISNUMBER(SEARCH("not named",$F185))),"Critical","Good"),IF($O185&lt;&gt;"Y","Critical",IF($Q185&lt;&gt;"Y","Warning","Good")),IF($P185="","Critical",IF($P185="partial","Warning",IF($P185="ready","Good","Critical"))),IF($R185&lt;&gt;"","Critical","Warning"),IF($L185="","Critical",IF($N185="","Warning","Good")),IF($R185&lt;&gt;"","Critical","Warning"),IF($R185&lt;&gt;"","Critical","Warning"),IF($Q185="Y","Good","Critical")))</f>
        <v/>
      </c>
      <c r="AI185" s="65" t="str">
        <f aca="false">IF($Y185="","",CHOOSE($Y185,IF(OR(TRIM($F185)="",ISNUMBER(SEARCH("not named",$F185))),"Name a sponsor accountable for the value",""),IF($O185&lt;&gt;"Y","State the success metric and the stop condition",IF($Q185&lt;&gt;"Y","Set the baseline the benefit will be measured against","")),IF($P185="","Assess data readiness and regulatory impact",IF($P185="partial","Close the known data gaps",IF($P185="ready","","Data is not available; reshape or park"))),IF($R185&lt;&gt;"",IF(OR(ISNUMBER(SEARCH("mrm",$R185)),ISNUMBER(SEARCH("model",$R185)),ISNUMBER(SEARCH("risk",$R185)),ISNUMBER(SEARCH("legal",$R185)),ISNUMBER(SEARCH("complian",$R185))),"Awaiting ","Held at the design gate: ")&amp;$R185,"Map the governance framework for its tier"),IF($L185="","Size the annual benefit",IF($N185="","Score it so it can be ranked against capacity","")),IF($R185&lt;&gt;"","Build held: "&amp;$R185,"In build, not yet through test"),IF($R185&lt;&gt;"","Not ready to scale: "&amp;$R185,"Monitoring and third-party review not yet signed off"),IF($Q185="Y","","Live without a measured baseline to judge it against")))</f>
        <v/>
      </c>
      <c r="AJ185" s="65" t="str">
        <f aca="false">IF($Y185="","",INDEX(StageForum,$Y185))</f>
        <v/>
      </c>
      <c r="AK185" s="65" t="str">
        <f aca="false">IF($Y185="","",IF(OR($X185="Delivery",$X185="Value"),"Committed",IF($N185&lt;&gt;"","Candidate","")))</f>
        <v/>
      </c>
      <c r="AL185" s="65" t="str">
        <f aca="false">IF($AK185&lt;&gt;"Candidate","",COUNTIFS($AK$2:$AK$501,"Candidate",$N$2:$N$501,"&gt;"&amp;$N185)+COUNTIFS($AK$2:$AK$501,"Candidate",$N$2:$N$501,$N185,$A$2:$A$501,"&lt;"&amp;$A185)+1)</f>
        <v/>
      </c>
      <c r="AM185" s="65" t="str">
        <f aca="false">IF($AL185="","",SUMIFS($M$2:$M$501,$AK$2:$AK$501,"Candidate",$AL$2:$AL$501,"&lt;="&amp;$AL185))</f>
        <v/>
      </c>
      <c r="AN185" s="65" t="str">
        <f aca="false">IF($AL185="","",IF($AM185&lt;=CapacityOpen,"Fits","Below line"))</f>
        <v/>
      </c>
      <c r="AO185" s="65" t="str">
        <f aca="false">IF($A185="","",IF($X185="Closed","",IF($X185="Unmapped","Warning",IF(OR($AB185="Overdue",$V185="Y",$AH185="Critical"),"Critical",IF(OR($AB185="At risk",$AC185="Stale",$AG185="Over"),"Warning","")))))</f>
        <v/>
      </c>
      <c r="AP185" s="65" t="str">
        <f aca="false">IF($AO185="","",IF($AO185="Critical",3000,2000)-IF($Z185="",0,$Z185)+ROW()/100000)</f>
        <v/>
      </c>
      <c r="AQ185" s="65" t="str">
        <f aca="false">IF($AO185="","",IF($X185="Unmapped","Status '"&amp;$C185&amp;"' is not in the Config map",IF($V185="Y","Flagged in Jira",IF($AB185="Overdue",-$Z185&amp;" days past its "&amp;$X185&amp;" target",IF($AH185="Critical",$AI185,IF($AB185="At risk","Target in "&amp;$Z185&amp;" days",IF($AC185="Stale","No update in "&amp;$AA185&amp;" days","Past its "&amp;$AE185&amp;"-day tier window")))))))</f>
        <v/>
      </c>
      <c r="AR185" s="65" t="str">
        <f aca="false">IF($AO185="","","draft Jira update for "&amp;$A185)</f>
        <v/>
      </c>
      <c r="AS185" s="65" t="str">
        <f aca="false">IF($A185="","",HYPERLINK(JiraSite&amp;"/browse/"&amp;$A185,"open"))</f>
        <v/>
      </c>
      <c r="AT185" s="65" t="str">
        <f aca="false">IF($Y185="","",$Y185*1000+ROW())</f>
        <v/>
      </c>
      <c r="AU185" s="65" t="str">
        <f aca="false">IF(AND($A185&lt;&gt;"",$G185&gt;=WeekStart),$G185+ROW()/100000,"")</f>
        <v/>
      </c>
      <c r="AV185" s="65" t="str">
        <f aca="false">IF($A185="","",IF(OR(AND($S185&lt;&gt;"",$S185&gt;=WeekStart),AND($U185&lt;&gt;"",$U185&gt;=WeekStart)),MAX($S185,$U185)+ROW()/100000,""))</f>
        <v/>
      </c>
      <c r="AW185" s="65" t="str">
        <f aca="false">IF($AV185="","",IF($T185&lt;&gt;"",$T185,IF($X185="Closed","Closed","Accepted to "&amp;$X185)))</f>
        <v/>
      </c>
      <c r="AX185" s="65" t="str">
        <f aca="false">IF(AND($Y185&lt;&gt;"",$R185&lt;&gt;""),$AF185+ROW()/100000,"")</f>
        <v/>
      </c>
      <c r="AY185" s="65" t="str">
        <f aca="false">IF(AND($Y185&lt;&gt;"",OR($AB185="Overdue",AND($AH185="Critical",$R185&lt;&gt;""))),$AF185+ROW()/100000,"")</f>
        <v/>
      </c>
      <c r="AZ185" s="65" t="str">
        <f aca="false">IF($AH185="Critical",$AF185+ROW()/100000,"")</f>
        <v/>
      </c>
    </row>
    <row r="186" customFormat="false" ht="15" hidden="false" customHeight="false" outlineLevel="0" collapsed="false">
      <c r="A186" s="28"/>
      <c r="B186" s="28"/>
      <c r="C186" s="28"/>
      <c r="D186" s="28"/>
      <c r="E186" s="28"/>
      <c r="F186" s="28"/>
      <c r="G186" s="63"/>
      <c r="H186" s="63"/>
      <c r="I186" s="63"/>
      <c r="J186" s="28"/>
      <c r="K186" s="28"/>
      <c r="L186" s="28"/>
      <c r="M186" s="28"/>
      <c r="N186" s="28"/>
      <c r="O186" s="64"/>
      <c r="P186" s="64"/>
      <c r="Q186" s="64"/>
      <c r="R186" s="28"/>
      <c r="S186" s="63"/>
      <c r="T186" s="64"/>
      <c r="U186" s="63"/>
      <c r="V186" s="64"/>
      <c r="W186" s="28"/>
      <c r="X186" s="65" t="str">
        <f aca="false">IF($A186="","",IF(OR($T186&lt;&gt;"",$U186&lt;&gt;""),"Closed",IFERROR(INDEX(MapStage,MATCH($C186,MapStatus,0)),"Unmapped")))</f>
        <v/>
      </c>
      <c r="Y186" s="65" t="str">
        <f aca="false">IF(OR($X186="",$X186="Closed",$X186="Unmapped"),"",MATCH($X186,StageName,0))</f>
        <v/>
      </c>
      <c r="Z186" s="65" t="str">
        <f aca="false">IF(OR($Y186="",$I186=""),"",$I186-AsOf)</f>
        <v/>
      </c>
      <c r="AA186" s="65" t="str">
        <f aca="false">IF($A186="","",AsOf-$H186)</f>
        <v/>
      </c>
      <c r="AB186" s="65" t="str">
        <f aca="false">IF($A186="","",IF($X186="Closed","Closed",IF($X186="Unmapped","Unmapped",IF($I186="","No target",IF($Z186&lt;0,"Overdue",IF($Z186&lt;=INDEX(StageWindow,$Y186),"At risk","On track"))))))</f>
        <v/>
      </c>
      <c r="AC186" s="65" t="str">
        <f aca="false">IF($Y186="","",IF($AA186&gt;2*INDEX(StageStale,$Y186),"Stale",IF($AA186&gt;INDEX(StageStale,$Y186),"Aging","Fresh")))</f>
        <v/>
      </c>
      <c r="AD186" s="65" t="str">
        <f aca="false">IF($A186="","",IF(OR(ISNUMBER(SEARCH("Reg report",$J186)),ISNUMBER(SEARCH("No human review",$J186)),COUNTIF(TierFuncs,$D186)&gt;0),"High",IF(OR(TRIM($J186)&lt;&gt;"",ISNUMBER(SEARCH("revenue",$K186))),"Medium","Low")))</f>
        <v/>
      </c>
      <c r="AE186" s="65" t="str">
        <f aca="false">IF($A186="","",INDEX(TierDays,MATCH($AD186,TierName,0)))</f>
        <v/>
      </c>
      <c r="AF186" s="65" t="str">
        <f aca="false">IF($A186="","",AsOf-$G186)</f>
        <v/>
      </c>
      <c r="AG186" s="65" t="str">
        <f aca="false">IF($Y186="","",IF($Y186&lt;=5,IF($AF186&gt;$AE186,"Over","Inside"),"Past approval"))</f>
        <v/>
      </c>
      <c r="AH186" s="65" t="str">
        <f aca="false">IF($Y186="","",CHOOSE($Y186,IF(OR(TRIM($F186)="",ISNUMBER(SEARCH("not named",$F186))),"Critical","Good"),IF($O186&lt;&gt;"Y","Critical",IF($Q186&lt;&gt;"Y","Warning","Good")),IF($P186="","Critical",IF($P186="partial","Warning",IF($P186="ready","Good","Critical"))),IF($R186&lt;&gt;"","Critical","Warning"),IF($L186="","Critical",IF($N186="","Warning","Good")),IF($R186&lt;&gt;"","Critical","Warning"),IF($R186&lt;&gt;"","Critical","Warning"),IF($Q186="Y","Good","Critical")))</f>
        <v/>
      </c>
      <c r="AI186" s="65" t="str">
        <f aca="false">IF($Y186="","",CHOOSE($Y186,IF(OR(TRIM($F186)="",ISNUMBER(SEARCH("not named",$F186))),"Name a sponsor accountable for the value",""),IF($O186&lt;&gt;"Y","State the success metric and the stop condition",IF($Q186&lt;&gt;"Y","Set the baseline the benefit will be measured against","")),IF($P186="","Assess data readiness and regulatory impact",IF($P186="partial","Close the known data gaps",IF($P186="ready","","Data is not available; reshape or park"))),IF($R186&lt;&gt;"",IF(OR(ISNUMBER(SEARCH("mrm",$R186)),ISNUMBER(SEARCH("model",$R186)),ISNUMBER(SEARCH("risk",$R186)),ISNUMBER(SEARCH("legal",$R186)),ISNUMBER(SEARCH("complian",$R186))),"Awaiting ","Held at the design gate: ")&amp;$R186,"Map the governance framework for its tier"),IF($L186="","Size the annual benefit",IF($N186="","Score it so it can be ranked against capacity","")),IF($R186&lt;&gt;"","Build held: "&amp;$R186,"In build, not yet through test"),IF($R186&lt;&gt;"","Not ready to scale: "&amp;$R186,"Monitoring and third-party review not yet signed off"),IF($Q186="Y","","Live without a measured baseline to judge it against")))</f>
        <v/>
      </c>
      <c r="AJ186" s="65" t="str">
        <f aca="false">IF($Y186="","",INDEX(StageForum,$Y186))</f>
        <v/>
      </c>
      <c r="AK186" s="65" t="str">
        <f aca="false">IF($Y186="","",IF(OR($X186="Delivery",$X186="Value"),"Committed",IF($N186&lt;&gt;"","Candidate","")))</f>
        <v/>
      </c>
      <c r="AL186" s="65" t="str">
        <f aca="false">IF($AK186&lt;&gt;"Candidate","",COUNTIFS($AK$2:$AK$501,"Candidate",$N$2:$N$501,"&gt;"&amp;$N186)+COUNTIFS($AK$2:$AK$501,"Candidate",$N$2:$N$501,$N186,$A$2:$A$501,"&lt;"&amp;$A186)+1)</f>
        <v/>
      </c>
      <c r="AM186" s="65" t="str">
        <f aca="false">IF($AL186="","",SUMIFS($M$2:$M$501,$AK$2:$AK$501,"Candidate",$AL$2:$AL$501,"&lt;="&amp;$AL186))</f>
        <v/>
      </c>
      <c r="AN186" s="65" t="str">
        <f aca="false">IF($AL186="","",IF($AM186&lt;=CapacityOpen,"Fits","Below line"))</f>
        <v/>
      </c>
      <c r="AO186" s="65" t="str">
        <f aca="false">IF($A186="","",IF($X186="Closed","",IF($X186="Unmapped","Warning",IF(OR($AB186="Overdue",$V186="Y",$AH186="Critical"),"Critical",IF(OR($AB186="At risk",$AC186="Stale",$AG186="Over"),"Warning","")))))</f>
        <v/>
      </c>
      <c r="AP186" s="65" t="str">
        <f aca="false">IF($AO186="","",IF($AO186="Critical",3000,2000)-IF($Z186="",0,$Z186)+ROW()/100000)</f>
        <v/>
      </c>
      <c r="AQ186" s="65" t="str">
        <f aca="false">IF($AO186="","",IF($X186="Unmapped","Status '"&amp;$C186&amp;"' is not in the Config map",IF($V186="Y","Flagged in Jira",IF($AB186="Overdue",-$Z186&amp;" days past its "&amp;$X186&amp;" target",IF($AH186="Critical",$AI186,IF($AB186="At risk","Target in "&amp;$Z186&amp;" days",IF($AC186="Stale","No update in "&amp;$AA186&amp;" days","Past its "&amp;$AE186&amp;"-day tier window")))))))</f>
        <v/>
      </c>
      <c r="AR186" s="65" t="str">
        <f aca="false">IF($AO186="","","draft Jira update for "&amp;$A186)</f>
        <v/>
      </c>
      <c r="AS186" s="65" t="str">
        <f aca="false">IF($A186="","",HYPERLINK(JiraSite&amp;"/browse/"&amp;$A186,"open"))</f>
        <v/>
      </c>
      <c r="AT186" s="65" t="str">
        <f aca="false">IF($Y186="","",$Y186*1000+ROW())</f>
        <v/>
      </c>
      <c r="AU186" s="65" t="str">
        <f aca="false">IF(AND($A186&lt;&gt;"",$G186&gt;=WeekStart),$G186+ROW()/100000,"")</f>
        <v/>
      </c>
      <c r="AV186" s="65" t="str">
        <f aca="false">IF($A186="","",IF(OR(AND($S186&lt;&gt;"",$S186&gt;=WeekStart),AND($U186&lt;&gt;"",$U186&gt;=WeekStart)),MAX($S186,$U186)+ROW()/100000,""))</f>
        <v/>
      </c>
      <c r="AW186" s="65" t="str">
        <f aca="false">IF($AV186="","",IF($T186&lt;&gt;"",$T186,IF($X186="Closed","Closed","Accepted to "&amp;$X186)))</f>
        <v/>
      </c>
      <c r="AX186" s="65" t="str">
        <f aca="false">IF(AND($Y186&lt;&gt;"",$R186&lt;&gt;""),$AF186+ROW()/100000,"")</f>
        <v/>
      </c>
      <c r="AY186" s="65" t="str">
        <f aca="false">IF(AND($Y186&lt;&gt;"",OR($AB186="Overdue",AND($AH186="Critical",$R186&lt;&gt;""))),$AF186+ROW()/100000,"")</f>
        <v/>
      </c>
      <c r="AZ186" s="65" t="str">
        <f aca="false">IF($AH186="Critical",$AF186+ROW()/100000,"")</f>
        <v/>
      </c>
    </row>
    <row r="187" customFormat="false" ht="15" hidden="false" customHeight="false" outlineLevel="0" collapsed="false">
      <c r="A187" s="28"/>
      <c r="B187" s="28"/>
      <c r="C187" s="28"/>
      <c r="D187" s="28"/>
      <c r="E187" s="28"/>
      <c r="F187" s="28"/>
      <c r="G187" s="63"/>
      <c r="H187" s="63"/>
      <c r="I187" s="63"/>
      <c r="J187" s="28"/>
      <c r="K187" s="28"/>
      <c r="L187" s="28"/>
      <c r="M187" s="28"/>
      <c r="N187" s="28"/>
      <c r="O187" s="64"/>
      <c r="P187" s="64"/>
      <c r="Q187" s="64"/>
      <c r="R187" s="28"/>
      <c r="S187" s="63"/>
      <c r="T187" s="64"/>
      <c r="U187" s="63"/>
      <c r="V187" s="64"/>
      <c r="W187" s="28"/>
      <c r="X187" s="65" t="str">
        <f aca="false">IF($A187="","",IF(OR($T187&lt;&gt;"",$U187&lt;&gt;""),"Closed",IFERROR(INDEX(MapStage,MATCH($C187,MapStatus,0)),"Unmapped")))</f>
        <v/>
      </c>
      <c r="Y187" s="65" t="str">
        <f aca="false">IF(OR($X187="",$X187="Closed",$X187="Unmapped"),"",MATCH($X187,StageName,0))</f>
        <v/>
      </c>
      <c r="Z187" s="65" t="str">
        <f aca="false">IF(OR($Y187="",$I187=""),"",$I187-AsOf)</f>
        <v/>
      </c>
      <c r="AA187" s="65" t="str">
        <f aca="false">IF($A187="","",AsOf-$H187)</f>
        <v/>
      </c>
      <c r="AB187" s="65" t="str">
        <f aca="false">IF($A187="","",IF($X187="Closed","Closed",IF($X187="Unmapped","Unmapped",IF($I187="","No target",IF($Z187&lt;0,"Overdue",IF($Z187&lt;=INDEX(StageWindow,$Y187),"At risk","On track"))))))</f>
        <v/>
      </c>
      <c r="AC187" s="65" t="str">
        <f aca="false">IF($Y187="","",IF($AA187&gt;2*INDEX(StageStale,$Y187),"Stale",IF($AA187&gt;INDEX(StageStale,$Y187),"Aging","Fresh")))</f>
        <v/>
      </c>
      <c r="AD187" s="65" t="str">
        <f aca="false">IF($A187="","",IF(OR(ISNUMBER(SEARCH("Reg report",$J187)),ISNUMBER(SEARCH("No human review",$J187)),COUNTIF(TierFuncs,$D187)&gt;0),"High",IF(OR(TRIM($J187)&lt;&gt;"",ISNUMBER(SEARCH("revenue",$K187))),"Medium","Low")))</f>
        <v/>
      </c>
      <c r="AE187" s="65" t="str">
        <f aca="false">IF($A187="","",INDEX(TierDays,MATCH($AD187,TierName,0)))</f>
        <v/>
      </c>
      <c r="AF187" s="65" t="str">
        <f aca="false">IF($A187="","",AsOf-$G187)</f>
        <v/>
      </c>
      <c r="AG187" s="65" t="str">
        <f aca="false">IF($Y187="","",IF($Y187&lt;=5,IF($AF187&gt;$AE187,"Over","Inside"),"Past approval"))</f>
        <v/>
      </c>
      <c r="AH187" s="65" t="str">
        <f aca="false">IF($Y187="","",CHOOSE($Y187,IF(OR(TRIM($F187)="",ISNUMBER(SEARCH("not named",$F187))),"Critical","Good"),IF($O187&lt;&gt;"Y","Critical",IF($Q187&lt;&gt;"Y","Warning","Good")),IF($P187="","Critical",IF($P187="partial","Warning",IF($P187="ready","Good","Critical"))),IF($R187&lt;&gt;"","Critical","Warning"),IF($L187="","Critical",IF($N187="","Warning","Good")),IF($R187&lt;&gt;"","Critical","Warning"),IF($R187&lt;&gt;"","Critical","Warning"),IF($Q187="Y","Good","Critical")))</f>
        <v/>
      </c>
      <c r="AI187" s="65" t="str">
        <f aca="false">IF($Y187="","",CHOOSE($Y187,IF(OR(TRIM($F187)="",ISNUMBER(SEARCH("not named",$F187))),"Name a sponsor accountable for the value",""),IF($O187&lt;&gt;"Y","State the success metric and the stop condition",IF($Q187&lt;&gt;"Y","Set the baseline the benefit will be measured against","")),IF($P187="","Assess data readiness and regulatory impact",IF($P187="partial","Close the known data gaps",IF($P187="ready","","Data is not available; reshape or park"))),IF($R187&lt;&gt;"",IF(OR(ISNUMBER(SEARCH("mrm",$R187)),ISNUMBER(SEARCH("model",$R187)),ISNUMBER(SEARCH("risk",$R187)),ISNUMBER(SEARCH("legal",$R187)),ISNUMBER(SEARCH("complian",$R187))),"Awaiting ","Held at the design gate: ")&amp;$R187,"Map the governance framework for its tier"),IF($L187="","Size the annual benefit",IF($N187="","Score it so it can be ranked against capacity","")),IF($R187&lt;&gt;"","Build held: "&amp;$R187,"In build, not yet through test"),IF($R187&lt;&gt;"","Not ready to scale: "&amp;$R187,"Monitoring and third-party review not yet signed off"),IF($Q187="Y","","Live without a measured baseline to judge it against")))</f>
        <v/>
      </c>
      <c r="AJ187" s="65" t="str">
        <f aca="false">IF($Y187="","",INDEX(StageForum,$Y187))</f>
        <v/>
      </c>
      <c r="AK187" s="65" t="str">
        <f aca="false">IF($Y187="","",IF(OR($X187="Delivery",$X187="Value"),"Committed",IF($N187&lt;&gt;"","Candidate","")))</f>
        <v/>
      </c>
      <c r="AL187" s="65" t="str">
        <f aca="false">IF($AK187&lt;&gt;"Candidate","",COUNTIFS($AK$2:$AK$501,"Candidate",$N$2:$N$501,"&gt;"&amp;$N187)+COUNTIFS($AK$2:$AK$501,"Candidate",$N$2:$N$501,$N187,$A$2:$A$501,"&lt;"&amp;$A187)+1)</f>
        <v/>
      </c>
      <c r="AM187" s="65" t="str">
        <f aca="false">IF($AL187="","",SUMIFS($M$2:$M$501,$AK$2:$AK$501,"Candidate",$AL$2:$AL$501,"&lt;="&amp;$AL187))</f>
        <v/>
      </c>
      <c r="AN187" s="65" t="str">
        <f aca="false">IF($AL187="","",IF($AM187&lt;=CapacityOpen,"Fits","Below line"))</f>
        <v/>
      </c>
      <c r="AO187" s="65" t="str">
        <f aca="false">IF($A187="","",IF($X187="Closed","",IF($X187="Unmapped","Warning",IF(OR($AB187="Overdue",$V187="Y",$AH187="Critical"),"Critical",IF(OR($AB187="At risk",$AC187="Stale",$AG187="Over"),"Warning","")))))</f>
        <v/>
      </c>
      <c r="AP187" s="65" t="str">
        <f aca="false">IF($AO187="","",IF($AO187="Critical",3000,2000)-IF($Z187="",0,$Z187)+ROW()/100000)</f>
        <v/>
      </c>
      <c r="AQ187" s="65" t="str">
        <f aca="false">IF($AO187="","",IF($X187="Unmapped","Status '"&amp;$C187&amp;"' is not in the Config map",IF($V187="Y","Flagged in Jira",IF($AB187="Overdue",-$Z187&amp;" days past its "&amp;$X187&amp;" target",IF($AH187="Critical",$AI187,IF($AB187="At risk","Target in "&amp;$Z187&amp;" days",IF($AC187="Stale","No update in "&amp;$AA187&amp;" days","Past its "&amp;$AE187&amp;"-day tier window")))))))</f>
        <v/>
      </c>
      <c r="AR187" s="65" t="str">
        <f aca="false">IF($AO187="","","draft Jira update for "&amp;$A187)</f>
        <v/>
      </c>
      <c r="AS187" s="65" t="str">
        <f aca="false">IF($A187="","",HYPERLINK(JiraSite&amp;"/browse/"&amp;$A187,"open"))</f>
        <v/>
      </c>
      <c r="AT187" s="65" t="str">
        <f aca="false">IF($Y187="","",$Y187*1000+ROW())</f>
        <v/>
      </c>
      <c r="AU187" s="65" t="str">
        <f aca="false">IF(AND($A187&lt;&gt;"",$G187&gt;=WeekStart),$G187+ROW()/100000,"")</f>
        <v/>
      </c>
      <c r="AV187" s="65" t="str">
        <f aca="false">IF($A187="","",IF(OR(AND($S187&lt;&gt;"",$S187&gt;=WeekStart),AND($U187&lt;&gt;"",$U187&gt;=WeekStart)),MAX($S187,$U187)+ROW()/100000,""))</f>
        <v/>
      </c>
      <c r="AW187" s="65" t="str">
        <f aca="false">IF($AV187="","",IF($T187&lt;&gt;"",$T187,IF($X187="Closed","Closed","Accepted to "&amp;$X187)))</f>
        <v/>
      </c>
      <c r="AX187" s="65" t="str">
        <f aca="false">IF(AND($Y187&lt;&gt;"",$R187&lt;&gt;""),$AF187+ROW()/100000,"")</f>
        <v/>
      </c>
      <c r="AY187" s="65" t="str">
        <f aca="false">IF(AND($Y187&lt;&gt;"",OR($AB187="Overdue",AND($AH187="Critical",$R187&lt;&gt;""))),$AF187+ROW()/100000,"")</f>
        <v/>
      </c>
      <c r="AZ187" s="65" t="str">
        <f aca="false">IF($AH187="Critical",$AF187+ROW()/100000,"")</f>
        <v/>
      </c>
    </row>
    <row r="188" customFormat="false" ht="15" hidden="false" customHeight="false" outlineLevel="0" collapsed="false">
      <c r="A188" s="28"/>
      <c r="B188" s="28"/>
      <c r="C188" s="28"/>
      <c r="D188" s="28"/>
      <c r="E188" s="28"/>
      <c r="F188" s="28"/>
      <c r="G188" s="63"/>
      <c r="H188" s="63"/>
      <c r="I188" s="63"/>
      <c r="J188" s="28"/>
      <c r="K188" s="28"/>
      <c r="L188" s="28"/>
      <c r="M188" s="28"/>
      <c r="N188" s="28"/>
      <c r="O188" s="64"/>
      <c r="P188" s="64"/>
      <c r="Q188" s="64"/>
      <c r="R188" s="28"/>
      <c r="S188" s="63"/>
      <c r="T188" s="64"/>
      <c r="U188" s="63"/>
      <c r="V188" s="64"/>
      <c r="W188" s="28"/>
      <c r="X188" s="65" t="str">
        <f aca="false">IF($A188="","",IF(OR($T188&lt;&gt;"",$U188&lt;&gt;""),"Closed",IFERROR(INDEX(MapStage,MATCH($C188,MapStatus,0)),"Unmapped")))</f>
        <v/>
      </c>
      <c r="Y188" s="65" t="str">
        <f aca="false">IF(OR($X188="",$X188="Closed",$X188="Unmapped"),"",MATCH($X188,StageName,0))</f>
        <v/>
      </c>
      <c r="Z188" s="65" t="str">
        <f aca="false">IF(OR($Y188="",$I188=""),"",$I188-AsOf)</f>
        <v/>
      </c>
      <c r="AA188" s="65" t="str">
        <f aca="false">IF($A188="","",AsOf-$H188)</f>
        <v/>
      </c>
      <c r="AB188" s="65" t="str">
        <f aca="false">IF($A188="","",IF($X188="Closed","Closed",IF($X188="Unmapped","Unmapped",IF($I188="","No target",IF($Z188&lt;0,"Overdue",IF($Z188&lt;=INDEX(StageWindow,$Y188),"At risk","On track"))))))</f>
        <v/>
      </c>
      <c r="AC188" s="65" t="str">
        <f aca="false">IF($Y188="","",IF($AA188&gt;2*INDEX(StageStale,$Y188),"Stale",IF($AA188&gt;INDEX(StageStale,$Y188),"Aging","Fresh")))</f>
        <v/>
      </c>
      <c r="AD188" s="65" t="str">
        <f aca="false">IF($A188="","",IF(OR(ISNUMBER(SEARCH("Reg report",$J188)),ISNUMBER(SEARCH("No human review",$J188)),COUNTIF(TierFuncs,$D188)&gt;0),"High",IF(OR(TRIM($J188)&lt;&gt;"",ISNUMBER(SEARCH("revenue",$K188))),"Medium","Low")))</f>
        <v/>
      </c>
      <c r="AE188" s="65" t="str">
        <f aca="false">IF($A188="","",INDEX(TierDays,MATCH($AD188,TierName,0)))</f>
        <v/>
      </c>
      <c r="AF188" s="65" t="str">
        <f aca="false">IF($A188="","",AsOf-$G188)</f>
        <v/>
      </c>
      <c r="AG188" s="65" t="str">
        <f aca="false">IF($Y188="","",IF($Y188&lt;=5,IF($AF188&gt;$AE188,"Over","Inside"),"Past approval"))</f>
        <v/>
      </c>
      <c r="AH188" s="65" t="str">
        <f aca="false">IF($Y188="","",CHOOSE($Y188,IF(OR(TRIM($F188)="",ISNUMBER(SEARCH("not named",$F188))),"Critical","Good"),IF($O188&lt;&gt;"Y","Critical",IF($Q188&lt;&gt;"Y","Warning","Good")),IF($P188="","Critical",IF($P188="partial","Warning",IF($P188="ready","Good","Critical"))),IF($R188&lt;&gt;"","Critical","Warning"),IF($L188="","Critical",IF($N188="","Warning","Good")),IF($R188&lt;&gt;"","Critical","Warning"),IF($R188&lt;&gt;"","Critical","Warning"),IF($Q188="Y","Good","Critical")))</f>
        <v/>
      </c>
      <c r="AI188" s="65" t="str">
        <f aca="false">IF($Y188="","",CHOOSE($Y188,IF(OR(TRIM($F188)="",ISNUMBER(SEARCH("not named",$F188))),"Name a sponsor accountable for the value",""),IF($O188&lt;&gt;"Y","State the success metric and the stop condition",IF($Q188&lt;&gt;"Y","Set the baseline the benefit will be measured against","")),IF($P188="","Assess data readiness and regulatory impact",IF($P188="partial","Close the known data gaps",IF($P188="ready","","Data is not available; reshape or park"))),IF($R188&lt;&gt;"",IF(OR(ISNUMBER(SEARCH("mrm",$R188)),ISNUMBER(SEARCH("model",$R188)),ISNUMBER(SEARCH("risk",$R188)),ISNUMBER(SEARCH("legal",$R188)),ISNUMBER(SEARCH("complian",$R188))),"Awaiting ","Held at the design gate: ")&amp;$R188,"Map the governance framework for its tier"),IF($L188="","Size the annual benefit",IF($N188="","Score it so it can be ranked against capacity","")),IF($R188&lt;&gt;"","Build held: "&amp;$R188,"In build, not yet through test"),IF($R188&lt;&gt;"","Not ready to scale: "&amp;$R188,"Monitoring and third-party review not yet signed off"),IF($Q188="Y","","Live without a measured baseline to judge it against")))</f>
        <v/>
      </c>
      <c r="AJ188" s="65" t="str">
        <f aca="false">IF($Y188="","",INDEX(StageForum,$Y188))</f>
        <v/>
      </c>
      <c r="AK188" s="65" t="str">
        <f aca="false">IF($Y188="","",IF(OR($X188="Delivery",$X188="Value"),"Committed",IF($N188&lt;&gt;"","Candidate","")))</f>
        <v/>
      </c>
      <c r="AL188" s="65" t="str">
        <f aca="false">IF($AK188&lt;&gt;"Candidate","",COUNTIFS($AK$2:$AK$501,"Candidate",$N$2:$N$501,"&gt;"&amp;$N188)+COUNTIFS($AK$2:$AK$501,"Candidate",$N$2:$N$501,$N188,$A$2:$A$501,"&lt;"&amp;$A188)+1)</f>
        <v/>
      </c>
      <c r="AM188" s="65" t="str">
        <f aca="false">IF($AL188="","",SUMIFS($M$2:$M$501,$AK$2:$AK$501,"Candidate",$AL$2:$AL$501,"&lt;="&amp;$AL188))</f>
        <v/>
      </c>
      <c r="AN188" s="65" t="str">
        <f aca="false">IF($AL188="","",IF($AM188&lt;=CapacityOpen,"Fits","Below line"))</f>
        <v/>
      </c>
      <c r="AO188" s="65" t="str">
        <f aca="false">IF($A188="","",IF($X188="Closed","",IF($X188="Unmapped","Warning",IF(OR($AB188="Overdue",$V188="Y",$AH188="Critical"),"Critical",IF(OR($AB188="At risk",$AC188="Stale",$AG188="Over"),"Warning","")))))</f>
        <v/>
      </c>
      <c r="AP188" s="65" t="str">
        <f aca="false">IF($AO188="","",IF($AO188="Critical",3000,2000)-IF($Z188="",0,$Z188)+ROW()/100000)</f>
        <v/>
      </c>
      <c r="AQ188" s="65" t="str">
        <f aca="false">IF($AO188="","",IF($X188="Unmapped","Status '"&amp;$C188&amp;"' is not in the Config map",IF($V188="Y","Flagged in Jira",IF($AB188="Overdue",-$Z188&amp;" days past its "&amp;$X188&amp;" target",IF($AH188="Critical",$AI188,IF($AB188="At risk","Target in "&amp;$Z188&amp;" days",IF($AC188="Stale","No update in "&amp;$AA188&amp;" days","Past its "&amp;$AE188&amp;"-day tier window")))))))</f>
        <v/>
      </c>
      <c r="AR188" s="65" t="str">
        <f aca="false">IF($AO188="","","draft Jira update for "&amp;$A188)</f>
        <v/>
      </c>
      <c r="AS188" s="65" t="str">
        <f aca="false">IF($A188="","",HYPERLINK(JiraSite&amp;"/browse/"&amp;$A188,"open"))</f>
        <v/>
      </c>
      <c r="AT188" s="65" t="str">
        <f aca="false">IF($Y188="","",$Y188*1000+ROW())</f>
        <v/>
      </c>
      <c r="AU188" s="65" t="str">
        <f aca="false">IF(AND($A188&lt;&gt;"",$G188&gt;=WeekStart),$G188+ROW()/100000,"")</f>
        <v/>
      </c>
      <c r="AV188" s="65" t="str">
        <f aca="false">IF($A188="","",IF(OR(AND($S188&lt;&gt;"",$S188&gt;=WeekStart),AND($U188&lt;&gt;"",$U188&gt;=WeekStart)),MAX($S188,$U188)+ROW()/100000,""))</f>
        <v/>
      </c>
      <c r="AW188" s="65" t="str">
        <f aca="false">IF($AV188="","",IF($T188&lt;&gt;"",$T188,IF($X188="Closed","Closed","Accepted to "&amp;$X188)))</f>
        <v/>
      </c>
      <c r="AX188" s="65" t="str">
        <f aca="false">IF(AND($Y188&lt;&gt;"",$R188&lt;&gt;""),$AF188+ROW()/100000,"")</f>
        <v/>
      </c>
      <c r="AY188" s="65" t="str">
        <f aca="false">IF(AND($Y188&lt;&gt;"",OR($AB188="Overdue",AND($AH188="Critical",$R188&lt;&gt;""))),$AF188+ROW()/100000,"")</f>
        <v/>
      </c>
      <c r="AZ188" s="65" t="str">
        <f aca="false">IF($AH188="Critical",$AF188+ROW()/100000,"")</f>
        <v/>
      </c>
    </row>
    <row r="189" customFormat="false" ht="15" hidden="false" customHeight="false" outlineLevel="0" collapsed="false">
      <c r="A189" s="28"/>
      <c r="B189" s="28"/>
      <c r="C189" s="28"/>
      <c r="D189" s="28"/>
      <c r="E189" s="28"/>
      <c r="F189" s="28"/>
      <c r="G189" s="63"/>
      <c r="H189" s="63"/>
      <c r="I189" s="63"/>
      <c r="J189" s="28"/>
      <c r="K189" s="28"/>
      <c r="L189" s="28"/>
      <c r="M189" s="28"/>
      <c r="N189" s="28"/>
      <c r="O189" s="64"/>
      <c r="P189" s="64"/>
      <c r="Q189" s="64"/>
      <c r="R189" s="28"/>
      <c r="S189" s="63"/>
      <c r="T189" s="64"/>
      <c r="U189" s="63"/>
      <c r="V189" s="64"/>
      <c r="W189" s="28"/>
      <c r="X189" s="65" t="str">
        <f aca="false">IF($A189="","",IF(OR($T189&lt;&gt;"",$U189&lt;&gt;""),"Closed",IFERROR(INDEX(MapStage,MATCH($C189,MapStatus,0)),"Unmapped")))</f>
        <v/>
      </c>
      <c r="Y189" s="65" t="str">
        <f aca="false">IF(OR($X189="",$X189="Closed",$X189="Unmapped"),"",MATCH($X189,StageName,0))</f>
        <v/>
      </c>
      <c r="Z189" s="65" t="str">
        <f aca="false">IF(OR($Y189="",$I189=""),"",$I189-AsOf)</f>
        <v/>
      </c>
      <c r="AA189" s="65" t="str">
        <f aca="false">IF($A189="","",AsOf-$H189)</f>
        <v/>
      </c>
      <c r="AB189" s="65" t="str">
        <f aca="false">IF($A189="","",IF($X189="Closed","Closed",IF($X189="Unmapped","Unmapped",IF($I189="","No target",IF($Z189&lt;0,"Overdue",IF($Z189&lt;=INDEX(StageWindow,$Y189),"At risk","On track"))))))</f>
        <v/>
      </c>
      <c r="AC189" s="65" t="str">
        <f aca="false">IF($Y189="","",IF($AA189&gt;2*INDEX(StageStale,$Y189),"Stale",IF($AA189&gt;INDEX(StageStale,$Y189),"Aging","Fresh")))</f>
        <v/>
      </c>
      <c r="AD189" s="65" t="str">
        <f aca="false">IF($A189="","",IF(OR(ISNUMBER(SEARCH("Reg report",$J189)),ISNUMBER(SEARCH("No human review",$J189)),COUNTIF(TierFuncs,$D189)&gt;0),"High",IF(OR(TRIM($J189)&lt;&gt;"",ISNUMBER(SEARCH("revenue",$K189))),"Medium","Low")))</f>
        <v/>
      </c>
      <c r="AE189" s="65" t="str">
        <f aca="false">IF($A189="","",INDEX(TierDays,MATCH($AD189,TierName,0)))</f>
        <v/>
      </c>
      <c r="AF189" s="65" t="str">
        <f aca="false">IF($A189="","",AsOf-$G189)</f>
        <v/>
      </c>
      <c r="AG189" s="65" t="str">
        <f aca="false">IF($Y189="","",IF($Y189&lt;=5,IF($AF189&gt;$AE189,"Over","Inside"),"Past approval"))</f>
        <v/>
      </c>
      <c r="AH189" s="65" t="str">
        <f aca="false">IF($Y189="","",CHOOSE($Y189,IF(OR(TRIM($F189)="",ISNUMBER(SEARCH("not named",$F189))),"Critical","Good"),IF($O189&lt;&gt;"Y","Critical",IF($Q189&lt;&gt;"Y","Warning","Good")),IF($P189="","Critical",IF($P189="partial","Warning",IF($P189="ready","Good","Critical"))),IF($R189&lt;&gt;"","Critical","Warning"),IF($L189="","Critical",IF($N189="","Warning","Good")),IF($R189&lt;&gt;"","Critical","Warning"),IF($R189&lt;&gt;"","Critical","Warning"),IF($Q189="Y","Good","Critical")))</f>
        <v/>
      </c>
      <c r="AI189" s="65" t="str">
        <f aca="false">IF($Y189="","",CHOOSE($Y189,IF(OR(TRIM($F189)="",ISNUMBER(SEARCH("not named",$F189))),"Name a sponsor accountable for the value",""),IF($O189&lt;&gt;"Y","State the success metric and the stop condition",IF($Q189&lt;&gt;"Y","Set the baseline the benefit will be measured against","")),IF($P189="","Assess data readiness and regulatory impact",IF($P189="partial","Close the known data gaps",IF($P189="ready","","Data is not available; reshape or park"))),IF($R189&lt;&gt;"",IF(OR(ISNUMBER(SEARCH("mrm",$R189)),ISNUMBER(SEARCH("model",$R189)),ISNUMBER(SEARCH("risk",$R189)),ISNUMBER(SEARCH("legal",$R189)),ISNUMBER(SEARCH("complian",$R189))),"Awaiting ","Held at the design gate: ")&amp;$R189,"Map the governance framework for its tier"),IF($L189="","Size the annual benefit",IF($N189="","Score it so it can be ranked against capacity","")),IF($R189&lt;&gt;"","Build held: "&amp;$R189,"In build, not yet through test"),IF($R189&lt;&gt;"","Not ready to scale: "&amp;$R189,"Monitoring and third-party review not yet signed off"),IF($Q189="Y","","Live without a measured baseline to judge it against")))</f>
        <v/>
      </c>
      <c r="AJ189" s="65" t="str">
        <f aca="false">IF($Y189="","",INDEX(StageForum,$Y189))</f>
        <v/>
      </c>
      <c r="AK189" s="65" t="str">
        <f aca="false">IF($Y189="","",IF(OR($X189="Delivery",$X189="Value"),"Committed",IF($N189&lt;&gt;"","Candidate","")))</f>
        <v/>
      </c>
      <c r="AL189" s="65" t="str">
        <f aca="false">IF($AK189&lt;&gt;"Candidate","",COUNTIFS($AK$2:$AK$501,"Candidate",$N$2:$N$501,"&gt;"&amp;$N189)+COUNTIFS($AK$2:$AK$501,"Candidate",$N$2:$N$501,$N189,$A$2:$A$501,"&lt;"&amp;$A189)+1)</f>
        <v/>
      </c>
      <c r="AM189" s="65" t="str">
        <f aca="false">IF($AL189="","",SUMIFS($M$2:$M$501,$AK$2:$AK$501,"Candidate",$AL$2:$AL$501,"&lt;="&amp;$AL189))</f>
        <v/>
      </c>
      <c r="AN189" s="65" t="str">
        <f aca="false">IF($AL189="","",IF($AM189&lt;=CapacityOpen,"Fits","Below line"))</f>
        <v/>
      </c>
      <c r="AO189" s="65" t="str">
        <f aca="false">IF($A189="","",IF($X189="Closed","",IF($X189="Unmapped","Warning",IF(OR($AB189="Overdue",$V189="Y",$AH189="Critical"),"Critical",IF(OR($AB189="At risk",$AC189="Stale",$AG189="Over"),"Warning","")))))</f>
        <v/>
      </c>
      <c r="AP189" s="65" t="str">
        <f aca="false">IF($AO189="","",IF($AO189="Critical",3000,2000)-IF($Z189="",0,$Z189)+ROW()/100000)</f>
        <v/>
      </c>
      <c r="AQ189" s="65" t="str">
        <f aca="false">IF($AO189="","",IF($X189="Unmapped","Status '"&amp;$C189&amp;"' is not in the Config map",IF($V189="Y","Flagged in Jira",IF($AB189="Overdue",-$Z189&amp;" days past its "&amp;$X189&amp;" target",IF($AH189="Critical",$AI189,IF($AB189="At risk","Target in "&amp;$Z189&amp;" days",IF($AC189="Stale","No update in "&amp;$AA189&amp;" days","Past its "&amp;$AE189&amp;"-day tier window")))))))</f>
        <v/>
      </c>
      <c r="AR189" s="65" t="str">
        <f aca="false">IF($AO189="","","draft Jira update for "&amp;$A189)</f>
        <v/>
      </c>
      <c r="AS189" s="65" t="str">
        <f aca="false">IF($A189="","",HYPERLINK(JiraSite&amp;"/browse/"&amp;$A189,"open"))</f>
        <v/>
      </c>
      <c r="AT189" s="65" t="str">
        <f aca="false">IF($Y189="","",$Y189*1000+ROW())</f>
        <v/>
      </c>
      <c r="AU189" s="65" t="str">
        <f aca="false">IF(AND($A189&lt;&gt;"",$G189&gt;=WeekStart),$G189+ROW()/100000,"")</f>
        <v/>
      </c>
      <c r="AV189" s="65" t="str">
        <f aca="false">IF($A189="","",IF(OR(AND($S189&lt;&gt;"",$S189&gt;=WeekStart),AND($U189&lt;&gt;"",$U189&gt;=WeekStart)),MAX($S189,$U189)+ROW()/100000,""))</f>
        <v/>
      </c>
      <c r="AW189" s="65" t="str">
        <f aca="false">IF($AV189="","",IF($T189&lt;&gt;"",$T189,IF($X189="Closed","Closed","Accepted to "&amp;$X189)))</f>
        <v/>
      </c>
      <c r="AX189" s="65" t="str">
        <f aca="false">IF(AND($Y189&lt;&gt;"",$R189&lt;&gt;""),$AF189+ROW()/100000,"")</f>
        <v/>
      </c>
      <c r="AY189" s="65" t="str">
        <f aca="false">IF(AND($Y189&lt;&gt;"",OR($AB189="Overdue",AND($AH189="Critical",$R189&lt;&gt;""))),$AF189+ROW()/100000,"")</f>
        <v/>
      </c>
      <c r="AZ189" s="65" t="str">
        <f aca="false">IF($AH189="Critical",$AF189+ROW()/100000,"")</f>
        <v/>
      </c>
    </row>
    <row r="190" customFormat="false" ht="15" hidden="false" customHeight="false" outlineLevel="0" collapsed="false">
      <c r="A190" s="28"/>
      <c r="B190" s="28"/>
      <c r="C190" s="28"/>
      <c r="D190" s="28"/>
      <c r="E190" s="28"/>
      <c r="F190" s="28"/>
      <c r="G190" s="63"/>
      <c r="H190" s="63"/>
      <c r="I190" s="63"/>
      <c r="J190" s="28"/>
      <c r="K190" s="28"/>
      <c r="L190" s="28"/>
      <c r="M190" s="28"/>
      <c r="N190" s="28"/>
      <c r="O190" s="64"/>
      <c r="P190" s="64"/>
      <c r="Q190" s="64"/>
      <c r="R190" s="28"/>
      <c r="S190" s="63"/>
      <c r="T190" s="64"/>
      <c r="U190" s="63"/>
      <c r="V190" s="64"/>
      <c r="W190" s="28"/>
      <c r="X190" s="65" t="str">
        <f aca="false">IF($A190="","",IF(OR($T190&lt;&gt;"",$U190&lt;&gt;""),"Closed",IFERROR(INDEX(MapStage,MATCH($C190,MapStatus,0)),"Unmapped")))</f>
        <v/>
      </c>
      <c r="Y190" s="65" t="str">
        <f aca="false">IF(OR($X190="",$X190="Closed",$X190="Unmapped"),"",MATCH($X190,StageName,0))</f>
        <v/>
      </c>
      <c r="Z190" s="65" t="str">
        <f aca="false">IF(OR($Y190="",$I190=""),"",$I190-AsOf)</f>
        <v/>
      </c>
      <c r="AA190" s="65" t="str">
        <f aca="false">IF($A190="","",AsOf-$H190)</f>
        <v/>
      </c>
      <c r="AB190" s="65" t="str">
        <f aca="false">IF($A190="","",IF($X190="Closed","Closed",IF($X190="Unmapped","Unmapped",IF($I190="","No target",IF($Z190&lt;0,"Overdue",IF($Z190&lt;=INDEX(StageWindow,$Y190),"At risk","On track"))))))</f>
        <v/>
      </c>
      <c r="AC190" s="65" t="str">
        <f aca="false">IF($Y190="","",IF($AA190&gt;2*INDEX(StageStale,$Y190),"Stale",IF($AA190&gt;INDEX(StageStale,$Y190),"Aging","Fresh")))</f>
        <v/>
      </c>
      <c r="AD190" s="65" t="str">
        <f aca="false">IF($A190="","",IF(OR(ISNUMBER(SEARCH("Reg report",$J190)),ISNUMBER(SEARCH("No human review",$J190)),COUNTIF(TierFuncs,$D190)&gt;0),"High",IF(OR(TRIM($J190)&lt;&gt;"",ISNUMBER(SEARCH("revenue",$K190))),"Medium","Low")))</f>
        <v/>
      </c>
      <c r="AE190" s="65" t="str">
        <f aca="false">IF($A190="","",INDEX(TierDays,MATCH($AD190,TierName,0)))</f>
        <v/>
      </c>
      <c r="AF190" s="65" t="str">
        <f aca="false">IF($A190="","",AsOf-$G190)</f>
        <v/>
      </c>
      <c r="AG190" s="65" t="str">
        <f aca="false">IF($Y190="","",IF($Y190&lt;=5,IF($AF190&gt;$AE190,"Over","Inside"),"Past approval"))</f>
        <v/>
      </c>
      <c r="AH190" s="65" t="str">
        <f aca="false">IF($Y190="","",CHOOSE($Y190,IF(OR(TRIM($F190)="",ISNUMBER(SEARCH("not named",$F190))),"Critical","Good"),IF($O190&lt;&gt;"Y","Critical",IF($Q190&lt;&gt;"Y","Warning","Good")),IF($P190="","Critical",IF($P190="partial","Warning",IF($P190="ready","Good","Critical"))),IF($R190&lt;&gt;"","Critical","Warning"),IF($L190="","Critical",IF($N190="","Warning","Good")),IF($R190&lt;&gt;"","Critical","Warning"),IF($R190&lt;&gt;"","Critical","Warning"),IF($Q190="Y","Good","Critical")))</f>
        <v/>
      </c>
      <c r="AI190" s="65" t="str">
        <f aca="false">IF($Y190="","",CHOOSE($Y190,IF(OR(TRIM($F190)="",ISNUMBER(SEARCH("not named",$F190))),"Name a sponsor accountable for the value",""),IF($O190&lt;&gt;"Y","State the success metric and the stop condition",IF($Q190&lt;&gt;"Y","Set the baseline the benefit will be measured against","")),IF($P190="","Assess data readiness and regulatory impact",IF($P190="partial","Close the known data gaps",IF($P190="ready","","Data is not available; reshape or park"))),IF($R190&lt;&gt;"",IF(OR(ISNUMBER(SEARCH("mrm",$R190)),ISNUMBER(SEARCH("model",$R190)),ISNUMBER(SEARCH("risk",$R190)),ISNUMBER(SEARCH("legal",$R190)),ISNUMBER(SEARCH("complian",$R190))),"Awaiting ","Held at the design gate: ")&amp;$R190,"Map the governance framework for its tier"),IF($L190="","Size the annual benefit",IF($N190="","Score it so it can be ranked against capacity","")),IF($R190&lt;&gt;"","Build held: "&amp;$R190,"In build, not yet through test"),IF($R190&lt;&gt;"","Not ready to scale: "&amp;$R190,"Monitoring and third-party review not yet signed off"),IF($Q190="Y","","Live without a measured baseline to judge it against")))</f>
        <v/>
      </c>
      <c r="AJ190" s="65" t="str">
        <f aca="false">IF($Y190="","",INDEX(StageForum,$Y190))</f>
        <v/>
      </c>
      <c r="AK190" s="65" t="str">
        <f aca="false">IF($Y190="","",IF(OR($X190="Delivery",$X190="Value"),"Committed",IF($N190&lt;&gt;"","Candidate","")))</f>
        <v/>
      </c>
      <c r="AL190" s="65" t="str">
        <f aca="false">IF($AK190&lt;&gt;"Candidate","",COUNTIFS($AK$2:$AK$501,"Candidate",$N$2:$N$501,"&gt;"&amp;$N190)+COUNTIFS($AK$2:$AK$501,"Candidate",$N$2:$N$501,$N190,$A$2:$A$501,"&lt;"&amp;$A190)+1)</f>
        <v/>
      </c>
      <c r="AM190" s="65" t="str">
        <f aca="false">IF($AL190="","",SUMIFS($M$2:$M$501,$AK$2:$AK$501,"Candidate",$AL$2:$AL$501,"&lt;="&amp;$AL190))</f>
        <v/>
      </c>
      <c r="AN190" s="65" t="str">
        <f aca="false">IF($AL190="","",IF($AM190&lt;=CapacityOpen,"Fits","Below line"))</f>
        <v/>
      </c>
      <c r="AO190" s="65" t="str">
        <f aca="false">IF($A190="","",IF($X190="Closed","",IF($X190="Unmapped","Warning",IF(OR($AB190="Overdue",$V190="Y",$AH190="Critical"),"Critical",IF(OR($AB190="At risk",$AC190="Stale",$AG190="Over"),"Warning","")))))</f>
        <v/>
      </c>
      <c r="AP190" s="65" t="str">
        <f aca="false">IF($AO190="","",IF($AO190="Critical",3000,2000)-IF($Z190="",0,$Z190)+ROW()/100000)</f>
        <v/>
      </c>
      <c r="AQ190" s="65" t="str">
        <f aca="false">IF($AO190="","",IF($X190="Unmapped","Status '"&amp;$C190&amp;"' is not in the Config map",IF($V190="Y","Flagged in Jira",IF($AB190="Overdue",-$Z190&amp;" days past its "&amp;$X190&amp;" target",IF($AH190="Critical",$AI190,IF($AB190="At risk","Target in "&amp;$Z190&amp;" days",IF($AC190="Stale","No update in "&amp;$AA190&amp;" days","Past its "&amp;$AE190&amp;"-day tier window")))))))</f>
        <v/>
      </c>
      <c r="AR190" s="65" t="str">
        <f aca="false">IF($AO190="","","draft Jira update for "&amp;$A190)</f>
        <v/>
      </c>
      <c r="AS190" s="65" t="str">
        <f aca="false">IF($A190="","",HYPERLINK(JiraSite&amp;"/browse/"&amp;$A190,"open"))</f>
        <v/>
      </c>
      <c r="AT190" s="65" t="str">
        <f aca="false">IF($Y190="","",$Y190*1000+ROW())</f>
        <v/>
      </c>
      <c r="AU190" s="65" t="str">
        <f aca="false">IF(AND($A190&lt;&gt;"",$G190&gt;=WeekStart),$G190+ROW()/100000,"")</f>
        <v/>
      </c>
      <c r="AV190" s="65" t="str">
        <f aca="false">IF($A190="","",IF(OR(AND($S190&lt;&gt;"",$S190&gt;=WeekStart),AND($U190&lt;&gt;"",$U190&gt;=WeekStart)),MAX($S190,$U190)+ROW()/100000,""))</f>
        <v/>
      </c>
      <c r="AW190" s="65" t="str">
        <f aca="false">IF($AV190="","",IF($T190&lt;&gt;"",$T190,IF($X190="Closed","Closed","Accepted to "&amp;$X190)))</f>
        <v/>
      </c>
      <c r="AX190" s="65" t="str">
        <f aca="false">IF(AND($Y190&lt;&gt;"",$R190&lt;&gt;""),$AF190+ROW()/100000,"")</f>
        <v/>
      </c>
      <c r="AY190" s="65" t="str">
        <f aca="false">IF(AND($Y190&lt;&gt;"",OR($AB190="Overdue",AND($AH190="Critical",$R190&lt;&gt;""))),$AF190+ROW()/100000,"")</f>
        <v/>
      </c>
      <c r="AZ190" s="65" t="str">
        <f aca="false">IF($AH190="Critical",$AF190+ROW()/100000,"")</f>
        <v/>
      </c>
    </row>
    <row r="191" customFormat="false" ht="15" hidden="false" customHeight="false" outlineLevel="0" collapsed="false">
      <c r="A191" s="28"/>
      <c r="B191" s="28"/>
      <c r="C191" s="28"/>
      <c r="D191" s="28"/>
      <c r="E191" s="28"/>
      <c r="F191" s="28"/>
      <c r="G191" s="63"/>
      <c r="H191" s="63"/>
      <c r="I191" s="63"/>
      <c r="J191" s="28"/>
      <c r="K191" s="28"/>
      <c r="L191" s="28"/>
      <c r="M191" s="28"/>
      <c r="N191" s="28"/>
      <c r="O191" s="64"/>
      <c r="P191" s="64"/>
      <c r="Q191" s="64"/>
      <c r="R191" s="28"/>
      <c r="S191" s="63"/>
      <c r="T191" s="64"/>
      <c r="U191" s="63"/>
      <c r="V191" s="64"/>
      <c r="W191" s="28"/>
      <c r="X191" s="65" t="str">
        <f aca="false">IF($A191="","",IF(OR($T191&lt;&gt;"",$U191&lt;&gt;""),"Closed",IFERROR(INDEX(MapStage,MATCH($C191,MapStatus,0)),"Unmapped")))</f>
        <v/>
      </c>
      <c r="Y191" s="65" t="str">
        <f aca="false">IF(OR($X191="",$X191="Closed",$X191="Unmapped"),"",MATCH($X191,StageName,0))</f>
        <v/>
      </c>
      <c r="Z191" s="65" t="str">
        <f aca="false">IF(OR($Y191="",$I191=""),"",$I191-AsOf)</f>
        <v/>
      </c>
      <c r="AA191" s="65" t="str">
        <f aca="false">IF($A191="","",AsOf-$H191)</f>
        <v/>
      </c>
      <c r="AB191" s="65" t="str">
        <f aca="false">IF($A191="","",IF($X191="Closed","Closed",IF($X191="Unmapped","Unmapped",IF($I191="","No target",IF($Z191&lt;0,"Overdue",IF($Z191&lt;=INDEX(StageWindow,$Y191),"At risk","On track"))))))</f>
        <v/>
      </c>
      <c r="AC191" s="65" t="str">
        <f aca="false">IF($Y191="","",IF($AA191&gt;2*INDEX(StageStale,$Y191),"Stale",IF($AA191&gt;INDEX(StageStale,$Y191),"Aging","Fresh")))</f>
        <v/>
      </c>
      <c r="AD191" s="65" t="str">
        <f aca="false">IF($A191="","",IF(OR(ISNUMBER(SEARCH("Reg report",$J191)),ISNUMBER(SEARCH("No human review",$J191)),COUNTIF(TierFuncs,$D191)&gt;0),"High",IF(OR(TRIM($J191)&lt;&gt;"",ISNUMBER(SEARCH("revenue",$K191))),"Medium","Low")))</f>
        <v/>
      </c>
      <c r="AE191" s="65" t="str">
        <f aca="false">IF($A191="","",INDEX(TierDays,MATCH($AD191,TierName,0)))</f>
        <v/>
      </c>
      <c r="AF191" s="65" t="str">
        <f aca="false">IF($A191="","",AsOf-$G191)</f>
        <v/>
      </c>
      <c r="AG191" s="65" t="str">
        <f aca="false">IF($Y191="","",IF($Y191&lt;=5,IF($AF191&gt;$AE191,"Over","Inside"),"Past approval"))</f>
        <v/>
      </c>
      <c r="AH191" s="65" t="str">
        <f aca="false">IF($Y191="","",CHOOSE($Y191,IF(OR(TRIM($F191)="",ISNUMBER(SEARCH("not named",$F191))),"Critical","Good"),IF($O191&lt;&gt;"Y","Critical",IF($Q191&lt;&gt;"Y","Warning","Good")),IF($P191="","Critical",IF($P191="partial","Warning",IF($P191="ready","Good","Critical"))),IF($R191&lt;&gt;"","Critical","Warning"),IF($L191="","Critical",IF($N191="","Warning","Good")),IF($R191&lt;&gt;"","Critical","Warning"),IF($R191&lt;&gt;"","Critical","Warning"),IF($Q191="Y","Good","Critical")))</f>
        <v/>
      </c>
      <c r="AI191" s="65" t="str">
        <f aca="false">IF($Y191="","",CHOOSE($Y191,IF(OR(TRIM($F191)="",ISNUMBER(SEARCH("not named",$F191))),"Name a sponsor accountable for the value",""),IF($O191&lt;&gt;"Y","State the success metric and the stop condition",IF($Q191&lt;&gt;"Y","Set the baseline the benefit will be measured against","")),IF($P191="","Assess data readiness and regulatory impact",IF($P191="partial","Close the known data gaps",IF($P191="ready","","Data is not available; reshape or park"))),IF($R191&lt;&gt;"",IF(OR(ISNUMBER(SEARCH("mrm",$R191)),ISNUMBER(SEARCH("model",$R191)),ISNUMBER(SEARCH("risk",$R191)),ISNUMBER(SEARCH("legal",$R191)),ISNUMBER(SEARCH("complian",$R191))),"Awaiting ","Held at the design gate: ")&amp;$R191,"Map the governance framework for its tier"),IF($L191="","Size the annual benefit",IF($N191="","Score it so it can be ranked against capacity","")),IF($R191&lt;&gt;"","Build held: "&amp;$R191,"In build, not yet through test"),IF($R191&lt;&gt;"","Not ready to scale: "&amp;$R191,"Monitoring and third-party review not yet signed off"),IF($Q191="Y","","Live without a measured baseline to judge it against")))</f>
        <v/>
      </c>
      <c r="AJ191" s="65" t="str">
        <f aca="false">IF($Y191="","",INDEX(StageForum,$Y191))</f>
        <v/>
      </c>
      <c r="AK191" s="65" t="str">
        <f aca="false">IF($Y191="","",IF(OR($X191="Delivery",$X191="Value"),"Committed",IF($N191&lt;&gt;"","Candidate","")))</f>
        <v/>
      </c>
      <c r="AL191" s="65" t="str">
        <f aca="false">IF($AK191&lt;&gt;"Candidate","",COUNTIFS($AK$2:$AK$501,"Candidate",$N$2:$N$501,"&gt;"&amp;$N191)+COUNTIFS($AK$2:$AK$501,"Candidate",$N$2:$N$501,$N191,$A$2:$A$501,"&lt;"&amp;$A191)+1)</f>
        <v/>
      </c>
      <c r="AM191" s="65" t="str">
        <f aca="false">IF($AL191="","",SUMIFS($M$2:$M$501,$AK$2:$AK$501,"Candidate",$AL$2:$AL$501,"&lt;="&amp;$AL191))</f>
        <v/>
      </c>
      <c r="AN191" s="65" t="str">
        <f aca="false">IF($AL191="","",IF($AM191&lt;=CapacityOpen,"Fits","Below line"))</f>
        <v/>
      </c>
      <c r="AO191" s="65" t="str">
        <f aca="false">IF($A191="","",IF($X191="Closed","",IF($X191="Unmapped","Warning",IF(OR($AB191="Overdue",$V191="Y",$AH191="Critical"),"Critical",IF(OR($AB191="At risk",$AC191="Stale",$AG191="Over"),"Warning","")))))</f>
        <v/>
      </c>
      <c r="AP191" s="65" t="str">
        <f aca="false">IF($AO191="","",IF($AO191="Critical",3000,2000)-IF($Z191="",0,$Z191)+ROW()/100000)</f>
        <v/>
      </c>
      <c r="AQ191" s="65" t="str">
        <f aca="false">IF($AO191="","",IF($X191="Unmapped","Status '"&amp;$C191&amp;"' is not in the Config map",IF($V191="Y","Flagged in Jira",IF($AB191="Overdue",-$Z191&amp;" days past its "&amp;$X191&amp;" target",IF($AH191="Critical",$AI191,IF($AB191="At risk","Target in "&amp;$Z191&amp;" days",IF($AC191="Stale","No update in "&amp;$AA191&amp;" days","Past its "&amp;$AE191&amp;"-day tier window")))))))</f>
        <v/>
      </c>
      <c r="AR191" s="65" t="str">
        <f aca="false">IF($AO191="","","draft Jira update for "&amp;$A191)</f>
        <v/>
      </c>
      <c r="AS191" s="65" t="str">
        <f aca="false">IF($A191="","",HYPERLINK(JiraSite&amp;"/browse/"&amp;$A191,"open"))</f>
        <v/>
      </c>
      <c r="AT191" s="65" t="str">
        <f aca="false">IF($Y191="","",$Y191*1000+ROW())</f>
        <v/>
      </c>
      <c r="AU191" s="65" t="str">
        <f aca="false">IF(AND($A191&lt;&gt;"",$G191&gt;=WeekStart),$G191+ROW()/100000,"")</f>
        <v/>
      </c>
      <c r="AV191" s="65" t="str">
        <f aca="false">IF($A191="","",IF(OR(AND($S191&lt;&gt;"",$S191&gt;=WeekStart),AND($U191&lt;&gt;"",$U191&gt;=WeekStart)),MAX($S191,$U191)+ROW()/100000,""))</f>
        <v/>
      </c>
      <c r="AW191" s="65" t="str">
        <f aca="false">IF($AV191="","",IF($T191&lt;&gt;"",$T191,IF($X191="Closed","Closed","Accepted to "&amp;$X191)))</f>
        <v/>
      </c>
      <c r="AX191" s="65" t="str">
        <f aca="false">IF(AND($Y191&lt;&gt;"",$R191&lt;&gt;""),$AF191+ROW()/100000,"")</f>
        <v/>
      </c>
      <c r="AY191" s="65" t="str">
        <f aca="false">IF(AND($Y191&lt;&gt;"",OR($AB191="Overdue",AND($AH191="Critical",$R191&lt;&gt;""))),$AF191+ROW()/100000,"")</f>
        <v/>
      </c>
      <c r="AZ191" s="65" t="str">
        <f aca="false">IF($AH191="Critical",$AF191+ROW()/100000,"")</f>
        <v/>
      </c>
    </row>
    <row r="192" customFormat="false" ht="15" hidden="false" customHeight="false" outlineLevel="0" collapsed="false">
      <c r="A192" s="28"/>
      <c r="B192" s="28"/>
      <c r="C192" s="28"/>
      <c r="D192" s="28"/>
      <c r="E192" s="28"/>
      <c r="F192" s="28"/>
      <c r="G192" s="63"/>
      <c r="H192" s="63"/>
      <c r="I192" s="63"/>
      <c r="J192" s="28"/>
      <c r="K192" s="28"/>
      <c r="L192" s="28"/>
      <c r="M192" s="28"/>
      <c r="N192" s="28"/>
      <c r="O192" s="64"/>
      <c r="P192" s="64"/>
      <c r="Q192" s="64"/>
      <c r="R192" s="28"/>
      <c r="S192" s="63"/>
      <c r="T192" s="64"/>
      <c r="U192" s="63"/>
      <c r="V192" s="64"/>
      <c r="W192" s="28"/>
      <c r="X192" s="65" t="str">
        <f aca="false">IF($A192="","",IF(OR($T192&lt;&gt;"",$U192&lt;&gt;""),"Closed",IFERROR(INDEX(MapStage,MATCH($C192,MapStatus,0)),"Unmapped")))</f>
        <v/>
      </c>
      <c r="Y192" s="65" t="str">
        <f aca="false">IF(OR($X192="",$X192="Closed",$X192="Unmapped"),"",MATCH($X192,StageName,0))</f>
        <v/>
      </c>
      <c r="Z192" s="65" t="str">
        <f aca="false">IF(OR($Y192="",$I192=""),"",$I192-AsOf)</f>
        <v/>
      </c>
      <c r="AA192" s="65" t="str">
        <f aca="false">IF($A192="","",AsOf-$H192)</f>
        <v/>
      </c>
      <c r="AB192" s="65" t="str">
        <f aca="false">IF($A192="","",IF($X192="Closed","Closed",IF($X192="Unmapped","Unmapped",IF($I192="","No target",IF($Z192&lt;0,"Overdue",IF($Z192&lt;=INDEX(StageWindow,$Y192),"At risk","On track"))))))</f>
        <v/>
      </c>
      <c r="AC192" s="65" t="str">
        <f aca="false">IF($Y192="","",IF($AA192&gt;2*INDEX(StageStale,$Y192),"Stale",IF($AA192&gt;INDEX(StageStale,$Y192),"Aging","Fresh")))</f>
        <v/>
      </c>
      <c r="AD192" s="65" t="str">
        <f aca="false">IF($A192="","",IF(OR(ISNUMBER(SEARCH("Reg report",$J192)),ISNUMBER(SEARCH("No human review",$J192)),COUNTIF(TierFuncs,$D192)&gt;0),"High",IF(OR(TRIM($J192)&lt;&gt;"",ISNUMBER(SEARCH("revenue",$K192))),"Medium","Low")))</f>
        <v/>
      </c>
      <c r="AE192" s="65" t="str">
        <f aca="false">IF($A192="","",INDEX(TierDays,MATCH($AD192,TierName,0)))</f>
        <v/>
      </c>
      <c r="AF192" s="65" t="str">
        <f aca="false">IF($A192="","",AsOf-$G192)</f>
        <v/>
      </c>
      <c r="AG192" s="65" t="str">
        <f aca="false">IF($Y192="","",IF($Y192&lt;=5,IF($AF192&gt;$AE192,"Over","Inside"),"Past approval"))</f>
        <v/>
      </c>
      <c r="AH192" s="65" t="str">
        <f aca="false">IF($Y192="","",CHOOSE($Y192,IF(OR(TRIM($F192)="",ISNUMBER(SEARCH("not named",$F192))),"Critical","Good"),IF($O192&lt;&gt;"Y","Critical",IF($Q192&lt;&gt;"Y","Warning","Good")),IF($P192="","Critical",IF($P192="partial","Warning",IF($P192="ready","Good","Critical"))),IF($R192&lt;&gt;"","Critical","Warning"),IF($L192="","Critical",IF($N192="","Warning","Good")),IF($R192&lt;&gt;"","Critical","Warning"),IF($R192&lt;&gt;"","Critical","Warning"),IF($Q192="Y","Good","Critical")))</f>
        <v/>
      </c>
      <c r="AI192" s="65" t="str">
        <f aca="false">IF($Y192="","",CHOOSE($Y192,IF(OR(TRIM($F192)="",ISNUMBER(SEARCH("not named",$F192))),"Name a sponsor accountable for the value",""),IF($O192&lt;&gt;"Y","State the success metric and the stop condition",IF($Q192&lt;&gt;"Y","Set the baseline the benefit will be measured against","")),IF($P192="","Assess data readiness and regulatory impact",IF($P192="partial","Close the known data gaps",IF($P192="ready","","Data is not available; reshape or park"))),IF($R192&lt;&gt;"",IF(OR(ISNUMBER(SEARCH("mrm",$R192)),ISNUMBER(SEARCH("model",$R192)),ISNUMBER(SEARCH("risk",$R192)),ISNUMBER(SEARCH("legal",$R192)),ISNUMBER(SEARCH("complian",$R192))),"Awaiting ","Held at the design gate: ")&amp;$R192,"Map the governance framework for its tier"),IF($L192="","Size the annual benefit",IF($N192="","Score it so it can be ranked against capacity","")),IF($R192&lt;&gt;"","Build held: "&amp;$R192,"In build, not yet through test"),IF($R192&lt;&gt;"","Not ready to scale: "&amp;$R192,"Monitoring and third-party review not yet signed off"),IF($Q192="Y","","Live without a measured baseline to judge it against")))</f>
        <v/>
      </c>
      <c r="AJ192" s="65" t="str">
        <f aca="false">IF($Y192="","",INDEX(StageForum,$Y192))</f>
        <v/>
      </c>
      <c r="AK192" s="65" t="str">
        <f aca="false">IF($Y192="","",IF(OR($X192="Delivery",$X192="Value"),"Committed",IF($N192&lt;&gt;"","Candidate","")))</f>
        <v/>
      </c>
      <c r="AL192" s="65" t="str">
        <f aca="false">IF($AK192&lt;&gt;"Candidate","",COUNTIFS($AK$2:$AK$501,"Candidate",$N$2:$N$501,"&gt;"&amp;$N192)+COUNTIFS($AK$2:$AK$501,"Candidate",$N$2:$N$501,$N192,$A$2:$A$501,"&lt;"&amp;$A192)+1)</f>
        <v/>
      </c>
      <c r="AM192" s="65" t="str">
        <f aca="false">IF($AL192="","",SUMIFS($M$2:$M$501,$AK$2:$AK$501,"Candidate",$AL$2:$AL$501,"&lt;="&amp;$AL192))</f>
        <v/>
      </c>
      <c r="AN192" s="65" t="str">
        <f aca="false">IF($AL192="","",IF($AM192&lt;=CapacityOpen,"Fits","Below line"))</f>
        <v/>
      </c>
      <c r="AO192" s="65" t="str">
        <f aca="false">IF($A192="","",IF($X192="Closed","",IF($X192="Unmapped","Warning",IF(OR($AB192="Overdue",$V192="Y",$AH192="Critical"),"Critical",IF(OR($AB192="At risk",$AC192="Stale",$AG192="Over"),"Warning","")))))</f>
        <v/>
      </c>
      <c r="AP192" s="65" t="str">
        <f aca="false">IF($AO192="","",IF($AO192="Critical",3000,2000)-IF($Z192="",0,$Z192)+ROW()/100000)</f>
        <v/>
      </c>
      <c r="AQ192" s="65" t="str">
        <f aca="false">IF($AO192="","",IF($X192="Unmapped","Status '"&amp;$C192&amp;"' is not in the Config map",IF($V192="Y","Flagged in Jira",IF($AB192="Overdue",-$Z192&amp;" days past its "&amp;$X192&amp;" target",IF($AH192="Critical",$AI192,IF($AB192="At risk","Target in "&amp;$Z192&amp;" days",IF($AC192="Stale","No update in "&amp;$AA192&amp;" days","Past its "&amp;$AE192&amp;"-day tier window")))))))</f>
        <v/>
      </c>
      <c r="AR192" s="65" t="str">
        <f aca="false">IF($AO192="","","draft Jira update for "&amp;$A192)</f>
        <v/>
      </c>
      <c r="AS192" s="65" t="str">
        <f aca="false">IF($A192="","",HYPERLINK(JiraSite&amp;"/browse/"&amp;$A192,"open"))</f>
        <v/>
      </c>
      <c r="AT192" s="65" t="str">
        <f aca="false">IF($Y192="","",$Y192*1000+ROW())</f>
        <v/>
      </c>
      <c r="AU192" s="65" t="str">
        <f aca="false">IF(AND($A192&lt;&gt;"",$G192&gt;=WeekStart),$G192+ROW()/100000,"")</f>
        <v/>
      </c>
      <c r="AV192" s="65" t="str">
        <f aca="false">IF($A192="","",IF(OR(AND($S192&lt;&gt;"",$S192&gt;=WeekStart),AND($U192&lt;&gt;"",$U192&gt;=WeekStart)),MAX($S192,$U192)+ROW()/100000,""))</f>
        <v/>
      </c>
      <c r="AW192" s="65" t="str">
        <f aca="false">IF($AV192="","",IF($T192&lt;&gt;"",$T192,IF($X192="Closed","Closed","Accepted to "&amp;$X192)))</f>
        <v/>
      </c>
      <c r="AX192" s="65" t="str">
        <f aca="false">IF(AND($Y192&lt;&gt;"",$R192&lt;&gt;""),$AF192+ROW()/100000,"")</f>
        <v/>
      </c>
      <c r="AY192" s="65" t="str">
        <f aca="false">IF(AND($Y192&lt;&gt;"",OR($AB192="Overdue",AND($AH192="Critical",$R192&lt;&gt;""))),$AF192+ROW()/100000,"")</f>
        <v/>
      </c>
      <c r="AZ192" s="65" t="str">
        <f aca="false">IF($AH192="Critical",$AF192+ROW()/100000,"")</f>
        <v/>
      </c>
    </row>
    <row r="193" customFormat="false" ht="15" hidden="false" customHeight="false" outlineLevel="0" collapsed="false">
      <c r="A193" s="28"/>
      <c r="B193" s="28"/>
      <c r="C193" s="28"/>
      <c r="D193" s="28"/>
      <c r="E193" s="28"/>
      <c r="F193" s="28"/>
      <c r="G193" s="63"/>
      <c r="H193" s="63"/>
      <c r="I193" s="63"/>
      <c r="J193" s="28"/>
      <c r="K193" s="28"/>
      <c r="L193" s="28"/>
      <c r="M193" s="28"/>
      <c r="N193" s="28"/>
      <c r="O193" s="64"/>
      <c r="P193" s="64"/>
      <c r="Q193" s="64"/>
      <c r="R193" s="28"/>
      <c r="S193" s="63"/>
      <c r="T193" s="64"/>
      <c r="U193" s="63"/>
      <c r="V193" s="64"/>
      <c r="W193" s="28"/>
      <c r="X193" s="65" t="str">
        <f aca="false">IF($A193="","",IF(OR($T193&lt;&gt;"",$U193&lt;&gt;""),"Closed",IFERROR(INDEX(MapStage,MATCH($C193,MapStatus,0)),"Unmapped")))</f>
        <v/>
      </c>
      <c r="Y193" s="65" t="str">
        <f aca="false">IF(OR($X193="",$X193="Closed",$X193="Unmapped"),"",MATCH($X193,StageName,0))</f>
        <v/>
      </c>
      <c r="Z193" s="65" t="str">
        <f aca="false">IF(OR($Y193="",$I193=""),"",$I193-AsOf)</f>
        <v/>
      </c>
      <c r="AA193" s="65" t="str">
        <f aca="false">IF($A193="","",AsOf-$H193)</f>
        <v/>
      </c>
      <c r="AB193" s="65" t="str">
        <f aca="false">IF($A193="","",IF($X193="Closed","Closed",IF($X193="Unmapped","Unmapped",IF($I193="","No target",IF($Z193&lt;0,"Overdue",IF($Z193&lt;=INDEX(StageWindow,$Y193),"At risk","On track"))))))</f>
        <v/>
      </c>
      <c r="AC193" s="65" t="str">
        <f aca="false">IF($Y193="","",IF($AA193&gt;2*INDEX(StageStale,$Y193),"Stale",IF($AA193&gt;INDEX(StageStale,$Y193),"Aging","Fresh")))</f>
        <v/>
      </c>
      <c r="AD193" s="65" t="str">
        <f aca="false">IF($A193="","",IF(OR(ISNUMBER(SEARCH("Reg report",$J193)),ISNUMBER(SEARCH("No human review",$J193)),COUNTIF(TierFuncs,$D193)&gt;0),"High",IF(OR(TRIM($J193)&lt;&gt;"",ISNUMBER(SEARCH("revenue",$K193))),"Medium","Low")))</f>
        <v/>
      </c>
      <c r="AE193" s="65" t="str">
        <f aca="false">IF($A193="","",INDEX(TierDays,MATCH($AD193,TierName,0)))</f>
        <v/>
      </c>
      <c r="AF193" s="65" t="str">
        <f aca="false">IF($A193="","",AsOf-$G193)</f>
        <v/>
      </c>
      <c r="AG193" s="65" t="str">
        <f aca="false">IF($Y193="","",IF($Y193&lt;=5,IF($AF193&gt;$AE193,"Over","Inside"),"Past approval"))</f>
        <v/>
      </c>
      <c r="AH193" s="65" t="str">
        <f aca="false">IF($Y193="","",CHOOSE($Y193,IF(OR(TRIM($F193)="",ISNUMBER(SEARCH("not named",$F193))),"Critical","Good"),IF($O193&lt;&gt;"Y","Critical",IF($Q193&lt;&gt;"Y","Warning","Good")),IF($P193="","Critical",IF($P193="partial","Warning",IF($P193="ready","Good","Critical"))),IF($R193&lt;&gt;"","Critical","Warning"),IF($L193="","Critical",IF($N193="","Warning","Good")),IF($R193&lt;&gt;"","Critical","Warning"),IF($R193&lt;&gt;"","Critical","Warning"),IF($Q193="Y","Good","Critical")))</f>
        <v/>
      </c>
      <c r="AI193" s="65" t="str">
        <f aca="false">IF($Y193="","",CHOOSE($Y193,IF(OR(TRIM($F193)="",ISNUMBER(SEARCH("not named",$F193))),"Name a sponsor accountable for the value",""),IF($O193&lt;&gt;"Y","State the success metric and the stop condition",IF($Q193&lt;&gt;"Y","Set the baseline the benefit will be measured against","")),IF($P193="","Assess data readiness and regulatory impact",IF($P193="partial","Close the known data gaps",IF($P193="ready","","Data is not available; reshape or park"))),IF($R193&lt;&gt;"",IF(OR(ISNUMBER(SEARCH("mrm",$R193)),ISNUMBER(SEARCH("model",$R193)),ISNUMBER(SEARCH("risk",$R193)),ISNUMBER(SEARCH("legal",$R193)),ISNUMBER(SEARCH("complian",$R193))),"Awaiting ","Held at the design gate: ")&amp;$R193,"Map the governance framework for its tier"),IF($L193="","Size the annual benefit",IF($N193="","Score it so it can be ranked against capacity","")),IF($R193&lt;&gt;"","Build held: "&amp;$R193,"In build, not yet through test"),IF($R193&lt;&gt;"","Not ready to scale: "&amp;$R193,"Monitoring and third-party review not yet signed off"),IF($Q193="Y","","Live without a measured baseline to judge it against")))</f>
        <v/>
      </c>
      <c r="AJ193" s="65" t="str">
        <f aca="false">IF($Y193="","",INDEX(StageForum,$Y193))</f>
        <v/>
      </c>
      <c r="AK193" s="65" t="str">
        <f aca="false">IF($Y193="","",IF(OR($X193="Delivery",$X193="Value"),"Committed",IF($N193&lt;&gt;"","Candidate","")))</f>
        <v/>
      </c>
      <c r="AL193" s="65" t="str">
        <f aca="false">IF($AK193&lt;&gt;"Candidate","",COUNTIFS($AK$2:$AK$501,"Candidate",$N$2:$N$501,"&gt;"&amp;$N193)+COUNTIFS($AK$2:$AK$501,"Candidate",$N$2:$N$501,$N193,$A$2:$A$501,"&lt;"&amp;$A193)+1)</f>
        <v/>
      </c>
      <c r="AM193" s="65" t="str">
        <f aca="false">IF($AL193="","",SUMIFS($M$2:$M$501,$AK$2:$AK$501,"Candidate",$AL$2:$AL$501,"&lt;="&amp;$AL193))</f>
        <v/>
      </c>
      <c r="AN193" s="65" t="str">
        <f aca="false">IF($AL193="","",IF($AM193&lt;=CapacityOpen,"Fits","Below line"))</f>
        <v/>
      </c>
      <c r="AO193" s="65" t="str">
        <f aca="false">IF($A193="","",IF($X193="Closed","",IF($X193="Unmapped","Warning",IF(OR($AB193="Overdue",$V193="Y",$AH193="Critical"),"Critical",IF(OR($AB193="At risk",$AC193="Stale",$AG193="Over"),"Warning","")))))</f>
        <v/>
      </c>
      <c r="AP193" s="65" t="str">
        <f aca="false">IF($AO193="","",IF($AO193="Critical",3000,2000)-IF($Z193="",0,$Z193)+ROW()/100000)</f>
        <v/>
      </c>
      <c r="AQ193" s="65" t="str">
        <f aca="false">IF($AO193="","",IF($X193="Unmapped","Status '"&amp;$C193&amp;"' is not in the Config map",IF($V193="Y","Flagged in Jira",IF($AB193="Overdue",-$Z193&amp;" days past its "&amp;$X193&amp;" target",IF($AH193="Critical",$AI193,IF($AB193="At risk","Target in "&amp;$Z193&amp;" days",IF($AC193="Stale","No update in "&amp;$AA193&amp;" days","Past its "&amp;$AE193&amp;"-day tier window")))))))</f>
        <v/>
      </c>
      <c r="AR193" s="65" t="str">
        <f aca="false">IF($AO193="","","draft Jira update for "&amp;$A193)</f>
        <v/>
      </c>
      <c r="AS193" s="65" t="str">
        <f aca="false">IF($A193="","",HYPERLINK(JiraSite&amp;"/browse/"&amp;$A193,"open"))</f>
        <v/>
      </c>
      <c r="AT193" s="65" t="str">
        <f aca="false">IF($Y193="","",$Y193*1000+ROW())</f>
        <v/>
      </c>
      <c r="AU193" s="65" t="str">
        <f aca="false">IF(AND($A193&lt;&gt;"",$G193&gt;=WeekStart),$G193+ROW()/100000,"")</f>
        <v/>
      </c>
      <c r="AV193" s="65" t="str">
        <f aca="false">IF($A193="","",IF(OR(AND($S193&lt;&gt;"",$S193&gt;=WeekStart),AND($U193&lt;&gt;"",$U193&gt;=WeekStart)),MAX($S193,$U193)+ROW()/100000,""))</f>
        <v/>
      </c>
      <c r="AW193" s="65" t="str">
        <f aca="false">IF($AV193="","",IF($T193&lt;&gt;"",$T193,IF($X193="Closed","Closed","Accepted to "&amp;$X193)))</f>
        <v/>
      </c>
      <c r="AX193" s="65" t="str">
        <f aca="false">IF(AND($Y193&lt;&gt;"",$R193&lt;&gt;""),$AF193+ROW()/100000,"")</f>
        <v/>
      </c>
      <c r="AY193" s="65" t="str">
        <f aca="false">IF(AND($Y193&lt;&gt;"",OR($AB193="Overdue",AND($AH193="Critical",$R193&lt;&gt;""))),$AF193+ROW()/100000,"")</f>
        <v/>
      </c>
      <c r="AZ193" s="65" t="str">
        <f aca="false">IF($AH193="Critical",$AF193+ROW()/100000,"")</f>
        <v/>
      </c>
    </row>
    <row r="194" customFormat="false" ht="15" hidden="false" customHeight="false" outlineLevel="0" collapsed="false">
      <c r="A194" s="28"/>
      <c r="B194" s="28"/>
      <c r="C194" s="28"/>
      <c r="D194" s="28"/>
      <c r="E194" s="28"/>
      <c r="F194" s="28"/>
      <c r="G194" s="63"/>
      <c r="H194" s="63"/>
      <c r="I194" s="63"/>
      <c r="J194" s="28"/>
      <c r="K194" s="28"/>
      <c r="L194" s="28"/>
      <c r="M194" s="28"/>
      <c r="N194" s="28"/>
      <c r="O194" s="64"/>
      <c r="P194" s="64"/>
      <c r="Q194" s="64"/>
      <c r="R194" s="28"/>
      <c r="S194" s="63"/>
      <c r="T194" s="64"/>
      <c r="U194" s="63"/>
      <c r="V194" s="64"/>
      <c r="W194" s="28"/>
      <c r="X194" s="65" t="str">
        <f aca="false">IF($A194="","",IF(OR($T194&lt;&gt;"",$U194&lt;&gt;""),"Closed",IFERROR(INDEX(MapStage,MATCH($C194,MapStatus,0)),"Unmapped")))</f>
        <v/>
      </c>
      <c r="Y194" s="65" t="str">
        <f aca="false">IF(OR($X194="",$X194="Closed",$X194="Unmapped"),"",MATCH($X194,StageName,0))</f>
        <v/>
      </c>
      <c r="Z194" s="65" t="str">
        <f aca="false">IF(OR($Y194="",$I194=""),"",$I194-AsOf)</f>
        <v/>
      </c>
      <c r="AA194" s="65" t="str">
        <f aca="false">IF($A194="","",AsOf-$H194)</f>
        <v/>
      </c>
      <c r="AB194" s="65" t="str">
        <f aca="false">IF($A194="","",IF($X194="Closed","Closed",IF($X194="Unmapped","Unmapped",IF($I194="","No target",IF($Z194&lt;0,"Overdue",IF($Z194&lt;=INDEX(StageWindow,$Y194),"At risk","On track"))))))</f>
        <v/>
      </c>
      <c r="AC194" s="65" t="str">
        <f aca="false">IF($Y194="","",IF($AA194&gt;2*INDEX(StageStale,$Y194),"Stale",IF($AA194&gt;INDEX(StageStale,$Y194),"Aging","Fresh")))</f>
        <v/>
      </c>
      <c r="AD194" s="65" t="str">
        <f aca="false">IF($A194="","",IF(OR(ISNUMBER(SEARCH("Reg report",$J194)),ISNUMBER(SEARCH("No human review",$J194)),COUNTIF(TierFuncs,$D194)&gt;0),"High",IF(OR(TRIM($J194)&lt;&gt;"",ISNUMBER(SEARCH("revenue",$K194))),"Medium","Low")))</f>
        <v/>
      </c>
      <c r="AE194" s="65" t="str">
        <f aca="false">IF($A194="","",INDEX(TierDays,MATCH($AD194,TierName,0)))</f>
        <v/>
      </c>
      <c r="AF194" s="65" t="str">
        <f aca="false">IF($A194="","",AsOf-$G194)</f>
        <v/>
      </c>
      <c r="AG194" s="65" t="str">
        <f aca="false">IF($Y194="","",IF($Y194&lt;=5,IF($AF194&gt;$AE194,"Over","Inside"),"Past approval"))</f>
        <v/>
      </c>
      <c r="AH194" s="65" t="str">
        <f aca="false">IF($Y194="","",CHOOSE($Y194,IF(OR(TRIM($F194)="",ISNUMBER(SEARCH("not named",$F194))),"Critical","Good"),IF($O194&lt;&gt;"Y","Critical",IF($Q194&lt;&gt;"Y","Warning","Good")),IF($P194="","Critical",IF($P194="partial","Warning",IF($P194="ready","Good","Critical"))),IF($R194&lt;&gt;"","Critical","Warning"),IF($L194="","Critical",IF($N194="","Warning","Good")),IF($R194&lt;&gt;"","Critical","Warning"),IF($R194&lt;&gt;"","Critical","Warning"),IF($Q194="Y","Good","Critical")))</f>
        <v/>
      </c>
      <c r="AI194" s="65" t="str">
        <f aca="false">IF($Y194="","",CHOOSE($Y194,IF(OR(TRIM($F194)="",ISNUMBER(SEARCH("not named",$F194))),"Name a sponsor accountable for the value",""),IF($O194&lt;&gt;"Y","State the success metric and the stop condition",IF($Q194&lt;&gt;"Y","Set the baseline the benefit will be measured against","")),IF($P194="","Assess data readiness and regulatory impact",IF($P194="partial","Close the known data gaps",IF($P194="ready","","Data is not available; reshape or park"))),IF($R194&lt;&gt;"",IF(OR(ISNUMBER(SEARCH("mrm",$R194)),ISNUMBER(SEARCH("model",$R194)),ISNUMBER(SEARCH("risk",$R194)),ISNUMBER(SEARCH("legal",$R194)),ISNUMBER(SEARCH("complian",$R194))),"Awaiting ","Held at the design gate: ")&amp;$R194,"Map the governance framework for its tier"),IF($L194="","Size the annual benefit",IF($N194="","Score it so it can be ranked against capacity","")),IF($R194&lt;&gt;"","Build held: "&amp;$R194,"In build, not yet through test"),IF($R194&lt;&gt;"","Not ready to scale: "&amp;$R194,"Monitoring and third-party review not yet signed off"),IF($Q194="Y","","Live without a measured baseline to judge it against")))</f>
        <v/>
      </c>
      <c r="AJ194" s="65" t="str">
        <f aca="false">IF($Y194="","",INDEX(StageForum,$Y194))</f>
        <v/>
      </c>
      <c r="AK194" s="65" t="str">
        <f aca="false">IF($Y194="","",IF(OR($X194="Delivery",$X194="Value"),"Committed",IF($N194&lt;&gt;"","Candidate","")))</f>
        <v/>
      </c>
      <c r="AL194" s="65" t="str">
        <f aca="false">IF($AK194&lt;&gt;"Candidate","",COUNTIFS($AK$2:$AK$501,"Candidate",$N$2:$N$501,"&gt;"&amp;$N194)+COUNTIFS($AK$2:$AK$501,"Candidate",$N$2:$N$501,$N194,$A$2:$A$501,"&lt;"&amp;$A194)+1)</f>
        <v/>
      </c>
      <c r="AM194" s="65" t="str">
        <f aca="false">IF($AL194="","",SUMIFS($M$2:$M$501,$AK$2:$AK$501,"Candidate",$AL$2:$AL$501,"&lt;="&amp;$AL194))</f>
        <v/>
      </c>
      <c r="AN194" s="65" t="str">
        <f aca="false">IF($AL194="","",IF($AM194&lt;=CapacityOpen,"Fits","Below line"))</f>
        <v/>
      </c>
      <c r="AO194" s="65" t="str">
        <f aca="false">IF($A194="","",IF($X194="Closed","",IF($X194="Unmapped","Warning",IF(OR($AB194="Overdue",$V194="Y",$AH194="Critical"),"Critical",IF(OR($AB194="At risk",$AC194="Stale",$AG194="Over"),"Warning","")))))</f>
        <v/>
      </c>
      <c r="AP194" s="65" t="str">
        <f aca="false">IF($AO194="","",IF($AO194="Critical",3000,2000)-IF($Z194="",0,$Z194)+ROW()/100000)</f>
        <v/>
      </c>
      <c r="AQ194" s="65" t="str">
        <f aca="false">IF($AO194="","",IF($X194="Unmapped","Status '"&amp;$C194&amp;"' is not in the Config map",IF($V194="Y","Flagged in Jira",IF($AB194="Overdue",-$Z194&amp;" days past its "&amp;$X194&amp;" target",IF($AH194="Critical",$AI194,IF($AB194="At risk","Target in "&amp;$Z194&amp;" days",IF($AC194="Stale","No update in "&amp;$AA194&amp;" days","Past its "&amp;$AE194&amp;"-day tier window")))))))</f>
        <v/>
      </c>
      <c r="AR194" s="65" t="str">
        <f aca="false">IF($AO194="","","draft Jira update for "&amp;$A194)</f>
        <v/>
      </c>
      <c r="AS194" s="65" t="str">
        <f aca="false">IF($A194="","",HYPERLINK(JiraSite&amp;"/browse/"&amp;$A194,"open"))</f>
        <v/>
      </c>
      <c r="AT194" s="65" t="str">
        <f aca="false">IF($Y194="","",$Y194*1000+ROW())</f>
        <v/>
      </c>
      <c r="AU194" s="65" t="str">
        <f aca="false">IF(AND($A194&lt;&gt;"",$G194&gt;=WeekStart),$G194+ROW()/100000,"")</f>
        <v/>
      </c>
      <c r="AV194" s="65" t="str">
        <f aca="false">IF($A194="","",IF(OR(AND($S194&lt;&gt;"",$S194&gt;=WeekStart),AND($U194&lt;&gt;"",$U194&gt;=WeekStart)),MAX($S194,$U194)+ROW()/100000,""))</f>
        <v/>
      </c>
      <c r="AW194" s="65" t="str">
        <f aca="false">IF($AV194="","",IF($T194&lt;&gt;"",$T194,IF($X194="Closed","Closed","Accepted to "&amp;$X194)))</f>
        <v/>
      </c>
      <c r="AX194" s="65" t="str">
        <f aca="false">IF(AND($Y194&lt;&gt;"",$R194&lt;&gt;""),$AF194+ROW()/100000,"")</f>
        <v/>
      </c>
      <c r="AY194" s="65" t="str">
        <f aca="false">IF(AND($Y194&lt;&gt;"",OR($AB194="Overdue",AND($AH194="Critical",$R194&lt;&gt;""))),$AF194+ROW()/100000,"")</f>
        <v/>
      </c>
      <c r="AZ194" s="65" t="str">
        <f aca="false">IF($AH194="Critical",$AF194+ROW()/100000,"")</f>
        <v/>
      </c>
    </row>
    <row r="195" customFormat="false" ht="15" hidden="false" customHeight="false" outlineLevel="0" collapsed="false">
      <c r="A195" s="28"/>
      <c r="B195" s="28"/>
      <c r="C195" s="28"/>
      <c r="D195" s="28"/>
      <c r="E195" s="28"/>
      <c r="F195" s="28"/>
      <c r="G195" s="63"/>
      <c r="H195" s="63"/>
      <c r="I195" s="63"/>
      <c r="J195" s="28"/>
      <c r="K195" s="28"/>
      <c r="L195" s="28"/>
      <c r="M195" s="28"/>
      <c r="N195" s="28"/>
      <c r="O195" s="64"/>
      <c r="P195" s="64"/>
      <c r="Q195" s="64"/>
      <c r="R195" s="28"/>
      <c r="S195" s="63"/>
      <c r="T195" s="64"/>
      <c r="U195" s="63"/>
      <c r="V195" s="64"/>
      <c r="W195" s="28"/>
      <c r="X195" s="65" t="str">
        <f aca="false">IF($A195="","",IF(OR($T195&lt;&gt;"",$U195&lt;&gt;""),"Closed",IFERROR(INDEX(MapStage,MATCH($C195,MapStatus,0)),"Unmapped")))</f>
        <v/>
      </c>
      <c r="Y195" s="65" t="str">
        <f aca="false">IF(OR($X195="",$X195="Closed",$X195="Unmapped"),"",MATCH($X195,StageName,0))</f>
        <v/>
      </c>
      <c r="Z195" s="65" t="str">
        <f aca="false">IF(OR($Y195="",$I195=""),"",$I195-AsOf)</f>
        <v/>
      </c>
      <c r="AA195" s="65" t="str">
        <f aca="false">IF($A195="","",AsOf-$H195)</f>
        <v/>
      </c>
      <c r="AB195" s="65" t="str">
        <f aca="false">IF($A195="","",IF($X195="Closed","Closed",IF($X195="Unmapped","Unmapped",IF($I195="","No target",IF($Z195&lt;0,"Overdue",IF($Z195&lt;=INDEX(StageWindow,$Y195),"At risk","On track"))))))</f>
        <v/>
      </c>
      <c r="AC195" s="65" t="str">
        <f aca="false">IF($Y195="","",IF($AA195&gt;2*INDEX(StageStale,$Y195),"Stale",IF($AA195&gt;INDEX(StageStale,$Y195),"Aging","Fresh")))</f>
        <v/>
      </c>
      <c r="AD195" s="65" t="str">
        <f aca="false">IF($A195="","",IF(OR(ISNUMBER(SEARCH("Reg report",$J195)),ISNUMBER(SEARCH("No human review",$J195)),COUNTIF(TierFuncs,$D195)&gt;0),"High",IF(OR(TRIM($J195)&lt;&gt;"",ISNUMBER(SEARCH("revenue",$K195))),"Medium","Low")))</f>
        <v/>
      </c>
      <c r="AE195" s="65" t="str">
        <f aca="false">IF($A195="","",INDEX(TierDays,MATCH($AD195,TierName,0)))</f>
        <v/>
      </c>
      <c r="AF195" s="65" t="str">
        <f aca="false">IF($A195="","",AsOf-$G195)</f>
        <v/>
      </c>
      <c r="AG195" s="65" t="str">
        <f aca="false">IF($Y195="","",IF($Y195&lt;=5,IF($AF195&gt;$AE195,"Over","Inside"),"Past approval"))</f>
        <v/>
      </c>
      <c r="AH195" s="65" t="str">
        <f aca="false">IF($Y195="","",CHOOSE($Y195,IF(OR(TRIM($F195)="",ISNUMBER(SEARCH("not named",$F195))),"Critical","Good"),IF($O195&lt;&gt;"Y","Critical",IF($Q195&lt;&gt;"Y","Warning","Good")),IF($P195="","Critical",IF($P195="partial","Warning",IF($P195="ready","Good","Critical"))),IF($R195&lt;&gt;"","Critical","Warning"),IF($L195="","Critical",IF($N195="","Warning","Good")),IF($R195&lt;&gt;"","Critical","Warning"),IF($R195&lt;&gt;"","Critical","Warning"),IF($Q195="Y","Good","Critical")))</f>
        <v/>
      </c>
      <c r="AI195" s="65" t="str">
        <f aca="false">IF($Y195="","",CHOOSE($Y195,IF(OR(TRIM($F195)="",ISNUMBER(SEARCH("not named",$F195))),"Name a sponsor accountable for the value",""),IF($O195&lt;&gt;"Y","State the success metric and the stop condition",IF($Q195&lt;&gt;"Y","Set the baseline the benefit will be measured against","")),IF($P195="","Assess data readiness and regulatory impact",IF($P195="partial","Close the known data gaps",IF($P195="ready","","Data is not available; reshape or park"))),IF($R195&lt;&gt;"",IF(OR(ISNUMBER(SEARCH("mrm",$R195)),ISNUMBER(SEARCH("model",$R195)),ISNUMBER(SEARCH("risk",$R195)),ISNUMBER(SEARCH("legal",$R195)),ISNUMBER(SEARCH("complian",$R195))),"Awaiting ","Held at the design gate: ")&amp;$R195,"Map the governance framework for its tier"),IF($L195="","Size the annual benefit",IF($N195="","Score it so it can be ranked against capacity","")),IF($R195&lt;&gt;"","Build held: "&amp;$R195,"In build, not yet through test"),IF($R195&lt;&gt;"","Not ready to scale: "&amp;$R195,"Monitoring and third-party review not yet signed off"),IF($Q195="Y","","Live without a measured baseline to judge it against")))</f>
        <v/>
      </c>
      <c r="AJ195" s="65" t="str">
        <f aca="false">IF($Y195="","",INDEX(StageForum,$Y195))</f>
        <v/>
      </c>
      <c r="AK195" s="65" t="str">
        <f aca="false">IF($Y195="","",IF(OR($X195="Delivery",$X195="Value"),"Committed",IF($N195&lt;&gt;"","Candidate","")))</f>
        <v/>
      </c>
      <c r="AL195" s="65" t="str">
        <f aca="false">IF($AK195&lt;&gt;"Candidate","",COUNTIFS($AK$2:$AK$501,"Candidate",$N$2:$N$501,"&gt;"&amp;$N195)+COUNTIFS($AK$2:$AK$501,"Candidate",$N$2:$N$501,$N195,$A$2:$A$501,"&lt;"&amp;$A195)+1)</f>
        <v/>
      </c>
      <c r="AM195" s="65" t="str">
        <f aca="false">IF($AL195="","",SUMIFS($M$2:$M$501,$AK$2:$AK$501,"Candidate",$AL$2:$AL$501,"&lt;="&amp;$AL195))</f>
        <v/>
      </c>
      <c r="AN195" s="65" t="str">
        <f aca="false">IF($AL195="","",IF($AM195&lt;=CapacityOpen,"Fits","Below line"))</f>
        <v/>
      </c>
      <c r="AO195" s="65" t="str">
        <f aca="false">IF($A195="","",IF($X195="Closed","",IF($X195="Unmapped","Warning",IF(OR($AB195="Overdue",$V195="Y",$AH195="Critical"),"Critical",IF(OR($AB195="At risk",$AC195="Stale",$AG195="Over"),"Warning","")))))</f>
        <v/>
      </c>
      <c r="AP195" s="65" t="str">
        <f aca="false">IF($AO195="","",IF($AO195="Critical",3000,2000)-IF($Z195="",0,$Z195)+ROW()/100000)</f>
        <v/>
      </c>
      <c r="AQ195" s="65" t="str">
        <f aca="false">IF($AO195="","",IF($X195="Unmapped","Status '"&amp;$C195&amp;"' is not in the Config map",IF($V195="Y","Flagged in Jira",IF($AB195="Overdue",-$Z195&amp;" days past its "&amp;$X195&amp;" target",IF($AH195="Critical",$AI195,IF($AB195="At risk","Target in "&amp;$Z195&amp;" days",IF($AC195="Stale","No update in "&amp;$AA195&amp;" days","Past its "&amp;$AE195&amp;"-day tier window")))))))</f>
        <v/>
      </c>
      <c r="AR195" s="65" t="str">
        <f aca="false">IF($AO195="","","draft Jira update for "&amp;$A195)</f>
        <v/>
      </c>
      <c r="AS195" s="65" t="str">
        <f aca="false">IF($A195="","",HYPERLINK(JiraSite&amp;"/browse/"&amp;$A195,"open"))</f>
        <v/>
      </c>
      <c r="AT195" s="65" t="str">
        <f aca="false">IF($Y195="","",$Y195*1000+ROW())</f>
        <v/>
      </c>
      <c r="AU195" s="65" t="str">
        <f aca="false">IF(AND($A195&lt;&gt;"",$G195&gt;=WeekStart),$G195+ROW()/100000,"")</f>
        <v/>
      </c>
      <c r="AV195" s="65" t="str">
        <f aca="false">IF($A195="","",IF(OR(AND($S195&lt;&gt;"",$S195&gt;=WeekStart),AND($U195&lt;&gt;"",$U195&gt;=WeekStart)),MAX($S195,$U195)+ROW()/100000,""))</f>
        <v/>
      </c>
      <c r="AW195" s="65" t="str">
        <f aca="false">IF($AV195="","",IF($T195&lt;&gt;"",$T195,IF($X195="Closed","Closed","Accepted to "&amp;$X195)))</f>
        <v/>
      </c>
      <c r="AX195" s="65" t="str">
        <f aca="false">IF(AND($Y195&lt;&gt;"",$R195&lt;&gt;""),$AF195+ROW()/100000,"")</f>
        <v/>
      </c>
      <c r="AY195" s="65" t="str">
        <f aca="false">IF(AND($Y195&lt;&gt;"",OR($AB195="Overdue",AND($AH195="Critical",$R195&lt;&gt;""))),$AF195+ROW()/100000,"")</f>
        <v/>
      </c>
      <c r="AZ195" s="65" t="str">
        <f aca="false">IF($AH195="Critical",$AF195+ROW()/100000,"")</f>
        <v/>
      </c>
    </row>
    <row r="196" customFormat="false" ht="15" hidden="false" customHeight="false" outlineLevel="0" collapsed="false">
      <c r="A196" s="28"/>
      <c r="B196" s="28"/>
      <c r="C196" s="28"/>
      <c r="D196" s="28"/>
      <c r="E196" s="28"/>
      <c r="F196" s="28"/>
      <c r="G196" s="63"/>
      <c r="H196" s="63"/>
      <c r="I196" s="63"/>
      <c r="J196" s="28"/>
      <c r="K196" s="28"/>
      <c r="L196" s="28"/>
      <c r="M196" s="28"/>
      <c r="N196" s="28"/>
      <c r="O196" s="64"/>
      <c r="P196" s="64"/>
      <c r="Q196" s="64"/>
      <c r="R196" s="28"/>
      <c r="S196" s="63"/>
      <c r="T196" s="64"/>
      <c r="U196" s="63"/>
      <c r="V196" s="64"/>
      <c r="W196" s="28"/>
      <c r="X196" s="65" t="str">
        <f aca="false">IF($A196="","",IF(OR($T196&lt;&gt;"",$U196&lt;&gt;""),"Closed",IFERROR(INDEX(MapStage,MATCH($C196,MapStatus,0)),"Unmapped")))</f>
        <v/>
      </c>
      <c r="Y196" s="65" t="str">
        <f aca="false">IF(OR($X196="",$X196="Closed",$X196="Unmapped"),"",MATCH($X196,StageName,0))</f>
        <v/>
      </c>
      <c r="Z196" s="65" t="str">
        <f aca="false">IF(OR($Y196="",$I196=""),"",$I196-AsOf)</f>
        <v/>
      </c>
      <c r="AA196" s="65" t="str">
        <f aca="false">IF($A196="","",AsOf-$H196)</f>
        <v/>
      </c>
      <c r="AB196" s="65" t="str">
        <f aca="false">IF($A196="","",IF($X196="Closed","Closed",IF($X196="Unmapped","Unmapped",IF($I196="","No target",IF($Z196&lt;0,"Overdue",IF($Z196&lt;=INDEX(StageWindow,$Y196),"At risk","On track"))))))</f>
        <v/>
      </c>
      <c r="AC196" s="65" t="str">
        <f aca="false">IF($Y196="","",IF($AA196&gt;2*INDEX(StageStale,$Y196),"Stale",IF($AA196&gt;INDEX(StageStale,$Y196),"Aging","Fresh")))</f>
        <v/>
      </c>
      <c r="AD196" s="65" t="str">
        <f aca="false">IF($A196="","",IF(OR(ISNUMBER(SEARCH("Reg report",$J196)),ISNUMBER(SEARCH("No human review",$J196)),COUNTIF(TierFuncs,$D196)&gt;0),"High",IF(OR(TRIM($J196)&lt;&gt;"",ISNUMBER(SEARCH("revenue",$K196))),"Medium","Low")))</f>
        <v/>
      </c>
      <c r="AE196" s="65" t="str">
        <f aca="false">IF($A196="","",INDEX(TierDays,MATCH($AD196,TierName,0)))</f>
        <v/>
      </c>
      <c r="AF196" s="65" t="str">
        <f aca="false">IF($A196="","",AsOf-$G196)</f>
        <v/>
      </c>
      <c r="AG196" s="65" t="str">
        <f aca="false">IF($Y196="","",IF($Y196&lt;=5,IF($AF196&gt;$AE196,"Over","Inside"),"Past approval"))</f>
        <v/>
      </c>
      <c r="AH196" s="65" t="str">
        <f aca="false">IF($Y196="","",CHOOSE($Y196,IF(OR(TRIM($F196)="",ISNUMBER(SEARCH("not named",$F196))),"Critical","Good"),IF($O196&lt;&gt;"Y","Critical",IF($Q196&lt;&gt;"Y","Warning","Good")),IF($P196="","Critical",IF($P196="partial","Warning",IF($P196="ready","Good","Critical"))),IF($R196&lt;&gt;"","Critical","Warning"),IF($L196="","Critical",IF($N196="","Warning","Good")),IF($R196&lt;&gt;"","Critical","Warning"),IF($R196&lt;&gt;"","Critical","Warning"),IF($Q196="Y","Good","Critical")))</f>
        <v/>
      </c>
      <c r="AI196" s="65" t="str">
        <f aca="false">IF($Y196="","",CHOOSE($Y196,IF(OR(TRIM($F196)="",ISNUMBER(SEARCH("not named",$F196))),"Name a sponsor accountable for the value",""),IF($O196&lt;&gt;"Y","State the success metric and the stop condition",IF($Q196&lt;&gt;"Y","Set the baseline the benefit will be measured against","")),IF($P196="","Assess data readiness and regulatory impact",IF($P196="partial","Close the known data gaps",IF($P196="ready","","Data is not available; reshape or park"))),IF($R196&lt;&gt;"",IF(OR(ISNUMBER(SEARCH("mrm",$R196)),ISNUMBER(SEARCH("model",$R196)),ISNUMBER(SEARCH("risk",$R196)),ISNUMBER(SEARCH("legal",$R196)),ISNUMBER(SEARCH("complian",$R196))),"Awaiting ","Held at the design gate: ")&amp;$R196,"Map the governance framework for its tier"),IF($L196="","Size the annual benefit",IF($N196="","Score it so it can be ranked against capacity","")),IF($R196&lt;&gt;"","Build held: "&amp;$R196,"In build, not yet through test"),IF($R196&lt;&gt;"","Not ready to scale: "&amp;$R196,"Monitoring and third-party review not yet signed off"),IF($Q196="Y","","Live without a measured baseline to judge it against")))</f>
        <v/>
      </c>
      <c r="AJ196" s="65" t="str">
        <f aca="false">IF($Y196="","",INDEX(StageForum,$Y196))</f>
        <v/>
      </c>
      <c r="AK196" s="65" t="str">
        <f aca="false">IF($Y196="","",IF(OR($X196="Delivery",$X196="Value"),"Committed",IF($N196&lt;&gt;"","Candidate","")))</f>
        <v/>
      </c>
      <c r="AL196" s="65" t="str">
        <f aca="false">IF($AK196&lt;&gt;"Candidate","",COUNTIFS($AK$2:$AK$501,"Candidate",$N$2:$N$501,"&gt;"&amp;$N196)+COUNTIFS($AK$2:$AK$501,"Candidate",$N$2:$N$501,$N196,$A$2:$A$501,"&lt;"&amp;$A196)+1)</f>
        <v/>
      </c>
      <c r="AM196" s="65" t="str">
        <f aca="false">IF($AL196="","",SUMIFS($M$2:$M$501,$AK$2:$AK$501,"Candidate",$AL$2:$AL$501,"&lt;="&amp;$AL196))</f>
        <v/>
      </c>
      <c r="AN196" s="65" t="str">
        <f aca="false">IF($AL196="","",IF($AM196&lt;=CapacityOpen,"Fits","Below line"))</f>
        <v/>
      </c>
      <c r="AO196" s="65" t="str">
        <f aca="false">IF($A196="","",IF($X196="Closed","",IF($X196="Unmapped","Warning",IF(OR($AB196="Overdue",$V196="Y",$AH196="Critical"),"Critical",IF(OR($AB196="At risk",$AC196="Stale",$AG196="Over"),"Warning","")))))</f>
        <v/>
      </c>
      <c r="AP196" s="65" t="str">
        <f aca="false">IF($AO196="","",IF($AO196="Critical",3000,2000)-IF($Z196="",0,$Z196)+ROW()/100000)</f>
        <v/>
      </c>
      <c r="AQ196" s="65" t="str">
        <f aca="false">IF($AO196="","",IF($X196="Unmapped","Status '"&amp;$C196&amp;"' is not in the Config map",IF($V196="Y","Flagged in Jira",IF($AB196="Overdue",-$Z196&amp;" days past its "&amp;$X196&amp;" target",IF($AH196="Critical",$AI196,IF($AB196="At risk","Target in "&amp;$Z196&amp;" days",IF($AC196="Stale","No update in "&amp;$AA196&amp;" days","Past its "&amp;$AE196&amp;"-day tier window")))))))</f>
        <v/>
      </c>
      <c r="AR196" s="65" t="str">
        <f aca="false">IF($AO196="","","draft Jira update for "&amp;$A196)</f>
        <v/>
      </c>
      <c r="AS196" s="65" t="str">
        <f aca="false">IF($A196="","",HYPERLINK(JiraSite&amp;"/browse/"&amp;$A196,"open"))</f>
        <v/>
      </c>
      <c r="AT196" s="65" t="str">
        <f aca="false">IF($Y196="","",$Y196*1000+ROW())</f>
        <v/>
      </c>
      <c r="AU196" s="65" t="str">
        <f aca="false">IF(AND($A196&lt;&gt;"",$G196&gt;=WeekStart),$G196+ROW()/100000,"")</f>
        <v/>
      </c>
      <c r="AV196" s="65" t="str">
        <f aca="false">IF($A196="","",IF(OR(AND($S196&lt;&gt;"",$S196&gt;=WeekStart),AND($U196&lt;&gt;"",$U196&gt;=WeekStart)),MAX($S196,$U196)+ROW()/100000,""))</f>
        <v/>
      </c>
      <c r="AW196" s="65" t="str">
        <f aca="false">IF($AV196="","",IF($T196&lt;&gt;"",$T196,IF($X196="Closed","Closed","Accepted to "&amp;$X196)))</f>
        <v/>
      </c>
      <c r="AX196" s="65" t="str">
        <f aca="false">IF(AND($Y196&lt;&gt;"",$R196&lt;&gt;""),$AF196+ROW()/100000,"")</f>
        <v/>
      </c>
      <c r="AY196" s="65" t="str">
        <f aca="false">IF(AND($Y196&lt;&gt;"",OR($AB196="Overdue",AND($AH196="Critical",$R196&lt;&gt;""))),$AF196+ROW()/100000,"")</f>
        <v/>
      </c>
      <c r="AZ196" s="65" t="str">
        <f aca="false">IF($AH196="Critical",$AF196+ROW()/100000,"")</f>
        <v/>
      </c>
    </row>
    <row r="197" customFormat="false" ht="15" hidden="false" customHeight="false" outlineLevel="0" collapsed="false">
      <c r="A197" s="28"/>
      <c r="B197" s="28"/>
      <c r="C197" s="28"/>
      <c r="D197" s="28"/>
      <c r="E197" s="28"/>
      <c r="F197" s="28"/>
      <c r="G197" s="63"/>
      <c r="H197" s="63"/>
      <c r="I197" s="63"/>
      <c r="J197" s="28"/>
      <c r="K197" s="28"/>
      <c r="L197" s="28"/>
      <c r="M197" s="28"/>
      <c r="N197" s="28"/>
      <c r="O197" s="64"/>
      <c r="P197" s="64"/>
      <c r="Q197" s="64"/>
      <c r="R197" s="28"/>
      <c r="S197" s="63"/>
      <c r="T197" s="64"/>
      <c r="U197" s="63"/>
      <c r="V197" s="64"/>
      <c r="W197" s="28"/>
      <c r="X197" s="65" t="str">
        <f aca="false">IF($A197="","",IF(OR($T197&lt;&gt;"",$U197&lt;&gt;""),"Closed",IFERROR(INDEX(MapStage,MATCH($C197,MapStatus,0)),"Unmapped")))</f>
        <v/>
      </c>
      <c r="Y197" s="65" t="str">
        <f aca="false">IF(OR($X197="",$X197="Closed",$X197="Unmapped"),"",MATCH($X197,StageName,0))</f>
        <v/>
      </c>
      <c r="Z197" s="65" t="str">
        <f aca="false">IF(OR($Y197="",$I197=""),"",$I197-AsOf)</f>
        <v/>
      </c>
      <c r="AA197" s="65" t="str">
        <f aca="false">IF($A197="","",AsOf-$H197)</f>
        <v/>
      </c>
      <c r="AB197" s="65" t="str">
        <f aca="false">IF($A197="","",IF($X197="Closed","Closed",IF($X197="Unmapped","Unmapped",IF($I197="","No target",IF($Z197&lt;0,"Overdue",IF($Z197&lt;=INDEX(StageWindow,$Y197),"At risk","On track"))))))</f>
        <v/>
      </c>
      <c r="AC197" s="65" t="str">
        <f aca="false">IF($Y197="","",IF($AA197&gt;2*INDEX(StageStale,$Y197),"Stale",IF($AA197&gt;INDEX(StageStale,$Y197),"Aging","Fresh")))</f>
        <v/>
      </c>
      <c r="AD197" s="65" t="str">
        <f aca="false">IF($A197="","",IF(OR(ISNUMBER(SEARCH("Reg report",$J197)),ISNUMBER(SEARCH("No human review",$J197)),COUNTIF(TierFuncs,$D197)&gt;0),"High",IF(OR(TRIM($J197)&lt;&gt;"",ISNUMBER(SEARCH("revenue",$K197))),"Medium","Low")))</f>
        <v/>
      </c>
      <c r="AE197" s="65" t="str">
        <f aca="false">IF($A197="","",INDEX(TierDays,MATCH($AD197,TierName,0)))</f>
        <v/>
      </c>
      <c r="AF197" s="65" t="str">
        <f aca="false">IF($A197="","",AsOf-$G197)</f>
        <v/>
      </c>
      <c r="AG197" s="65" t="str">
        <f aca="false">IF($Y197="","",IF($Y197&lt;=5,IF($AF197&gt;$AE197,"Over","Inside"),"Past approval"))</f>
        <v/>
      </c>
      <c r="AH197" s="65" t="str">
        <f aca="false">IF($Y197="","",CHOOSE($Y197,IF(OR(TRIM($F197)="",ISNUMBER(SEARCH("not named",$F197))),"Critical","Good"),IF($O197&lt;&gt;"Y","Critical",IF($Q197&lt;&gt;"Y","Warning","Good")),IF($P197="","Critical",IF($P197="partial","Warning",IF($P197="ready","Good","Critical"))),IF($R197&lt;&gt;"","Critical","Warning"),IF($L197="","Critical",IF($N197="","Warning","Good")),IF($R197&lt;&gt;"","Critical","Warning"),IF($R197&lt;&gt;"","Critical","Warning"),IF($Q197="Y","Good","Critical")))</f>
        <v/>
      </c>
      <c r="AI197" s="65" t="str">
        <f aca="false">IF($Y197="","",CHOOSE($Y197,IF(OR(TRIM($F197)="",ISNUMBER(SEARCH("not named",$F197))),"Name a sponsor accountable for the value",""),IF($O197&lt;&gt;"Y","State the success metric and the stop condition",IF($Q197&lt;&gt;"Y","Set the baseline the benefit will be measured against","")),IF($P197="","Assess data readiness and regulatory impact",IF($P197="partial","Close the known data gaps",IF($P197="ready","","Data is not available; reshape or park"))),IF($R197&lt;&gt;"",IF(OR(ISNUMBER(SEARCH("mrm",$R197)),ISNUMBER(SEARCH("model",$R197)),ISNUMBER(SEARCH("risk",$R197)),ISNUMBER(SEARCH("legal",$R197)),ISNUMBER(SEARCH("complian",$R197))),"Awaiting ","Held at the design gate: ")&amp;$R197,"Map the governance framework for its tier"),IF($L197="","Size the annual benefit",IF($N197="","Score it so it can be ranked against capacity","")),IF($R197&lt;&gt;"","Build held: "&amp;$R197,"In build, not yet through test"),IF($R197&lt;&gt;"","Not ready to scale: "&amp;$R197,"Monitoring and third-party review not yet signed off"),IF($Q197="Y","","Live without a measured baseline to judge it against")))</f>
        <v/>
      </c>
      <c r="AJ197" s="65" t="str">
        <f aca="false">IF($Y197="","",INDEX(StageForum,$Y197))</f>
        <v/>
      </c>
      <c r="AK197" s="65" t="str">
        <f aca="false">IF($Y197="","",IF(OR($X197="Delivery",$X197="Value"),"Committed",IF($N197&lt;&gt;"","Candidate","")))</f>
        <v/>
      </c>
      <c r="AL197" s="65" t="str">
        <f aca="false">IF($AK197&lt;&gt;"Candidate","",COUNTIFS($AK$2:$AK$501,"Candidate",$N$2:$N$501,"&gt;"&amp;$N197)+COUNTIFS($AK$2:$AK$501,"Candidate",$N$2:$N$501,$N197,$A$2:$A$501,"&lt;"&amp;$A197)+1)</f>
        <v/>
      </c>
      <c r="AM197" s="65" t="str">
        <f aca="false">IF($AL197="","",SUMIFS($M$2:$M$501,$AK$2:$AK$501,"Candidate",$AL$2:$AL$501,"&lt;="&amp;$AL197))</f>
        <v/>
      </c>
      <c r="AN197" s="65" t="str">
        <f aca="false">IF($AL197="","",IF($AM197&lt;=CapacityOpen,"Fits","Below line"))</f>
        <v/>
      </c>
      <c r="AO197" s="65" t="str">
        <f aca="false">IF($A197="","",IF($X197="Closed","",IF($X197="Unmapped","Warning",IF(OR($AB197="Overdue",$V197="Y",$AH197="Critical"),"Critical",IF(OR($AB197="At risk",$AC197="Stale",$AG197="Over"),"Warning","")))))</f>
        <v/>
      </c>
      <c r="AP197" s="65" t="str">
        <f aca="false">IF($AO197="","",IF($AO197="Critical",3000,2000)-IF($Z197="",0,$Z197)+ROW()/100000)</f>
        <v/>
      </c>
      <c r="AQ197" s="65" t="str">
        <f aca="false">IF($AO197="","",IF($X197="Unmapped","Status '"&amp;$C197&amp;"' is not in the Config map",IF($V197="Y","Flagged in Jira",IF($AB197="Overdue",-$Z197&amp;" days past its "&amp;$X197&amp;" target",IF($AH197="Critical",$AI197,IF($AB197="At risk","Target in "&amp;$Z197&amp;" days",IF($AC197="Stale","No update in "&amp;$AA197&amp;" days","Past its "&amp;$AE197&amp;"-day tier window")))))))</f>
        <v/>
      </c>
      <c r="AR197" s="65" t="str">
        <f aca="false">IF($AO197="","","draft Jira update for "&amp;$A197)</f>
        <v/>
      </c>
      <c r="AS197" s="65" t="str">
        <f aca="false">IF($A197="","",HYPERLINK(JiraSite&amp;"/browse/"&amp;$A197,"open"))</f>
        <v/>
      </c>
      <c r="AT197" s="65" t="str">
        <f aca="false">IF($Y197="","",$Y197*1000+ROW())</f>
        <v/>
      </c>
      <c r="AU197" s="65" t="str">
        <f aca="false">IF(AND($A197&lt;&gt;"",$G197&gt;=WeekStart),$G197+ROW()/100000,"")</f>
        <v/>
      </c>
      <c r="AV197" s="65" t="str">
        <f aca="false">IF($A197="","",IF(OR(AND($S197&lt;&gt;"",$S197&gt;=WeekStart),AND($U197&lt;&gt;"",$U197&gt;=WeekStart)),MAX($S197,$U197)+ROW()/100000,""))</f>
        <v/>
      </c>
      <c r="AW197" s="65" t="str">
        <f aca="false">IF($AV197="","",IF($T197&lt;&gt;"",$T197,IF($X197="Closed","Closed","Accepted to "&amp;$X197)))</f>
        <v/>
      </c>
      <c r="AX197" s="65" t="str">
        <f aca="false">IF(AND($Y197&lt;&gt;"",$R197&lt;&gt;""),$AF197+ROW()/100000,"")</f>
        <v/>
      </c>
      <c r="AY197" s="65" t="str">
        <f aca="false">IF(AND($Y197&lt;&gt;"",OR($AB197="Overdue",AND($AH197="Critical",$R197&lt;&gt;""))),$AF197+ROW()/100000,"")</f>
        <v/>
      </c>
      <c r="AZ197" s="65" t="str">
        <f aca="false">IF($AH197="Critical",$AF197+ROW()/100000,"")</f>
        <v/>
      </c>
    </row>
    <row r="198" customFormat="false" ht="15" hidden="false" customHeight="false" outlineLevel="0" collapsed="false">
      <c r="A198" s="28"/>
      <c r="B198" s="28"/>
      <c r="C198" s="28"/>
      <c r="D198" s="28"/>
      <c r="E198" s="28"/>
      <c r="F198" s="28"/>
      <c r="G198" s="63"/>
      <c r="H198" s="63"/>
      <c r="I198" s="63"/>
      <c r="J198" s="28"/>
      <c r="K198" s="28"/>
      <c r="L198" s="28"/>
      <c r="M198" s="28"/>
      <c r="N198" s="28"/>
      <c r="O198" s="64"/>
      <c r="P198" s="64"/>
      <c r="Q198" s="64"/>
      <c r="R198" s="28"/>
      <c r="S198" s="63"/>
      <c r="T198" s="64"/>
      <c r="U198" s="63"/>
      <c r="V198" s="64"/>
      <c r="W198" s="28"/>
      <c r="X198" s="65" t="str">
        <f aca="false">IF($A198="","",IF(OR($T198&lt;&gt;"",$U198&lt;&gt;""),"Closed",IFERROR(INDEX(MapStage,MATCH($C198,MapStatus,0)),"Unmapped")))</f>
        <v/>
      </c>
      <c r="Y198" s="65" t="str">
        <f aca="false">IF(OR($X198="",$X198="Closed",$X198="Unmapped"),"",MATCH($X198,StageName,0))</f>
        <v/>
      </c>
      <c r="Z198" s="65" t="str">
        <f aca="false">IF(OR($Y198="",$I198=""),"",$I198-AsOf)</f>
        <v/>
      </c>
      <c r="AA198" s="65" t="str">
        <f aca="false">IF($A198="","",AsOf-$H198)</f>
        <v/>
      </c>
      <c r="AB198" s="65" t="str">
        <f aca="false">IF($A198="","",IF($X198="Closed","Closed",IF($X198="Unmapped","Unmapped",IF($I198="","No target",IF($Z198&lt;0,"Overdue",IF($Z198&lt;=INDEX(StageWindow,$Y198),"At risk","On track"))))))</f>
        <v/>
      </c>
      <c r="AC198" s="65" t="str">
        <f aca="false">IF($Y198="","",IF($AA198&gt;2*INDEX(StageStale,$Y198),"Stale",IF($AA198&gt;INDEX(StageStale,$Y198),"Aging","Fresh")))</f>
        <v/>
      </c>
      <c r="AD198" s="65" t="str">
        <f aca="false">IF($A198="","",IF(OR(ISNUMBER(SEARCH("Reg report",$J198)),ISNUMBER(SEARCH("No human review",$J198)),COUNTIF(TierFuncs,$D198)&gt;0),"High",IF(OR(TRIM($J198)&lt;&gt;"",ISNUMBER(SEARCH("revenue",$K198))),"Medium","Low")))</f>
        <v/>
      </c>
      <c r="AE198" s="65" t="str">
        <f aca="false">IF($A198="","",INDEX(TierDays,MATCH($AD198,TierName,0)))</f>
        <v/>
      </c>
      <c r="AF198" s="65" t="str">
        <f aca="false">IF($A198="","",AsOf-$G198)</f>
        <v/>
      </c>
      <c r="AG198" s="65" t="str">
        <f aca="false">IF($Y198="","",IF($Y198&lt;=5,IF($AF198&gt;$AE198,"Over","Inside"),"Past approval"))</f>
        <v/>
      </c>
      <c r="AH198" s="65" t="str">
        <f aca="false">IF($Y198="","",CHOOSE($Y198,IF(OR(TRIM($F198)="",ISNUMBER(SEARCH("not named",$F198))),"Critical","Good"),IF($O198&lt;&gt;"Y","Critical",IF($Q198&lt;&gt;"Y","Warning","Good")),IF($P198="","Critical",IF($P198="partial","Warning",IF($P198="ready","Good","Critical"))),IF($R198&lt;&gt;"","Critical","Warning"),IF($L198="","Critical",IF($N198="","Warning","Good")),IF($R198&lt;&gt;"","Critical","Warning"),IF($R198&lt;&gt;"","Critical","Warning"),IF($Q198="Y","Good","Critical")))</f>
        <v/>
      </c>
      <c r="AI198" s="65" t="str">
        <f aca="false">IF($Y198="","",CHOOSE($Y198,IF(OR(TRIM($F198)="",ISNUMBER(SEARCH("not named",$F198))),"Name a sponsor accountable for the value",""),IF($O198&lt;&gt;"Y","State the success metric and the stop condition",IF($Q198&lt;&gt;"Y","Set the baseline the benefit will be measured against","")),IF($P198="","Assess data readiness and regulatory impact",IF($P198="partial","Close the known data gaps",IF($P198="ready","","Data is not available; reshape or park"))),IF($R198&lt;&gt;"",IF(OR(ISNUMBER(SEARCH("mrm",$R198)),ISNUMBER(SEARCH("model",$R198)),ISNUMBER(SEARCH("risk",$R198)),ISNUMBER(SEARCH("legal",$R198)),ISNUMBER(SEARCH("complian",$R198))),"Awaiting ","Held at the design gate: ")&amp;$R198,"Map the governance framework for its tier"),IF($L198="","Size the annual benefit",IF($N198="","Score it so it can be ranked against capacity","")),IF($R198&lt;&gt;"","Build held: "&amp;$R198,"In build, not yet through test"),IF($R198&lt;&gt;"","Not ready to scale: "&amp;$R198,"Monitoring and third-party review not yet signed off"),IF($Q198="Y","","Live without a measured baseline to judge it against")))</f>
        <v/>
      </c>
      <c r="AJ198" s="65" t="str">
        <f aca="false">IF($Y198="","",INDEX(StageForum,$Y198))</f>
        <v/>
      </c>
      <c r="AK198" s="65" t="str">
        <f aca="false">IF($Y198="","",IF(OR($X198="Delivery",$X198="Value"),"Committed",IF($N198&lt;&gt;"","Candidate","")))</f>
        <v/>
      </c>
      <c r="AL198" s="65" t="str">
        <f aca="false">IF($AK198&lt;&gt;"Candidate","",COUNTIFS($AK$2:$AK$501,"Candidate",$N$2:$N$501,"&gt;"&amp;$N198)+COUNTIFS($AK$2:$AK$501,"Candidate",$N$2:$N$501,$N198,$A$2:$A$501,"&lt;"&amp;$A198)+1)</f>
        <v/>
      </c>
      <c r="AM198" s="65" t="str">
        <f aca="false">IF($AL198="","",SUMIFS($M$2:$M$501,$AK$2:$AK$501,"Candidate",$AL$2:$AL$501,"&lt;="&amp;$AL198))</f>
        <v/>
      </c>
      <c r="AN198" s="65" t="str">
        <f aca="false">IF($AL198="","",IF($AM198&lt;=CapacityOpen,"Fits","Below line"))</f>
        <v/>
      </c>
      <c r="AO198" s="65" t="str">
        <f aca="false">IF($A198="","",IF($X198="Closed","",IF($X198="Unmapped","Warning",IF(OR($AB198="Overdue",$V198="Y",$AH198="Critical"),"Critical",IF(OR($AB198="At risk",$AC198="Stale",$AG198="Over"),"Warning","")))))</f>
        <v/>
      </c>
      <c r="AP198" s="65" t="str">
        <f aca="false">IF($AO198="","",IF($AO198="Critical",3000,2000)-IF($Z198="",0,$Z198)+ROW()/100000)</f>
        <v/>
      </c>
      <c r="AQ198" s="65" t="str">
        <f aca="false">IF($AO198="","",IF($X198="Unmapped","Status '"&amp;$C198&amp;"' is not in the Config map",IF($V198="Y","Flagged in Jira",IF($AB198="Overdue",-$Z198&amp;" days past its "&amp;$X198&amp;" target",IF($AH198="Critical",$AI198,IF($AB198="At risk","Target in "&amp;$Z198&amp;" days",IF($AC198="Stale","No update in "&amp;$AA198&amp;" days","Past its "&amp;$AE198&amp;"-day tier window")))))))</f>
        <v/>
      </c>
      <c r="AR198" s="65" t="str">
        <f aca="false">IF($AO198="","","draft Jira update for "&amp;$A198)</f>
        <v/>
      </c>
      <c r="AS198" s="65" t="str">
        <f aca="false">IF($A198="","",HYPERLINK(JiraSite&amp;"/browse/"&amp;$A198,"open"))</f>
        <v/>
      </c>
      <c r="AT198" s="65" t="str">
        <f aca="false">IF($Y198="","",$Y198*1000+ROW())</f>
        <v/>
      </c>
      <c r="AU198" s="65" t="str">
        <f aca="false">IF(AND($A198&lt;&gt;"",$G198&gt;=WeekStart),$G198+ROW()/100000,"")</f>
        <v/>
      </c>
      <c r="AV198" s="65" t="str">
        <f aca="false">IF($A198="","",IF(OR(AND($S198&lt;&gt;"",$S198&gt;=WeekStart),AND($U198&lt;&gt;"",$U198&gt;=WeekStart)),MAX($S198,$U198)+ROW()/100000,""))</f>
        <v/>
      </c>
      <c r="AW198" s="65" t="str">
        <f aca="false">IF($AV198="","",IF($T198&lt;&gt;"",$T198,IF($X198="Closed","Closed","Accepted to "&amp;$X198)))</f>
        <v/>
      </c>
      <c r="AX198" s="65" t="str">
        <f aca="false">IF(AND($Y198&lt;&gt;"",$R198&lt;&gt;""),$AF198+ROW()/100000,"")</f>
        <v/>
      </c>
      <c r="AY198" s="65" t="str">
        <f aca="false">IF(AND($Y198&lt;&gt;"",OR($AB198="Overdue",AND($AH198="Critical",$R198&lt;&gt;""))),$AF198+ROW()/100000,"")</f>
        <v/>
      </c>
      <c r="AZ198" s="65" t="str">
        <f aca="false">IF($AH198="Critical",$AF198+ROW()/100000,"")</f>
        <v/>
      </c>
    </row>
    <row r="199" customFormat="false" ht="15" hidden="false" customHeight="false" outlineLevel="0" collapsed="false">
      <c r="A199" s="28"/>
      <c r="B199" s="28"/>
      <c r="C199" s="28"/>
      <c r="D199" s="28"/>
      <c r="E199" s="28"/>
      <c r="F199" s="28"/>
      <c r="G199" s="63"/>
      <c r="H199" s="63"/>
      <c r="I199" s="63"/>
      <c r="J199" s="28"/>
      <c r="K199" s="28"/>
      <c r="L199" s="28"/>
      <c r="M199" s="28"/>
      <c r="N199" s="28"/>
      <c r="O199" s="64"/>
      <c r="P199" s="64"/>
      <c r="Q199" s="64"/>
      <c r="R199" s="28"/>
      <c r="S199" s="63"/>
      <c r="T199" s="64"/>
      <c r="U199" s="63"/>
      <c r="V199" s="64"/>
      <c r="W199" s="28"/>
      <c r="X199" s="65" t="str">
        <f aca="false">IF($A199="","",IF(OR($T199&lt;&gt;"",$U199&lt;&gt;""),"Closed",IFERROR(INDEX(MapStage,MATCH($C199,MapStatus,0)),"Unmapped")))</f>
        <v/>
      </c>
      <c r="Y199" s="65" t="str">
        <f aca="false">IF(OR($X199="",$X199="Closed",$X199="Unmapped"),"",MATCH($X199,StageName,0))</f>
        <v/>
      </c>
      <c r="Z199" s="65" t="str">
        <f aca="false">IF(OR($Y199="",$I199=""),"",$I199-AsOf)</f>
        <v/>
      </c>
      <c r="AA199" s="65" t="str">
        <f aca="false">IF($A199="","",AsOf-$H199)</f>
        <v/>
      </c>
      <c r="AB199" s="65" t="str">
        <f aca="false">IF($A199="","",IF($X199="Closed","Closed",IF($X199="Unmapped","Unmapped",IF($I199="","No target",IF($Z199&lt;0,"Overdue",IF($Z199&lt;=INDEX(StageWindow,$Y199),"At risk","On track"))))))</f>
        <v/>
      </c>
      <c r="AC199" s="65" t="str">
        <f aca="false">IF($Y199="","",IF($AA199&gt;2*INDEX(StageStale,$Y199),"Stale",IF($AA199&gt;INDEX(StageStale,$Y199),"Aging","Fresh")))</f>
        <v/>
      </c>
      <c r="AD199" s="65" t="str">
        <f aca="false">IF($A199="","",IF(OR(ISNUMBER(SEARCH("Reg report",$J199)),ISNUMBER(SEARCH("No human review",$J199)),COUNTIF(TierFuncs,$D199)&gt;0),"High",IF(OR(TRIM($J199)&lt;&gt;"",ISNUMBER(SEARCH("revenue",$K199))),"Medium","Low")))</f>
        <v/>
      </c>
      <c r="AE199" s="65" t="str">
        <f aca="false">IF($A199="","",INDEX(TierDays,MATCH($AD199,TierName,0)))</f>
        <v/>
      </c>
      <c r="AF199" s="65" t="str">
        <f aca="false">IF($A199="","",AsOf-$G199)</f>
        <v/>
      </c>
      <c r="AG199" s="65" t="str">
        <f aca="false">IF($Y199="","",IF($Y199&lt;=5,IF($AF199&gt;$AE199,"Over","Inside"),"Past approval"))</f>
        <v/>
      </c>
      <c r="AH199" s="65" t="str">
        <f aca="false">IF($Y199="","",CHOOSE($Y199,IF(OR(TRIM($F199)="",ISNUMBER(SEARCH("not named",$F199))),"Critical","Good"),IF($O199&lt;&gt;"Y","Critical",IF($Q199&lt;&gt;"Y","Warning","Good")),IF($P199="","Critical",IF($P199="partial","Warning",IF($P199="ready","Good","Critical"))),IF($R199&lt;&gt;"","Critical","Warning"),IF($L199="","Critical",IF($N199="","Warning","Good")),IF($R199&lt;&gt;"","Critical","Warning"),IF($R199&lt;&gt;"","Critical","Warning"),IF($Q199="Y","Good","Critical")))</f>
        <v/>
      </c>
      <c r="AI199" s="65" t="str">
        <f aca="false">IF($Y199="","",CHOOSE($Y199,IF(OR(TRIM($F199)="",ISNUMBER(SEARCH("not named",$F199))),"Name a sponsor accountable for the value",""),IF($O199&lt;&gt;"Y","State the success metric and the stop condition",IF($Q199&lt;&gt;"Y","Set the baseline the benefit will be measured against","")),IF($P199="","Assess data readiness and regulatory impact",IF($P199="partial","Close the known data gaps",IF($P199="ready","","Data is not available; reshape or park"))),IF($R199&lt;&gt;"",IF(OR(ISNUMBER(SEARCH("mrm",$R199)),ISNUMBER(SEARCH("model",$R199)),ISNUMBER(SEARCH("risk",$R199)),ISNUMBER(SEARCH("legal",$R199)),ISNUMBER(SEARCH("complian",$R199))),"Awaiting ","Held at the design gate: ")&amp;$R199,"Map the governance framework for its tier"),IF($L199="","Size the annual benefit",IF($N199="","Score it so it can be ranked against capacity","")),IF($R199&lt;&gt;"","Build held: "&amp;$R199,"In build, not yet through test"),IF($R199&lt;&gt;"","Not ready to scale: "&amp;$R199,"Monitoring and third-party review not yet signed off"),IF($Q199="Y","","Live without a measured baseline to judge it against")))</f>
        <v/>
      </c>
      <c r="AJ199" s="65" t="str">
        <f aca="false">IF($Y199="","",INDEX(StageForum,$Y199))</f>
        <v/>
      </c>
      <c r="AK199" s="65" t="str">
        <f aca="false">IF($Y199="","",IF(OR($X199="Delivery",$X199="Value"),"Committed",IF($N199&lt;&gt;"","Candidate","")))</f>
        <v/>
      </c>
      <c r="AL199" s="65" t="str">
        <f aca="false">IF($AK199&lt;&gt;"Candidate","",COUNTIFS($AK$2:$AK$501,"Candidate",$N$2:$N$501,"&gt;"&amp;$N199)+COUNTIFS($AK$2:$AK$501,"Candidate",$N$2:$N$501,$N199,$A$2:$A$501,"&lt;"&amp;$A199)+1)</f>
        <v/>
      </c>
      <c r="AM199" s="65" t="str">
        <f aca="false">IF($AL199="","",SUMIFS($M$2:$M$501,$AK$2:$AK$501,"Candidate",$AL$2:$AL$501,"&lt;="&amp;$AL199))</f>
        <v/>
      </c>
      <c r="AN199" s="65" t="str">
        <f aca="false">IF($AL199="","",IF($AM199&lt;=CapacityOpen,"Fits","Below line"))</f>
        <v/>
      </c>
      <c r="AO199" s="65" t="str">
        <f aca="false">IF($A199="","",IF($X199="Closed","",IF($X199="Unmapped","Warning",IF(OR($AB199="Overdue",$V199="Y",$AH199="Critical"),"Critical",IF(OR($AB199="At risk",$AC199="Stale",$AG199="Over"),"Warning","")))))</f>
        <v/>
      </c>
      <c r="AP199" s="65" t="str">
        <f aca="false">IF($AO199="","",IF($AO199="Critical",3000,2000)-IF($Z199="",0,$Z199)+ROW()/100000)</f>
        <v/>
      </c>
      <c r="AQ199" s="65" t="str">
        <f aca="false">IF($AO199="","",IF($X199="Unmapped","Status '"&amp;$C199&amp;"' is not in the Config map",IF($V199="Y","Flagged in Jira",IF($AB199="Overdue",-$Z199&amp;" days past its "&amp;$X199&amp;" target",IF($AH199="Critical",$AI199,IF($AB199="At risk","Target in "&amp;$Z199&amp;" days",IF($AC199="Stale","No update in "&amp;$AA199&amp;" days","Past its "&amp;$AE199&amp;"-day tier window")))))))</f>
        <v/>
      </c>
      <c r="AR199" s="65" t="str">
        <f aca="false">IF($AO199="","","draft Jira update for "&amp;$A199)</f>
        <v/>
      </c>
      <c r="AS199" s="65" t="str">
        <f aca="false">IF($A199="","",HYPERLINK(JiraSite&amp;"/browse/"&amp;$A199,"open"))</f>
        <v/>
      </c>
      <c r="AT199" s="65" t="str">
        <f aca="false">IF($Y199="","",$Y199*1000+ROW())</f>
        <v/>
      </c>
      <c r="AU199" s="65" t="str">
        <f aca="false">IF(AND($A199&lt;&gt;"",$G199&gt;=WeekStart),$G199+ROW()/100000,"")</f>
        <v/>
      </c>
      <c r="AV199" s="65" t="str">
        <f aca="false">IF($A199="","",IF(OR(AND($S199&lt;&gt;"",$S199&gt;=WeekStart),AND($U199&lt;&gt;"",$U199&gt;=WeekStart)),MAX($S199,$U199)+ROW()/100000,""))</f>
        <v/>
      </c>
      <c r="AW199" s="65" t="str">
        <f aca="false">IF($AV199="","",IF($T199&lt;&gt;"",$T199,IF($X199="Closed","Closed","Accepted to "&amp;$X199)))</f>
        <v/>
      </c>
      <c r="AX199" s="65" t="str">
        <f aca="false">IF(AND($Y199&lt;&gt;"",$R199&lt;&gt;""),$AF199+ROW()/100000,"")</f>
        <v/>
      </c>
      <c r="AY199" s="65" t="str">
        <f aca="false">IF(AND($Y199&lt;&gt;"",OR($AB199="Overdue",AND($AH199="Critical",$R199&lt;&gt;""))),$AF199+ROW()/100000,"")</f>
        <v/>
      </c>
      <c r="AZ199" s="65" t="str">
        <f aca="false">IF($AH199="Critical",$AF199+ROW()/100000,"")</f>
        <v/>
      </c>
    </row>
    <row r="200" customFormat="false" ht="15" hidden="false" customHeight="false" outlineLevel="0" collapsed="false">
      <c r="A200" s="28"/>
      <c r="B200" s="28"/>
      <c r="C200" s="28"/>
      <c r="D200" s="28"/>
      <c r="E200" s="28"/>
      <c r="F200" s="28"/>
      <c r="G200" s="63"/>
      <c r="H200" s="63"/>
      <c r="I200" s="63"/>
      <c r="J200" s="28"/>
      <c r="K200" s="28"/>
      <c r="L200" s="28"/>
      <c r="M200" s="28"/>
      <c r="N200" s="28"/>
      <c r="O200" s="64"/>
      <c r="P200" s="64"/>
      <c r="Q200" s="64"/>
      <c r="R200" s="28"/>
      <c r="S200" s="63"/>
      <c r="T200" s="64"/>
      <c r="U200" s="63"/>
      <c r="V200" s="64"/>
      <c r="W200" s="28"/>
      <c r="X200" s="65" t="str">
        <f aca="false">IF($A200="","",IF(OR($T200&lt;&gt;"",$U200&lt;&gt;""),"Closed",IFERROR(INDEX(MapStage,MATCH($C200,MapStatus,0)),"Unmapped")))</f>
        <v/>
      </c>
      <c r="Y200" s="65" t="str">
        <f aca="false">IF(OR($X200="",$X200="Closed",$X200="Unmapped"),"",MATCH($X200,StageName,0))</f>
        <v/>
      </c>
      <c r="Z200" s="65" t="str">
        <f aca="false">IF(OR($Y200="",$I200=""),"",$I200-AsOf)</f>
        <v/>
      </c>
      <c r="AA200" s="65" t="str">
        <f aca="false">IF($A200="","",AsOf-$H200)</f>
        <v/>
      </c>
      <c r="AB200" s="65" t="str">
        <f aca="false">IF($A200="","",IF($X200="Closed","Closed",IF($X200="Unmapped","Unmapped",IF($I200="","No target",IF($Z200&lt;0,"Overdue",IF($Z200&lt;=INDEX(StageWindow,$Y200),"At risk","On track"))))))</f>
        <v/>
      </c>
      <c r="AC200" s="65" t="str">
        <f aca="false">IF($Y200="","",IF($AA200&gt;2*INDEX(StageStale,$Y200),"Stale",IF($AA200&gt;INDEX(StageStale,$Y200),"Aging","Fresh")))</f>
        <v/>
      </c>
      <c r="AD200" s="65" t="str">
        <f aca="false">IF($A200="","",IF(OR(ISNUMBER(SEARCH("Reg report",$J200)),ISNUMBER(SEARCH("No human review",$J200)),COUNTIF(TierFuncs,$D200)&gt;0),"High",IF(OR(TRIM($J200)&lt;&gt;"",ISNUMBER(SEARCH("revenue",$K200))),"Medium","Low")))</f>
        <v/>
      </c>
      <c r="AE200" s="65" t="str">
        <f aca="false">IF($A200="","",INDEX(TierDays,MATCH($AD200,TierName,0)))</f>
        <v/>
      </c>
      <c r="AF200" s="65" t="str">
        <f aca="false">IF($A200="","",AsOf-$G200)</f>
        <v/>
      </c>
      <c r="AG200" s="65" t="str">
        <f aca="false">IF($Y200="","",IF($Y200&lt;=5,IF($AF200&gt;$AE200,"Over","Inside"),"Past approval"))</f>
        <v/>
      </c>
      <c r="AH200" s="65" t="str">
        <f aca="false">IF($Y200="","",CHOOSE($Y200,IF(OR(TRIM($F200)="",ISNUMBER(SEARCH("not named",$F200))),"Critical","Good"),IF($O200&lt;&gt;"Y","Critical",IF($Q200&lt;&gt;"Y","Warning","Good")),IF($P200="","Critical",IF($P200="partial","Warning",IF($P200="ready","Good","Critical"))),IF($R200&lt;&gt;"","Critical","Warning"),IF($L200="","Critical",IF($N200="","Warning","Good")),IF($R200&lt;&gt;"","Critical","Warning"),IF($R200&lt;&gt;"","Critical","Warning"),IF($Q200="Y","Good","Critical")))</f>
        <v/>
      </c>
      <c r="AI200" s="65" t="str">
        <f aca="false">IF($Y200="","",CHOOSE($Y200,IF(OR(TRIM($F200)="",ISNUMBER(SEARCH("not named",$F200))),"Name a sponsor accountable for the value",""),IF($O200&lt;&gt;"Y","State the success metric and the stop condition",IF($Q200&lt;&gt;"Y","Set the baseline the benefit will be measured against","")),IF($P200="","Assess data readiness and regulatory impact",IF($P200="partial","Close the known data gaps",IF($P200="ready","","Data is not available; reshape or park"))),IF($R200&lt;&gt;"",IF(OR(ISNUMBER(SEARCH("mrm",$R200)),ISNUMBER(SEARCH("model",$R200)),ISNUMBER(SEARCH("risk",$R200)),ISNUMBER(SEARCH("legal",$R200)),ISNUMBER(SEARCH("complian",$R200))),"Awaiting ","Held at the design gate: ")&amp;$R200,"Map the governance framework for its tier"),IF($L200="","Size the annual benefit",IF($N200="","Score it so it can be ranked against capacity","")),IF($R200&lt;&gt;"","Build held: "&amp;$R200,"In build, not yet through test"),IF($R200&lt;&gt;"","Not ready to scale: "&amp;$R200,"Monitoring and third-party review not yet signed off"),IF($Q200="Y","","Live without a measured baseline to judge it against")))</f>
        <v/>
      </c>
      <c r="AJ200" s="65" t="str">
        <f aca="false">IF($Y200="","",INDEX(StageForum,$Y200))</f>
        <v/>
      </c>
      <c r="AK200" s="65" t="str">
        <f aca="false">IF($Y200="","",IF(OR($X200="Delivery",$X200="Value"),"Committed",IF($N200&lt;&gt;"","Candidate","")))</f>
        <v/>
      </c>
      <c r="AL200" s="65" t="str">
        <f aca="false">IF($AK200&lt;&gt;"Candidate","",COUNTIFS($AK$2:$AK$501,"Candidate",$N$2:$N$501,"&gt;"&amp;$N200)+COUNTIFS($AK$2:$AK$501,"Candidate",$N$2:$N$501,$N200,$A$2:$A$501,"&lt;"&amp;$A200)+1)</f>
        <v/>
      </c>
      <c r="AM200" s="65" t="str">
        <f aca="false">IF($AL200="","",SUMIFS($M$2:$M$501,$AK$2:$AK$501,"Candidate",$AL$2:$AL$501,"&lt;="&amp;$AL200))</f>
        <v/>
      </c>
      <c r="AN200" s="65" t="str">
        <f aca="false">IF($AL200="","",IF($AM200&lt;=CapacityOpen,"Fits","Below line"))</f>
        <v/>
      </c>
      <c r="AO200" s="65" t="str">
        <f aca="false">IF($A200="","",IF($X200="Closed","",IF($X200="Unmapped","Warning",IF(OR($AB200="Overdue",$V200="Y",$AH200="Critical"),"Critical",IF(OR($AB200="At risk",$AC200="Stale",$AG200="Over"),"Warning","")))))</f>
        <v/>
      </c>
      <c r="AP200" s="65" t="str">
        <f aca="false">IF($AO200="","",IF($AO200="Critical",3000,2000)-IF($Z200="",0,$Z200)+ROW()/100000)</f>
        <v/>
      </c>
      <c r="AQ200" s="65" t="str">
        <f aca="false">IF($AO200="","",IF($X200="Unmapped","Status '"&amp;$C200&amp;"' is not in the Config map",IF($V200="Y","Flagged in Jira",IF($AB200="Overdue",-$Z200&amp;" days past its "&amp;$X200&amp;" target",IF($AH200="Critical",$AI200,IF($AB200="At risk","Target in "&amp;$Z200&amp;" days",IF($AC200="Stale","No update in "&amp;$AA200&amp;" days","Past its "&amp;$AE200&amp;"-day tier window")))))))</f>
        <v/>
      </c>
      <c r="AR200" s="65" t="str">
        <f aca="false">IF($AO200="","","draft Jira update for "&amp;$A200)</f>
        <v/>
      </c>
      <c r="AS200" s="65" t="str">
        <f aca="false">IF($A200="","",HYPERLINK(JiraSite&amp;"/browse/"&amp;$A200,"open"))</f>
        <v/>
      </c>
      <c r="AT200" s="65" t="str">
        <f aca="false">IF($Y200="","",$Y200*1000+ROW())</f>
        <v/>
      </c>
      <c r="AU200" s="65" t="str">
        <f aca="false">IF(AND($A200&lt;&gt;"",$G200&gt;=WeekStart),$G200+ROW()/100000,"")</f>
        <v/>
      </c>
      <c r="AV200" s="65" t="str">
        <f aca="false">IF($A200="","",IF(OR(AND($S200&lt;&gt;"",$S200&gt;=WeekStart),AND($U200&lt;&gt;"",$U200&gt;=WeekStart)),MAX($S200,$U200)+ROW()/100000,""))</f>
        <v/>
      </c>
      <c r="AW200" s="65" t="str">
        <f aca="false">IF($AV200="","",IF($T200&lt;&gt;"",$T200,IF($X200="Closed","Closed","Accepted to "&amp;$X200)))</f>
        <v/>
      </c>
      <c r="AX200" s="65" t="str">
        <f aca="false">IF(AND($Y200&lt;&gt;"",$R200&lt;&gt;""),$AF200+ROW()/100000,"")</f>
        <v/>
      </c>
      <c r="AY200" s="65" t="str">
        <f aca="false">IF(AND($Y200&lt;&gt;"",OR($AB200="Overdue",AND($AH200="Critical",$R200&lt;&gt;""))),$AF200+ROW()/100000,"")</f>
        <v/>
      </c>
      <c r="AZ200" s="65" t="str">
        <f aca="false">IF($AH200="Critical",$AF200+ROW()/100000,"")</f>
        <v/>
      </c>
    </row>
    <row r="201" customFormat="false" ht="15" hidden="false" customHeight="false" outlineLevel="0" collapsed="false">
      <c r="A201" s="28"/>
      <c r="B201" s="28"/>
      <c r="C201" s="28"/>
      <c r="D201" s="28"/>
      <c r="E201" s="28"/>
      <c r="F201" s="28"/>
      <c r="G201" s="63"/>
      <c r="H201" s="63"/>
      <c r="I201" s="63"/>
      <c r="J201" s="28"/>
      <c r="K201" s="28"/>
      <c r="L201" s="28"/>
      <c r="M201" s="28"/>
      <c r="N201" s="28"/>
      <c r="O201" s="64"/>
      <c r="P201" s="64"/>
      <c r="Q201" s="64"/>
      <c r="R201" s="28"/>
      <c r="S201" s="63"/>
      <c r="T201" s="64"/>
      <c r="U201" s="63"/>
      <c r="V201" s="64"/>
      <c r="W201" s="28"/>
      <c r="X201" s="65" t="str">
        <f aca="false">IF($A201="","",IF(OR($T201&lt;&gt;"",$U201&lt;&gt;""),"Closed",IFERROR(INDEX(MapStage,MATCH($C201,MapStatus,0)),"Unmapped")))</f>
        <v/>
      </c>
      <c r="Y201" s="65" t="str">
        <f aca="false">IF(OR($X201="",$X201="Closed",$X201="Unmapped"),"",MATCH($X201,StageName,0))</f>
        <v/>
      </c>
      <c r="Z201" s="65" t="str">
        <f aca="false">IF(OR($Y201="",$I201=""),"",$I201-AsOf)</f>
        <v/>
      </c>
      <c r="AA201" s="65" t="str">
        <f aca="false">IF($A201="","",AsOf-$H201)</f>
        <v/>
      </c>
      <c r="AB201" s="65" t="str">
        <f aca="false">IF($A201="","",IF($X201="Closed","Closed",IF($X201="Unmapped","Unmapped",IF($I201="","No target",IF($Z201&lt;0,"Overdue",IF($Z201&lt;=INDEX(StageWindow,$Y201),"At risk","On track"))))))</f>
        <v/>
      </c>
      <c r="AC201" s="65" t="str">
        <f aca="false">IF($Y201="","",IF($AA201&gt;2*INDEX(StageStale,$Y201),"Stale",IF($AA201&gt;INDEX(StageStale,$Y201),"Aging","Fresh")))</f>
        <v/>
      </c>
      <c r="AD201" s="65" t="str">
        <f aca="false">IF($A201="","",IF(OR(ISNUMBER(SEARCH("Reg report",$J201)),ISNUMBER(SEARCH("No human review",$J201)),COUNTIF(TierFuncs,$D201)&gt;0),"High",IF(OR(TRIM($J201)&lt;&gt;"",ISNUMBER(SEARCH("revenue",$K201))),"Medium","Low")))</f>
        <v/>
      </c>
      <c r="AE201" s="65" t="str">
        <f aca="false">IF($A201="","",INDEX(TierDays,MATCH($AD201,TierName,0)))</f>
        <v/>
      </c>
      <c r="AF201" s="65" t="str">
        <f aca="false">IF($A201="","",AsOf-$G201)</f>
        <v/>
      </c>
      <c r="AG201" s="65" t="str">
        <f aca="false">IF($Y201="","",IF($Y201&lt;=5,IF($AF201&gt;$AE201,"Over","Inside"),"Past approval"))</f>
        <v/>
      </c>
      <c r="AH201" s="65" t="str">
        <f aca="false">IF($Y201="","",CHOOSE($Y201,IF(OR(TRIM($F201)="",ISNUMBER(SEARCH("not named",$F201))),"Critical","Good"),IF($O201&lt;&gt;"Y","Critical",IF($Q201&lt;&gt;"Y","Warning","Good")),IF($P201="","Critical",IF($P201="partial","Warning",IF($P201="ready","Good","Critical"))),IF($R201&lt;&gt;"","Critical","Warning"),IF($L201="","Critical",IF($N201="","Warning","Good")),IF($R201&lt;&gt;"","Critical","Warning"),IF($R201&lt;&gt;"","Critical","Warning"),IF($Q201="Y","Good","Critical")))</f>
        <v/>
      </c>
      <c r="AI201" s="65" t="str">
        <f aca="false">IF($Y201="","",CHOOSE($Y201,IF(OR(TRIM($F201)="",ISNUMBER(SEARCH("not named",$F201))),"Name a sponsor accountable for the value",""),IF($O201&lt;&gt;"Y","State the success metric and the stop condition",IF($Q201&lt;&gt;"Y","Set the baseline the benefit will be measured against","")),IF($P201="","Assess data readiness and regulatory impact",IF($P201="partial","Close the known data gaps",IF($P201="ready","","Data is not available; reshape or park"))),IF($R201&lt;&gt;"",IF(OR(ISNUMBER(SEARCH("mrm",$R201)),ISNUMBER(SEARCH("model",$R201)),ISNUMBER(SEARCH("risk",$R201)),ISNUMBER(SEARCH("legal",$R201)),ISNUMBER(SEARCH("complian",$R201))),"Awaiting ","Held at the design gate: ")&amp;$R201,"Map the governance framework for its tier"),IF($L201="","Size the annual benefit",IF($N201="","Score it so it can be ranked against capacity","")),IF($R201&lt;&gt;"","Build held: "&amp;$R201,"In build, not yet through test"),IF($R201&lt;&gt;"","Not ready to scale: "&amp;$R201,"Monitoring and third-party review not yet signed off"),IF($Q201="Y","","Live without a measured baseline to judge it against")))</f>
        <v/>
      </c>
      <c r="AJ201" s="65" t="str">
        <f aca="false">IF($Y201="","",INDEX(StageForum,$Y201))</f>
        <v/>
      </c>
      <c r="AK201" s="65" t="str">
        <f aca="false">IF($Y201="","",IF(OR($X201="Delivery",$X201="Value"),"Committed",IF($N201&lt;&gt;"","Candidate","")))</f>
        <v/>
      </c>
      <c r="AL201" s="65" t="str">
        <f aca="false">IF($AK201&lt;&gt;"Candidate","",COUNTIFS($AK$2:$AK$501,"Candidate",$N$2:$N$501,"&gt;"&amp;$N201)+COUNTIFS($AK$2:$AK$501,"Candidate",$N$2:$N$501,$N201,$A$2:$A$501,"&lt;"&amp;$A201)+1)</f>
        <v/>
      </c>
      <c r="AM201" s="65" t="str">
        <f aca="false">IF($AL201="","",SUMIFS($M$2:$M$501,$AK$2:$AK$501,"Candidate",$AL$2:$AL$501,"&lt;="&amp;$AL201))</f>
        <v/>
      </c>
      <c r="AN201" s="65" t="str">
        <f aca="false">IF($AL201="","",IF($AM201&lt;=CapacityOpen,"Fits","Below line"))</f>
        <v/>
      </c>
      <c r="AO201" s="65" t="str">
        <f aca="false">IF($A201="","",IF($X201="Closed","",IF($X201="Unmapped","Warning",IF(OR($AB201="Overdue",$V201="Y",$AH201="Critical"),"Critical",IF(OR($AB201="At risk",$AC201="Stale",$AG201="Over"),"Warning","")))))</f>
        <v/>
      </c>
      <c r="AP201" s="65" t="str">
        <f aca="false">IF($AO201="","",IF($AO201="Critical",3000,2000)-IF($Z201="",0,$Z201)+ROW()/100000)</f>
        <v/>
      </c>
      <c r="AQ201" s="65" t="str">
        <f aca="false">IF($AO201="","",IF($X201="Unmapped","Status '"&amp;$C201&amp;"' is not in the Config map",IF($V201="Y","Flagged in Jira",IF($AB201="Overdue",-$Z201&amp;" days past its "&amp;$X201&amp;" target",IF($AH201="Critical",$AI201,IF($AB201="At risk","Target in "&amp;$Z201&amp;" days",IF($AC201="Stale","No update in "&amp;$AA201&amp;" days","Past its "&amp;$AE201&amp;"-day tier window")))))))</f>
        <v/>
      </c>
      <c r="AR201" s="65" t="str">
        <f aca="false">IF($AO201="","","draft Jira update for "&amp;$A201)</f>
        <v/>
      </c>
      <c r="AS201" s="65" t="str">
        <f aca="false">IF($A201="","",HYPERLINK(JiraSite&amp;"/browse/"&amp;$A201,"open"))</f>
        <v/>
      </c>
      <c r="AT201" s="65" t="str">
        <f aca="false">IF($Y201="","",$Y201*1000+ROW())</f>
        <v/>
      </c>
      <c r="AU201" s="65" t="str">
        <f aca="false">IF(AND($A201&lt;&gt;"",$G201&gt;=WeekStart),$G201+ROW()/100000,"")</f>
        <v/>
      </c>
      <c r="AV201" s="65" t="str">
        <f aca="false">IF($A201="","",IF(OR(AND($S201&lt;&gt;"",$S201&gt;=WeekStart),AND($U201&lt;&gt;"",$U201&gt;=WeekStart)),MAX($S201,$U201)+ROW()/100000,""))</f>
        <v/>
      </c>
      <c r="AW201" s="65" t="str">
        <f aca="false">IF($AV201="","",IF($T201&lt;&gt;"",$T201,IF($X201="Closed","Closed","Accepted to "&amp;$X201)))</f>
        <v/>
      </c>
      <c r="AX201" s="65" t="str">
        <f aca="false">IF(AND($Y201&lt;&gt;"",$R201&lt;&gt;""),$AF201+ROW()/100000,"")</f>
        <v/>
      </c>
      <c r="AY201" s="65" t="str">
        <f aca="false">IF(AND($Y201&lt;&gt;"",OR($AB201="Overdue",AND($AH201="Critical",$R201&lt;&gt;""))),$AF201+ROW()/100000,"")</f>
        <v/>
      </c>
      <c r="AZ201" s="65" t="str">
        <f aca="false">IF($AH201="Critical",$AF201+ROW()/100000,"")</f>
        <v/>
      </c>
    </row>
    <row r="202" customFormat="false" ht="15" hidden="false" customHeight="false" outlineLevel="0" collapsed="false">
      <c r="A202" s="28"/>
      <c r="B202" s="28"/>
      <c r="C202" s="28"/>
      <c r="D202" s="28"/>
      <c r="E202" s="28"/>
      <c r="F202" s="28"/>
      <c r="G202" s="63"/>
      <c r="H202" s="63"/>
      <c r="I202" s="63"/>
      <c r="J202" s="28"/>
      <c r="K202" s="28"/>
      <c r="L202" s="28"/>
      <c r="M202" s="28"/>
      <c r="N202" s="28"/>
      <c r="O202" s="64"/>
      <c r="P202" s="64"/>
      <c r="Q202" s="64"/>
      <c r="R202" s="28"/>
      <c r="S202" s="63"/>
      <c r="T202" s="64"/>
      <c r="U202" s="63"/>
      <c r="V202" s="64"/>
      <c r="W202" s="28"/>
      <c r="X202" s="65" t="str">
        <f aca="false">IF($A202="","",IF(OR($T202&lt;&gt;"",$U202&lt;&gt;""),"Closed",IFERROR(INDEX(MapStage,MATCH($C202,MapStatus,0)),"Unmapped")))</f>
        <v/>
      </c>
      <c r="Y202" s="65" t="str">
        <f aca="false">IF(OR($X202="",$X202="Closed",$X202="Unmapped"),"",MATCH($X202,StageName,0))</f>
        <v/>
      </c>
      <c r="Z202" s="65" t="str">
        <f aca="false">IF(OR($Y202="",$I202=""),"",$I202-AsOf)</f>
        <v/>
      </c>
      <c r="AA202" s="65" t="str">
        <f aca="false">IF($A202="","",AsOf-$H202)</f>
        <v/>
      </c>
      <c r="AB202" s="65" t="str">
        <f aca="false">IF($A202="","",IF($X202="Closed","Closed",IF($X202="Unmapped","Unmapped",IF($I202="","No target",IF($Z202&lt;0,"Overdue",IF($Z202&lt;=INDEX(StageWindow,$Y202),"At risk","On track"))))))</f>
        <v/>
      </c>
      <c r="AC202" s="65" t="str">
        <f aca="false">IF($Y202="","",IF($AA202&gt;2*INDEX(StageStale,$Y202),"Stale",IF($AA202&gt;INDEX(StageStale,$Y202),"Aging","Fresh")))</f>
        <v/>
      </c>
      <c r="AD202" s="65" t="str">
        <f aca="false">IF($A202="","",IF(OR(ISNUMBER(SEARCH("Reg report",$J202)),ISNUMBER(SEARCH("No human review",$J202)),COUNTIF(TierFuncs,$D202)&gt;0),"High",IF(OR(TRIM($J202)&lt;&gt;"",ISNUMBER(SEARCH("revenue",$K202))),"Medium","Low")))</f>
        <v/>
      </c>
      <c r="AE202" s="65" t="str">
        <f aca="false">IF($A202="","",INDEX(TierDays,MATCH($AD202,TierName,0)))</f>
        <v/>
      </c>
      <c r="AF202" s="65" t="str">
        <f aca="false">IF($A202="","",AsOf-$G202)</f>
        <v/>
      </c>
      <c r="AG202" s="65" t="str">
        <f aca="false">IF($Y202="","",IF($Y202&lt;=5,IF($AF202&gt;$AE202,"Over","Inside"),"Past approval"))</f>
        <v/>
      </c>
      <c r="AH202" s="65" t="str">
        <f aca="false">IF($Y202="","",CHOOSE($Y202,IF(OR(TRIM($F202)="",ISNUMBER(SEARCH("not named",$F202))),"Critical","Good"),IF($O202&lt;&gt;"Y","Critical",IF($Q202&lt;&gt;"Y","Warning","Good")),IF($P202="","Critical",IF($P202="partial","Warning",IF($P202="ready","Good","Critical"))),IF($R202&lt;&gt;"","Critical","Warning"),IF($L202="","Critical",IF($N202="","Warning","Good")),IF($R202&lt;&gt;"","Critical","Warning"),IF($R202&lt;&gt;"","Critical","Warning"),IF($Q202="Y","Good","Critical")))</f>
        <v/>
      </c>
      <c r="AI202" s="65" t="str">
        <f aca="false">IF($Y202="","",CHOOSE($Y202,IF(OR(TRIM($F202)="",ISNUMBER(SEARCH("not named",$F202))),"Name a sponsor accountable for the value",""),IF($O202&lt;&gt;"Y","State the success metric and the stop condition",IF($Q202&lt;&gt;"Y","Set the baseline the benefit will be measured against","")),IF($P202="","Assess data readiness and regulatory impact",IF($P202="partial","Close the known data gaps",IF($P202="ready","","Data is not available; reshape or park"))),IF($R202&lt;&gt;"",IF(OR(ISNUMBER(SEARCH("mrm",$R202)),ISNUMBER(SEARCH("model",$R202)),ISNUMBER(SEARCH("risk",$R202)),ISNUMBER(SEARCH("legal",$R202)),ISNUMBER(SEARCH("complian",$R202))),"Awaiting ","Held at the design gate: ")&amp;$R202,"Map the governance framework for its tier"),IF($L202="","Size the annual benefit",IF($N202="","Score it so it can be ranked against capacity","")),IF($R202&lt;&gt;"","Build held: "&amp;$R202,"In build, not yet through test"),IF($R202&lt;&gt;"","Not ready to scale: "&amp;$R202,"Monitoring and third-party review not yet signed off"),IF($Q202="Y","","Live without a measured baseline to judge it against")))</f>
        <v/>
      </c>
      <c r="AJ202" s="65" t="str">
        <f aca="false">IF($Y202="","",INDEX(StageForum,$Y202))</f>
        <v/>
      </c>
      <c r="AK202" s="65" t="str">
        <f aca="false">IF($Y202="","",IF(OR($X202="Delivery",$X202="Value"),"Committed",IF($N202&lt;&gt;"","Candidate","")))</f>
        <v/>
      </c>
      <c r="AL202" s="65" t="str">
        <f aca="false">IF($AK202&lt;&gt;"Candidate","",COUNTIFS($AK$2:$AK$501,"Candidate",$N$2:$N$501,"&gt;"&amp;$N202)+COUNTIFS($AK$2:$AK$501,"Candidate",$N$2:$N$501,$N202,$A$2:$A$501,"&lt;"&amp;$A202)+1)</f>
        <v/>
      </c>
      <c r="AM202" s="65" t="str">
        <f aca="false">IF($AL202="","",SUMIFS($M$2:$M$501,$AK$2:$AK$501,"Candidate",$AL$2:$AL$501,"&lt;="&amp;$AL202))</f>
        <v/>
      </c>
      <c r="AN202" s="65" t="str">
        <f aca="false">IF($AL202="","",IF($AM202&lt;=CapacityOpen,"Fits","Below line"))</f>
        <v/>
      </c>
      <c r="AO202" s="65" t="str">
        <f aca="false">IF($A202="","",IF($X202="Closed","",IF($X202="Unmapped","Warning",IF(OR($AB202="Overdue",$V202="Y",$AH202="Critical"),"Critical",IF(OR($AB202="At risk",$AC202="Stale",$AG202="Over"),"Warning","")))))</f>
        <v/>
      </c>
      <c r="AP202" s="65" t="str">
        <f aca="false">IF($AO202="","",IF($AO202="Critical",3000,2000)-IF($Z202="",0,$Z202)+ROW()/100000)</f>
        <v/>
      </c>
      <c r="AQ202" s="65" t="str">
        <f aca="false">IF($AO202="","",IF($X202="Unmapped","Status '"&amp;$C202&amp;"' is not in the Config map",IF($V202="Y","Flagged in Jira",IF($AB202="Overdue",-$Z202&amp;" days past its "&amp;$X202&amp;" target",IF($AH202="Critical",$AI202,IF($AB202="At risk","Target in "&amp;$Z202&amp;" days",IF($AC202="Stale","No update in "&amp;$AA202&amp;" days","Past its "&amp;$AE202&amp;"-day tier window")))))))</f>
        <v/>
      </c>
      <c r="AR202" s="65" t="str">
        <f aca="false">IF($AO202="","","draft Jira update for "&amp;$A202)</f>
        <v/>
      </c>
      <c r="AS202" s="65" t="str">
        <f aca="false">IF($A202="","",HYPERLINK(JiraSite&amp;"/browse/"&amp;$A202,"open"))</f>
        <v/>
      </c>
      <c r="AT202" s="65" t="str">
        <f aca="false">IF($Y202="","",$Y202*1000+ROW())</f>
        <v/>
      </c>
      <c r="AU202" s="65" t="str">
        <f aca="false">IF(AND($A202&lt;&gt;"",$G202&gt;=WeekStart),$G202+ROW()/100000,"")</f>
        <v/>
      </c>
      <c r="AV202" s="65" t="str">
        <f aca="false">IF($A202="","",IF(OR(AND($S202&lt;&gt;"",$S202&gt;=WeekStart),AND($U202&lt;&gt;"",$U202&gt;=WeekStart)),MAX($S202,$U202)+ROW()/100000,""))</f>
        <v/>
      </c>
      <c r="AW202" s="65" t="str">
        <f aca="false">IF($AV202="","",IF($T202&lt;&gt;"",$T202,IF($X202="Closed","Closed","Accepted to "&amp;$X202)))</f>
        <v/>
      </c>
      <c r="AX202" s="65" t="str">
        <f aca="false">IF(AND($Y202&lt;&gt;"",$R202&lt;&gt;""),$AF202+ROW()/100000,"")</f>
        <v/>
      </c>
      <c r="AY202" s="65" t="str">
        <f aca="false">IF(AND($Y202&lt;&gt;"",OR($AB202="Overdue",AND($AH202="Critical",$R202&lt;&gt;""))),$AF202+ROW()/100000,"")</f>
        <v/>
      </c>
      <c r="AZ202" s="65" t="str">
        <f aca="false">IF($AH202="Critical",$AF202+ROW()/100000,"")</f>
        <v/>
      </c>
    </row>
    <row r="203" customFormat="false" ht="15" hidden="false" customHeight="false" outlineLevel="0" collapsed="false">
      <c r="A203" s="28"/>
      <c r="B203" s="28"/>
      <c r="C203" s="28"/>
      <c r="D203" s="28"/>
      <c r="E203" s="28"/>
      <c r="F203" s="28"/>
      <c r="G203" s="63"/>
      <c r="H203" s="63"/>
      <c r="I203" s="63"/>
      <c r="J203" s="28"/>
      <c r="K203" s="28"/>
      <c r="L203" s="28"/>
      <c r="M203" s="28"/>
      <c r="N203" s="28"/>
      <c r="O203" s="64"/>
      <c r="P203" s="64"/>
      <c r="Q203" s="64"/>
      <c r="R203" s="28"/>
      <c r="S203" s="63"/>
      <c r="T203" s="64"/>
      <c r="U203" s="63"/>
      <c r="V203" s="64"/>
      <c r="W203" s="28"/>
      <c r="X203" s="65" t="str">
        <f aca="false">IF($A203="","",IF(OR($T203&lt;&gt;"",$U203&lt;&gt;""),"Closed",IFERROR(INDEX(MapStage,MATCH($C203,MapStatus,0)),"Unmapped")))</f>
        <v/>
      </c>
      <c r="Y203" s="65" t="str">
        <f aca="false">IF(OR($X203="",$X203="Closed",$X203="Unmapped"),"",MATCH($X203,StageName,0))</f>
        <v/>
      </c>
      <c r="Z203" s="65" t="str">
        <f aca="false">IF(OR($Y203="",$I203=""),"",$I203-AsOf)</f>
        <v/>
      </c>
      <c r="AA203" s="65" t="str">
        <f aca="false">IF($A203="","",AsOf-$H203)</f>
        <v/>
      </c>
      <c r="AB203" s="65" t="str">
        <f aca="false">IF($A203="","",IF($X203="Closed","Closed",IF($X203="Unmapped","Unmapped",IF($I203="","No target",IF($Z203&lt;0,"Overdue",IF($Z203&lt;=INDEX(StageWindow,$Y203),"At risk","On track"))))))</f>
        <v/>
      </c>
      <c r="AC203" s="65" t="str">
        <f aca="false">IF($Y203="","",IF($AA203&gt;2*INDEX(StageStale,$Y203),"Stale",IF($AA203&gt;INDEX(StageStale,$Y203),"Aging","Fresh")))</f>
        <v/>
      </c>
      <c r="AD203" s="65" t="str">
        <f aca="false">IF($A203="","",IF(OR(ISNUMBER(SEARCH("Reg report",$J203)),ISNUMBER(SEARCH("No human review",$J203)),COUNTIF(TierFuncs,$D203)&gt;0),"High",IF(OR(TRIM($J203)&lt;&gt;"",ISNUMBER(SEARCH("revenue",$K203))),"Medium","Low")))</f>
        <v/>
      </c>
      <c r="AE203" s="65" t="str">
        <f aca="false">IF($A203="","",INDEX(TierDays,MATCH($AD203,TierName,0)))</f>
        <v/>
      </c>
      <c r="AF203" s="65" t="str">
        <f aca="false">IF($A203="","",AsOf-$G203)</f>
        <v/>
      </c>
      <c r="AG203" s="65" t="str">
        <f aca="false">IF($Y203="","",IF($Y203&lt;=5,IF($AF203&gt;$AE203,"Over","Inside"),"Past approval"))</f>
        <v/>
      </c>
      <c r="AH203" s="65" t="str">
        <f aca="false">IF($Y203="","",CHOOSE($Y203,IF(OR(TRIM($F203)="",ISNUMBER(SEARCH("not named",$F203))),"Critical","Good"),IF($O203&lt;&gt;"Y","Critical",IF($Q203&lt;&gt;"Y","Warning","Good")),IF($P203="","Critical",IF($P203="partial","Warning",IF($P203="ready","Good","Critical"))),IF($R203&lt;&gt;"","Critical","Warning"),IF($L203="","Critical",IF($N203="","Warning","Good")),IF($R203&lt;&gt;"","Critical","Warning"),IF($R203&lt;&gt;"","Critical","Warning"),IF($Q203="Y","Good","Critical")))</f>
        <v/>
      </c>
      <c r="AI203" s="65" t="str">
        <f aca="false">IF($Y203="","",CHOOSE($Y203,IF(OR(TRIM($F203)="",ISNUMBER(SEARCH("not named",$F203))),"Name a sponsor accountable for the value",""),IF($O203&lt;&gt;"Y","State the success metric and the stop condition",IF($Q203&lt;&gt;"Y","Set the baseline the benefit will be measured against","")),IF($P203="","Assess data readiness and regulatory impact",IF($P203="partial","Close the known data gaps",IF($P203="ready","","Data is not available; reshape or park"))),IF($R203&lt;&gt;"",IF(OR(ISNUMBER(SEARCH("mrm",$R203)),ISNUMBER(SEARCH("model",$R203)),ISNUMBER(SEARCH("risk",$R203)),ISNUMBER(SEARCH("legal",$R203)),ISNUMBER(SEARCH("complian",$R203))),"Awaiting ","Held at the design gate: ")&amp;$R203,"Map the governance framework for its tier"),IF($L203="","Size the annual benefit",IF($N203="","Score it so it can be ranked against capacity","")),IF($R203&lt;&gt;"","Build held: "&amp;$R203,"In build, not yet through test"),IF($R203&lt;&gt;"","Not ready to scale: "&amp;$R203,"Monitoring and third-party review not yet signed off"),IF($Q203="Y","","Live without a measured baseline to judge it against")))</f>
        <v/>
      </c>
      <c r="AJ203" s="65" t="str">
        <f aca="false">IF($Y203="","",INDEX(StageForum,$Y203))</f>
        <v/>
      </c>
      <c r="AK203" s="65" t="str">
        <f aca="false">IF($Y203="","",IF(OR($X203="Delivery",$X203="Value"),"Committed",IF($N203&lt;&gt;"","Candidate","")))</f>
        <v/>
      </c>
      <c r="AL203" s="65" t="str">
        <f aca="false">IF($AK203&lt;&gt;"Candidate","",COUNTIFS($AK$2:$AK$501,"Candidate",$N$2:$N$501,"&gt;"&amp;$N203)+COUNTIFS($AK$2:$AK$501,"Candidate",$N$2:$N$501,$N203,$A$2:$A$501,"&lt;"&amp;$A203)+1)</f>
        <v/>
      </c>
      <c r="AM203" s="65" t="str">
        <f aca="false">IF($AL203="","",SUMIFS($M$2:$M$501,$AK$2:$AK$501,"Candidate",$AL$2:$AL$501,"&lt;="&amp;$AL203))</f>
        <v/>
      </c>
      <c r="AN203" s="65" t="str">
        <f aca="false">IF($AL203="","",IF($AM203&lt;=CapacityOpen,"Fits","Below line"))</f>
        <v/>
      </c>
      <c r="AO203" s="65" t="str">
        <f aca="false">IF($A203="","",IF($X203="Closed","",IF($X203="Unmapped","Warning",IF(OR($AB203="Overdue",$V203="Y",$AH203="Critical"),"Critical",IF(OR($AB203="At risk",$AC203="Stale",$AG203="Over"),"Warning","")))))</f>
        <v/>
      </c>
      <c r="AP203" s="65" t="str">
        <f aca="false">IF($AO203="","",IF($AO203="Critical",3000,2000)-IF($Z203="",0,$Z203)+ROW()/100000)</f>
        <v/>
      </c>
      <c r="AQ203" s="65" t="str">
        <f aca="false">IF($AO203="","",IF($X203="Unmapped","Status '"&amp;$C203&amp;"' is not in the Config map",IF($V203="Y","Flagged in Jira",IF($AB203="Overdue",-$Z203&amp;" days past its "&amp;$X203&amp;" target",IF($AH203="Critical",$AI203,IF($AB203="At risk","Target in "&amp;$Z203&amp;" days",IF($AC203="Stale","No update in "&amp;$AA203&amp;" days","Past its "&amp;$AE203&amp;"-day tier window")))))))</f>
        <v/>
      </c>
      <c r="AR203" s="65" t="str">
        <f aca="false">IF($AO203="","","draft Jira update for "&amp;$A203)</f>
        <v/>
      </c>
      <c r="AS203" s="65" t="str">
        <f aca="false">IF($A203="","",HYPERLINK(JiraSite&amp;"/browse/"&amp;$A203,"open"))</f>
        <v/>
      </c>
      <c r="AT203" s="65" t="str">
        <f aca="false">IF($Y203="","",$Y203*1000+ROW())</f>
        <v/>
      </c>
      <c r="AU203" s="65" t="str">
        <f aca="false">IF(AND($A203&lt;&gt;"",$G203&gt;=WeekStart),$G203+ROW()/100000,"")</f>
        <v/>
      </c>
      <c r="AV203" s="65" t="str">
        <f aca="false">IF($A203="","",IF(OR(AND($S203&lt;&gt;"",$S203&gt;=WeekStart),AND($U203&lt;&gt;"",$U203&gt;=WeekStart)),MAX($S203,$U203)+ROW()/100000,""))</f>
        <v/>
      </c>
      <c r="AW203" s="65" t="str">
        <f aca="false">IF($AV203="","",IF($T203&lt;&gt;"",$T203,IF($X203="Closed","Closed","Accepted to "&amp;$X203)))</f>
        <v/>
      </c>
      <c r="AX203" s="65" t="str">
        <f aca="false">IF(AND($Y203&lt;&gt;"",$R203&lt;&gt;""),$AF203+ROW()/100000,"")</f>
        <v/>
      </c>
      <c r="AY203" s="65" t="str">
        <f aca="false">IF(AND($Y203&lt;&gt;"",OR($AB203="Overdue",AND($AH203="Critical",$R203&lt;&gt;""))),$AF203+ROW()/100000,"")</f>
        <v/>
      </c>
      <c r="AZ203" s="65" t="str">
        <f aca="false">IF($AH203="Critical",$AF203+ROW()/100000,"")</f>
        <v/>
      </c>
    </row>
    <row r="204" customFormat="false" ht="15" hidden="false" customHeight="false" outlineLevel="0" collapsed="false">
      <c r="A204" s="28"/>
      <c r="B204" s="28"/>
      <c r="C204" s="28"/>
      <c r="D204" s="28"/>
      <c r="E204" s="28"/>
      <c r="F204" s="28"/>
      <c r="G204" s="63"/>
      <c r="H204" s="63"/>
      <c r="I204" s="63"/>
      <c r="J204" s="28"/>
      <c r="K204" s="28"/>
      <c r="L204" s="28"/>
      <c r="M204" s="28"/>
      <c r="N204" s="28"/>
      <c r="O204" s="64"/>
      <c r="P204" s="64"/>
      <c r="Q204" s="64"/>
      <c r="R204" s="28"/>
      <c r="S204" s="63"/>
      <c r="T204" s="64"/>
      <c r="U204" s="63"/>
      <c r="V204" s="64"/>
      <c r="W204" s="28"/>
      <c r="X204" s="65" t="str">
        <f aca="false">IF($A204="","",IF(OR($T204&lt;&gt;"",$U204&lt;&gt;""),"Closed",IFERROR(INDEX(MapStage,MATCH($C204,MapStatus,0)),"Unmapped")))</f>
        <v/>
      </c>
      <c r="Y204" s="65" t="str">
        <f aca="false">IF(OR($X204="",$X204="Closed",$X204="Unmapped"),"",MATCH($X204,StageName,0))</f>
        <v/>
      </c>
      <c r="Z204" s="65" t="str">
        <f aca="false">IF(OR($Y204="",$I204=""),"",$I204-AsOf)</f>
        <v/>
      </c>
      <c r="AA204" s="65" t="str">
        <f aca="false">IF($A204="","",AsOf-$H204)</f>
        <v/>
      </c>
      <c r="AB204" s="65" t="str">
        <f aca="false">IF($A204="","",IF($X204="Closed","Closed",IF($X204="Unmapped","Unmapped",IF($I204="","No target",IF($Z204&lt;0,"Overdue",IF($Z204&lt;=INDEX(StageWindow,$Y204),"At risk","On track"))))))</f>
        <v/>
      </c>
      <c r="AC204" s="65" t="str">
        <f aca="false">IF($Y204="","",IF($AA204&gt;2*INDEX(StageStale,$Y204),"Stale",IF($AA204&gt;INDEX(StageStale,$Y204),"Aging","Fresh")))</f>
        <v/>
      </c>
      <c r="AD204" s="65" t="str">
        <f aca="false">IF($A204="","",IF(OR(ISNUMBER(SEARCH("Reg report",$J204)),ISNUMBER(SEARCH("No human review",$J204)),COUNTIF(TierFuncs,$D204)&gt;0),"High",IF(OR(TRIM($J204)&lt;&gt;"",ISNUMBER(SEARCH("revenue",$K204))),"Medium","Low")))</f>
        <v/>
      </c>
      <c r="AE204" s="65" t="str">
        <f aca="false">IF($A204="","",INDEX(TierDays,MATCH($AD204,TierName,0)))</f>
        <v/>
      </c>
      <c r="AF204" s="65" t="str">
        <f aca="false">IF($A204="","",AsOf-$G204)</f>
        <v/>
      </c>
      <c r="AG204" s="65" t="str">
        <f aca="false">IF($Y204="","",IF($Y204&lt;=5,IF($AF204&gt;$AE204,"Over","Inside"),"Past approval"))</f>
        <v/>
      </c>
      <c r="AH204" s="65" t="str">
        <f aca="false">IF($Y204="","",CHOOSE($Y204,IF(OR(TRIM($F204)="",ISNUMBER(SEARCH("not named",$F204))),"Critical","Good"),IF($O204&lt;&gt;"Y","Critical",IF($Q204&lt;&gt;"Y","Warning","Good")),IF($P204="","Critical",IF($P204="partial","Warning",IF($P204="ready","Good","Critical"))),IF($R204&lt;&gt;"","Critical","Warning"),IF($L204="","Critical",IF($N204="","Warning","Good")),IF($R204&lt;&gt;"","Critical","Warning"),IF($R204&lt;&gt;"","Critical","Warning"),IF($Q204="Y","Good","Critical")))</f>
        <v/>
      </c>
      <c r="AI204" s="65" t="str">
        <f aca="false">IF($Y204="","",CHOOSE($Y204,IF(OR(TRIM($F204)="",ISNUMBER(SEARCH("not named",$F204))),"Name a sponsor accountable for the value",""),IF($O204&lt;&gt;"Y","State the success metric and the stop condition",IF($Q204&lt;&gt;"Y","Set the baseline the benefit will be measured against","")),IF($P204="","Assess data readiness and regulatory impact",IF($P204="partial","Close the known data gaps",IF($P204="ready","","Data is not available; reshape or park"))),IF($R204&lt;&gt;"",IF(OR(ISNUMBER(SEARCH("mrm",$R204)),ISNUMBER(SEARCH("model",$R204)),ISNUMBER(SEARCH("risk",$R204)),ISNUMBER(SEARCH("legal",$R204)),ISNUMBER(SEARCH("complian",$R204))),"Awaiting ","Held at the design gate: ")&amp;$R204,"Map the governance framework for its tier"),IF($L204="","Size the annual benefit",IF($N204="","Score it so it can be ranked against capacity","")),IF($R204&lt;&gt;"","Build held: "&amp;$R204,"In build, not yet through test"),IF($R204&lt;&gt;"","Not ready to scale: "&amp;$R204,"Monitoring and third-party review not yet signed off"),IF($Q204="Y","","Live without a measured baseline to judge it against")))</f>
        <v/>
      </c>
      <c r="AJ204" s="65" t="str">
        <f aca="false">IF($Y204="","",INDEX(StageForum,$Y204))</f>
        <v/>
      </c>
      <c r="AK204" s="65" t="str">
        <f aca="false">IF($Y204="","",IF(OR($X204="Delivery",$X204="Value"),"Committed",IF($N204&lt;&gt;"","Candidate","")))</f>
        <v/>
      </c>
      <c r="AL204" s="65" t="str">
        <f aca="false">IF($AK204&lt;&gt;"Candidate","",COUNTIFS($AK$2:$AK$501,"Candidate",$N$2:$N$501,"&gt;"&amp;$N204)+COUNTIFS($AK$2:$AK$501,"Candidate",$N$2:$N$501,$N204,$A$2:$A$501,"&lt;"&amp;$A204)+1)</f>
        <v/>
      </c>
      <c r="AM204" s="65" t="str">
        <f aca="false">IF($AL204="","",SUMIFS($M$2:$M$501,$AK$2:$AK$501,"Candidate",$AL$2:$AL$501,"&lt;="&amp;$AL204))</f>
        <v/>
      </c>
      <c r="AN204" s="65" t="str">
        <f aca="false">IF($AL204="","",IF($AM204&lt;=CapacityOpen,"Fits","Below line"))</f>
        <v/>
      </c>
      <c r="AO204" s="65" t="str">
        <f aca="false">IF($A204="","",IF($X204="Closed","",IF($X204="Unmapped","Warning",IF(OR($AB204="Overdue",$V204="Y",$AH204="Critical"),"Critical",IF(OR($AB204="At risk",$AC204="Stale",$AG204="Over"),"Warning","")))))</f>
        <v/>
      </c>
      <c r="AP204" s="65" t="str">
        <f aca="false">IF($AO204="","",IF($AO204="Critical",3000,2000)-IF($Z204="",0,$Z204)+ROW()/100000)</f>
        <v/>
      </c>
      <c r="AQ204" s="65" t="str">
        <f aca="false">IF($AO204="","",IF($X204="Unmapped","Status '"&amp;$C204&amp;"' is not in the Config map",IF($V204="Y","Flagged in Jira",IF($AB204="Overdue",-$Z204&amp;" days past its "&amp;$X204&amp;" target",IF($AH204="Critical",$AI204,IF($AB204="At risk","Target in "&amp;$Z204&amp;" days",IF($AC204="Stale","No update in "&amp;$AA204&amp;" days","Past its "&amp;$AE204&amp;"-day tier window")))))))</f>
        <v/>
      </c>
      <c r="AR204" s="65" t="str">
        <f aca="false">IF($AO204="","","draft Jira update for "&amp;$A204)</f>
        <v/>
      </c>
      <c r="AS204" s="65" t="str">
        <f aca="false">IF($A204="","",HYPERLINK(JiraSite&amp;"/browse/"&amp;$A204,"open"))</f>
        <v/>
      </c>
      <c r="AT204" s="65" t="str">
        <f aca="false">IF($Y204="","",$Y204*1000+ROW())</f>
        <v/>
      </c>
      <c r="AU204" s="65" t="str">
        <f aca="false">IF(AND($A204&lt;&gt;"",$G204&gt;=WeekStart),$G204+ROW()/100000,"")</f>
        <v/>
      </c>
      <c r="AV204" s="65" t="str">
        <f aca="false">IF($A204="","",IF(OR(AND($S204&lt;&gt;"",$S204&gt;=WeekStart),AND($U204&lt;&gt;"",$U204&gt;=WeekStart)),MAX($S204,$U204)+ROW()/100000,""))</f>
        <v/>
      </c>
      <c r="AW204" s="65" t="str">
        <f aca="false">IF($AV204="","",IF($T204&lt;&gt;"",$T204,IF($X204="Closed","Closed","Accepted to "&amp;$X204)))</f>
        <v/>
      </c>
      <c r="AX204" s="65" t="str">
        <f aca="false">IF(AND($Y204&lt;&gt;"",$R204&lt;&gt;""),$AF204+ROW()/100000,"")</f>
        <v/>
      </c>
      <c r="AY204" s="65" t="str">
        <f aca="false">IF(AND($Y204&lt;&gt;"",OR($AB204="Overdue",AND($AH204="Critical",$R204&lt;&gt;""))),$AF204+ROW()/100000,"")</f>
        <v/>
      </c>
      <c r="AZ204" s="65" t="str">
        <f aca="false">IF($AH204="Critical",$AF204+ROW()/100000,"")</f>
        <v/>
      </c>
    </row>
    <row r="205" customFormat="false" ht="15" hidden="false" customHeight="false" outlineLevel="0" collapsed="false">
      <c r="A205" s="28"/>
      <c r="B205" s="28"/>
      <c r="C205" s="28"/>
      <c r="D205" s="28"/>
      <c r="E205" s="28"/>
      <c r="F205" s="28"/>
      <c r="G205" s="63"/>
      <c r="H205" s="63"/>
      <c r="I205" s="63"/>
      <c r="J205" s="28"/>
      <c r="K205" s="28"/>
      <c r="L205" s="28"/>
      <c r="M205" s="28"/>
      <c r="N205" s="28"/>
      <c r="O205" s="64"/>
      <c r="P205" s="64"/>
      <c r="Q205" s="64"/>
      <c r="R205" s="28"/>
      <c r="S205" s="63"/>
      <c r="T205" s="64"/>
      <c r="U205" s="63"/>
      <c r="V205" s="64"/>
      <c r="W205" s="28"/>
      <c r="X205" s="65" t="str">
        <f aca="false">IF($A205="","",IF(OR($T205&lt;&gt;"",$U205&lt;&gt;""),"Closed",IFERROR(INDEX(MapStage,MATCH($C205,MapStatus,0)),"Unmapped")))</f>
        <v/>
      </c>
      <c r="Y205" s="65" t="str">
        <f aca="false">IF(OR($X205="",$X205="Closed",$X205="Unmapped"),"",MATCH($X205,StageName,0))</f>
        <v/>
      </c>
      <c r="Z205" s="65" t="str">
        <f aca="false">IF(OR($Y205="",$I205=""),"",$I205-AsOf)</f>
        <v/>
      </c>
      <c r="AA205" s="65" t="str">
        <f aca="false">IF($A205="","",AsOf-$H205)</f>
        <v/>
      </c>
      <c r="AB205" s="65" t="str">
        <f aca="false">IF($A205="","",IF($X205="Closed","Closed",IF($X205="Unmapped","Unmapped",IF($I205="","No target",IF($Z205&lt;0,"Overdue",IF($Z205&lt;=INDEX(StageWindow,$Y205),"At risk","On track"))))))</f>
        <v/>
      </c>
      <c r="AC205" s="65" t="str">
        <f aca="false">IF($Y205="","",IF($AA205&gt;2*INDEX(StageStale,$Y205),"Stale",IF($AA205&gt;INDEX(StageStale,$Y205),"Aging","Fresh")))</f>
        <v/>
      </c>
      <c r="AD205" s="65" t="str">
        <f aca="false">IF($A205="","",IF(OR(ISNUMBER(SEARCH("Reg report",$J205)),ISNUMBER(SEARCH("No human review",$J205)),COUNTIF(TierFuncs,$D205)&gt;0),"High",IF(OR(TRIM($J205)&lt;&gt;"",ISNUMBER(SEARCH("revenue",$K205))),"Medium","Low")))</f>
        <v/>
      </c>
      <c r="AE205" s="65" t="str">
        <f aca="false">IF($A205="","",INDEX(TierDays,MATCH($AD205,TierName,0)))</f>
        <v/>
      </c>
      <c r="AF205" s="65" t="str">
        <f aca="false">IF($A205="","",AsOf-$G205)</f>
        <v/>
      </c>
      <c r="AG205" s="65" t="str">
        <f aca="false">IF($Y205="","",IF($Y205&lt;=5,IF($AF205&gt;$AE205,"Over","Inside"),"Past approval"))</f>
        <v/>
      </c>
      <c r="AH205" s="65" t="str">
        <f aca="false">IF($Y205="","",CHOOSE($Y205,IF(OR(TRIM($F205)="",ISNUMBER(SEARCH("not named",$F205))),"Critical","Good"),IF($O205&lt;&gt;"Y","Critical",IF($Q205&lt;&gt;"Y","Warning","Good")),IF($P205="","Critical",IF($P205="partial","Warning",IF($P205="ready","Good","Critical"))),IF($R205&lt;&gt;"","Critical","Warning"),IF($L205="","Critical",IF($N205="","Warning","Good")),IF($R205&lt;&gt;"","Critical","Warning"),IF($R205&lt;&gt;"","Critical","Warning"),IF($Q205="Y","Good","Critical")))</f>
        <v/>
      </c>
      <c r="AI205" s="65" t="str">
        <f aca="false">IF($Y205="","",CHOOSE($Y205,IF(OR(TRIM($F205)="",ISNUMBER(SEARCH("not named",$F205))),"Name a sponsor accountable for the value",""),IF($O205&lt;&gt;"Y","State the success metric and the stop condition",IF($Q205&lt;&gt;"Y","Set the baseline the benefit will be measured against","")),IF($P205="","Assess data readiness and regulatory impact",IF($P205="partial","Close the known data gaps",IF($P205="ready","","Data is not available; reshape or park"))),IF($R205&lt;&gt;"",IF(OR(ISNUMBER(SEARCH("mrm",$R205)),ISNUMBER(SEARCH("model",$R205)),ISNUMBER(SEARCH("risk",$R205)),ISNUMBER(SEARCH("legal",$R205)),ISNUMBER(SEARCH("complian",$R205))),"Awaiting ","Held at the design gate: ")&amp;$R205,"Map the governance framework for its tier"),IF($L205="","Size the annual benefit",IF($N205="","Score it so it can be ranked against capacity","")),IF($R205&lt;&gt;"","Build held: "&amp;$R205,"In build, not yet through test"),IF($R205&lt;&gt;"","Not ready to scale: "&amp;$R205,"Monitoring and third-party review not yet signed off"),IF($Q205="Y","","Live without a measured baseline to judge it against")))</f>
        <v/>
      </c>
      <c r="AJ205" s="65" t="str">
        <f aca="false">IF($Y205="","",INDEX(StageForum,$Y205))</f>
        <v/>
      </c>
      <c r="AK205" s="65" t="str">
        <f aca="false">IF($Y205="","",IF(OR($X205="Delivery",$X205="Value"),"Committed",IF($N205&lt;&gt;"","Candidate","")))</f>
        <v/>
      </c>
      <c r="AL205" s="65" t="str">
        <f aca="false">IF($AK205&lt;&gt;"Candidate","",COUNTIFS($AK$2:$AK$501,"Candidate",$N$2:$N$501,"&gt;"&amp;$N205)+COUNTIFS($AK$2:$AK$501,"Candidate",$N$2:$N$501,$N205,$A$2:$A$501,"&lt;"&amp;$A205)+1)</f>
        <v/>
      </c>
      <c r="AM205" s="65" t="str">
        <f aca="false">IF($AL205="","",SUMIFS($M$2:$M$501,$AK$2:$AK$501,"Candidate",$AL$2:$AL$501,"&lt;="&amp;$AL205))</f>
        <v/>
      </c>
      <c r="AN205" s="65" t="str">
        <f aca="false">IF($AL205="","",IF($AM205&lt;=CapacityOpen,"Fits","Below line"))</f>
        <v/>
      </c>
      <c r="AO205" s="65" t="str">
        <f aca="false">IF($A205="","",IF($X205="Closed","",IF($X205="Unmapped","Warning",IF(OR($AB205="Overdue",$V205="Y",$AH205="Critical"),"Critical",IF(OR($AB205="At risk",$AC205="Stale",$AG205="Over"),"Warning","")))))</f>
        <v/>
      </c>
      <c r="AP205" s="65" t="str">
        <f aca="false">IF($AO205="","",IF($AO205="Critical",3000,2000)-IF($Z205="",0,$Z205)+ROW()/100000)</f>
        <v/>
      </c>
      <c r="AQ205" s="65" t="str">
        <f aca="false">IF($AO205="","",IF($X205="Unmapped","Status '"&amp;$C205&amp;"' is not in the Config map",IF($V205="Y","Flagged in Jira",IF($AB205="Overdue",-$Z205&amp;" days past its "&amp;$X205&amp;" target",IF($AH205="Critical",$AI205,IF($AB205="At risk","Target in "&amp;$Z205&amp;" days",IF($AC205="Stale","No update in "&amp;$AA205&amp;" days","Past its "&amp;$AE205&amp;"-day tier window")))))))</f>
        <v/>
      </c>
      <c r="AR205" s="65" t="str">
        <f aca="false">IF($AO205="","","draft Jira update for "&amp;$A205)</f>
        <v/>
      </c>
      <c r="AS205" s="65" t="str">
        <f aca="false">IF($A205="","",HYPERLINK(JiraSite&amp;"/browse/"&amp;$A205,"open"))</f>
        <v/>
      </c>
      <c r="AT205" s="65" t="str">
        <f aca="false">IF($Y205="","",$Y205*1000+ROW())</f>
        <v/>
      </c>
      <c r="AU205" s="65" t="str">
        <f aca="false">IF(AND($A205&lt;&gt;"",$G205&gt;=WeekStart),$G205+ROW()/100000,"")</f>
        <v/>
      </c>
      <c r="AV205" s="65" t="str">
        <f aca="false">IF($A205="","",IF(OR(AND($S205&lt;&gt;"",$S205&gt;=WeekStart),AND($U205&lt;&gt;"",$U205&gt;=WeekStart)),MAX($S205,$U205)+ROW()/100000,""))</f>
        <v/>
      </c>
      <c r="AW205" s="65" t="str">
        <f aca="false">IF($AV205="","",IF($T205&lt;&gt;"",$T205,IF($X205="Closed","Closed","Accepted to "&amp;$X205)))</f>
        <v/>
      </c>
      <c r="AX205" s="65" t="str">
        <f aca="false">IF(AND($Y205&lt;&gt;"",$R205&lt;&gt;""),$AF205+ROW()/100000,"")</f>
        <v/>
      </c>
      <c r="AY205" s="65" t="str">
        <f aca="false">IF(AND($Y205&lt;&gt;"",OR($AB205="Overdue",AND($AH205="Critical",$R205&lt;&gt;""))),$AF205+ROW()/100000,"")</f>
        <v/>
      </c>
      <c r="AZ205" s="65" t="str">
        <f aca="false">IF($AH205="Critical",$AF205+ROW()/100000,"")</f>
        <v/>
      </c>
    </row>
    <row r="206" customFormat="false" ht="15" hidden="false" customHeight="false" outlineLevel="0" collapsed="false">
      <c r="A206" s="28"/>
      <c r="B206" s="28"/>
      <c r="C206" s="28"/>
      <c r="D206" s="28"/>
      <c r="E206" s="28"/>
      <c r="F206" s="28"/>
      <c r="G206" s="63"/>
      <c r="H206" s="63"/>
      <c r="I206" s="63"/>
      <c r="J206" s="28"/>
      <c r="K206" s="28"/>
      <c r="L206" s="28"/>
      <c r="M206" s="28"/>
      <c r="N206" s="28"/>
      <c r="O206" s="64"/>
      <c r="P206" s="64"/>
      <c r="Q206" s="64"/>
      <c r="R206" s="28"/>
      <c r="S206" s="63"/>
      <c r="T206" s="64"/>
      <c r="U206" s="63"/>
      <c r="V206" s="64"/>
      <c r="W206" s="28"/>
      <c r="X206" s="65" t="str">
        <f aca="false">IF($A206="","",IF(OR($T206&lt;&gt;"",$U206&lt;&gt;""),"Closed",IFERROR(INDEX(MapStage,MATCH($C206,MapStatus,0)),"Unmapped")))</f>
        <v/>
      </c>
      <c r="Y206" s="65" t="str">
        <f aca="false">IF(OR($X206="",$X206="Closed",$X206="Unmapped"),"",MATCH($X206,StageName,0))</f>
        <v/>
      </c>
      <c r="Z206" s="65" t="str">
        <f aca="false">IF(OR($Y206="",$I206=""),"",$I206-AsOf)</f>
        <v/>
      </c>
      <c r="AA206" s="65" t="str">
        <f aca="false">IF($A206="","",AsOf-$H206)</f>
        <v/>
      </c>
      <c r="AB206" s="65" t="str">
        <f aca="false">IF($A206="","",IF($X206="Closed","Closed",IF($X206="Unmapped","Unmapped",IF($I206="","No target",IF($Z206&lt;0,"Overdue",IF($Z206&lt;=INDEX(StageWindow,$Y206),"At risk","On track"))))))</f>
        <v/>
      </c>
      <c r="AC206" s="65" t="str">
        <f aca="false">IF($Y206="","",IF($AA206&gt;2*INDEX(StageStale,$Y206),"Stale",IF($AA206&gt;INDEX(StageStale,$Y206),"Aging","Fresh")))</f>
        <v/>
      </c>
      <c r="AD206" s="65" t="str">
        <f aca="false">IF($A206="","",IF(OR(ISNUMBER(SEARCH("Reg report",$J206)),ISNUMBER(SEARCH("No human review",$J206)),COUNTIF(TierFuncs,$D206)&gt;0),"High",IF(OR(TRIM($J206)&lt;&gt;"",ISNUMBER(SEARCH("revenue",$K206))),"Medium","Low")))</f>
        <v/>
      </c>
      <c r="AE206" s="65" t="str">
        <f aca="false">IF($A206="","",INDEX(TierDays,MATCH($AD206,TierName,0)))</f>
        <v/>
      </c>
      <c r="AF206" s="65" t="str">
        <f aca="false">IF($A206="","",AsOf-$G206)</f>
        <v/>
      </c>
      <c r="AG206" s="65" t="str">
        <f aca="false">IF($Y206="","",IF($Y206&lt;=5,IF($AF206&gt;$AE206,"Over","Inside"),"Past approval"))</f>
        <v/>
      </c>
      <c r="AH206" s="65" t="str">
        <f aca="false">IF($Y206="","",CHOOSE($Y206,IF(OR(TRIM($F206)="",ISNUMBER(SEARCH("not named",$F206))),"Critical","Good"),IF($O206&lt;&gt;"Y","Critical",IF($Q206&lt;&gt;"Y","Warning","Good")),IF($P206="","Critical",IF($P206="partial","Warning",IF($P206="ready","Good","Critical"))),IF($R206&lt;&gt;"","Critical","Warning"),IF($L206="","Critical",IF($N206="","Warning","Good")),IF($R206&lt;&gt;"","Critical","Warning"),IF($R206&lt;&gt;"","Critical","Warning"),IF($Q206="Y","Good","Critical")))</f>
        <v/>
      </c>
      <c r="AI206" s="65" t="str">
        <f aca="false">IF($Y206="","",CHOOSE($Y206,IF(OR(TRIM($F206)="",ISNUMBER(SEARCH("not named",$F206))),"Name a sponsor accountable for the value",""),IF($O206&lt;&gt;"Y","State the success metric and the stop condition",IF($Q206&lt;&gt;"Y","Set the baseline the benefit will be measured against","")),IF($P206="","Assess data readiness and regulatory impact",IF($P206="partial","Close the known data gaps",IF($P206="ready","","Data is not available; reshape or park"))),IF($R206&lt;&gt;"",IF(OR(ISNUMBER(SEARCH("mrm",$R206)),ISNUMBER(SEARCH("model",$R206)),ISNUMBER(SEARCH("risk",$R206)),ISNUMBER(SEARCH("legal",$R206)),ISNUMBER(SEARCH("complian",$R206))),"Awaiting ","Held at the design gate: ")&amp;$R206,"Map the governance framework for its tier"),IF($L206="","Size the annual benefit",IF($N206="","Score it so it can be ranked against capacity","")),IF($R206&lt;&gt;"","Build held: "&amp;$R206,"In build, not yet through test"),IF($R206&lt;&gt;"","Not ready to scale: "&amp;$R206,"Monitoring and third-party review not yet signed off"),IF($Q206="Y","","Live without a measured baseline to judge it against")))</f>
        <v/>
      </c>
      <c r="AJ206" s="65" t="str">
        <f aca="false">IF($Y206="","",INDEX(StageForum,$Y206))</f>
        <v/>
      </c>
      <c r="AK206" s="65" t="str">
        <f aca="false">IF($Y206="","",IF(OR($X206="Delivery",$X206="Value"),"Committed",IF($N206&lt;&gt;"","Candidate","")))</f>
        <v/>
      </c>
      <c r="AL206" s="65" t="str">
        <f aca="false">IF($AK206&lt;&gt;"Candidate","",COUNTIFS($AK$2:$AK$501,"Candidate",$N$2:$N$501,"&gt;"&amp;$N206)+COUNTIFS($AK$2:$AK$501,"Candidate",$N$2:$N$501,$N206,$A$2:$A$501,"&lt;"&amp;$A206)+1)</f>
        <v/>
      </c>
      <c r="AM206" s="65" t="str">
        <f aca="false">IF($AL206="","",SUMIFS($M$2:$M$501,$AK$2:$AK$501,"Candidate",$AL$2:$AL$501,"&lt;="&amp;$AL206))</f>
        <v/>
      </c>
      <c r="AN206" s="65" t="str">
        <f aca="false">IF($AL206="","",IF($AM206&lt;=CapacityOpen,"Fits","Below line"))</f>
        <v/>
      </c>
      <c r="AO206" s="65" t="str">
        <f aca="false">IF($A206="","",IF($X206="Closed","",IF($X206="Unmapped","Warning",IF(OR($AB206="Overdue",$V206="Y",$AH206="Critical"),"Critical",IF(OR($AB206="At risk",$AC206="Stale",$AG206="Over"),"Warning","")))))</f>
        <v/>
      </c>
      <c r="AP206" s="65" t="str">
        <f aca="false">IF($AO206="","",IF($AO206="Critical",3000,2000)-IF($Z206="",0,$Z206)+ROW()/100000)</f>
        <v/>
      </c>
      <c r="AQ206" s="65" t="str">
        <f aca="false">IF($AO206="","",IF($X206="Unmapped","Status '"&amp;$C206&amp;"' is not in the Config map",IF($V206="Y","Flagged in Jira",IF($AB206="Overdue",-$Z206&amp;" days past its "&amp;$X206&amp;" target",IF($AH206="Critical",$AI206,IF($AB206="At risk","Target in "&amp;$Z206&amp;" days",IF($AC206="Stale","No update in "&amp;$AA206&amp;" days","Past its "&amp;$AE206&amp;"-day tier window")))))))</f>
        <v/>
      </c>
      <c r="AR206" s="65" t="str">
        <f aca="false">IF($AO206="","","draft Jira update for "&amp;$A206)</f>
        <v/>
      </c>
      <c r="AS206" s="65" t="str">
        <f aca="false">IF($A206="","",HYPERLINK(JiraSite&amp;"/browse/"&amp;$A206,"open"))</f>
        <v/>
      </c>
      <c r="AT206" s="65" t="str">
        <f aca="false">IF($Y206="","",$Y206*1000+ROW())</f>
        <v/>
      </c>
      <c r="AU206" s="65" t="str">
        <f aca="false">IF(AND($A206&lt;&gt;"",$G206&gt;=WeekStart),$G206+ROW()/100000,"")</f>
        <v/>
      </c>
      <c r="AV206" s="65" t="str">
        <f aca="false">IF($A206="","",IF(OR(AND($S206&lt;&gt;"",$S206&gt;=WeekStart),AND($U206&lt;&gt;"",$U206&gt;=WeekStart)),MAX($S206,$U206)+ROW()/100000,""))</f>
        <v/>
      </c>
      <c r="AW206" s="65" t="str">
        <f aca="false">IF($AV206="","",IF($T206&lt;&gt;"",$T206,IF($X206="Closed","Closed","Accepted to "&amp;$X206)))</f>
        <v/>
      </c>
      <c r="AX206" s="65" t="str">
        <f aca="false">IF(AND($Y206&lt;&gt;"",$R206&lt;&gt;""),$AF206+ROW()/100000,"")</f>
        <v/>
      </c>
      <c r="AY206" s="65" t="str">
        <f aca="false">IF(AND($Y206&lt;&gt;"",OR($AB206="Overdue",AND($AH206="Critical",$R206&lt;&gt;""))),$AF206+ROW()/100000,"")</f>
        <v/>
      </c>
      <c r="AZ206" s="65" t="str">
        <f aca="false">IF($AH206="Critical",$AF206+ROW()/100000,"")</f>
        <v/>
      </c>
    </row>
    <row r="207" customFormat="false" ht="15" hidden="false" customHeight="false" outlineLevel="0" collapsed="false">
      <c r="A207" s="28"/>
      <c r="B207" s="28"/>
      <c r="C207" s="28"/>
      <c r="D207" s="28"/>
      <c r="E207" s="28"/>
      <c r="F207" s="28"/>
      <c r="G207" s="63"/>
      <c r="H207" s="63"/>
      <c r="I207" s="63"/>
      <c r="J207" s="28"/>
      <c r="K207" s="28"/>
      <c r="L207" s="28"/>
      <c r="M207" s="28"/>
      <c r="N207" s="28"/>
      <c r="O207" s="64"/>
      <c r="P207" s="64"/>
      <c r="Q207" s="64"/>
      <c r="R207" s="28"/>
      <c r="S207" s="63"/>
      <c r="T207" s="64"/>
      <c r="U207" s="63"/>
      <c r="V207" s="64"/>
      <c r="W207" s="28"/>
      <c r="X207" s="65" t="str">
        <f aca="false">IF($A207="","",IF(OR($T207&lt;&gt;"",$U207&lt;&gt;""),"Closed",IFERROR(INDEX(MapStage,MATCH($C207,MapStatus,0)),"Unmapped")))</f>
        <v/>
      </c>
      <c r="Y207" s="65" t="str">
        <f aca="false">IF(OR($X207="",$X207="Closed",$X207="Unmapped"),"",MATCH($X207,StageName,0))</f>
        <v/>
      </c>
      <c r="Z207" s="65" t="str">
        <f aca="false">IF(OR($Y207="",$I207=""),"",$I207-AsOf)</f>
        <v/>
      </c>
      <c r="AA207" s="65" t="str">
        <f aca="false">IF($A207="","",AsOf-$H207)</f>
        <v/>
      </c>
      <c r="AB207" s="65" t="str">
        <f aca="false">IF($A207="","",IF($X207="Closed","Closed",IF($X207="Unmapped","Unmapped",IF($I207="","No target",IF($Z207&lt;0,"Overdue",IF($Z207&lt;=INDEX(StageWindow,$Y207),"At risk","On track"))))))</f>
        <v/>
      </c>
      <c r="AC207" s="65" t="str">
        <f aca="false">IF($Y207="","",IF($AA207&gt;2*INDEX(StageStale,$Y207),"Stale",IF($AA207&gt;INDEX(StageStale,$Y207),"Aging","Fresh")))</f>
        <v/>
      </c>
      <c r="AD207" s="65" t="str">
        <f aca="false">IF($A207="","",IF(OR(ISNUMBER(SEARCH("Reg report",$J207)),ISNUMBER(SEARCH("No human review",$J207)),COUNTIF(TierFuncs,$D207)&gt;0),"High",IF(OR(TRIM($J207)&lt;&gt;"",ISNUMBER(SEARCH("revenue",$K207))),"Medium","Low")))</f>
        <v/>
      </c>
      <c r="AE207" s="65" t="str">
        <f aca="false">IF($A207="","",INDEX(TierDays,MATCH($AD207,TierName,0)))</f>
        <v/>
      </c>
      <c r="AF207" s="65" t="str">
        <f aca="false">IF($A207="","",AsOf-$G207)</f>
        <v/>
      </c>
      <c r="AG207" s="65" t="str">
        <f aca="false">IF($Y207="","",IF($Y207&lt;=5,IF($AF207&gt;$AE207,"Over","Inside"),"Past approval"))</f>
        <v/>
      </c>
      <c r="AH207" s="65" t="str">
        <f aca="false">IF($Y207="","",CHOOSE($Y207,IF(OR(TRIM($F207)="",ISNUMBER(SEARCH("not named",$F207))),"Critical","Good"),IF($O207&lt;&gt;"Y","Critical",IF($Q207&lt;&gt;"Y","Warning","Good")),IF($P207="","Critical",IF($P207="partial","Warning",IF($P207="ready","Good","Critical"))),IF($R207&lt;&gt;"","Critical","Warning"),IF($L207="","Critical",IF($N207="","Warning","Good")),IF($R207&lt;&gt;"","Critical","Warning"),IF($R207&lt;&gt;"","Critical","Warning"),IF($Q207="Y","Good","Critical")))</f>
        <v/>
      </c>
      <c r="AI207" s="65" t="str">
        <f aca="false">IF($Y207="","",CHOOSE($Y207,IF(OR(TRIM($F207)="",ISNUMBER(SEARCH("not named",$F207))),"Name a sponsor accountable for the value",""),IF($O207&lt;&gt;"Y","State the success metric and the stop condition",IF($Q207&lt;&gt;"Y","Set the baseline the benefit will be measured against","")),IF($P207="","Assess data readiness and regulatory impact",IF($P207="partial","Close the known data gaps",IF($P207="ready","","Data is not available; reshape or park"))),IF($R207&lt;&gt;"",IF(OR(ISNUMBER(SEARCH("mrm",$R207)),ISNUMBER(SEARCH("model",$R207)),ISNUMBER(SEARCH("risk",$R207)),ISNUMBER(SEARCH("legal",$R207)),ISNUMBER(SEARCH("complian",$R207))),"Awaiting ","Held at the design gate: ")&amp;$R207,"Map the governance framework for its tier"),IF($L207="","Size the annual benefit",IF($N207="","Score it so it can be ranked against capacity","")),IF($R207&lt;&gt;"","Build held: "&amp;$R207,"In build, not yet through test"),IF($R207&lt;&gt;"","Not ready to scale: "&amp;$R207,"Monitoring and third-party review not yet signed off"),IF($Q207="Y","","Live without a measured baseline to judge it against")))</f>
        <v/>
      </c>
      <c r="AJ207" s="65" t="str">
        <f aca="false">IF($Y207="","",INDEX(StageForum,$Y207))</f>
        <v/>
      </c>
      <c r="AK207" s="65" t="str">
        <f aca="false">IF($Y207="","",IF(OR($X207="Delivery",$X207="Value"),"Committed",IF($N207&lt;&gt;"","Candidate","")))</f>
        <v/>
      </c>
      <c r="AL207" s="65" t="str">
        <f aca="false">IF($AK207&lt;&gt;"Candidate","",COUNTIFS($AK$2:$AK$501,"Candidate",$N$2:$N$501,"&gt;"&amp;$N207)+COUNTIFS($AK$2:$AK$501,"Candidate",$N$2:$N$501,$N207,$A$2:$A$501,"&lt;"&amp;$A207)+1)</f>
        <v/>
      </c>
      <c r="AM207" s="65" t="str">
        <f aca="false">IF($AL207="","",SUMIFS($M$2:$M$501,$AK$2:$AK$501,"Candidate",$AL$2:$AL$501,"&lt;="&amp;$AL207))</f>
        <v/>
      </c>
      <c r="AN207" s="65" t="str">
        <f aca="false">IF($AL207="","",IF($AM207&lt;=CapacityOpen,"Fits","Below line"))</f>
        <v/>
      </c>
      <c r="AO207" s="65" t="str">
        <f aca="false">IF($A207="","",IF($X207="Closed","",IF($X207="Unmapped","Warning",IF(OR($AB207="Overdue",$V207="Y",$AH207="Critical"),"Critical",IF(OR($AB207="At risk",$AC207="Stale",$AG207="Over"),"Warning","")))))</f>
        <v/>
      </c>
      <c r="AP207" s="65" t="str">
        <f aca="false">IF($AO207="","",IF($AO207="Critical",3000,2000)-IF($Z207="",0,$Z207)+ROW()/100000)</f>
        <v/>
      </c>
      <c r="AQ207" s="65" t="str">
        <f aca="false">IF($AO207="","",IF($X207="Unmapped","Status '"&amp;$C207&amp;"' is not in the Config map",IF($V207="Y","Flagged in Jira",IF($AB207="Overdue",-$Z207&amp;" days past its "&amp;$X207&amp;" target",IF($AH207="Critical",$AI207,IF($AB207="At risk","Target in "&amp;$Z207&amp;" days",IF($AC207="Stale","No update in "&amp;$AA207&amp;" days","Past its "&amp;$AE207&amp;"-day tier window")))))))</f>
        <v/>
      </c>
      <c r="AR207" s="65" t="str">
        <f aca="false">IF($AO207="","","draft Jira update for "&amp;$A207)</f>
        <v/>
      </c>
      <c r="AS207" s="65" t="str">
        <f aca="false">IF($A207="","",HYPERLINK(JiraSite&amp;"/browse/"&amp;$A207,"open"))</f>
        <v/>
      </c>
      <c r="AT207" s="65" t="str">
        <f aca="false">IF($Y207="","",$Y207*1000+ROW())</f>
        <v/>
      </c>
      <c r="AU207" s="65" t="str">
        <f aca="false">IF(AND($A207&lt;&gt;"",$G207&gt;=WeekStart),$G207+ROW()/100000,"")</f>
        <v/>
      </c>
      <c r="AV207" s="65" t="str">
        <f aca="false">IF($A207="","",IF(OR(AND($S207&lt;&gt;"",$S207&gt;=WeekStart),AND($U207&lt;&gt;"",$U207&gt;=WeekStart)),MAX($S207,$U207)+ROW()/100000,""))</f>
        <v/>
      </c>
      <c r="AW207" s="65" t="str">
        <f aca="false">IF($AV207="","",IF($T207&lt;&gt;"",$T207,IF($X207="Closed","Closed","Accepted to "&amp;$X207)))</f>
        <v/>
      </c>
      <c r="AX207" s="65" t="str">
        <f aca="false">IF(AND($Y207&lt;&gt;"",$R207&lt;&gt;""),$AF207+ROW()/100000,"")</f>
        <v/>
      </c>
      <c r="AY207" s="65" t="str">
        <f aca="false">IF(AND($Y207&lt;&gt;"",OR($AB207="Overdue",AND($AH207="Critical",$R207&lt;&gt;""))),$AF207+ROW()/100000,"")</f>
        <v/>
      </c>
      <c r="AZ207" s="65" t="str">
        <f aca="false">IF($AH207="Critical",$AF207+ROW()/100000,"")</f>
        <v/>
      </c>
    </row>
    <row r="208" customFormat="false" ht="15" hidden="false" customHeight="false" outlineLevel="0" collapsed="false">
      <c r="A208" s="28"/>
      <c r="B208" s="28"/>
      <c r="C208" s="28"/>
      <c r="D208" s="28"/>
      <c r="E208" s="28"/>
      <c r="F208" s="28"/>
      <c r="G208" s="63"/>
      <c r="H208" s="63"/>
      <c r="I208" s="63"/>
      <c r="J208" s="28"/>
      <c r="K208" s="28"/>
      <c r="L208" s="28"/>
      <c r="M208" s="28"/>
      <c r="N208" s="28"/>
      <c r="O208" s="64"/>
      <c r="P208" s="64"/>
      <c r="Q208" s="64"/>
      <c r="R208" s="28"/>
      <c r="S208" s="63"/>
      <c r="T208" s="64"/>
      <c r="U208" s="63"/>
      <c r="V208" s="64"/>
      <c r="W208" s="28"/>
      <c r="X208" s="65" t="str">
        <f aca="false">IF($A208="","",IF(OR($T208&lt;&gt;"",$U208&lt;&gt;""),"Closed",IFERROR(INDEX(MapStage,MATCH($C208,MapStatus,0)),"Unmapped")))</f>
        <v/>
      </c>
      <c r="Y208" s="65" t="str">
        <f aca="false">IF(OR($X208="",$X208="Closed",$X208="Unmapped"),"",MATCH($X208,StageName,0))</f>
        <v/>
      </c>
      <c r="Z208" s="65" t="str">
        <f aca="false">IF(OR($Y208="",$I208=""),"",$I208-AsOf)</f>
        <v/>
      </c>
      <c r="AA208" s="65" t="str">
        <f aca="false">IF($A208="","",AsOf-$H208)</f>
        <v/>
      </c>
      <c r="AB208" s="65" t="str">
        <f aca="false">IF($A208="","",IF($X208="Closed","Closed",IF($X208="Unmapped","Unmapped",IF($I208="","No target",IF($Z208&lt;0,"Overdue",IF($Z208&lt;=INDEX(StageWindow,$Y208),"At risk","On track"))))))</f>
        <v/>
      </c>
      <c r="AC208" s="65" t="str">
        <f aca="false">IF($Y208="","",IF($AA208&gt;2*INDEX(StageStale,$Y208),"Stale",IF($AA208&gt;INDEX(StageStale,$Y208),"Aging","Fresh")))</f>
        <v/>
      </c>
      <c r="AD208" s="65" t="str">
        <f aca="false">IF($A208="","",IF(OR(ISNUMBER(SEARCH("Reg report",$J208)),ISNUMBER(SEARCH("No human review",$J208)),COUNTIF(TierFuncs,$D208)&gt;0),"High",IF(OR(TRIM($J208)&lt;&gt;"",ISNUMBER(SEARCH("revenue",$K208))),"Medium","Low")))</f>
        <v/>
      </c>
      <c r="AE208" s="65" t="str">
        <f aca="false">IF($A208="","",INDEX(TierDays,MATCH($AD208,TierName,0)))</f>
        <v/>
      </c>
      <c r="AF208" s="65" t="str">
        <f aca="false">IF($A208="","",AsOf-$G208)</f>
        <v/>
      </c>
      <c r="AG208" s="65" t="str">
        <f aca="false">IF($Y208="","",IF($Y208&lt;=5,IF($AF208&gt;$AE208,"Over","Inside"),"Past approval"))</f>
        <v/>
      </c>
      <c r="AH208" s="65" t="str">
        <f aca="false">IF($Y208="","",CHOOSE($Y208,IF(OR(TRIM($F208)="",ISNUMBER(SEARCH("not named",$F208))),"Critical","Good"),IF($O208&lt;&gt;"Y","Critical",IF($Q208&lt;&gt;"Y","Warning","Good")),IF($P208="","Critical",IF($P208="partial","Warning",IF($P208="ready","Good","Critical"))),IF($R208&lt;&gt;"","Critical","Warning"),IF($L208="","Critical",IF($N208="","Warning","Good")),IF($R208&lt;&gt;"","Critical","Warning"),IF($R208&lt;&gt;"","Critical","Warning"),IF($Q208="Y","Good","Critical")))</f>
        <v/>
      </c>
      <c r="AI208" s="65" t="str">
        <f aca="false">IF($Y208="","",CHOOSE($Y208,IF(OR(TRIM($F208)="",ISNUMBER(SEARCH("not named",$F208))),"Name a sponsor accountable for the value",""),IF($O208&lt;&gt;"Y","State the success metric and the stop condition",IF($Q208&lt;&gt;"Y","Set the baseline the benefit will be measured against","")),IF($P208="","Assess data readiness and regulatory impact",IF($P208="partial","Close the known data gaps",IF($P208="ready","","Data is not available; reshape or park"))),IF($R208&lt;&gt;"",IF(OR(ISNUMBER(SEARCH("mrm",$R208)),ISNUMBER(SEARCH("model",$R208)),ISNUMBER(SEARCH("risk",$R208)),ISNUMBER(SEARCH("legal",$R208)),ISNUMBER(SEARCH("complian",$R208))),"Awaiting ","Held at the design gate: ")&amp;$R208,"Map the governance framework for its tier"),IF($L208="","Size the annual benefit",IF($N208="","Score it so it can be ranked against capacity","")),IF($R208&lt;&gt;"","Build held: "&amp;$R208,"In build, not yet through test"),IF($R208&lt;&gt;"","Not ready to scale: "&amp;$R208,"Monitoring and third-party review not yet signed off"),IF($Q208="Y","","Live without a measured baseline to judge it against")))</f>
        <v/>
      </c>
      <c r="AJ208" s="65" t="str">
        <f aca="false">IF($Y208="","",INDEX(StageForum,$Y208))</f>
        <v/>
      </c>
      <c r="AK208" s="65" t="str">
        <f aca="false">IF($Y208="","",IF(OR($X208="Delivery",$X208="Value"),"Committed",IF($N208&lt;&gt;"","Candidate","")))</f>
        <v/>
      </c>
      <c r="AL208" s="65" t="str">
        <f aca="false">IF($AK208&lt;&gt;"Candidate","",COUNTIFS($AK$2:$AK$501,"Candidate",$N$2:$N$501,"&gt;"&amp;$N208)+COUNTIFS($AK$2:$AK$501,"Candidate",$N$2:$N$501,$N208,$A$2:$A$501,"&lt;"&amp;$A208)+1)</f>
        <v/>
      </c>
      <c r="AM208" s="65" t="str">
        <f aca="false">IF($AL208="","",SUMIFS($M$2:$M$501,$AK$2:$AK$501,"Candidate",$AL$2:$AL$501,"&lt;="&amp;$AL208))</f>
        <v/>
      </c>
      <c r="AN208" s="65" t="str">
        <f aca="false">IF($AL208="","",IF($AM208&lt;=CapacityOpen,"Fits","Below line"))</f>
        <v/>
      </c>
      <c r="AO208" s="65" t="str">
        <f aca="false">IF($A208="","",IF($X208="Closed","",IF($X208="Unmapped","Warning",IF(OR($AB208="Overdue",$V208="Y",$AH208="Critical"),"Critical",IF(OR($AB208="At risk",$AC208="Stale",$AG208="Over"),"Warning","")))))</f>
        <v/>
      </c>
      <c r="AP208" s="65" t="str">
        <f aca="false">IF($AO208="","",IF($AO208="Critical",3000,2000)-IF($Z208="",0,$Z208)+ROW()/100000)</f>
        <v/>
      </c>
      <c r="AQ208" s="65" t="str">
        <f aca="false">IF($AO208="","",IF($X208="Unmapped","Status '"&amp;$C208&amp;"' is not in the Config map",IF($V208="Y","Flagged in Jira",IF($AB208="Overdue",-$Z208&amp;" days past its "&amp;$X208&amp;" target",IF($AH208="Critical",$AI208,IF($AB208="At risk","Target in "&amp;$Z208&amp;" days",IF($AC208="Stale","No update in "&amp;$AA208&amp;" days","Past its "&amp;$AE208&amp;"-day tier window")))))))</f>
        <v/>
      </c>
      <c r="AR208" s="65" t="str">
        <f aca="false">IF($AO208="","","draft Jira update for "&amp;$A208)</f>
        <v/>
      </c>
      <c r="AS208" s="65" t="str">
        <f aca="false">IF($A208="","",HYPERLINK(JiraSite&amp;"/browse/"&amp;$A208,"open"))</f>
        <v/>
      </c>
      <c r="AT208" s="65" t="str">
        <f aca="false">IF($Y208="","",$Y208*1000+ROW())</f>
        <v/>
      </c>
      <c r="AU208" s="65" t="str">
        <f aca="false">IF(AND($A208&lt;&gt;"",$G208&gt;=WeekStart),$G208+ROW()/100000,"")</f>
        <v/>
      </c>
      <c r="AV208" s="65" t="str">
        <f aca="false">IF($A208="","",IF(OR(AND($S208&lt;&gt;"",$S208&gt;=WeekStart),AND($U208&lt;&gt;"",$U208&gt;=WeekStart)),MAX($S208,$U208)+ROW()/100000,""))</f>
        <v/>
      </c>
      <c r="AW208" s="65" t="str">
        <f aca="false">IF($AV208="","",IF($T208&lt;&gt;"",$T208,IF($X208="Closed","Closed","Accepted to "&amp;$X208)))</f>
        <v/>
      </c>
      <c r="AX208" s="65" t="str">
        <f aca="false">IF(AND($Y208&lt;&gt;"",$R208&lt;&gt;""),$AF208+ROW()/100000,"")</f>
        <v/>
      </c>
      <c r="AY208" s="65" t="str">
        <f aca="false">IF(AND($Y208&lt;&gt;"",OR($AB208="Overdue",AND($AH208="Critical",$R208&lt;&gt;""))),$AF208+ROW()/100000,"")</f>
        <v/>
      </c>
      <c r="AZ208" s="65" t="str">
        <f aca="false">IF($AH208="Critical",$AF208+ROW()/100000,"")</f>
        <v/>
      </c>
    </row>
    <row r="209" customFormat="false" ht="15" hidden="false" customHeight="false" outlineLevel="0" collapsed="false">
      <c r="A209" s="28"/>
      <c r="B209" s="28"/>
      <c r="C209" s="28"/>
      <c r="D209" s="28"/>
      <c r="E209" s="28"/>
      <c r="F209" s="28"/>
      <c r="G209" s="63"/>
      <c r="H209" s="63"/>
      <c r="I209" s="63"/>
      <c r="J209" s="28"/>
      <c r="K209" s="28"/>
      <c r="L209" s="28"/>
      <c r="M209" s="28"/>
      <c r="N209" s="28"/>
      <c r="O209" s="64"/>
      <c r="P209" s="64"/>
      <c r="Q209" s="64"/>
      <c r="R209" s="28"/>
      <c r="S209" s="63"/>
      <c r="T209" s="64"/>
      <c r="U209" s="63"/>
      <c r="V209" s="64"/>
      <c r="W209" s="28"/>
      <c r="X209" s="65" t="str">
        <f aca="false">IF($A209="","",IF(OR($T209&lt;&gt;"",$U209&lt;&gt;""),"Closed",IFERROR(INDEX(MapStage,MATCH($C209,MapStatus,0)),"Unmapped")))</f>
        <v/>
      </c>
      <c r="Y209" s="65" t="str">
        <f aca="false">IF(OR($X209="",$X209="Closed",$X209="Unmapped"),"",MATCH($X209,StageName,0))</f>
        <v/>
      </c>
      <c r="Z209" s="65" t="str">
        <f aca="false">IF(OR($Y209="",$I209=""),"",$I209-AsOf)</f>
        <v/>
      </c>
      <c r="AA209" s="65" t="str">
        <f aca="false">IF($A209="","",AsOf-$H209)</f>
        <v/>
      </c>
      <c r="AB209" s="65" t="str">
        <f aca="false">IF($A209="","",IF($X209="Closed","Closed",IF($X209="Unmapped","Unmapped",IF($I209="","No target",IF($Z209&lt;0,"Overdue",IF($Z209&lt;=INDEX(StageWindow,$Y209),"At risk","On track"))))))</f>
        <v/>
      </c>
      <c r="AC209" s="65" t="str">
        <f aca="false">IF($Y209="","",IF($AA209&gt;2*INDEX(StageStale,$Y209),"Stale",IF($AA209&gt;INDEX(StageStale,$Y209),"Aging","Fresh")))</f>
        <v/>
      </c>
      <c r="AD209" s="65" t="str">
        <f aca="false">IF($A209="","",IF(OR(ISNUMBER(SEARCH("Reg report",$J209)),ISNUMBER(SEARCH("No human review",$J209)),COUNTIF(TierFuncs,$D209)&gt;0),"High",IF(OR(TRIM($J209)&lt;&gt;"",ISNUMBER(SEARCH("revenue",$K209))),"Medium","Low")))</f>
        <v/>
      </c>
      <c r="AE209" s="65" t="str">
        <f aca="false">IF($A209="","",INDEX(TierDays,MATCH($AD209,TierName,0)))</f>
        <v/>
      </c>
      <c r="AF209" s="65" t="str">
        <f aca="false">IF($A209="","",AsOf-$G209)</f>
        <v/>
      </c>
      <c r="AG209" s="65" t="str">
        <f aca="false">IF($Y209="","",IF($Y209&lt;=5,IF($AF209&gt;$AE209,"Over","Inside"),"Past approval"))</f>
        <v/>
      </c>
      <c r="AH209" s="65" t="str">
        <f aca="false">IF($Y209="","",CHOOSE($Y209,IF(OR(TRIM($F209)="",ISNUMBER(SEARCH("not named",$F209))),"Critical","Good"),IF($O209&lt;&gt;"Y","Critical",IF($Q209&lt;&gt;"Y","Warning","Good")),IF($P209="","Critical",IF($P209="partial","Warning",IF($P209="ready","Good","Critical"))),IF($R209&lt;&gt;"","Critical","Warning"),IF($L209="","Critical",IF($N209="","Warning","Good")),IF($R209&lt;&gt;"","Critical","Warning"),IF($R209&lt;&gt;"","Critical","Warning"),IF($Q209="Y","Good","Critical")))</f>
        <v/>
      </c>
      <c r="AI209" s="65" t="str">
        <f aca="false">IF($Y209="","",CHOOSE($Y209,IF(OR(TRIM($F209)="",ISNUMBER(SEARCH("not named",$F209))),"Name a sponsor accountable for the value",""),IF($O209&lt;&gt;"Y","State the success metric and the stop condition",IF($Q209&lt;&gt;"Y","Set the baseline the benefit will be measured against","")),IF($P209="","Assess data readiness and regulatory impact",IF($P209="partial","Close the known data gaps",IF($P209="ready","","Data is not available; reshape or park"))),IF($R209&lt;&gt;"",IF(OR(ISNUMBER(SEARCH("mrm",$R209)),ISNUMBER(SEARCH("model",$R209)),ISNUMBER(SEARCH("risk",$R209)),ISNUMBER(SEARCH("legal",$R209)),ISNUMBER(SEARCH("complian",$R209))),"Awaiting ","Held at the design gate: ")&amp;$R209,"Map the governance framework for its tier"),IF($L209="","Size the annual benefit",IF($N209="","Score it so it can be ranked against capacity","")),IF($R209&lt;&gt;"","Build held: "&amp;$R209,"In build, not yet through test"),IF($R209&lt;&gt;"","Not ready to scale: "&amp;$R209,"Monitoring and third-party review not yet signed off"),IF($Q209="Y","","Live without a measured baseline to judge it against")))</f>
        <v/>
      </c>
      <c r="AJ209" s="65" t="str">
        <f aca="false">IF($Y209="","",INDEX(StageForum,$Y209))</f>
        <v/>
      </c>
      <c r="AK209" s="65" t="str">
        <f aca="false">IF($Y209="","",IF(OR($X209="Delivery",$X209="Value"),"Committed",IF($N209&lt;&gt;"","Candidate","")))</f>
        <v/>
      </c>
      <c r="AL209" s="65" t="str">
        <f aca="false">IF($AK209&lt;&gt;"Candidate","",COUNTIFS($AK$2:$AK$501,"Candidate",$N$2:$N$501,"&gt;"&amp;$N209)+COUNTIFS($AK$2:$AK$501,"Candidate",$N$2:$N$501,$N209,$A$2:$A$501,"&lt;"&amp;$A209)+1)</f>
        <v/>
      </c>
      <c r="AM209" s="65" t="str">
        <f aca="false">IF($AL209="","",SUMIFS($M$2:$M$501,$AK$2:$AK$501,"Candidate",$AL$2:$AL$501,"&lt;="&amp;$AL209))</f>
        <v/>
      </c>
      <c r="AN209" s="65" t="str">
        <f aca="false">IF($AL209="","",IF($AM209&lt;=CapacityOpen,"Fits","Below line"))</f>
        <v/>
      </c>
      <c r="AO209" s="65" t="str">
        <f aca="false">IF($A209="","",IF($X209="Closed","",IF($X209="Unmapped","Warning",IF(OR($AB209="Overdue",$V209="Y",$AH209="Critical"),"Critical",IF(OR($AB209="At risk",$AC209="Stale",$AG209="Over"),"Warning","")))))</f>
        <v/>
      </c>
      <c r="AP209" s="65" t="str">
        <f aca="false">IF($AO209="","",IF($AO209="Critical",3000,2000)-IF($Z209="",0,$Z209)+ROW()/100000)</f>
        <v/>
      </c>
      <c r="AQ209" s="65" t="str">
        <f aca="false">IF($AO209="","",IF($X209="Unmapped","Status '"&amp;$C209&amp;"' is not in the Config map",IF($V209="Y","Flagged in Jira",IF($AB209="Overdue",-$Z209&amp;" days past its "&amp;$X209&amp;" target",IF($AH209="Critical",$AI209,IF($AB209="At risk","Target in "&amp;$Z209&amp;" days",IF($AC209="Stale","No update in "&amp;$AA209&amp;" days","Past its "&amp;$AE209&amp;"-day tier window")))))))</f>
        <v/>
      </c>
      <c r="AR209" s="65" t="str">
        <f aca="false">IF($AO209="","","draft Jira update for "&amp;$A209)</f>
        <v/>
      </c>
      <c r="AS209" s="65" t="str">
        <f aca="false">IF($A209="","",HYPERLINK(JiraSite&amp;"/browse/"&amp;$A209,"open"))</f>
        <v/>
      </c>
      <c r="AT209" s="65" t="str">
        <f aca="false">IF($Y209="","",$Y209*1000+ROW())</f>
        <v/>
      </c>
      <c r="AU209" s="65" t="str">
        <f aca="false">IF(AND($A209&lt;&gt;"",$G209&gt;=WeekStart),$G209+ROW()/100000,"")</f>
        <v/>
      </c>
      <c r="AV209" s="65" t="str">
        <f aca="false">IF($A209="","",IF(OR(AND($S209&lt;&gt;"",$S209&gt;=WeekStart),AND($U209&lt;&gt;"",$U209&gt;=WeekStart)),MAX($S209,$U209)+ROW()/100000,""))</f>
        <v/>
      </c>
      <c r="AW209" s="65" t="str">
        <f aca="false">IF($AV209="","",IF($T209&lt;&gt;"",$T209,IF($X209="Closed","Closed","Accepted to "&amp;$X209)))</f>
        <v/>
      </c>
      <c r="AX209" s="65" t="str">
        <f aca="false">IF(AND($Y209&lt;&gt;"",$R209&lt;&gt;""),$AF209+ROW()/100000,"")</f>
        <v/>
      </c>
      <c r="AY209" s="65" t="str">
        <f aca="false">IF(AND($Y209&lt;&gt;"",OR($AB209="Overdue",AND($AH209="Critical",$R209&lt;&gt;""))),$AF209+ROW()/100000,"")</f>
        <v/>
      </c>
      <c r="AZ209" s="65" t="str">
        <f aca="false">IF($AH209="Critical",$AF209+ROW()/100000,"")</f>
        <v/>
      </c>
    </row>
    <row r="210" customFormat="false" ht="15" hidden="false" customHeight="false" outlineLevel="0" collapsed="false">
      <c r="A210" s="28"/>
      <c r="B210" s="28"/>
      <c r="C210" s="28"/>
      <c r="D210" s="28"/>
      <c r="E210" s="28"/>
      <c r="F210" s="28"/>
      <c r="G210" s="63"/>
      <c r="H210" s="63"/>
      <c r="I210" s="63"/>
      <c r="J210" s="28"/>
      <c r="K210" s="28"/>
      <c r="L210" s="28"/>
      <c r="M210" s="28"/>
      <c r="N210" s="28"/>
      <c r="O210" s="64"/>
      <c r="P210" s="64"/>
      <c r="Q210" s="64"/>
      <c r="R210" s="28"/>
      <c r="S210" s="63"/>
      <c r="T210" s="64"/>
      <c r="U210" s="63"/>
      <c r="V210" s="64"/>
      <c r="W210" s="28"/>
      <c r="X210" s="65" t="str">
        <f aca="false">IF($A210="","",IF(OR($T210&lt;&gt;"",$U210&lt;&gt;""),"Closed",IFERROR(INDEX(MapStage,MATCH($C210,MapStatus,0)),"Unmapped")))</f>
        <v/>
      </c>
      <c r="Y210" s="65" t="str">
        <f aca="false">IF(OR($X210="",$X210="Closed",$X210="Unmapped"),"",MATCH($X210,StageName,0))</f>
        <v/>
      </c>
      <c r="Z210" s="65" t="str">
        <f aca="false">IF(OR($Y210="",$I210=""),"",$I210-AsOf)</f>
        <v/>
      </c>
      <c r="AA210" s="65" t="str">
        <f aca="false">IF($A210="","",AsOf-$H210)</f>
        <v/>
      </c>
      <c r="AB210" s="65" t="str">
        <f aca="false">IF($A210="","",IF($X210="Closed","Closed",IF($X210="Unmapped","Unmapped",IF($I210="","No target",IF($Z210&lt;0,"Overdue",IF($Z210&lt;=INDEX(StageWindow,$Y210),"At risk","On track"))))))</f>
        <v/>
      </c>
      <c r="AC210" s="65" t="str">
        <f aca="false">IF($Y210="","",IF($AA210&gt;2*INDEX(StageStale,$Y210),"Stale",IF($AA210&gt;INDEX(StageStale,$Y210),"Aging","Fresh")))</f>
        <v/>
      </c>
      <c r="AD210" s="65" t="str">
        <f aca="false">IF($A210="","",IF(OR(ISNUMBER(SEARCH("Reg report",$J210)),ISNUMBER(SEARCH("No human review",$J210)),COUNTIF(TierFuncs,$D210)&gt;0),"High",IF(OR(TRIM($J210)&lt;&gt;"",ISNUMBER(SEARCH("revenue",$K210))),"Medium","Low")))</f>
        <v/>
      </c>
      <c r="AE210" s="65" t="str">
        <f aca="false">IF($A210="","",INDEX(TierDays,MATCH($AD210,TierName,0)))</f>
        <v/>
      </c>
      <c r="AF210" s="65" t="str">
        <f aca="false">IF($A210="","",AsOf-$G210)</f>
        <v/>
      </c>
      <c r="AG210" s="65" t="str">
        <f aca="false">IF($Y210="","",IF($Y210&lt;=5,IF($AF210&gt;$AE210,"Over","Inside"),"Past approval"))</f>
        <v/>
      </c>
      <c r="AH210" s="65" t="str">
        <f aca="false">IF($Y210="","",CHOOSE($Y210,IF(OR(TRIM($F210)="",ISNUMBER(SEARCH("not named",$F210))),"Critical","Good"),IF($O210&lt;&gt;"Y","Critical",IF($Q210&lt;&gt;"Y","Warning","Good")),IF($P210="","Critical",IF($P210="partial","Warning",IF($P210="ready","Good","Critical"))),IF($R210&lt;&gt;"","Critical","Warning"),IF($L210="","Critical",IF($N210="","Warning","Good")),IF($R210&lt;&gt;"","Critical","Warning"),IF($R210&lt;&gt;"","Critical","Warning"),IF($Q210="Y","Good","Critical")))</f>
        <v/>
      </c>
      <c r="AI210" s="65" t="str">
        <f aca="false">IF($Y210="","",CHOOSE($Y210,IF(OR(TRIM($F210)="",ISNUMBER(SEARCH("not named",$F210))),"Name a sponsor accountable for the value",""),IF($O210&lt;&gt;"Y","State the success metric and the stop condition",IF($Q210&lt;&gt;"Y","Set the baseline the benefit will be measured against","")),IF($P210="","Assess data readiness and regulatory impact",IF($P210="partial","Close the known data gaps",IF($P210="ready","","Data is not available; reshape or park"))),IF($R210&lt;&gt;"",IF(OR(ISNUMBER(SEARCH("mrm",$R210)),ISNUMBER(SEARCH("model",$R210)),ISNUMBER(SEARCH("risk",$R210)),ISNUMBER(SEARCH("legal",$R210)),ISNUMBER(SEARCH("complian",$R210))),"Awaiting ","Held at the design gate: ")&amp;$R210,"Map the governance framework for its tier"),IF($L210="","Size the annual benefit",IF($N210="","Score it so it can be ranked against capacity","")),IF($R210&lt;&gt;"","Build held: "&amp;$R210,"In build, not yet through test"),IF($R210&lt;&gt;"","Not ready to scale: "&amp;$R210,"Monitoring and third-party review not yet signed off"),IF($Q210="Y","","Live without a measured baseline to judge it against")))</f>
        <v/>
      </c>
      <c r="AJ210" s="65" t="str">
        <f aca="false">IF($Y210="","",INDEX(StageForum,$Y210))</f>
        <v/>
      </c>
      <c r="AK210" s="65" t="str">
        <f aca="false">IF($Y210="","",IF(OR($X210="Delivery",$X210="Value"),"Committed",IF($N210&lt;&gt;"","Candidate","")))</f>
        <v/>
      </c>
      <c r="AL210" s="65" t="str">
        <f aca="false">IF($AK210&lt;&gt;"Candidate","",COUNTIFS($AK$2:$AK$501,"Candidate",$N$2:$N$501,"&gt;"&amp;$N210)+COUNTIFS($AK$2:$AK$501,"Candidate",$N$2:$N$501,$N210,$A$2:$A$501,"&lt;"&amp;$A210)+1)</f>
        <v/>
      </c>
      <c r="AM210" s="65" t="str">
        <f aca="false">IF($AL210="","",SUMIFS($M$2:$M$501,$AK$2:$AK$501,"Candidate",$AL$2:$AL$501,"&lt;="&amp;$AL210))</f>
        <v/>
      </c>
      <c r="AN210" s="65" t="str">
        <f aca="false">IF($AL210="","",IF($AM210&lt;=CapacityOpen,"Fits","Below line"))</f>
        <v/>
      </c>
      <c r="AO210" s="65" t="str">
        <f aca="false">IF($A210="","",IF($X210="Closed","",IF($X210="Unmapped","Warning",IF(OR($AB210="Overdue",$V210="Y",$AH210="Critical"),"Critical",IF(OR($AB210="At risk",$AC210="Stale",$AG210="Over"),"Warning","")))))</f>
        <v/>
      </c>
      <c r="AP210" s="65" t="str">
        <f aca="false">IF($AO210="","",IF($AO210="Critical",3000,2000)-IF($Z210="",0,$Z210)+ROW()/100000)</f>
        <v/>
      </c>
      <c r="AQ210" s="65" t="str">
        <f aca="false">IF($AO210="","",IF($X210="Unmapped","Status '"&amp;$C210&amp;"' is not in the Config map",IF($V210="Y","Flagged in Jira",IF($AB210="Overdue",-$Z210&amp;" days past its "&amp;$X210&amp;" target",IF($AH210="Critical",$AI210,IF($AB210="At risk","Target in "&amp;$Z210&amp;" days",IF($AC210="Stale","No update in "&amp;$AA210&amp;" days","Past its "&amp;$AE210&amp;"-day tier window")))))))</f>
        <v/>
      </c>
      <c r="AR210" s="65" t="str">
        <f aca="false">IF($AO210="","","draft Jira update for "&amp;$A210)</f>
        <v/>
      </c>
      <c r="AS210" s="65" t="str">
        <f aca="false">IF($A210="","",HYPERLINK(JiraSite&amp;"/browse/"&amp;$A210,"open"))</f>
        <v/>
      </c>
      <c r="AT210" s="65" t="str">
        <f aca="false">IF($Y210="","",$Y210*1000+ROW())</f>
        <v/>
      </c>
      <c r="AU210" s="65" t="str">
        <f aca="false">IF(AND($A210&lt;&gt;"",$G210&gt;=WeekStart),$G210+ROW()/100000,"")</f>
        <v/>
      </c>
      <c r="AV210" s="65" t="str">
        <f aca="false">IF($A210="","",IF(OR(AND($S210&lt;&gt;"",$S210&gt;=WeekStart),AND($U210&lt;&gt;"",$U210&gt;=WeekStart)),MAX($S210,$U210)+ROW()/100000,""))</f>
        <v/>
      </c>
      <c r="AW210" s="65" t="str">
        <f aca="false">IF($AV210="","",IF($T210&lt;&gt;"",$T210,IF($X210="Closed","Closed","Accepted to "&amp;$X210)))</f>
        <v/>
      </c>
      <c r="AX210" s="65" t="str">
        <f aca="false">IF(AND($Y210&lt;&gt;"",$R210&lt;&gt;""),$AF210+ROW()/100000,"")</f>
        <v/>
      </c>
      <c r="AY210" s="65" t="str">
        <f aca="false">IF(AND($Y210&lt;&gt;"",OR($AB210="Overdue",AND($AH210="Critical",$R210&lt;&gt;""))),$AF210+ROW()/100000,"")</f>
        <v/>
      </c>
      <c r="AZ210" s="65" t="str">
        <f aca="false">IF($AH210="Critical",$AF210+ROW()/100000,"")</f>
        <v/>
      </c>
    </row>
    <row r="211" customFormat="false" ht="15" hidden="false" customHeight="false" outlineLevel="0" collapsed="false">
      <c r="A211" s="28"/>
      <c r="B211" s="28"/>
      <c r="C211" s="28"/>
      <c r="D211" s="28"/>
      <c r="E211" s="28"/>
      <c r="F211" s="28"/>
      <c r="G211" s="63"/>
      <c r="H211" s="63"/>
      <c r="I211" s="63"/>
      <c r="J211" s="28"/>
      <c r="K211" s="28"/>
      <c r="L211" s="28"/>
      <c r="M211" s="28"/>
      <c r="N211" s="28"/>
      <c r="O211" s="64"/>
      <c r="P211" s="64"/>
      <c r="Q211" s="64"/>
      <c r="R211" s="28"/>
      <c r="S211" s="63"/>
      <c r="T211" s="64"/>
      <c r="U211" s="63"/>
      <c r="V211" s="64"/>
      <c r="W211" s="28"/>
      <c r="X211" s="65" t="str">
        <f aca="false">IF($A211="","",IF(OR($T211&lt;&gt;"",$U211&lt;&gt;""),"Closed",IFERROR(INDEX(MapStage,MATCH($C211,MapStatus,0)),"Unmapped")))</f>
        <v/>
      </c>
      <c r="Y211" s="65" t="str">
        <f aca="false">IF(OR($X211="",$X211="Closed",$X211="Unmapped"),"",MATCH($X211,StageName,0))</f>
        <v/>
      </c>
      <c r="Z211" s="65" t="str">
        <f aca="false">IF(OR($Y211="",$I211=""),"",$I211-AsOf)</f>
        <v/>
      </c>
      <c r="AA211" s="65" t="str">
        <f aca="false">IF($A211="","",AsOf-$H211)</f>
        <v/>
      </c>
      <c r="AB211" s="65" t="str">
        <f aca="false">IF($A211="","",IF($X211="Closed","Closed",IF($X211="Unmapped","Unmapped",IF($I211="","No target",IF($Z211&lt;0,"Overdue",IF($Z211&lt;=INDEX(StageWindow,$Y211),"At risk","On track"))))))</f>
        <v/>
      </c>
      <c r="AC211" s="65" t="str">
        <f aca="false">IF($Y211="","",IF($AA211&gt;2*INDEX(StageStale,$Y211),"Stale",IF($AA211&gt;INDEX(StageStale,$Y211),"Aging","Fresh")))</f>
        <v/>
      </c>
      <c r="AD211" s="65" t="str">
        <f aca="false">IF($A211="","",IF(OR(ISNUMBER(SEARCH("Reg report",$J211)),ISNUMBER(SEARCH("No human review",$J211)),COUNTIF(TierFuncs,$D211)&gt;0),"High",IF(OR(TRIM($J211)&lt;&gt;"",ISNUMBER(SEARCH("revenue",$K211))),"Medium","Low")))</f>
        <v/>
      </c>
      <c r="AE211" s="65" t="str">
        <f aca="false">IF($A211="","",INDEX(TierDays,MATCH($AD211,TierName,0)))</f>
        <v/>
      </c>
      <c r="AF211" s="65" t="str">
        <f aca="false">IF($A211="","",AsOf-$G211)</f>
        <v/>
      </c>
      <c r="AG211" s="65" t="str">
        <f aca="false">IF($Y211="","",IF($Y211&lt;=5,IF($AF211&gt;$AE211,"Over","Inside"),"Past approval"))</f>
        <v/>
      </c>
      <c r="AH211" s="65" t="str">
        <f aca="false">IF($Y211="","",CHOOSE($Y211,IF(OR(TRIM($F211)="",ISNUMBER(SEARCH("not named",$F211))),"Critical","Good"),IF($O211&lt;&gt;"Y","Critical",IF($Q211&lt;&gt;"Y","Warning","Good")),IF($P211="","Critical",IF($P211="partial","Warning",IF($P211="ready","Good","Critical"))),IF($R211&lt;&gt;"","Critical","Warning"),IF($L211="","Critical",IF($N211="","Warning","Good")),IF($R211&lt;&gt;"","Critical","Warning"),IF($R211&lt;&gt;"","Critical","Warning"),IF($Q211="Y","Good","Critical")))</f>
        <v/>
      </c>
      <c r="AI211" s="65" t="str">
        <f aca="false">IF($Y211="","",CHOOSE($Y211,IF(OR(TRIM($F211)="",ISNUMBER(SEARCH("not named",$F211))),"Name a sponsor accountable for the value",""),IF($O211&lt;&gt;"Y","State the success metric and the stop condition",IF($Q211&lt;&gt;"Y","Set the baseline the benefit will be measured against","")),IF($P211="","Assess data readiness and regulatory impact",IF($P211="partial","Close the known data gaps",IF($P211="ready","","Data is not available; reshape or park"))),IF($R211&lt;&gt;"",IF(OR(ISNUMBER(SEARCH("mrm",$R211)),ISNUMBER(SEARCH("model",$R211)),ISNUMBER(SEARCH("risk",$R211)),ISNUMBER(SEARCH("legal",$R211)),ISNUMBER(SEARCH("complian",$R211))),"Awaiting ","Held at the design gate: ")&amp;$R211,"Map the governance framework for its tier"),IF($L211="","Size the annual benefit",IF($N211="","Score it so it can be ranked against capacity","")),IF($R211&lt;&gt;"","Build held: "&amp;$R211,"In build, not yet through test"),IF($R211&lt;&gt;"","Not ready to scale: "&amp;$R211,"Monitoring and third-party review not yet signed off"),IF($Q211="Y","","Live without a measured baseline to judge it against")))</f>
        <v/>
      </c>
      <c r="AJ211" s="65" t="str">
        <f aca="false">IF($Y211="","",INDEX(StageForum,$Y211))</f>
        <v/>
      </c>
      <c r="AK211" s="65" t="str">
        <f aca="false">IF($Y211="","",IF(OR($X211="Delivery",$X211="Value"),"Committed",IF($N211&lt;&gt;"","Candidate","")))</f>
        <v/>
      </c>
      <c r="AL211" s="65" t="str">
        <f aca="false">IF($AK211&lt;&gt;"Candidate","",COUNTIFS($AK$2:$AK$501,"Candidate",$N$2:$N$501,"&gt;"&amp;$N211)+COUNTIFS($AK$2:$AK$501,"Candidate",$N$2:$N$501,$N211,$A$2:$A$501,"&lt;"&amp;$A211)+1)</f>
        <v/>
      </c>
      <c r="AM211" s="65" t="str">
        <f aca="false">IF($AL211="","",SUMIFS($M$2:$M$501,$AK$2:$AK$501,"Candidate",$AL$2:$AL$501,"&lt;="&amp;$AL211))</f>
        <v/>
      </c>
      <c r="AN211" s="65" t="str">
        <f aca="false">IF($AL211="","",IF($AM211&lt;=CapacityOpen,"Fits","Below line"))</f>
        <v/>
      </c>
      <c r="AO211" s="65" t="str">
        <f aca="false">IF($A211="","",IF($X211="Closed","",IF($X211="Unmapped","Warning",IF(OR($AB211="Overdue",$V211="Y",$AH211="Critical"),"Critical",IF(OR($AB211="At risk",$AC211="Stale",$AG211="Over"),"Warning","")))))</f>
        <v/>
      </c>
      <c r="AP211" s="65" t="str">
        <f aca="false">IF($AO211="","",IF($AO211="Critical",3000,2000)-IF($Z211="",0,$Z211)+ROW()/100000)</f>
        <v/>
      </c>
      <c r="AQ211" s="65" t="str">
        <f aca="false">IF($AO211="","",IF($X211="Unmapped","Status '"&amp;$C211&amp;"' is not in the Config map",IF($V211="Y","Flagged in Jira",IF($AB211="Overdue",-$Z211&amp;" days past its "&amp;$X211&amp;" target",IF($AH211="Critical",$AI211,IF($AB211="At risk","Target in "&amp;$Z211&amp;" days",IF($AC211="Stale","No update in "&amp;$AA211&amp;" days","Past its "&amp;$AE211&amp;"-day tier window")))))))</f>
        <v/>
      </c>
      <c r="AR211" s="65" t="str">
        <f aca="false">IF($AO211="","","draft Jira update for "&amp;$A211)</f>
        <v/>
      </c>
      <c r="AS211" s="65" t="str">
        <f aca="false">IF($A211="","",HYPERLINK(JiraSite&amp;"/browse/"&amp;$A211,"open"))</f>
        <v/>
      </c>
      <c r="AT211" s="65" t="str">
        <f aca="false">IF($Y211="","",$Y211*1000+ROW())</f>
        <v/>
      </c>
      <c r="AU211" s="65" t="str">
        <f aca="false">IF(AND($A211&lt;&gt;"",$G211&gt;=WeekStart),$G211+ROW()/100000,"")</f>
        <v/>
      </c>
      <c r="AV211" s="65" t="str">
        <f aca="false">IF($A211="","",IF(OR(AND($S211&lt;&gt;"",$S211&gt;=WeekStart),AND($U211&lt;&gt;"",$U211&gt;=WeekStart)),MAX($S211,$U211)+ROW()/100000,""))</f>
        <v/>
      </c>
      <c r="AW211" s="65" t="str">
        <f aca="false">IF($AV211="","",IF($T211&lt;&gt;"",$T211,IF($X211="Closed","Closed","Accepted to "&amp;$X211)))</f>
        <v/>
      </c>
      <c r="AX211" s="65" t="str">
        <f aca="false">IF(AND($Y211&lt;&gt;"",$R211&lt;&gt;""),$AF211+ROW()/100000,"")</f>
        <v/>
      </c>
      <c r="AY211" s="65" t="str">
        <f aca="false">IF(AND($Y211&lt;&gt;"",OR($AB211="Overdue",AND($AH211="Critical",$R211&lt;&gt;""))),$AF211+ROW()/100000,"")</f>
        <v/>
      </c>
      <c r="AZ211" s="65" t="str">
        <f aca="false">IF($AH211="Critical",$AF211+ROW()/100000,"")</f>
        <v/>
      </c>
    </row>
    <row r="212" customFormat="false" ht="15" hidden="false" customHeight="false" outlineLevel="0" collapsed="false">
      <c r="A212" s="28"/>
      <c r="B212" s="28"/>
      <c r="C212" s="28"/>
      <c r="D212" s="28"/>
      <c r="E212" s="28"/>
      <c r="F212" s="28"/>
      <c r="G212" s="63"/>
      <c r="H212" s="63"/>
      <c r="I212" s="63"/>
      <c r="J212" s="28"/>
      <c r="K212" s="28"/>
      <c r="L212" s="28"/>
      <c r="M212" s="28"/>
      <c r="N212" s="28"/>
      <c r="O212" s="64"/>
      <c r="P212" s="64"/>
      <c r="Q212" s="64"/>
      <c r="R212" s="28"/>
      <c r="S212" s="63"/>
      <c r="T212" s="64"/>
      <c r="U212" s="63"/>
      <c r="V212" s="64"/>
      <c r="W212" s="28"/>
      <c r="X212" s="65" t="str">
        <f aca="false">IF($A212="","",IF(OR($T212&lt;&gt;"",$U212&lt;&gt;""),"Closed",IFERROR(INDEX(MapStage,MATCH($C212,MapStatus,0)),"Unmapped")))</f>
        <v/>
      </c>
      <c r="Y212" s="65" t="str">
        <f aca="false">IF(OR($X212="",$X212="Closed",$X212="Unmapped"),"",MATCH($X212,StageName,0))</f>
        <v/>
      </c>
      <c r="Z212" s="65" t="str">
        <f aca="false">IF(OR($Y212="",$I212=""),"",$I212-AsOf)</f>
        <v/>
      </c>
      <c r="AA212" s="65" t="str">
        <f aca="false">IF($A212="","",AsOf-$H212)</f>
        <v/>
      </c>
      <c r="AB212" s="65" t="str">
        <f aca="false">IF($A212="","",IF($X212="Closed","Closed",IF($X212="Unmapped","Unmapped",IF($I212="","No target",IF($Z212&lt;0,"Overdue",IF($Z212&lt;=INDEX(StageWindow,$Y212),"At risk","On track"))))))</f>
        <v/>
      </c>
      <c r="AC212" s="65" t="str">
        <f aca="false">IF($Y212="","",IF($AA212&gt;2*INDEX(StageStale,$Y212),"Stale",IF($AA212&gt;INDEX(StageStale,$Y212),"Aging","Fresh")))</f>
        <v/>
      </c>
      <c r="AD212" s="65" t="str">
        <f aca="false">IF($A212="","",IF(OR(ISNUMBER(SEARCH("Reg report",$J212)),ISNUMBER(SEARCH("No human review",$J212)),COUNTIF(TierFuncs,$D212)&gt;0),"High",IF(OR(TRIM($J212)&lt;&gt;"",ISNUMBER(SEARCH("revenue",$K212))),"Medium","Low")))</f>
        <v/>
      </c>
      <c r="AE212" s="65" t="str">
        <f aca="false">IF($A212="","",INDEX(TierDays,MATCH($AD212,TierName,0)))</f>
        <v/>
      </c>
      <c r="AF212" s="65" t="str">
        <f aca="false">IF($A212="","",AsOf-$G212)</f>
        <v/>
      </c>
      <c r="AG212" s="65" t="str">
        <f aca="false">IF($Y212="","",IF($Y212&lt;=5,IF($AF212&gt;$AE212,"Over","Inside"),"Past approval"))</f>
        <v/>
      </c>
      <c r="AH212" s="65" t="str">
        <f aca="false">IF($Y212="","",CHOOSE($Y212,IF(OR(TRIM($F212)="",ISNUMBER(SEARCH("not named",$F212))),"Critical","Good"),IF($O212&lt;&gt;"Y","Critical",IF($Q212&lt;&gt;"Y","Warning","Good")),IF($P212="","Critical",IF($P212="partial","Warning",IF($P212="ready","Good","Critical"))),IF($R212&lt;&gt;"","Critical","Warning"),IF($L212="","Critical",IF($N212="","Warning","Good")),IF($R212&lt;&gt;"","Critical","Warning"),IF($R212&lt;&gt;"","Critical","Warning"),IF($Q212="Y","Good","Critical")))</f>
        <v/>
      </c>
      <c r="AI212" s="65" t="str">
        <f aca="false">IF($Y212="","",CHOOSE($Y212,IF(OR(TRIM($F212)="",ISNUMBER(SEARCH("not named",$F212))),"Name a sponsor accountable for the value",""),IF($O212&lt;&gt;"Y","State the success metric and the stop condition",IF($Q212&lt;&gt;"Y","Set the baseline the benefit will be measured against","")),IF($P212="","Assess data readiness and regulatory impact",IF($P212="partial","Close the known data gaps",IF($P212="ready","","Data is not available; reshape or park"))),IF($R212&lt;&gt;"",IF(OR(ISNUMBER(SEARCH("mrm",$R212)),ISNUMBER(SEARCH("model",$R212)),ISNUMBER(SEARCH("risk",$R212)),ISNUMBER(SEARCH("legal",$R212)),ISNUMBER(SEARCH("complian",$R212))),"Awaiting ","Held at the design gate: ")&amp;$R212,"Map the governance framework for its tier"),IF($L212="","Size the annual benefit",IF($N212="","Score it so it can be ranked against capacity","")),IF($R212&lt;&gt;"","Build held: "&amp;$R212,"In build, not yet through test"),IF($R212&lt;&gt;"","Not ready to scale: "&amp;$R212,"Monitoring and third-party review not yet signed off"),IF($Q212="Y","","Live without a measured baseline to judge it against")))</f>
        <v/>
      </c>
      <c r="AJ212" s="65" t="str">
        <f aca="false">IF($Y212="","",INDEX(StageForum,$Y212))</f>
        <v/>
      </c>
      <c r="AK212" s="65" t="str">
        <f aca="false">IF($Y212="","",IF(OR($X212="Delivery",$X212="Value"),"Committed",IF($N212&lt;&gt;"","Candidate","")))</f>
        <v/>
      </c>
      <c r="AL212" s="65" t="str">
        <f aca="false">IF($AK212&lt;&gt;"Candidate","",COUNTIFS($AK$2:$AK$501,"Candidate",$N$2:$N$501,"&gt;"&amp;$N212)+COUNTIFS($AK$2:$AK$501,"Candidate",$N$2:$N$501,$N212,$A$2:$A$501,"&lt;"&amp;$A212)+1)</f>
        <v/>
      </c>
      <c r="AM212" s="65" t="str">
        <f aca="false">IF($AL212="","",SUMIFS($M$2:$M$501,$AK$2:$AK$501,"Candidate",$AL$2:$AL$501,"&lt;="&amp;$AL212))</f>
        <v/>
      </c>
      <c r="AN212" s="65" t="str">
        <f aca="false">IF($AL212="","",IF($AM212&lt;=CapacityOpen,"Fits","Below line"))</f>
        <v/>
      </c>
      <c r="AO212" s="65" t="str">
        <f aca="false">IF($A212="","",IF($X212="Closed","",IF($X212="Unmapped","Warning",IF(OR($AB212="Overdue",$V212="Y",$AH212="Critical"),"Critical",IF(OR($AB212="At risk",$AC212="Stale",$AG212="Over"),"Warning","")))))</f>
        <v/>
      </c>
      <c r="AP212" s="65" t="str">
        <f aca="false">IF($AO212="","",IF($AO212="Critical",3000,2000)-IF($Z212="",0,$Z212)+ROW()/100000)</f>
        <v/>
      </c>
      <c r="AQ212" s="65" t="str">
        <f aca="false">IF($AO212="","",IF($X212="Unmapped","Status '"&amp;$C212&amp;"' is not in the Config map",IF($V212="Y","Flagged in Jira",IF($AB212="Overdue",-$Z212&amp;" days past its "&amp;$X212&amp;" target",IF($AH212="Critical",$AI212,IF($AB212="At risk","Target in "&amp;$Z212&amp;" days",IF($AC212="Stale","No update in "&amp;$AA212&amp;" days","Past its "&amp;$AE212&amp;"-day tier window")))))))</f>
        <v/>
      </c>
      <c r="AR212" s="65" t="str">
        <f aca="false">IF($AO212="","","draft Jira update for "&amp;$A212)</f>
        <v/>
      </c>
      <c r="AS212" s="65" t="str">
        <f aca="false">IF($A212="","",HYPERLINK(JiraSite&amp;"/browse/"&amp;$A212,"open"))</f>
        <v/>
      </c>
      <c r="AT212" s="65" t="str">
        <f aca="false">IF($Y212="","",$Y212*1000+ROW())</f>
        <v/>
      </c>
      <c r="AU212" s="65" t="str">
        <f aca="false">IF(AND($A212&lt;&gt;"",$G212&gt;=WeekStart),$G212+ROW()/100000,"")</f>
        <v/>
      </c>
      <c r="AV212" s="65" t="str">
        <f aca="false">IF($A212="","",IF(OR(AND($S212&lt;&gt;"",$S212&gt;=WeekStart),AND($U212&lt;&gt;"",$U212&gt;=WeekStart)),MAX($S212,$U212)+ROW()/100000,""))</f>
        <v/>
      </c>
      <c r="AW212" s="65" t="str">
        <f aca="false">IF($AV212="","",IF($T212&lt;&gt;"",$T212,IF($X212="Closed","Closed","Accepted to "&amp;$X212)))</f>
        <v/>
      </c>
      <c r="AX212" s="65" t="str">
        <f aca="false">IF(AND($Y212&lt;&gt;"",$R212&lt;&gt;""),$AF212+ROW()/100000,"")</f>
        <v/>
      </c>
      <c r="AY212" s="65" t="str">
        <f aca="false">IF(AND($Y212&lt;&gt;"",OR($AB212="Overdue",AND($AH212="Critical",$R212&lt;&gt;""))),$AF212+ROW()/100000,"")</f>
        <v/>
      </c>
      <c r="AZ212" s="65" t="str">
        <f aca="false">IF($AH212="Critical",$AF212+ROW()/100000,"")</f>
        <v/>
      </c>
    </row>
    <row r="213" customFormat="false" ht="15" hidden="false" customHeight="false" outlineLevel="0" collapsed="false">
      <c r="A213" s="28"/>
      <c r="B213" s="28"/>
      <c r="C213" s="28"/>
      <c r="D213" s="28"/>
      <c r="E213" s="28"/>
      <c r="F213" s="28"/>
      <c r="G213" s="63"/>
      <c r="H213" s="63"/>
      <c r="I213" s="63"/>
      <c r="J213" s="28"/>
      <c r="K213" s="28"/>
      <c r="L213" s="28"/>
      <c r="M213" s="28"/>
      <c r="N213" s="28"/>
      <c r="O213" s="64"/>
      <c r="P213" s="64"/>
      <c r="Q213" s="64"/>
      <c r="R213" s="28"/>
      <c r="S213" s="63"/>
      <c r="T213" s="64"/>
      <c r="U213" s="63"/>
      <c r="V213" s="64"/>
      <c r="W213" s="28"/>
      <c r="X213" s="65" t="str">
        <f aca="false">IF($A213="","",IF(OR($T213&lt;&gt;"",$U213&lt;&gt;""),"Closed",IFERROR(INDEX(MapStage,MATCH($C213,MapStatus,0)),"Unmapped")))</f>
        <v/>
      </c>
      <c r="Y213" s="65" t="str">
        <f aca="false">IF(OR($X213="",$X213="Closed",$X213="Unmapped"),"",MATCH($X213,StageName,0))</f>
        <v/>
      </c>
      <c r="Z213" s="65" t="str">
        <f aca="false">IF(OR($Y213="",$I213=""),"",$I213-AsOf)</f>
        <v/>
      </c>
      <c r="AA213" s="65" t="str">
        <f aca="false">IF($A213="","",AsOf-$H213)</f>
        <v/>
      </c>
      <c r="AB213" s="65" t="str">
        <f aca="false">IF($A213="","",IF($X213="Closed","Closed",IF($X213="Unmapped","Unmapped",IF($I213="","No target",IF($Z213&lt;0,"Overdue",IF($Z213&lt;=INDEX(StageWindow,$Y213),"At risk","On track"))))))</f>
        <v/>
      </c>
      <c r="AC213" s="65" t="str">
        <f aca="false">IF($Y213="","",IF($AA213&gt;2*INDEX(StageStale,$Y213),"Stale",IF($AA213&gt;INDEX(StageStale,$Y213),"Aging","Fresh")))</f>
        <v/>
      </c>
      <c r="AD213" s="65" t="str">
        <f aca="false">IF($A213="","",IF(OR(ISNUMBER(SEARCH("Reg report",$J213)),ISNUMBER(SEARCH("No human review",$J213)),COUNTIF(TierFuncs,$D213)&gt;0),"High",IF(OR(TRIM($J213)&lt;&gt;"",ISNUMBER(SEARCH("revenue",$K213))),"Medium","Low")))</f>
        <v/>
      </c>
      <c r="AE213" s="65" t="str">
        <f aca="false">IF($A213="","",INDEX(TierDays,MATCH($AD213,TierName,0)))</f>
        <v/>
      </c>
      <c r="AF213" s="65" t="str">
        <f aca="false">IF($A213="","",AsOf-$G213)</f>
        <v/>
      </c>
      <c r="AG213" s="65" t="str">
        <f aca="false">IF($Y213="","",IF($Y213&lt;=5,IF($AF213&gt;$AE213,"Over","Inside"),"Past approval"))</f>
        <v/>
      </c>
      <c r="AH213" s="65" t="str">
        <f aca="false">IF($Y213="","",CHOOSE($Y213,IF(OR(TRIM($F213)="",ISNUMBER(SEARCH("not named",$F213))),"Critical","Good"),IF($O213&lt;&gt;"Y","Critical",IF($Q213&lt;&gt;"Y","Warning","Good")),IF($P213="","Critical",IF($P213="partial","Warning",IF($P213="ready","Good","Critical"))),IF($R213&lt;&gt;"","Critical","Warning"),IF($L213="","Critical",IF($N213="","Warning","Good")),IF($R213&lt;&gt;"","Critical","Warning"),IF($R213&lt;&gt;"","Critical","Warning"),IF($Q213="Y","Good","Critical")))</f>
        <v/>
      </c>
      <c r="AI213" s="65" t="str">
        <f aca="false">IF($Y213="","",CHOOSE($Y213,IF(OR(TRIM($F213)="",ISNUMBER(SEARCH("not named",$F213))),"Name a sponsor accountable for the value",""),IF($O213&lt;&gt;"Y","State the success metric and the stop condition",IF($Q213&lt;&gt;"Y","Set the baseline the benefit will be measured against","")),IF($P213="","Assess data readiness and regulatory impact",IF($P213="partial","Close the known data gaps",IF($P213="ready","","Data is not available; reshape or park"))),IF($R213&lt;&gt;"",IF(OR(ISNUMBER(SEARCH("mrm",$R213)),ISNUMBER(SEARCH("model",$R213)),ISNUMBER(SEARCH("risk",$R213)),ISNUMBER(SEARCH("legal",$R213)),ISNUMBER(SEARCH("complian",$R213))),"Awaiting ","Held at the design gate: ")&amp;$R213,"Map the governance framework for its tier"),IF($L213="","Size the annual benefit",IF($N213="","Score it so it can be ranked against capacity","")),IF($R213&lt;&gt;"","Build held: "&amp;$R213,"In build, not yet through test"),IF($R213&lt;&gt;"","Not ready to scale: "&amp;$R213,"Monitoring and third-party review not yet signed off"),IF($Q213="Y","","Live without a measured baseline to judge it against")))</f>
        <v/>
      </c>
      <c r="AJ213" s="65" t="str">
        <f aca="false">IF($Y213="","",INDEX(StageForum,$Y213))</f>
        <v/>
      </c>
      <c r="AK213" s="65" t="str">
        <f aca="false">IF($Y213="","",IF(OR($X213="Delivery",$X213="Value"),"Committed",IF($N213&lt;&gt;"","Candidate","")))</f>
        <v/>
      </c>
      <c r="AL213" s="65" t="str">
        <f aca="false">IF($AK213&lt;&gt;"Candidate","",COUNTIFS($AK$2:$AK$501,"Candidate",$N$2:$N$501,"&gt;"&amp;$N213)+COUNTIFS($AK$2:$AK$501,"Candidate",$N$2:$N$501,$N213,$A$2:$A$501,"&lt;"&amp;$A213)+1)</f>
        <v/>
      </c>
      <c r="AM213" s="65" t="str">
        <f aca="false">IF($AL213="","",SUMIFS($M$2:$M$501,$AK$2:$AK$501,"Candidate",$AL$2:$AL$501,"&lt;="&amp;$AL213))</f>
        <v/>
      </c>
      <c r="AN213" s="65" t="str">
        <f aca="false">IF($AL213="","",IF($AM213&lt;=CapacityOpen,"Fits","Below line"))</f>
        <v/>
      </c>
      <c r="AO213" s="65" t="str">
        <f aca="false">IF($A213="","",IF($X213="Closed","",IF($X213="Unmapped","Warning",IF(OR($AB213="Overdue",$V213="Y",$AH213="Critical"),"Critical",IF(OR($AB213="At risk",$AC213="Stale",$AG213="Over"),"Warning","")))))</f>
        <v/>
      </c>
      <c r="AP213" s="65" t="str">
        <f aca="false">IF($AO213="","",IF($AO213="Critical",3000,2000)-IF($Z213="",0,$Z213)+ROW()/100000)</f>
        <v/>
      </c>
      <c r="AQ213" s="65" t="str">
        <f aca="false">IF($AO213="","",IF($X213="Unmapped","Status '"&amp;$C213&amp;"' is not in the Config map",IF($V213="Y","Flagged in Jira",IF($AB213="Overdue",-$Z213&amp;" days past its "&amp;$X213&amp;" target",IF($AH213="Critical",$AI213,IF($AB213="At risk","Target in "&amp;$Z213&amp;" days",IF($AC213="Stale","No update in "&amp;$AA213&amp;" days","Past its "&amp;$AE213&amp;"-day tier window")))))))</f>
        <v/>
      </c>
      <c r="AR213" s="65" t="str">
        <f aca="false">IF($AO213="","","draft Jira update for "&amp;$A213)</f>
        <v/>
      </c>
      <c r="AS213" s="65" t="str">
        <f aca="false">IF($A213="","",HYPERLINK(JiraSite&amp;"/browse/"&amp;$A213,"open"))</f>
        <v/>
      </c>
      <c r="AT213" s="65" t="str">
        <f aca="false">IF($Y213="","",$Y213*1000+ROW())</f>
        <v/>
      </c>
      <c r="AU213" s="65" t="str">
        <f aca="false">IF(AND($A213&lt;&gt;"",$G213&gt;=WeekStart),$G213+ROW()/100000,"")</f>
        <v/>
      </c>
      <c r="AV213" s="65" t="str">
        <f aca="false">IF($A213="","",IF(OR(AND($S213&lt;&gt;"",$S213&gt;=WeekStart),AND($U213&lt;&gt;"",$U213&gt;=WeekStart)),MAX($S213,$U213)+ROW()/100000,""))</f>
        <v/>
      </c>
      <c r="AW213" s="65" t="str">
        <f aca="false">IF($AV213="","",IF($T213&lt;&gt;"",$T213,IF($X213="Closed","Closed","Accepted to "&amp;$X213)))</f>
        <v/>
      </c>
      <c r="AX213" s="65" t="str">
        <f aca="false">IF(AND($Y213&lt;&gt;"",$R213&lt;&gt;""),$AF213+ROW()/100000,"")</f>
        <v/>
      </c>
      <c r="AY213" s="65" t="str">
        <f aca="false">IF(AND($Y213&lt;&gt;"",OR($AB213="Overdue",AND($AH213="Critical",$R213&lt;&gt;""))),$AF213+ROW()/100000,"")</f>
        <v/>
      </c>
      <c r="AZ213" s="65" t="str">
        <f aca="false">IF($AH213="Critical",$AF213+ROW()/100000,"")</f>
        <v/>
      </c>
    </row>
    <row r="214" customFormat="false" ht="15" hidden="false" customHeight="false" outlineLevel="0" collapsed="false">
      <c r="A214" s="28"/>
      <c r="B214" s="28"/>
      <c r="C214" s="28"/>
      <c r="D214" s="28"/>
      <c r="E214" s="28"/>
      <c r="F214" s="28"/>
      <c r="G214" s="63"/>
      <c r="H214" s="63"/>
      <c r="I214" s="63"/>
      <c r="J214" s="28"/>
      <c r="K214" s="28"/>
      <c r="L214" s="28"/>
      <c r="M214" s="28"/>
      <c r="N214" s="28"/>
      <c r="O214" s="64"/>
      <c r="P214" s="64"/>
      <c r="Q214" s="64"/>
      <c r="R214" s="28"/>
      <c r="S214" s="63"/>
      <c r="T214" s="64"/>
      <c r="U214" s="63"/>
      <c r="V214" s="64"/>
      <c r="W214" s="28"/>
      <c r="X214" s="65" t="str">
        <f aca="false">IF($A214="","",IF(OR($T214&lt;&gt;"",$U214&lt;&gt;""),"Closed",IFERROR(INDEX(MapStage,MATCH($C214,MapStatus,0)),"Unmapped")))</f>
        <v/>
      </c>
      <c r="Y214" s="65" t="str">
        <f aca="false">IF(OR($X214="",$X214="Closed",$X214="Unmapped"),"",MATCH($X214,StageName,0))</f>
        <v/>
      </c>
      <c r="Z214" s="65" t="str">
        <f aca="false">IF(OR($Y214="",$I214=""),"",$I214-AsOf)</f>
        <v/>
      </c>
      <c r="AA214" s="65" t="str">
        <f aca="false">IF($A214="","",AsOf-$H214)</f>
        <v/>
      </c>
      <c r="AB214" s="65" t="str">
        <f aca="false">IF($A214="","",IF($X214="Closed","Closed",IF($X214="Unmapped","Unmapped",IF($I214="","No target",IF($Z214&lt;0,"Overdue",IF($Z214&lt;=INDEX(StageWindow,$Y214),"At risk","On track"))))))</f>
        <v/>
      </c>
      <c r="AC214" s="65" t="str">
        <f aca="false">IF($Y214="","",IF($AA214&gt;2*INDEX(StageStale,$Y214),"Stale",IF($AA214&gt;INDEX(StageStale,$Y214),"Aging","Fresh")))</f>
        <v/>
      </c>
      <c r="AD214" s="65" t="str">
        <f aca="false">IF($A214="","",IF(OR(ISNUMBER(SEARCH("Reg report",$J214)),ISNUMBER(SEARCH("No human review",$J214)),COUNTIF(TierFuncs,$D214)&gt;0),"High",IF(OR(TRIM($J214)&lt;&gt;"",ISNUMBER(SEARCH("revenue",$K214))),"Medium","Low")))</f>
        <v/>
      </c>
      <c r="AE214" s="65" t="str">
        <f aca="false">IF($A214="","",INDEX(TierDays,MATCH($AD214,TierName,0)))</f>
        <v/>
      </c>
      <c r="AF214" s="65" t="str">
        <f aca="false">IF($A214="","",AsOf-$G214)</f>
        <v/>
      </c>
      <c r="AG214" s="65" t="str">
        <f aca="false">IF($Y214="","",IF($Y214&lt;=5,IF($AF214&gt;$AE214,"Over","Inside"),"Past approval"))</f>
        <v/>
      </c>
      <c r="AH214" s="65" t="str">
        <f aca="false">IF($Y214="","",CHOOSE($Y214,IF(OR(TRIM($F214)="",ISNUMBER(SEARCH("not named",$F214))),"Critical","Good"),IF($O214&lt;&gt;"Y","Critical",IF($Q214&lt;&gt;"Y","Warning","Good")),IF($P214="","Critical",IF($P214="partial","Warning",IF($P214="ready","Good","Critical"))),IF($R214&lt;&gt;"","Critical","Warning"),IF($L214="","Critical",IF($N214="","Warning","Good")),IF($R214&lt;&gt;"","Critical","Warning"),IF($R214&lt;&gt;"","Critical","Warning"),IF($Q214="Y","Good","Critical")))</f>
        <v/>
      </c>
      <c r="AI214" s="65" t="str">
        <f aca="false">IF($Y214="","",CHOOSE($Y214,IF(OR(TRIM($F214)="",ISNUMBER(SEARCH("not named",$F214))),"Name a sponsor accountable for the value",""),IF($O214&lt;&gt;"Y","State the success metric and the stop condition",IF($Q214&lt;&gt;"Y","Set the baseline the benefit will be measured against","")),IF($P214="","Assess data readiness and regulatory impact",IF($P214="partial","Close the known data gaps",IF($P214="ready","","Data is not available; reshape or park"))),IF($R214&lt;&gt;"",IF(OR(ISNUMBER(SEARCH("mrm",$R214)),ISNUMBER(SEARCH("model",$R214)),ISNUMBER(SEARCH("risk",$R214)),ISNUMBER(SEARCH("legal",$R214)),ISNUMBER(SEARCH("complian",$R214))),"Awaiting ","Held at the design gate: ")&amp;$R214,"Map the governance framework for its tier"),IF($L214="","Size the annual benefit",IF($N214="","Score it so it can be ranked against capacity","")),IF($R214&lt;&gt;"","Build held: "&amp;$R214,"In build, not yet through test"),IF($R214&lt;&gt;"","Not ready to scale: "&amp;$R214,"Monitoring and third-party review not yet signed off"),IF($Q214="Y","","Live without a measured baseline to judge it against")))</f>
        <v/>
      </c>
      <c r="AJ214" s="65" t="str">
        <f aca="false">IF($Y214="","",INDEX(StageForum,$Y214))</f>
        <v/>
      </c>
      <c r="AK214" s="65" t="str">
        <f aca="false">IF($Y214="","",IF(OR($X214="Delivery",$X214="Value"),"Committed",IF($N214&lt;&gt;"","Candidate","")))</f>
        <v/>
      </c>
      <c r="AL214" s="65" t="str">
        <f aca="false">IF($AK214&lt;&gt;"Candidate","",COUNTIFS($AK$2:$AK$501,"Candidate",$N$2:$N$501,"&gt;"&amp;$N214)+COUNTIFS($AK$2:$AK$501,"Candidate",$N$2:$N$501,$N214,$A$2:$A$501,"&lt;"&amp;$A214)+1)</f>
        <v/>
      </c>
      <c r="AM214" s="65" t="str">
        <f aca="false">IF($AL214="","",SUMIFS($M$2:$M$501,$AK$2:$AK$501,"Candidate",$AL$2:$AL$501,"&lt;="&amp;$AL214))</f>
        <v/>
      </c>
      <c r="AN214" s="65" t="str">
        <f aca="false">IF($AL214="","",IF($AM214&lt;=CapacityOpen,"Fits","Below line"))</f>
        <v/>
      </c>
      <c r="AO214" s="65" t="str">
        <f aca="false">IF($A214="","",IF($X214="Closed","",IF($X214="Unmapped","Warning",IF(OR($AB214="Overdue",$V214="Y",$AH214="Critical"),"Critical",IF(OR($AB214="At risk",$AC214="Stale",$AG214="Over"),"Warning","")))))</f>
        <v/>
      </c>
      <c r="AP214" s="65" t="str">
        <f aca="false">IF($AO214="","",IF($AO214="Critical",3000,2000)-IF($Z214="",0,$Z214)+ROW()/100000)</f>
        <v/>
      </c>
      <c r="AQ214" s="65" t="str">
        <f aca="false">IF($AO214="","",IF($X214="Unmapped","Status '"&amp;$C214&amp;"' is not in the Config map",IF($V214="Y","Flagged in Jira",IF($AB214="Overdue",-$Z214&amp;" days past its "&amp;$X214&amp;" target",IF($AH214="Critical",$AI214,IF($AB214="At risk","Target in "&amp;$Z214&amp;" days",IF($AC214="Stale","No update in "&amp;$AA214&amp;" days","Past its "&amp;$AE214&amp;"-day tier window")))))))</f>
        <v/>
      </c>
      <c r="AR214" s="65" t="str">
        <f aca="false">IF($AO214="","","draft Jira update for "&amp;$A214)</f>
        <v/>
      </c>
      <c r="AS214" s="65" t="str">
        <f aca="false">IF($A214="","",HYPERLINK(JiraSite&amp;"/browse/"&amp;$A214,"open"))</f>
        <v/>
      </c>
      <c r="AT214" s="65" t="str">
        <f aca="false">IF($Y214="","",$Y214*1000+ROW())</f>
        <v/>
      </c>
      <c r="AU214" s="65" t="str">
        <f aca="false">IF(AND($A214&lt;&gt;"",$G214&gt;=WeekStart),$G214+ROW()/100000,"")</f>
        <v/>
      </c>
      <c r="AV214" s="65" t="str">
        <f aca="false">IF($A214="","",IF(OR(AND($S214&lt;&gt;"",$S214&gt;=WeekStart),AND($U214&lt;&gt;"",$U214&gt;=WeekStart)),MAX($S214,$U214)+ROW()/100000,""))</f>
        <v/>
      </c>
      <c r="AW214" s="65" t="str">
        <f aca="false">IF($AV214="","",IF($T214&lt;&gt;"",$T214,IF($X214="Closed","Closed","Accepted to "&amp;$X214)))</f>
        <v/>
      </c>
      <c r="AX214" s="65" t="str">
        <f aca="false">IF(AND($Y214&lt;&gt;"",$R214&lt;&gt;""),$AF214+ROW()/100000,"")</f>
        <v/>
      </c>
      <c r="AY214" s="65" t="str">
        <f aca="false">IF(AND($Y214&lt;&gt;"",OR($AB214="Overdue",AND($AH214="Critical",$R214&lt;&gt;""))),$AF214+ROW()/100000,"")</f>
        <v/>
      </c>
      <c r="AZ214" s="65" t="str">
        <f aca="false">IF($AH214="Critical",$AF214+ROW()/100000,"")</f>
        <v/>
      </c>
    </row>
    <row r="215" customFormat="false" ht="15" hidden="false" customHeight="false" outlineLevel="0" collapsed="false">
      <c r="A215" s="28"/>
      <c r="B215" s="28"/>
      <c r="C215" s="28"/>
      <c r="D215" s="28"/>
      <c r="E215" s="28"/>
      <c r="F215" s="28"/>
      <c r="G215" s="63"/>
      <c r="H215" s="63"/>
      <c r="I215" s="63"/>
      <c r="J215" s="28"/>
      <c r="K215" s="28"/>
      <c r="L215" s="28"/>
      <c r="M215" s="28"/>
      <c r="N215" s="28"/>
      <c r="O215" s="64"/>
      <c r="P215" s="64"/>
      <c r="Q215" s="64"/>
      <c r="R215" s="28"/>
      <c r="S215" s="63"/>
      <c r="T215" s="64"/>
      <c r="U215" s="63"/>
      <c r="V215" s="64"/>
      <c r="W215" s="28"/>
      <c r="X215" s="65" t="str">
        <f aca="false">IF($A215="","",IF(OR($T215&lt;&gt;"",$U215&lt;&gt;""),"Closed",IFERROR(INDEX(MapStage,MATCH($C215,MapStatus,0)),"Unmapped")))</f>
        <v/>
      </c>
      <c r="Y215" s="65" t="str">
        <f aca="false">IF(OR($X215="",$X215="Closed",$X215="Unmapped"),"",MATCH($X215,StageName,0))</f>
        <v/>
      </c>
      <c r="Z215" s="65" t="str">
        <f aca="false">IF(OR($Y215="",$I215=""),"",$I215-AsOf)</f>
        <v/>
      </c>
      <c r="AA215" s="65" t="str">
        <f aca="false">IF($A215="","",AsOf-$H215)</f>
        <v/>
      </c>
      <c r="AB215" s="65" t="str">
        <f aca="false">IF($A215="","",IF($X215="Closed","Closed",IF($X215="Unmapped","Unmapped",IF($I215="","No target",IF($Z215&lt;0,"Overdue",IF($Z215&lt;=INDEX(StageWindow,$Y215),"At risk","On track"))))))</f>
        <v/>
      </c>
      <c r="AC215" s="65" t="str">
        <f aca="false">IF($Y215="","",IF($AA215&gt;2*INDEX(StageStale,$Y215),"Stale",IF($AA215&gt;INDEX(StageStale,$Y215),"Aging","Fresh")))</f>
        <v/>
      </c>
      <c r="AD215" s="65" t="str">
        <f aca="false">IF($A215="","",IF(OR(ISNUMBER(SEARCH("Reg report",$J215)),ISNUMBER(SEARCH("No human review",$J215)),COUNTIF(TierFuncs,$D215)&gt;0),"High",IF(OR(TRIM($J215)&lt;&gt;"",ISNUMBER(SEARCH("revenue",$K215))),"Medium","Low")))</f>
        <v/>
      </c>
      <c r="AE215" s="65" t="str">
        <f aca="false">IF($A215="","",INDEX(TierDays,MATCH($AD215,TierName,0)))</f>
        <v/>
      </c>
      <c r="AF215" s="65" t="str">
        <f aca="false">IF($A215="","",AsOf-$G215)</f>
        <v/>
      </c>
      <c r="AG215" s="65" t="str">
        <f aca="false">IF($Y215="","",IF($Y215&lt;=5,IF($AF215&gt;$AE215,"Over","Inside"),"Past approval"))</f>
        <v/>
      </c>
      <c r="AH215" s="65" t="str">
        <f aca="false">IF($Y215="","",CHOOSE($Y215,IF(OR(TRIM($F215)="",ISNUMBER(SEARCH("not named",$F215))),"Critical","Good"),IF($O215&lt;&gt;"Y","Critical",IF($Q215&lt;&gt;"Y","Warning","Good")),IF($P215="","Critical",IF($P215="partial","Warning",IF($P215="ready","Good","Critical"))),IF($R215&lt;&gt;"","Critical","Warning"),IF($L215="","Critical",IF($N215="","Warning","Good")),IF($R215&lt;&gt;"","Critical","Warning"),IF($R215&lt;&gt;"","Critical","Warning"),IF($Q215="Y","Good","Critical")))</f>
        <v/>
      </c>
      <c r="AI215" s="65" t="str">
        <f aca="false">IF($Y215="","",CHOOSE($Y215,IF(OR(TRIM($F215)="",ISNUMBER(SEARCH("not named",$F215))),"Name a sponsor accountable for the value",""),IF($O215&lt;&gt;"Y","State the success metric and the stop condition",IF($Q215&lt;&gt;"Y","Set the baseline the benefit will be measured against","")),IF($P215="","Assess data readiness and regulatory impact",IF($P215="partial","Close the known data gaps",IF($P215="ready","","Data is not available; reshape or park"))),IF($R215&lt;&gt;"",IF(OR(ISNUMBER(SEARCH("mrm",$R215)),ISNUMBER(SEARCH("model",$R215)),ISNUMBER(SEARCH("risk",$R215)),ISNUMBER(SEARCH("legal",$R215)),ISNUMBER(SEARCH("complian",$R215))),"Awaiting ","Held at the design gate: ")&amp;$R215,"Map the governance framework for its tier"),IF($L215="","Size the annual benefit",IF($N215="","Score it so it can be ranked against capacity","")),IF($R215&lt;&gt;"","Build held: "&amp;$R215,"In build, not yet through test"),IF($R215&lt;&gt;"","Not ready to scale: "&amp;$R215,"Monitoring and third-party review not yet signed off"),IF($Q215="Y","","Live without a measured baseline to judge it against")))</f>
        <v/>
      </c>
      <c r="AJ215" s="65" t="str">
        <f aca="false">IF($Y215="","",INDEX(StageForum,$Y215))</f>
        <v/>
      </c>
      <c r="AK215" s="65" t="str">
        <f aca="false">IF($Y215="","",IF(OR($X215="Delivery",$X215="Value"),"Committed",IF($N215&lt;&gt;"","Candidate","")))</f>
        <v/>
      </c>
      <c r="AL215" s="65" t="str">
        <f aca="false">IF($AK215&lt;&gt;"Candidate","",COUNTIFS($AK$2:$AK$501,"Candidate",$N$2:$N$501,"&gt;"&amp;$N215)+COUNTIFS($AK$2:$AK$501,"Candidate",$N$2:$N$501,$N215,$A$2:$A$501,"&lt;"&amp;$A215)+1)</f>
        <v/>
      </c>
      <c r="AM215" s="65" t="str">
        <f aca="false">IF($AL215="","",SUMIFS($M$2:$M$501,$AK$2:$AK$501,"Candidate",$AL$2:$AL$501,"&lt;="&amp;$AL215))</f>
        <v/>
      </c>
      <c r="AN215" s="65" t="str">
        <f aca="false">IF($AL215="","",IF($AM215&lt;=CapacityOpen,"Fits","Below line"))</f>
        <v/>
      </c>
      <c r="AO215" s="65" t="str">
        <f aca="false">IF($A215="","",IF($X215="Closed","",IF($X215="Unmapped","Warning",IF(OR($AB215="Overdue",$V215="Y",$AH215="Critical"),"Critical",IF(OR($AB215="At risk",$AC215="Stale",$AG215="Over"),"Warning","")))))</f>
        <v/>
      </c>
      <c r="AP215" s="65" t="str">
        <f aca="false">IF($AO215="","",IF($AO215="Critical",3000,2000)-IF($Z215="",0,$Z215)+ROW()/100000)</f>
        <v/>
      </c>
      <c r="AQ215" s="65" t="str">
        <f aca="false">IF($AO215="","",IF($X215="Unmapped","Status '"&amp;$C215&amp;"' is not in the Config map",IF($V215="Y","Flagged in Jira",IF($AB215="Overdue",-$Z215&amp;" days past its "&amp;$X215&amp;" target",IF($AH215="Critical",$AI215,IF($AB215="At risk","Target in "&amp;$Z215&amp;" days",IF($AC215="Stale","No update in "&amp;$AA215&amp;" days","Past its "&amp;$AE215&amp;"-day tier window")))))))</f>
        <v/>
      </c>
      <c r="AR215" s="65" t="str">
        <f aca="false">IF($AO215="","","draft Jira update for "&amp;$A215)</f>
        <v/>
      </c>
      <c r="AS215" s="65" t="str">
        <f aca="false">IF($A215="","",HYPERLINK(JiraSite&amp;"/browse/"&amp;$A215,"open"))</f>
        <v/>
      </c>
      <c r="AT215" s="65" t="str">
        <f aca="false">IF($Y215="","",$Y215*1000+ROW())</f>
        <v/>
      </c>
      <c r="AU215" s="65" t="str">
        <f aca="false">IF(AND($A215&lt;&gt;"",$G215&gt;=WeekStart),$G215+ROW()/100000,"")</f>
        <v/>
      </c>
      <c r="AV215" s="65" t="str">
        <f aca="false">IF($A215="","",IF(OR(AND($S215&lt;&gt;"",$S215&gt;=WeekStart),AND($U215&lt;&gt;"",$U215&gt;=WeekStart)),MAX($S215,$U215)+ROW()/100000,""))</f>
        <v/>
      </c>
      <c r="AW215" s="65" t="str">
        <f aca="false">IF($AV215="","",IF($T215&lt;&gt;"",$T215,IF($X215="Closed","Closed","Accepted to "&amp;$X215)))</f>
        <v/>
      </c>
      <c r="AX215" s="65" t="str">
        <f aca="false">IF(AND($Y215&lt;&gt;"",$R215&lt;&gt;""),$AF215+ROW()/100000,"")</f>
        <v/>
      </c>
      <c r="AY215" s="65" t="str">
        <f aca="false">IF(AND($Y215&lt;&gt;"",OR($AB215="Overdue",AND($AH215="Critical",$R215&lt;&gt;""))),$AF215+ROW()/100000,"")</f>
        <v/>
      </c>
      <c r="AZ215" s="65" t="str">
        <f aca="false">IF($AH215="Critical",$AF215+ROW()/100000,"")</f>
        <v/>
      </c>
    </row>
    <row r="216" customFormat="false" ht="15" hidden="false" customHeight="false" outlineLevel="0" collapsed="false">
      <c r="A216" s="28"/>
      <c r="B216" s="28"/>
      <c r="C216" s="28"/>
      <c r="D216" s="28"/>
      <c r="E216" s="28"/>
      <c r="F216" s="28"/>
      <c r="G216" s="63"/>
      <c r="H216" s="63"/>
      <c r="I216" s="63"/>
      <c r="J216" s="28"/>
      <c r="K216" s="28"/>
      <c r="L216" s="28"/>
      <c r="M216" s="28"/>
      <c r="N216" s="28"/>
      <c r="O216" s="64"/>
      <c r="P216" s="64"/>
      <c r="Q216" s="64"/>
      <c r="R216" s="28"/>
      <c r="S216" s="63"/>
      <c r="T216" s="64"/>
      <c r="U216" s="63"/>
      <c r="V216" s="64"/>
      <c r="W216" s="28"/>
      <c r="X216" s="65" t="str">
        <f aca="false">IF($A216="","",IF(OR($T216&lt;&gt;"",$U216&lt;&gt;""),"Closed",IFERROR(INDEX(MapStage,MATCH($C216,MapStatus,0)),"Unmapped")))</f>
        <v/>
      </c>
      <c r="Y216" s="65" t="str">
        <f aca="false">IF(OR($X216="",$X216="Closed",$X216="Unmapped"),"",MATCH($X216,StageName,0))</f>
        <v/>
      </c>
      <c r="Z216" s="65" t="str">
        <f aca="false">IF(OR($Y216="",$I216=""),"",$I216-AsOf)</f>
        <v/>
      </c>
      <c r="AA216" s="65" t="str">
        <f aca="false">IF($A216="","",AsOf-$H216)</f>
        <v/>
      </c>
      <c r="AB216" s="65" t="str">
        <f aca="false">IF($A216="","",IF($X216="Closed","Closed",IF($X216="Unmapped","Unmapped",IF($I216="","No target",IF($Z216&lt;0,"Overdue",IF($Z216&lt;=INDEX(StageWindow,$Y216),"At risk","On track"))))))</f>
        <v/>
      </c>
      <c r="AC216" s="65" t="str">
        <f aca="false">IF($Y216="","",IF($AA216&gt;2*INDEX(StageStale,$Y216),"Stale",IF($AA216&gt;INDEX(StageStale,$Y216),"Aging","Fresh")))</f>
        <v/>
      </c>
      <c r="AD216" s="65" t="str">
        <f aca="false">IF($A216="","",IF(OR(ISNUMBER(SEARCH("Reg report",$J216)),ISNUMBER(SEARCH("No human review",$J216)),COUNTIF(TierFuncs,$D216)&gt;0),"High",IF(OR(TRIM($J216)&lt;&gt;"",ISNUMBER(SEARCH("revenue",$K216))),"Medium","Low")))</f>
        <v/>
      </c>
      <c r="AE216" s="65" t="str">
        <f aca="false">IF($A216="","",INDEX(TierDays,MATCH($AD216,TierName,0)))</f>
        <v/>
      </c>
      <c r="AF216" s="65" t="str">
        <f aca="false">IF($A216="","",AsOf-$G216)</f>
        <v/>
      </c>
      <c r="AG216" s="65" t="str">
        <f aca="false">IF($Y216="","",IF($Y216&lt;=5,IF($AF216&gt;$AE216,"Over","Inside"),"Past approval"))</f>
        <v/>
      </c>
      <c r="AH216" s="65" t="str">
        <f aca="false">IF($Y216="","",CHOOSE($Y216,IF(OR(TRIM($F216)="",ISNUMBER(SEARCH("not named",$F216))),"Critical","Good"),IF($O216&lt;&gt;"Y","Critical",IF($Q216&lt;&gt;"Y","Warning","Good")),IF($P216="","Critical",IF($P216="partial","Warning",IF($P216="ready","Good","Critical"))),IF($R216&lt;&gt;"","Critical","Warning"),IF($L216="","Critical",IF($N216="","Warning","Good")),IF($R216&lt;&gt;"","Critical","Warning"),IF($R216&lt;&gt;"","Critical","Warning"),IF($Q216="Y","Good","Critical")))</f>
        <v/>
      </c>
      <c r="AI216" s="65" t="str">
        <f aca="false">IF($Y216="","",CHOOSE($Y216,IF(OR(TRIM($F216)="",ISNUMBER(SEARCH("not named",$F216))),"Name a sponsor accountable for the value",""),IF($O216&lt;&gt;"Y","State the success metric and the stop condition",IF($Q216&lt;&gt;"Y","Set the baseline the benefit will be measured against","")),IF($P216="","Assess data readiness and regulatory impact",IF($P216="partial","Close the known data gaps",IF($P216="ready","","Data is not available; reshape or park"))),IF($R216&lt;&gt;"",IF(OR(ISNUMBER(SEARCH("mrm",$R216)),ISNUMBER(SEARCH("model",$R216)),ISNUMBER(SEARCH("risk",$R216)),ISNUMBER(SEARCH("legal",$R216)),ISNUMBER(SEARCH("complian",$R216))),"Awaiting ","Held at the design gate: ")&amp;$R216,"Map the governance framework for its tier"),IF($L216="","Size the annual benefit",IF($N216="","Score it so it can be ranked against capacity","")),IF($R216&lt;&gt;"","Build held: "&amp;$R216,"In build, not yet through test"),IF($R216&lt;&gt;"","Not ready to scale: "&amp;$R216,"Monitoring and third-party review not yet signed off"),IF($Q216="Y","","Live without a measured baseline to judge it against")))</f>
        <v/>
      </c>
      <c r="AJ216" s="65" t="str">
        <f aca="false">IF($Y216="","",INDEX(StageForum,$Y216))</f>
        <v/>
      </c>
      <c r="AK216" s="65" t="str">
        <f aca="false">IF($Y216="","",IF(OR($X216="Delivery",$X216="Value"),"Committed",IF($N216&lt;&gt;"","Candidate","")))</f>
        <v/>
      </c>
      <c r="AL216" s="65" t="str">
        <f aca="false">IF($AK216&lt;&gt;"Candidate","",COUNTIFS($AK$2:$AK$501,"Candidate",$N$2:$N$501,"&gt;"&amp;$N216)+COUNTIFS($AK$2:$AK$501,"Candidate",$N$2:$N$501,$N216,$A$2:$A$501,"&lt;"&amp;$A216)+1)</f>
        <v/>
      </c>
      <c r="AM216" s="65" t="str">
        <f aca="false">IF($AL216="","",SUMIFS($M$2:$M$501,$AK$2:$AK$501,"Candidate",$AL$2:$AL$501,"&lt;="&amp;$AL216))</f>
        <v/>
      </c>
      <c r="AN216" s="65" t="str">
        <f aca="false">IF($AL216="","",IF($AM216&lt;=CapacityOpen,"Fits","Below line"))</f>
        <v/>
      </c>
      <c r="AO216" s="65" t="str">
        <f aca="false">IF($A216="","",IF($X216="Closed","",IF($X216="Unmapped","Warning",IF(OR($AB216="Overdue",$V216="Y",$AH216="Critical"),"Critical",IF(OR($AB216="At risk",$AC216="Stale",$AG216="Over"),"Warning","")))))</f>
        <v/>
      </c>
      <c r="AP216" s="65" t="str">
        <f aca="false">IF($AO216="","",IF($AO216="Critical",3000,2000)-IF($Z216="",0,$Z216)+ROW()/100000)</f>
        <v/>
      </c>
      <c r="AQ216" s="65" t="str">
        <f aca="false">IF($AO216="","",IF($X216="Unmapped","Status '"&amp;$C216&amp;"' is not in the Config map",IF($V216="Y","Flagged in Jira",IF($AB216="Overdue",-$Z216&amp;" days past its "&amp;$X216&amp;" target",IF($AH216="Critical",$AI216,IF($AB216="At risk","Target in "&amp;$Z216&amp;" days",IF($AC216="Stale","No update in "&amp;$AA216&amp;" days","Past its "&amp;$AE216&amp;"-day tier window")))))))</f>
        <v/>
      </c>
      <c r="AR216" s="65" t="str">
        <f aca="false">IF($AO216="","","draft Jira update for "&amp;$A216)</f>
        <v/>
      </c>
      <c r="AS216" s="65" t="str">
        <f aca="false">IF($A216="","",HYPERLINK(JiraSite&amp;"/browse/"&amp;$A216,"open"))</f>
        <v/>
      </c>
      <c r="AT216" s="65" t="str">
        <f aca="false">IF($Y216="","",$Y216*1000+ROW())</f>
        <v/>
      </c>
      <c r="AU216" s="65" t="str">
        <f aca="false">IF(AND($A216&lt;&gt;"",$G216&gt;=WeekStart),$G216+ROW()/100000,"")</f>
        <v/>
      </c>
      <c r="AV216" s="65" t="str">
        <f aca="false">IF($A216="","",IF(OR(AND($S216&lt;&gt;"",$S216&gt;=WeekStart),AND($U216&lt;&gt;"",$U216&gt;=WeekStart)),MAX($S216,$U216)+ROW()/100000,""))</f>
        <v/>
      </c>
      <c r="AW216" s="65" t="str">
        <f aca="false">IF($AV216="","",IF($T216&lt;&gt;"",$T216,IF($X216="Closed","Closed","Accepted to "&amp;$X216)))</f>
        <v/>
      </c>
      <c r="AX216" s="65" t="str">
        <f aca="false">IF(AND($Y216&lt;&gt;"",$R216&lt;&gt;""),$AF216+ROW()/100000,"")</f>
        <v/>
      </c>
      <c r="AY216" s="65" t="str">
        <f aca="false">IF(AND($Y216&lt;&gt;"",OR($AB216="Overdue",AND($AH216="Critical",$R216&lt;&gt;""))),$AF216+ROW()/100000,"")</f>
        <v/>
      </c>
      <c r="AZ216" s="65" t="str">
        <f aca="false">IF($AH216="Critical",$AF216+ROW()/100000,"")</f>
        <v/>
      </c>
    </row>
    <row r="217" customFormat="false" ht="15" hidden="false" customHeight="false" outlineLevel="0" collapsed="false">
      <c r="A217" s="28"/>
      <c r="B217" s="28"/>
      <c r="C217" s="28"/>
      <c r="D217" s="28"/>
      <c r="E217" s="28"/>
      <c r="F217" s="28"/>
      <c r="G217" s="63"/>
      <c r="H217" s="63"/>
      <c r="I217" s="63"/>
      <c r="J217" s="28"/>
      <c r="K217" s="28"/>
      <c r="L217" s="28"/>
      <c r="M217" s="28"/>
      <c r="N217" s="28"/>
      <c r="O217" s="64"/>
      <c r="P217" s="64"/>
      <c r="Q217" s="64"/>
      <c r="R217" s="28"/>
      <c r="S217" s="63"/>
      <c r="T217" s="64"/>
      <c r="U217" s="63"/>
      <c r="V217" s="64"/>
      <c r="W217" s="28"/>
      <c r="X217" s="65" t="str">
        <f aca="false">IF($A217="","",IF(OR($T217&lt;&gt;"",$U217&lt;&gt;""),"Closed",IFERROR(INDEX(MapStage,MATCH($C217,MapStatus,0)),"Unmapped")))</f>
        <v/>
      </c>
      <c r="Y217" s="65" t="str">
        <f aca="false">IF(OR($X217="",$X217="Closed",$X217="Unmapped"),"",MATCH($X217,StageName,0))</f>
        <v/>
      </c>
      <c r="Z217" s="65" t="str">
        <f aca="false">IF(OR($Y217="",$I217=""),"",$I217-AsOf)</f>
        <v/>
      </c>
      <c r="AA217" s="65" t="str">
        <f aca="false">IF($A217="","",AsOf-$H217)</f>
        <v/>
      </c>
      <c r="AB217" s="65" t="str">
        <f aca="false">IF($A217="","",IF($X217="Closed","Closed",IF($X217="Unmapped","Unmapped",IF($I217="","No target",IF($Z217&lt;0,"Overdue",IF($Z217&lt;=INDEX(StageWindow,$Y217),"At risk","On track"))))))</f>
        <v/>
      </c>
      <c r="AC217" s="65" t="str">
        <f aca="false">IF($Y217="","",IF($AA217&gt;2*INDEX(StageStale,$Y217),"Stale",IF($AA217&gt;INDEX(StageStale,$Y217),"Aging","Fresh")))</f>
        <v/>
      </c>
      <c r="AD217" s="65" t="str">
        <f aca="false">IF($A217="","",IF(OR(ISNUMBER(SEARCH("Reg report",$J217)),ISNUMBER(SEARCH("No human review",$J217)),COUNTIF(TierFuncs,$D217)&gt;0),"High",IF(OR(TRIM($J217)&lt;&gt;"",ISNUMBER(SEARCH("revenue",$K217))),"Medium","Low")))</f>
        <v/>
      </c>
      <c r="AE217" s="65" t="str">
        <f aca="false">IF($A217="","",INDEX(TierDays,MATCH($AD217,TierName,0)))</f>
        <v/>
      </c>
      <c r="AF217" s="65" t="str">
        <f aca="false">IF($A217="","",AsOf-$G217)</f>
        <v/>
      </c>
      <c r="AG217" s="65" t="str">
        <f aca="false">IF($Y217="","",IF($Y217&lt;=5,IF($AF217&gt;$AE217,"Over","Inside"),"Past approval"))</f>
        <v/>
      </c>
      <c r="AH217" s="65" t="str">
        <f aca="false">IF($Y217="","",CHOOSE($Y217,IF(OR(TRIM($F217)="",ISNUMBER(SEARCH("not named",$F217))),"Critical","Good"),IF($O217&lt;&gt;"Y","Critical",IF($Q217&lt;&gt;"Y","Warning","Good")),IF($P217="","Critical",IF($P217="partial","Warning",IF($P217="ready","Good","Critical"))),IF($R217&lt;&gt;"","Critical","Warning"),IF($L217="","Critical",IF($N217="","Warning","Good")),IF($R217&lt;&gt;"","Critical","Warning"),IF($R217&lt;&gt;"","Critical","Warning"),IF($Q217="Y","Good","Critical")))</f>
        <v/>
      </c>
      <c r="AI217" s="65" t="str">
        <f aca="false">IF($Y217="","",CHOOSE($Y217,IF(OR(TRIM($F217)="",ISNUMBER(SEARCH("not named",$F217))),"Name a sponsor accountable for the value",""),IF($O217&lt;&gt;"Y","State the success metric and the stop condition",IF($Q217&lt;&gt;"Y","Set the baseline the benefit will be measured against","")),IF($P217="","Assess data readiness and regulatory impact",IF($P217="partial","Close the known data gaps",IF($P217="ready","","Data is not available; reshape or park"))),IF($R217&lt;&gt;"",IF(OR(ISNUMBER(SEARCH("mrm",$R217)),ISNUMBER(SEARCH("model",$R217)),ISNUMBER(SEARCH("risk",$R217)),ISNUMBER(SEARCH("legal",$R217)),ISNUMBER(SEARCH("complian",$R217))),"Awaiting ","Held at the design gate: ")&amp;$R217,"Map the governance framework for its tier"),IF($L217="","Size the annual benefit",IF($N217="","Score it so it can be ranked against capacity","")),IF($R217&lt;&gt;"","Build held: "&amp;$R217,"In build, not yet through test"),IF($R217&lt;&gt;"","Not ready to scale: "&amp;$R217,"Monitoring and third-party review not yet signed off"),IF($Q217="Y","","Live without a measured baseline to judge it against")))</f>
        <v/>
      </c>
      <c r="AJ217" s="65" t="str">
        <f aca="false">IF($Y217="","",INDEX(StageForum,$Y217))</f>
        <v/>
      </c>
      <c r="AK217" s="65" t="str">
        <f aca="false">IF($Y217="","",IF(OR($X217="Delivery",$X217="Value"),"Committed",IF($N217&lt;&gt;"","Candidate","")))</f>
        <v/>
      </c>
      <c r="AL217" s="65" t="str">
        <f aca="false">IF($AK217&lt;&gt;"Candidate","",COUNTIFS($AK$2:$AK$501,"Candidate",$N$2:$N$501,"&gt;"&amp;$N217)+COUNTIFS($AK$2:$AK$501,"Candidate",$N$2:$N$501,$N217,$A$2:$A$501,"&lt;"&amp;$A217)+1)</f>
        <v/>
      </c>
      <c r="AM217" s="65" t="str">
        <f aca="false">IF($AL217="","",SUMIFS($M$2:$M$501,$AK$2:$AK$501,"Candidate",$AL$2:$AL$501,"&lt;="&amp;$AL217))</f>
        <v/>
      </c>
      <c r="AN217" s="65" t="str">
        <f aca="false">IF($AL217="","",IF($AM217&lt;=CapacityOpen,"Fits","Below line"))</f>
        <v/>
      </c>
      <c r="AO217" s="65" t="str">
        <f aca="false">IF($A217="","",IF($X217="Closed","",IF($X217="Unmapped","Warning",IF(OR($AB217="Overdue",$V217="Y",$AH217="Critical"),"Critical",IF(OR($AB217="At risk",$AC217="Stale",$AG217="Over"),"Warning","")))))</f>
        <v/>
      </c>
      <c r="AP217" s="65" t="str">
        <f aca="false">IF($AO217="","",IF($AO217="Critical",3000,2000)-IF($Z217="",0,$Z217)+ROW()/100000)</f>
        <v/>
      </c>
      <c r="AQ217" s="65" t="str">
        <f aca="false">IF($AO217="","",IF($X217="Unmapped","Status '"&amp;$C217&amp;"' is not in the Config map",IF($V217="Y","Flagged in Jira",IF($AB217="Overdue",-$Z217&amp;" days past its "&amp;$X217&amp;" target",IF($AH217="Critical",$AI217,IF($AB217="At risk","Target in "&amp;$Z217&amp;" days",IF($AC217="Stale","No update in "&amp;$AA217&amp;" days","Past its "&amp;$AE217&amp;"-day tier window")))))))</f>
        <v/>
      </c>
      <c r="AR217" s="65" t="str">
        <f aca="false">IF($AO217="","","draft Jira update for "&amp;$A217)</f>
        <v/>
      </c>
      <c r="AS217" s="65" t="str">
        <f aca="false">IF($A217="","",HYPERLINK(JiraSite&amp;"/browse/"&amp;$A217,"open"))</f>
        <v/>
      </c>
      <c r="AT217" s="65" t="str">
        <f aca="false">IF($Y217="","",$Y217*1000+ROW())</f>
        <v/>
      </c>
      <c r="AU217" s="65" t="str">
        <f aca="false">IF(AND($A217&lt;&gt;"",$G217&gt;=WeekStart),$G217+ROW()/100000,"")</f>
        <v/>
      </c>
      <c r="AV217" s="65" t="str">
        <f aca="false">IF($A217="","",IF(OR(AND($S217&lt;&gt;"",$S217&gt;=WeekStart),AND($U217&lt;&gt;"",$U217&gt;=WeekStart)),MAX($S217,$U217)+ROW()/100000,""))</f>
        <v/>
      </c>
      <c r="AW217" s="65" t="str">
        <f aca="false">IF($AV217="","",IF($T217&lt;&gt;"",$T217,IF($X217="Closed","Closed","Accepted to "&amp;$X217)))</f>
        <v/>
      </c>
      <c r="AX217" s="65" t="str">
        <f aca="false">IF(AND($Y217&lt;&gt;"",$R217&lt;&gt;""),$AF217+ROW()/100000,"")</f>
        <v/>
      </c>
      <c r="AY217" s="65" t="str">
        <f aca="false">IF(AND($Y217&lt;&gt;"",OR($AB217="Overdue",AND($AH217="Critical",$R217&lt;&gt;""))),$AF217+ROW()/100000,"")</f>
        <v/>
      </c>
      <c r="AZ217" s="65" t="str">
        <f aca="false">IF($AH217="Critical",$AF217+ROW()/100000,"")</f>
        <v/>
      </c>
    </row>
    <row r="218" customFormat="false" ht="15" hidden="false" customHeight="false" outlineLevel="0" collapsed="false">
      <c r="A218" s="28"/>
      <c r="B218" s="28"/>
      <c r="C218" s="28"/>
      <c r="D218" s="28"/>
      <c r="E218" s="28"/>
      <c r="F218" s="28"/>
      <c r="G218" s="63"/>
      <c r="H218" s="63"/>
      <c r="I218" s="63"/>
      <c r="J218" s="28"/>
      <c r="K218" s="28"/>
      <c r="L218" s="28"/>
      <c r="M218" s="28"/>
      <c r="N218" s="28"/>
      <c r="O218" s="64"/>
      <c r="P218" s="64"/>
      <c r="Q218" s="64"/>
      <c r="R218" s="28"/>
      <c r="S218" s="63"/>
      <c r="T218" s="64"/>
      <c r="U218" s="63"/>
      <c r="V218" s="64"/>
      <c r="W218" s="28"/>
      <c r="X218" s="65" t="str">
        <f aca="false">IF($A218="","",IF(OR($T218&lt;&gt;"",$U218&lt;&gt;""),"Closed",IFERROR(INDEX(MapStage,MATCH($C218,MapStatus,0)),"Unmapped")))</f>
        <v/>
      </c>
      <c r="Y218" s="65" t="str">
        <f aca="false">IF(OR($X218="",$X218="Closed",$X218="Unmapped"),"",MATCH($X218,StageName,0))</f>
        <v/>
      </c>
      <c r="Z218" s="65" t="str">
        <f aca="false">IF(OR($Y218="",$I218=""),"",$I218-AsOf)</f>
        <v/>
      </c>
      <c r="AA218" s="65" t="str">
        <f aca="false">IF($A218="","",AsOf-$H218)</f>
        <v/>
      </c>
      <c r="AB218" s="65" t="str">
        <f aca="false">IF($A218="","",IF($X218="Closed","Closed",IF($X218="Unmapped","Unmapped",IF($I218="","No target",IF($Z218&lt;0,"Overdue",IF($Z218&lt;=INDEX(StageWindow,$Y218),"At risk","On track"))))))</f>
        <v/>
      </c>
      <c r="AC218" s="65" t="str">
        <f aca="false">IF($Y218="","",IF($AA218&gt;2*INDEX(StageStale,$Y218),"Stale",IF($AA218&gt;INDEX(StageStale,$Y218),"Aging","Fresh")))</f>
        <v/>
      </c>
      <c r="AD218" s="65" t="str">
        <f aca="false">IF($A218="","",IF(OR(ISNUMBER(SEARCH("Reg report",$J218)),ISNUMBER(SEARCH("No human review",$J218)),COUNTIF(TierFuncs,$D218)&gt;0),"High",IF(OR(TRIM($J218)&lt;&gt;"",ISNUMBER(SEARCH("revenue",$K218))),"Medium","Low")))</f>
        <v/>
      </c>
      <c r="AE218" s="65" t="str">
        <f aca="false">IF($A218="","",INDEX(TierDays,MATCH($AD218,TierName,0)))</f>
        <v/>
      </c>
      <c r="AF218" s="65" t="str">
        <f aca="false">IF($A218="","",AsOf-$G218)</f>
        <v/>
      </c>
      <c r="AG218" s="65" t="str">
        <f aca="false">IF($Y218="","",IF($Y218&lt;=5,IF($AF218&gt;$AE218,"Over","Inside"),"Past approval"))</f>
        <v/>
      </c>
      <c r="AH218" s="65" t="str">
        <f aca="false">IF($Y218="","",CHOOSE($Y218,IF(OR(TRIM($F218)="",ISNUMBER(SEARCH("not named",$F218))),"Critical","Good"),IF($O218&lt;&gt;"Y","Critical",IF($Q218&lt;&gt;"Y","Warning","Good")),IF($P218="","Critical",IF($P218="partial","Warning",IF($P218="ready","Good","Critical"))),IF($R218&lt;&gt;"","Critical","Warning"),IF($L218="","Critical",IF($N218="","Warning","Good")),IF($R218&lt;&gt;"","Critical","Warning"),IF($R218&lt;&gt;"","Critical","Warning"),IF($Q218="Y","Good","Critical")))</f>
        <v/>
      </c>
      <c r="AI218" s="65" t="str">
        <f aca="false">IF($Y218="","",CHOOSE($Y218,IF(OR(TRIM($F218)="",ISNUMBER(SEARCH("not named",$F218))),"Name a sponsor accountable for the value",""),IF($O218&lt;&gt;"Y","State the success metric and the stop condition",IF($Q218&lt;&gt;"Y","Set the baseline the benefit will be measured against","")),IF($P218="","Assess data readiness and regulatory impact",IF($P218="partial","Close the known data gaps",IF($P218="ready","","Data is not available; reshape or park"))),IF($R218&lt;&gt;"",IF(OR(ISNUMBER(SEARCH("mrm",$R218)),ISNUMBER(SEARCH("model",$R218)),ISNUMBER(SEARCH("risk",$R218)),ISNUMBER(SEARCH("legal",$R218)),ISNUMBER(SEARCH("complian",$R218))),"Awaiting ","Held at the design gate: ")&amp;$R218,"Map the governance framework for its tier"),IF($L218="","Size the annual benefit",IF($N218="","Score it so it can be ranked against capacity","")),IF($R218&lt;&gt;"","Build held: "&amp;$R218,"In build, not yet through test"),IF($R218&lt;&gt;"","Not ready to scale: "&amp;$R218,"Monitoring and third-party review not yet signed off"),IF($Q218="Y","","Live without a measured baseline to judge it against")))</f>
        <v/>
      </c>
      <c r="AJ218" s="65" t="str">
        <f aca="false">IF($Y218="","",INDEX(StageForum,$Y218))</f>
        <v/>
      </c>
      <c r="AK218" s="65" t="str">
        <f aca="false">IF($Y218="","",IF(OR($X218="Delivery",$X218="Value"),"Committed",IF($N218&lt;&gt;"","Candidate","")))</f>
        <v/>
      </c>
      <c r="AL218" s="65" t="str">
        <f aca="false">IF($AK218&lt;&gt;"Candidate","",COUNTIFS($AK$2:$AK$501,"Candidate",$N$2:$N$501,"&gt;"&amp;$N218)+COUNTIFS($AK$2:$AK$501,"Candidate",$N$2:$N$501,$N218,$A$2:$A$501,"&lt;"&amp;$A218)+1)</f>
        <v/>
      </c>
      <c r="AM218" s="65" t="str">
        <f aca="false">IF($AL218="","",SUMIFS($M$2:$M$501,$AK$2:$AK$501,"Candidate",$AL$2:$AL$501,"&lt;="&amp;$AL218))</f>
        <v/>
      </c>
      <c r="AN218" s="65" t="str">
        <f aca="false">IF($AL218="","",IF($AM218&lt;=CapacityOpen,"Fits","Below line"))</f>
        <v/>
      </c>
      <c r="AO218" s="65" t="str">
        <f aca="false">IF($A218="","",IF($X218="Closed","",IF($X218="Unmapped","Warning",IF(OR($AB218="Overdue",$V218="Y",$AH218="Critical"),"Critical",IF(OR($AB218="At risk",$AC218="Stale",$AG218="Over"),"Warning","")))))</f>
        <v/>
      </c>
      <c r="AP218" s="65" t="str">
        <f aca="false">IF($AO218="","",IF($AO218="Critical",3000,2000)-IF($Z218="",0,$Z218)+ROW()/100000)</f>
        <v/>
      </c>
      <c r="AQ218" s="65" t="str">
        <f aca="false">IF($AO218="","",IF($X218="Unmapped","Status '"&amp;$C218&amp;"' is not in the Config map",IF($V218="Y","Flagged in Jira",IF($AB218="Overdue",-$Z218&amp;" days past its "&amp;$X218&amp;" target",IF($AH218="Critical",$AI218,IF($AB218="At risk","Target in "&amp;$Z218&amp;" days",IF($AC218="Stale","No update in "&amp;$AA218&amp;" days","Past its "&amp;$AE218&amp;"-day tier window")))))))</f>
        <v/>
      </c>
      <c r="AR218" s="65" t="str">
        <f aca="false">IF($AO218="","","draft Jira update for "&amp;$A218)</f>
        <v/>
      </c>
      <c r="AS218" s="65" t="str">
        <f aca="false">IF($A218="","",HYPERLINK(JiraSite&amp;"/browse/"&amp;$A218,"open"))</f>
        <v/>
      </c>
      <c r="AT218" s="65" t="str">
        <f aca="false">IF($Y218="","",$Y218*1000+ROW())</f>
        <v/>
      </c>
      <c r="AU218" s="65" t="str">
        <f aca="false">IF(AND($A218&lt;&gt;"",$G218&gt;=WeekStart),$G218+ROW()/100000,"")</f>
        <v/>
      </c>
      <c r="AV218" s="65" t="str">
        <f aca="false">IF($A218="","",IF(OR(AND($S218&lt;&gt;"",$S218&gt;=WeekStart),AND($U218&lt;&gt;"",$U218&gt;=WeekStart)),MAX($S218,$U218)+ROW()/100000,""))</f>
        <v/>
      </c>
      <c r="AW218" s="65" t="str">
        <f aca="false">IF($AV218="","",IF($T218&lt;&gt;"",$T218,IF($X218="Closed","Closed","Accepted to "&amp;$X218)))</f>
        <v/>
      </c>
      <c r="AX218" s="65" t="str">
        <f aca="false">IF(AND($Y218&lt;&gt;"",$R218&lt;&gt;""),$AF218+ROW()/100000,"")</f>
        <v/>
      </c>
      <c r="AY218" s="65" t="str">
        <f aca="false">IF(AND($Y218&lt;&gt;"",OR($AB218="Overdue",AND($AH218="Critical",$R218&lt;&gt;""))),$AF218+ROW()/100000,"")</f>
        <v/>
      </c>
      <c r="AZ218" s="65" t="str">
        <f aca="false">IF($AH218="Critical",$AF218+ROW()/100000,"")</f>
        <v/>
      </c>
    </row>
    <row r="219" customFormat="false" ht="15" hidden="false" customHeight="false" outlineLevel="0" collapsed="false">
      <c r="A219" s="28"/>
      <c r="B219" s="28"/>
      <c r="C219" s="28"/>
      <c r="D219" s="28"/>
      <c r="E219" s="28"/>
      <c r="F219" s="28"/>
      <c r="G219" s="63"/>
      <c r="H219" s="63"/>
      <c r="I219" s="63"/>
      <c r="J219" s="28"/>
      <c r="K219" s="28"/>
      <c r="L219" s="28"/>
      <c r="M219" s="28"/>
      <c r="N219" s="28"/>
      <c r="O219" s="64"/>
      <c r="P219" s="64"/>
      <c r="Q219" s="64"/>
      <c r="R219" s="28"/>
      <c r="S219" s="63"/>
      <c r="T219" s="64"/>
      <c r="U219" s="63"/>
      <c r="V219" s="64"/>
      <c r="W219" s="28"/>
      <c r="X219" s="65" t="str">
        <f aca="false">IF($A219="","",IF(OR($T219&lt;&gt;"",$U219&lt;&gt;""),"Closed",IFERROR(INDEX(MapStage,MATCH($C219,MapStatus,0)),"Unmapped")))</f>
        <v/>
      </c>
      <c r="Y219" s="65" t="str">
        <f aca="false">IF(OR($X219="",$X219="Closed",$X219="Unmapped"),"",MATCH($X219,StageName,0))</f>
        <v/>
      </c>
      <c r="Z219" s="65" t="str">
        <f aca="false">IF(OR($Y219="",$I219=""),"",$I219-AsOf)</f>
        <v/>
      </c>
      <c r="AA219" s="65" t="str">
        <f aca="false">IF($A219="","",AsOf-$H219)</f>
        <v/>
      </c>
      <c r="AB219" s="65" t="str">
        <f aca="false">IF($A219="","",IF($X219="Closed","Closed",IF($X219="Unmapped","Unmapped",IF($I219="","No target",IF($Z219&lt;0,"Overdue",IF($Z219&lt;=INDEX(StageWindow,$Y219),"At risk","On track"))))))</f>
        <v/>
      </c>
      <c r="AC219" s="65" t="str">
        <f aca="false">IF($Y219="","",IF($AA219&gt;2*INDEX(StageStale,$Y219),"Stale",IF($AA219&gt;INDEX(StageStale,$Y219),"Aging","Fresh")))</f>
        <v/>
      </c>
      <c r="AD219" s="65" t="str">
        <f aca="false">IF($A219="","",IF(OR(ISNUMBER(SEARCH("Reg report",$J219)),ISNUMBER(SEARCH("No human review",$J219)),COUNTIF(TierFuncs,$D219)&gt;0),"High",IF(OR(TRIM($J219)&lt;&gt;"",ISNUMBER(SEARCH("revenue",$K219))),"Medium","Low")))</f>
        <v/>
      </c>
      <c r="AE219" s="65" t="str">
        <f aca="false">IF($A219="","",INDEX(TierDays,MATCH($AD219,TierName,0)))</f>
        <v/>
      </c>
      <c r="AF219" s="65" t="str">
        <f aca="false">IF($A219="","",AsOf-$G219)</f>
        <v/>
      </c>
      <c r="AG219" s="65" t="str">
        <f aca="false">IF($Y219="","",IF($Y219&lt;=5,IF($AF219&gt;$AE219,"Over","Inside"),"Past approval"))</f>
        <v/>
      </c>
      <c r="AH219" s="65" t="str">
        <f aca="false">IF($Y219="","",CHOOSE($Y219,IF(OR(TRIM($F219)="",ISNUMBER(SEARCH("not named",$F219))),"Critical","Good"),IF($O219&lt;&gt;"Y","Critical",IF($Q219&lt;&gt;"Y","Warning","Good")),IF($P219="","Critical",IF($P219="partial","Warning",IF($P219="ready","Good","Critical"))),IF($R219&lt;&gt;"","Critical","Warning"),IF($L219="","Critical",IF($N219="","Warning","Good")),IF($R219&lt;&gt;"","Critical","Warning"),IF($R219&lt;&gt;"","Critical","Warning"),IF($Q219="Y","Good","Critical")))</f>
        <v/>
      </c>
      <c r="AI219" s="65" t="str">
        <f aca="false">IF($Y219="","",CHOOSE($Y219,IF(OR(TRIM($F219)="",ISNUMBER(SEARCH("not named",$F219))),"Name a sponsor accountable for the value",""),IF($O219&lt;&gt;"Y","State the success metric and the stop condition",IF($Q219&lt;&gt;"Y","Set the baseline the benefit will be measured against","")),IF($P219="","Assess data readiness and regulatory impact",IF($P219="partial","Close the known data gaps",IF($P219="ready","","Data is not available; reshape or park"))),IF($R219&lt;&gt;"",IF(OR(ISNUMBER(SEARCH("mrm",$R219)),ISNUMBER(SEARCH("model",$R219)),ISNUMBER(SEARCH("risk",$R219)),ISNUMBER(SEARCH("legal",$R219)),ISNUMBER(SEARCH("complian",$R219))),"Awaiting ","Held at the design gate: ")&amp;$R219,"Map the governance framework for its tier"),IF($L219="","Size the annual benefit",IF($N219="","Score it so it can be ranked against capacity","")),IF($R219&lt;&gt;"","Build held: "&amp;$R219,"In build, not yet through test"),IF($R219&lt;&gt;"","Not ready to scale: "&amp;$R219,"Monitoring and third-party review not yet signed off"),IF($Q219="Y","","Live without a measured baseline to judge it against")))</f>
        <v/>
      </c>
      <c r="AJ219" s="65" t="str">
        <f aca="false">IF($Y219="","",INDEX(StageForum,$Y219))</f>
        <v/>
      </c>
      <c r="AK219" s="65" t="str">
        <f aca="false">IF($Y219="","",IF(OR($X219="Delivery",$X219="Value"),"Committed",IF($N219&lt;&gt;"","Candidate","")))</f>
        <v/>
      </c>
      <c r="AL219" s="65" t="str">
        <f aca="false">IF($AK219&lt;&gt;"Candidate","",COUNTIFS($AK$2:$AK$501,"Candidate",$N$2:$N$501,"&gt;"&amp;$N219)+COUNTIFS($AK$2:$AK$501,"Candidate",$N$2:$N$501,$N219,$A$2:$A$501,"&lt;"&amp;$A219)+1)</f>
        <v/>
      </c>
      <c r="AM219" s="65" t="str">
        <f aca="false">IF($AL219="","",SUMIFS($M$2:$M$501,$AK$2:$AK$501,"Candidate",$AL$2:$AL$501,"&lt;="&amp;$AL219))</f>
        <v/>
      </c>
      <c r="AN219" s="65" t="str">
        <f aca="false">IF($AL219="","",IF($AM219&lt;=CapacityOpen,"Fits","Below line"))</f>
        <v/>
      </c>
      <c r="AO219" s="65" t="str">
        <f aca="false">IF($A219="","",IF($X219="Closed","",IF($X219="Unmapped","Warning",IF(OR($AB219="Overdue",$V219="Y",$AH219="Critical"),"Critical",IF(OR($AB219="At risk",$AC219="Stale",$AG219="Over"),"Warning","")))))</f>
        <v/>
      </c>
      <c r="AP219" s="65" t="str">
        <f aca="false">IF($AO219="","",IF($AO219="Critical",3000,2000)-IF($Z219="",0,$Z219)+ROW()/100000)</f>
        <v/>
      </c>
      <c r="AQ219" s="65" t="str">
        <f aca="false">IF($AO219="","",IF($X219="Unmapped","Status '"&amp;$C219&amp;"' is not in the Config map",IF($V219="Y","Flagged in Jira",IF($AB219="Overdue",-$Z219&amp;" days past its "&amp;$X219&amp;" target",IF($AH219="Critical",$AI219,IF($AB219="At risk","Target in "&amp;$Z219&amp;" days",IF($AC219="Stale","No update in "&amp;$AA219&amp;" days","Past its "&amp;$AE219&amp;"-day tier window")))))))</f>
        <v/>
      </c>
      <c r="AR219" s="65" t="str">
        <f aca="false">IF($AO219="","","draft Jira update for "&amp;$A219)</f>
        <v/>
      </c>
      <c r="AS219" s="65" t="str">
        <f aca="false">IF($A219="","",HYPERLINK(JiraSite&amp;"/browse/"&amp;$A219,"open"))</f>
        <v/>
      </c>
      <c r="AT219" s="65" t="str">
        <f aca="false">IF($Y219="","",$Y219*1000+ROW())</f>
        <v/>
      </c>
      <c r="AU219" s="65" t="str">
        <f aca="false">IF(AND($A219&lt;&gt;"",$G219&gt;=WeekStart),$G219+ROW()/100000,"")</f>
        <v/>
      </c>
      <c r="AV219" s="65" t="str">
        <f aca="false">IF($A219="","",IF(OR(AND($S219&lt;&gt;"",$S219&gt;=WeekStart),AND($U219&lt;&gt;"",$U219&gt;=WeekStart)),MAX($S219,$U219)+ROW()/100000,""))</f>
        <v/>
      </c>
      <c r="AW219" s="65" t="str">
        <f aca="false">IF($AV219="","",IF($T219&lt;&gt;"",$T219,IF($X219="Closed","Closed","Accepted to "&amp;$X219)))</f>
        <v/>
      </c>
      <c r="AX219" s="65" t="str">
        <f aca="false">IF(AND($Y219&lt;&gt;"",$R219&lt;&gt;""),$AF219+ROW()/100000,"")</f>
        <v/>
      </c>
      <c r="AY219" s="65" t="str">
        <f aca="false">IF(AND($Y219&lt;&gt;"",OR($AB219="Overdue",AND($AH219="Critical",$R219&lt;&gt;""))),$AF219+ROW()/100000,"")</f>
        <v/>
      </c>
      <c r="AZ219" s="65" t="str">
        <f aca="false">IF($AH219="Critical",$AF219+ROW()/100000,"")</f>
        <v/>
      </c>
    </row>
    <row r="220" customFormat="false" ht="15" hidden="false" customHeight="false" outlineLevel="0" collapsed="false">
      <c r="A220" s="28"/>
      <c r="B220" s="28"/>
      <c r="C220" s="28"/>
      <c r="D220" s="28"/>
      <c r="E220" s="28"/>
      <c r="F220" s="28"/>
      <c r="G220" s="63"/>
      <c r="H220" s="63"/>
      <c r="I220" s="63"/>
      <c r="J220" s="28"/>
      <c r="K220" s="28"/>
      <c r="L220" s="28"/>
      <c r="M220" s="28"/>
      <c r="N220" s="28"/>
      <c r="O220" s="64"/>
      <c r="P220" s="64"/>
      <c r="Q220" s="64"/>
      <c r="R220" s="28"/>
      <c r="S220" s="63"/>
      <c r="T220" s="64"/>
      <c r="U220" s="63"/>
      <c r="V220" s="64"/>
      <c r="W220" s="28"/>
      <c r="X220" s="65" t="str">
        <f aca="false">IF($A220="","",IF(OR($T220&lt;&gt;"",$U220&lt;&gt;""),"Closed",IFERROR(INDEX(MapStage,MATCH($C220,MapStatus,0)),"Unmapped")))</f>
        <v/>
      </c>
      <c r="Y220" s="65" t="str">
        <f aca="false">IF(OR($X220="",$X220="Closed",$X220="Unmapped"),"",MATCH($X220,StageName,0))</f>
        <v/>
      </c>
      <c r="Z220" s="65" t="str">
        <f aca="false">IF(OR($Y220="",$I220=""),"",$I220-AsOf)</f>
        <v/>
      </c>
      <c r="AA220" s="65" t="str">
        <f aca="false">IF($A220="","",AsOf-$H220)</f>
        <v/>
      </c>
      <c r="AB220" s="65" t="str">
        <f aca="false">IF($A220="","",IF($X220="Closed","Closed",IF($X220="Unmapped","Unmapped",IF($I220="","No target",IF($Z220&lt;0,"Overdue",IF($Z220&lt;=INDEX(StageWindow,$Y220),"At risk","On track"))))))</f>
        <v/>
      </c>
      <c r="AC220" s="65" t="str">
        <f aca="false">IF($Y220="","",IF($AA220&gt;2*INDEX(StageStale,$Y220),"Stale",IF($AA220&gt;INDEX(StageStale,$Y220),"Aging","Fresh")))</f>
        <v/>
      </c>
      <c r="AD220" s="65" t="str">
        <f aca="false">IF($A220="","",IF(OR(ISNUMBER(SEARCH("Reg report",$J220)),ISNUMBER(SEARCH("No human review",$J220)),COUNTIF(TierFuncs,$D220)&gt;0),"High",IF(OR(TRIM($J220)&lt;&gt;"",ISNUMBER(SEARCH("revenue",$K220))),"Medium","Low")))</f>
        <v/>
      </c>
      <c r="AE220" s="65" t="str">
        <f aca="false">IF($A220="","",INDEX(TierDays,MATCH($AD220,TierName,0)))</f>
        <v/>
      </c>
      <c r="AF220" s="65" t="str">
        <f aca="false">IF($A220="","",AsOf-$G220)</f>
        <v/>
      </c>
      <c r="AG220" s="65" t="str">
        <f aca="false">IF($Y220="","",IF($Y220&lt;=5,IF($AF220&gt;$AE220,"Over","Inside"),"Past approval"))</f>
        <v/>
      </c>
      <c r="AH220" s="65" t="str">
        <f aca="false">IF($Y220="","",CHOOSE($Y220,IF(OR(TRIM($F220)="",ISNUMBER(SEARCH("not named",$F220))),"Critical","Good"),IF($O220&lt;&gt;"Y","Critical",IF($Q220&lt;&gt;"Y","Warning","Good")),IF($P220="","Critical",IF($P220="partial","Warning",IF($P220="ready","Good","Critical"))),IF($R220&lt;&gt;"","Critical","Warning"),IF($L220="","Critical",IF($N220="","Warning","Good")),IF($R220&lt;&gt;"","Critical","Warning"),IF($R220&lt;&gt;"","Critical","Warning"),IF($Q220="Y","Good","Critical")))</f>
        <v/>
      </c>
      <c r="AI220" s="65" t="str">
        <f aca="false">IF($Y220="","",CHOOSE($Y220,IF(OR(TRIM($F220)="",ISNUMBER(SEARCH("not named",$F220))),"Name a sponsor accountable for the value",""),IF($O220&lt;&gt;"Y","State the success metric and the stop condition",IF($Q220&lt;&gt;"Y","Set the baseline the benefit will be measured against","")),IF($P220="","Assess data readiness and regulatory impact",IF($P220="partial","Close the known data gaps",IF($P220="ready","","Data is not available; reshape or park"))),IF($R220&lt;&gt;"",IF(OR(ISNUMBER(SEARCH("mrm",$R220)),ISNUMBER(SEARCH("model",$R220)),ISNUMBER(SEARCH("risk",$R220)),ISNUMBER(SEARCH("legal",$R220)),ISNUMBER(SEARCH("complian",$R220))),"Awaiting ","Held at the design gate: ")&amp;$R220,"Map the governance framework for its tier"),IF($L220="","Size the annual benefit",IF($N220="","Score it so it can be ranked against capacity","")),IF($R220&lt;&gt;"","Build held: "&amp;$R220,"In build, not yet through test"),IF($R220&lt;&gt;"","Not ready to scale: "&amp;$R220,"Monitoring and third-party review not yet signed off"),IF($Q220="Y","","Live without a measured baseline to judge it against")))</f>
        <v/>
      </c>
      <c r="AJ220" s="65" t="str">
        <f aca="false">IF($Y220="","",INDEX(StageForum,$Y220))</f>
        <v/>
      </c>
      <c r="AK220" s="65" t="str">
        <f aca="false">IF($Y220="","",IF(OR($X220="Delivery",$X220="Value"),"Committed",IF($N220&lt;&gt;"","Candidate","")))</f>
        <v/>
      </c>
      <c r="AL220" s="65" t="str">
        <f aca="false">IF($AK220&lt;&gt;"Candidate","",COUNTIFS($AK$2:$AK$501,"Candidate",$N$2:$N$501,"&gt;"&amp;$N220)+COUNTIFS($AK$2:$AK$501,"Candidate",$N$2:$N$501,$N220,$A$2:$A$501,"&lt;"&amp;$A220)+1)</f>
        <v/>
      </c>
      <c r="AM220" s="65" t="str">
        <f aca="false">IF($AL220="","",SUMIFS($M$2:$M$501,$AK$2:$AK$501,"Candidate",$AL$2:$AL$501,"&lt;="&amp;$AL220))</f>
        <v/>
      </c>
      <c r="AN220" s="65" t="str">
        <f aca="false">IF($AL220="","",IF($AM220&lt;=CapacityOpen,"Fits","Below line"))</f>
        <v/>
      </c>
      <c r="AO220" s="65" t="str">
        <f aca="false">IF($A220="","",IF($X220="Closed","",IF($X220="Unmapped","Warning",IF(OR($AB220="Overdue",$V220="Y",$AH220="Critical"),"Critical",IF(OR($AB220="At risk",$AC220="Stale",$AG220="Over"),"Warning","")))))</f>
        <v/>
      </c>
      <c r="AP220" s="65" t="str">
        <f aca="false">IF($AO220="","",IF($AO220="Critical",3000,2000)-IF($Z220="",0,$Z220)+ROW()/100000)</f>
        <v/>
      </c>
      <c r="AQ220" s="65" t="str">
        <f aca="false">IF($AO220="","",IF($X220="Unmapped","Status '"&amp;$C220&amp;"' is not in the Config map",IF($V220="Y","Flagged in Jira",IF($AB220="Overdue",-$Z220&amp;" days past its "&amp;$X220&amp;" target",IF($AH220="Critical",$AI220,IF($AB220="At risk","Target in "&amp;$Z220&amp;" days",IF($AC220="Stale","No update in "&amp;$AA220&amp;" days","Past its "&amp;$AE220&amp;"-day tier window")))))))</f>
        <v/>
      </c>
      <c r="AR220" s="65" t="str">
        <f aca="false">IF($AO220="","","draft Jira update for "&amp;$A220)</f>
        <v/>
      </c>
      <c r="AS220" s="65" t="str">
        <f aca="false">IF($A220="","",HYPERLINK(JiraSite&amp;"/browse/"&amp;$A220,"open"))</f>
        <v/>
      </c>
      <c r="AT220" s="65" t="str">
        <f aca="false">IF($Y220="","",$Y220*1000+ROW())</f>
        <v/>
      </c>
      <c r="AU220" s="65" t="str">
        <f aca="false">IF(AND($A220&lt;&gt;"",$G220&gt;=WeekStart),$G220+ROW()/100000,"")</f>
        <v/>
      </c>
      <c r="AV220" s="65" t="str">
        <f aca="false">IF($A220="","",IF(OR(AND($S220&lt;&gt;"",$S220&gt;=WeekStart),AND($U220&lt;&gt;"",$U220&gt;=WeekStart)),MAX($S220,$U220)+ROW()/100000,""))</f>
        <v/>
      </c>
      <c r="AW220" s="65" t="str">
        <f aca="false">IF($AV220="","",IF($T220&lt;&gt;"",$T220,IF($X220="Closed","Closed","Accepted to "&amp;$X220)))</f>
        <v/>
      </c>
      <c r="AX220" s="65" t="str">
        <f aca="false">IF(AND($Y220&lt;&gt;"",$R220&lt;&gt;""),$AF220+ROW()/100000,"")</f>
        <v/>
      </c>
      <c r="AY220" s="65" t="str">
        <f aca="false">IF(AND($Y220&lt;&gt;"",OR($AB220="Overdue",AND($AH220="Critical",$R220&lt;&gt;""))),$AF220+ROW()/100000,"")</f>
        <v/>
      </c>
      <c r="AZ220" s="65" t="str">
        <f aca="false">IF($AH220="Critical",$AF220+ROW()/100000,"")</f>
        <v/>
      </c>
    </row>
    <row r="221" customFormat="false" ht="15" hidden="false" customHeight="false" outlineLevel="0" collapsed="false">
      <c r="A221" s="28"/>
      <c r="B221" s="28"/>
      <c r="C221" s="28"/>
      <c r="D221" s="28"/>
      <c r="E221" s="28"/>
      <c r="F221" s="28"/>
      <c r="G221" s="63"/>
      <c r="H221" s="63"/>
      <c r="I221" s="63"/>
      <c r="J221" s="28"/>
      <c r="K221" s="28"/>
      <c r="L221" s="28"/>
      <c r="M221" s="28"/>
      <c r="N221" s="28"/>
      <c r="O221" s="64"/>
      <c r="P221" s="64"/>
      <c r="Q221" s="64"/>
      <c r="R221" s="28"/>
      <c r="S221" s="63"/>
      <c r="T221" s="64"/>
      <c r="U221" s="63"/>
      <c r="V221" s="64"/>
      <c r="W221" s="28"/>
      <c r="X221" s="65" t="str">
        <f aca="false">IF($A221="","",IF(OR($T221&lt;&gt;"",$U221&lt;&gt;""),"Closed",IFERROR(INDEX(MapStage,MATCH($C221,MapStatus,0)),"Unmapped")))</f>
        <v/>
      </c>
      <c r="Y221" s="65" t="str">
        <f aca="false">IF(OR($X221="",$X221="Closed",$X221="Unmapped"),"",MATCH($X221,StageName,0))</f>
        <v/>
      </c>
      <c r="Z221" s="65" t="str">
        <f aca="false">IF(OR($Y221="",$I221=""),"",$I221-AsOf)</f>
        <v/>
      </c>
      <c r="AA221" s="65" t="str">
        <f aca="false">IF($A221="","",AsOf-$H221)</f>
        <v/>
      </c>
      <c r="AB221" s="65" t="str">
        <f aca="false">IF($A221="","",IF($X221="Closed","Closed",IF($X221="Unmapped","Unmapped",IF($I221="","No target",IF($Z221&lt;0,"Overdue",IF($Z221&lt;=INDEX(StageWindow,$Y221),"At risk","On track"))))))</f>
        <v/>
      </c>
      <c r="AC221" s="65" t="str">
        <f aca="false">IF($Y221="","",IF($AA221&gt;2*INDEX(StageStale,$Y221),"Stale",IF($AA221&gt;INDEX(StageStale,$Y221),"Aging","Fresh")))</f>
        <v/>
      </c>
      <c r="AD221" s="65" t="str">
        <f aca="false">IF($A221="","",IF(OR(ISNUMBER(SEARCH("Reg report",$J221)),ISNUMBER(SEARCH("No human review",$J221)),COUNTIF(TierFuncs,$D221)&gt;0),"High",IF(OR(TRIM($J221)&lt;&gt;"",ISNUMBER(SEARCH("revenue",$K221))),"Medium","Low")))</f>
        <v/>
      </c>
      <c r="AE221" s="65" t="str">
        <f aca="false">IF($A221="","",INDEX(TierDays,MATCH($AD221,TierName,0)))</f>
        <v/>
      </c>
      <c r="AF221" s="65" t="str">
        <f aca="false">IF($A221="","",AsOf-$G221)</f>
        <v/>
      </c>
      <c r="AG221" s="65" t="str">
        <f aca="false">IF($Y221="","",IF($Y221&lt;=5,IF($AF221&gt;$AE221,"Over","Inside"),"Past approval"))</f>
        <v/>
      </c>
      <c r="AH221" s="65" t="str">
        <f aca="false">IF($Y221="","",CHOOSE($Y221,IF(OR(TRIM($F221)="",ISNUMBER(SEARCH("not named",$F221))),"Critical","Good"),IF($O221&lt;&gt;"Y","Critical",IF($Q221&lt;&gt;"Y","Warning","Good")),IF($P221="","Critical",IF($P221="partial","Warning",IF($P221="ready","Good","Critical"))),IF($R221&lt;&gt;"","Critical","Warning"),IF($L221="","Critical",IF($N221="","Warning","Good")),IF($R221&lt;&gt;"","Critical","Warning"),IF($R221&lt;&gt;"","Critical","Warning"),IF($Q221="Y","Good","Critical")))</f>
        <v/>
      </c>
      <c r="AI221" s="65" t="str">
        <f aca="false">IF($Y221="","",CHOOSE($Y221,IF(OR(TRIM($F221)="",ISNUMBER(SEARCH("not named",$F221))),"Name a sponsor accountable for the value",""),IF($O221&lt;&gt;"Y","State the success metric and the stop condition",IF($Q221&lt;&gt;"Y","Set the baseline the benefit will be measured against","")),IF($P221="","Assess data readiness and regulatory impact",IF($P221="partial","Close the known data gaps",IF($P221="ready","","Data is not available; reshape or park"))),IF($R221&lt;&gt;"",IF(OR(ISNUMBER(SEARCH("mrm",$R221)),ISNUMBER(SEARCH("model",$R221)),ISNUMBER(SEARCH("risk",$R221)),ISNUMBER(SEARCH("legal",$R221)),ISNUMBER(SEARCH("complian",$R221))),"Awaiting ","Held at the design gate: ")&amp;$R221,"Map the governance framework for its tier"),IF($L221="","Size the annual benefit",IF($N221="","Score it so it can be ranked against capacity","")),IF($R221&lt;&gt;"","Build held: "&amp;$R221,"In build, not yet through test"),IF($R221&lt;&gt;"","Not ready to scale: "&amp;$R221,"Monitoring and third-party review not yet signed off"),IF($Q221="Y","","Live without a measured baseline to judge it against")))</f>
        <v/>
      </c>
      <c r="AJ221" s="65" t="str">
        <f aca="false">IF($Y221="","",INDEX(StageForum,$Y221))</f>
        <v/>
      </c>
      <c r="AK221" s="65" t="str">
        <f aca="false">IF($Y221="","",IF(OR($X221="Delivery",$X221="Value"),"Committed",IF($N221&lt;&gt;"","Candidate","")))</f>
        <v/>
      </c>
      <c r="AL221" s="65" t="str">
        <f aca="false">IF($AK221&lt;&gt;"Candidate","",COUNTIFS($AK$2:$AK$501,"Candidate",$N$2:$N$501,"&gt;"&amp;$N221)+COUNTIFS($AK$2:$AK$501,"Candidate",$N$2:$N$501,$N221,$A$2:$A$501,"&lt;"&amp;$A221)+1)</f>
        <v/>
      </c>
      <c r="AM221" s="65" t="str">
        <f aca="false">IF($AL221="","",SUMIFS($M$2:$M$501,$AK$2:$AK$501,"Candidate",$AL$2:$AL$501,"&lt;="&amp;$AL221))</f>
        <v/>
      </c>
      <c r="AN221" s="65" t="str">
        <f aca="false">IF($AL221="","",IF($AM221&lt;=CapacityOpen,"Fits","Below line"))</f>
        <v/>
      </c>
      <c r="AO221" s="65" t="str">
        <f aca="false">IF($A221="","",IF($X221="Closed","",IF($X221="Unmapped","Warning",IF(OR($AB221="Overdue",$V221="Y",$AH221="Critical"),"Critical",IF(OR($AB221="At risk",$AC221="Stale",$AG221="Over"),"Warning","")))))</f>
        <v/>
      </c>
      <c r="AP221" s="65" t="str">
        <f aca="false">IF($AO221="","",IF($AO221="Critical",3000,2000)-IF($Z221="",0,$Z221)+ROW()/100000)</f>
        <v/>
      </c>
      <c r="AQ221" s="65" t="str">
        <f aca="false">IF($AO221="","",IF($X221="Unmapped","Status '"&amp;$C221&amp;"' is not in the Config map",IF($V221="Y","Flagged in Jira",IF($AB221="Overdue",-$Z221&amp;" days past its "&amp;$X221&amp;" target",IF($AH221="Critical",$AI221,IF($AB221="At risk","Target in "&amp;$Z221&amp;" days",IF($AC221="Stale","No update in "&amp;$AA221&amp;" days","Past its "&amp;$AE221&amp;"-day tier window")))))))</f>
        <v/>
      </c>
      <c r="AR221" s="65" t="str">
        <f aca="false">IF($AO221="","","draft Jira update for "&amp;$A221)</f>
        <v/>
      </c>
      <c r="AS221" s="65" t="str">
        <f aca="false">IF($A221="","",HYPERLINK(JiraSite&amp;"/browse/"&amp;$A221,"open"))</f>
        <v/>
      </c>
      <c r="AT221" s="65" t="str">
        <f aca="false">IF($Y221="","",$Y221*1000+ROW())</f>
        <v/>
      </c>
      <c r="AU221" s="65" t="str">
        <f aca="false">IF(AND($A221&lt;&gt;"",$G221&gt;=WeekStart),$G221+ROW()/100000,"")</f>
        <v/>
      </c>
      <c r="AV221" s="65" t="str">
        <f aca="false">IF($A221="","",IF(OR(AND($S221&lt;&gt;"",$S221&gt;=WeekStart),AND($U221&lt;&gt;"",$U221&gt;=WeekStart)),MAX($S221,$U221)+ROW()/100000,""))</f>
        <v/>
      </c>
      <c r="AW221" s="65" t="str">
        <f aca="false">IF($AV221="","",IF($T221&lt;&gt;"",$T221,IF($X221="Closed","Closed","Accepted to "&amp;$X221)))</f>
        <v/>
      </c>
      <c r="AX221" s="65" t="str">
        <f aca="false">IF(AND($Y221&lt;&gt;"",$R221&lt;&gt;""),$AF221+ROW()/100000,"")</f>
        <v/>
      </c>
      <c r="AY221" s="65" t="str">
        <f aca="false">IF(AND($Y221&lt;&gt;"",OR($AB221="Overdue",AND($AH221="Critical",$R221&lt;&gt;""))),$AF221+ROW()/100000,"")</f>
        <v/>
      </c>
      <c r="AZ221" s="65" t="str">
        <f aca="false">IF($AH221="Critical",$AF221+ROW()/100000,"")</f>
        <v/>
      </c>
    </row>
    <row r="222" customFormat="false" ht="15" hidden="false" customHeight="false" outlineLevel="0" collapsed="false">
      <c r="A222" s="28"/>
      <c r="B222" s="28"/>
      <c r="C222" s="28"/>
      <c r="D222" s="28"/>
      <c r="E222" s="28"/>
      <c r="F222" s="28"/>
      <c r="G222" s="63"/>
      <c r="H222" s="63"/>
      <c r="I222" s="63"/>
      <c r="J222" s="28"/>
      <c r="K222" s="28"/>
      <c r="L222" s="28"/>
      <c r="M222" s="28"/>
      <c r="N222" s="28"/>
      <c r="O222" s="64"/>
      <c r="P222" s="64"/>
      <c r="Q222" s="64"/>
      <c r="R222" s="28"/>
      <c r="S222" s="63"/>
      <c r="T222" s="64"/>
      <c r="U222" s="63"/>
      <c r="V222" s="64"/>
      <c r="W222" s="28"/>
      <c r="X222" s="65" t="str">
        <f aca="false">IF($A222="","",IF(OR($T222&lt;&gt;"",$U222&lt;&gt;""),"Closed",IFERROR(INDEX(MapStage,MATCH($C222,MapStatus,0)),"Unmapped")))</f>
        <v/>
      </c>
      <c r="Y222" s="65" t="str">
        <f aca="false">IF(OR($X222="",$X222="Closed",$X222="Unmapped"),"",MATCH($X222,StageName,0))</f>
        <v/>
      </c>
      <c r="Z222" s="65" t="str">
        <f aca="false">IF(OR($Y222="",$I222=""),"",$I222-AsOf)</f>
        <v/>
      </c>
      <c r="AA222" s="65" t="str">
        <f aca="false">IF($A222="","",AsOf-$H222)</f>
        <v/>
      </c>
      <c r="AB222" s="65" t="str">
        <f aca="false">IF($A222="","",IF($X222="Closed","Closed",IF($X222="Unmapped","Unmapped",IF($I222="","No target",IF($Z222&lt;0,"Overdue",IF($Z222&lt;=INDEX(StageWindow,$Y222),"At risk","On track"))))))</f>
        <v/>
      </c>
      <c r="AC222" s="65" t="str">
        <f aca="false">IF($Y222="","",IF($AA222&gt;2*INDEX(StageStale,$Y222),"Stale",IF($AA222&gt;INDEX(StageStale,$Y222),"Aging","Fresh")))</f>
        <v/>
      </c>
      <c r="AD222" s="65" t="str">
        <f aca="false">IF($A222="","",IF(OR(ISNUMBER(SEARCH("Reg report",$J222)),ISNUMBER(SEARCH("No human review",$J222)),COUNTIF(TierFuncs,$D222)&gt;0),"High",IF(OR(TRIM($J222)&lt;&gt;"",ISNUMBER(SEARCH("revenue",$K222))),"Medium","Low")))</f>
        <v/>
      </c>
      <c r="AE222" s="65" t="str">
        <f aca="false">IF($A222="","",INDEX(TierDays,MATCH($AD222,TierName,0)))</f>
        <v/>
      </c>
      <c r="AF222" s="65" t="str">
        <f aca="false">IF($A222="","",AsOf-$G222)</f>
        <v/>
      </c>
      <c r="AG222" s="65" t="str">
        <f aca="false">IF($Y222="","",IF($Y222&lt;=5,IF($AF222&gt;$AE222,"Over","Inside"),"Past approval"))</f>
        <v/>
      </c>
      <c r="AH222" s="65" t="str">
        <f aca="false">IF($Y222="","",CHOOSE($Y222,IF(OR(TRIM($F222)="",ISNUMBER(SEARCH("not named",$F222))),"Critical","Good"),IF($O222&lt;&gt;"Y","Critical",IF($Q222&lt;&gt;"Y","Warning","Good")),IF($P222="","Critical",IF($P222="partial","Warning",IF($P222="ready","Good","Critical"))),IF($R222&lt;&gt;"","Critical","Warning"),IF($L222="","Critical",IF($N222="","Warning","Good")),IF($R222&lt;&gt;"","Critical","Warning"),IF($R222&lt;&gt;"","Critical","Warning"),IF($Q222="Y","Good","Critical")))</f>
        <v/>
      </c>
      <c r="AI222" s="65" t="str">
        <f aca="false">IF($Y222="","",CHOOSE($Y222,IF(OR(TRIM($F222)="",ISNUMBER(SEARCH("not named",$F222))),"Name a sponsor accountable for the value",""),IF($O222&lt;&gt;"Y","State the success metric and the stop condition",IF($Q222&lt;&gt;"Y","Set the baseline the benefit will be measured against","")),IF($P222="","Assess data readiness and regulatory impact",IF($P222="partial","Close the known data gaps",IF($P222="ready","","Data is not available; reshape or park"))),IF($R222&lt;&gt;"",IF(OR(ISNUMBER(SEARCH("mrm",$R222)),ISNUMBER(SEARCH("model",$R222)),ISNUMBER(SEARCH("risk",$R222)),ISNUMBER(SEARCH("legal",$R222)),ISNUMBER(SEARCH("complian",$R222))),"Awaiting ","Held at the design gate: ")&amp;$R222,"Map the governance framework for its tier"),IF($L222="","Size the annual benefit",IF($N222="","Score it so it can be ranked against capacity","")),IF($R222&lt;&gt;"","Build held: "&amp;$R222,"In build, not yet through test"),IF($R222&lt;&gt;"","Not ready to scale: "&amp;$R222,"Monitoring and third-party review not yet signed off"),IF($Q222="Y","","Live without a measured baseline to judge it against")))</f>
        <v/>
      </c>
      <c r="AJ222" s="65" t="str">
        <f aca="false">IF($Y222="","",INDEX(StageForum,$Y222))</f>
        <v/>
      </c>
      <c r="AK222" s="65" t="str">
        <f aca="false">IF($Y222="","",IF(OR($X222="Delivery",$X222="Value"),"Committed",IF($N222&lt;&gt;"","Candidate","")))</f>
        <v/>
      </c>
      <c r="AL222" s="65" t="str">
        <f aca="false">IF($AK222&lt;&gt;"Candidate","",COUNTIFS($AK$2:$AK$501,"Candidate",$N$2:$N$501,"&gt;"&amp;$N222)+COUNTIFS($AK$2:$AK$501,"Candidate",$N$2:$N$501,$N222,$A$2:$A$501,"&lt;"&amp;$A222)+1)</f>
        <v/>
      </c>
      <c r="AM222" s="65" t="str">
        <f aca="false">IF($AL222="","",SUMIFS($M$2:$M$501,$AK$2:$AK$501,"Candidate",$AL$2:$AL$501,"&lt;="&amp;$AL222))</f>
        <v/>
      </c>
      <c r="AN222" s="65" t="str">
        <f aca="false">IF($AL222="","",IF($AM222&lt;=CapacityOpen,"Fits","Below line"))</f>
        <v/>
      </c>
      <c r="AO222" s="65" t="str">
        <f aca="false">IF($A222="","",IF($X222="Closed","",IF($X222="Unmapped","Warning",IF(OR($AB222="Overdue",$V222="Y",$AH222="Critical"),"Critical",IF(OR($AB222="At risk",$AC222="Stale",$AG222="Over"),"Warning","")))))</f>
        <v/>
      </c>
      <c r="AP222" s="65" t="str">
        <f aca="false">IF($AO222="","",IF($AO222="Critical",3000,2000)-IF($Z222="",0,$Z222)+ROW()/100000)</f>
        <v/>
      </c>
      <c r="AQ222" s="65" t="str">
        <f aca="false">IF($AO222="","",IF($X222="Unmapped","Status '"&amp;$C222&amp;"' is not in the Config map",IF($V222="Y","Flagged in Jira",IF($AB222="Overdue",-$Z222&amp;" days past its "&amp;$X222&amp;" target",IF($AH222="Critical",$AI222,IF($AB222="At risk","Target in "&amp;$Z222&amp;" days",IF($AC222="Stale","No update in "&amp;$AA222&amp;" days","Past its "&amp;$AE222&amp;"-day tier window")))))))</f>
        <v/>
      </c>
      <c r="AR222" s="65" t="str">
        <f aca="false">IF($AO222="","","draft Jira update for "&amp;$A222)</f>
        <v/>
      </c>
      <c r="AS222" s="65" t="str">
        <f aca="false">IF($A222="","",HYPERLINK(JiraSite&amp;"/browse/"&amp;$A222,"open"))</f>
        <v/>
      </c>
      <c r="AT222" s="65" t="str">
        <f aca="false">IF($Y222="","",$Y222*1000+ROW())</f>
        <v/>
      </c>
      <c r="AU222" s="65" t="str">
        <f aca="false">IF(AND($A222&lt;&gt;"",$G222&gt;=WeekStart),$G222+ROW()/100000,"")</f>
        <v/>
      </c>
      <c r="AV222" s="65" t="str">
        <f aca="false">IF($A222="","",IF(OR(AND($S222&lt;&gt;"",$S222&gt;=WeekStart),AND($U222&lt;&gt;"",$U222&gt;=WeekStart)),MAX($S222,$U222)+ROW()/100000,""))</f>
        <v/>
      </c>
      <c r="AW222" s="65" t="str">
        <f aca="false">IF($AV222="","",IF($T222&lt;&gt;"",$T222,IF($X222="Closed","Closed","Accepted to "&amp;$X222)))</f>
        <v/>
      </c>
      <c r="AX222" s="65" t="str">
        <f aca="false">IF(AND($Y222&lt;&gt;"",$R222&lt;&gt;""),$AF222+ROW()/100000,"")</f>
        <v/>
      </c>
      <c r="AY222" s="65" t="str">
        <f aca="false">IF(AND($Y222&lt;&gt;"",OR($AB222="Overdue",AND($AH222="Critical",$R222&lt;&gt;""))),$AF222+ROW()/100000,"")</f>
        <v/>
      </c>
      <c r="AZ222" s="65" t="str">
        <f aca="false">IF($AH222="Critical",$AF222+ROW()/100000,"")</f>
        <v/>
      </c>
    </row>
    <row r="223" customFormat="false" ht="15" hidden="false" customHeight="false" outlineLevel="0" collapsed="false">
      <c r="A223" s="28"/>
      <c r="B223" s="28"/>
      <c r="C223" s="28"/>
      <c r="D223" s="28"/>
      <c r="E223" s="28"/>
      <c r="F223" s="28"/>
      <c r="G223" s="63"/>
      <c r="H223" s="63"/>
      <c r="I223" s="63"/>
      <c r="J223" s="28"/>
      <c r="K223" s="28"/>
      <c r="L223" s="28"/>
      <c r="M223" s="28"/>
      <c r="N223" s="28"/>
      <c r="O223" s="64"/>
      <c r="P223" s="64"/>
      <c r="Q223" s="64"/>
      <c r="R223" s="28"/>
      <c r="S223" s="63"/>
      <c r="T223" s="64"/>
      <c r="U223" s="63"/>
      <c r="V223" s="64"/>
      <c r="W223" s="28"/>
      <c r="X223" s="65" t="str">
        <f aca="false">IF($A223="","",IF(OR($T223&lt;&gt;"",$U223&lt;&gt;""),"Closed",IFERROR(INDEX(MapStage,MATCH($C223,MapStatus,0)),"Unmapped")))</f>
        <v/>
      </c>
      <c r="Y223" s="65" t="str">
        <f aca="false">IF(OR($X223="",$X223="Closed",$X223="Unmapped"),"",MATCH($X223,StageName,0))</f>
        <v/>
      </c>
      <c r="Z223" s="65" t="str">
        <f aca="false">IF(OR($Y223="",$I223=""),"",$I223-AsOf)</f>
        <v/>
      </c>
      <c r="AA223" s="65" t="str">
        <f aca="false">IF($A223="","",AsOf-$H223)</f>
        <v/>
      </c>
      <c r="AB223" s="65" t="str">
        <f aca="false">IF($A223="","",IF($X223="Closed","Closed",IF($X223="Unmapped","Unmapped",IF($I223="","No target",IF($Z223&lt;0,"Overdue",IF($Z223&lt;=INDEX(StageWindow,$Y223),"At risk","On track"))))))</f>
        <v/>
      </c>
      <c r="AC223" s="65" t="str">
        <f aca="false">IF($Y223="","",IF($AA223&gt;2*INDEX(StageStale,$Y223),"Stale",IF($AA223&gt;INDEX(StageStale,$Y223),"Aging","Fresh")))</f>
        <v/>
      </c>
      <c r="AD223" s="65" t="str">
        <f aca="false">IF($A223="","",IF(OR(ISNUMBER(SEARCH("Reg report",$J223)),ISNUMBER(SEARCH("No human review",$J223)),COUNTIF(TierFuncs,$D223)&gt;0),"High",IF(OR(TRIM($J223)&lt;&gt;"",ISNUMBER(SEARCH("revenue",$K223))),"Medium","Low")))</f>
        <v/>
      </c>
      <c r="AE223" s="65" t="str">
        <f aca="false">IF($A223="","",INDEX(TierDays,MATCH($AD223,TierName,0)))</f>
        <v/>
      </c>
      <c r="AF223" s="65" t="str">
        <f aca="false">IF($A223="","",AsOf-$G223)</f>
        <v/>
      </c>
      <c r="AG223" s="65" t="str">
        <f aca="false">IF($Y223="","",IF($Y223&lt;=5,IF($AF223&gt;$AE223,"Over","Inside"),"Past approval"))</f>
        <v/>
      </c>
      <c r="AH223" s="65" t="str">
        <f aca="false">IF($Y223="","",CHOOSE($Y223,IF(OR(TRIM($F223)="",ISNUMBER(SEARCH("not named",$F223))),"Critical","Good"),IF($O223&lt;&gt;"Y","Critical",IF($Q223&lt;&gt;"Y","Warning","Good")),IF($P223="","Critical",IF($P223="partial","Warning",IF($P223="ready","Good","Critical"))),IF($R223&lt;&gt;"","Critical","Warning"),IF($L223="","Critical",IF($N223="","Warning","Good")),IF($R223&lt;&gt;"","Critical","Warning"),IF($R223&lt;&gt;"","Critical","Warning"),IF($Q223="Y","Good","Critical")))</f>
        <v/>
      </c>
      <c r="AI223" s="65" t="str">
        <f aca="false">IF($Y223="","",CHOOSE($Y223,IF(OR(TRIM($F223)="",ISNUMBER(SEARCH("not named",$F223))),"Name a sponsor accountable for the value",""),IF($O223&lt;&gt;"Y","State the success metric and the stop condition",IF($Q223&lt;&gt;"Y","Set the baseline the benefit will be measured against","")),IF($P223="","Assess data readiness and regulatory impact",IF($P223="partial","Close the known data gaps",IF($P223="ready","","Data is not available; reshape or park"))),IF($R223&lt;&gt;"",IF(OR(ISNUMBER(SEARCH("mrm",$R223)),ISNUMBER(SEARCH("model",$R223)),ISNUMBER(SEARCH("risk",$R223)),ISNUMBER(SEARCH("legal",$R223)),ISNUMBER(SEARCH("complian",$R223))),"Awaiting ","Held at the design gate: ")&amp;$R223,"Map the governance framework for its tier"),IF($L223="","Size the annual benefit",IF($N223="","Score it so it can be ranked against capacity","")),IF($R223&lt;&gt;"","Build held: "&amp;$R223,"In build, not yet through test"),IF($R223&lt;&gt;"","Not ready to scale: "&amp;$R223,"Monitoring and third-party review not yet signed off"),IF($Q223="Y","","Live without a measured baseline to judge it against")))</f>
        <v/>
      </c>
      <c r="AJ223" s="65" t="str">
        <f aca="false">IF($Y223="","",INDEX(StageForum,$Y223))</f>
        <v/>
      </c>
      <c r="AK223" s="65" t="str">
        <f aca="false">IF($Y223="","",IF(OR($X223="Delivery",$X223="Value"),"Committed",IF($N223&lt;&gt;"","Candidate","")))</f>
        <v/>
      </c>
      <c r="AL223" s="65" t="str">
        <f aca="false">IF($AK223&lt;&gt;"Candidate","",COUNTIFS($AK$2:$AK$501,"Candidate",$N$2:$N$501,"&gt;"&amp;$N223)+COUNTIFS($AK$2:$AK$501,"Candidate",$N$2:$N$501,$N223,$A$2:$A$501,"&lt;"&amp;$A223)+1)</f>
        <v/>
      </c>
      <c r="AM223" s="65" t="str">
        <f aca="false">IF($AL223="","",SUMIFS($M$2:$M$501,$AK$2:$AK$501,"Candidate",$AL$2:$AL$501,"&lt;="&amp;$AL223))</f>
        <v/>
      </c>
      <c r="AN223" s="65" t="str">
        <f aca="false">IF($AL223="","",IF($AM223&lt;=CapacityOpen,"Fits","Below line"))</f>
        <v/>
      </c>
      <c r="AO223" s="65" t="str">
        <f aca="false">IF($A223="","",IF($X223="Closed","",IF($X223="Unmapped","Warning",IF(OR($AB223="Overdue",$V223="Y",$AH223="Critical"),"Critical",IF(OR($AB223="At risk",$AC223="Stale",$AG223="Over"),"Warning","")))))</f>
        <v/>
      </c>
      <c r="AP223" s="65" t="str">
        <f aca="false">IF($AO223="","",IF($AO223="Critical",3000,2000)-IF($Z223="",0,$Z223)+ROW()/100000)</f>
        <v/>
      </c>
      <c r="AQ223" s="65" t="str">
        <f aca="false">IF($AO223="","",IF($X223="Unmapped","Status '"&amp;$C223&amp;"' is not in the Config map",IF($V223="Y","Flagged in Jira",IF($AB223="Overdue",-$Z223&amp;" days past its "&amp;$X223&amp;" target",IF($AH223="Critical",$AI223,IF($AB223="At risk","Target in "&amp;$Z223&amp;" days",IF($AC223="Stale","No update in "&amp;$AA223&amp;" days","Past its "&amp;$AE223&amp;"-day tier window")))))))</f>
        <v/>
      </c>
      <c r="AR223" s="65" t="str">
        <f aca="false">IF($AO223="","","draft Jira update for "&amp;$A223)</f>
        <v/>
      </c>
      <c r="AS223" s="65" t="str">
        <f aca="false">IF($A223="","",HYPERLINK(JiraSite&amp;"/browse/"&amp;$A223,"open"))</f>
        <v/>
      </c>
      <c r="AT223" s="65" t="str">
        <f aca="false">IF($Y223="","",$Y223*1000+ROW())</f>
        <v/>
      </c>
      <c r="AU223" s="65" t="str">
        <f aca="false">IF(AND($A223&lt;&gt;"",$G223&gt;=WeekStart),$G223+ROW()/100000,"")</f>
        <v/>
      </c>
      <c r="AV223" s="65" t="str">
        <f aca="false">IF($A223="","",IF(OR(AND($S223&lt;&gt;"",$S223&gt;=WeekStart),AND($U223&lt;&gt;"",$U223&gt;=WeekStart)),MAX($S223,$U223)+ROW()/100000,""))</f>
        <v/>
      </c>
      <c r="AW223" s="65" t="str">
        <f aca="false">IF($AV223="","",IF($T223&lt;&gt;"",$T223,IF($X223="Closed","Closed","Accepted to "&amp;$X223)))</f>
        <v/>
      </c>
      <c r="AX223" s="65" t="str">
        <f aca="false">IF(AND($Y223&lt;&gt;"",$R223&lt;&gt;""),$AF223+ROW()/100000,"")</f>
        <v/>
      </c>
      <c r="AY223" s="65" t="str">
        <f aca="false">IF(AND($Y223&lt;&gt;"",OR($AB223="Overdue",AND($AH223="Critical",$R223&lt;&gt;""))),$AF223+ROW()/100000,"")</f>
        <v/>
      </c>
      <c r="AZ223" s="65" t="str">
        <f aca="false">IF($AH223="Critical",$AF223+ROW()/100000,"")</f>
        <v/>
      </c>
    </row>
    <row r="224" customFormat="false" ht="15" hidden="false" customHeight="false" outlineLevel="0" collapsed="false">
      <c r="A224" s="28"/>
      <c r="B224" s="28"/>
      <c r="C224" s="28"/>
      <c r="D224" s="28"/>
      <c r="E224" s="28"/>
      <c r="F224" s="28"/>
      <c r="G224" s="63"/>
      <c r="H224" s="63"/>
      <c r="I224" s="63"/>
      <c r="J224" s="28"/>
      <c r="K224" s="28"/>
      <c r="L224" s="28"/>
      <c r="M224" s="28"/>
      <c r="N224" s="28"/>
      <c r="O224" s="64"/>
      <c r="P224" s="64"/>
      <c r="Q224" s="64"/>
      <c r="R224" s="28"/>
      <c r="S224" s="63"/>
      <c r="T224" s="64"/>
      <c r="U224" s="63"/>
      <c r="V224" s="64"/>
      <c r="W224" s="28"/>
      <c r="X224" s="65" t="str">
        <f aca="false">IF($A224="","",IF(OR($T224&lt;&gt;"",$U224&lt;&gt;""),"Closed",IFERROR(INDEX(MapStage,MATCH($C224,MapStatus,0)),"Unmapped")))</f>
        <v/>
      </c>
      <c r="Y224" s="65" t="str">
        <f aca="false">IF(OR($X224="",$X224="Closed",$X224="Unmapped"),"",MATCH($X224,StageName,0))</f>
        <v/>
      </c>
      <c r="Z224" s="65" t="str">
        <f aca="false">IF(OR($Y224="",$I224=""),"",$I224-AsOf)</f>
        <v/>
      </c>
      <c r="AA224" s="65" t="str">
        <f aca="false">IF($A224="","",AsOf-$H224)</f>
        <v/>
      </c>
      <c r="AB224" s="65" t="str">
        <f aca="false">IF($A224="","",IF($X224="Closed","Closed",IF($X224="Unmapped","Unmapped",IF($I224="","No target",IF($Z224&lt;0,"Overdue",IF($Z224&lt;=INDEX(StageWindow,$Y224),"At risk","On track"))))))</f>
        <v/>
      </c>
      <c r="AC224" s="65" t="str">
        <f aca="false">IF($Y224="","",IF($AA224&gt;2*INDEX(StageStale,$Y224),"Stale",IF($AA224&gt;INDEX(StageStale,$Y224),"Aging","Fresh")))</f>
        <v/>
      </c>
      <c r="AD224" s="65" t="str">
        <f aca="false">IF($A224="","",IF(OR(ISNUMBER(SEARCH("Reg report",$J224)),ISNUMBER(SEARCH("No human review",$J224)),COUNTIF(TierFuncs,$D224)&gt;0),"High",IF(OR(TRIM($J224)&lt;&gt;"",ISNUMBER(SEARCH("revenue",$K224))),"Medium","Low")))</f>
        <v/>
      </c>
      <c r="AE224" s="65" t="str">
        <f aca="false">IF($A224="","",INDEX(TierDays,MATCH($AD224,TierName,0)))</f>
        <v/>
      </c>
      <c r="AF224" s="65" t="str">
        <f aca="false">IF($A224="","",AsOf-$G224)</f>
        <v/>
      </c>
      <c r="AG224" s="65" t="str">
        <f aca="false">IF($Y224="","",IF($Y224&lt;=5,IF($AF224&gt;$AE224,"Over","Inside"),"Past approval"))</f>
        <v/>
      </c>
      <c r="AH224" s="65" t="str">
        <f aca="false">IF($Y224="","",CHOOSE($Y224,IF(OR(TRIM($F224)="",ISNUMBER(SEARCH("not named",$F224))),"Critical","Good"),IF($O224&lt;&gt;"Y","Critical",IF($Q224&lt;&gt;"Y","Warning","Good")),IF($P224="","Critical",IF($P224="partial","Warning",IF($P224="ready","Good","Critical"))),IF($R224&lt;&gt;"","Critical","Warning"),IF($L224="","Critical",IF($N224="","Warning","Good")),IF($R224&lt;&gt;"","Critical","Warning"),IF($R224&lt;&gt;"","Critical","Warning"),IF($Q224="Y","Good","Critical")))</f>
        <v/>
      </c>
      <c r="AI224" s="65" t="str">
        <f aca="false">IF($Y224="","",CHOOSE($Y224,IF(OR(TRIM($F224)="",ISNUMBER(SEARCH("not named",$F224))),"Name a sponsor accountable for the value",""),IF($O224&lt;&gt;"Y","State the success metric and the stop condition",IF($Q224&lt;&gt;"Y","Set the baseline the benefit will be measured against","")),IF($P224="","Assess data readiness and regulatory impact",IF($P224="partial","Close the known data gaps",IF($P224="ready","","Data is not available; reshape or park"))),IF($R224&lt;&gt;"",IF(OR(ISNUMBER(SEARCH("mrm",$R224)),ISNUMBER(SEARCH("model",$R224)),ISNUMBER(SEARCH("risk",$R224)),ISNUMBER(SEARCH("legal",$R224)),ISNUMBER(SEARCH("complian",$R224))),"Awaiting ","Held at the design gate: ")&amp;$R224,"Map the governance framework for its tier"),IF($L224="","Size the annual benefit",IF($N224="","Score it so it can be ranked against capacity","")),IF($R224&lt;&gt;"","Build held: "&amp;$R224,"In build, not yet through test"),IF($R224&lt;&gt;"","Not ready to scale: "&amp;$R224,"Monitoring and third-party review not yet signed off"),IF($Q224="Y","","Live without a measured baseline to judge it against")))</f>
        <v/>
      </c>
      <c r="AJ224" s="65" t="str">
        <f aca="false">IF($Y224="","",INDEX(StageForum,$Y224))</f>
        <v/>
      </c>
      <c r="AK224" s="65" t="str">
        <f aca="false">IF($Y224="","",IF(OR($X224="Delivery",$X224="Value"),"Committed",IF($N224&lt;&gt;"","Candidate","")))</f>
        <v/>
      </c>
      <c r="AL224" s="65" t="str">
        <f aca="false">IF($AK224&lt;&gt;"Candidate","",COUNTIFS($AK$2:$AK$501,"Candidate",$N$2:$N$501,"&gt;"&amp;$N224)+COUNTIFS($AK$2:$AK$501,"Candidate",$N$2:$N$501,$N224,$A$2:$A$501,"&lt;"&amp;$A224)+1)</f>
        <v/>
      </c>
      <c r="AM224" s="65" t="str">
        <f aca="false">IF($AL224="","",SUMIFS($M$2:$M$501,$AK$2:$AK$501,"Candidate",$AL$2:$AL$501,"&lt;="&amp;$AL224))</f>
        <v/>
      </c>
      <c r="AN224" s="65" t="str">
        <f aca="false">IF($AL224="","",IF($AM224&lt;=CapacityOpen,"Fits","Below line"))</f>
        <v/>
      </c>
      <c r="AO224" s="65" t="str">
        <f aca="false">IF($A224="","",IF($X224="Closed","",IF($X224="Unmapped","Warning",IF(OR($AB224="Overdue",$V224="Y",$AH224="Critical"),"Critical",IF(OR($AB224="At risk",$AC224="Stale",$AG224="Over"),"Warning","")))))</f>
        <v/>
      </c>
      <c r="AP224" s="65" t="str">
        <f aca="false">IF($AO224="","",IF($AO224="Critical",3000,2000)-IF($Z224="",0,$Z224)+ROW()/100000)</f>
        <v/>
      </c>
      <c r="AQ224" s="65" t="str">
        <f aca="false">IF($AO224="","",IF($X224="Unmapped","Status '"&amp;$C224&amp;"' is not in the Config map",IF($V224="Y","Flagged in Jira",IF($AB224="Overdue",-$Z224&amp;" days past its "&amp;$X224&amp;" target",IF($AH224="Critical",$AI224,IF($AB224="At risk","Target in "&amp;$Z224&amp;" days",IF($AC224="Stale","No update in "&amp;$AA224&amp;" days","Past its "&amp;$AE224&amp;"-day tier window")))))))</f>
        <v/>
      </c>
      <c r="AR224" s="65" t="str">
        <f aca="false">IF($AO224="","","draft Jira update for "&amp;$A224)</f>
        <v/>
      </c>
      <c r="AS224" s="65" t="str">
        <f aca="false">IF($A224="","",HYPERLINK(JiraSite&amp;"/browse/"&amp;$A224,"open"))</f>
        <v/>
      </c>
      <c r="AT224" s="65" t="str">
        <f aca="false">IF($Y224="","",$Y224*1000+ROW())</f>
        <v/>
      </c>
      <c r="AU224" s="65" t="str">
        <f aca="false">IF(AND($A224&lt;&gt;"",$G224&gt;=WeekStart),$G224+ROW()/100000,"")</f>
        <v/>
      </c>
      <c r="AV224" s="65" t="str">
        <f aca="false">IF($A224="","",IF(OR(AND($S224&lt;&gt;"",$S224&gt;=WeekStart),AND($U224&lt;&gt;"",$U224&gt;=WeekStart)),MAX($S224,$U224)+ROW()/100000,""))</f>
        <v/>
      </c>
      <c r="AW224" s="65" t="str">
        <f aca="false">IF($AV224="","",IF($T224&lt;&gt;"",$T224,IF($X224="Closed","Closed","Accepted to "&amp;$X224)))</f>
        <v/>
      </c>
      <c r="AX224" s="65" t="str">
        <f aca="false">IF(AND($Y224&lt;&gt;"",$R224&lt;&gt;""),$AF224+ROW()/100000,"")</f>
        <v/>
      </c>
      <c r="AY224" s="65" t="str">
        <f aca="false">IF(AND($Y224&lt;&gt;"",OR($AB224="Overdue",AND($AH224="Critical",$R224&lt;&gt;""))),$AF224+ROW()/100000,"")</f>
        <v/>
      </c>
      <c r="AZ224" s="65" t="str">
        <f aca="false">IF($AH224="Critical",$AF224+ROW()/100000,"")</f>
        <v/>
      </c>
    </row>
    <row r="225" customFormat="false" ht="15" hidden="false" customHeight="false" outlineLevel="0" collapsed="false">
      <c r="A225" s="28"/>
      <c r="B225" s="28"/>
      <c r="C225" s="28"/>
      <c r="D225" s="28"/>
      <c r="E225" s="28"/>
      <c r="F225" s="28"/>
      <c r="G225" s="63"/>
      <c r="H225" s="63"/>
      <c r="I225" s="63"/>
      <c r="J225" s="28"/>
      <c r="K225" s="28"/>
      <c r="L225" s="28"/>
      <c r="M225" s="28"/>
      <c r="N225" s="28"/>
      <c r="O225" s="64"/>
      <c r="P225" s="64"/>
      <c r="Q225" s="64"/>
      <c r="R225" s="28"/>
      <c r="S225" s="63"/>
      <c r="T225" s="64"/>
      <c r="U225" s="63"/>
      <c r="V225" s="64"/>
      <c r="W225" s="28"/>
      <c r="X225" s="65" t="str">
        <f aca="false">IF($A225="","",IF(OR($T225&lt;&gt;"",$U225&lt;&gt;""),"Closed",IFERROR(INDEX(MapStage,MATCH($C225,MapStatus,0)),"Unmapped")))</f>
        <v/>
      </c>
      <c r="Y225" s="65" t="str">
        <f aca="false">IF(OR($X225="",$X225="Closed",$X225="Unmapped"),"",MATCH($X225,StageName,0))</f>
        <v/>
      </c>
      <c r="Z225" s="65" t="str">
        <f aca="false">IF(OR($Y225="",$I225=""),"",$I225-AsOf)</f>
        <v/>
      </c>
      <c r="AA225" s="65" t="str">
        <f aca="false">IF($A225="","",AsOf-$H225)</f>
        <v/>
      </c>
      <c r="AB225" s="65" t="str">
        <f aca="false">IF($A225="","",IF($X225="Closed","Closed",IF($X225="Unmapped","Unmapped",IF($I225="","No target",IF($Z225&lt;0,"Overdue",IF($Z225&lt;=INDEX(StageWindow,$Y225),"At risk","On track"))))))</f>
        <v/>
      </c>
      <c r="AC225" s="65" t="str">
        <f aca="false">IF($Y225="","",IF($AA225&gt;2*INDEX(StageStale,$Y225),"Stale",IF($AA225&gt;INDEX(StageStale,$Y225),"Aging","Fresh")))</f>
        <v/>
      </c>
      <c r="AD225" s="65" t="str">
        <f aca="false">IF($A225="","",IF(OR(ISNUMBER(SEARCH("Reg report",$J225)),ISNUMBER(SEARCH("No human review",$J225)),COUNTIF(TierFuncs,$D225)&gt;0),"High",IF(OR(TRIM($J225)&lt;&gt;"",ISNUMBER(SEARCH("revenue",$K225))),"Medium","Low")))</f>
        <v/>
      </c>
      <c r="AE225" s="65" t="str">
        <f aca="false">IF($A225="","",INDEX(TierDays,MATCH($AD225,TierName,0)))</f>
        <v/>
      </c>
      <c r="AF225" s="65" t="str">
        <f aca="false">IF($A225="","",AsOf-$G225)</f>
        <v/>
      </c>
      <c r="AG225" s="65" t="str">
        <f aca="false">IF($Y225="","",IF($Y225&lt;=5,IF($AF225&gt;$AE225,"Over","Inside"),"Past approval"))</f>
        <v/>
      </c>
      <c r="AH225" s="65" t="str">
        <f aca="false">IF($Y225="","",CHOOSE($Y225,IF(OR(TRIM($F225)="",ISNUMBER(SEARCH("not named",$F225))),"Critical","Good"),IF($O225&lt;&gt;"Y","Critical",IF($Q225&lt;&gt;"Y","Warning","Good")),IF($P225="","Critical",IF($P225="partial","Warning",IF($P225="ready","Good","Critical"))),IF($R225&lt;&gt;"","Critical","Warning"),IF($L225="","Critical",IF($N225="","Warning","Good")),IF($R225&lt;&gt;"","Critical","Warning"),IF($R225&lt;&gt;"","Critical","Warning"),IF($Q225="Y","Good","Critical")))</f>
        <v/>
      </c>
      <c r="AI225" s="65" t="str">
        <f aca="false">IF($Y225="","",CHOOSE($Y225,IF(OR(TRIM($F225)="",ISNUMBER(SEARCH("not named",$F225))),"Name a sponsor accountable for the value",""),IF($O225&lt;&gt;"Y","State the success metric and the stop condition",IF($Q225&lt;&gt;"Y","Set the baseline the benefit will be measured against","")),IF($P225="","Assess data readiness and regulatory impact",IF($P225="partial","Close the known data gaps",IF($P225="ready","","Data is not available; reshape or park"))),IF($R225&lt;&gt;"",IF(OR(ISNUMBER(SEARCH("mrm",$R225)),ISNUMBER(SEARCH("model",$R225)),ISNUMBER(SEARCH("risk",$R225)),ISNUMBER(SEARCH("legal",$R225)),ISNUMBER(SEARCH("complian",$R225))),"Awaiting ","Held at the design gate: ")&amp;$R225,"Map the governance framework for its tier"),IF($L225="","Size the annual benefit",IF($N225="","Score it so it can be ranked against capacity","")),IF($R225&lt;&gt;"","Build held: "&amp;$R225,"In build, not yet through test"),IF($R225&lt;&gt;"","Not ready to scale: "&amp;$R225,"Monitoring and third-party review not yet signed off"),IF($Q225="Y","","Live without a measured baseline to judge it against")))</f>
        <v/>
      </c>
      <c r="AJ225" s="65" t="str">
        <f aca="false">IF($Y225="","",INDEX(StageForum,$Y225))</f>
        <v/>
      </c>
      <c r="AK225" s="65" t="str">
        <f aca="false">IF($Y225="","",IF(OR($X225="Delivery",$X225="Value"),"Committed",IF($N225&lt;&gt;"","Candidate","")))</f>
        <v/>
      </c>
      <c r="AL225" s="65" t="str">
        <f aca="false">IF($AK225&lt;&gt;"Candidate","",COUNTIFS($AK$2:$AK$501,"Candidate",$N$2:$N$501,"&gt;"&amp;$N225)+COUNTIFS($AK$2:$AK$501,"Candidate",$N$2:$N$501,$N225,$A$2:$A$501,"&lt;"&amp;$A225)+1)</f>
        <v/>
      </c>
      <c r="AM225" s="65" t="str">
        <f aca="false">IF($AL225="","",SUMIFS($M$2:$M$501,$AK$2:$AK$501,"Candidate",$AL$2:$AL$501,"&lt;="&amp;$AL225))</f>
        <v/>
      </c>
      <c r="AN225" s="65" t="str">
        <f aca="false">IF($AL225="","",IF($AM225&lt;=CapacityOpen,"Fits","Below line"))</f>
        <v/>
      </c>
      <c r="AO225" s="65" t="str">
        <f aca="false">IF($A225="","",IF($X225="Closed","",IF($X225="Unmapped","Warning",IF(OR($AB225="Overdue",$V225="Y",$AH225="Critical"),"Critical",IF(OR($AB225="At risk",$AC225="Stale",$AG225="Over"),"Warning","")))))</f>
        <v/>
      </c>
      <c r="AP225" s="65" t="str">
        <f aca="false">IF($AO225="","",IF($AO225="Critical",3000,2000)-IF($Z225="",0,$Z225)+ROW()/100000)</f>
        <v/>
      </c>
      <c r="AQ225" s="65" t="str">
        <f aca="false">IF($AO225="","",IF($X225="Unmapped","Status '"&amp;$C225&amp;"' is not in the Config map",IF($V225="Y","Flagged in Jira",IF($AB225="Overdue",-$Z225&amp;" days past its "&amp;$X225&amp;" target",IF($AH225="Critical",$AI225,IF($AB225="At risk","Target in "&amp;$Z225&amp;" days",IF($AC225="Stale","No update in "&amp;$AA225&amp;" days","Past its "&amp;$AE225&amp;"-day tier window")))))))</f>
        <v/>
      </c>
      <c r="AR225" s="65" t="str">
        <f aca="false">IF($AO225="","","draft Jira update for "&amp;$A225)</f>
        <v/>
      </c>
      <c r="AS225" s="65" t="str">
        <f aca="false">IF($A225="","",HYPERLINK(JiraSite&amp;"/browse/"&amp;$A225,"open"))</f>
        <v/>
      </c>
      <c r="AT225" s="65" t="str">
        <f aca="false">IF($Y225="","",$Y225*1000+ROW())</f>
        <v/>
      </c>
      <c r="AU225" s="65" t="str">
        <f aca="false">IF(AND($A225&lt;&gt;"",$G225&gt;=WeekStart),$G225+ROW()/100000,"")</f>
        <v/>
      </c>
      <c r="AV225" s="65" t="str">
        <f aca="false">IF($A225="","",IF(OR(AND($S225&lt;&gt;"",$S225&gt;=WeekStart),AND($U225&lt;&gt;"",$U225&gt;=WeekStart)),MAX($S225,$U225)+ROW()/100000,""))</f>
        <v/>
      </c>
      <c r="AW225" s="65" t="str">
        <f aca="false">IF($AV225="","",IF($T225&lt;&gt;"",$T225,IF($X225="Closed","Closed","Accepted to "&amp;$X225)))</f>
        <v/>
      </c>
      <c r="AX225" s="65" t="str">
        <f aca="false">IF(AND($Y225&lt;&gt;"",$R225&lt;&gt;""),$AF225+ROW()/100000,"")</f>
        <v/>
      </c>
      <c r="AY225" s="65" t="str">
        <f aca="false">IF(AND($Y225&lt;&gt;"",OR($AB225="Overdue",AND($AH225="Critical",$R225&lt;&gt;""))),$AF225+ROW()/100000,"")</f>
        <v/>
      </c>
      <c r="AZ225" s="65" t="str">
        <f aca="false">IF($AH225="Critical",$AF225+ROW()/100000,"")</f>
        <v/>
      </c>
    </row>
    <row r="226" customFormat="false" ht="15" hidden="false" customHeight="false" outlineLevel="0" collapsed="false">
      <c r="A226" s="28"/>
      <c r="B226" s="28"/>
      <c r="C226" s="28"/>
      <c r="D226" s="28"/>
      <c r="E226" s="28"/>
      <c r="F226" s="28"/>
      <c r="G226" s="63"/>
      <c r="H226" s="63"/>
      <c r="I226" s="63"/>
      <c r="J226" s="28"/>
      <c r="K226" s="28"/>
      <c r="L226" s="28"/>
      <c r="M226" s="28"/>
      <c r="N226" s="28"/>
      <c r="O226" s="64"/>
      <c r="P226" s="64"/>
      <c r="Q226" s="64"/>
      <c r="R226" s="28"/>
      <c r="S226" s="63"/>
      <c r="T226" s="64"/>
      <c r="U226" s="63"/>
      <c r="V226" s="64"/>
      <c r="W226" s="28"/>
      <c r="X226" s="65" t="str">
        <f aca="false">IF($A226="","",IF(OR($T226&lt;&gt;"",$U226&lt;&gt;""),"Closed",IFERROR(INDEX(MapStage,MATCH($C226,MapStatus,0)),"Unmapped")))</f>
        <v/>
      </c>
      <c r="Y226" s="65" t="str">
        <f aca="false">IF(OR($X226="",$X226="Closed",$X226="Unmapped"),"",MATCH($X226,StageName,0))</f>
        <v/>
      </c>
      <c r="Z226" s="65" t="str">
        <f aca="false">IF(OR($Y226="",$I226=""),"",$I226-AsOf)</f>
        <v/>
      </c>
      <c r="AA226" s="65" t="str">
        <f aca="false">IF($A226="","",AsOf-$H226)</f>
        <v/>
      </c>
      <c r="AB226" s="65" t="str">
        <f aca="false">IF($A226="","",IF($X226="Closed","Closed",IF($X226="Unmapped","Unmapped",IF($I226="","No target",IF($Z226&lt;0,"Overdue",IF($Z226&lt;=INDEX(StageWindow,$Y226),"At risk","On track"))))))</f>
        <v/>
      </c>
      <c r="AC226" s="65" t="str">
        <f aca="false">IF($Y226="","",IF($AA226&gt;2*INDEX(StageStale,$Y226),"Stale",IF($AA226&gt;INDEX(StageStale,$Y226),"Aging","Fresh")))</f>
        <v/>
      </c>
      <c r="AD226" s="65" t="str">
        <f aca="false">IF($A226="","",IF(OR(ISNUMBER(SEARCH("Reg report",$J226)),ISNUMBER(SEARCH("No human review",$J226)),COUNTIF(TierFuncs,$D226)&gt;0),"High",IF(OR(TRIM($J226)&lt;&gt;"",ISNUMBER(SEARCH("revenue",$K226))),"Medium","Low")))</f>
        <v/>
      </c>
      <c r="AE226" s="65" t="str">
        <f aca="false">IF($A226="","",INDEX(TierDays,MATCH($AD226,TierName,0)))</f>
        <v/>
      </c>
      <c r="AF226" s="65" t="str">
        <f aca="false">IF($A226="","",AsOf-$G226)</f>
        <v/>
      </c>
      <c r="AG226" s="65" t="str">
        <f aca="false">IF($Y226="","",IF($Y226&lt;=5,IF($AF226&gt;$AE226,"Over","Inside"),"Past approval"))</f>
        <v/>
      </c>
      <c r="AH226" s="65" t="str">
        <f aca="false">IF($Y226="","",CHOOSE($Y226,IF(OR(TRIM($F226)="",ISNUMBER(SEARCH("not named",$F226))),"Critical","Good"),IF($O226&lt;&gt;"Y","Critical",IF($Q226&lt;&gt;"Y","Warning","Good")),IF($P226="","Critical",IF($P226="partial","Warning",IF($P226="ready","Good","Critical"))),IF($R226&lt;&gt;"","Critical","Warning"),IF($L226="","Critical",IF($N226="","Warning","Good")),IF($R226&lt;&gt;"","Critical","Warning"),IF($R226&lt;&gt;"","Critical","Warning"),IF($Q226="Y","Good","Critical")))</f>
        <v/>
      </c>
      <c r="AI226" s="65" t="str">
        <f aca="false">IF($Y226="","",CHOOSE($Y226,IF(OR(TRIM($F226)="",ISNUMBER(SEARCH("not named",$F226))),"Name a sponsor accountable for the value",""),IF($O226&lt;&gt;"Y","State the success metric and the stop condition",IF($Q226&lt;&gt;"Y","Set the baseline the benefit will be measured against","")),IF($P226="","Assess data readiness and regulatory impact",IF($P226="partial","Close the known data gaps",IF($P226="ready","","Data is not available; reshape or park"))),IF($R226&lt;&gt;"",IF(OR(ISNUMBER(SEARCH("mrm",$R226)),ISNUMBER(SEARCH("model",$R226)),ISNUMBER(SEARCH("risk",$R226)),ISNUMBER(SEARCH("legal",$R226)),ISNUMBER(SEARCH("complian",$R226))),"Awaiting ","Held at the design gate: ")&amp;$R226,"Map the governance framework for its tier"),IF($L226="","Size the annual benefit",IF($N226="","Score it so it can be ranked against capacity","")),IF($R226&lt;&gt;"","Build held: "&amp;$R226,"In build, not yet through test"),IF($R226&lt;&gt;"","Not ready to scale: "&amp;$R226,"Monitoring and third-party review not yet signed off"),IF($Q226="Y","","Live without a measured baseline to judge it against")))</f>
        <v/>
      </c>
      <c r="AJ226" s="65" t="str">
        <f aca="false">IF($Y226="","",INDEX(StageForum,$Y226))</f>
        <v/>
      </c>
      <c r="AK226" s="65" t="str">
        <f aca="false">IF($Y226="","",IF(OR($X226="Delivery",$X226="Value"),"Committed",IF($N226&lt;&gt;"","Candidate","")))</f>
        <v/>
      </c>
      <c r="AL226" s="65" t="str">
        <f aca="false">IF($AK226&lt;&gt;"Candidate","",COUNTIFS($AK$2:$AK$501,"Candidate",$N$2:$N$501,"&gt;"&amp;$N226)+COUNTIFS($AK$2:$AK$501,"Candidate",$N$2:$N$501,$N226,$A$2:$A$501,"&lt;"&amp;$A226)+1)</f>
        <v/>
      </c>
      <c r="AM226" s="65" t="str">
        <f aca="false">IF($AL226="","",SUMIFS($M$2:$M$501,$AK$2:$AK$501,"Candidate",$AL$2:$AL$501,"&lt;="&amp;$AL226))</f>
        <v/>
      </c>
      <c r="AN226" s="65" t="str">
        <f aca="false">IF($AL226="","",IF($AM226&lt;=CapacityOpen,"Fits","Below line"))</f>
        <v/>
      </c>
      <c r="AO226" s="65" t="str">
        <f aca="false">IF($A226="","",IF($X226="Closed","",IF($X226="Unmapped","Warning",IF(OR($AB226="Overdue",$V226="Y",$AH226="Critical"),"Critical",IF(OR($AB226="At risk",$AC226="Stale",$AG226="Over"),"Warning","")))))</f>
        <v/>
      </c>
      <c r="AP226" s="65" t="str">
        <f aca="false">IF($AO226="","",IF($AO226="Critical",3000,2000)-IF($Z226="",0,$Z226)+ROW()/100000)</f>
        <v/>
      </c>
      <c r="AQ226" s="65" t="str">
        <f aca="false">IF($AO226="","",IF($X226="Unmapped","Status '"&amp;$C226&amp;"' is not in the Config map",IF($V226="Y","Flagged in Jira",IF($AB226="Overdue",-$Z226&amp;" days past its "&amp;$X226&amp;" target",IF($AH226="Critical",$AI226,IF($AB226="At risk","Target in "&amp;$Z226&amp;" days",IF($AC226="Stale","No update in "&amp;$AA226&amp;" days","Past its "&amp;$AE226&amp;"-day tier window")))))))</f>
        <v/>
      </c>
      <c r="AR226" s="65" t="str">
        <f aca="false">IF($AO226="","","draft Jira update for "&amp;$A226)</f>
        <v/>
      </c>
      <c r="AS226" s="65" t="str">
        <f aca="false">IF($A226="","",HYPERLINK(JiraSite&amp;"/browse/"&amp;$A226,"open"))</f>
        <v/>
      </c>
      <c r="AT226" s="65" t="str">
        <f aca="false">IF($Y226="","",$Y226*1000+ROW())</f>
        <v/>
      </c>
      <c r="AU226" s="65" t="str">
        <f aca="false">IF(AND($A226&lt;&gt;"",$G226&gt;=WeekStart),$G226+ROW()/100000,"")</f>
        <v/>
      </c>
      <c r="AV226" s="65" t="str">
        <f aca="false">IF($A226="","",IF(OR(AND($S226&lt;&gt;"",$S226&gt;=WeekStart),AND($U226&lt;&gt;"",$U226&gt;=WeekStart)),MAX($S226,$U226)+ROW()/100000,""))</f>
        <v/>
      </c>
      <c r="AW226" s="65" t="str">
        <f aca="false">IF($AV226="","",IF($T226&lt;&gt;"",$T226,IF($X226="Closed","Closed","Accepted to "&amp;$X226)))</f>
        <v/>
      </c>
      <c r="AX226" s="65" t="str">
        <f aca="false">IF(AND($Y226&lt;&gt;"",$R226&lt;&gt;""),$AF226+ROW()/100000,"")</f>
        <v/>
      </c>
      <c r="AY226" s="65" t="str">
        <f aca="false">IF(AND($Y226&lt;&gt;"",OR($AB226="Overdue",AND($AH226="Critical",$R226&lt;&gt;""))),$AF226+ROW()/100000,"")</f>
        <v/>
      </c>
      <c r="AZ226" s="65" t="str">
        <f aca="false">IF($AH226="Critical",$AF226+ROW()/100000,"")</f>
        <v/>
      </c>
    </row>
    <row r="227" customFormat="false" ht="15" hidden="false" customHeight="false" outlineLevel="0" collapsed="false">
      <c r="A227" s="28"/>
      <c r="B227" s="28"/>
      <c r="C227" s="28"/>
      <c r="D227" s="28"/>
      <c r="E227" s="28"/>
      <c r="F227" s="28"/>
      <c r="G227" s="63"/>
      <c r="H227" s="63"/>
      <c r="I227" s="63"/>
      <c r="J227" s="28"/>
      <c r="K227" s="28"/>
      <c r="L227" s="28"/>
      <c r="M227" s="28"/>
      <c r="N227" s="28"/>
      <c r="O227" s="64"/>
      <c r="P227" s="64"/>
      <c r="Q227" s="64"/>
      <c r="R227" s="28"/>
      <c r="S227" s="63"/>
      <c r="T227" s="64"/>
      <c r="U227" s="63"/>
      <c r="V227" s="64"/>
      <c r="W227" s="28"/>
      <c r="X227" s="65" t="str">
        <f aca="false">IF($A227="","",IF(OR($T227&lt;&gt;"",$U227&lt;&gt;""),"Closed",IFERROR(INDEX(MapStage,MATCH($C227,MapStatus,0)),"Unmapped")))</f>
        <v/>
      </c>
      <c r="Y227" s="65" t="str">
        <f aca="false">IF(OR($X227="",$X227="Closed",$X227="Unmapped"),"",MATCH($X227,StageName,0))</f>
        <v/>
      </c>
      <c r="Z227" s="65" t="str">
        <f aca="false">IF(OR($Y227="",$I227=""),"",$I227-AsOf)</f>
        <v/>
      </c>
      <c r="AA227" s="65" t="str">
        <f aca="false">IF($A227="","",AsOf-$H227)</f>
        <v/>
      </c>
      <c r="AB227" s="65" t="str">
        <f aca="false">IF($A227="","",IF($X227="Closed","Closed",IF($X227="Unmapped","Unmapped",IF($I227="","No target",IF($Z227&lt;0,"Overdue",IF($Z227&lt;=INDEX(StageWindow,$Y227),"At risk","On track"))))))</f>
        <v/>
      </c>
      <c r="AC227" s="65" t="str">
        <f aca="false">IF($Y227="","",IF($AA227&gt;2*INDEX(StageStale,$Y227),"Stale",IF($AA227&gt;INDEX(StageStale,$Y227),"Aging","Fresh")))</f>
        <v/>
      </c>
      <c r="AD227" s="65" t="str">
        <f aca="false">IF($A227="","",IF(OR(ISNUMBER(SEARCH("Reg report",$J227)),ISNUMBER(SEARCH("No human review",$J227)),COUNTIF(TierFuncs,$D227)&gt;0),"High",IF(OR(TRIM($J227)&lt;&gt;"",ISNUMBER(SEARCH("revenue",$K227))),"Medium","Low")))</f>
        <v/>
      </c>
      <c r="AE227" s="65" t="str">
        <f aca="false">IF($A227="","",INDEX(TierDays,MATCH($AD227,TierName,0)))</f>
        <v/>
      </c>
      <c r="AF227" s="65" t="str">
        <f aca="false">IF($A227="","",AsOf-$G227)</f>
        <v/>
      </c>
      <c r="AG227" s="65" t="str">
        <f aca="false">IF($Y227="","",IF($Y227&lt;=5,IF($AF227&gt;$AE227,"Over","Inside"),"Past approval"))</f>
        <v/>
      </c>
      <c r="AH227" s="65" t="str">
        <f aca="false">IF($Y227="","",CHOOSE($Y227,IF(OR(TRIM($F227)="",ISNUMBER(SEARCH("not named",$F227))),"Critical","Good"),IF($O227&lt;&gt;"Y","Critical",IF($Q227&lt;&gt;"Y","Warning","Good")),IF($P227="","Critical",IF($P227="partial","Warning",IF($P227="ready","Good","Critical"))),IF($R227&lt;&gt;"","Critical","Warning"),IF($L227="","Critical",IF($N227="","Warning","Good")),IF($R227&lt;&gt;"","Critical","Warning"),IF($R227&lt;&gt;"","Critical","Warning"),IF($Q227="Y","Good","Critical")))</f>
        <v/>
      </c>
      <c r="AI227" s="65" t="str">
        <f aca="false">IF($Y227="","",CHOOSE($Y227,IF(OR(TRIM($F227)="",ISNUMBER(SEARCH("not named",$F227))),"Name a sponsor accountable for the value",""),IF($O227&lt;&gt;"Y","State the success metric and the stop condition",IF($Q227&lt;&gt;"Y","Set the baseline the benefit will be measured against","")),IF($P227="","Assess data readiness and regulatory impact",IF($P227="partial","Close the known data gaps",IF($P227="ready","","Data is not available; reshape or park"))),IF($R227&lt;&gt;"",IF(OR(ISNUMBER(SEARCH("mrm",$R227)),ISNUMBER(SEARCH("model",$R227)),ISNUMBER(SEARCH("risk",$R227)),ISNUMBER(SEARCH("legal",$R227)),ISNUMBER(SEARCH("complian",$R227))),"Awaiting ","Held at the design gate: ")&amp;$R227,"Map the governance framework for its tier"),IF($L227="","Size the annual benefit",IF($N227="","Score it so it can be ranked against capacity","")),IF($R227&lt;&gt;"","Build held: "&amp;$R227,"In build, not yet through test"),IF($R227&lt;&gt;"","Not ready to scale: "&amp;$R227,"Monitoring and third-party review not yet signed off"),IF($Q227="Y","","Live without a measured baseline to judge it against")))</f>
        <v/>
      </c>
      <c r="AJ227" s="65" t="str">
        <f aca="false">IF($Y227="","",INDEX(StageForum,$Y227))</f>
        <v/>
      </c>
      <c r="AK227" s="65" t="str">
        <f aca="false">IF($Y227="","",IF(OR($X227="Delivery",$X227="Value"),"Committed",IF($N227&lt;&gt;"","Candidate","")))</f>
        <v/>
      </c>
      <c r="AL227" s="65" t="str">
        <f aca="false">IF($AK227&lt;&gt;"Candidate","",COUNTIFS($AK$2:$AK$501,"Candidate",$N$2:$N$501,"&gt;"&amp;$N227)+COUNTIFS($AK$2:$AK$501,"Candidate",$N$2:$N$501,$N227,$A$2:$A$501,"&lt;"&amp;$A227)+1)</f>
        <v/>
      </c>
      <c r="AM227" s="65" t="str">
        <f aca="false">IF($AL227="","",SUMIFS($M$2:$M$501,$AK$2:$AK$501,"Candidate",$AL$2:$AL$501,"&lt;="&amp;$AL227))</f>
        <v/>
      </c>
      <c r="AN227" s="65" t="str">
        <f aca="false">IF($AL227="","",IF($AM227&lt;=CapacityOpen,"Fits","Below line"))</f>
        <v/>
      </c>
      <c r="AO227" s="65" t="str">
        <f aca="false">IF($A227="","",IF($X227="Closed","",IF($X227="Unmapped","Warning",IF(OR($AB227="Overdue",$V227="Y",$AH227="Critical"),"Critical",IF(OR($AB227="At risk",$AC227="Stale",$AG227="Over"),"Warning","")))))</f>
        <v/>
      </c>
      <c r="AP227" s="65" t="str">
        <f aca="false">IF($AO227="","",IF($AO227="Critical",3000,2000)-IF($Z227="",0,$Z227)+ROW()/100000)</f>
        <v/>
      </c>
      <c r="AQ227" s="65" t="str">
        <f aca="false">IF($AO227="","",IF($X227="Unmapped","Status '"&amp;$C227&amp;"' is not in the Config map",IF($V227="Y","Flagged in Jira",IF($AB227="Overdue",-$Z227&amp;" days past its "&amp;$X227&amp;" target",IF($AH227="Critical",$AI227,IF($AB227="At risk","Target in "&amp;$Z227&amp;" days",IF($AC227="Stale","No update in "&amp;$AA227&amp;" days","Past its "&amp;$AE227&amp;"-day tier window")))))))</f>
        <v/>
      </c>
      <c r="AR227" s="65" t="str">
        <f aca="false">IF($AO227="","","draft Jira update for "&amp;$A227)</f>
        <v/>
      </c>
      <c r="AS227" s="65" t="str">
        <f aca="false">IF($A227="","",HYPERLINK(JiraSite&amp;"/browse/"&amp;$A227,"open"))</f>
        <v/>
      </c>
      <c r="AT227" s="65" t="str">
        <f aca="false">IF($Y227="","",$Y227*1000+ROW())</f>
        <v/>
      </c>
      <c r="AU227" s="65" t="str">
        <f aca="false">IF(AND($A227&lt;&gt;"",$G227&gt;=WeekStart),$G227+ROW()/100000,"")</f>
        <v/>
      </c>
      <c r="AV227" s="65" t="str">
        <f aca="false">IF($A227="","",IF(OR(AND($S227&lt;&gt;"",$S227&gt;=WeekStart),AND($U227&lt;&gt;"",$U227&gt;=WeekStart)),MAX($S227,$U227)+ROW()/100000,""))</f>
        <v/>
      </c>
      <c r="AW227" s="65" t="str">
        <f aca="false">IF($AV227="","",IF($T227&lt;&gt;"",$T227,IF($X227="Closed","Closed","Accepted to "&amp;$X227)))</f>
        <v/>
      </c>
      <c r="AX227" s="65" t="str">
        <f aca="false">IF(AND($Y227&lt;&gt;"",$R227&lt;&gt;""),$AF227+ROW()/100000,"")</f>
        <v/>
      </c>
      <c r="AY227" s="65" t="str">
        <f aca="false">IF(AND($Y227&lt;&gt;"",OR($AB227="Overdue",AND($AH227="Critical",$R227&lt;&gt;""))),$AF227+ROW()/100000,"")</f>
        <v/>
      </c>
      <c r="AZ227" s="65" t="str">
        <f aca="false">IF($AH227="Critical",$AF227+ROW()/100000,"")</f>
        <v/>
      </c>
    </row>
    <row r="228" customFormat="false" ht="15" hidden="false" customHeight="false" outlineLevel="0" collapsed="false">
      <c r="A228" s="28"/>
      <c r="B228" s="28"/>
      <c r="C228" s="28"/>
      <c r="D228" s="28"/>
      <c r="E228" s="28"/>
      <c r="F228" s="28"/>
      <c r="G228" s="63"/>
      <c r="H228" s="63"/>
      <c r="I228" s="63"/>
      <c r="J228" s="28"/>
      <c r="K228" s="28"/>
      <c r="L228" s="28"/>
      <c r="M228" s="28"/>
      <c r="N228" s="28"/>
      <c r="O228" s="64"/>
      <c r="P228" s="64"/>
      <c r="Q228" s="64"/>
      <c r="R228" s="28"/>
      <c r="S228" s="63"/>
      <c r="T228" s="64"/>
      <c r="U228" s="63"/>
      <c r="V228" s="64"/>
      <c r="W228" s="28"/>
      <c r="X228" s="65" t="str">
        <f aca="false">IF($A228="","",IF(OR($T228&lt;&gt;"",$U228&lt;&gt;""),"Closed",IFERROR(INDEX(MapStage,MATCH($C228,MapStatus,0)),"Unmapped")))</f>
        <v/>
      </c>
      <c r="Y228" s="65" t="str">
        <f aca="false">IF(OR($X228="",$X228="Closed",$X228="Unmapped"),"",MATCH($X228,StageName,0))</f>
        <v/>
      </c>
      <c r="Z228" s="65" t="str">
        <f aca="false">IF(OR($Y228="",$I228=""),"",$I228-AsOf)</f>
        <v/>
      </c>
      <c r="AA228" s="65" t="str">
        <f aca="false">IF($A228="","",AsOf-$H228)</f>
        <v/>
      </c>
      <c r="AB228" s="65" t="str">
        <f aca="false">IF($A228="","",IF($X228="Closed","Closed",IF($X228="Unmapped","Unmapped",IF($I228="","No target",IF($Z228&lt;0,"Overdue",IF($Z228&lt;=INDEX(StageWindow,$Y228),"At risk","On track"))))))</f>
        <v/>
      </c>
      <c r="AC228" s="65" t="str">
        <f aca="false">IF($Y228="","",IF($AA228&gt;2*INDEX(StageStale,$Y228),"Stale",IF($AA228&gt;INDEX(StageStale,$Y228),"Aging","Fresh")))</f>
        <v/>
      </c>
      <c r="AD228" s="65" t="str">
        <f aca="false">IF($A228="","",IF(OR(ISNUMBER(SEARCH("Reg report",$J228)),ISNUMBER(SEARCH("No human review",$J228)),COUNTIF(TierFuncs,$D228)&gt;0),"High",IF(OR(TRIM($J228)&lt;&gt;"",ISNUMBER(SEARCH("revenue",$K228))),"Medium","Low")))</f>
        <v/>
      </c>
      <c r="AE228" s="65" t="str">
        <f aca="false">IF($A228="","",INDEX(TierDays,MATCH($AD228,TierName,0)))</f>
        <v/>
      </c>
      <c r="AF228" s="65" t="str">
        <f aca="false">IF($A228="","",AsOf-$G228)</f>
        <v/>
      </c>
      <c r="AG228" s="65" t="str">
        <f aca="false">IF($Y228="","",IF($Y228&lt;=5,IF($AF228&gt;$AE228,"Over","Inside"),"Past approval"))</f>
        <v/>
      </c>
      <c r="AH228" s="65" t="str">
        <f aca="false">IF($Y228="","",CHOOSE($Y228,IF(OR(TRIM($F228)="",ISNUMBER(SEARCH("not named",$F228))),"Critical","Good"),IF($O228&lt;&gt;"Y","Critical",IF($Q228&lt;&gt;"Y","Warning","Good")),IF($P228="","Critical",IF($P228="partial","Warning",IF($P228="ready","Good","Critical"))),IF($R228&lt;&gt;"","Critical","Warning"),IF($L228="","Critical",IF($N228="","Warning","Good")),IF($R228&lt;&gt;"","Critical","Warning"),IF($R228&lt;&gt;"","Critical","Warning"),IF($Q228="Y","Good","Critical")))</f>
        <v/>
      </c>
      <c r="AI228" s="65" t="str">
        <f aca="false">IF($Y228="","",CHOOSE($Y228,IF(OR(TRIM($F228)="",ISNUMBER(SEARCH("not named",$F228))),"Name a sponsor accountable for the value",""),IF($O228&lt;&gt;"Y","State the success metric and the stop condition",IF($Q228&lt;&gt;"Y","Set the baseline the benefit will be measured against","")),IF($P228="","Assess data readiness and regulatory impact",IF($P228="partial","Close the known data gaps",IF($P228="ready","","Data is not available; reshape or park"))),IF($R228&lt;&gt;"",IF(OR(ISNUMBER(SEARCH("mrm",$R228)),ISNUMBER(SEARCH("model",$R228)),ISNUMBER(SEARCH("risk",$R228)),ISNUMBER(SEARCH("legal",$R228)),ISNUMBER(SEARCH("complian",$R228))),"Awaiting ","Held at the design gate: ")&amp;$R228,"Map the governance framework for its tier"),IF($L228="","Size the annual benefit",IF($N228="","Score it so it can be ranked against capacity","")),IF($R228&lt;&gt;"","Build held: "&amp;$R228,"In build, not yet through test"),IF($R228&lt;&gt;"","Not ready to scale: "&amp;$R228,"Monitoring and third-party review not yet signed off"),IF($Q228="Y","","Live without a measured baseline to judge it against")))</f>
        <v/>
      </c>
      <c r="AJ228" s="65" t="str">
        <f aca="false">IF($Y228="","",INDEX(StageForum,$Y228))</f>
        <v/>
      </c>
      <c r="AK228" s="65" t="str">
        <f aca="false">IF($Y228="","",IF(OR($X228="Delivery",$X228="Value"),"Committed",IF($N228&lt;&gt;"","Candidate","")))</f>
        <v/>
      </c>
      <c r="AL228" s="65" t="str">
        <f aca="false">IF($AK228&lt;&gt;"Candidate","",COUNTIFS($AK$2:$AK$501,"Candidate",$N$2:$N$501,"&gt;"&amp;$N228)+COUNTIFS($AK$2:$AK$501,"Candidate",$N$2:$N$501,$N228,$A$2:$A$501,"&lt;"&amp;$A228)+1)</f>
        <v/>
      </c>
      <c r="AM228" s="65" t="str">
        <f aca="false">IF($AL228="","",SUMIFS($M$2:$M$501,$AK$2:$AK$501,"Candidate",$AL$2:$AL$501,"&lt;="&amp;$AL228))</f>
        <v/>
      </c>
      <c r="AN228" s="65" t="str">
        <f aca="false">IF($AL228="","",IF($AM228&lt;=CapacityOpen,"Fits","Below line"))</f>
        <v/>
      </c>
      <c r="AO228" s="65" t="str">
        <f aca="false">IF($A228="","",IF($X228="Closed","",IF($X228="Unmapped","Warning",IF(OR($AB228="Overdue",$V228="Y",$AH228="Critical"),"Critical",IF(OR($AB228="At risk",$AC228="Stale",$AG228="Over"),"Warning","")))))</f>
        <v/>
      </c>
      <c r="AP228" s="65" t="str">
        <f aca="false">IF($AO228="","",IF($AO228="Critical",3000,2000)-IF($Z228="",0,$Z228)+ROW()/100000)</f>
        <v/>
      </c>
      <c r="AQ228" s="65" t="str">
        <f aca="false">IF($AO228="","",IF($X228="Unmapped","Status '"&amp;$C228&amp;"' is not in the Config map",IF($V228="Y","Flagged in Jira",IF($AB228="Overdue",-$Z228&amp;" days past its "&amp;$X228&amp;" target",IF($AH228="Critical",$AI228,IF($AB228="At risk","Target in "&amp;$Z228&amp;" days",IF($AC228="Stale","No update in "&amp;$AA228&amp;" days","Past its "&amp;$AE228&amp;"-day tier window")))))))</f>
        <v/>
      </c>
      <c r="AR228" s="65" t="str">
        <f aca="false">IF($AO228="","","draft Jira update for "&amp;$A228)</f>
        <v/>
      </c>
      <c r="AS228" s="65" t="str">
        <f aca="false">IF($A228="","",HYPERLINK(JiraSite&amp;"/browse/"&amp;$A228,"open"))</f>
        <v/>
      </c>
      <c r="AT228" s="65" t="str">
        <f aca="false">IF($Y228="","",$Y228*1000+ROW())</f>
        <v/>
      </c>
      <c r="AU228" s="65" t="str">
        <f aca="false">IF(AND($A228&lt;&gt;"",$G228&gt;=WeekStart),$G228+ROW()/100000,"")</f>
        <v/>
      </c>
      <c r="AV228" s="65" t="str">
        <f aca="false">IF($A228="","",IF(OR(AND($S228&lt;&gt;"",$S228&gt;=WeekStart),AND($U228&lt;&gt;"",$U228&gt;=WeekStart)),MAX($S228,$U228)+ROW()/100000,""))</f>
        <v/>
      </c>
      <c r="AW228" s="65" t="str">
        <f aca="false">IF($AV228="","",IF($T228&lt;&gt;"",$T228,IF($X228="Closed","Closed","Accepted to "&amp;$X228)))</f>
        <v/>
      </c>
      <c r="AX228" s="65" t="str">
        <f aca="false">IF(AND($Y228&lt;&gt;"",$R228&lt;&gt;""),$AF228+ROW()/100000,"")</f>
        <v/>
      </c>
      <c r="AY228" s="65" t="str">
        <f aca="false">IF(AND($Y228&lt;&gt;"",OR($AB228="Overdue",AND($AH228="Critical",$R228&lt;&gt;""))),$AF228+ROW()/100000,"")</f>
        <v/>
      </c>
      <c r="AZ228" s="65" t="str">
        <f aca="false">IF($AH228="Critical",$AF228+ROW()/100000,"")</f>
        <v/>
      </c>
    </row>
    <row r="229" customFormat="false" ht="15" hidden="false" customHeight="false" outlineLevel="0" collapsed="false">
      <c r="A229" s="28"/>
      <c r="B229" s="28"/>
      <c r="C229" s="28"/>
      <c r="D229" s="28"/>
      <c r="E229" s="28"/>
      <c r="F229" s="28"/>
      <c r="G229" s="63"/>
      <c r="H229" s="63"/>
      <c r="I229" s="63"/>
      <c r="J229" s="28"/>
      <c r="K229" s="28"/>
      <c r="L229" s="28"/>
      <c r="M229" s="28"/>
      <c r="N229" s="28"/>
      <c r="O229" s="64"/>
      <c r="P229" s="64"/>
      <c r="Q229" s="64"/>
      <c r="R229" s="28"/>
      <c r="S229" s="63"/>
      <c r="T229" s="64"/>
      <c r="U229" s="63"/>
      <c r="V229" s="64"/>
      <c r="W229" s="28"/>
      <c r="X229" s="65" t="str">
        <f aca="false">IF($A229="","",IF(OR($T229&lt;&gt;"",$U229&lt;&gt;""),"Closed",IFERROR(INDEX(MapStage,MATCH($C229,MapStatus,0)),"Unmapped")))</f>
        <v/>
      </c>
      <c r="Y229" s="65" t="str">
        <f aca="false">IF(OR($X229="",$X229="Closed",$X229="Unmapped"),"",MATCH($X229,StageName,0))</f>
        <v/>
      </c>
      <c r="Z229" s="65" t="str">
        <f aca="false">IF(OR($Y229="",$I229=""),"",$I229-AsOf)</f>
        <v/>
      </c>
      <c r="AA229" s="65" t="str">
        <f aca="false">IF($A229="","",AsOf-$H229)</f>
        <v/>
      </c>
      <c r="AB229" s="65" t="str">
        <f aca="false">IF($A229="","",IF($X229="Closed","Closed",IF($X229="Unmapped","Unmapped",IF($I229="","No target",IF($Z229&lt;0,"Overdue",IF($Z229&lt;=INDEX(StageWindow,$Y229),"At risk","On track"))))))</f>
        <v/>
      </c>
      <c r="AC229" s="65" t="str">
        <f aca="false">IF($Y229="","",IF($AA229&gt;2*INDEX(StageStale,$Y229),"Stale",IF($AA229&gt;INDEX(StageStale,$Y229),"Aging","Fresh")))</f>
        <v/>
      </c>
      <c r="AD229" s="65" t="str">
        <f aca="false">IF($A229="","",IF(OR(ISNUMBER(SEARCH("Reg report",$J229)),ISNUMBER(SEARCH("No human review",$J229)),COUNTIF(TierFuncs,$D229)&gt;0),"High",IF(OR(TRIM($J229)&lt;&gt;"",ISNUMBER(SEARCH("revenue",$K229))),"Medium","Low")))</f>
        <v/>
      </c>
      <c r="AE229" s="65" t="str">
        <f aca="false">IF($A229="","",INDEX(TierDays,MATCH($AD229,TierName,0)))</f>
        <v/>
      </c>
      <c r="AF229" s="65" t="str">
        <f aca="false">IF($A229="","",AsOf-$G229)</f>
        <v/>
      </c>
      <c r="AG229" s="65" t="str">
        <f aca="false">IF($Y229="","",IF($Y229&lt;=5,IF($AF229&gt;$AE229,"Over","Inside"),"Past approval"))</f>
        <v/>
      </c>
      <c r="AH229" s="65" t="str">
        <f aca="false">IF($Y229="","",CHOOSE($Y229,IF(OR(TRIM($F229)="",ISNUMBER(SEARCH("not named",$F229))),"Critical","Good"),IF($O229&lt;&gt;"Y","Critical",IF($Q229&lt;&gt;"Y","Warning","Good")),IF($P229="","Critical",IF($P229="partial","Warning",IF($P229="ready","Good","Critical"))),IF($R229&lt;&gt;"","Critical","Warning"),IF($L229="","Critical",IF($N229="","Warning","Good")),IF($R229&lt;&gt;"","Critical","Warning"),IF($R229&lt;&gt;"","Critical","Warning"),IF($Q229="Y","Good","Critical")))</f>
        <v/>
      </c>
      <c r="AI229" s="65" t="str">
        <f aca="false">IF($Y229="","",CHOOSE($Y229,IF(OR(TRIM($F229)="",ISNUMBER(SEARCH("not named",$F229))),"Name a sponsor accountable for the value",""),IF($O229&lt;&gt;"Y","State the success metric and the stop condition",IF($Q229&lt;&gt;"Y","Set the baseline the benefit will be measured against","")),IF($P229="","Assess data readiness and regulatory impact",IF($P229="partial","Close the known data gaps",IF($P229="ready","","Data is not available; reshape or park"))),IF($R229&lt;&gt;"",IF(OR(ISNUMBER(SEARCH("mrm",$R229)),ISNUMBER(SEARCH("model",$R229)),ISNUMBER(SEARCH("risk",$R229)),ISNUMBER(SEARCH("legal",$R229)),ISNUMBER(SEARCH("complian",$R229))),"Awaiting ","Held at the design gate: ")&amp;$R229,"Map the governance framework for its tier"),IF($L229="","Size the annual benefit",IF($N229="","Score it so it can be ranked against capacity","")),IF($R229&lt;&gt;"","Build held: "&amp;$R229,"In build, not yet through test"),IF($R229&lt;&gt;"","Not ready to scale: "&amp;$R229,"Monitoring and third-party review not yet signed off"),IF($Q229="Y","","Live without a measured baseline to judge it against")))</f>
        <v/>
      </c>
      <c r="AJ229" s="65" t="str">
        <f aca="false">IF($Y229="","",INDEX(StageForum,$Y229))</f>
        <v/>
      </c>
      <c r="AK229" s="65" t="str">
        <f aca="false">IF($Y229="","",IF(OR($X229="Delivery",$X229="Value"),"Committed",IF($N229&lt;&gt;"","Candidate","")))</f>
        <v/>
      </c>
      <c r="AL229" s="65" t="str">
        <f aca="false">IF($AK229&lt;&gt;"Candidate","",COUNTIFS($AK$2:$AK$501,"Candidate",$N$2:$N$501,"&gt;"&amp;$N229)+COUNTIFS($AK$2:$AK$501,"Candidate",$N$2:$N$501,$N229,$A$2:$A$501,"&lt;"&amp;$A229)+1)</f>
        <v/>
      </c>
      <c r="AM229" s="65" t="str">
        <f aca="false">IF($AL229="","",SUMIFS($M$2:$M$501,$AK$2:$AK$501,"Candidate",$AL$2:$AL$501,"&lt;="&amp;$AL229))</f>
        <v/>
      </c>
      <c r="AN229" s="65" t="str">
        <f aca="false">IF($AL229="","",IF($AM229&lt;=CapacityOpen,"Fits","Below line"))</f>
        <v/>
      </c>
      <c r="AO229" s="65" t="str">
        <f aca="false">IF($A229="","",IF($X229="Closed","",IF($X229="Unmapped","Warning",IF(OR($AB229="Overdue",$V229="Y",$AH229="Critical"),"Critical",IF(OR($AB229="At risk",$AC229="Stale",$AG229="Over"),"Warning","")))))</f>
        <v/>
      </c>
      <c r="AP229" s="65" t="str">
        <f aca="false">IF($AO229="","",IF($AO229="Critical",3000,2000)-IF($Z229="",0,$Z229)+ROW()/100000)</f>
        <v/>
      </c>
      <c r="AQ229" s="65" t="str">
        <f aca="false">IF($AO229="","",IF($X229="Unmapped","Status '"&amp;$C229&amp;"' is not in the Config map",IF($V229="Y","Flagged in Jira",IF($AB229="Overdue",-$Z229&amp;" days past its "&amp;$X229&amp;" target",IF($AH229="Critical",$AI229,IF($AB229="At risk","Target in "&amp;$Z229&amp;" days",IF($AC229="Stale","No update in "&amp;$AA229&amp;" days","Past its "&amp;$AE229&amp;"-day tier window")))))))</f>
        <v/>
      </c>
      <c r="AR229" s="65" t="str">
        <f aca="false">IF($AO229="","","draft Jira update for "&amp;$A229)</f>
        <v/>
      </c>
      <c r="AS229" s="65" t="str">
        <f aca="false">IF($A229="","",HYPERLINK(JiraSite&amp;"/browse/"&amp;$A229,"open"))</f>
        <v/>
      </c>
      <c r="AT229" s="65" t="str">
        <f aca="false">IF($Y229="","",$Y229*1000+ROW())</f>
        <v/>
      </c>
      <c r="AU229" s="65" t="str">
        <f aca="false">IF(AND($A229&lt;&gt;"",$G229&gt;=WeekStart),$G229+ROW()/100000,"")</f>
        <v/>
      </c>
      <c r="AV229" s="65" t="str">
        <f aca="false">IF($A229="","",IF(OR(AND($S229&lt;&gt;"",$S229&gt;=WeekStart),AND($U229&lt;&gt;"",$U229&gt;=WeekStart)),MAX($S229,$U229)+ROW()/100000,""))</f>
        <v/>
      </c>
      <c r="AW229" s="65" t="str">
        <f aca="false">IF($AV229="","",IF($T229&lt;&gt;"",$T229,IF($X229="Closed","Closed","Accepted to "&amp;$X229)))</f>
        <v/>
      </c>
      <c r="AX229" s="65" t="str">
        <f aca="false">IF(AND($Y229&lt;&gt;"",$R229&lt;&gt;""),$AF229+ROW()/100000,"")</f>
        <v/>
      </c>
      <c r="AY229" s="65" t="str">
        <f aca="false">IF(AND($Y229&lt;&gt;"",OR($AB229="Overdue",AND($AH229="Critical",$R229&lt;&gt;""))),$AF229+ROW()/100000,"")</f>
        <v/>
      </c>
      <c r="AZ229" s="65" t="str">
        <f aca="false">IF($AH229="Critical",$AF229+ROW()/100000,"")</f>
        <v/>
      </c>
    </row>
    <row r="230" customFormat="false" ht="15" hidden="false" customHeight="false" outlineLevel="0" collapsed="false">
      <c r="A230" s="28"/>
      <c r="B230" s="28"/>
      <c r="C230" s="28"/>
      <c r="D230" s="28"/>
      <c r="E230" s="28"/>
      <c r="F230" s="28"/>
      <c r="G230" s="63"/>
      <c r="H230" s="63"/>
      <c r="I230" s="63"/>
      <c r="J230" s="28"/>
      <c r="K230" s="28"/>
      <c r="L230" s="28"/>
      <c r="M230" s="28"/>
      <c r="N230" s="28"/>
      <c r="O230" s="64"/>
      <c r="P230" s="64"/>
      <c r="Q230" s="64"/>
      <c r="R230" s="28"/>
      <c r="S230" s="63"/>
      <c r="T230" s="64"/>
      <c r="U230" s="63"/>
      <c r="V230" s="64"/>
      <c r="W230" s="28"/>
      <c r="X230" s="65" t="str">
        <f aca="false">IF($A230="","",IF(OR($T230&lt;&gt;"",$U230&lt;&gt;""),"Closed",IFERROR(INDEX(MapStage,MATCH($C230,MapStatus,0)),"Unmapped")))</f>
        <v/>
      </c>
      <c r="Y230" s="65" t="str">
        <f aca="false">IF(OR($X230="",$X230="Closed",$X230="Unmapped"),"",MATCH($X230,StageName,0))</f>
        <v/>
      </c>
      <c r="Z230" s="65" t="str">
        <f aca="false">IF(OR($Y230="",$I230=""),"",$I230-AsOf)</f>
        <v/>
      </c>
      <c r="AA230" s="65" t="str">
        <f aca="false">IF($A230="","",AsOf-$H230)</f>
        <v/>
      </c>
      <c r="AB230" s="65" t="str">
        <f aca="false">IF($A230="","",IF($X230="Closed","Closed",IF($X230="Unmapped","Unmapped",IF($I230="","No target",IF($Z230&lt;0,"Overdue",IF($Z230&lt;=INDEX(StageWindow,$Y230),"At risk","On track"))))))</f>
        <v/>
      </c>
      <c r="AC230" s="65" t="str">
        <f aca="false">IF($Y230="","",IF($AA230&gt;2*INDEX(StageStale,$Y230),"Stale",IF($AA230&gt;INDEX(StageStale,$Y230),"Aging","Fresh")))</f>
        <v/>
      </c>
      <c r="AD230" s="65" t="str">
        <f aca="false">IF($A230="","",IF(OR(ISNUMBER(SEARCH("Reg report",$J230)),ISNUMBER(SEARCH("No human review",$J230)),COUNTIF(TierFuncs,$D230)&gt;0),"High",IF(OR(TRIM($J230)&lt;&gt;"",ISNUMBER(SEARCH("revenue",$K230))),"Medium","Low")))</f>
        <v/>
      </c>
      <c r="AE230" s="65" t="str">
        <f aca="false">IF($A230="","",INDEX(TierDays,MATCH($AD230,TierName,0)))</f>
        <v/>
      </c>
      <c r="AF230" s="65" t="str">
        <f aca="false">IF($A230="","",AsOf-$G230)</f>
        <v/>
      </c>
      <c r="AG230" s="65" t="str">
        <f aca="false">IF($Y230="","",IF($Y230&lt;=5,IF($AF230&gt;$AE230,"Over","Inside"),"Past approval"))</f>
        <v/>
      </c>
      <c r="AH230" s="65" t="str">
        <f aca="false">IF($Y230="","",CHOOSE($Y230,IF(OR(TRIM($F230)="",ISNUMBER(SEARCH("not named",$F230))),"Critical","Good"),IF($O230&lt;&gt;"Y","Critical",IF($Q230&lt;&gt;"Y","Warning","Good")),IF($P230="","Critical",IF($P230="partial","Warning",IF($P230="ready","Good","Critical"))),IF($R230&lt;&gt;"","Critical","Warning"),IF($L230="","Critical",IF($N230="","Warning","Good")),IF($R230&lt;&gt;"","Critical","Warning"),IF($R230&lt;&gt;"","Critical","Warning"),IF($Q230="Y","Good","Critical")))</f>
        <v/>
      </c>
      <c r="AI230" s="65" t="str">
        <f aca="false">IF($Y230="","",CHOOSE($Y230,IF(OR(TRIM($F230)="",ISNUMBER(SEARCH("not named",$F230))),"Name a sponsor accountable for the value",""),IF($O230&lt;&gt;"Y","State the success metric and the stop condition",IF($Q230&lt;&gt;"Y","Set the baseline the benefit will be measured against","")),IF($P230="","Assess data readiness and regulatory impact",IF($P230="partial","Close the known data gaps",IF($P230="ready","","Data is not available; reshape or park"))),IF($R230&lt;&gt;"",IF(OR(ISNUMBER(SEARCH("mrm",$R230)),ISNUMBER(SEARCH("model",$R230)),ISNUMBER(SEARCH("risk",$R230)),ISNUMBER(SEARCH("legal",$R230)),ISNUMBER(SEARCH("complian",$R230))),"Awaiting ","Held at the design gate: ")&amp;$R230,"Map the governance framework for its tier"),IF($L230="","Size the annual benefit",IF($N230="","Score it so it can be ranked against capacity","")),IF($R230&lt;&gt;"","Build held: "&amp;$R230,"In build, not yet through test"),IF($R230&lt;&gt;"","Not ready to scale: "&amp;$R230,"Monitoring and third-party review not yet signed off"),IF($Q230="Y","","Live without a measured baseline to judge it against")))</f>
        <v/>
      </c>
      <c r="AJ230" s="65" t="str">
        <f aca="false">IF($Y230="","",INDEX(StageForum,$Y230))</f>
        <v/>
      </c>
      <c r="AK230" s="65" t="str">
        <f aca="false">IF($Y230="","",IF(OR($X230="Delivery",$X230="Value"),"Committed",IF($N230&lt;&gt;"","Candidate","")))</f>
        <v/>
      </c>
      <c r="AL230" s="65" t="str">
        <f aca="false">IF($AK230&lt;&gt;"Candidate","",COUNTIFS($AK$2:$AK$501,"Candidate",$N$2:$N$501,"&gt;"&amp;$N230)+COUNTIFS($AK$2:$AK$501,"Candidate",$N$2:$N$501,$N230,$A$2:$A$501,"&lt;"&amp;$A230)+1)</f>
        <v/>
      </c>
      <c r="AM230" s="65" t="str">
        <f aca="false">IF($AL230="","",SUMIFS($M$2:$M$501,$AK$2:$AK$501,"Candidate",$AL$2:$AL$501,"&lt;="&amp;$AL230))</f>
        <v/>
      </c>
      <c r="AN230" s="65" t="str">
        <f aca="false">IF($AL230="","",IF($AM230&lt;=CapacityOpen,"Fits","Below line"))</f>
        <v/>
      </c>
      <c r="AO230" s="65" t="str">
        <f aca="false">IF($A230="","",IF($X230="Closed","",IF($X230="Unmapped","Warning",IF(OR($AB230="Overdue",$V230="Y",$AH230="Critical"),"Critical",IF(OR($AB230="At risk",$AC230="Stale",$AG230="Over"),"Warning","")))))</f>
        <v/>
      </c>
      <c r="AP230" s="65" t="str">
        <f aca="false">IF($AO230="","",IF($AO230="Critical",3000,2000)-IF($Z230="",0,$Z230)+ROW()/100000)</f>
        <v/>
      </c>
      <c r="AQ230" s="65" t="str">
        <f aca="false">IF($AO230="","",IF($X230="Unmapped","Status '"&amp;$C230&amp;"' is not in the Config map",IF($V230="Y","Flagged in Jira",IF($AB230="Overdue",-$Z230&amp;" days past its "&amp;$X230&amp;" target",IF($AH230="Critical",$AI230,IF($AB230="At risk","Target in "&amp;$Z230&amp;" days",IF($AC230="Stale","No update in "&amp;$AA230&amp;" days","Past its "&amp;$AE230&amp;"-day tier window")))))))</f>
        <v/>
      </c>
      <c r="AR230" s="65" t="str">
        <f aca="false">IF($AO230="","","draft Jira update for "&amp;$A230)</f>
        <v/>
      </c>
      <c r="AS230" s="65" t="str">
        <f aca="false">IF($A230="","",HYPERLINK(JiraSite&amp;"/browse/"&amp;$A230,"open"))</f>
        <v/>
      </c>
      <c r="AT230" s="65" t="str">
        <f aca="false">IF($Y230="","",$Y230*1000+ROW())</f>
        <v/>
      </c>
      <c r="AU230" s="65" t="str">
        <f aca="false">IF(AND($A230&lt;&gt;"",$G230&gt;=WeekStart),$G230+ROW()/100000,"")</f>
        <v/>
      </c>
      <c r="AV230" s="65" t="str">
        <f aca="false">IF($A230="","",IF(OR(AND($S230&lt;&gt;"",$S230&gt;=WeekStart),AND($U230&lt;&gt;"",$U230&gt;=WeekStart)),MAX($S230,$U230)+ROW()/100000,""))</f>
        <v/>
      </c>
      <c r="AW230" s="65" t="str">
        <f aca="false">IF($AV230="","",IF($T230&lt;&gt;"",$T230,IF($X230="Closed","Closed","Accepted to "&amp;$X230)))</f>
        <v/>
      </c>
      <c r="AX230" s="65" t="str">
        <f aca="false">IF(AND($Y230&lt;&gt;"",$R230&lt;&gt;""),$AF230+ROW()/100000,"")</f>
        <v/>
      </c>
      <c r="AY230" s="65" t="str">
        <f aca="false">IF(AND($Y230&lt;&gt;"",OR($AB230="Overdue",AND($AH230="Critical",$R230&lt;&gt;""))),$AF230+ROW()/100000,"")</f>
        <v/>
      </c>
      <c r="AZ230" s="65" t="str">
        <f aca="false">IF($AH230="Critical",$AF230+ROW()/100000,"")</f>
        <v/>
      </c>
    </row>
    <row r="231" customFormat="false" ht="15" hidden="false" customHeight="false" outlineLevel="0" collapsed="false">
      <c r="A231" s="28"/>
      <c r="B231" s="28"/>
      <c r="C231" s="28"/>
      <c r="D231" s="28"/>
      <c r="E231" s="28"/>
      <c r="F231" s="28"/>
      <c r="G231" s="63"/>
      <c r="H231" s="63"/>
      <c r="I231" s="63"/>
      <c r="J231" s="28"/>
      <c r="K231" s="28"/>
      <c r="L231" s="28"/>
      <c r="M231" s="28"/>
      <c r="N231" s="28"/>
      <c r="O231" s="64"/>
      <c r="P231" s="64"/>
      <c r="Q231" s="64"/>
      <c r="R231" s="28"/>
      <c r="S231" s="63"/>
      <c r="T231" s="64"/>
      <c r="U231" s="63"/>
      <c r="V231" s="64"/>
      <c r="W231" s="28"/>
      <c r="X231" s="65" t="str">
        <f aca="false">IF($A231="","",IF(OR($T231&lt;&gt;"",$U231&lt;&gt;""),"Closed",IFERROR(INDEX(MapStage,MATCH($C231,MapStatus,0)),"Unmapped")))</f>
        <v/>
      </c>
      <c r="Y231" s="65" t="str">
        <f aca="false">IF(OR($X231="",$X231="Closed",$X231="Unmapped"),"",MATCH($X231,StageName,0))</f>
        <v/>
      </c>
      <c r="Z231" s="65" t="str">
        <f aca="false">IF(OR($Y231="",$I231=""),"",$I231-AsOf)</f>
        <v/>
      </c>
      <c r="AA231" s="65" t="str">
        <f aca="false">IF($A231="","",AsOf-$H231)</f>
        <v/>
      </c>
      <c r="AB231" s="65" t="str">
        <f aca="false">IF($A231="","",IF($X231="Closed","Closed",IF($X231="Unmapped","Unmapped",IF($I231="","No target",IF($Z231&lt;0,"Overdue",IF($Z231&lt;=INDEX(StageWindow,$Y231),"At risk","On track"))))))</f>
        <v/>
      </c>
      <c r="AC231" s="65" t="str">
        <f aca="false">IF($Y231="","",IF($AA231&gt;2*INDEX(StageStale,$Y231),"Stale",IF($AA231&gt;INDEX(StageStale,$Y231),"Aging","Fresh")))</f>
        <v/>
      </c>
      <c r="AD231" s="65" t="str">
        <f aca="false">IF($A231="","",IF(OR(ISNUMBER(SEARCH("Reg report",$J231)),ISNUMBER(SEARCH("No human review",$J231)),COUNTIF(TierFuncs,$D231)&gt;0),"High",IF(OR(TRIM($J231)&lt;&gt;"",ISNUMBER(SEARCH("revenue",$K231))),"Medium","Low")))</f>
        <v/>
      </c>
      <c r="AE231" s="65" t="str">
        <f aca="false">IF($A231="","",INDEX(TierDays,MATCH($AD231,TierName,0)))</f>
        <v/>
      </c>
      <c r="AF231" s="65" t="str">
        <f aca="false">IF($A231="","",AsOf-$G231)</f>
        <v/>
      </c>
      <c r="AG231" s="65" t="str">
        <f aca="false">IF($Y231="","",IF($Y231&lt;=5,IF($AF231&gt;$AE231,"Over","Inside"),"Past approval"))</f>
        <v/>
      </c>
      <c r="AH231" s="65" t="str">
        <f aca="false">IF($Y231="","",CHOOSE($Y231,IF(OR(TRIM($F231)="",ISNUMBER(SEARCH("not named",$F231))),"Critical","Good"),IF($O231&lt;&gt;"Y","Critical",IF($Q231&lt;&gt;"Y","Warning","Good")),IF($P231="","Critical",IF($P231="partial","Warning",IF($P231="ready","Good","Critical"))),IF($R231&lt;&gt;"","Critical","Warning"),IF($L231="","Critical",IF($N231="","Warning","Good")),IF($R231&lt;&gt;"","Critical","Warning"),IF($R231&lt;&gt;"","Critical","Warning"),IF($Q231="Y","Good","Critical")))</f>
        <v/>
      </c>
      <c r="AI231" s="65" t="str">
        <f aca="false">IF($Y231="","",CHOOSE($Y231,IF(OR(TRIM($F231)="",ISNUMBER(SEARCH("not named",$F231))),"Name a sponsor accountable for the value",""),IF($O231&lt;&gt;"Y","State the success metric and the stop condition",IF($Q231&lt;&gt;"Y","Set the baseline the benefit will be measured against","")),IF($P231="","Assess data readiness and regulatory impact",IF($P231="partial","Close the known data gaps",IF($P231="ready","","Data is not available; reshape or park"))),IF($R231&lt;&gt;"",IF(OR(ISNUMBER(SEARCH("mrm",$R231)),ISNUMBER(SEARCH("model",$R231)),ISNUMBER(SEARCH("risk",$R231)),ISNUMBER(SEARCH("legal",$R231)),ISNUMBER(SEARCH("complian",$R231))),"Awaiting ","Held at the design gate: ")&amp;$R231,"Map the governance framework for its tier"),IF($L231="","Size the annual benefit",IF($N231="","Score it so it can be ranked against capacity","")),IF($R231&lt;&gt;"","Build held: "&amp;$R231,"In build, not yet through test"),IF($R231&lt;&gt;"","Not ready to scale: "&amp;$R231,"Monitoring and third-party review not yet signed off"),IF($Q231="Y","","Live without a measured baseline to judge it against")))</f>
        <v/>
      </c>
      <c r="AJ231" s="65" t="str">
        <f aca="false">IF($Y231="","",INDEX(StageForum,$Y231))</f>
        <v/>
      </c>
      <c r="AK231" s="65" t="str">
        <f aca="false">IF($Y231="","",IF(OR($X231="Delivery",$X231="Value"),"Committed",IF($N231&lt;&gt;"","Candidate","")))</f>
        <v/>
      </c>
      <c r="AL231" s="65" t="str">
        <f aca="false">IF($AK231&lt;&gt;"Candidate","",COUNTIFS($AK$2:$AK$501,"Candidate",$N$2:$N$501,"&gt;"&amp;$N231)+COUNTIFS($AK$2:$AK$501,"Candidate",$N$2:$N$501,$N231,$A$2:$A$501,"&lt;"&amp;$A231)+1)</f>
        <v/>
      </c>
      <c r="AM231" s="65" t="str">
        <f aca="false">IF($AL231="","",SUMIFS($M$2:$M$501,$AK$2:$AK$501,"Candidate",$AL$2:$AL$501,"&lt;="&amp;$AL231))</f>
        <v/>
      </c>
      <c r="AN231" s="65" t="str">
        <f aca="false">IF($AL231="","",IF($AM231&lt;=CapacityOpen,"Fits","Below line"))</f>
        <v/>
      </c>
      <c r="AO231" s="65" t="str">
        <f aca="false">IF($A231="","",IF($X231="Closed","",IF($X231="Unmapped","Warning",IF(OR($AB231="Overdue",$V231="Y",$AH231="Critical"),"Critical",IF(OR($AB231="At risk",$AC231="Stale",$AG231="Over"),"Warning","")))))</f>
        <v/>
      </c>
      <c r="AP231" s="65" t="str">
        <f aca="false">IF($AO231="","",IF($AO231="Critical",3000,2000)-IF($Z231="",0,$Z231)+ROW()/100000)</f>
        <v/>
      </c>
      <c r="AQ231" s="65" t="str">
        <f aca="false">IF($AO231="","",IF($X231="Unmapped","Status '"&amp;$C231&amp;"' is not in the Config map",IF($V231="Y","Flagged in Jira",IF($AB231="Overdue",-$Z231&amp;" days past its "&amp;$X231&amp;" target",IF($AH231="Critical",$AI231,IF($AB231="At risk","Target in "&amp;$Z231&amp;" days",IF($AC231="Stale","No update in "&amp;$AA231&amp;" days","Past its "&amp;$AE231&amp;"-day tier window")))))))</f>
        <v/>
      </c>
      <c r="AR231" s="65" t="str">
        <f aca="false">IF($AO231="","","draft Jira update for "&amp;$A231)</f>
        <v/>
      </c>
      <c r="AS231" s="65" t="str">
        <f aca="false">IF($A231="","",HYPERLINK(JiraSite&amp;"/browse/"&amp;$A231,"open"))</f>
        <v/>
      </c>
      <c r="AT231" s="65" t="str">
        <f aca="false">IF($Y231="","",$Y231*1000+ROW())</f>
        <v/>
      </c>
      <c r="AU231" s="65" t="str">
        <f aca="false">IF(AND($A231&lt;&gt;"",$G231&gt;=WeekStart),$G231+ROW()/100000,"")</f>
        <v/>
      </c>
      <c r="AV231" s="65" t="str">
        <f aca="false">IF($A231="","",IF(OR(AND($S231&lt;&gt;"",$S231&gt;=WeekStart),AND($U231&lt;&gt;"",$U231&gt;=WeekStart)),MAX($S231,$U231)+ROW()/100000,""))</f>
        <v/>
      </c>
      <c r="AW231" s="65" t="str">
        <f aca="false">IF($AV231="","",IF($T231&lt;&gt;"",$T231,IF($X231="Closed","Closed","Accepted to "&amp;$X231)))</f>
        <v/>
      </c>
      <c r="AX231" s="65" t="str">
        <f aca="false">IF(AND($Y231&lt;&gt;"",$R231&lt;&gt;""),$AF231+ROW()/100000,"")</f>
        <v/>
      </c>
      <c r="AY231" s="65" t="str">
        <f aca="false">IF(AND($Y231&lt;&gt;"",OR($AB231="Overdue",AND($AH231="Critical",$R231&lt;&gt;""))),$AF231+ROW()/100000,"")</f>
        <v/>
      </c>
      <c r="AZ231" s="65" t="str">
        <f aca="false">IF($AH231="Critical",$AF231+ROW()/100000,"")</f>
        <v/>
      </c>
    </row>
    <row r="232" customFormat="false" ht="15" hidden="false" customHeight="false" outlineLevel="0" collapsed="false">
      <c r="A232" s="28"/>
      <c r="B232" s="28"/>
      <c r="C232" s="28"/>
      <c r="D232" s="28"/>
      <c r="E232" s="28"/>
      <c r="F232" s="28"/>
      <c r="G232" s="63"/>
      <c r="H232" s="63"/>
      <c r="I232" s="63"/>
      <c r="J232" s="28"/>
      <c r="K232" s="28"/>
      <c r="L232" s="28"/>
      <c r="M232" s="28"/>
      <c r="N232" s="28"/>
      <c r="O232" s="64"/>
      <c r="P232" s="64"/>
      <c r="Q232" s="64"/>
      <c r="R232" s="28"/>
      <c r="S232" s="63"/>
      <c r="T232" s="64"/>
      <c r="U232" s="63"/>
      <c r="V232" s="64"/>
      <c r="W232" s="28"/>
      <c r="X232" s="65" t="str">
        <f aca="false">IF($A232="","",IF(OR($T232&lt;&gt;"",$U232&lt;&gt;""),"Closed",IFERROR(INDEX(MapStage,MATCH($C232,MapStatus,0)),"Unmapped")))</f>
        <v/>
      </c>
      <c r="Y232" s="65" t="str">
        <f aca="false">IF(OR($X232="",$X232="Closed",$X232="Unmapped"),"",MATCH($X232,StageName,0))</f>
        <v/>
      </c>
      <c r="Z232" s="65" t="str">
        <f aca="false">IF(OR($Y232="",$I232=""),"",$I232-AsOf)</f>
        <v/>
      </c>
      <c r="AA232" s="65" t="str">
        <f aca="false">IF($A232="","",AsOf-$H232)</f>
        <v/>
      </c>
      <c r="AB232" s="65" t="str">
        <f aca="false">IF($A232="","",IF($X232="Closed","Closed",IF($X232="Unmapped","Unmapped",IF($I232="","No target",IF($Z232&lt;0,"Overdue",IF($Z232&lt;=INDEX(StageWindow,$Y232),"At risk","On track"))))))</f>
        <v/>
      </c>
      <c r="AC232" s="65" t="str">
        <f aca="false">IF($Y232="","",IF($AA232&gt;2*INDEX(StageStale,$Y232),"Stale",IF($AA232&gt;INDEX(StageStale,$Y232),"Aging","Fresh")))</f>
        <v/>
      </c>
      <c r="AD232" s="65" t="str">
        <f aca="false">IF($A232="","",IF(OR(ISNUMBER(SEARCH("Reg report",$J232)),ISNUMBER(SEARCH("No human review",$J232)),COUNTIF(TierFuncs,$D232)&gt;0),"High",IF(OR(TRIM($J232)&lt;&gt;"",ISNUMBER(SEARCH("revenue",$K232))),"Medium","Low")))</f>
        <v/>
      </c>
      <c r="AE232" s="65" t="str">
        <f aca="false">IF($A232="","",INDEX(TierDays,MATCH($AD232,TierName,0)))</f>
        <v/>
      </c>
      <c r="AF232" s="65" t="str">
        <f aca="false">IF($A232="","",AsOf-$G232)</f>
        <v/>
      </c>
      <c r="AG232" s="65" t="str">
        <f aca="false">IF($Y232="","",IF($Y232&lt;=5,IF($AF232&gt;$AE232,"Over","Inside"),"Past approval"))</f>
        <v/>
      </c>
      <c r="AH232" s="65" t="str">
        <f aca="false">IF($Y232="","",CHOOSE($Y232,IF(OR(TRIM($F232)="",ISNUMBER(SEARCH("not named",$F232))),"Critical","Good"),IF($O232&lt;&gt;"Y","Critical",IF($Q232&lt;&gt;"Y","Warning","Good")),IF($P232="","Critical",IF($P232="partial","Warning",IF($P232="ready","Good","Critical"))),IF($R232&lt;&gt;"","Critical","Warning"),IF($L232="","Critical",IF($N232="","Warning","Good")),IF($R232&lt;&gt;"","Critical","Warning"),IF($R232&lt;&gt;"","Critical","Warning"),IF($Q232="Y","Good","Critical")))</f>
        <v/>
      </c>
      <c r="AI232" s="65" t="str">
        <f aca="false">IF($Y232="","",CHOOSE($Y232,IF(OR(TRIM($F232)="",ISNUMBER(SEARCH("not named",$F232))),"Name a sponsor accountable for the value",""),IF($O232&lt;&gt;"Y","State the success metric and the stop condition",IF($Q232&lt;&gt;"Y","Set the baseline the benefit will be measured against","")),IF($P232="","Assess data readiness and regulatory impact",IF($P232="partial","Close the known data gaps",IF($P232="ready","","Data is not available; reshape or park"))),IF($R232&lt;&gt;"",IF(OR(ISNUMBER(SEARCH("mrm",$R232)),ISNUMBER(SEARCH("model",$R232)),ISNUMBER(SEARCH("risk",$R232)),ISNUMBER(SEARCH("legal",$R232)),ISNUMBER(SEARCH("complian",$R232))),"Awaiting ","Held at the design gate: ")&amp;$R232,"Map the governance framework for its tier"),IF($L232="","Size the annual benefit",IF($N232="","Score it so it can be ranked against capacity","")),IF($R232&lt;&gt;"","Build held: "&amp;$R232,"In build, not yet through test"),IF($R232&lt;&gt;"","Not ready to scale: "&amp;$R232,"Monitoring and third-party review not yet signed off"),IF($Q232="Y","","Live without a measured baseline to judge it against")))</f>
        <v/>
      </c>
      <c r="AJ232" s="65" t="str">
        <f aca="false">IF($Y232="","",INDEX(StageForum,$Y232))</f>
        <v/>
      </c>
      <c r="AK232" s="65" t="str">
        <f aca="false">IF($Y232="","",IF(OR($X232="Delivery",$X232="Value"),"Committed",IF($N232&lt;&gt;"","Candidate","")))</f>
        <v/>
      </c>
      <c r="AL232" s="65" t="str">
        <f aca="false">IF($AK232&lt;&gt;"Candidate","",COUNTIFS($AK$2:$AK$501,"Candidate",$N$2:$N$501,"&gt;"&amp;$N232)+COUNTIFS($AK$2:$AK$501,"Candidate",$N$2:$N$501,$N232,$A$2:$A$501,"&lt;"&amp;$A232)+1)</f>
        <v/>
      </c>
      <c r="AM232" s="65" t="str">
        <f aca="false">IF($AL232="","",SUMIFS($M$2:$M$501,$AK$2:$AK$501,"Candidate",$AL$2:$AL$501,"&lt;="&amp;$AL232))</f>
        <v/>
      </c>
      <c r="AN232" s="65" t="str">
        <f aca="false">IF($AL232="","",IF($AM232&lt;=CapacityOpen,"Fits","Below line"))</f>
        <v/>
      </c>
      <c r="AO232" s="65" t="str">
        <f aca="false">IF($A232="","",IF($X232="Closed","",IF($X232="Unmapped","Warning",IF(OR($AB232="Overdue",$V232="Y",$AH232="Critical"),"Critical",IF(OR($AB232="At risk",$AC232="Stale",$AG232="Over"),"Warning","")))))</f>
        <v/>
      </c>
      <c r="AP232" s="65" t="str">
        <f aca="false">IF($AO232="","",IF($AO232="Critical",3000,2000)-IF($Z232="",0,$Z232)+ROW()/100000)</f>
        <v/>
      </c>
      <c r="AQ232" s="65" t="str">
        <f aca="false">IF($AO232="","",IF($X232="Unmapped","Status '"&amp;$C232&amp;"' is not in the Config map",IF($V232="Y","Flagged in Jira",IF($AB232="Overdue",-$Z232&amp;" days past its "&amp;$X232&amp;" target",IF($AH232="Critical",$AI232,IF($AB232="At risk","Target in "&amp;$Z232&amp;" days",IF($AC232="Stale","No update in "&amp;$AA232&amp;" days","Past its "&amp;$AE232&amp;"-day tier window")))))))</f>
        <v/>
      </c>
      <c r="AR232" s="65" t="str">
        <f aca="false">IF($AO232="","","draft Jira update for "&amp;$A232)</f>
        <v/>
      </c>
      <c r="AS232" s="65" t="str">
        <f aca="false">IF($A232="","",HYPERLINK(JiraSite&amp;"/browse/"&amp;$A232,"open"))</f>
        <v/>
      </c>
      <c r="AT232" s="65" t="str">
        <f aca="false">IF($Y232="","",$Y232*1000+ROW())</f>
        <v/>
      </c>
      <c r="AU232" s="65" t="str">
        <f aca="false">IF(AND($A232&lt;&gt;"",$G232&gt;=WeekStart),$G232+ROW()/100000,"")</f>
        <v/>
      </c>
      <c r="AV232" s="65" t="str">
        <f aca="false">IF($A232="","",IF(OR(AND($S232&lt;&gt;"",$S232&gt;=WeekStart),AND($U232&lt;&gt;"",$U232&gt;=WeekStart)),MAX($S232,$U232)+ROW()/100000,""))</f>
        <v/>
      </c>
      <c r="AW232" s="65" t="str">
        <f aca="false">IF($AV232="","",IF($T232&lt;&gt;"",$T232,IF($X232="Closed","Closed","Accepted to "&amp;$X232)))</f>
        <v/>
      </c>
      <c r="AX232" s="65" t="str">
        <f aca="false">IF(AND($Y232&lt;&gt;"",$R232&lt;&gt;""),$AF232+ROW()/100000,"")</f>
        <v/>
      </c>
      <c r="AY232" s="65" t="str">
        <f aca="false">IF(AND($Y232&lt;&gt;"",OR($AB232="Overdue",AND($AH232="Critical",$R232&lt;&gt;""))),$AF232+ROW()/100000,"")</f>
        <v/>
      </c>
      <c r="AZ232" s="65" t="str">
        <f aca="false">IF($AH232="Critical",$AF232+ROW()/100000,"")</f>
        <v/>
      </c>
    </row>
    <row r="233" customFormat="false" ht="15" hidden="false" customHeight="false" outlineLevel="0" collapsed="false">
      <c r="A233" s="28"/>
      <c r="B233" s="28"/>
      <c r="C233" s="28"/>
      <c r="D233" s="28"/>
      <c r="E233" s="28"/>
      <c r="F233" s="28"/>
      <c r="G233" s="63"/>
      <c r="H233" s="63"/>
      <c r="I233" s="63"/>
      <c r="J233" s="28"/>
      <c r="K233" s="28"/>
      <c r="L233" s="28"/>
      <c r="M233" s="28"/>
      <c r="N233" s="28"/>
      <c r="O233" s="64"/>
      <c r="P233" s="64"/>
      <c r="Q233" s="64"/>
      <c r="R233" s="28"/>
      <c r="S233" s="63"/>
      <c r="T233" s="64"/>
      <c r="U233" s="63"/>
      <c r="V233" s="64"/>
      <c r="W233" s="28"/>
      <c r="X233" s="65" t="str">
        <f aca="false">IF($A233="","",IF(OR($T233&lt;&gt;"",$U233&lt;&gt;""),"Closed",IFERROR(INDEX(MapStage,MATCH($C233,MapStatus,0)),"Unmapped")))</f>
        <v/>
      </c>
      <c r="Y233" s="65" t="str">
        <f aca="false">IF(OR($X233="",$X233="Closed",$X233="Unmapped"),"",MATCH($X233,StageName,0))</f>
        <v/>
      </c>
      <c r="Z233" s="65" t="str">
        <f aca="false">IF(OR($Y233="",$I233=""),"",$I233-AsOf)</f>
        <v/>
      </c>
      <c r="AA233" s="65" t="str">
        <f aca="false">IF($A233="","",AsOf-$H233)</f>
        <v/>
      </c>
      <c r="AB233" s="65" t="str">
        <f aca="false">IF($A233="","",IF($X233="Closed","Closed",IF($X233="Unmapped","Unmapped",IF($I233="","No target",IF($Z233&lt;0,"Overdue",IF($Z233&lt;=INDEX(StageWindow,$Y233),"At risk","On track"))))))</f>
        <v/>
      </c>
      <c r="AC233" s="65" t="str">
        <f aca="false">IF($Y233="","",IF($AA233&gt;2*INDEX(StageStale,$Y233),"Stale",IF($AA233&gt;INDEX(StageStale,$Y233),"Aging","Fresh")))</f>
        <v/>
      </c>
      <c r="AD233" s="65" t="str">
        <f aca="false">IF($A233="","",IF(OR(ISNUMBER(SEARCH("Reg report",$J233)),ISNUMBER(SEARCH("No human review",$J233)),COUNTIF(TierFuncs,$D233)&gt;0),"High",IF(OR(TRIM($J233)&lt;&gt;"",ISNUMBER(SEARCH("revenue",$K233))),"Medium","Low")))</f>
        <v/>
      </c>
      <c r="AE233" s="65" t="str">
        <f aca="false">IF($A233="","",INDEX(TierDays,MATCH($AD233,TierName,0)))</f>
        <v/>
      </c>
      <c r="AF233" s="65" t="str">
        <f aca="false">IF($A233="","",AsOf-$G233)</f>
        <v/>
      </c>
      <c r="AG233" s="65" t="str">
        <f aca="false">IF($Y233="","",IF($Y233&lt;=5,IF($AF233&gt;$AE233,"Over","Inside"),"Past approval"))</f>
        <v/>
      </c>
      <c r="AH233" s="65" t="str">
        <f aca="false">IF($Y233="","",CHOOSE($Y233,IF(OR(TRIM($F233)="",ISNUMBER(SEARCH("not named",$F233))),"Critical","Good"),IF($O233&lt;&gt;"Y","Critical",IF($Q233&lt;&gt;"Y","Warning","Good")),IF($P233="","Critical",IF($P233="partial","Warning",IF($P233="ready","Good","Critical"))),IF($R233&lt;&gt;"","Critical","Warning"),IF($L233="","Critical",IF($N233="","Warning","Good")),IF($R233&lt;&gt;"","Critical","Warning"),IF($R233&lt;&gt;"","Critical","Warning"),IF($Q233="Y","Good","Critical")))</f>
        <v/>
      </c>
      <c r="AI233" s="65" t="str">
        <f aca="false">IF($Y233="","",CHOOSE($Y233,IF(OR(TRIM($F233)="",ISNUMBER(SEARCH("not named",$F233))),"Name a sponsor accountable for the value",""),IF($O233&lt;&gt;"Y","State the success metric and the stop condition",IF($Q233&lt;&gt;"Y","Set the baseline the benefit will be measured against","")),IF($P233="","Assess data readiness and regulatory impact",IF($P233="partial","Close the known data gaps",IF($P233="ready","","Data is not available; reshape or park"))),IF($R233&lt;&gt;"",IF(OR(ISNUMBER(SEARCH("mrm",$R233)),ISNUMBER(SEARCH("model",$R233)),ISNUMBER(SEARCH("risk",$R233)),ISNUMBER(SEARCH("legal",$R233)),ISNUMBER(SEARCH("complian",$R233))),"Awaiting ","Held at the design gate: ")&amp;$R233,"Map the governance framework for its tier"),IF($L233="","Size the annual benefit",IF($N233="","Score it so it can be ranked against capacity","")),IF($R233&lt;&gt;"","Build held: "&amp;$R233,"In build, not yet through test"),IF($R233&lt;&gt;"","Not ready to scale: "&amp;$R233,"Monitoring and third-party review not yet signed off"),IF($Q233="Y","","Live without a measured baseline to judge it against")))</f>
        <v/>
      </c>
      <c r="AJ233" s="65" t="str">
        <f aca="false">IF($Y233="","",INDEX(StageForum,$Y233))</f>
        <v/>
      </c>
      <c r="AK233" s="65" t="str">
        <f aca="false">IF($Y233="","",IF(OR($X233="Delivery",$X233="Value"),"Committed",IF($N233&lt;&gt;"","Candidate","")))</f>
        <v/>
      </c>
      <c r="AL233" s="65" t="str">
        <f aca="false">IF($AK233&lt;&gt;"Candidate","",COUNTIFS($AK$2:$AK$501,"Candidate",$N$2:$N$501,"&gt;"&amp;$N233)+COUNTIFS($AK$2:$AK$501,"Candidate",$N$2:$N$501,$N233,$A$2:$A$501,"&lt;"&amp;$A233)+1)</f>
        <v/>
      </c>
      <c r="AM233" s="65" t="str">
        <f aca="false">IF($AL233="","",SUMIFS($M$2:$M$501,$AK$2:$AK$501,"Candidate",$AL$2:$AL$501,"&lt;="&amp;$AL233))</f>
        <v/>
      </c>
      <c r="AN233" s="65" t="str">
        <f aca="false">IF($AL233="","",IF($AM233&lt;=CapacityOpen,"Fits","Below line"))</f>
        <v/>
      </c>
      <c r="AO233" s="65" t="str">
        <f aca="false">IF($A233="","",IF($X233="Closed","",IF($X233="Unmapped","Warning",IF(OR($AB233="Overdue",$V233="Y",$AH233="Critical"),"Critical",IF(OR($AB233="At risk",$AC233="Stale",$AG233="Over"),"Warning","")))))</f>
        <v/>
      </c>
      <c r="AP233" s="65" t="str">
        <f aca="false">IF($AO233="","",IF($AO233="Critical",3000,2000)-IF($Z233="",0,$Z233)+ROW()/100000)</f>
        <v/>
      </c>
      <c r="AQ233" s="65" t="str">
        <f aca="false">IF($AO233="","",IF($X233="Unmapped","Status '"&amp;$C233&amp;"' is not in the Config map",IF($V233="Y","Flagged in Jira",IF($AB233="Overdue",-$Z233&amp;" days past its "&amp;$X233&amp;" target",IF($AH233="Critical",$AI233,IF($AB233="At risk","Target in "&amp;$Z233&amp;" days",IF($AC233="Stale","No update in "&amp;$AA233&amp;" days","Past its "&amp;$AE233&amp;"-day tier window")))))))</f>
        <v/>
      </c>
      <c r="AR233" s="65" t="str">
        <f aca="false">IF($AO233="","","draft Jira update for "&amp;$A233)</f>
        <v/>
      </c>
      <c r="AS233" s="65" t="str">
        <f aca="false">IF($A233="","",HYPERLINK(JiraSite&amp;"/browse/"&amp;$A233,"open"))</f>
        <v/>
      </c>
      <c r="AT233" s="65" t="str">
        <f aca="false">IF($Y233="","",$Y233*1000+ROW())</f>
        <v/>
      </c>
      <c r="AU233" s="65" t="str">
        <f aca="false">IF(AND($A233&lt;&gt;"",$G233&gt;=WeekStart),$G233+ROW()/100000,"")</f>
        <v/>
      </c>
      <c r="AV233" s="65" t="str">
        <f aca="false">IF($A233="","",IF(OR(AND($S233&lt;&gt;"",$S233&gt;=WeekStart),AND($U233&lt;&gt;"",$U233&gt;=WeekStart)),MAX($S233,$U233)+ROW()/100000,""))</f>
        <v/>
      </c>
      <c r="AW233" s="65" t="str">
        <f aca="false">IF($AV233="","",IF($T233&lt;&gt;"",$T233,IF($X233="Closed","Closed","Accepted to "&amp;$X233)))</f>
        <v/>
      </c>
      <c r="AX233" s="65" t="str">
        <f aca="false">IF(AND($Y233&lt;&gt;"",$R233&lt;&gt;""),$AF233+ROW()/100000,"")</f>
        <v/>
      </c>
      <c r="AY233" s="65" t="str">
        <f aca="false">IF(AND($Y233&lt;&gt;"",OR($AB233="Overdue",AND($AH233="Critical",$R233&lt;&gt;""))),$AF233+ROW()/100000,"")</f>
        <v/>
      </c>
      <c r="AZ233" s="65" t="str">
        <f aca="false">IF($AH233="Critical",$AF233+ROW()/100000,"")</f>
        <v/>
      </c>
    </row>
    <row r="234" customFormat="false" ht="15" hidden="false" customHeight="false" outlineLevel="0" collapsed="false">
      <c r="A234" s="28"/>
      <c r="B234" s="28"/>
      <c r="C234" s="28"/>
      <c r="D234" s="28"/>
      <c r="E234" s="28"/>
      <c r="F234" s="28"/>
      <c r="G234" s="63"/>
      <c r="H234" s="63"/>
      <c r="I234" s="63"/>
      <c r="J234" s="28"/>
      <c r="K234" s="28"/>
      <c r="L234" s="28"/>
      <c r="M234" s="28"/>
      <c r="N234" s="28"/>
      <c r="O234" s="64"/>
      <c r="P234" s="64"/>
      <c r="Q234" s="64"/>
      <c r="R234" s="28"/>
      <c r="S234" s="63"/>
      <c r="T234" s="64"/>
      <c r="U234" s="63"/>
      <c r="V234" s="64"/>
      <c r="W234" s="28"/>
      <c r="X234" s="65" t="str">
        <f aca="false">IF($A234="","",IF(OR($T234&lt;&gt;"",$U234&lt;&gt;""),"Closed",IFERROR(INDEX(MapStage,MATCH($C234,MapStatus,0)),"Unmapped")))</f>
        <v/>
      </c>
      <c r="Y234" s="65" t="str">
        <f aca="false">IF(OR($X234="",$X234="Closed",$X234="Unmapped"),"",MATCH($X234,StageName,0))</f>
        <v/>
      </c>
      <c r="Z234" s="65" t="str">
        <f aca="false">IF(OR($Y234="",$I234=""),"",$I234-AsOf)</f>
        <v/>
      </c>
      <c r="AA234" s="65" t="str">
        <f aca="false">IF($A234="","",AsOf-$H234)</f>
        <v/>
      </c>
      <c r="AB234" s="65" t="str">
        <f aca="false">IF($A234="","",IF($X234="Closed","Closed",IF($X234="Unmapped","Unmapped",IF($I234="","No target",IF($Z234&lt;0,"Overdue",IF($Z234&lt;=INDEX(StageWindow,$Y234),"At risk","On track"))))))</f>
        <v/>
      </c>
      <c r="AC234" s="65" t="str">
        <f aca="false">IF($Y234="","",IF($AA234&gt;2*INDEX(StageStale,$Y234),"Stale",IF($AA234&gt;INDEX(StageStale,$Y234),"Aging","Fresh")))</f>
        <v/>
      </c>
      <c r="AD234" s="65" t="str">
        <f aca="false">IF($A234="","",IF(OR(ISNUMBER(SEARCH("Reg report",$J234)),ISNUMBER(SEARCH("No human review",$J234)),COUNTIF(TierFuncs,$D234)&gt;0),"High",IF(OR(TRIM($J234)&lt;&gt;"",ISNUMBER(SEARCH("revenue",$K234))),"Medium","Low")))</f>
        <v/>
      </c>
      <c r="AE234" s="65" t="str">
        <f aca="false">IF($A234="","",INDEX(TierDays,MATCH($AD234,TierName,0)))</f>
        <v/>
      </c>
      <c r="AF234" s="65" t="str">
        <f aca="false">IF($A234="","",AsOf-$G234)</f>
        <v/>
      </c>
      <c r="AG234" s="65" t="str">
        <f aca="false">IF($Y234="","",IF($Y234&lt;=5,IF($AF234&gt;$AE234,"Over","Inside"),"Past approval"))</f>
        <v/>
      </c>
      <c r="AH234" s="65" t="str">
        <f aca="false">IF($Y234="","",CHOOSE($Y234,IF(OR(TRIM($F234)="",ISNUMBER(SEARCH("not named",$F234))),"Critical","Good"),IF($O234&lt;&gt;"Y","Critical",IF($Q234&lt;&gt;"Y","Warning","Good")),IF($P234="","Critical",IF($P234="partial","Warning",IF($P234="ready","Good","Critical"))),IF($R234&lt;&gt;"","Critical","Warning"),IF($L234="","Critical",IF($N234="","Warning","Good")),IF($R234&lt;&gt;"","Critical","Warning"),IF($R234&lt;&gt;"","Critical","Warning"),IF($Q234="Y","Good","Critical")))</f>
        <v/>
      </c>
      <c r="AI234" s="65" t="str">
        <f aca="false">IF($Y234="","",CHOOSE($Y234,IF(OR(TRIM($F234)="",ISNUMBER(SEARCH("not named",$F234))),"Name a sponsor accountable for the value",""),IF($O234&lt;&gt;"Y","State the success metric and the stop condition",IF($Q234&lt;&gt;"Y","Set the baseline the benefit will be measured against","")),IF($P234="","Assess data readiness and regulatory impact",IF($P234="partial","Close the known data gaps",IF($P234="ready","","Data is not available; reshape or park"))),IF($R234&lt;&gt;"",IF(OR(ISNUMBER(SEARCH("mrm",$R234)),ISNUMBER(SEARCH("model",$R234)),ISNUMBER(SEARCH("risk",$R234)),ISNUMBER(SEARCH("legal",$R234)),ISNUMBER(SEARCH("complian",$R234))),"Awaiting ","Held at the design gate: ")&amp;$R234,"Map the governance framework for its tier"),IF($L234="","Size the annual benefit",IF($N234="","Score it so it can be ranked against capacity","")),IF($R234&lt;&gt;"","Build held: "&amp;$R234,"In build, not yet through test"),IF($R234&lt;&gt;"","Not ready to scale: "&amp;$R234,"Monitoring and third-party review not yet signed off"),IF($Q234="Y","","Live without a measured baseline to judge it against")))</f>
        <v/>
      </c>
      <c r="AJ234" s="65" t="str">
        <f aca="false">IF($Y234="","",INDEX(StageForum,$Y234))</f>
        <v/>
      </c>
      <c r="AK234" s="65" t="str">
        <f aca="false">IF($Y234="","",IF(OR($X234="Delivery",$X234="Value"),"Committed",IF($N234&lt;&gt;"","Candidate","")))</f>
        <v/>
      </c>
      <c r="AL234" s="65" t="str">
        <f aca="false">IF($AK234&lt;&gt;"Candidate","",COUNTIFS($AK$2:$AK$501,"Candidate",$N$2:$N$501,"&gt;"&amp;$N234)+COUNTIFS($AK$2:$AK$501,"Candidate",$N$2:$N$501,$N234,$A$2:$A$501,"&lt;"&amp;$A234)+1)</f>
        <v/>
      </c>
      <c r="AM234" s="65" t="str">
        <f aca="false">IF($AL234="","",SUMIFS($M$2:$M$501,$AK$2:$AK$501,"Candidate",$AL$2:$AL$501,"&lt;="&amp;$AL234))</f>
        <v/>
      </c>
      <c r="AN234" s="65" t="str">
        <f aca="false">IF($AL234="","",IF($AM234&lt;=CapacityOpen,"Fits","Below line"))</f>
        <v/>
      </c>
      <c r="AO234" s="65" t="str">
        <f aca="false">IF($A234="","",IF($X234="Closed","",IF($X234="Unmapped","Warning",IF(OR($AB234="Overdue",$V234="Y",$AH234="Critical"),"Critical",IF(OR($AB234="At risk",$AC234="Stale",$AG234="Over"),"Warning","")))))</f>
        <v/>
      </c>
      <c r="AP234" s="65" t="str">
        <f aca="false">IF($AO234="","",IF($AO234="Critical",3000,2000)-IF($Z234="",0,$Z234)+ROW()/100000)</f>
        <v/>
      </c>
      <c r="AQ234" s="65" t="str">
        <f aca="false">IF($AO234="","",IF($X234="Unmapped","Status '"&amp;$C234&amp;"' is not in the Config map",IF($V234="Y","Flagged in Jira",IF($AB234="Overdue",-$Z234&amp;" days past its "&amp;$X234&amp;" target",IF($AH234="Critical",$AI234,IF($AB234="At risk","Target in "&amp;$Z234&amp;" days",IF($AC234="Stale","No update in "&amp;$AA234&amp;" days","Past its "&amp;$AE234&amp;"-day tier window")))))))</f>
        <v/>
      </c>
      <c r="AR234" s="65" t="str">
        <f aca="false">IF($AO234="","","draft Jira update for "&amp;$A234)</f>
        <v/>
      </c>
      <c r="AS234" s="65" t="str">
        <f aca="false">IF($A234="","",HYPERLINK(JiraSite&amp;"/browse/"&amp;$A234,"open"))</f>
        <v/>
      </c>
      <c r="AT234" s="65" t="str">
        <f aca="false">IF($Y234="","",$Y234*1000+ROW())</f>
        <v/>
      </c>
      <c r="AU234" s="65" t="str">
        <f aca="false">IF(AND($A234&lt;&gt;"",$G234&gt;=WeekStart),$G234+ROW()/100000,"")</f>
        <v/>
      </c>
      <c r="AV234" s="65" t="str">
        <f aca="false">IF($A234="","",IF(OR(AND($S234&lt;&gt;"",$S234&gt;=WeekStart),AND($U234&lt;&gt;"",$U234&gt;=WeekStart)),MAX($S234,$U234)+ROW()/100000,""))</f>
        <v/>
      </c>
      <c r="AW234" s="65" t="str">
        <f aca="false">IF($AV234="","",IF($T234&lt;&gt;"",$T234,IF($X234="Closed","Closed","Accepted to "&amp;$X234)))</f>
        <v/>
      </c>
      <c r="AX234" s="65" t="str">
        <f aca="false">IF(AND($Y234&lt;&gt;"",$R234&lt;&gt;""),$AF234+ROW()/100000,"")</f>
        <v/>
      </c>
      <c r="AY234" s="65" t="str">
        <f aca="false">IF(AND($Y234&lt;&gt;"",OR($AB234="Overdue",AND($AH234="Critical",$R234&lt;&gt;""))),$AF234+ROW()/100000,"")</f>
        <v/>
      </c>
      <c r="AZ234" s="65" t="str">
        <f aca="false">IF($AH234="Critical",$AF234+ROW()/100000,"")</f>
        <v/>
      </c>
    </row>
    <row r="235" customFormat="false" ht="15" hidden="false" customHeight="false" outlineLevel="0" collapsed="false">
      <c r="A235" s="28"/>
      <c r="B235" s="28"/>
      <c r="C235" s="28"/>
      <c r="D235" s="28"/>
      <c r="E235" s="28"/>
      <c r="F235" s="28"/>
      <c r="G235" s="63"/>
      <c r="H235" s="63"/>
      <c r="I235" s="63"/>
      <c r="J235" s="28"/>
      <c r="K235" s="28"/>
      <c r="L235" s="28"/>
      <c r="M235" s="28"/>
      <c r="N235" s="28"/>
      <c r="O235" s="64"/>
      <c r="P235" s="64"/>
      <c r="Q235" s="64"/>
      <c r="R235" s="28"/>
      <c r="S235" s="63"/>
      <c r="T235" s="64"/>
      <c r="U235" s="63"/>
      <c r="V235" s="64"/>
      <c r="W235" s="28"/>
      <c r="X235" s="65" t="str">
        <f aca="false">IF($A235="","",IF(OR($T235&lt;&gt;"",$U235&lt;&gt;""),"Closed",IFERROR(INDEX(MapStage,MATCH($C235,MapStatus,0)),"Unmapped")))</f>
        <v/>
      </c>
      <c r="Y235" s="65" t="str">
        <f aca="false">IF(OR($X235="",$X235="Closed",$X235="Unmapped"),"",MATCH($X235,StageName,0))</f>
        <v/>
      </c>
      <c r="Z235" s="65" t="str">
        <f aca="false">IF(OR($Y235="",$I235=""),"",$I235-AsOf)</f>
        <v/>
      </c>
      <c r="AA235" s="65" t="str">
        <f aca="false">IF($A235="","",AsOf-$H235)</f>
        <v/>
      </c>
      <c r="AB235" s="65" t="str">
        <f aca="false">IF($A235="","",IF($X235="Closed","Closed",IF($X235="Unmapped","Unmapped",IF($I235="","No target",IF($Z235&lt;0,"Overdue",IF($Z235&lt;=INDEX(StageWindow,$Y235),"At risk","On track"))))))</f>
        <v/>
      </c>
      <c r="AC235" s="65" t="str">
        <f aca="false">IF($Y235="","",IF($AA235&gt;2*INDEX(StageStale,$Y235),"Stale",IF($AA235&gt;INDEX(StageStale,$Y235),"Aging","Fresh")))</f>
        <v/>
      </c>
      <c r="AD235" s="65" t="str">
        <f aca="false">IF($A235="","",IF(OR(ISNUMBER(SEARCH("Reg report",$J235)),ISNUMBER(SEARCH("No human review",$J235)),COUNTIF(TierFuncs,$D235)&gt;0),"High",IF(OR(TRIM($J235)&lt;&gt;"",ISNUMBER(SEARCH("revenue",$K235))),"Medium","Low")))</f>
        <v/>
      </c>
      <c r="AE235" s="65" t="str">
        <f aca="false">IF($A235="","",INDEX(TierDays,MATCH($AD235,TierName,0)))</f>
        <v/>
      </c>
      <c r="AF235" s="65" t="str">
        <f aca="false">IF($A235="","",AsOf-$G235)</f>
        <v/>
      </c>
      <c r="AG235" s="65" t="str">
        <f aca="false">IF($Y235="","",IF($Y235&lt;=5,IF($AF235&gt;$AE235,"Over","Inside"),"Past approval"))</f>
        <v/>
      </c>
      <c r="AH235" s="65" t="str">
        <f aca="false">IF($Y235="","",CHOOSE($Y235,IF(OR(TRIM($F235)="",ISNUMBER(SEARCH("not named",$F235))),"Critical","Good"),IF($O235&lt;&gt;"Y","Critical",IF($Q235&lt;&gt;"Y","Warning","Good")),IF($P235="","Critical",IF($P235="partial","Warning",IF($P235="ready","Good","Critical"))),IF($R235&lt;&gt;"","Critical","Warning"),IF($L235="","Critical",IF($N235="","Warning","Good")),IF($R235&lt;&gt;"","Critical","Warning"),IF($R235&lt;&gt;"","Critical","Warning"),IF($Q235="Y","Good","Critical")))</f>
        <v/>
      </c>
      <c r="AI235" s="65" t="str">
        <f aca="false">IF($Y235="","",CHOOSE($Y235,IF(OR(TRIM($F235)="",ISNUMBER(SEARCH("not named",$F235))),"Name a sponsor accountable for the value",""),IF($O235&lt;&gt;"Y","State the success metric and the stop condition",IF($Q235&lt;&gt;"Y","Set the baseline the benefit will be measured against","")),IF($P235="","Assess data readiness and regulatory impact",IF($P235="partial","Close the known data gaps",IF($P235="ready","","Data is not available; reshape or park"))),IF($R235&lt;&gt;"",IF(OR(ISNUMBER(SEARCH("mrm",$R235)),ISNUMBER(SEARCH("model",$R235)),ISNUMBER(SEARCH("risk",$R235)),ISNUMBER(SEARCH("legal",$R235)),ISNUMBER(SEARCH("complian",$R235))),"Awaiting ","Held at the design gate: ")&amp;$R235,"Map the governance framework for its tier"),IF($L235="","Size the annual benefit",IF($N235="","Score it so it can be ranked against capacity","")),IF($R235&lt;&gt;"","Build held: "&amp;$R235,"In build, not yet through test"),IF($R235&lt;&gt;"","Not ready to scale: "&amp;$R235,"Monitoring and third-party review not yet signed off"),IF($Q235="Y","","Live without a measured baseline to judge it against")))</f>
        <v/>
      </c>
      <c r="AJ235" s="65" t="str">
        <f aca="false">IF($Y235="","",INDEX(StageForum,$Y235))</f>
        <v/>
      </c>
      <c r="AK235" s="65" t="str">
        <f aca="false">IF($Y235="","",IF(OR($X235="Delivery",$X235="Value"),"Committed",IF($N235&lt;&gt;"","Candidate","")))</f>
        <v/>
      </c>
      <c r="AL235" s="65" t="str">
        <f aca="false">IF($AK235&lt;&gt;"Candidate","",COUNTIFS($AK$2:$AK$501,"Candidate",$N$2:$N$501,"&gt;"&amp;$N235)+COUNTIFS($AK$2:$AK$501,"Candidate",$N$2:$N$501,$N235,$A$2:$A$501,"&lt;"&amp;$A235)+1)</f>
        <v/>
      </c>
      <c r="AM235" s="65" t="str">
        <f aca="false">IF($AL235="","",SUMIFS($M$2:$M$501,$AK$2:$AK$501,"Candidate",$AL$2:$AL$501,"&lt;="&amp;$AL235))</f>
        <v/>
      </c>
      <c r="AN235" s="65" t="str">
        <f aca="false">IF($AL235="","",IF($AM235&lt;=CapacityOpen,"Fits","Below line"))</f>
        <v/>
      </c>
      <c r="AO235" s="65" t="str">
        <f aca="false">IF($A235="","",IF($X235="Closed","",IF($X235="Unmapped","Warning",IF(OR($AB235="Overdue",$V235="Y",$AH235="Critical"),"Critical",IF(OR($AB235="At risk",$AC235="Stale",$AG235="Over"),"Warning","")))))</f>
        <v/>
      </c>
      <c r="AP235" s="65" t="str">
        <f aca="false">IF($AO235="","",IF($AO235="Critical",3000,2000)-IF($Z235="",0,$Z235)+ROW()/100000)</f>
        <v/>
      </c>
      <c r="AQ235" s="65" t="str">
        <f aca="false">IF($AO235="","",IF($X235="Unmapped","Status '"&amp;$C235&amp;"' is not in the Config map",IF($V235="Y","Flagged in Jira",IF($AB235="Overdue",-$Z235&amp;" days past its "&amp;$X235&amp;" target",IF($AH235="Critical",$AI235,IF($AB235="At risk","Target in "&amp;$Z235&amp;" days",IF($AC235="Stale","No update in "&amp;$AA235&amp;" days","Past its "&amp;$AE235&amp;"-day tier window")))))))</f>
        <v/>
      </c>
      <c r="AR235" s="65" t="str">
        <f aca="false">IF($AO235="","","draft Jira update for "&amp;$A235)</f>
        <v/>
      </c>
      <c r="AS235" s="65" t="str">
        <f aca="false">IF($A235="","",HYPERLINK(JiraSite&amp;"/browse/"&amp;$A235,"open"))</f>
        <v/>
      </c>
      <c r="AT235" s="65" t="str">
        <f aca="false">IF($Y235="","",$Y235*1000+ROW())</f>
        <v/>
      </c>
      <c r="AU235" s="65" t="str">
        <f aca="false">IF(AND($A235&lt;&gt;"",$G235&gt;=WeekStart),$G235+ROW()/100000,"")</f>
        <v/>
      </c>
      <c r="AV235" s="65" t="str">
        <f aca="false">IF($A235="","",IF(OR(AND($S235&lt;&gt;"",$S235&gt;=WeekStart),AND($U235&lt;&gt;"",$U235&gt;=WeekStart)),MAX($S235,$U235)+ROW()/100000,""))</f>
        <v/>
      </c>
      <c r="AW235" s="65" t="str">
        <f aca="false">IF($AV235="","",IF($T235&lt;&gt;"",$T235,IF($X235="Closed","Closed","Accepted to "&amp;$X235)))</f>
        <v/>
      </c>
      <c r="AX235" s="65" t="str">
        <f aca="false">IF(AND($Y235&lt;&gt;"",$R235&lt;&gt;""),$AF235+ROW()/100000,"")</f>
        <v/>
      </c>
      <c r="AY235" s="65" t="str">
        <f aca="false">IF(AND($Y235&lt;&gt;"",OR($AB235="Overdue",AND($AH235="Critical",$R235&lt;&gt;""))),$AF235+ROW()/100000,"")</f>
        <v/>
      </c>
      <c r="AZ235" s="65" t="str">
        <f aca="false">IF($AH235="Critical",$AF235+ROW()/100000,"")</f>
        <v/>
      </c>
    </row>
    <row r="236" customFormat="false" ht="15" hidden="false" customHeight="false" outlineLevel="0" collapsed="false">
      <c r="A236" s="28"/>
      <c r="B236" s="28"/>
      <c r="C236" s="28"/>
      <c r="D236" s="28"/>
      <c r="E236" s="28"/>
      <c r="F236" s="28"/>
      <c r="G236" s="63"/>
      <c r="H236" s="63"/>
      <c r="I236" s="63"/>
      <c r="J236" s="28"/>
      <c r="K236" s="28"/>
      <c r="L236" s="28"/>
      <c r="M236" s="28"/>
      <c r="N236" s="28"/>
      <c r="O236" s="64"/>
      <c r="P236" s="64"/>
      <c r="Q236" s="64"/>
      <c r="R236" s="28"/>
      <c r="S236" s="63"/>
      <c r="T236" s="64"/>
      <c r="U236" s="63"/>
      <c r="V236" s="64"/>
      <c r="W236" s="28"/>
      <c r="X236" s="65" t="str">
        <f aca="false">IF($A236="","",IF(OR($T236&lt;&gt;"",$U236&lt;&gt;""),"Closed",IFERROR(INDEX(MapStage,MATCH($C236,MapStatus,0)),"Unmapped")))</f>
        <v/>
      </c>
      <c r="Y236" s="65" t="str">
        <f aca="false">IF(OR($X236="",$X236="Closed",$X236="Unmapped"),"",MATCH($X236,StageName,0))</f>
        <v/>
      </c>
      <c r="Z236" s="65" t="str">
        <f aca="false">IF(OR($Y236="",$I236=""),"",$I236-AsOf)</f>
        <v/>
      </c>
      <c r="AA236" s="65" t="str">
        <f aca="false">IF($A236="","",AsOf-$H236)</f>
        <v/>
      </c>
      <c r="AB236" s="65" t="str">
        <f aca="false">IF($A236="","",IF($X236="Closed","Closed",IF($X236="Unmapped","Unmapped",IF($I236="","No target",IF($Z236&lt;0,"Overdue",IF($Z236&lt;=INDEX(StageWindow,$Y236),"At risk","On track"))))))</f>
        <v/>
      </c>
      <c r="AC236" s="65" t="str">
        <f aca="false">IF($Y236="","",IF($AA236&gt;2*INDEX(StageStale,$Y236),"Stale",IF($AA236&gt;INDEX(StageStale,$Y236),"Aging","Fresh")))</f>
        <v/>
      </c>
      <c r="AD236" s="65" t="str">
        <f aca="false">IF($A236="","",IF(OR(ISNUMBER(SEARCH("Reg report",$J236)),ISNUMBER(SEARCH("No human review",$J236)),COUNTIF(TierFuncs,$D236)&gt;0),"High",IF(OR(TRIM($J236)&lt;&gt;"",ISNUMBER(SEARCH("revenue",$K236))),"Medium","Low")))</f>
        <v/>
      </c>
      <c r="AE236" s="65" t="str">
        <f aca="false">IF($A236="","",INDEX(TierDays,MATCH($AD236,TierName,0)))</f>
        <v/>
      </c>
      <c r="AF236" s="65" t="str">
        <f aca="false">IF($A236="","",AsOf-$G236)</f>
        <v/>
      </c>
      <c r="AG236" s="65" t="str">
        <f aca="false">IF($Y236="","",IF($Y236&lt;=5,IF($AF236&gt;$AE236,"Over","Inside"),"Past approval"))</f>
        <v/>
      </c>
      <c r="AH236" s="65" t="str">
        <f aca="false">IF($Y236="","",CHOOSE($Y236,IF(OR(TRIM($F236)="",ISNUMBER(SEARCH("not named",$F236))),"Critical","Good"),IF($O236&lt;&gt;"Y","Critical",IF($Q236&lt;&gt;"Y","Warning","Good")),IF($P236="","Critical",IF($P236="partial","Warning",IF($P236="ready","Good","Critical"))),IF($R236&lt;&gt;"","Critical","Warning"),IF($L236="","Critical",IF($N236="","Warning","Good")),IF($R236&lt;&gt;"","Critical","Warning"),IF($R236&lt;&gt;"","Critical","Warning"),IF($Q236="Y","Good","Critical")))</f>
        <v/>
      </c>
      <c r="AI236" s="65" t="str">
        <f aca="false">IF($Y236="","",CHOOSE($Y236,IF(OR(TRIM($F236)="",ISNUMBER(SEARCH("not named",$F236))),"Name a sponsor accountable for the value",""),IF($O236&lt;&gt;"Y","State the success metric and the stop condition",IF($Q236&lt;&gt;"Y","Set the baseline the benefit will be measured against","")),IF($P236="","Assess data readiness and regulatory impact",IF($P236="partial","Close the known data gaps",IF($P236="ready","","Data is not available; reshape or park"))),IF($R236&lt;&gt;"",IF(OR(ISNUMBER(SEARCH("mrm",$R236)),ISNUMBER(SEARCH("model",$R236)),ISNUMBER(SEARCH("risk",$R236)),ISNUMBER(SEARCH("legal",$R236)),ISNUMBER(SEARCH("complian",$R236))),"Awaiting ","Held at the design gate: ")&amp;$R236,"Map the governance framework for its tier"),IF($L236="","Size the annual benefit",IF($N236="","Score it so it can be ranked against capacity","")),IF($R236&lt;&gt;"","Build held: "&amp;$R236,"In build, not yet through test"),IF($R236&lt;&gt;"","Not ready to scale: "&amp;$R236,"Monitoring and third-party review not yet signed off"),IF($Q236="Y","","Live without a measured baseline to judge it against")))</f>
        <v/>
      </c>
      <c r="AJ236" s="65" t="str">
        <f aca="false">IF($Y236="","",INDEX(StageForum,$Y236))</f>
        <v/>
      </c>
      <c r="AK236" s="65" t="str">
        <f aca="false">IF($Y236="","",IF(OR($X236="Delivery",$X236="Value"),"Committed",IF($N236&lt;&gt;"","Candidate","")))</f>
        <v/>
      </c>
      <c r="AL236" s="65" t="str">
        <f aca="false">IF($AK236&lt;&gt;"Candidate","",COUNTIFS($AK$2:$AK$501,"Candidate",$N$2:$N$501,"&gt;"&amp;$N236)+COUNTIFS($AK$2:$AK$501,"Candidate",$N$2:$N$501,$N236,$A$2:$A$501,"&lt;"&amp;$A236)+1)</f>
        <v/>
      </c>
      <c r="AM236" s="65" t="str">
        <f aca="false">IF($AL236="","",SUMIFS($M$2:$M$501,$AK$2:$AK$501,"Candidate",$AL$2:$AL$501,"&lt;="&amp;$AL236))</f>
        <v/>
      </c>
      <c r="AN236" s="65" t="str">
        <f aca="false">IF($AL236="","",IF($AM236&lt;=CapacityOpen,"Fits","Below line"))</f>
        <v/>
      </c>
      <c r="AO236" s="65" t="str">
        <f aca="false">IF($A236="","",IF($X236="Closed","",IF($X236="Unmapped","Warning",IF(OR($AB236="Overdue",$V236="Y",$AH236="Critical"),"Critical",IF(OR($AB236="At risk",$AC236="Stale",$AG236="Over"),"Warning","")))))</f>
        <v/>
      </c>
      <c r="AP236" s="65" t="str">
        <f aca="false">IF($AO236="","",IF($AO236="Critical",3000,2000)-IF($Z236="",0,$Z236)+ROW()/100000)</f>
        <v/>
      </c>
      <c r="AQ236" s="65" t="str">
        <f aca="false">IF($AO236="","",IF($X236="Unmapped","Status '"&amp;$C236&amp;"' is not in the Config map",IF($V236="Y","Flagged in Jira",IF($AB236="Overdue",-$Z236&amp;" days past its "&amp;$X236&amp;" target",IF($AH236="Critical",$AI236,IF($AB236="At risk","Target in "&amp;$Z236&amp;" days",IF($AC236="Stale","No update in "&amp;$AA236&amp;" days","Past its "&amp;$AE236&amp;"-day tier window")))))))</f>
        <v/>
      </c>
      <c r="AR236" s="65" t="str">
        <f aca="false">IF($AO236="","","draft Jira update for "&amp;$A236)</f>
        <v/>
      </c>
      <c r="AS236" s="65" t="str">
        <f aca="false">IF($A236="","",HYPERLINK(JiraSite&amp;"/browse/"&amp;$A236,"open"))</f>
        <v/>
      </c>
      <c r="AT236" s="65" t="str">
        <f aca="false">IF($Y236="","",$Y236*1000+ROW())</f>
        <v/>
      </c>
      <c r="AU236" s="65" t="str">
        <f aca="false">IF(AND($A236&lt;&gt;"",$G236&gt;=WeekStart),$G236+ROW()/100000,"")</f>
        <v/>
      </c>
      <c r="AV236" s="65" t="str">
        <f aca="false">IF($A236="","",IF(OR(AND($S236&lt;&gt;"",$S236&gt;=WeekStart),AND($U236&lt;&gt;"",$U236&gt;=WeekStart)),MAX($S236,$U236)+ROW()/100000,""))</f>
        <v/>
      </c>
      <c r="AW236" s="65" t="str">
        <f aca="false">IF($AV236="","",IF($T236&lt;&gt;"",$T236,IF($X236="Closed","Closed","Accepted to "&amp;$X236)))</f>
        <v/>
      </c>
      <c r="AX236" s="65" t="str">
        <f aca="false">IF(AND($Y236&lt;&gt;"",$R236&lt;&gt;""),$AF236+ROW()/100000,"")</f>
        <v/>
      </c>
      <c r="AY236" s="65" t="str">
        <f aca="false">IF(AND($Y236&lt;&gt;"",OR($AB236="Overdue",AND($AH236="Critical",$R236&lt;&gt;""))),$AF236+ROW()/100000,"")</f>
        <v/>
      </c>
      <c r="AZ236" s="65" t="str">
        <f aca="false">IF($AH236="Critical",$AF236+ROW()/100000,"")</f>
        <v/>
      </c>
    </row>
    <row r="237" customFormat="false" ht="15" hidden="false" customHeight="false" outlineLevel="0" collapsed="false">
      <c r="A237" s="28"/>
      <c r="B237" s="28"/>
      <c r="C237" s="28"/>
      <c r="D237" s="28"/>
      <c r="E237" s="28"/>
      <c r="F237" s="28"/>
      <c r="G237" s="63"/>
      <c r="H237" s="63"/>
      <c r="I237" s="63"/>
      <c r="J237" s="28"/>
      <c r="K237" s="28"/>
      <c r="L237" s="28"/>
      <c r="M237" s="28"/>
      <c r="N237" s="28"/>
      <c r="O237" s="64"/>
      <c r="P237" s="64"/>
      <c r="Q237" s="64"/>
      <c r="R237" s="28"/>
      <c r="S237" s="63"/>
      <c r="T237" s="64"/>
      <c r="U237" s="63"/>
      <c r="V237" s="64"/>
      <c r="W237" s="28"/>
      <c r="X237" s="65" t="str">
        <f aca="false">IF($A237="","",IF(OR($T237&lt;&gt;"",$U237&lt;&gt;""),"Closed",IFERROR(INDEX(MapStage,MATCH($C237,MapStatus,0)),"Unmapped")))</f>
        <v/>
      </c>
      <c r="Y237" s="65" t="str">
        <f aca="false">IF(OR($X237="",$X237="Closed",$X237="Unmapped"),"",MATCH($X237,StageName,0))</f>
        <v/>
      </c>
      <c r="Z237" s="65" t="str">
        <f aca="false">IF(OR($Y237="",$I237=""),"",$I237-AsOf)</f>
        <v/>
      </c>
      <c r="AA237" s="65" t="str">
        <f aca="false">IF($A237="","",AsOf-$H237)</f>
        <v/>
      </c>
      <c r="AB237" s="65" t="str">
        <f aca="false">IF($A237="","",IF($X237="Closed","Closed",IF($X237="Unmapped","Unmapped",IF($I237="","No target",IF($Z237&lt;0,"Overdue",IF($Z237&lt;=INDEX(StageWindow,$Y237),"At risk","On track"))))))</f>
        <v/>
      </c>
      <c r="AC237" s="65" t="str">
        <f aca="false">IF($Y237="","",IF($AA237&gt;2*INDEX(StageStale,$Y237),"Stale",IF($AA237&gt;INDEX(StageStale,$Y237),"Aging","Fresh")))</f>
        <v/>
      </c>
      <c r="AD237" s="65" t="str">
        <f aca="false">IF($A237="","",IF(OR(ISNUMBER(SEARCH("Reg report",$J237)),ISNUMBER(SEARCH("No human review",$J237)),COUNTIF(TierFuncs,$D237)&gt;0),"High",IF(OR(TRIM($J237)&lt;&gt;"",ISNUMBER(SEARCH("revenue",$K237))),"Medium","Low")))</f>
        <v/>
      </c>
      <c r="AE237" s="65" t="str">
        <f aca="false">IF($A237="","",INDEX(TierDays,MATCH($AD237,TierName,0)))</f>
        <v/>
      </c>
      <c r="AF237" s="65" t="str">
        <f aca="false">IF($A237="","",AsOf-$G237)</f>
        <v/>
      </c>
      <c r="AG237" s="65" t="str">
        <f aca="false">IF($Y237="","",IF($Y237&lt;=5,IF($AF237&gt;$AE237,"Over","Inside"),"Past approval"))</f>
        <v/>
      </c>
      <c r="AH237" s="65" t="str">
        <f aca="false">IF($Y237="","",CHOOSE($Y237,IF(OR(TRIM($F237)="",ISNUMBER(SEARCH("not named",$F237))),"Critical","Good"),IF($O237&lt;&gt;"Y","Critical",IF($Q237&lt;&gt;"Y","Warning","Good")),IF($P237="","Critical",IF($P237="partial","Warning",IF($P237="ready","Good","Critical"))),IF($R237&lt;&gt;"","Critical","Warning"),IF($L237="","Critical",IF($N237="","Warning","Good")),IF($R237&lt;&gt;"","Critical","Warning"),IF($R237&lt;&gt;"","Critical","Warning"),IF($Q237="Y","Good","Critical")))</f>
        <v/>
      </c>
      <c r="AI237" s="65" t="str">
        <f aca="false">IF($Y237="","",CHOOSE($Y237,IF(OR(TRIM($F237)="",ISNUMBER(SEARCH("not named",$F237))),"Name a sponsor accountable for the value",""),IF($O237&lt;&gt;"Y","State the success metric and the stop condition",IF($Q237&lt;&gt;"Y","Set the baseline the benefit will be measured against","")),IF($P237="","Assess data readiness and regulatory impact",IF($P237="partial","Close the known data gaps",IF($P237="ready","","Data is not available; reshape or park"))),IF($R237&lt;&gt;"",IF(OR(ISNUMBER(SEARCH("mrm",$R237)),ISNUMBER(SEARCH("model",$R237)),ISNUMBER(SEARCH("risk",$R237)),ISNUMBER(SEARCH("legal",$R237)),ISNUMBER(SEARCH("complian",$R237))),"Awaiting ","Held at the design gate: ")&amp;$R237,"Map the governance framework for its tier"),IF($L237="","Size the annual benefit",IF($N237="","Score it so it can be ranked against capacity","")),IF($R237&lt;&gt;"","Build held: "&amp;$R237,"In build, not yet through test"),IF($R237&lt;&gt;"","Not ready to scale: "&amp;$R237,"Monitoring and third-party review not yet signed off"),IF($Q237="Y","","Live without a measured baseline to judge it against")))</f>
        <v/>
      </c>
      <c r="AJ237" s="65" t="str">
        <f aca="false">IF($Y237="","",INDEX(StageForum,$Y237))</f>
        <v/>
      </c>
      <c r="AK237" s="65" t="str">
        <f aca="false">IF($Y237="","",IF(OR($X237="Delivery",$X237="Value"),"Committed",IF($N237&lt;&gt;"","Candidate","")))</f>
        <v/>
      </c>
      <c r="AL237" s="65" t="str">
        <f aca="false">IF($AK237&lt;&gt;"Candidate","",COUNTIFS($AK$2:$AK$501,"Candidate",$N$2:$N$501,"&gt;"&amp;$N237)+COUNTIFS($AK$2:$AK$501,"Candidate",$N$2:$N$501,$N237,$A$2:$A$501,"&lt;"&amp;$A237)+1)</f>
        <v/>
      </c>
      <c r="AM237" s="65" t="str">
        <f aca="false">IF($AL237="","",SUMIFS($M$2:$M$501,$AK$2:$AK$501,"Candidate",$AL$2:$AL$501,"&lt;="&amp;$AL237))</f>
        <v/>
      </c>
      <c r="AN237" s="65" t="str">
        <f aca="false">IF($AL237="","",IF($AM237&lt;=CapacityOpen,"Fits","Below line"))</f>
        <v/>
      </c>
      <c r="AO237" s="65" t="str">
        <f aca="false">IF($A237="","",IF($X237="Closed","",IF($X237="Unmapped","Warning",IF(OR($AB237="Overdue",$V237="Y",$AH237="Critical"),"Critical",IF(OR($AB237="At risk",$AC237="Stale",$AG237="Over"),"Warning","")))))</f>
        <v/>
      </c>
      <c r="AP237" s="65" t="str">
        <f aca="false">IF($AO237="","",IF($AO237="Critical",3000,2000)-IF($Z237="",0,$Z237)+ROW()/100000)</f>
        <v/>
      </c>
      <c r="AQ237" s="65" t="str">
        <f aca="false">IF($AO237="","",IF($X237="Unmapped","Status '"&amp;$C237&amp;"' is not in the Config map",IF($V237="Y","Flagged in Jira",IF($AB237="Overdue",-$Z237&amp;" days past its "&amp;$X237&amp;" target",IF($AH237="Critical",$AI237,IF($AB237="At risk","Target in "&amp;$Z237&amp;" days",IF($AC237="Stale","No update in "&amp;$AA237&amp;" days","Past its "&amp;$AE237&amp;"-day tier window")))))))</f>
        <v/>
      </c>
      <c r="AR237" s="65" t="str">
        <f aca="false">IF($AO237="","","draft Jira update for "&amp;$A237)</f>
        <v/>
      </c>
      <c r="AS237" s="65" t="str">
        <f aca="false">IF($A237="","",HYPERLINK(JiraSite&amp;"/browse/"&amp;$A237,"open"))</f>
        <v/>
      </c>
      <c r="AT237" s="65" t="str">
        <f aca="false">IF($Y237="","",$Y237*1000+ROW())</f>
        <v/>
      </c>
      <c r="AU237" s="65" t="str">
        <f aca="false">IF(AND($A237&lt;&gt;"",$G237&gt;=WeekStart),$G237+ROW()/100000,"")</f>
        <v/>
      </c>
      <c r="AV237" s="65" t="str">
        <f aca="false">IF($A237="","",IF(OR(AND($S237&lt;&gt;"",$S237&gt;=WeekStart),AND($U237&lt;&gt;"",$U237&gt;=WeekStart)),MAX($S237,$U237)+ROW()/100000,""))</f>
        <v/>
      </c>
      <c r="AW237" s="65" t="str">
        <f aca="false">IF($AV237="","",IF($T237&lt;&gt;"",$T237,IF($X237="Closed","Closed","Accepted to "&amp;$X237)))</f>
        <v/>
      </c>
      <c r="AX237" s="65" t="str">
        <f aca="false">IF(AND($Y237&lt;&gt;"",$R237&lt;&gt;""),$AF237+ROW()/100000,"")</f>
        <v/>
      </c>
      <c r="AY237" s="65" t="str">
        <f aca="false">IF(AND($Y237&lt;&gt;"",OR($AB237="Overdue",AND($AH237="Critical",$R237&lt;&gt;""))),$AF237+ROW()/100000,"")</f>
        <v/>
      </c>
      <c r="AZ237" s="65" t="str">
        <f aca="false">IF($AH237="Critical",$AF237+ROW()/100000,"")</f>
        <v/>
      </c>
    </row>
    <row r="238" customFormat="false" ht="15" hidden="false" customHeight="false" outlineLevel="0" collapsed="false">
      <c r="A238" s="28"/>
      <c r="B238" s="28"/>
      <c r="C238" s="28"/>
      <c r="D238" s="28"/>
      <c r="E238" s="28"/>
      <c r="F238" s="28"/>
      <c r="G238" s="63"/>
      <c r="H238" s="63"/>
      <c r="I238" s="63"/>
      <c r="J238" s="28"/>
      <c r="K238" s="28"/>
      <c r="L238" s="28"/>
      <c r="M238" s="28"/>
      <c r="N238" s="28"/>
      <c r="O238" s="64"/>
      <c r="P238" s="64"/>
      <c r="Q238" s="64"/>
      <c r="R238" s="28"/>
      <c r="S238" s="63"/>
      <c r="T238" s="64"/>
      <c r="U238" s="63"/>
      <c r="V238" s="64"/>
      <c r="W238" s="28"/>
      <c r="X238" s="65" t="str">
        <f aca="false">IF($A238="","",IF(OR($T238&lt;&gt;"",$U238&lt;&gt;""),"Closed",IFERROR(INDEX(MapStage,MATCH($C238,MapStatus,0)),"Unmapped")))</f>
        <v/>
      </c>
      <c r="Y238" s="65" t="str">
        <f aca="false">IF(OR($X238="",$X238="Closed",$X238="Unmapped"),"",MATCH($X238,StageName,0))</f>
        <v/>
      </c>
      <c r="Z238" s="65" t="str">
        <f aca="false">IF(OR($Y238="",$I238=""),"",$I238-AsOf)</f>
        <v/>
      </c>
      <c r="AA238" s="65" t="str">
        <f aca="false">IF($A238="","",AsOf-$H238)</f>
        <v/>
      </c>
      <c r="AB238" s="65" t="str">
        <f aca="false">IF($A238="","",IF($X238="Closed","Closed",IF($X238="Unmapped","Unmapped",IF($I238="","No target",IF($Z238&lt;0,"Overdue",IF($Z238&lt;=INDEX(StageWindow,$Y238),"At risk","On track"))))))</f>
        <v/>
      </c>
      <c r="AC238" s="65" t="str">
        <f aca="false">IF($Y238="","",IF($AA238&gt;2*INDEX(StageStale,$Y238),"Stale",IF($AA238&gt;INDEX(StageStale,$Y238),"Aging","Fresh")))</f>
        <v/>
      </c>
      <c r="AD238" s="65" t="str">
        <f aca="false">IF($A238="","",IF(OR(ISNUMBER(SEARCH("Reg report",$J238)),ISNUMBER(SEARCH("No human review",$J238)),COUNTIF(TierFuncs,$D238)&gt;0),"High",IF(OR(TRIM($J238)&lt;&gt;"",ISNUMBER(SEARCH("revenue",$K238))),"Medium","Low")))</f>
        <v/>
      </c>
      <c r="AE238" s="65" t="str">
        <f aca="false">IF($A238="","",INDEX(TierDays,MATCH($AD238,TierName,0)))</f>
        <v/>
      </c>
      <c r="AF238" s="65" t="str">
        <f aca="false">IF($A238="","",AsOf-$G238)</f>
        <v/>
      </c>
      <c r="AG238" s="65" t="str">
        <f aca="false">IF($Y238="","",IF($Y238&lt;=5,IF($AF238&gt;$AE238,"Over","Inside"),"Past approval"))</f>
        <v/>
      </c>
      <c r="AH238" s="65" t="str">
        <f aca="false">IF($Y238="","",CHOOSE($Y238,IF(OR(TRIM($F238)="",ISNUMBER(SEARCH("not named",$F238))),"Critical","Good"),IF($O238&lt;&gt;"Y","Critical",IF($Q238&lt;&gt;"Y","Warning","Good")),IF($P238="","Critical",IF($P238="partial","Warning",IF($P238="ready","Good","Critical"))),IF($R238&lt;&gt;"","Critical","Warning"),IF($L238="","Critical",IF($N238="","Warning","Good")),IF($R238&lt;&gt;"","Critical","Warning"),IF($R238&lt;&gt;"","Critical","Warning"),IF($Q238="Y","Good","Critical")))</f>
        <v/>
      </c>
      <c r="AI238" s="65" t="str">
        <f aca="false">IF($Y238="","",CHOOSE($Y238,IF(OR(TRIM($F238)="",ISNUMBER(SEARCH("not named",$F238))),"Name a sponsor accountable for the value",""),IF($O238&lt;&gt;"Y","State the success metric and the stop condition",IF($Q238&lt;&gt;"Y","Set the baseline the benefit will be measured against","")),IF($P238="","Assess data readiness and regulatory impact",IF($P238="partial","Close the known data gaps",IF($P238="ready","","Data is not available; reshape or park"))),IF($R238&lt;&gt;"",IF(OR(ISNUMBER(SEARCH("mrm",$R238)),ISNUMBER(SEARCH("model",$R238)),ISNUMBER(SEARCH("risk",$R238)),ISNUMBER(SEARCH("legal",$R238)),ISNUMBER(SEARCH("complian",$R238))),"Awaiting ","Held at the design gate: ")&amp;$R238,"Map the governance framework for its tier"),IF($L238="","Size the annual benefit",IF($N238="","Score it so it can be ranked against capacity","")),IF($R238&lt;&gt;"","Build held: "&amp;$R238,"In build, not yet through test"),IF($R238&lt;&gt;"","Not ready to scale: "&amp;$R238,"Monitoring and third-party review not yet signed off"),IF($Q238="Y","","Live without a measured baseline to judge it against")))</f>
        <v/>
      </c>
      <c r="AJ238" s="65" t="str">
        <f aca="false">IF($Y238="","",INDEX(StageForum,$Y238))</f>
        <v/>
      </c>
      <c r="AK238" s="65" t="str">
        <f aca="false">IF($Y238="","",IF(OR($X238="Delivery",$X238="Value"),"Committed",IF($N238&lt;&gt;"","Candidate","")))</f>
        <v/>
      </c>
      <c r="AL238" s="65" t="str">
        <f aca="false">IF($AK238&lt;&gt;"Candidate","",COUNTIFS($AK$2:$AK$501,"Candidate",$N$2:$N$501,"&gt;"&amp;$N238)+COUNTIFS($AK$2:$AK$501,"Candidate",$N$2:$N$501,$N238,$A$2:$A$501,"&lt;"&amp;$A238)+1)</f>
        <v/>
      </c>
      <c r="AM238" s="65" t="str">
        <f aca="false">IF($AL238="","",SUMIFS($M$2:$M$501,$AK$2:$AK$501,"Candidate",$AL$2:$AL$501,"&lt;="&amp;$AL238))</f>
        <v/>
      </c>
      <c r="AN238" s="65" t="str">
        <f aca="false">IF($AL238="","",IF($AM238&lt;=CapacityOpen,"Fits","Below line"))</f>
        <v/>
      </c>
      <c r="AO238" s="65" t="str">
        <f aca="false">IF($A238="","",IF($X238="Closed","",IF($X238="Unmapped","Warning",IF(OR($AB238="Overdue",$V238="Y",$AH238="Critical"),"Critical",IF(OR($AB238="At risk",$AC238="Stale",$AG238="Over"),"Warning","")))))</f>
        <v/>
      </c>
      <c r="AP238" s="65" t="str">
        <f aca="false">IF($AO238="","",IF($AO238="Critical",3000,2000)-IF($Z238="",0,$Z238)+ROW()/100000)</f>
        <v/>
      </c>
      <c r="AQ238" s="65" t="str">
        <f aca="false">IF($AO238="","",IF($X238="Unmapped","Status '"&amp;$C238&amp;"' is not in the Config map",IF($V238="Y","Flagged in Jira",IF($AB238="Overdue",-$Z238&amp;" days past its "&amp;$X238&amp;" target",IF($AH238="Critical",$AI238,IF($AB238="At risk","Target in "&amp;$Z238&amp;" days",IF($AC238="Stale","No update in "&amp;$AA238&amp;" days","Past its "&amp;$AE238&amp;"-day tier window")))))))</f>
        <v/>
      </c>
      <c r="AR238" s="65" t="str">
        <f aca="false">IF($AO238="","","draft Jira update for "&amp;$A238)</f>
        <v/>
      </c>
      <c r="AS238" s="65" t="str">
        <f aca="false">IF($A238="","",HYPERLINK(JiraSite&amp;"/browse/"&amp;$A238,"open"))</f>
        <v/>
      </c>
      <c r="AT238" s="65" t="str">
        <f aca="false">IF($Y238="","",$Y238*1000+ROW())</f>
        <v/>
      </c>
      <c r="AU238" s="65" t="str">
        <f aca="false">IF(AND($A238&lt;&gt;"",$G238&gt;=WeekStart),$G238+ROW()/100000,"")</f>
        <v/>
      </c>
      <c r="AV238" s="65" t="str">
        <f aca="false">IF($A238="","",IF(OR(AND($S238&lt;&gt;"",$S238&gt;=WeekStart),AND($U238&lt;&gt;"",$U238&gt;=WeekStart)),MAX($S238,$U238)+ROW()/100000,""))</f>
        <v/>
      </c>
      <c r="AW238" s="65" t="str">
        <f aca="false">IF($AV238="","",IF($T238&lt;&gt;"",$T238,IF($X238="Closed","Closed","Accepted to "&amp;$X238)))</f>
        <v/>
      </c>
      <c r="AX238" s="65" t="str">
        <f aca="false">IF(AND($Y238&lt;&gt;"",$R238&lt;&gt;""),$AF238+ROW()/100000,"")</f>
        <v/>
      </c>
      <c r="AY238" s="65" t="str">
        <f aca="false">IF(AND($Y238&lt;&gt;"",OR($AB238="Overdue",AND($AH238="Critical",$R238&lt;&gt;""))),$AF238+ROW()/100000,"")</f>
        <v/>
      </c>
      <c r="AZ238" s="65" t="str">
        <f aca="false">IF($AH238="Critical",$AF238+ROW()/100000,"")</f>
        <v/>
      </c>
    </row>
    <row r="239" customFormat="false" ht="15" hidden="false" customHeight="false" outlineLevel="0" collapsed="false">
      <c r="A239" s="28"/>
      <c r="B239" s="28"/>
      <c r="C239" s="28"/>
      <c r="D239" s="28"/>
      <c r="E239" s="28"/>
      <c r="F239" s="28"/>
      <c r="G239" s="63"/>
      <c r="H239" s="63"/>
      <c r="I239" s="63"/>
      <c r="J239" s="28"/>
      <c r="K239" s="28"/>
      <c r="L239" s="28"/>
      <c r="M239" s="28"/>
      <c r="N239" s="28"/>
      <c r="O239" s="64"/>
      <c r="P239" s="64"/>
      <c r="Q239" s="64"/>
      <c r="R239" s="28"/>
      <c r="S239" s="63"/>
      <c r="T239" s="64"/>
      <c r="U239" s="63"/>
      <c r="V239" s="64"/>
      <c r="W239" s="28"/>
      <c r="X239" s="65" t="str">
        <f aca="false">IF($A239="","",IF(OR($T239&lt;&gt;"",$U239&lt;&gt;""),"Closed",IFERROR(INDEX(MapStage,MATCH($C239,MapStatus,0)),"Unmapped")))</f>
        <v/>
      </c>
      <c r="Y239" s="65" t="str">
        <f aca="false">IF(OR($X239="",$X239="Closed",$X239="Unmapped"),"",MATCH($X239,StageName,0))</f>
        <v/>
      </c>
      <c r="Z239" s="65" t="str">
        <f aca="false">IF(OR($Y239="",$I239=""),"",$I239-AsOf)</f>
        <v/>
      </c>
      <c r="AA239" s="65" t="str">
        <f aca="false">IF($A239="","",AsOf-$H239)</f>
        <v/>
      </c>
      <c r="AB239" s="65" t="str">
        <f aca="false">IF($A239="","",IF($X239="Closed","Closed",IF($X239="Unmapped","Unmapped",IF($I239="","No target",IF($Z239&lt;0,"Overdue",IF($Z239&lt;=INDEX(StageWindow,$Y239),"At risk","On track"))))))</f>
        <v/>
      </c>
      <c r="AC239" s="65" t="str">
        <f aca="false">IF($Y239="","",IF($AA239&gt;2*INDEX(StageStale,$Y239),"Stale",IF($AA239&gt;INDEX(StageStale,$Y239),"Aging","Fresh")))</f>
        <v/>
      </c>
      <c r="AD239" s="65" t="str">
        <f aca="false">IF($A239="","",IF(OR(ISNUMBER(SEARCH("Reg report",$J239)),ISNUMBER(SEARCH("No human review",$J239)),COUNTIF(TierFuncs,$D239)&gt;0),"High",IF(OR(TRIM($J239)&lt;&gt;"",ISNUMBER(SEARCH("revenue",$K239))),"Medium","Low")))</f>
        <v/>
      </c>
      <c r="AE239" s="65" t="str">
        <f aca="false">IF($A239="","",INDEX(TierDays,MATCH($AD239,TierName,0)))</f>
        <v/>
      </c>
      <c r="AF239" s="65" t="str">
        <f aca="false">IF($A239="","",AsOf-$G239)</f>
        <v/>
      </c>
      <c r="AG239" s="65" t="str">
        <f aca="false">IF($Y239="","",IF($Y239&lt;=5,IF($AF239&gt;$AE239,"Over","Inside"),"Past approval"))</f>
        <v/>
      </c>
      <c r="AH239" s="65" t="str">
        <f aca="false">IF($Y239="","",CHOOSE($Y239,IF(OR(TRIM($F239)="",ISNUMBER(SEARCH("not named",$F239))),"Critical","Good"),IF($O239&lt;&gt;"Y","Critical",IF($Q239&lt;&gt;"Y","Warning","Good")),IF($P239="","Critical",IF($P239="partial","Warning",IF($P239="ready","Good","Critical"))),IF($R239&lt;&gt;"","Critical","Warning"),IF($L239="","Critical",IF($N239="","Warning","Good")),IF($R239&lt;&gt;"","Critical","Warning"),IF($R239&lt;&gt;"","Critical","Warning"),IF($Q239="Y","Good","Critical")))</f>
        <v/>
      </c>
      <c r="AI239" s="65" t="str">
        <f aca="false">IF($Y239="","",CHOOSE($Y239,IF(OR(TRIM($F239)="",ISNUMBER(SEARCH("not named",$F239))),"Name a sponsor accountable for the value",""),IF($O239&lt;&gt;"Y","State the success metric and the stop condition",IF($Q239&lt;&gt;"Y","Set the baseline the benefit will be measured against","")),IF($P239="","Assess data readiness and regulatory impact",IF($P239="partial","Close the known data gaps",IF($P239="ready","","Data is not available; reshape or park"))),IF($R239&lt;&gt;"",IF(OR(ISNUMBER(SEARCH("mrm",$R239)),ISNUMBER(SEARCH("model",$R239)),ISNUMBER(SEARCH("risk",$R239)),ISNUMBER(SEARCH("legal",$R239)),ISNUMBER(SEARCH("complian",$R239))),"Awaiting ","Held at the design gate: ")&amp;$R239,"Map the governance framework for its tier"),IF($L239="","Size the annual benefit",IF($N239="","Score it so it can be ranked against capacity","")),IF($R239&lt;&gt;"","Build held: "&amp;$R239,"In build, not yet through test"),IF($R239&lt;&gt;"","Not ready to scale: "&amp;$R239,"Monitoring and third-party review not yet signed off"),IF($Q239="Y","","Live without a measured baseline to judge it against")))</f>
        <v/>
      </c>
      <c r="AJ239" s="65" t="str">
        <f aca="false">IF($Y239="","",INDEX(StageForum,$Y239))</f>
        <v/>
      </c>
      <c r="AK239" s="65" t="str">
        <f aca="false">IF($Y239="","",IF(OR($X239="Delivery",$X239="Value"),"Committed",IF($N239&lt;&gt;"","Candidate","")))</f>
        <v/>
      </c>
      <c r="AL239" s="65" t="str">
        <f aca="false">IF($AK239&lt;&gt;"Candidate","",COUNTIFS($AK$2:$AK$501,"Candidate",$N$2:$N$501,"&gt;"&amp;$N239)+COUNTIFS($AK$2:$AK$501,"Candidate",$N$2:$N$501,$N239,$A$2:$A$501,"&lt;"&amp;$A239)+1)</f>
        <v/>
      </c>
      <c r="AM239" s="65" t="str">
        <f aca="false">IF($AL239="","",SUMIFS($M$2:$M$501,$AK$2:$AK$501,"Candidate",$AL$2:$AL$501,"&lt;="&amp;$AL239))</f>
        <v/>
      </c>
      <c r="AN239" s="65" t="str">
        <f aca="false">IF($AL239="","",IF($AM239&lt;=CapacityOpen,"Fits","Below line"))</f>
        <v/>
      </c>
      <c r="AO239" s="65" t="str">
        <f aca="false">IF($A239="","",IF($X239="Closed","",IF($X239="Unmapped","Warning",IF(OR($AB239="Overdue",$V239="Y",$AH239="Critical"),"Critical",IF(OR($AB239="At risk",$AC239="Stale",$AG239="Over"),"Warning","")))))</f>
        <v/>
      </c>
      <c r="AP239" s="65" t="str">
        <f aca="false">IF($AO239="","",IF($AO239="Critical",3000,2000)-IF($Z239="",0,$Z239)+ROW()/100000)</f>
        <v/>
      </c>
      <c r="AQ239" s="65" t="str">
        <f aca="false">IF($AO239="","",IF($X239="Unmapped","Status '"&amp;$C239&amp;"' is not in the Config map",IF($V239="Y","Flagged in Jira",IF($AB239="Overdue",-$Z239&amp;" days past its "&amp;$X239&amp;" target",IF($AH239="Critical",$AI239,IF($AB239="At risk","Target in "&amp;$Z239&amp;" days",IF($AC239="Stale","No update in "&amp;$AA239&amp;" days","Past its "&amp;$AE239&amp;"-day tier window")))))))</f>
        <v/>
      </c>
      <c r="AR239" s="65" t="str">
        <f aca="false">IF($AO239="","","draft Jira update for "&amp;$A239)</f>
        <v/>
      </c>
      <c r="AS239" s="65" t="str">
        <f aca="false">IF($A239="","",HYPERLINK(JiraSite&amp;"/browse/"&amp;$A239,"open"))</f>
        <v/>
      </c>
      <c r="AT239" s="65" t="str">
        <f aca="false">IF($Y239="","",$Y239*1000+ROW())</f>
        <v/>
      </c>
      <c r="AU239" s="65" t="str">
        <f aca="false">IF(AND($A239&lt;&gt;"",$G239&gt;=WeekStart),$G239+ROW()/100000,"")</f>
        <v/>
      </c>
      <c r="AV239" s="65" t="str">
        <f aca="false">IF($A239="","",IF(OR(AND($S239&lt;&gt;"",$S239&gt;=WeekStart),AND($U239&lt;&gt;"",$U239&gt;=WeekStart)),MAX($S239,$U239)+ROW()/100000,""))</f>
        <v/>
      </c>
      <c r="AW239" s="65" t="str">
        <f aca="false">IF($AV239="","",IF($T239&lt;&gt;"",$T239,IF($X239="Closed","Closed","Accepted to "&amp;$X239)))</f>
        <v/>
      </c>
      <c r="AX239" s="65" t="str">
        <f aca="false">IF(AND($Y239&lt;&gt;"",$R239&lt;&gt;""),$AF239+ROW()/100000,"")</f>
        <v/>
      </c>
      <c r="AY239" s="65" t="str">
        <f aca="false">IF(AND($Y239&lt;&gt;"",OR($AB239="Overdue",AND($AH239="Critical",$R239&lt;&gt;""))),$AF239+ROW()/100000,"")</f>
        <v/>
      </c>
      <c r="AZ239" s="65" t="str">
        <f aca="false">IF($AH239="Critical",$AF239+ROW()/100000,"")</f>
        <v/>
      </c>
    </row>
    <row r="240" customFormat="false" ht="15" hidden="false" customHeight="false" outlineLevel="0" collapsed="false">
      <c r="A240" s="28"/>
      <c r="B240" s="28"/>
      <c r="C240" s="28"/>
      <c r="D240" s="28"/>
      <c r="E240" s="28"/>
      <c r="F240" s="28"/>
      <c r="G240" s="63"/>
      <c r="H240" s="63"/>
      <c r="I240" s="63"/>
      <c r="J240" s="28"/>
      <c r="K240" s="28"/>
      <c r="L240" s="28"/>
      <c r="M240" s="28"/>
      <c r="N240" s="28"/>
      <c r="O240" s="64"/>
      <c r="P240" s="64"/>
      <c r="Q240" s="64"/>
      <c r="R240" s="28"/>
      <c r="S240" s="63"/>
      <c r="T240" s="64"/>
      <c r="U240" s="63"/>
      <c r="V240" s="64"/>
      <c r="W240" s="28"/>
      <c r="X240" s="65" t="str">
        <f aca="false">IF($A240="","",IF(OR($T240&lt;&gt;"",$U240&lt;&gt;""),"Closed",IFERROR(INDEX(MapStage,MATCH($C240,MapStatus,0)),"Unmapped")))</f>
        <v/>
      </c>
      <c r="Y240" s="65" t="str">
        <f aca="false">IF(OR($X240="",$X240="Closed",$X240="Unmapped"),"",MATCH($X240,StageName,0))</f>
        <v/>
      </c>
      <c r="Z240" s="65" t="str">
        <f aca="false">IF(OR($Y240="",$I240=""),"",$I240-AsOf)</f>
        <v/>
      </c>
      <c r="AA240" s="65" t="str">
        <f aca="false">IF($A240="","",AsOf-$H240)</f>
        <v/>
      </c>
      <c r="AB240" s="65" t="str">
        <f aca="false">IF($A240="","",IF($X240="Closed","Closed",IF($X240="Unmapped","Unmapped",IF($I240="","No target",IF($Z240&lt;0,"Overdue",IF($Z240&lt;=INDEX(StageWindow,$Y240),"At risk","On track"))))))</f>
        <v/>
      </c>
      <c r="AC240" s="65" t="str">
        <f aca="false">IF($Y240="","",IF($AA240&gt;2*INDEX(StageStale,$Y240),"Stale",IF($AA240&gt;INDEX(StageStale,$Y240),"Aging","Fresh")))</f>
        <v/>
      </c>
      <c r="AD240" s="65" t="str">
        <f aca="false">IF($A240="","",IF(OR(ISNUMBER(SEARCH("Reg report",$J240)),ISNUMBER(SEARCH("No human review",$J240)),COUNTIF(TierFuncs,$D240)&gt;0),"High",IF(OR(TRIM($J240)&lt;&gt;"",ISNUMBER(SEARCH("revenue",$K240))),"Medium","Low")))</f>
        <v/>
      </c>
      <c r="AE240" s="65" t="str">
        <f aca="false">IF($A240="","",INDEX(TierDays,MATCH($AD240,TierName,0)))</f>
        <v/>
      </c>
      <c r="AF240" s="65" t="str">
        <f aca="false">IF($A240="","",AsOf-$G240)</f>
        <v/>
      </c>
      <c r="AG240" s="65" t="str">
        <f aca="false">IF($Y240="","",IF($Y240&lt;=5,IF($AF240&gt;$AE240,"Over","Inside"),"Past approval"))</f>
        <v/>
      </c>
      <c r="AH240" s="65" t="str">
        <f aca="false">IF($Y240="","",CHOOSE($Y240,IF(OR(TRIM($F240)="",ISNUMBER(SEARCH("not named",$F240))),"Critical","Good"),IF($O240&lt;&gt;"Y","Critical",IF($Q240&lt;&gt;"Y","Warning","Good")),IF($P240="","Critical",IF($P240="partial","Warning",IF($P240="ready","Good","Critical"))),IF($R240&lt;&gt;"","Critical","Warning"),IF($L240="","Critical",IF($N240="","Warning","Good")),IF($R240&lt;&gt;"","Critical","Warning"),IF($R240&lt;&gt;"","Critical","Warning"),IF($Q240="Y","Good","Critical")))</f>
        <v/>
      </c>
      <c r="AI240" s="65" t="str">
        <f aca="false">IF($Y240="","",CHOOSE($Y240,IF(OR(TRIM($F240)="",ISNUMBER(SEARCH("not named",$F240))),"Name a sponsor accountable for the value",""),IF($O240&lt;&gt;"Y","State the success metric and the stop condition",IF($Q240&lt;&gt;"Y","Set the baseline the benefit will be measured against","")),IF($P240="","Assess data readiness and regulatory impact",IF($P240="partial","Close the known data gaps",IF($P240="ready","","Data is not available; reshape or park"))),IF($R240&lt;&gt;"",IF(OR(ISNUMBER(SEARCH("mrm",$R240)),ISNUMBER(SEARCH("model",$R240)),ISNUMBER(SEARCH("risk",$R240)),ISNUMBER(SEARCH("legal",$R240)),ISNUMBER(SEARCH("complian",$R240))),"Awaiting ","Held at the design gate: ")&amp;$R240,"Map the governance framework for its tier"),IF($L240="","Size the annual benefit",IF($N240="","Score it so it can be ranked against capacity","")),IF($R240&lt;&gt;"","Build held: "&amp;$R240,"In build, not yet through test"),IF($R240&lt;&gt;"","Not ready to scale: "&amp;$R240,"Monitoring and third-party review not yet signed off"),IF($Q240="Y","","Live without a measured baseline to judge it against")))</f>
        <v/>
      </c>
      <c r="AJ240" s="65" t="str">
        <f aca="false">IF($Y240="","",INDEX(StageForum,$Y240))</f>
        <v/>
      </c>
      <c r="AK240" s="65" t="str">
        <f aca="false">IF($Y240="","",IF(OR($X240="Delivery",$X240="Value"),"Committed",IF($N240&lt;&gt;"","Candidate","")))</f>
        <v/>
      </c>
      <c r="AL240" s="65" t="str">
        <f aca="false">IF($AK240&lt;&gt;"Candidate","",COUNTIFS($AK$2:$AK$501,"Candidate",$N$2:$N$501,"&gt;"&amp;$N240)+COUNTIFS($AK$2:$AK$501,"Candidate",$N$2:$N$501,$N240,$A$2:$A$501,"&lt;"&amp;$A240)+1)</f>
        <v/>
      </c>
      <c r="AM240" s="65" t="str">
        <f aca="false">IF($AL240="","",SUMIFS($M$2:$M$501,$AK$2:$AK$501,"Candidate",$AL$2:$AL$501,"&lt;="&amp;$AL240))</f>
        <v/>
      </c>
      <c r="AN240" s="65" t="str">
        <f aca="false">IF($AL240="","",IF($AM240&lt;=CapacityOpen,"Fits","Below line"))</f>
        <v/>
      </c>
      <c r="AO240" s="65" t="str">
        <f aca="false">IF($A240="","",IF($X240="Closed","",IF($X240="Unmapped","Warning",IF(OR($AB240="Overdue",$V240="Y",$AH240="Critical"),"Critical",IF(OR($AB240="At risk",$AC240="Stale",$AG240="Over"),"Warning","")))))</f>
        <v/>
      </c>
      <c r="AP240" s="65" t="str">
        <f aca="false">IF($AO240="","",IF($AO240="Critical",3000,2000)-IF($Z240="",0,$Z240)+ROW()/100000)</f>
        <v/>
      </c>
      <c r="AQ240" s="65" t="str">
        <f aca="false">IF($AO240="","",IF($X240="Unmapped","Status '"&amp;$C240&amp;"' is not in the Config map",IF($V240="Y","Flagged in Jira",IF($AB240="Overdue",-$Z240&amp;" days past its "&amp;$X240&amp;" target",IF($AH240="Critical",$AI240,IF($AB240="At risk","Target in "&amp;$Z240&amp;" days",IF($AC240="Stale","No update in "&amp;$AA240&amp;" days","Past its "&amp;$AE240&amp;"-day tier window")))))))</f>
        <v/>
      </c>
      <c r="AR240" s="65" t="str">
        <f aca="false">IF($AO240="","","draft Jira update for "&amp;$A240)</f>
        <v/>
      </c>
      <c r="AS240" s="65" t="str">
        <f aca="false">IF($A240="","",HYPERLINK(JiraSite&amp;"/browse/"&amp;$A240,"open"))</f>
        <v/>
      </c>
      <c r="AT240" s="65" t="str">
        <f aca="false">IF($Y240="","",$Y240*1000+ROW())</f>
        <v/>
      </c>
      <c r="AU240" s="65" t="str">
        <f aca="false">IF(AND($A240&lt;&gt;"",$G240&gt;=WeekStart),$G240+ROW()/100000,"")</f>
        <v/>
      </c>
      <c r="AV240" s="65" t="str">
        <f aca="false">IF($A240="","",IF(OR(AND($S240&lt;&gt;"",$S240&gt;=WeekStart),AND($U240&lt;&gt;"",$U240&gt;=WeekStart)),MAX($S240,$U240)+ROW()/100000,""))</f>
        <v/>
      </c>
      <c r="AW240" s="65" t="str">
        <f aca="false">IF($AV240="","",IF($T240&lt;&gt;"",$T240,IF($X240="Closed","Closed","Accepted to "&amp;$X240)))</f>
        <v/>
      </c>
      <c r="AX240" s="65" t="str">
        <f aca="false">IF(AND($Y240&lt;&gt;"",$R240&lt;&gt;""),$AF240+ROW()/100000,"")</f>
        <v/>
      </c>
      <c r="AY240" s="65" t="str">
        <f aca="false">IF(AND($Y240&lt;&gt;"",OR($AB240="Overdue",AND($AH240="Critical",$R240&lt;&gt;""))),$AF240+ROW()/100000,"")</f>
        <v/>
      </c>
      <c r="AZ240" s="65" t="str">
        <f aca="false">IF($AH240="Critical",$AF240+ROW()/100000,"")</f>
        <v/>
      </c>
    </row>
    <row r="241" customFormat="false" ht="15" hidden="false" customHeight="false" outlineLevel="0" collapsed="false">
      <c r="A241" s="28"/>
      <c r="B241" s="28"/>
      <c r="C241" s="28"/>
      <c r="D241" s="28"/>
      <c r="E241" s="28"/>
      <c r="F241" s="28"/>
      <c r="G241" s="63"/>
      <c r="H241" s="63"/>
      <c r="I241" s="63"/>
      <c r="J241" s="28"/>
      <c r="K241" s="28"/>
      <c r="L241" s="28"/>
      <c r="M241" s="28"/>
      <c r="N241" s="28"/>
      <c r="O241" s="64"/>
      <c r="P241" s="64"/>
      <c r="Q241" s="64"/>
      <c r="R241" s="28"/>
      <c r="S241" s="63"/>
      <c r="T241" s="64"/>
      <c r="U241" s="63"/>
      <c r="V241" s="64"/>
      <c r="W241" s="28"/>
      <c r="X241" s="65" t="str">
        <f aca="false">IF($A241="","",IF(OR($T241&lt;&gt;"",$U241&lt;&gt;""),"Closed",IFERROR(INDEX(MapStage,MATCH($C241,MapStatus,0)),"Unmapped")))</f>
        <v/>
      </c>
      <c r="Y241" s="65" t="str">
        <f aca="false">IF(OR($X241="",$X241="Closed",$X241="Unmapped"),"",MATCH($X241,StageName,0))</f>
        <v/>
      </c>
      <c r="Z241" s="65" t="str">
        <f aca="false">IF(OR($Y241="",$I241=""),"",$I241-AsOf)</f>
        <v/>
      </c>
      <c r="AA241" s="65" t="str">
        <f aca="false">IF($A241="","",AsOf-$H241)</f>
        <v/>
      </c>
      <c r="AB241" s="65" t="str">
        <f aca="false">IF($A241="","",IF($X241="Closed","Closed",IF($X241="Unmapped","Unmapped",IF($I241="","No target",IF($Z241&lt;0,"Overdue",IF($Z241&lt;=INDEX(StageWindow,$Y241),"At risk","On track"))))))</f>
        <v/>
      </c>
      <c r="AC241" s="65" t="str">
        <f aca="false">IF($Y241="","",IF($AA241&gt;2*INDEX(StageStale,$Y241),"Stale",IF($AA241&gt;INDEX(StageStale,$Y241),"Aging","Fresh")))</f>
        <v/>
      </c>
      <c r="AD241" s="65" t="str">
        <f aca="false">IF($A241="","",IF(OR(ISNUMBER(SEARCH("Reg report",$J241)),ISNUMBER(SEARCH("No human review",$J241)),COUNTIF(TierFuncs,$D241)&gt;0),"High",IF(OR(TRIM($J241)&lt;&gt;"",ISNUMBER(SEARCH("revenue",$K241))),"Medium","Low")))</f>
        <v/>
      </c>
      <c r="AE241" s="65" t="str">
        <f aca="false">IF($A241="","",INDEX(TierDays,MATCH($AD241,TierName,0)))</f>
        <v/>
      </c>
      <c r="AF241" s="65" t="str">
        <f aca="false">IF($A241="","",AsOf-$G241)</f>
        <v/>
      </c>
      <c r="AG241" s="65" t="str">
        <f aca="false">IF($Y241="","",IF($Y241&lt;=5,IF($AF241&gt;$AE241,"Over","Inside"),"Past approval"))</f>
        <v/>
      </c>
      <c r="AH241" s="65" t="str">
        <f aca="false">IF($Y241="","",CHOOSE($Y241,IF(OR(TRIM($F241)="",ISNUMBER(SEARCH("not named",$F241))),"Critical","Good"),IF($O241&lt;&gt;"Y","Critical",IF($Q241&lt;&gt;"Y","Warning","Good")),IF($P241="","Critical",IF($P241="partial","Warning",IF($P241="ready","Good","Critical"))),IF($R241&lt;&gt;"","Critical","Warning"),IF($L241="","Critical",IF($N241="","Warning","Good")),IF($R241&lt;&gt;"","Critical","Warning"),IF($R241&lt;&gt;"","Critical","Warning"),IF($Q241="Y","Good","Critical")))</f>
        <v/>
      </c>
      <c r="AI241" s="65" t="str">
        <f aca="false">IF($Y241="","",CHOOSE($Y241,IF(OR(TRIM($F241)="",ISNUMBER(SEARCH("not named",$F241))),"Name a sponsor accountable for the value",""),IF($O241&lt;&gt;"Y","State the success metric and the stop condition",IF($Q241&lt;&gt;"Y","Set the baseline the benefit will be measured against","")),IF($P241="","Assess data readiness and regulatory impact",IF($P241="partial","Close the known data gaps",IF($P241="ready","","Data is not available; reshape or park"))),IF($R241&lt;&gt;"",IF(OR(ISNUMBER(SEARCH("mrm",$R241)),ISNUMBER(SEARCH("model",$R241)),ISNUMBER(SEARCH("risk",$R241)),ISNUMBER(SEARCH("legal",$R241)),ISNUMBER(SEARCH("complian",$R241))),"Awaiting ","Held at the design gate: ")&amp;$R241,"Map the governance framework for its tier"),IF($L241="","Size the annual benefit",IF($N241="","Score it so it can be ranked against capacity","")),IF($R241&lt;&gt;"","Build held: "&amp;$R241,"In build, not yet through test"),IF($R241&lt;&gt;"","Not ready to scale: "&amp;$R241,"Monitoring and third-party review not yet signed off"),IF($Q241="Y","","Live without a measured baseline to judge it against")))</f>
        <v/>
      </c>
      <c r="AJ241" s="65" t="str">
        <f aca="false">IF($Y241="","",INDEX(StageForum,$Y241))</f>
        <v/>
      </c>
      <c r="AK241" s="65" t="str">
        <f aca="false">IF($Y241="","",IF(OR($X241="Delivery",$X241="Value"),"Committed",IF($N241&lt;&gt;"","Candidate","")))</f>
        <v/>
      </c>
      <c r="AL241" s="65" t="str">
        <f aca="false">IF($AK241&lt;&gt;"Candidate","",COUNTIFS($AK$2:$AK$501,"Candidate",$N$2:$N$501,"&gt;"&amp;$N241)+COUNTIFS($AK$2:$AK$501,"Candidate",$N$2:$N$501,$N241,$A$2:$A$501,"&lt;"&amp;$A241)+1)</f>
        <v/>
      </c>
      <c r="AM241" s="65" t="str">
        <f aca="false">IF($AL241="","",SUMIFS($M$2:$M$501,$AK$2:$AK$501,"Candidate",$AL$2:$AL$501,"&lt;="&amp;$AL241))</f>
        <v/>
      </c>
      <c r="AN241" s="65" t="str">
        <f aca="false">IF($AL241="","",IF($AM241&lt;=CapacityOpen,"Fits","Below line"))</f>
        <v/>
      </c>
      <c r="AO241" s="65" t="str">
        <f aca="false">IF($A241="","",IF($X241="Closed","",IF($X241="Unmapped","Warning",IF(OR($AB241="Overdue",$V241="Y",$AH241="Critical"),"Critical",IF(OR($AB241="At risk",$AC241="Stale",$AG241="Over"),"Warning","")))))</f>
        <v/>
      </c>
      <c r="AP241" s="65" t="str">
        <f aca="false">IF($AO241="","",IF($AO241="Critical",3000,2000)-IF($Z241="",0,$Z241)+ROW()/100000)</f>
        <v/>
      </c>
      <c r="AQ241" s="65" t="str">
        <f aca="false">IF($AO241="","",IF($X241="Unmapped","Status '"&amp;$C241&amp;"' is not in the Config map",IF($V241="Y","Flagged in Jira",IF($AB241="Overdue",-$Z241&amp;" days past its "&amp;$X241&amp;" target",IF($AH241="Critical",$AI241,IF($AB241="At risk","Target in "&amp;$Z241&amp;" days",IF($AC241="Stale","No update in "&amp;$AA241&amp;" days","Past its "&amp;$AE241&amp;"-day tier window")))))))</f>
        <v/>
      </c>
      <c r="AR241" s="65" t="str">
        <f aca="false">IF($AO241="","","draft Jira update for "&amp;$A241)</f>
        <v/>
      </c>
      <c r="AS241" s="65" t="str">
        <f aca="false">IF($A241="","",HYPERLINK(JiraSite&amp;"/browse/"&amp;$A241,"open"))</f>
        <v/>
      </c>
      <c r="AT241" s="65" t="str">
        <f aca="false">IF($Y241="","",$Y241*1000+ROW())</f>
        <v/>
      </c>
      <c r="AU241" s="65" t="str">
        <f aca="false">IF(AND($A241&lt;&gt;"",$G241&gt;=WeekStart),$G241+ROW()/100000,"")</f>
        <v/>
      </c>
      <c r="AV241" s="65" t="str">
        <f aca="false">IF($A241="","",IF(OR(AND($S241&lt;&gt;"",$S241&gt;=WeekStart),AND($U241&lt;&gt;"",$U241&gt;=WeekStart)),MAX($S241,$U241)+ROW()/100000,""))</f>
        <v/>
      </c>
      <c r="AW241" s="65" t="str">
        <f aca="false">IF($AV241="","",IF($T241&lt;&gt;"",$T241,IF($X241="Closed","Closed","Accepted to "&amp;$X241)))</f>
        <v/>
      </c>
      <c r="AX241" s="65" t="str">
        <f aca="false">IF(AND($Y241&lt;&gt;"",$R241&lt;&gt;""),$AF241+ROW()/100000,"")</f>
        <v/>
      </c>
      <c r="AY241" s="65" t="str">
        <f aca="false">IF(AND($Y241&lt;&gt;"",OR($AB241="Overdue",AND($AH241="Critical",$R241&lt;&gt;""))),$AF241+ROW()/100000,"")</f>
        <v/>
      </c>
      <c r="AZ241" s="65" t="str">
        <f aca="false">IF($AH241="Critical",$AF241+ROW()/100000,"")</f>
        <v/>
      </c>
    </row>
    <row r="242" customFormat="false" ht="15" hidden="false" customHeight="false" outlineLevel="0" collapsed="false">
      <c r="A242" s="28"/>
      <c r="B242" s="28"/>
      <c r="C242" s="28"/>
      <c r="D242" s="28"/>
      <c r="E242" s="28"/>
      <c r="F242" s="28"/>
      <c r="G242" s="63"/>
      <c r="H242" s="63"/>
      <c r="I242" s="63"/>
      <c r="J242" s="28"/>
      <c r="K242" s="28"/>
      <c r="L242" s="28"/>
      <c r="M242" s="28"/>
      <c r="N242" s="28"/>
      <c r="O242" s="64"/>
      <c r="P242" s="64"/>
      <c r="Q242" s="64"/>
      <c r="R242" s="28"/>
      <c r="S242" s="63"/>
      <c r="T242" s="64"/>
      <c r="U242" s="63"/>
      <c r="V242" s="64"/>
      <c r="W242" s="28"/>
      <c r="X242" s="65" t="str">
        <f aca="false">IF($A242="","",IF(OR($T242&lt;&gt;"",$U242&lt;&gt;""),"Closed",IFERROR(INDEX(MapStage,MATCH($C242,MapStatus,0)),"Unmapped")))</f>
        <v/>
      </c>
      <c r="Y242" s="65" t="str">
        <f aca="false">IF(OR($X242="",$X242="Closed",$X242="Unmapped"),"",MATCH($X242,StageName,0))</f>
        <v/>
      </c>
      <c r="Z242" s="65" t="str">
        <f aca="false">IF(OR($Y242="",$I242=""),"",$I242-AsOf)</f>
        <v/>
      </c>
      <c r="AA242" s="65" t="str">
        <f aca="false">IF($A242="","",AsOf-$H242)</f>
        <v/>
      </c>
      <c r="AB242" s="65" t="str">
        <f aca="false">IF($A242="","",IF($X242="Closed","Closed",IF($X242="Unmapped","Unmapped",IF($I242="","No target",IF($Z242&lt;0,"Overdue",IF($Z242&lt;=INDEX(StageWindow,$Y242),"At risk","On track"))))))</f>
        <v/>
      </c>
      <c r="AC242" s="65" t="str">
        <f aca="false">IF($Y242="","",IF($AA242&gt;2*INDEX(StageStale,$Y242),"Stale",IF($AA242&gt;INDEX(StageStale,$Y242),"Aging","Fresh")))</f>
        <v/>
      </c>
      <c r="AD242" s="65" t="str">
        <f aca="false">IF($A242="","",IF(OR(ISNUMBER(SEARCH("Reg report",$J242)),ISNUMBER(SEARCH("No human review",$J242)),COUNTIF(TierFuncs,$D242)&gt;0),"High",IF(OR(TRIM($J242)&lt;&gt;"",ISNUMBER(SEARCH("revenue",$K242))),"Medium","Low")))</f>
        <v/>
      </c>
      <c r="AE242" s="65" t="str">
        <f aca="false">IF($A242="","",INDEX(TierDays,MATCH($AD242,TierName,0)))</f>
        <v/>
      </c>
      <c r="AF242" s="65" t="str">
        <f aca="false">IF($A242="","",AsOf-$G242)</f>
        <v/>
      </c>
      <c r="AG242" s="65" t="str">
        <f aca="false">IF($Y242="","",IF($Y242&lt;=5,IF($AF242&gt;$AE242,"Over","Inside"),"Past approval"))</f>
        <v/>
      </c>
      <c r="AH242" s="65" t="str">
        <f aca="false">IF($Y242="","",CHOOSE($Y242,IF(OR(TRIM($F242)="",ISNUMBER(SEARCH("not named",$F242))),"Critical","Good"),IF($O242&lt;&gt;"Y","Critical",IF($Q242&lt;&gt;"Y","Warning","Good")),IF($P242="","Critical",IF($P242="partial","Warning",IF($P242="ready","Good","Critical"))),IF($R242&lt;&gt;"","Critical","Warning"),IF($L242="","Critical",IF($N242="","Warning","Good")),IF($R242&lt;&gt;"","Critical","Warning"),IF($R242&lt;&gt;"","Critical","Warning"),IF($Q242="Y","Good","Critical")))</f>
        <v/>
      </c>
      <c r="AI242" s="65" t="str">
        <f aca="false">IF($Y242="","",CHOOSE($Y242,IF(OR(TRIM($F242)="",ISNUMBER(SEARCH("not named",$F242))),"Name a sponsor accountable for the value",""),IF($O242&lt;&gt;"Y","State the success metric and the stop condition",IF($Q242&lt;&gt;"Y","Set the baseline the benefit will be measured against","")),IF($P242="","Assess data readiness and regulatory impact",IF($P242="partial","Close the known data gaps",IF($P242="ready","","Data is not available; reshape or park"))),IF($R242&lt;&gt;"",IF(OR(ISNUMBER(SEARCH("mrm",$R242)),ISNUMBER(SEARCH("model",$R242)),ISNUMBER(SEARCH("risk",$R242)),ISNUMBER(SEARCH("legal",$R242)),ISNUMBER(SEARCH("complian",$R242))),"Awaiting ","Held at the design gate: ")&amp;$R242,"Map the governance framework for its tier"),IF($L242="","Size the annual benefit",IF($N242="","Score it so it can be ranked against capacity","")),IF($R242&lt;&gt;"","Build held: "&amp;$R242,"In build, not yet through test"),IF($R242&lt;&gt;"","Not ready to scale: "&amp;$R242,"Monitoring and third-party review not yet signed off"),IF($Q242="Y","","Live without a measured baseline to judge it against")))</f>
        <v/>
      </c>
      <c r="AJ242" s="65" t="str">
        <f aca="false">IF($Y242="","",INDEX(StageForum,$Y242))</f>
        <v/>
      </c>
      <c r="AK242" s="65" t="str">
        <f aca="false">IF($Y242="","",IF(OR($X242="Delivery",$X242="Value"),"Committed",IF($N242&lt;&gt;"","Candidate","")))</f>
        <v/>
      </c>
      <c r="AL242" s="65" t="str">
        <f aca="false">IF($AK242&lt;&gt;"Candidate","",COUNTIFS($AK$2:$AK$501,"Candidate",$N$2:$N$501,"&gt;"&amp;$N242)+COUNTIFS($AK$2:$AK$501,"Candidate",$N$2:$N$501,$N242,$A$2:$A$501,"&lt;"&amp;$A242)+1)</f>
        <v/>
      </c>
      <c r="AM242" s="65" t="str">
        <f aca="false">IF($AL242="","",SUMIFS($M$2:$M$501,$AK$2:$AK$501,"Candidate",$AL$2:$AL$501,"&lt;="&amp;$AL242))</f>
        <v/>
      </c>
      <c r="AN242" s="65" t="str">
        <f aca="false">IF($AL242="","",IF($AM242&lt;=CapacityOpen,"Fits","Below line"))</f>
        <v/>
      </c>
      <c r="AO242" s="65" t="str">
        <f aca="false">IF($A242="","",IF($X242="Closed","",IF($X242="Unmapped","Warning",IF(OR($AB242="Overdue",$V242="Y",$AH242="Critical"),"Critical",IF(OR($AB242="At risk",$AC242="Stale",$AG242="Over"),"Warning","")))))</f>
        <v/>
      </c>
      <c r="AP242" s="65" t="str">
        <f aca="false">IF($AO242="","",IF($AO242="Critical",3000,2000)-IF($Z242="",0,$Z242)+ROW()/100000)</f>
        <v/>
      </c>
      <c r="AQ242" s="65" t="str">
        <f aca="false">IF($AO242="","",IF($X242="Unmapped","Status '"&amp;$C242&amp;"' is not in the Config map",IF($V242="Y","Flagged in Jira",IF($AB242="Overdue",-$Z242&amp;" days past its "&amp;$X242&amp;" target",IF($AH242="Critical",$AI242,IF($AB242="At risk","Target in "&amp;$Z242&amp;" days",IF($AC242="Stale","No update in "&amp;$AA242&amp;" days","Past its "&amp;$AE242&amp;"-day tier window")))))))</f>
        <v/>
      </c>
      <c r="AR242" s="65" t="str">
        <f aca="false">IF($AO242="","","draft Jira update for "&amp;$A242)</f>
        <v/>
      </c>
      <c r="AS242" s="65" t="str">
        <f aca="false">IF($A242="","",HYPERLINK(JiraSite&amp;"/browse/"&amp;$A242,"open"))</f>
        <v/>
      </c>
      <c r="AT242" s="65" t="str">
        <f aca="false">IF($Y242="","",$Y242*1000+ROW())</f>
        <v/>
      </c>
      <c r="AU242" s="65" t="str">
        <f aca="false">IF(AND($A242&lt;&gt;"",$G242&gt;=WeekStart),$G242+ROW()/100000,"")</f>
        <v/>
      </c>
      <c r="AV242" s="65" t="str">
        <f aca="false">IF($A242="","",IF(OR(AND($S242&lt;&gt;"",$S242&gt;=WeekStart),AND($U242&lt;&gt;"",$U242&gt;=WeekStart)),MAX($S242,$U242)+ROW()/100000,""))</f>
        <v/>
      </c>
      <c r="AW242" s="65" t="str">
        <f aca="false">IF($AV242="","",IF($T242&lt;&gt;"",$T242,IF($X242="Closed","Closed","Accepted to "&amp;$X242)))</f>
        <v/>
      </c>
      <c r="AX242" s="65" t="str">
        <f aca="false">IF(AND($Y242&lt;&gt;"",$R242&lt;&gt;""),$AF242+ROW()/100000,"")</f>
        <v/>
      </c>
      <c r="AY242" s="65" t="str">
        <f aca="false">IF(AND($Y242&lt;&gt;"",OR($AB242="Overdue",AND($AH242="Critical",$R242&lt;&gt;""))),$AF242+ROW()/100000,"")</f>
        <v/>
      </c>
      <c r="AZ242" s="65" t="str">
        <f aca="false">IF($AH242="Critical",$AF242+ROW()/100000,"")</f>
        <v/>
      </c>
    </row>
    <row r="243" customFormat="false" ht="15" hidden="false" customHeight="false" outlineLevel="0" collapsed="false">
      <c r="A243" s="28"/>
      <c r="B243" s="28"/>
      <c r="C243" s="28"/>
      <c r="D243" s="28"/>
      <c r="E243" s="28"/>
      <c r="F243" s="28"/>
      <c r="G243" s="63"/>
      <c r="H243" s="63"/>
      <c r="I243" s="63"/>
      <c r="J243" s="28"/>
      <c r="K243" s="28"/>
      <c r="L243" s="28"/>
      <c r="M243" s="28"/>
      <c r="N243" s="28"/>
      <c r="O243" s="64"/>
      <c r="P243" s="64"/>
      <c r="Q243" s="64"/>
      <c r="R243" s="28"/>
      <c r="S243" s="63"/>
      <c r="T243" s="64"/>
      <c r="U243" s="63"/>
      <c r="V243" s="64"/>
      <c r="W243" s="28"/>
      <c r="X243" s="65" t="str">
        <f aca="false">IF($A243="","",IF(OR($T243&lt;&gt;"",$U243&lt;&gt;""),"Closed",IFERROR(INDEX(MapStage,MATCH($C243,MapStatus,0)),"Unmapped")))</f>
        <v/>
      </c>
      <c r="Y243" s="65" t="str">
        <f aca="false">IF(OR($X243="",$X243="Closed",$X243="Unmapped"),"",MATCH($X243,StageName,0))</f>
        <v/>
      </c>
      <c r="Z243" s="65" t="str">
        <f aca="false">IF(OR($Y243="",$I243=""),"",$I243-AsOf)</f>
        <v/>
      </c>
      <c r="AA243" s="65" t="str">
        <f aca="false">IF($A243="","",AsOf-$H243)</f>
        <v/>
      </c>
      <c r="AB243" s="65" t="str">
        <f aca="false">IF($A243="","",IF($X243="Closed","Closed",IF($X243="Unmapped","Unmapped",IF($I243="","No target",IF($Z243&lt;0,"Overdue",IF($Z243&lt;=INDEX(StageWindow,$Y243),"At risk","On track"))))))</f>
        <v/>
      </c>
      <c r="AC243" s="65" t="str">
        <f aca="false">IF($Y243="","",IF($AA243&gt;2*INDEX(StageStale,$Y243),"Stale",IF($AA243&gt;INDEX(StageStale,$Y243),"Aging","Fresh")))</f>
        <v/>
      </c>
      <c r="AD243" s="65" t="str">
        <f aca="false">IF($A243="","",IF(OR(ISNUMBER(SEARCH("Reg report",$J243)),ISNUMBER(SEARCH("No human review",$J243)),COUNTIF(TierFuncs,$D243)&gt;0),"High",IF(OR(TRIM($J243)&lt;&gt;"",ISNUMBER(SEARCH("revenue",$K243))),"Medium","Low")))</f>
        <v/>
      </c>
      <c r="AE243" s="65" t="str">
        <f aca="false">IF($A243="","",INDEX(TierDays,MATCH($AD243,TierName,0)))</f>
        <v/>
      </c>
      <c r="AF243" s="65" t="str">
        <f aca="false">IF($A243="","",AsOf-$G243)</f>
        <v/>
      </c>
      <c r="AG243" s="65" t="str">
        <f aca="false">IF($Y243="","",IF($Y243&lt;=5,IF($AF243&gt;$AE243,"Over","Inside"),"Past approval"))</f>
        <v/>
      </c>
      <c r="AH243" s="65" t="str">
        <f aca="false">IF($Y243="","",CHOOSE($Y243,IF(OR(TRIM($F243)="",ISNUMBER(SEARCH("not named",$F243))),"Critical","Good"),IF($O243&lt;&gt;"Y","Critical",IF($Q243&lt;&gt;"Y","Warning","Good")),IF($P243="","Critical",IF($P243="partial","Warning",IF($P243="ready","Good","Critical"))),IF($R243&lt;&gt;"","Critical","Warning"),IF($L243="","Critical",IF($N243="","Warning","Good")),IF($R243&lt;&gt;"","Critical","Warning"),IF($R243&lt;&gt;"","Critical","Warning"),IF($Q243="Y","Good","Critical")))</f>
        <v/>
      </c>
      <c r="AI243" s="65" t="str">
        <f aca="false">IF($Y243="","",CHOOSE($Y243,IF(OR(TRIM($F243)="",ISNUMBER(SEARCH("not named",$F243))),"Name a sponsor accountable for the value",""),IF($O243&lt;&gt;"Y","State the success metric and the stop condition",IF($Q243&lt;&gt;"Y","Set the baseline the benefit will be measured against","")),IF($P243="","Assess data readiness and regulatory impact",IF($P243="partial","Close the known data gaps",IF($P243="ready","","Data is not available; reshape or park"))),IF($R243&lt;&gt;"",IF(OR(ISNUMBER(SEARCH("mrm",$R243)),ISNUMBER(SEARCH("model",$R243)),ISNUMBER(SEARCH("risk",$R243)),ISNUMBER(SEARCH("legal",$R243)),ISNUMBER(SEARCH("complian",$R243))),"Awaiting ","Held at the design gate: ")&amp;$R243,"Map the governance framework for its tier"),IF($L243="","Size the annual benefit",IF($N243="","Score it so it can be ranked against capacity","")),IF($R243&lt;&gt;"","Build held: "&amp;$R243,"In build, not yet through test"),IF($R243&lt;&gt;"","Not ready to scale: "&amp;$R243,"Monitoring and third-party review not yet signed off"),IF($Q243="Y","","Live without a measured baseline to judge it against")))</f>
        <v/>
      </c>
      <c r="AJ243" s="65" t="str">
        <f aca="false">IF($Y243="","",INDEX(StageForum,$Y243))</f>
        <v/>
      </c>
      <c r="AK243" s="65" t="str">
        <f aca="false">IF($Y243="","",IF(OR($X243="Delivery",$X243="Value"),"Committed",IF($N243&lt;&gt;"","Candidate","")))</f>
        <v/>
      </c>
      <c r="AL243" s="65" t="str">
        <f aca="false">IF($AK243&lt;&gt;"Candidate","",COUNTIFS($AK$2:$AK$501,"Candidate",$N$2:$N$501,"&gt;"&amp;$N243)+COUNTIFS($AK$2:$AK$501,"Candidate",$N$2:$N$501,$N243,$A$2:$A$501,"&lt;"&amp;$A243)+1)</f>
        <v/>
      </c>
      <c r="AM243" s="65" t="str">
        <f aca="false">IF($AL243="","",SUMIFS($M$2:$M$501,$AK$2:$AK$501,"Candidate",$AL$2:$AL$501,"&lt;="&amp;$AL243))</f>
        <v/>
      </c>
      <c r="AN243" s="65" t="str">
        <f aca="false">IF($AL243="","",IF($AM243&lt;=CapacityOpen,"Fits","Below line"))</f>
        <v/>
      </c>
      <c r="AO243" s="65" t="str">
        <f aca="false">IF($A243="","",IF($X243="Closed","",IF($X243="Unmapped","Warning",IF(OR($AB243="Overdue",$V243="Y",$AH243="Critical"),"Critical",IF(OR($AB243="At risk",$AC243="Stale",$AG243="Over"),"Warning","")))))</f>
        <v/>
      </c>
      <c r="AP243" s="65" t="str">
        <f aca="false">IF($AO243="","",IF($AO243="Critical",3000,2000)-IF($Z243="",0,$Z243)+ROW()/100000)</f>
        <v/>
      </c>
      <c r="AQ243" s="65" t="str">
        <f aca="false">IF($AO243="","",IF($X243="Unmapped","Status '"&amp;$C243&amp;"' is not in the Config map",IF($V243="Y","Flagged in Jira",IF($AB243="Overdue",-$Z243&amp;" days past its "&amp;$X243&amp;" target",IF($AH243="Critical",$AI243,IF($AB243="At risk","Target in "&amp;$Z243&amp;" days",IF($AC243="Stale","No update in "&amp;$AA243&amp;" days","Past its "&amp;$AE243&amp;"-day tier window")))))))</f>
        <v/>
      </c>
      <c r="AR243" s="65" t="str">
        <f aca="false">IF($AO243="","","draft Jira update for "&amp;$A243)</f>
        <v/>
      </c>
      <c r="AS243" s="65" t="str">
        <f aca="false">IF($A243="","",HYPERLINK(JiraSite&amp;"/browse/"&amp;$A243,"open"))</f>
        <v/>
      </c>
      <c r="AT243" s="65" t="str">
        <f aca="false">IF($Y243="","",$Y243*1000+ROW())</f>
        <v/>
      </c>
      <c r="AU243" s="65" t="str">
        <f aca="false">IF(AND($A243&lt;&gt;"",$G243&gt;=WeekStart),$G243+ROW()/100000,"")</f>
        <v/>
      </c>
      <c r="AV243" s="65" t="str">
        <f aca="false">IF($A243="","",IF(OR(AND($S243&lt;&gt;"",$S243&gt;=WeekStart),AND($U243&lt;&gt;"",$U243&gt;=WeekStart)),MAX($S243,$U243)+ROW()/100000,""))</f>
        <v/>
      </c>
      <c r="AW243" s="65" t="str">
        <f aca="false">IF($AV243="","",IF($T243&lt;&gt;"",$T243,IF($X243="Closed","Closed","Accepted to "&amp;$X243)))</f>
        <v/>
      </c>
      <c r="AX243" s="65" t="str">
        <f aca="false">IF(AND($Y243&lt;&gt;"",$R243&lt;&gt;""),$AF243+ROW()/100000,"")</f>
        <v/>
      </c>
      <c r="AY243" s="65" t="str">
        <f aca="false">IF(AND($Y243&lt;&gt;"",OR($AB243="Overdue",AND($AH243="Critical",$R243&lt;&gt;""))),$AF243+ROW()/100000,"")</f>
        <v/>
      </c>
      <c r="AZ243" s="65" t="str">
        <f aca="false">IF($AH243="Critical",$AF243+ROW()/100000,"")</f>
        <v/>
      </c>
    </row>
    <row r="244" customFormat="false" ht="15" hidden="false" customHeight="false" outlineLevel="0" collapsed="false">
      <c r="A244" s="28"/>
      <c r="B244" s="28"/>
      <c r="C244" s="28"/>
      <c r="D244" s="28"/>
      <c r="E244" s="28"/>
      <c r="F244" s="28"/>
      <c r="G244" s="63"/>
      <c r="H244" s="63"/>
      <c r="I244" s="63"/>
      <c r="J244" s="28"/>
      <c r="K244" s="28"/>
      <c r="L244" s="28"/>
      <c r="M244" s="28"/>
      <c r="N244" s="28"/>
      <c r="O244" s="64"/>
      <c r="P244" s="64"/>
      <c r="Q244" s="64"/>
      <c r="R244" s="28"/>
      <c r="S244" s="63"/>
      <c r="T244" s="64"/>
      <c r="U244" s="63"/>
      <c r="V244" s="64"/>
      <c r="W244" s="28"/>
      <c r="X244" s="65" t="str">
        <f aca="false">IF($A244="","",IF(OR($T244&lt;&gt;"",$U244&lt;&gt;""),"Closed",IFERROR(INDEX(MapStage,MATCH($C244,MapStatus,0)),"Unmapped")))</f>
        <v/>
      </c>
      <c r="Y244" s="65" t="str">
        <f aca="false">IF(OR($X244="",$X244="Closed",$X244="Unmapped"),"",MATCH($X244,StageName,0))</f>
        <v/>
      </c>
      <c r="Z244" s="65" t="str">
        <f aca="false">IF(OR($Y244="",$I244=""),"",$I244-AsOf)</f>
        <v/>
      </c>
      <c r="AA244" s="65" t="str">
        <f aca="false">IF($A244="","",AsOf-$H244)</f>
        <v/>
      </c>
      <c r="AB244" s="65" t="str">
        <f aca="false">IF($A244="","",IF($X244="Closed","Closed",IF($X244="Unmapped","Unmapped",IF($I244="","No target",IF($Z244&lt;0,"Overdue",IF($Z244&lt;=INDEX(StageWindow,$Y244),"At risk","On track"))))))</f>
        <v/>
      </c>
      <c r="AC244" s="65" t="str">
        <f aca="false">IF($Y244="","",IF($AA244&gt;2*INDEX(StageStale,$Y244),"Stale",IF($AA244&gt;INDEX(StageStale,$Y244),"Aging","Fresh")))</f>
        <v/>
      </c>
      <c r="AD244" s="65" t="str">
        <f aca="false">IF($A244="","",IF(OR(ISNUMBER(SEARCH("Reg report",$J244)),ISNUMBER(SEARCH("No human review",$J244)),COUNTIF(TierFuncs,$D244)&gt;0),"High",IF(OR(TRIM($J244)&lt;&gt;"",ISNUMBER(SEARCH("revenue",$K244))),"Medium","Low")))</f>
        <v/>
      </c>
      <c r="AE244" s="65" t="str">
        <f aca="false">IF($A244="","",INDEX(TierDays,MATCH($AD244,TierName,0)))</f>
        <v/>
      </c>
      <c r="AF244" s="65" t="str">
        <f aca="false">IF($A244="","",AsOf-$G244)</f>
        <v/>
      </c>
      <c r="AG244" s="65" t="str">
        <f aca="false">IF($Y244="","",IF($Y244&lt;=5,IF($AF244&gt;$AE244,"Over","Inside"),"Past approval"))</f>
        <v/>
      </c>
      <c r="AH244" s="65" t="str">
        <f aca="false">IF($Y244="","",CHOOSE($Y244,IF(OR(TRIM($F244)="",ISNUMBER(SEARCH("not named",$F244))),"Critical","Good"),IF($O244&lt;&gt;"Y","Critical",IF($Q244&lt;&gt;"Y","Warning","Good")),IF($P244="","Critical",IF($P244="partial","Warning",IF($P244="ready","Good","Critical"))),IF($R244&lt;&gt;"","Critical","Warning"),IF($L244="","Critical",IF($N244="","Warning","Good")),IF($R244&lt;&gt;"","Critical","Warning"),IF($R244&lt;&gt;"","Critical","Warning"),IF($Q244="Y","Good","Critical")))</f>
        <v/>
      </c>
      <c r="AI244" s="65" t="str">
        <f aca="false">IF($Y244="","",CHOOSE($Y244,IF(OR(TRIM($F244)="",ISNUMBER(SEARCH("not named",$F244))),"Name a sponsor accountable for the value",""),IF($O244&lt;&gt;"Y","State the success metric and the stop condition",IF($Q244&lt;&gt;"Y","Set the baseline the benefit will be measured against","")),IF($P244="","Assess data readiness and regulatory impact",IF($P244="partial","Close the known data gaps",IF($P244="ready","","Data is not available; reshape or park"))),IF($R244&lt;&gt;"",IF(OR(ISNUMBER(SEARCH("mrm",$R244)),ISNUMBER(SEARCH("model",$R244)),ISNUMBER(SEARCH("risk",$R244)),ISNUMBER(SEARCH("legal",$R244)),ISNUMBER(SEARCH("complian",$R244))),"Awaiting ","Held at the design gate: ")&amp;$R244,"Map the governance framework for its tier"),IF($L244="","Size the annual benefit",IF($N244="","Score it so it can be ranked against capacity","")),IF($R244&lt;&gt;"","Build held: "&amp;$R244,"In build, not yet through test"),IF($R244&lt;&gt;"","Not ready to scale: "&amp;$R244,"Monitoring and third-party review not yet signed off"),IF($Q244="Y","","Live without a measured baseline to judge it against")))</f>
        <v/>
      </c>
      <c r="AJ244" s="65" t="str">
        <f aca="false">IF($Y244="","",INDEX(StageForum,$Y244))</f>
        <v/>
      </c>
      <c r="AK244" s="65" t="str">
        <f aca="false">IF($Y244="","",IF(OR($X244="Delivery",$X244="Value"),"Committed",IF($N244&lt;&gt;"","Candidate","")))</f>
        <v/>
      </c>
      <c r="AL244" s="65" t="str">
        <f aca="false">IF($AK244&lt;&gt;"Candidate","",COUNTIFS($AK$2:$AK$501,"Candidate",$N$2:$N$501,"&gt;"&amp;$N244)+COUNTIFS($AK$2:$AK$501,"Candidate",$N$2:$N$501,$N244,$A$2:$A$501,"&lt;"&amp;$A244)+1)</f>
        <v/>
      </c>
      <c r="AM244" s="65" t="str">
        <f aca="false">IF($AL244="","",SUMIFS($M$2:$M$501,$AK$2:$AK$501,"Candidate",$AL$2:$AL$501,"&lt;="&amp;$AL244))</f>
        <v/>
      </c>
      <c r="AN244" s="65" t="str">
        <f aca="false">IF($AL244="","",IF($AM244&lt;=CapacityOpen,"Fits","Below line"))</f>
        <v/>
      </c>
      <c r="AO244" s="65" t="str">
        <f aca="false">IF($A244="","",IF($X244="Closed","",IF($X244="Unmapped","Warning",IF(OR($AB244="Overdue",$V244="Y",$AH244="Critical"),"Critical",IF(OR($AB244="At risk",$AC244="Stale",$AG244="Over"),"Warning","")))))</f>
        <v/>
      </c>
      <c r="AP244" s="65" t="str">
        <f aca="false">IF($AO244="","",IF($AO244="Critical",3000,2000)-IF($Z244="",0,$Z244)+ROW()/100000)</f>
        <v/>
      </c>
      <c r="AQ244" s="65" t="str">
        <f aca="false">IF($AO244="","",IF($X244="Unmapped","Status '"&amp;$C244&amp;"' is not in the Config map",IF($V244="Y","Flagged in Jira",IF($AB244="Overdue",-$Z244&amp;" days past its "&amp;$X244&amp;" target",IF($AH244="Critical",$AI244,IF($AB244="At risk","Target in "&amp;$Z244&amp;" days",IF($AC244="Stale","No update in "&amp;$AA244&amp;" days","Past its "&amp;$AE244&amp;"-day tier window")))))))</f>
        <v/>
      </c>
      <c r="AR244" s="65" t="str">
        <f aca="false">IF($AO244="","","draft Jira update for "&amp;$A244)</f>
        <v/>
      </c>
      <c r="AS244" s="65" t="str">
        <f aca="false">IF($A244="","",HYPERLINK(JiraSite&amp;"/browse/"&amp;$A244,"open"))</f>
        <v/>
      </c>
      <c r="AT244" s="65" t="str">
        <f aca="false">IF($Y244="","",$Y244*1000+ROW())</f>
        <v/>
      </c>
      <c r="AU244" s="65" t="str">
        <f aca="false">IF(AND($A244&lt;&gt;"",$G244&gt;=WeekStart),$G244+ROW()/100000,"")</f>
        <v/>
      </c>
      <c r="AV244" s="65" t="str">
        <f aca="false">IF($A244="","",IF(OR(AND($S244&lt;&gt;"",$S244&gt;=WeekStart),AND($U244&lt;&gt;"",$U244&gt;=WeekStart)),MAX($S244,$U244)+ROW()/100000,""))</f>
        <v/>
      </c>
      <c r="AW244" s="65" t="str">
        <f aca="false">IF($AV244="","",IF($T244&lt;&gt;"",$T244,IF($X244="Closed","Closed","Accepted to "&amp;$X244)))</f>
        <v/>
      </c>
      <c r="AX244" s="65" t="str">
        <f aca="false">IF(AND($Y244&lt;&gt;"",$R244&lt;&gt;""),$AF244+ROW()/100000,"")</f>
        <v/>
      </c>
      <c r="AY244" s="65" t="str">
        <f aca="false">IF(AND($Y244&lt;&gt;"",OR($AB244="Overdue",AND($AH244="Critical",$R244&lt;&gt;""))),$AF244+ROW()/100000,"")</f>
        <v/>
      </c>
      <c r="AZ244" s="65" t="str">
        <f aca="false">IF($AH244="Critical",$AF244+ROW()/100000,"")</f>
        <v/>
      </c>
    </row>
    <row r="245" customFormat="false" ht="15" hidden="false" customHeight="false" outlineLevel="0" collapsed="false">
      <c r="A245" s="28"/>
      <c r="B245" s="28"/>
      <c r="C245" s="28"/>
      <c r="D245" s="28"/>
      <c r="E245" s="28"/>
      <c r="F245" s="28"/>
      <c r="G245" s="63"/>
      <c r="H245" s="63"/>
      <c r="I245" s="63"/>
      <c r="J245" s="28"/>
      <c r="K245" s="28"/>
      <c r="L245" s="28"/>
      <c r="M245" s="28"/>
      <c r="N245" s="28"/>
      <c r="O245" s="64"/>
      <c r="P245" s="64"/>
      <c r="Q245" s="64"/>
      <c r="R245" s="28"/>
      <c r="S245" s="63"/>
      <c r="T245" s="64"/>
      <c r="U245" s="63"/>
      <c r="V245" s="64"/>
      <c r="W245" s="28"/>
      <c r="X245" s="65" t="str">
        <f aca="false">IF($A245="","",IF(OR($T245&lt;&gt;"",$U245&lt;&gt;""),"Closed",IFERROR(INDEX(MapStage,MATCH($C245,MapStatus,0)),"Unmapped")))</f>
        <v/>
      </c>
      <c r="Y245" s="65" t="str">
        <f aca="false">IF(OR($X245="",$X245="Closed",$X245="Unmapped"),"",MATCH($X245,StageName,0))</f>
        <v/>
      </c>
      <c r="Z245" s="65" t="str">
        <f aca="false">IF(OR($Y245="",$I245=""),"",$I245-AsOf)</f>
        <v/>
      </c>
      <c r="AA245" s="65" t="str">
        <f aca="false">IF($A245="","",AsOf-$H245)</f>
        <v/>
      </c>
      <c r="AB245" s="65" t="str">
        <f aca="false">IF($A245="","",IF($X245="Closed","Closed",IF($X245="Unmapped","Unmapped",IF($I245="","No target",IF($Z245&lt;0,"Overdue",IF($Z245&lt;=INDEX(StageWindow,$Y245),"At risk","On track"))))))</f>
        <v/>
      </c>
      <c r="AC245" s="65" t="str">
        <f aca="false">IF($Y245="","",IF($AA245&gt;2*INDEX(StageStale,$Y245),"Stale",IF($AA245&gt;INDEX(StageStale,$Y245),"Aging","Fresh")))</f>
        <v/>
      </c>
      <c r="AD245" s="65" t="str">
        <f aca="false">IF($A245="","",IF(OR(ISNUMBER(SEARCH("Reg report",$J245)),ISNUMBER(SEARCH("No human review",$J245)),COUNTIF(TierFuncs,$D245)&gt;0),"High",IF(OR(TRIM($J245)&lt;&gt;"",ISNUMBER(SEARCH("revenue",$K245))),"Medium","Low")))</f>
        <v/>
      </c>
      <c r="AE245" s="65" t="str">
        <f aca="false">IF($A245="","",INDEX(TierDays,MATCH($AD245,TierName,0)))</f>
        <v/>
      </c>
      <c r="AF245" s="65" t="str">
        <f aca="false">IF($A245="","",AsOf-$G245)</f>
        <v/>
      </c>
      <c r="AG245" s="65" t="str">
        <f aca="false">IF($Y245="","",IF($Y245&lt;=5,IF($AF245&gt;$AE245,"Over","Inside"),"Past approval"))</f>
        <v/>
      </c>
      <c r="AH245" s="65" t="str">
        <f aca="false">IF($Y245="","",CHOOSE($Y245,IF(OR(TRIM($F245)="",ISNUMBER(SEARCH("not named",$F245))),"Critical","Good"),IF($O245&lt;&gt;"Y","Critical",IF($Q245&lt;&gt;"Y","Warning","Good")),IF($P245="","Critical",IF($P245="partial","Warning",IF($P245="ready","Good","Critical"))),IF($R245&lt;&gt;"","Critical","Warning"),IF($L245="","Critical",IF($N245="","Warning","Good")),IF($R245&lt;&gt;"","Critical","Warning"),IF($R245&lt;&gt;"","Critical","Warning"),IF($Q245="Y","Good","Critical")))</f>
        <v/>
      </c>
      <c r="AI245" s="65" t="str">
        <f aca="false">IF($Y245="","",CHOOSE($Y245,IF(OR(TRIM($F245)="",ISNUMBER(SEARCH("not named",$F245))),"Name a sponsor accountable for the value",""),IF($O245&lt;&gt;"Y","State the success metric and the stop condition",IF($Q245&lt;&gt;"Y","Set the baseline the benefit will be measured against","")),IF($P245="","Assess data readiness and regulatory impact",IF($P245="partial","Close the known data gaps",IF($P245="ready","","Data is not available; reshape or park"))),IF($R245&lt;&gt;"",IF(OR(ISNUMBER(SEARCH("mrm",$R245)),ISNUMBER(SEARCH("model",$R245)),ISNUMBER(SEARCH("risk",$R245)),ISNUMBER(SEARCH("legal",$R245)),ISNUMBER(SEARCH("complian",$R245))),"Awaiting ","Held at the design gate: ")&amp;$R245,"Map the governance framework for its tier"),IF($L245="","Size the annual benefit",IF($N245="","Score it so it can be ranked against capacity","")),IF($R245&lt;&gt;"","Build held: "&amp;$R245,"In build, not yet through test"),IF($R245&lt;&gt;"","Not ready to scale: "&amp;$R245,"Monitoring and third-party review not yet signed off"),IF($Q245="Y","","Live without a measured baseline to judge it against")))</f>
        <v/>
      </c>
      <c r="AJ245" s="65" t="str">
        <f aca="false">IF($Y245="","",INDEX(StageForum,$Y245))</f>
        <v/>
      </c>
      <c r="AK245" s="65" t="str">
        <f aca="false">IF($Y245="","",IF(OR($X245="Delivery",$X245="Value"),"Committed",IF($N245&lt;&gt;"","Candidate","")))</f>
        <v/>
      </c>
      <c r="AL245" s="65" t="str">
        <f aca="false">IF($AK245&lt;&gt;"Candidate","",COUNTIFS($AK$2:$AK$501,"Candidate",$N$2:$N$501,"&gt;"&amp;$N245)+COUNTIFS($AK$2:$AK$501,"Candidate",$N$2:$N$501,$N245,$A$2:$A$501,"&lt;"&amp;$A245)+1)</f>
        <v/>
      </c>
      <c r="AM245" s="65" t="str">
        <f aca="false">IF($AL245="","",SUMIFS($M$2:$M$501,$AK$2:$AK$501,"Candidate",$AL$2:$AL$501,"&lt;="&amp;$AL245))</f>
        <v/>
      </c>
      <c r="AN245" s="65" t="str">
        <f aca="false">IF($AL245="","",IF($AM245&lt;=CapacityOpen,"Fits","Below line"))</f>
        <v/>
      </c>
      <c r="AO245" s="65" t="str">
        <f aca="false">IF($A245="","",IF($X245="Closed","",IF($X245="Unmapped","Warning",IF(OR($AB245="Overdue",$V245="Y",$AH245="Critical"),"Critical",IF(OR($AB245="At risk",$AC245="Stale",$AG245="Over"),"Warning","")))))</f>
        <v/>
      </c>
      <c r="AP245" s="65" t="str">
        <f aca="false">IF($AO245="","",IF($AO245="Critical",3000,2000)-IF($Z245="",0,$Z245)+ROW()/100000)</f>
        <v/>
      </c>
      <c r="AQ245" s="65" t="str">
        <f aca="false">IF($AO245="","",IF($X245="Unmapped","Status '"&amp;$C245&amp;"' is not in the Config map",IF($V245="Y","Flagged in Jira",IF($AB245="Overdue",-$Z245&amp;" days past its "&amp;$X245&amp;" target",IF($AH245="Critical",$AI245,IF($AB245="At risk","Target in "&amp;$Z245&amp;" days",IF($AC245="Stale","No update in "&amp;$AA245&amp;" days","Past its "&amp;$AE245&amp;"-day tier window")))))))</f>
        <v/>
      </c>
      <c r="AR245" s="65" t="str">
        <f aca="false">IF($AO245="","","draft Jira update for "&amp;$A245)</f>
        <v/>
      </c>
      <c r="AS245" s="65" t="str">
        <f aca="false">IF($A245="","",HYPERLINK(JiraSite&amp;"/browse/"&amp;$A245,"open"))</f>
        <v/>
      </c>
      <c r="AT245" s="65" t="str">
        <f aca="false">IF($Y245="","",$Y245*1000+ROW())</f>
        <v/>
      </c>
      <c r="AU245" s="65" t="str">
        <f aca="false">IF(AND($A245&lt;&gt;"",$G245&gt;=WeekStart),$G245+ROW()/100000,"")</f>
        <v/>
      </c>
      <c r="AV245" s="65" t="str">
        <f aca="false">IF($A245="","",IF(OR(AND($S245&lt;&gt;"",$S245&gt;=WeekStart),AND($U245&lt;&gt;"",$U245&gt;=WeekStart)),MAX($S245,$U245)+ROW()/100000,""))</f>
        <v/>
      </c>
      <c r="AW245" s="65" t="str">
        <f aca="false">IF($AV245="","",IF($T245&lt;&gt;"",$T245,IF($X245="Closed","Closed","Accepted to "&amp;$X245)))</f>
        <v/>
      </c>
      <c r="AX245" s="65" t="str">
        <f aca="false">IF(AND($Y245&lt;&gt;"",$R245&lt;&gt;""),$AF245+ROW()/100000,"")</f>
        <v/>
      </c>
      <c r="AY245" s="65" t="str">
        <f aca="false">IF(AND($Y245&lt;&gt;"",OR($AB245="Overdue",AND($AH245="Critical",$R245&lt;&gt;""))),$AF245+ROW()/100000,"")</f>
        <v/>
      </c>
      <c r="AZ245" s="65" t="str">
        <f aca="false">IF($AH245="Critical",$AF245+ROW()/100000,"")</f>
        <v/>
      </c>
    </row>
    <row r="246" customFormat="false" ht="15" hidden="false" customHeight="false" outlineLevel="0" collapsed="false">
      <c r="A246" s="28"/>
      <c r="B246" s="28"/>
      <c r="C246" s="28"/>
      <c r="D246" s="28"/>
      <c r="E246" s="28"/>
      <c r="F246" s="28"/>
      <c r="G246" s="63"/>
      <c r="H246" s="63"/>
      <c r="I246" s="63"/>
      <c r="J246" s="28"/>
      <c r="K246" s="28"/>
      <c r="L246" s="28"/>
      <c r="M246" s="28"/>
      <c r="N246" s="28"/>
      <c r="O246" s="64"/>
      <c r="P246" s="64"/>
      <c r="Q246" s="64"/>
      <c r="R246" s="28"/>
      <c r="S246" s="63"/>
      <c r="T246" s="64"/>
      <c r="U246" s="63"/>
      <c r="V246" s="64"/>
      <c r="W246" s="28"/>
      <c r="X246" s="65" t="str">
        <f aca="false">IF($A246="","",IF(OR($T246&lt;&gt;"",$U246&lt;&gt;""),"Closed",IFERROR(INDEX(MapStage,MATCH($C246,MapStatus,0)),"Unmapped")))</f>
        <v/>
      </c>
      <c r="Y246" s="65" t="str">
        <f aca="false">IF(OR($X246="",$X246="Closed",$X246="Unmapped"),"",MATCH($X246,StageName,0))</f>
        <v/>
      </c>
      <c r="Z246" s="65" t="str">
        <f aca="false">IF(OR($Y246="",$I246=""),"",$I246-AsOf)</f>
        <v/>
      </c>
      <c r="AA246" s="65" t="str">
        <f aca="false">IF($A246="","",AsOf-$H246)</f>
        <v/>
      </c>
      <c r="AB246" s="65" t="str">
        <f aca="false">IF($A246="","",IF($X246="Closed","Closed",IF($X246="Unmapped","Unmapped",IF($I246="","No target",IF($Z246&lt;0,"Overdue",IF($Z246&lt;=INDEX(StageWindow,$Y246),"At risk","On track"))))))</f>
        <v/>
      </c>
      <c r="AC246" s="65" t="str">
        <f aca="false">IF($Y246="","",IF($AA246&gt;2*INDEX(StageStale,$Y246),"Stale",IF($AA246&gt;INDEX(StageStale,$Y246),"Aging","Fresh")))</f>
        <v/>
      </c>
      <c r="AD246" s="65" t="str">
        <f aca="false">IF($A246="","",IF(OR(ISNUMBER(SEARCH("Reg report",$J246)),ISNUMBER(SEARCH("No human review",$J246)),COUNTIF(TierFuncs,$D246)&gt;0),"High",IF(OR(TRIM($J246)&lt;&gt;"",ISNUMBER(SEARCH("revenue",$K246))),"Medium","Low")))</f>
        <v/>
      </c>
      <c r="AE246" s="65" t="str">
        <f aca="false">IF($A246="","",INDEX(TierDays,MATCH($AD246,TierName,0)))</f>
        <v/>
      </c>
      <c r="AF246" s="65" t="str">
        <f aca="false">IF($A246="","",AsOf-$G246)</f>
        <v/>
      </c>
      <c r="AG246" s="65" t="str">
        <f aca="false">IF($Y246="","",IF($Y246&lt;=5,IF($AF246&gt;$AE246,"Over","Inside"),"Past approval"))</f>
        <v/>
      </c>
      <c r="AH246" s="65" t="str">
        <f aca="false">IF($Y246="","",CHOOSE($Y246,IF(OR(TRIM($F246)="",ISNUMBER(SEARCH("not named",$F246))),"Critical","Good"),IF($O246&lt;&gt;"Y","Critical",IF($Q246&lt;&gt;"Y","Warning","Good")),IF($P246="","Critical",IF($P246="partial","Warning",IF($P246="ready","Good","Critical"))),IF($R246&lt;&gt;"","Critical","Warning"),IF($L246="","Critical",IF($N246="","Warning","Good")),IF($R246&lt;&gt;"","Critical","Warning"),IF($R246&lt;&gt;"","Critical","Warning"),IF($Q246="Y","Good","Critical")))</f>
        <v/>
      </c>
      <c r="AI246" s="65" t="str">
        <f aca="false">IF($Y246="","",CHOOSE($Y246,IF(OR(TRIM($F246)="",ISNUMBER(SEARCH("not named",$F246))),"Name a sponsor accountable for the value",""),IF($O246&lt;&gt;"Y","State the success metric and the stop condition",IF($Q246&lt;&gt;"Y","Set the baseline the benefit will be measured against","")),IF($P246="","Assess data readiness and regulatory impact",IF($P246="partial","Close the known data gaps",IF($P246="ready","","Data is not available; reshape or park"))),IF($R246&lt;&gt;"",IF(OR(ISNUMBER(SEARCH("mrm",$R246)),ISNUMBER(SEARCH("model",$R246)),ISNUMBER(SEARCH("risk",$R246)),ISNUMBER(SEARCH("legal",$R246)),ISNUMBER(SEARCH("complian",$R246))),"Awaiting ","Held at the design gate: ")&amp;$R246,"Map the governance framework for its tier"),IF($L246="","Size the annual benefit",IF($N246="","Score it so it can be ranked against capacity","")),IF($R246&lt;&gt;"","Build held: "&amp;$R246,"In build, not yet through test"),IF($R246&lt;&gt;"","Not ready to scale: "&amp;$R246,"Monitoring and third-party review not yet signed off"),IF($Q246="Y","","Live without a measured baseline to judge it against")))</f>
        <v/>
      </c>
      <c r="AJ246" s="65" t="str">
        <f aca="false">IF($Y246="","",INDEX(StageForum,$Y246))</f>
        <v/>
      </c>
      <c r="AK246" s="65" t="str">
        <f aca="false">IF($Y246="","",IF(OR($X246="Delivery",$X246="Value"),"Committed",IF($N246&lt;&gt;"","Candidate","")))</f>
        <v/>
      </c>
      <c r="AL246" s="65" t="str">
        <f aca="false">IF($AK246&lt;&gt;"Candidate","",COUNTIFS($AK$2:$AK$501,"Candidate",$N$2:$N$501,"&gt;"&amp;$N246)+COUNTIFS($AK$2:$AK$501,"Candidate",$N$2:$N$501,$N246,$A$2:$A$501,"&lt;"&amp;$A246)+1)</f>
        <v/>
      </c>
      <c r="AM246" s="65" t="str">
        <f aca="false">IF($AL246="","",SUMIFS($M$2:$M$501,$AK$2:$AK$501,"Candidate",$AL$2:$AL$501,"&lt;="&amp;$AL246))</f>
        <v/>
      </c>
      <c r="AN246" s="65" t="str">
        <f aca="false">IF($AL246="","",IF($AM246&lt;=CapacityOpen,"Fits","Below line"))</f>
        <v/>
      </c>
      <c r="AO246" s="65" t="str">
        <f aca="false">IF($A246="","",IF($X246="Closed","",IF($X246="Unmapped","Warning",IF(OR($AB246="Overdue",$V246="Y",$AH246="Critical"),"Critical",IF(OR($AB246="At risk",$AC246="Stale",$AG246="Over"),"Warning","")))))</f>
        <v/>
      </c>
      <c r="AP246" s="65" t="str">
        <f aca="false">IF($AO246="","",IF($AO246="Critical",3000,2000)-IF($Z246="",0,$Z246)+ROW()/100000)</f>
        <v/>
      </c>
      <c r="AQ246" s="65" t="str">
        <f aca="false">IF($AO246="","",IF($X246="Unmapped","Status '"&amp;$C246&amp;"' is not in the Config map",IF($V246="Y","Flagged in Jira",IF($AB246="Overdue",-$Z246&amp;" days past its "&amp;$X246&amp;" target",IF($AH246="Critical",$AI246,IF($AB246="At risk","Target in "&amp;$Z246&amp;" days",IF($AC246="Stale","No update in "&amp;$AA246&amp;" days","Past its "&amp;$AE246&amp;"-day tier window")))))))</f>
        <v/>
      </c>
      <c r="AR246" s="65" t="str">
        <f aca="false">IF($AO246="","","draft Jira update for "&amp;$A246)</f>
        <v/>
      </c>
      <c r="AS246" s="65" t="str">
        <f aca="false">IF($A246="","",HYPERLINK(JiraSite&amp;"/browse/"&amp;$A246,"open"))</f>
        <v/>
      </c>
      <c r="AT246" s="65" t="str">
        <f aca="false">IF($Y246="","",$Y246*1000+ROW())</f>
        <v/>
      </c>
      <c r="AU246" s="65" t="str">
        <f aca="false">IF(AND($A246&lt;&gt;"",$G246&gt;=WeekStart),$G246+ROW()/100000,"")</f>
        <v/>
      </c>
      <c r="AV246" s="65" t="str">
        <f aca="false">IF($A246="","",IF(OR(AND($S246&lt;&gt;"",$S246&gt;=WeekStart),AND($U246&lt;&gt;"",$U246&gt;=WeekStart)),MAX($S246,$U246)+ROW()/100000,""))</f>
        <v/>
      </c>
      <c r="AW246" s="65" t="str">
        <f aca="false">IF($AV246="","",IF($T246&lt;&gt;"",$T246,IF($X246="Closed","Closed","Accepted to "&amp;$X246)))</f>
        <v/>
      </c>
      <c r="AX246" s="65" t="str">
        <f aca="false">IF(AND($Y246&lt;&gt;"",$R246&lt;&gt;""),$AF246+ROW()/100000,"")</f>
        <v/>
      </c>
      <c r="AY246" s="65" t="str">
        <f aca="false">IF(AND($Y246&lt;&gt;"",OR($AB246="Overdue",AND($AH246="Critical",$R246&lt;&gt;""))),$AF246+ROW()/100000,"")</f>
        <v/>
      </c>
      <c r="AZ246" s="65" t="str">
        <f aca="false">IF($AH246="Critical",$AF246+ROW()/100000,"")</f>
        <v/>
      </c>
    </row>
    <row r="247" customFormat="false" ht="15" hidden="false" customHeight="false" outlineLevel="0" collapsed="false">
      <c r="A247" s="28"/>
      <c r="B247" s="28"/>
      <c r="C247" s="28"/>
      <c r="D247" s="28"/>
      <c r="E247" s="28"/>
      <c r="F247" s="28"/>
      <c r="G247" s="63"/>
      <c r="H247" s="63"/>
      <c r="I247" s="63"/>
      <c r="J247" s="28"/>
      <c r="K247" s="28"/>
      <c r="L247" s="28"/>
      <c r="M247" s="28"/>
      <c r="N247" s="28"/>
      <c r="O247" s="64"/>
      <c r="P247" s="64"/>
      <c r="Q247" s="64"/>
      <c r="R247" s="28"/>
      <c r="S247" s="63"/>
      <c r="T247" s="64"/>
      <c r="U247" s="63"/>
      <c r="V247" s="64"/>
      <c r="W247" s="28"/>
      <c r="X247" s="65" t="str">
        <f aca="false">IF($A247="","",IF(OR($T247&lt;&gt;"",$U247&lt;&gt;""),"Closed",IFERROR(INDEX(MapStage,MATCH($C247,MapStatus,0)),"Unmapped")))</f>
        <v/>
      </c>
      <c r="Y247" s="65" t="str">
        <f aca="false">IF(OR($X247="",$X247="Closed",$X247="Unmapped"),"",MATCH($X247,StageName,0))</f>
        <v/>
      </c>
      <c r="Z247" s="65" t="str">
        <f aca="false">IF(OR($Y247="",$I247=""),"",$I247-AsOf)</f>
        <v/>
      </c>
      <c r="AA247" s="65" t="str">
        <f aca="false">IF($A247="","",AsOf-$H247)</f>
        <v/>
      </c>
      <c r="AB247" s="65" t="str">
        <f aca="false">IF($A247="","",IF($X247="Closed","Closed",IF($X247="Unmapped","Unmapped",IF($I247="","No target",IF($Z247&lt;0,"Overdue",IF($Z247&lt;=INDEX(StageWindow,$Y247),"At risk","On track"))))))</f>
        <v/>
      </c>
      <c r="AC247" s="65" t="str">
        <f aca="false">IF($Y247="","",IF($AA247&gt;2*INDEX(StageStale,$Y247),"Stale",IF($AA247&gt;INDEX(StageStale,$Y247),"Aging","Fresh")))</f>
        <v/>
      </c>
      <c r="AD247" s="65" t="str">
        <f aca="false">IF($A247="","",IF(OR(ISNUMBER(SEARCH("Reg report",$J247)),ISNUMBER(SEARCH("No human review",$J247)),COUNTIF(TierFuncs,$D247)&gt;0),"High",IF(OR(TRIM($J247)&lt;&gt;"",ISNUMBER(SEARCH("revenue",$K247))),"Medium","Low")))</f>
        <v/>
      </c>
      <c r="AE247" s="65" t="str">
        <f aca="false">IF($A247="","",INDEX(TierDays,MATCH($AD247,TierName,0)))</f>
        <v/>
      </c>
      <c r="AF247" s="65" t="str">
        <f aca="false">IF($A247="","",AsOf-$G247)</f>
        <v/>
      </c>
      <c r="AG247" s="65" t="str">
        <f aca="false">IF($Y247="","",IF($Y247&lt;=5,IF($AF247&gt;$AE247,"Over","Inside"),"Past approval"))</f>
        <v/>
      </c>
      <c r="AH247" s="65" t="str">
        <f aca="false">IF($Y247="","",CHOOSE($Y247,IF(OR(TRIM($F247)="",ISNUMBER(SEARCH("not named",$F247))),"Critical","Good"),IF($O247&lt;&gt;"Y","Critical",IF($Q247&lt;&gt;"Y","Warning","Good")),IF($P247="","Critical",IF($P247="partial","Warning",IF($P247="ready","Good","Critical"))),IF($R247&lt;&gt;"","Critical","Warning"),IF($L247="","Critical",IF($N247="","Warning","Good")),IF($R247&lt;&gt;"","Critical","Warning"),IF($R247&lt;&gt;"","Critical","Warning"),IF($Q247="Y","Good","Critical")))</f>
        <v/>
      </c>
      <c r="AI247" s="65" t="str">
        <f aca="false">IF($Y247="","",CHOOSE($Y247,IF(OR(TRIM($F247)="",ISNUMBER(SEARCH("not named",$F247))),"Name a sponsor accountable for the value",""),IF($O247&lt;&gt;"Y","State the success metric and the stop condition",IF($Q247&lt;&gt;"Y","Set the baseline the benefit will be measured against","")),IF($P247="","Assess data readiness and regulatory impact",IF($P247="partial","Close the known data gaps",IF($P247="ready","","Data is not available; reshape or park"))),IF($R247&lt;&gt;"",IF(OR(ISNUMBER(SEARCH("mrm",$R247)),ISNUMBER(SEARCH("model",$R247)),ISNUMBER(SEARCH("risk",$R247)),ISNUMBER(SEARCH("legal",$R247)),ISNUMBER(SEARCH("complian",$R247))),"Awaiting ","Held at the design gate: ")&amp;$R247,"Map the governance framework for its tier"),IF($L247="","Size the annual benefit",IF($N247="","Score it so it can be ranked against capacity","")),IF($R247&lt;&gt;"","Build held: "&amp;$R247,"In build, not yet through test"),IF($R247&lt;&gt;"","Not ready to scale: "&amp;$R247,"Monitoring and third-party review not yet signed off"),IF($Q247="Y","","Live without a measured baseline to judge it against")))</f>
        <v/>
      </c>
      <c r="AJ247" s="65" t="str">
        <f aca="false">IF($Y247="","",INDEX(StageForum,$Y247))</f>
        <v/>
      </c>
      <c r="AK247" s="65" t="str">
        <f aca="false">IF($Y247="","",IF(OR($X247="Delivery",$X247="Value"),"Committed",IF($N247&lt;&gt;"","Candidate","")))</f>
        <v/>
      </c>
      <c r="AL247" s="65" t="str">
        <f aca="false">IF($AK247&lt;&gt;"Candidate","",COUNTIFS($AK$2:$AK$501,"Candidate",$N$2:$N$501,"&gt;"&amp;$N247)+COUNTIFS($AK$2:$AK$501,"Candidate",$N$2:$N$501,$N247,$A$2:$A$501,"&lt;"&amp;$A247)+1)</f>
        <v/>
      </c>
      <c r="AM247" s="65" t="str">
        <f aca="false">IF($AL247="","",SUMIFS($M$2:$M$501,$AK$2:$AK$501,"Candidate",$AL$2:$AL$501,"&lt;="&amp;$AL247))</f>
        <v/>
      </c>
      <c r="AN247" s="65" t="str">
        <f aca="false">IF($AL247="","",IF($AM247&lt;=CapacityOpen,"Fits","Below line"))</f>
        <v/>
      </c>
      <c r="AO247" s="65" t="str">
        <f aca="false">IF($A247="","",IF($X247="Closed","",IF($X247="Unmapped","Warning",IF(OR($AB247="Overdue",$V247="Y",$AH247="Critical"),"Critical",IF(OR($AB247="At risk",$AC247="Stale",$AG247="Over"),"Warning","")))))</f>
        <v/>
      </c>
      <c r="AP247" s="65" t="str">
        <f aca="false">IF($AO247="","",IF($AO247="Critical",3000,2000)-IF($Z247="",0,$Z247)+ROW()/100000)</f>
        <v/>
      </c>
      <c r="AQ247" s="65" t="str">
        <f aca="false">IF($AO247="","",IF($X247="Unmapped","Status '"&amp;$C247&amp;"' is not in the Config map",IF($V247="Y","Flagged in Jira",IF($AB247="Overdue",-$Z247&amp;" days past its "&amp;$X247&amp;" target",IF($AH247="Critical",$AI247,IF($AB247="At risk","Target in "&amp;$Z247&amp;" days",IF($AC247="Stale","No update in "&amp;$AA247&amp;" days","Past its "&amp;$AE247&amp;"-day tier window")))))))</f>
        <v/>
      </c>
      <c r="AR247" s="65" t="str">
        <f aca="false">IF($AO247="","","draft Jira update for "&amp;$A247)</f>
        <v/>
      </c>
      <c r="AS247" s="65" t="str">
        <f aca="false">IF($A247="","",HYPERLINK(JiraSite&amp;"/browse/"&amp;$A247,"open"))</f>
        <v/>
      </c>
      <c r="AT247" s="65" t="str">
        <f aca="false">IF($Y247="","",$Y247*1000+ROW())</f>
        <v/>
      </c>
      <c r="AU247" s="65" t="str">
        <f aca="false">IF(AND($A247&lt;&gt;"",$G247&gt;=WeekStart),$G247+ROW()/100000,"")</f>
        <v/>
      </c>
      <c r="AV247" s="65" t="str">
        <f aca="false">IF($A247="","",IF(OR(AND($S247&lt;&gt;"",$S247&gt;=WeekStart),AND($U247&lt;&gt;"",$U247&gt;=WeekStart)),MAX($S247,$U247)+ROW()/100000,""))</f>
        <v/>
      </c>
      <c r="AW247" s="65" t="str">
        <f aca="false">IF($AV247="","",IF($T247&lt;&gt;"",$T247,IF($X247="Closed","Closed","Accepted to "&amp;$X247)))</f>
        <v/>
      </c>
      <c r="AX247" s="65" t="str">
        <f aca="false">IF(AND($Y247&lt;&gt;"",$R247&lt;&gt;""),$AF247+ROW()/100000,"")</f>
        <v/>
      </c>
      <c r="AY247" s="65" t="str">
        <f aca="false">IF(AND($Y247&lt;&gt;"",OR($AB247="Overdue",AND($AH247="Critical",$R247&lt;&gt;""))),$AF247+ROW()/100000,"")</f>
        <v/>
      </c>
      <c r="AZ247" s="65" t="str">
        <f aca="false">IF($AH247="Critical",$AF247+ROW()/100000,"")</f>
        <v/>
      </c>
    </row>
    <row r="248" customFormat="false" ht="15" hidden="false" customHeight="false" outlineLevel="0" collapsed="false">
      <c r="A248" s="28"/>
      <c r="B248" s="28"/>
      <c r="C248" s="28"/>
      <c r="D248" s="28"/>
      <c r="E248" s="28"/>
      <c r="F248" s="28"/>
      <c r="G248" s="63"/>
      <c r="H248" s="63"/>
      <c r="I248" s="63"/>
      <c r="J248" s="28"/>
      <c r="K248" s="28"/>
      <c r="L248" s="28"/>
      <c r="M248" s="28"/>
      <c r="N248" s="28"/>
      <c r="O248" s="64"/>
      <c r="P248" s="64"/>
      <c r="Q248" s="64"/>
      <c r="R248" s="28"/>
      <c r="S248" s="63"/>
      <c r="T248" s="64"/>
      <c r="U248" s="63"/>
      <c r="V248" s="64"/>
      <c r="W248" s="28"/>
      <c r="X248" s="65" t="str">
        <f aca="false">IF($A248="","",IF(OR($T248&lt;&gt;"",$U248&lt;&gt;""),"Closed",IFERROR(INDEX(MapStage,MATCH($C248,MapStatus,0)),"Unmapped")))</f>
        <v/>
      </c>
      <c r="Y248" s="65" t="str">
        <f aca="false">IF(OR($X248="",$X248="Closed",$X248="Unmapped"),"",MATCH($X248,StageName,0))</f>
        <v/>
      </c>
      <c r="Z248" s="65" t="str">
        <f aca="false">IF(OR($Y248="",$I248=""),"",$I248-AsOf)</f>
        <v/>
      </c>
      <c r="AA248" s="65" t="str">
        <f aca="false">IF($A248="","",AsOf-$H248)</f>
        <v/>
      </c>
      <c r="AB248" s="65" t="str">
        <f aca="false">IF($A248="","",IF($X248="Closed","Closed",IF($X248="Unmapped","Unmapped",IF($I248="","No target",IF($Z248&lt;0,"Overdue",IF($Z248&lt;=INDEX(StageWindow,$Y248),"At risk","On track"))))))</f>
        <v/>
      </c>
      <c r="AC248" s="65" t="str">
        <f aca="false">IF($Y248="","",IF($AA248&gt;2*INDEX(StageStale,$Y248),"Stale",IF($AA248&gt;INDEX(StageStale,$Y248),"Aging","Fresh")))</f>
        <v/>
      </c>
      <c r="AD248" s="65" t="str">
        <f aca="false">IF($A248="","",IF(OR(ISNUMBER(SEARCH("Reg report",$J248)),ISNUMBER(SEARCH("No human review",$J248)),COUNTIF(TierFuncs,$D248)&gt;0),"High",IF(OR(TRIM($J248)&lt;&gt;"",ISNUMBER(SEARCH("revenue",$K248))),"Medium","Low")))</f>
        <v/>
      </c>
      <c r="AE248" s="65" t="str">
        <f aca="false">IF($A248="","",INDEX(TierDays,MATCH($AD248,TierName,0)))</f>
        <v/>
      </c>
      <c r="AF248" s="65" t="str">
        <f aca="false">IF($A248="","",AsOf-$G248)</f>
        <v/>
      </c>
      <c r="AG248" s="65" t="str">
        <f aca="false">IF($Y248="","",IF($Y248&lt;=5,IF($AF248&gt;$AE248,"Over","Inside"),"Past approval"))</f>
        <v/>
      </c>
      <c r="AH248" s="65" t="str">
        <f aca="false">IF($Y248="","",CHOOSE($Y248,IF(OR(TRIM($F248)="",ISNUMBER(SEARCH("not named",$F248))),"Critical","Good"),IF($O248&lt;&gt;"Y","Critical",IF($Q248&lt;&gt;"Y","Warning","Good")),IF($P248="","Critical",IF($P248="partial","Warning",IF($P248="ready","Good","Critical"))),IF($R248&lt;&gt;"","Critical","Warning"),IF($L248="","Critical",IF($N248="","Warning","Good")),IF($R248&lt;&gt;"","Critical","Warning"),IF($R248&lt;&gt;"","Critical","Warning"),IF($Q248="Y","Good","Critical")))</f>
        <v/>
      </c>
      <c r="AI248" s="65" t="str">
        <f aca="false">IF($Y248="","",CHOOSE($Y248,IF(OR(TRIM($F248)="",ISNUMBER(SEARCH("not named",$F248))),"Name a sponsor accountable for the value",""),IF($O248&lt;&gt;"Y","State the success metric and the stop condition",IF($Q248&lt;&gt;"Y","Set the baseline the benefit will be measured against","")),IF($P248="","Assess data readiness and regulatory impact",IF($P248="partial","Close the known data gaps",IF($P248="ready","","Data is not available; reshape or park"))),IF($R248&lt;&gt;"",IF(OR(ISNUMBER(SEARCH("mrm",$R248)),ISNUMBER(SEARCH("model",$R248)),ISNUMBER(SEARCH("risk",$R248)),ISNUMBER(SEARCH("legal",$R248)),ISNUMBER(SEARCH("complian",$R248))),"Awaiting ","Held at the design gate: ")&amp;$R248,"Map the governance framework for its tier"),IF($L248="","Size the annual benefit",IF($N248="","Score it so it can be ranked against capacity","")),IF($R248&lt;&gt;"","Build held: "&amp;$R248,"In build, not yet through test"),IF($R248&lt;&gt;"","Not ready to scale: "&amp;$R248,"Monitoring and third-party review not yet signed off"),IF($Q248="Y","","Live without a measured baseline to judge it against")))</f>
        <v/>
      </c>
      <c r="AJ248" s="65" t="str">
        <f aca="false">IF($Y248="","",INDEX(StageForum,$Y248))</f>
        <v/>
      </c>
      <c r="AK248" s="65" t="str">
        <f aca="false">IF($Y248="","",IF(OR($X248="Delivery",$X248="Value"),"Committed",IF($N248&lt;&gt;"","Candidate","")))</f>
        <v/>
      </c>
      <c r="AL248" s="65" t="str">
        <f aca="false">IF($AK248&lt;&gt;"Candidate","",COUNTIFS($AK$2:$AK$501,"Candidate",$N$2:$N$501,"&gt;"&amp;$N248)+COUNTIFS($AK$2:$AK$501,"Candidate",$N$2:$N$501,$N248,$A$2:$A$501,"&lt;"&amp;$A248)+1)</f>
        <v/>
      </c>
      <c r="AM248" s="65" t="str">
        <f aca="false">IF($AL248="","",SUMIFS($M$2:$M$501,$AK$2:$AK$501,"Candidate",$AL$2:$AL$501,"&lt;="&amp;$AL248))</f>
        <v/>
      </c>
      <c r="AN248" s="65" t="str">
        <f aca="false">IF($AL248="","",IF($AM248&lt;=CapacityOpen,"Fits","Below line"))</f>
        <v/>
      </c>
      <c r="AO248" s="65" t="str">
        <f aca="false">IF($A248="","",IF($X248="Closed","",IF($X248="Unmapped","Warning",IF(OR($AB248="Overdue",$V248="Y",$AH248="Critical"),"Critical",IF(OR($AB248="At risk",$AC248="Stale",$AG248="Over"),"Warning","")))))</f>
        <v/>
      </c>
      <c r="AP248" s="65" t="str">
        <f aca="false">IF($AO248="","",IF($AO248="Critical",3000,2000)-IF($Z248="",0,$Z248)+ROW()/100000)</f>
        <v/>
      </c>
      <c r="AQ248" s="65" t="str">
        <f aca="false">IF($AO248="","",IF($X248="Unmapped","Status '"&amp;$C248&amp;"' is not in the Config map",IF($V248="Y","Flagged in Jira",IF($AB248="Overdue",-$Z248&amp;" days past its "&amp;$X248&amp;" target",IF($AH248="Critical",$AI248,IF($AB248="At risk","Target in "&amp;$Z248&amp;" days",IF($AC248="Stale","No update in "&amp;$AA248&amp;" days","Past its "&amp;$AE248&amp;"-day tier window")))))))</f>
        <v/>
      </c>
      <c r="AR248" s="65" t="str">
        <f aca="false">IF($AO248="","","draft Jira update for "&amp;$A248)</f>
        <v/>
      </c>
      <c r="AS248" s="65" t="str">
        <f aca="false">IF($A248="","",HYPERLINK(JiraSite&amp;"/browse/"&amp;$A248,"open"))</f>
        <v/>
      </c>
      <c r="AT248" s="65" t="str">
        <f aca="false">IF($Y248="","",$Y248*1000+ROW())</f>
        <v/>
      </c>
      <c r="AU248" s="65" t="str">
        <f aca="false">IF(AND($A248&lt;&gt;"",$G248&gt;=WeekStart),$G248+ROW()/100000,"")</f>
        <v/>
      </c>
      <c r="AV248" s="65" t="str">
        <f aca="false">IF($A248="","",IF(OR(AND($S248&lt;&gt;"",$S248&gt;=WeekStart),AND($U248&lt;&gt;"",$U248&gt;=WeekStart)),MAX($S248,$U248)+ROW()/100000,""))</f>
        <v/>
      </c>
      <c r="AW248" s="65" t="str">
        <f aca="false">IF($AV248="","",IF($T248&lt;&gt;"",$T248,IF($X248="Closed","Closed","Accepted to "&amp;$X248)))</f>
        <v/>
      </c>
      <c r="AX248" s="65" t="str">
        <f aca="false">IF(AND($Y248&lt;&gt;"",$R248&lt;&gt;""),$AF248+ROW()/100000,"")</f>
        <v/>
      </c>
      <c r="AY248" s="65" t="str">
        <f aca="false">IF(AND($Y248&lt;&gt;"",OR($AB248="Overdue",AND($AH248="Critical",$R248&lt;&gt;""))),$AF248+ROW()/100000,"")</f>
        <v/>
      </c>
      <c r="AZ248" s="65" t="str">
        <f aca="false">IF($AH248="Critical",$AF248+ROW()/100000,"")</f>
        <v/>
      </c>
    </row>
    <row r="249" customFormat="false" ht="15" hidden="false" customHeight="false" outlineLevel="0" collapsed="false">
      <c r="A249" s="28"/>
      <c r="B249" s="28"/>
      <c r="C249" s="28"/>
      <c r="D249" s="28"/>
      <c r="E249" s="28"/>
      <c r="F249" s="28"/>
      <c r="G249" s="63"/>
      <c r="H249" s="63"/>
      <c r="I249" s="63"/>
      <c r="J249" s="28"/>
      <c r="K249" s="28"/>
      <c r="L249" s="28"/>
      <c r="M249" s="28"/>
      <c r="N249" s="28"/>
      <c r="O249" s="64"/>
      <c r="P249" s="64"/>
      <c r="Q249" s="64"/>
      <c r="R249" s="28"/>
      <c r="S249" s="63"/>
      <c r="T249" s="64"/>
      <c r="U249" s="63"/>
      <c r="V249" s="64"/>
      <c r="W249" s="28"/>
      <c r="X249" s="65" t="str">
        <f aca="false">IF($A249="","",IF(OR($T249&lt;&gt;"",$U249&lt;&gt;""),"Closed",IFERROR(INDEX(MapStage,MATCH($C249,MapStatus,0)),"Unmapped")))</f>
        <v/>
      </c>
      <c r="Y249" s="65" t="str">
        <f aca="false">IF(OR($X249="",$X249="Closed",$X249="Unmapped"),"",MATCH($X249,StageName,0))</f>
        <v/>
      </c>
      <c r="Z249" s="65" t="str">
        <f aca="false">IF(OR($Y249="",$I249=""),"",$I249-AsOf)</f>
        <v/>
      </c>
      <c r="AA249" s="65" t="str">
        <f aca="false">IF($A249="","",AsOf-$H249)</f>
        <v/>
      </c>
      <c r="AB249" s="65" t="str">
        <f aca="false">IF($A249="","",IF($X249="Closed","Closed",IF($X249="Unmapped","Unmapped",IF($I249="","No target",IF($Z249&lt;0,"Overdue",IF($Z249&lt;=INDEX(StageWindow,$Y249),"At risk","On track"))))))</f>
        <v/>
      </c>
      <c r="AC249" s="65" t="str">
        <f aca="false">IF($Y249="","",IF($AA249&gt;2*INDEX(StageStale,$Y249),"Stale",IF($AA249&gt;INDEX(StageStale,$Y249),"Aging","Fresh")))</f>
        <v/>
      </c>
      <c r="AD249" s="65" t="str">
        <f aca="false">IF($A249="","",IF(OR(ISNUMBER(SEARCH("Reg report",$J249)),ISNUMBER(SEARCH("No human review",$J249)),COUNTIF(TierFuncs,$D249)&gt;0),"High",IF(OR(TRIM($J249)&lt;&gt;"",ISNUMBER(SEARCH("revenue",$K249))),"Medium","Low")))</f>
        <v/>
      </c>
      <c r="AE249" s="65" t="str">
        <f aca="false">IF($A249="","",INDEX(TierDays,MATCH($AD249,TierName,0)))</f>
        <v/>
      </c>
      <c r="AF249" s="65" t="str">
        <f aca="false">IF($A249="","",AsOf-$G249)</f>
        <v/>
      </c>
      <c r="AG249" s="65" t="str">
        <f aca="false">IF($Y249="","",IF($Y249&lt;=5,IF($AF249&gt;$AE249,"Over","Inside"),"Past approval"))</f>
        <v/>
      </c>
      <c r="AH249" s="65" t="str">
        <f aca="false">IF($Y249="","",CHOOSE($Y249,IF(OR(TRIM($F249)="",ISNUMBER(SEARCH("not named",$F249))),"Critical","Good"),IF($O249&lt;&gt;"Y","Critical",IF($Q249&lt;&gt;"Y","Warning","Good")),IF($P249="","Critical",IF($P249="partial","Warning",IF($P249="ready","Good","Critical"))),IF($R249&lt;&gt;"","Critical","Warning"),IF($L249="","Critical",IF($N249="","Warning","Good")),IF($R249&lt;&gt;"","Critical","Warning"),IF($R249&lt;&gt;"","Critical","Warning"),IF($Q249="Y","Good","Critical")))</f>
        <v/>
      </c>
      <c r="AI249" s="65" t="str">
        <f aca="false">IF($Y249="","",CHOOSE($Y249,IF(OR(TRIM($F249)="",ISNUMBER(SEARCH("not named",$F249))),"Name a sponsor accountable for the value",""),IF($O249&lt;&gt;"Y","State the success metric and the stop condition",IF($Q249&lt;&gt;"Y","Set the baseline the benefit will be measured against","")),IF($P249="","Assess data readiness and regulatory impact",IF($P249="partial","Close the known data gaps",IF($P249="ready","","Data is not available; reshape or park"))),IF($R249&lt;&gt;"",IF(OR(ISNUMBER(SEARCH("mrm",$R249)),ISNUMBER(SEARCH("model",$R249)),ISNUMBER(SEARCH("risk",$R249)),ISNUMBER(SEARCH("legal",$R249)),ISNUMBER(SEARCH("complian",$R249))),"Awaiting ","Held at the design gate: ")&amp;$R249,"Map the governance framework for its tier"),IF($L249="","Size the annual benefit",IF($N249="","Score it so it can be ranked against capacity","")),IF($R249&lt;&gt;"","Build held: "&amp;$R249,"In build, not yet through test"),IF($R249&lt;&gt;"","Not ready to scale: "&amp;$R249,"Monitoring and third-party review not yet signed off"),IF($Q249="Y","","Live without a measured baseline to judge it against")))</f>
        <v/>
      </c>
      <c r="AJ249" s="65" t="str">
        <f aca="false">IF($Y249="","",INDEX(StageForum,$Y249))</f>
        <v/>
      </c>
      <c r="AK249" s="65" t="str">
        <f aca="false">IF($Y249="","",IF(OR($X249="Delivery",$X249="Value"),"Committed",IF($N249&lt;&gt;"","Candidate","")))</f>
        <v/>
      </c>
      <c r="AL249" s="65" t="str">
        <f aca="false">IF($AK249&lt;&gt;"Candidate","",COUNTIFS($AK$2:$AK$501,"Candidate",$N$2:$N$501,"&gt;"&amp;$N249)+COUNTIFS($AK$2:$AK$501,"Candidate",$N$2:$N$501,$N249,$A$2:$A$501,"&lt;"&amp;$A249)+1)</f>
        <v/>
      </c>
      <c r="AM249" s="65" t="str">
        <f aca="false">IF($AL249="","",SUMIFS($M$2:$M$501,$AK$2:$AK$501,"Candidate",$AL$2:$AL$501,"&lt;="&amp;$AL249))</f>
        <v/>
      </c>
      <c r="AN249" s="65" t="str">
        <f aca="false">IF($AL249="","",IF($AM249&lt;=CapacityOpen,"Fits","Below line"))</f>
        <v/>
      </c>
      <c r="AO249" s="65" t="str">
        <f aca="false">IF($A249="","",IF($X249="Closed","",IF($X249="Unmapped","Warning",IF(OR($AB249="Overdue",$V249="Y",$AH249="Critical"),"Critical",IF(OR($AB249="At risk",$AC249="Stale",$AG249="Over"),"Warning","")))))</f>
        <v/>
      </c>
      <c r="AP249" s="65" t="str">
        <f aca="false">IF($AO249="","",IF($AO249="Critical",3000,2000)-IF($Z249="",0,$Z249)+ROW()/100000)</f>
        <v/>
      </c>
      <c r="AQ249" s="65" t="str">
        <f aca="false">IF($AO249="","",IF($X249="Unmapped","Status '"&amp;$C249&amp;"' is not in the Config map",IF($V249="Y","Flagged in Jira",IF($AB249="Overdue",-$Z249&amp;" days past its "&amp;$X249&amp;" target",IF($AH249="Critical",$AI249,IF($AB249="At risk","Target in "&amp;$Z249&amp;" days",IF($AC249="Stale","No update in "&amp;$AA249&amp;" days","Past its "&amp;$AE249&amp;"-day tier window")))))))</f>
        <v/>
      </c>
      <c r="AR249" s="65" t="str">
        <f aca="false">IF($AO249="","","draft Jira update for "&amp;$A249)</f>
        <v/>
      </c>
      <c r="AS249" s="65" t="str">
        <f aca="false">IF($A249="","",HYPERLINK(JiraSite&amp;"/browse/"&amp;$A249,"open"))</f>
        <v/>
      </c>
      <c r="AT249" s="65" t="str">
        <f aca="false">IF($Y249="","",$Y249*1000+ROW())</f>
        <v/>
      </c>
      <c r="AU249" s="65" t="str">
        <f aca="false">IF(AND($A249&lt;&gt;"",$G249&gt;=WeekStart),$G249+ROW()/100000,"")</f>
        <v/>
      </c>
      <c r="AV249" s="65" t="str">
        <f aca="false">IF($A249="","",IF(OR(AND($S249&lt;&gt;"",$S249&gt;=WeekStart),AND($U249&lt;&gt;"",$U249&gt;=WeekStart)),MAX($S249,$U249)+ROW()/100000,""))</f>
        <v/>
      </c>
      <c r="AW249" s="65" t="str">
        <f aca="false">IF($AV249="","",IF($T249&lt;&gt;"",$T249,IF($X249="Closed","Closed","Accepted to "&amp;$X249)))</f>
        <v/>
      </c>
      <c r="AX249" s="65" t="str">
        <f aca="false">IF(AND($Y249&lt;&gt;"",$R249&lt;&gt;""),$AF249+ROW()/100000,"")</f>
        <v/>
      </c>
      <c r="AY249" s="65" t="str">
        <f aca="false">IF(AND($Y249&lt;&gt;"",OR($AB249="Overdue",AND($AH249="Critical",$R249&lt;&gt;""))),$AF249+ROW()/100000,"")</f>
        <v/>
      </c>
      <c r="AZ249" s="65" t="str">
        <f aca="false">IF($AH249="Critical",$AF249+ROW()/100000,"")</f>
        <v/>
      </c>
    </row>
    <row r="250" customFormat="false" ht="15" hidden="false" customHeight="false" outlineLevel="0" collapsed="false">
      <c r="A250" s="28"/>
      <c r="B250" s="28"/>
      <c r="C250" s="28"/>
      <c r="D250" s="28"/>
      <c r="E250" s="28"/>
      <c r="F250" s="28"/>
      <c r="G250" s="63"/>
      <c r="H250" s="63"/>
      <c r="I250" s="63"/>
      <c r="J250" s="28"/>
      <c r="K250" s="28"/>
      <c r="L250" s="28"/>
      <c r="M250" s="28"/>
      <c r="N250" s="28"/>
      <c r="O250" s="64"/>
      <c r="P250" s="64"/>
      <c r="Q250" s="64"/>
      <c r="R250" s="28"/>
      <c r="S250" s="63"/>
      <c r="T250" s="64"/>
      <c r="U250" s="63"/>
      <c r="V250" s="64"/>
      <c r="W250" s="28"/>
      <c r="X250" s="65" t="str">
        <f aca="false">IF($A250="","",IF(OR($T250&lt;&gt;"",$U250&lt;&gt;""),"Closed",IFERROR(INDEX(MapStage,MATCH($C250,MapStatus,0)),"Unmapped")))</f>
        <v/>
      </c>
      <c r="Y250" s="65" t="str">
        <f aca="false">IF(OR($X250="",$X250="Closed",$X250="Unmapped"),"",MATCH($X250,StageName,0))</f>
        <v/>
      </c>
      <c r="Z250" s="65" t="str">
        <f aca="false">IF(OR($Y250="",$I250=""),"",$I250-AsOf)</f>
        <v/>
      </c>
      <c r="AA250" s="65" t="str">
        <f aca="false">IF($A250="","",AsOf-$H250)</f>
        <v/>
      </c>
      <c r="AB250" s="65" t="str">
        <f aca="false">IF($A250="","",IF($X250="Closed","Closed",IF($X250="Unmapped","Unmapped",IF($I250="","No target",IF($Z250&lt;0,"Overdue",IF($Z250&lt;=INDEX(StageWindow,$Y250),"At risk","On track"))))))</f>
        <v/>
      </c>
      <c r="AC250" s="65" t="str">
        <f aca="false">IF($Y250="","",IF($AA250&gt;2*INDEX(StageStale,$Y250),"Stale",IF($AA250&gt;INDEX(StageStale,$Y250),"Aging","Fresh")))</f>
        <v/>
      </c>
      <c r="AD250" s="65" t="str">
        <f aca="false">IF($A250="","",IF(OR(ISNUMBER(SEARCH("Reg report",$J250)),ISNUMBER(SEARCH("No human review",$J250)),COUNTIF(TierFuncs,$D250)&gt;0),"High",IF(OR(TRIM($J250)&lt;&gt;"",ISNUMBER(SEARCH("revenue",$K250))),"Medium","Low")))</f>
        <v/>
      </c>
      <c r="AE250" s="65" t="str">
        <f aca="false">IF($A250="","",INDEX(TierDays,MATCH($AD250,TierName,0)))</f>
        <v/>
      </c>
      <c r="AF250" s="65" t="str">
        <f aca="false">IF($A250="","",AsOf-$G250)</f>
        <v/>
      </c>
      <c r="AG250" s="65" t="str">
        <f aca="false">IF($Y250="","",IF($Y250&lt;=5,IF($AF250&gt;$AE250,"Over","Inside"),"Past approval"))</f>
        <v/>
      </c>
      <c r="AH250" s="65" t="str">
        <f aca="false">IF($Y250="","",CHOOSE($Y250,IF(OR(TRIM($F250)="",ISNUMBER(SEARCH("not named",$F250))),"Critical","Good"),IF($O250&lt;&gt;"Y","Critical",IF($Q250&lt;&gt;"Y","Warning","Good")),IF($P250="","Critical",IF($P250="partial","Warning",IF($P250="ready","Good","Critical"))),IF($R250&lt;&gt;"","Critical","Warning"),IF($L250="","Critical",IF($N250="","Warning","Good")),IF($R250&lt;&gt;"","Critical","Warning"),IF($R250&lt;&gt;"","Critical","Warning"),IF($Q250="Y","Good","Critical")))</f>
        <v/>
      </c>
      <c r="AI250" s="65" t="str">
        <f aca="false">IF($Y250="","",CHOOSE($Y250,IF(OR(TRIM($F250)="",ISNUMBER(SEARCH("not named",$F250))),"Name a sponsor accountable for the value",""),IF($O250&lt;&gt;"Y","State the success metric and the stop condition",IF($Q250&lt;&gt;"Y","Set the baseline the benefit will be measured against","")),IF($P250="","Assess data readiness and regulatory impact",IF($P250="partial","Close the known data gaps",IF($P250="ready","","Data is not available; reshape or park"))),IF($R250&lt;&gt;"",IF(OR(ISNUMBER(SEARCH("mrm",$R250)),ISNUMBER(SEARCH("model",$R250)),ISNUMBER(SEARCH("risk",$R250)),ISNUMBER(SEARCH("legal",$R250)),ISNUMBER(SEARCH("complian",$R250))),"Awaiting ","Held at the design gate: ")&amp;$R250,"Map the governance framework for its tier"),IF($L250="","Size the annual benefit",IF($N250="","Score it so it can be ranked against capacity","")),IF($R250&lt;&gt;"","Build held: "&amp;$R250,"In build, not yet through test"),IF($R250&lt;&gt;"","Not ready to scale: "&amp;$R250,"Monitoring and third-party review not yet signed off"),IF($Q250="Y","","Live without a measured baseline to judge it against")))</f>
        <v/>
      </c>
      <c r="AJ250" s="65" t="str">
        <f aca="false">IF($Y250="","",INDEX(StageForum,$Y250))</f>
        <v/>
      </c>
      <c r="AK250" s="65" t="str">
        <f aca="false">IF($Y250="","",IF(OR($X250="Delivery",$X250="Value"),"Committed",IF($N250&lt;&gt;"","Candidate","")))</f>
        <v/>
      </c>
      <c r="AL250" s="65" t="str">
        <f aca="false">IF($AK250&lt;&gt;"Candidate","",COUNTIFS($AK$2:$AK$501,"Candidate",$N$2:$N$501,"&gt;"&amp;$N250)+COUNTIFS($AK$2:$AK$501,"Candidate",$N$2:$N$501,$N250,$A$2:$A$501,"&lt;"&amp;$A250)+1)</f>
        <v/>
      </c>
      <c r="AM250" s="65" t="str">
        <f aca="false">IF($AL250="","",SUMIFS($M$2:$M$501,$AK$2:$AK$501,"Candidate",$AL$2:$AL$501,"&lt;="&amp;$AL250))</f>
        <v/>
      </c>
      <c r="AN250" s="65" t="str">
        <f aca="false">IF($AL250="","",IF($AM250&lt;=CapacityOpen,"Fits","Below line"))</f>
        <v/>
      </c>
      <c r="AO250" s="65" t="str">
        <f aca="false">IF($A250="","",IF($X250="Closed","",IF($X250="Unmapped","Warning",IF(OR($AB250="Overdue",$V250="Y",$AH250="Critical"),"Critical",IF(OR($AB250="At risk",$AC250="Stale",$AG250="Over"),"Warning","")))))</f>
        <v/>
      </c>
      <c r="AP250" s="65" t="str">
        <f aca="false">IF($AO250="","",IF($AO250="Critical",3000,2000)-IF($Z250="",0,$Z250)+ROW()/100000)</f>
        <v/>
      </c>
      <c r="AQ250" s="65" t="str">
        <f aca="false">IF($AO250="","",IF($X250="Unmapped","Status '"&amp;$C250&amp;"' is not in the Config map",IF($V250="Y","Flagged in Jira",IF($AB250="Overdue",-$Z250&amp;" days past its "&amp;$X250&amp;" target",IF($AH250="Critical",$AI250,IF($AB250="At risk","Target in "&amp;$Z250&amp;" days",IF($AC250="Stale","No update in "&amp;$AA250&amp;" days","Past its "&amp;$AE250&amp;"-day tier window")))))))</f>
        <v/>
      </c>
      <c r="AR250" s="65" t="str">
        <f aca="false">IF($AO250="","","draft Jira update for "&amp;$A250)</f>
        <v/>
      </c>
      <c r="AS250" s="65" t="str">
        <f aca="false">IF($A250="","",HYPERLINK(JiraSite&amp;"/browse/"&amp;$A250,"open"))</f>
        <v/>
      </c>
      <c r="AT250" s="65" t="str">
        <f aca="false">IF($Y250="","",$Y250*1000+ROW())</f>
        <v/>
      </c>
      <c r="AU250" s="65" t="str">
        <f aca="false">IF(AND($A250&lt;&gt;"",$G250&gt;=WeekStart),$G250+ROW()/100000,"")</f>
        <v/>
      </c>
      <c r="AV250" s="65" t="str">
        <f aca="false">IF($A250="","",IF(OR(AND($S250&lt;&gt;"",$S250&gt;=WeekStart),AND($U250&lt;&gt;"",$U250&gt;=WeekStart)),MAX($S250,$U250)+ROW()/100000,""))</f>
        <v/>
      </c>
      <c r="AW250" s="65" t="str">
        <f aca="false">IF($AV250="","",IF($T250&lt;&gt;"",$T250,IF($X250="Closed","Closed","Accepted to "&amp;$X250)))</f>
        <v/>
      </c>
      <c r="AX250" s="65" t="str">
        <f aca="false">IF(AND($Y250&lt;&gt;"",$R250&lt;&gt;""),$AF250+ROW()/100000,"")</f>
        <v/>
      </c>
      <c r="AY250" s="65" t="str">
        <f aca="false">IF(AND($Y250&lt;&gt;"",OR($AB250="Overdue",AND($AH250="Critical",$R250&lt;&gt;""))),$AF250+ROW()/100000,"")</f>
        <v/>
      </c>
      <c r="AZ250" s="65" t="str">
        <f aca="false">IF($AH250="Critical",$AF250+ROW()/100000,"")</f>
        <v/>
      </c>
    </row>
    <row r="251" customFormat="false" ht="15" hidden="false" customHeight="false" outlineLevel="0" collapsed="false">
      <c r="A251" s="28"/>
      <c r="B251" s="28"/>
      <c r="C251" s="28"/>
      <c r="D251" s="28"/>
      <c r="E251" s="28"/>
      <c r="F251" s="28"/>
      <c r="G251" s="63"/>
      <c r="H251" s="63"/>
      <c r="I251" s="63"/>
      <c r="J251" s="28"/>
      <c r="K251" s="28"/>
      <c r="L251" s="28"/>
      <c r="M251" s="28"/>
      <c r="N251" s="28"/>
      <c r="O251" s="64"/>
      <c r="P251" s="64"/>
      <c r="Q251" s="64"/>
      <c r="R251" s="28"/>
      <c r="S251" s="63"/>
      <c r="T251" s="64"/>
      <c r="U251" s="63"/>
      <c r="V251" s="64"/>
      <c r="W251" s="28"/>
      <c r="X251" s="65" t="str">
        <f aca="false">IF($A251="","",IF(OR($T251&lt;&gt;"",$U251&lt;&gt;""),"Closed",IFERROR(INDEX(MapStage,MATCH($C251,MapStatus,0)),"Unmapped")))</f>
        <v/>
      </c>
      <c r="Y251" s="65" t="str">
        <f aca="false">IF(OR($X251="",$X251="Closed",$X251="Unmapped"),"",MATCH($X251,StageName,0))</f>
        <v/>
      </c>
      <c r="Z251" s="65" t="str">
        <f aca="false">IF(OR($Y251="",$I251=""),"",$I251-AsOf)</f>
        <v/>
      </c>
      <c r="AA251" s="65" t="str">
        <f aca="false">IF($A251="","",AsOf-$H251)</f>
        <v/>
      </c>
      <c r="AB251" s="65" t="str">
        <f aca="false">IF($A251="","",IF($X251="Closed","Closed",IF($X251="Unmapped","Unmapped",IF($I251="","No target",IF($Z251&lt;0,"Overdue",IF($Z251&lt;=INDEX(StageWindow,$Y251),"At risk","On track"))))))</f>
        <v/>
      </c>
      <c r="AC251" s="65" t="str">
        <f aca="false">IF($Y251="","",IF($AA251&gt;2*INDEX(StageStale,$Y251),"Stale",IF($AA251&gt;INDEX(StageStale,$Y251),"Aging","Fresh")))</f>
        <v/>
      </c>
      <c r="AD251" s="65" t="str">
        <f aca="false">IF($A251="","",IF(OR(ISNUMBER(SEARCH("Reg report",$J251)),ISNUMBER(SEARCH("No human review",$J251)),COUNTIF(TierFuncs,$D251)&gt;0),"High",IF(OR(TRIM($J251)&lt;&gt;"",ISNUMBER(SEARCH("revenue",$K251))),"Medium","Low")))</f>
        <v/>
      </c>
      <c r="AE251" s="65" t="str">
        <f aca="false">IF($A251="","",INDEX(TierDays,MATCH($AD251,TierName,0)))</f>
        <v/>
      </c>
      <c r="AF251" s="65" t="str">
        <f aca="false">IF($A251="","",AsOf-$G251)</f>
        <v/>
      </c>
      <c r="AG251" s="65" t="str">
        <f aca="false">IF($Y251="","",IF($Y251&lt;=5,IF($AF251&gt;$AE251,"Over","Inside"),"Past approval"))</f>
        <v/>
      </c>
      <c r="AH251" s="65" t="str">
        <f aca="false">IF($Y251="","",CHOOSE($Y251,IF(OR(TRIM($F251)="",ISNUMBER(SEARCH("not named",$F251))),"Critical","Good"),IF($O251&lt;&gt;"Y","Critical",IF($Q251&lt;&gt;"Y","Warning","Good")),IF($P251="","Critical",IF($P251="partial","Warning",IF($P251="ready","Good","Critical"))),IF($R251&lt;&gt;"","Critical","Warning"),IF($L251="","Critical",IF($N251="","Warning","Good")),IF($R251&lt;&gt;"","Critical","Warning"),IF($R251&lt;&gt;"","Critical","Warning"),IF($Q251="Y","Good","Critical")))</f>
        <v/>
      </c>
      <c r="AI251" s="65" t="str">
        <f aca="false">IF($Y251="","",CHOOSE($Y251,IF(OR(TRIM($F251)="",ISNUMBER(SEARCH("not named",$F251))),"Name a sponsor accountable for the value",""),IF($O251&lt;&gt;"Y","State the success metric and the stop condition",IF($Q251&lt;&gt;"Y","Set the baseline the benefit will be measured against","")),IF($P251="","Assess data readiness and regulatory impact",IF($P251="partial","Close the known data gaps",IF($P251="ready","","Data is not available; reshape or park"))),IF($R251&lt;&gt;"",IF(OR(ISNUMBER(SEARCH("mrm",$R251)),ISNUMBER(SEARCH("model",$R251)),ISNUMBER(SEARCH("risk",$R251)),ISNUMBER(SEARCH("legal",$R251)),ISNUMBER(SEARCH("complian",$R251))),"Awaiting ","Held at the design gate: ")&amp;$R251,"Map the governance framework for its tier"),IF($L251="","Size the annual benefit",IF($N251="","Score it so it can be ranked against capacity","")),IF($R251&lt;&gt;"","Build held: "&amp;$R251,"In build, not yet through test"),IF($R251&lt;&gt;"","Not ready to scale: "&amp;$R251,"Monitoring and third-party review not yet signed off"),IF($Q251="Y","","Live without a measured baseline to judge it against")))</f>
        <v/>
      </c>
      <c r="AJ251" s="65" t="str">
        <f aca="false">IF($Y251="","",INDEX(StageForum,$Y251))</f>
        <v/>
      </c>
      <c r="AK251" s="65" t="str">
        <f aca="false">IF($Y251="","",IF(OR($X251="Delivery",$X251="Value"),"Committed",IF($N251&lt;&gt;"","Candidate","")))</f>
        <v/>
      </c>
      <c r="AL251" s="65" t="str">
        <f aca="false">IF($AK251&lt;&gt;"Candidate","",COUNTIFS($AK$2:$AK$501,"Candidate",$N$2:$N$501,"&gt;"&amp;$N251)+COUNTIFS($AK$2:$AK$501,"Candidate",$N$2:$N$501,$N251,$A$2:$A$501,"&lt;"&amp;$A251)+1)</f>
        <v/>
      </c>
      <c r="AM251" s="65" t="str">
        <f aca="false">IF($AL251="","",SUMIFS($M$2:$M$501,$AK$2:$AK$501,"Candidate",$AL$2:$AL$501,"&lt;="&amp;$AL251))</f>
        <v/>
      </c>
      <c r="AN251" s="65" t="str">
        <f aca="false">IF($AL251="","",IF($AM251&lt;=CapacityOpen,"Fits","Below line"))</f>
        <v/>
      </c>
      <c r="AO251" s="65" t="str">
        <f aca="false">IF($A251="","",IF($X251="Closed","",IF($X251="Unmapped","Warning",IF(OR($AB251="Overdue",$V251="Y",$AH251="Critical"),"Critical",IF(OR($AB251="At risk",$AC251="Stale",$AG251="Over"),"Warning","")))))</f>
        <v/>
      </c>
      <c r="AP251" s="65" t="str">
        <f aca="false">IF($AO251="","",IF($AO251="Critical",3000,2000)-IF($Z251="",0,$Z251)+ROW()/100000)</f>
        <v/>
      </c>
      <c r="AQ251" s="65" t="str">
        <f aca="false">IF($AO251="","",IF($X251="Unmapped","Status '"&amp;$C251&amp;"' is not in the Config map",IF($V251="Y","Flagged in Jira",IF($AB251="Overdue",-$Z251&amp;" days past its "&amp;$X251&amp;" target",IF($AH251="Critical",$AI251,IF($AB251="At risk","Target in "&amp;$Z251&amp;" days",IF($AC251="Stale","No update in "&amp;$AA251&amp;" days","Past its "&amp;$AE251&amp;"-day tier window")))))))</f>
        <v/>
      </c>
      <c r="AR251" s="65" t="str">
        <f aca="false">IF($AO251="","","draft Jira update for "&amp;$A251)</f>
        <v/>
      </c>
      <c r="AS251" s="65" t="str">
        <f aca="false">IF($A251="","",HYPERLINK(JiraSite&amp;"/browse/"&amp;$A251,"open"))</f>
        <v/>
      </c>
      <c r="AT251" s="65" t="str">
        <f aca="false">IF($Y251="","",$Y251*1000+ROW())</f>
        <v/>
      </c>
      <c r="AU251" s="65" t="str">
        <f aca="false">IF(AND($A251&lt;&gt;"",$G251&gt;=WeekStart),$G251+ROW()/100000,"")</f>
        <v/>
      </c>
      <c r="AV251" s="65" t="str">
        <f aca="false">IF($A251="","",IF(OR(AND($S251&lt;&gt;"",$S251&gt;=WeekStart),AND($U251&lt;&gt;"",$U251&gt;=WeekStart)),MAX($S251,$U251)+ROW()/100000,""))</f>
        <v/>
      </c>
      <c r="AW251" s="65" t="str">
        <f aca="false">IF($AV251="","",IF($T251&lt;&gt;"",$T251,IF($X251="Closed","Closed","Accepted to "&amp;$X251)))</f>
        <v/>
      </c>
      <c r="AX251" s="65" t="str">
        <f aca="false">IF(AND($Y251&lt;&gt;"",$R251&lt;&gt;""),$AF251+ROW()/100000,"")</f>
        <v/>
      </c>
      <c r="AY251" s="65" t="str">
        <f aca="false">IF(AND($Y251&lt;&gt;"",OR($AB251="Overdue",AND($AH251="Critical",$R251&lt;&gt;""))),$AF251+ROW()/100000,"")</f>
        <v/>
      </c>
      <c r="AZ251" s="65" t="str">
        <f aca="false">IF($AH251="Critical",$AF251+ROW()/100000,"")</f>
        <v/>
      </c>
    </row>
    <row r="252" customFormat="false" ht="15" hidden="false" customHeight="false" outlineLevel="0" collapsed="false">
      <c r="A252" s="28"/>
      <c r="B252" s="28"/>
      <c r="C252" s="28"/>
      <c r="D252" s="28"/>
      <c r="E252" s="28"/>
      <c r="F252" s="28"/>
      <c r="G252" s="63"/>
      <c r="H252" s="63"/>
      <c r="I252" s="63"/>
      <c r="J252" s="28"/>
      <c r="K252" s="28"/>
      <c r="L252" s="28"/>
      <c r="M252" s="28"/>
      <c r="N252" s="28"/>
      <c r="O252" s="64"/>
      <c r="P252" s="64"/>
      <c r="Q252" s="64"/>
      <c r="R252" s="28"/>
      <c r="S252" s="63"/>
      <c r="T252" s="64"/>
      <c r="U252" s="63"/>
      <c r="V252" s="64"/>
      <c r="W252" s="28"/>
      <c r="X252" s="65" t="str">
        <f aca="false">IF($A252="","",IF(OR($T252&lt;&gt;"",$U252&lt;&gt;""),"Closed",IFERROR(INDEX(MapStage,MATCH($C252,MapStatus,0)),"Unmapped")))</f>
        <v/>
      </c>
      <c r="Y252" s="65" t="str">
        <f aca="false">IF(OR($X252="",$X252="Closed",$X252="Unmapped"),"",MATCH($X252,StageName,0))</f>
        <v/>
      </c>
      <c r="Z252" s="65" t="str">
        <f aca="false">IF(OR($Y252="",$I252=""),"",$I252-AsOf)</f>
        <v/>
      </c>
      <c r="AA252" s="65" t="str">
        <f aca="false">IF($A252="","",AsOf-$H252)</f>
        <v/>
      </c>
      <c r="AB252" s="65" t="str">
        <f aca="false">IF($A252="","",IF($X252="Closed","Closed",IF($X252="Unmapped","Unmapped",IF($I252="","No target",IF($Z252&lt;0,"Overdue",IF($Z252&lt;=INDEX(StageWindow,$Y252),"At risk","On track"))))))</f>
        <v/>
      </c>
      <c r="AC252" s="65" t="str">
        <f aca="false">IF($Y252="","",IF($AA252&gt;2*INDEX(StageStale,$Y252),"Stale",IF($AA252&gt;INDEX(StageStale,$Y252),"Aging","Fresh")))</f>
        <v/>
      </c>
      <c r="AD252" s="65" t="str">
        <f aca="false">IF($A252="","",IF(OR(ISNUMBER(SEARCH("Reg report",$J252)),ISNUMBER(SEARCH("No human review",$J252)),COUNTIF(TierFuncs,$D252)&gt;0),"High",IF(OR(TRIM($J252)&lt;&gt;"",ISNUMBER(SEARCH("revenue",$K252))),"Medium","Low")))</f>
        <v/>
      </c>
      <c r="AE252" s="65" t="str">
        <f aca="false">IF($A252="","",INDEX(TierDays,MATCH($AD252,TierName,0)))</f>
        <v/>
      </c>
      <c r="AF252" s="65" t="str">
        <f aca="false">IF($A252="","",AsOf-$G252)</f>
        <v/>
      </c>
      <c r="AG252" s="65" t="str">
        <f aca="false">IF($Y252="","",IF($Y252&lt;=5,IF($AF252&gt;$AE252,"Over","Inside"),"Past approval"))</f>
        <v/>
      </c>
      <c r="AH252" s="65" t="str">
        <f aca="false">IF($Y252="","",CHOOSE($Y252,IF(OR(TRIM($F252)="",ISNUMBER(SEARCH("not named",$F252))),"Critical","Good"),IF($O252&lt;&gt;"Y","Critical",IF($Q252&lt;&gt;"Y","Warning","Good")),IF($P252="","Critical",IF($P252="partial","Warning",IF($P252="ready","Good","Critical"))),IF($R252&lt;&gt;"","Critical","Warning"),IF($L252="","Critical",IF($N252="","Warning","Good")),IF($R252&lt;&gt;"","Critical","Warning"),IF($R252&lt;&gt;"","Critical","Warning"),IF($Q252="Y","Good","Critical")))</f>
        <v/>
      </c>
      <c r="AI252" s="65" t="str">
        <f aca="false">IF($Y252="","",CHOOSE($Y252,IF(OR(TRIM($F252)="",ISNUMBER(SEARCH("not named",$F252))),"Name a sponsor accountable for the value",""),IF($O252&lt;&gt;"Y","State the success metric and the stop condition",IF($Q252&lt;&gt;"Y","Set the baseline the benefit will be measured against","")),IF($P252="","Assess data readiness and regulatory impact",IF($P252="partial","Close the known data gaps",IF($P252="ready","","Data is not available; reshape or park"))),IF($R252&lt;&gt;"",IF(OR(ISNUMBER(SEARCH("mrm",$R252)),ISNUMBER(SEARCH("model",$R252)),ISNUMBER(SEARCH("risk",$R252)),ISNUMBER(SEARCH("legal",$R252)),ISNUMBER(SEARCH("complian",$R252))),"Awaiting ","Held at the design gate: ")&amp;$R252,"Map the governance framework for its tier"),IF($L252="","Size the annual benefit",IF($N252="","Score it so it can be ranked against capacity","")),IF($R252&lt;&gt;"","Build held: "&amp;$R252,"In build, not yet through test"),IF($R252&lt;&gt;"","Not ready to scale: "&amp;$R252,"Monitoring and third-party review not yet signed off"),IF($Q252="Y","","Live without a measured baseline to judge it against")))</f>
        <v/>
      </c>
      <c r="AJ252" s="65" t="str">
        <f aca="false">IF($Y252="","",INDEX(StageForum,$Y252))</f>
        <v/>
      </c>
      <c r="AK252" s="65" t="str">
        <f aca="false">IF($Y252="","",IF(OR($X252="Delivery",$X252="Value"),"Committed",IF($N252&lt;&gt;"","Candidate","")))</f>
        <v/>
      </c>
      <c r="AL252" s="65" t="str">
        <f aca="false">IF($AK252&lt;&gt;"Candidate","",COUNTIFS($AK$2:$AK$501,"Candidate",$N$2:$N$501,"&gt;"&amp;$N252)+COUNTIFS($AK$2:$AK$501,"Candidate",$N$2:$N$501,$N252,$A$2:$A$501,"&lt;"&amp;$A252)+1)</f>
        <v/>
      </c>
      <c r="AM252" s="65" t="str">
        <f aca="false">IF($AL252="","",SUMIFS($M$2:$M$501,$AK$2:$AK$501,"Candidate",$AL$2:$AL$501,"&lt;="&amp;$AL252))</f>
        <v/>
      </c>
      <c r="AN252" s="65" t="str">
        <f aca="false">IF($AL252="","",IF($AM252&lt;=CapacityOpen,"Fits","Below line"))</f>
        <v/>
      </c>
      <c r="AO252" s="65" t="str">
        <f aca="false">IF($A252="","",IF($X252="Closed","",IF($X252="Unmapped","Warning",IF(OR($AB252="Overdue",$V252="Y",$AH252="Critical"),"Critical",IF(OR($AB252="At risk",$AC252="Stale",$AG252="Over"),"Warning","")))))</f>
        <v/>
      </c>
      <c r="AP252" s="65" t="str">
        <f aca="false">IF($AO252="","",IF($AO252="Critical",3000,2000)-IF($Z252="",0,$Z252)+ROW()/100000)</f>
        <v/>
      </c>
      <c r="AQ252" s="65" t="str">
        <f aca="false">IF($AO252="","",IF($X252="Unmapped","Status '"&amp;$C252&amp;"' is not in the Config map",IF($V252="Y","Flagged in Jira",IF($AB252="Overdue",-$Z252&amp;" days past its "&amp;$X252&amp;" target",IF($AH252="Critical",$AI252,IF($AB252="At risk","Target in "&amp;$Z252&amp;" days",IF($AC252="Stale","No update in "&amp;$AA252&amp;" days","Past its "&amp;$AE252&amp;"-day tier window")))))))</f>
        <v/>
      </c>
      <c r="AR252" s="65" t="str">
        <f aca="false">IF($AO252="","","draft Jira update for "&amp;$A252)</f>
        <v/>
      </c>
      <c r="AS252" s="65" t="str">
        <f aca="false">IF($A252="","",HYPERLINK(JiraSite&amp;"/browse/"&amp;$A252,"open"))</f>
        <v/>
      </c>
      <c r="AT252" s="65" t="str">
        <f aca="false">IF($Y252="","",$Y252*1000+ROW())</f>
        <v/>
      </c>
      <c r="AU252" s="65" t="str">
        <f aca="false">IF(AND($A252&lt;&gt;"",$G252&gt;=WeekStart),$G252+ROW()/100000,"")</f>
        <v/>
      </c>
      <c r="AV252" s="65" t="str">
        <f aca="false">IF($A252="","",IF(OR(AND($S252&lt;&gt;"",$S252&gt;=WeekStart),AND($U252&lt;&gt;"",$U252&gt;=WeekStart)),MAX($S252,$U252)+ROW()/100000,""))</f>
        <v/>
      </c>
      <c r="AW252" s="65" t="str">
        <f aca="false">IF($AV252="","",IF($T252&lt;&gt;"",$T252,IF($X252="Closed","Closed","Accepted to "&amp;$X252)))</f>
        <v/>
      </c>
      <c r="AX252" s="65" t="str">
        <f aca="false">IF(AND($Y252&lt;&gt;"",$R252&lt;&gt;""),$AF252+ROW()/100000,"")</f>
        <v/>
      </c>
      <c r="AY252" s="65" t="str">
        <f aca="false">IF(AND($Y252&lt;&gt;"",OR($AB252="Overdue",AND($AH252="Critical",$R252&lt;&gt;""))),$AF252+ROW()/100000,"")</f>
        <v/>
      </c>
      <c r="AZ252" s="65" t="str">
        <f aca="false">IF($AH252="Critical",$AF252+ROW()/100000,"")</f>
        <v/>
      </c>
    </row>
    <row r="253" customFormat="false" ht="15" hidden="false" customHeight="false" outlineLevel="0" collapsed="false">
      <c r="A253" s="28"/>
      <c r="B253" s="28"/>
      <c r="C253" s="28"/>
      <c r="D253" s="28"/>
      <c r="E253" s="28"/>
      <c r="F253" s="28"/>
      <c r="G253" s="63"/>
      <c r="H253" s="63"/>
      <c r="I253" s="63"/>
      <c r="J253" s="28"/>
      <c r="K253" s="28"/>
      <c r="L253" s="28"/>
      <c r="M253" s="28"/>
      <c r="N253" s="28"/>
      <c r="O253" s="64"/>
      <c r="P253" s="64"/>
      <c r="Q253" s="64"/>
      <c r="R253" s="28"/>
      <c r="S253" s="63"/>
      <c r="T253" s="64"/>
      <c r="U253" s="63"/>
      <c r="V253" s="64"/>
      <c r="W253" s="28"/>
      <c r="X253" s="65" t="str">
        <f aca="false">IF($A253="","",IF(OR($T253&lt;&gt;"",$U253&lt;&gt;""),"Closed",IFERROR(INDEX(MapStage,MATCH($C253,MapStatus,0)),"Unmapped")))</f>
        <v/>
      </c>
      <c r="Y253" s="65" t="str">
        <f aca="false">IF(OR($X253="",$X253="Closed",$X253="Unmapped"),"",MATCH($X253,StageName,0))</f>
        <v/>
      </c>
      <c r="Z253" s="65" t="str">
        <f aca="false">IF(OR($Y253="",$I253=""),"",$I253-AsOf)</f>
        <v/>
      </c>
      <c r="AA253" s="65" t="str">
        <f aca="false">IF($A253="","",AsOf-$H253)</f>
        <v/>
      </c>
      <c r="AB253" s="65" t="str">
        <f aca="false">IF($A253="","",IF($X253="Closed","Closed",IF($X253="Unmapped","Unmapped",IF($I253="","No target",IF($Z253&lt;0,"Overdue",IF($Z253&lt;=INDEX(StageWindow,$Y253),"At risk","On track"))))))</f>
        <v/>
      </c>
      <c r="AC253" s="65" t="str">
        <f aca="false">IF($Y253="","",IF($AA253&gt;2*INDEX(StageStale,$Y253),"Stale",IF($AA253&gt;INDEX(StageStale,$Y253),"Aging","Fresh")))</f>
        <v/>
      </c>
      <c r="AD253" s="65" t="str">
        <f aca="false">IF($A253="","",IF(OR(ISNUMBER(SEARCH("Reg report",$J253)),ISNUMBER(SEARCH("No human review",$J253)),COUNTIF(TierFuncs,$D253)&gt;0),"High",IF(OR(TRIM($J253)&lt;&gt;"",ISNUMBER(SEARCH("revenue",$K253))),"Medium","Low")))</f>
        <v/>
      </c>
      <c r="AE253" s="65" t="str">
        <f aca="false">IF($A253="","",INDEX(TierDays,MATCH($AD253,TierName,0)))</f>
        <v/>
      </c>
      <c r="AF253" s="65" t="str">
        <f aca="false">IF($A253="","",AsOf-$G253)</f>
        <v/>
      </c>
      <c r="AG253" s="65" t="str">
        <f aca="false">IF($Y253="","",IF($Y253&lt;=5,IF($AF253&gt;$AE253,"Over","Inside"),"Past approval"))</f>
        <v/>
      </c>
      <c r="AH253" s="65" t="str">
        <f aca="false">IF($Y253="","",CHOOSE($Y253,IF(OR(TRIM($F253)="",ISNUMBER(SEARCH("not named",$F253))),"Critical","Good"),IF($O253&lt;&gt;"Y","Critical",IF($Q253&lt;&gt;"Y","Warning","Good")),IF($P253="","Critical",IF($P253="partial","Warning",IF($P253="ready","Good","Critical"))),IF($R253&lt;&gt;"","Critical","Warning"),IF($L253="","Critical",IF($N253="","Warning","Good")),IF($R253&lt;&gt;"","Critical","Warning"),IF($R253&lt;&gt;"","Critical","Warning"),IF($Q253="Y","Good","Critical")))</f>
        <v/>
      </c>
      <c r="AI253" s="65" t="str">
        <f aca="false">IF($Y253="","",CHOOSE($Y253,IF(OR(TRIM($F253)="",ISNUMBER(SEARCH("not named",$F253))),"Name a sponsor accountable for the value",""),IF($O253&lt;&gt;"Y","State the success metric and the stop condition",IF($Q253&lt;&gt;"Y","Set the baseline the benefit will be measured against","")),IF($P253="","Assess data readiness and regulatory impact",IF($P253="partial","Close the known data gaps",IF($P253="ready","","Data is not available; reshape or park"))),IF($R253&lt;&gt;"",IF(OR(ISNUMBER(SEARCH("mrm",$R253)),ISNUMBER(SEARCH("model",$R253)),ISNUMBER(SEARCH("risk",$R253)),ISNUMBER(SEARCH("legal",$R253)),ISNUMBER(SEARCH("complian",$R253))),"Awaiting ","Held at the design gate: ")&amp;$R253,"Map the governance framework for its tier"),IF($L253="","Size the annual benefit",IF($N253="","Score it so it can be ranked against capacity","")),IF($R253&lt;&gt;"","Build held: "&amp;$R253,"In build, not yet through test"),IF($R253&lt;&gt;"","Not ready to scale: "&amp;$R253,"Monitoring and third-party review not yet signed off"),IF($Q253="Y","","Live without a measured baseline to judge it against")))</f>
        <v/>
      </c>
      <c r="AJ253" s="65" t="str">
        <f aca="false">IF($Y253="","",INDEX(StageForum,$Y253))</f>
        <v/>
      </c>
      <c r="AK253" s="65" t="str">
        <f aca="false">IF($Y253="","",IF(OR($X253="Delivery",$X253="Value"),"Committed",IF($N253&lt;&gt;"","Candidate","")))</f>
        <v/>
      </c>
      <c r="AL253" s="65" t="str">
        <f aca="false">IF($AK253&lt;&gt;"Candidate","",COUNTIFS($AK$2:$AK$501,"Candidate",$N$2:$N$501,"&gt;"&amp;$N253)+COUNTIFS($AK$2:$AK$501,"Candidate",$N$2:$N$501,$N253,$A$2:$A$501,"&lt;"&amp;$A253)+1)</f>
        <v/>
      </c>
      <c r="AM253" s="65" t="str">
        <f aca="false">IF($AL253="","",SUMIFS($M$2:$M$501,$AK$2:$AK$501,"Candidate",$AL$2:$AL$501,"&lt;="&amp;$AL253))</f>
        <v/>
      </c>
      <c r="AN253" s="65" t="str">
        <f aca="false">IF($AL253="","",IF($AM253&lt;=CapacityOpen,"Fits","Below line"))</f>
        <v/>
      </c>
      <c r="AO253" s="65" t="str">
        <f aca="false">IF($A253="","",IF($X253="Closed","",IF($X253="Unmapped","Warning",IF(OR($AB253="Overdue",$V253="Y",$AH253="Critical"),"Critical",IF(OR($AB253="At risk",$AC253="Stale",$AG253="Over"),"Warning","")))))</f>
        <v/>
      </c>
      <c r="AP253" s="65" t="str">
        <f aca="false">IF($AO253="","",IF($AO253="Critical",3000,2000)-IF($Z253="",0,$Z253)+ROW()/100000)</f>
        <v/>
      </c>
      <c r="AQ253" s="65" t="str">
        <f aca="false">IF($AO253="","",IF($X253="Unmapped","Status '"&amp;$C253&amp;"' is not in the Config map",IF($V253="Y","Flagged in Jira",IF($AB253="Overdue",-$Z253&amp;" days past its "&amp;$X253&amp;" target",IF($AH253="Critical",$AI253,IF($AB253="At risk","Target in "&amp;$Z253&amp;" days",IF($AC253="Stale","No update in "&amp;$AA253&amp;" days","Past its "&amp;$AE253&amp;"-day tier window")))))))</f>
        <v/>
      </c>
      <c r="AR253" s="65" t="str">
        <f aca="false">IF($AO253="","","draft Jira update for "&amp;$A253)</f>
        <v/>
      </c>
      <c r="AS253" s="65" t="str">
        <f aca="false">IF($A253="","",HYPERLINK(JiraSite&amp;"/browse/"&amp;$A253,"open"))</f>
        <v/>
      </c>
      <c r="AT253" s="65" t="str">
        <f aca="false">IF($Y253="","",$Y253*1000+ROW())</f>
        <v/>
      </c>
      <c r="AU253" s="65" t="str">
        <f aca="false">IF(AND($A253&lt;&gt;"",$G253&gt;=WeekStart),$G253+ROW()/100000,"")</f>
        <v/>
      </c>
      <c r="AV253" s="65" t="str">
        <f aca="false">IF($A253="","",IF(OR(AND($S253&lt;&gt;"",$S253&gt;=WeekStart),AND($U253&lt;&gt;"",$U253&gt;=WeekStart)),MAX($S253,$U253)+ROW()/100000,""))</f>
        <v/>
      </c>
      <c r="AW253" s="65" t="str">
        <f aca="false">IF($AV253="","",IF($T253&lt;&gt;"",$T253,IF($X253="Closed","Closed","Accepted to "&amp;$X253)))</f>
        <v/>
      </c>
      <c r="AX253" s="65" t="str">
        <f aca="false">IF(AND($Y253&lt;&gt;"",$R253&lt;&gt;""),$AF253+ROW()/100000,"")</f>
        <v/>
      </c>
      <c r="AY253" s="65" t="str">
        <f aca="false">IF(AND($Y253&lt;&gt;"",OR($AB253="Overdue",AND($AH253="Critical",$R253&lt;&gt;""))),$AF253+ROW()/100000,"")</f>
        <v/>
      </c>
      <c r="AZ253" s="65" t="str">
        <f aca="false">IF($AH253="Critical",$AF253+ROW()/100000,"")</f>
        <v/>
      </c>
    </row>
    <row r="254" customFormat="false" ht="15" hidden="false" customHeight="false" outlineLevel="0" collapsed="false">
      <c r="A254" s="28"/>
      <c r="B254" s="28"/>
      <c r="C254" s="28"/>
      <c r="D254" s="28"/>
      <c r="E254" s="28"/>
      <c r="F254" s="28"/>
      <c r="G254" s="63"/>
      <c r="H254" s="63"/>
      <c r="I254" s="63"/>
      <c r="J254" s="28"/>
      <c r="K254" s="28"/>
      <c r="L254" s="28"/>
      <c r="M254" s="28"/>
      <c r="N254" s="28"/>
      <c r="O254" s="64"/>
      <c r="P254" s="64"/>
      <c r="Q254" s="64"/>
      <c r="R254" s="28"/>
      <c r="S254" s="63"/>
      <c r="T254" s="64"/>
      <c r="U254" s="63"/>
      <c r="V254" s="64"/>
      <c r="W254" s="28"/>
      <c r="X254" s="65" t="str">
        <f aca="false">IF($A254="","",IF(OR($T254&lt;&gt;"",$U254&lt;&gt;""),"Closed",IFERROR(INDEX(MapStage,MATCH($C254,MapStatus,0)),"Unmapped")))</f>
        <v/>
      </c>
      <c r="Y254" s="65" t="str">
        <f aca="false">IF(OR($X254="",$X254="Closed",$X254="Unmapped"),"",MATCH($X254,StageName,0))</f>
        <v/>
      </c>
      <c r="Z254" s="65" t="str">
        <f aca="false">IF(OR($Y254="",$I254=""),"",$I254-AsOf)</f>
        <v/>
      </c>
      <c r="AA254" s="65" t="str">
        <f aca="false">IF($A254="","",AsOf-$H254)</f>
        <v/>
      </c>
      <c r="AB254" s="65" t="str">
        <f aca="false">IF($A254="","",IF($X254="Closed","Closed",IF($X254="Unmapped","Unmapped",IF($I254="","No target",IF($Z254&lt;0,"Overdue",IF($Z254&lt;=INDEX(StageWindow,$Y254),"At risk","On track"))))))</f>
        <v/>
      </c>
      <c r="AC254" s="65" t="str">
        <f aca="false">IF($Y254="","",IF($AA254&gt;2*INDEX(StageStale,$Y254),"Stale",IF($AA254&gt;INDEX(StageStale,$Y254),"Aging","Fresh")))</f>
        <v/>
      </c>
      <c r="AD254" s="65" t="str">
        <f aca="false">IF($A254="","",IF(OR(ISNUMBER(SEARCH("Reg report",$J254)),ISNUMBER(SEARCH("No human review",$J254)),COUNTIF(TierFuncs,$D254)&gt;0),"High",IF(OR(TRIM($J254)&lt;&gt;"",ISNUMBER(SEARCH("revenue",$K254))),"Medium","Low")))</f>
        <v/>
      </c>
      <c r="AE254" s="65" t="str">
        <f aca="false">IF($A254="","",INDEX(TierDays,MATCH($AD254,TierName,0)))</f>
        <v/>
      </c>
      <c r="AF254" s="65" t="str">
        <f aca="false">IF($A254="","",AsOf-$G254)</f>
        <v/>
      </c>
      <c r="AG254" s="65" t="str">
        <f aca="false">IF($Y254="","",IF($Y254&lt;=5,IF($AF254&gt;$AE254,"Over","Inside"),"Past approval"))</f>
        <v/>
      </c>
      <c r="AH254" s="65" t="str">
        <f aca="false">IF($Y254="","",CHOOSE($Y254,IF(OR(TRIM($F254)="",ISNUMBER(SEARCH("not named",$F254))),"Critical","Good"),IF($O254&lt;&gt;"Y","Critical",IF($Q254&lt;&gt;"Y","Warning","Good")),IF($P254="","Critical",IF($P254="partial","Warning",IF($P254="ready","Good","Critical"))),IF($R254&lt;&gt;"","Critical","Warning"),IF($L254="","Critical",IF($N254="","Warning","Good")),IF($R254&lt;&gt;"","Critical","Warning"),IF($R254&lt;&gt;"","Critical","Warning"),IF($Q254="Y","Good","Critical")))</f>
        <v/>
      </c>
      <c r="AI254" s="65" t="str">
        <f aca="false">IF($Y254="","",CHOOSE($Y254,IF(OR(TRIM($F254)="",ISNUMBER(SEARCH("not named",$F254))),"Name a sponsor accountable for the value",""),IF($O254&lt;&gt;"Y","State the success metric and the stop condition",IF($Q254&lt;&gt;"Y","Set the baseline the benefit will be measured against","")),IF($P254="","Assess data readiness and regulatory impact",IF($P254="partial","Close the known data gaps",IF($P254="ready","","Data is not available; reshape or park"))),IF($R254&lt;&gt;"",IF(OR(ISNUMBER(SEARCH("mrm",$R254)),ISNUMBER(SEARCH("model",$R254)),ISNUMBER(SEARCH("risk",$R254)),ISNUMBER(SEARCH("legal",$R254)),ISNUMBER(SEARCH("complian",$R254))),"Awaiting ","Held at the design gate: ")&amp;$R254,"Map the governance framework for its tier"),IF($L254="","Size the annual benefit",IF($N254="","Score it so it can be ranked against capacity","")),IF($R254&lt;&gt;"","Build held: "&amp;$R254,"In build, not yet through test"),IF($R254&lt;&gt;"","Not ready to scale: "&amp;$R254,"Monitoring and third-party review not yet signed off"),IF($Q254="Y","","Live without a measured baseline to judge it against")))</f>
        <v/>
      </c>
      <c r="AJ254" s="65" t="str">
        <f aca="false">IF($Y254="","",INDEX(StageForum,$Y254))</f>
        <v/>
      </c>
      <c r="AK254" s="65" t="str">
        <f aca="false">IF($Y254="","",IF(OR($X254="Delivery",$X254="Value"),"Committed",IF($N254&lt;&gt;"","Candidate","")))</f>
        <v/>
      </c>
      <c r="AL254" s="65" t="str">
        <f aca="false">IF($AK254&lt;&gt;"Candidate","",COUNTIFS($AK$2:$AK$501,"Candidate",$N$2:$N$501,"&gt;"&amp;$N254)+COUNTIFS($AK$2:$AK$501,"Candidate",$N$2:$N$501,$N254,$A$2:$A$501,"&lt;"&amp;$A254)+1)</f>
        <v/>
      </c>
      <c r="AM254" s="65" t="str">
        <f aca="false">IF($AL254="","",SUMIFS($M$2:$M$501,$AK$2:$AK$501,"Candidate",$AL$2:$AL$501,"&lt;="&amp;$AL254))</f>
        <v/>
      </c>
      <c r="AN254" s="65" t="str">
        <f aca="false">IF($AL254="","",IF($AM254&lt;=CapacityOpen,"Fits","Below line"))</f>
        <v/>
      </c>
      <c r="AO254" s="65" t="str">
        <f aca="false">IF($A254="","",IF($X254="Closed","",IF($X254="Unmapped","Warning",IF(OR($AB254="Overdue",$V254="Y",$AH254="Critical"),"Critical",IF(OR($AB254="At risk",$AC254="Stale",$AG254="Over"),"Warning","")))))</f>
        <v/>
      </c>
      <c r="AP254" s="65" t="str">
        <f aca="false">IF($AO254="","",IF($AO254="Critical",3000,2000)-IF($Z254="",0,$Z254)+ROW()/100000)</f>
        <v/>
      </c>
      <c r="AQ254" s="65" t="str">
        <f aca="false">IF($AO254="","",IF($X254="Unmapped","Status '"&amp;$C254&amp;"' is not in the Config map",IF($V254="Y","Flagged in Jira",IF($AB254="Overdue",-$Z254&amp;" days past its "&amp;$X254&amp;" target",IF($AH254="Critical",$AI254,IF($AB254="At risk","Target in "&amp;$Z254&amp;" days",IF($AC254="Stale","No update in "&amp;$AA254&amp;" days","Past its "&amp;$AE254&amp;"-day tier window")))))))</f>
        <v/>
      </c>
      <c r="AR254" s="65" t="str">
        <f aca="false">IF($AO254="","","draft Jira update for "&amp;$A254)</f>
        <v/>
      </c>
      <c r="AS254" s="65" t="str">
        <f aca="false">IF($A254="","",HYPERLINK(JiraSite&amp;"/browse/"&amp;$A254,"open"))</f>
        <v/>
      </c>
      <c r="AT254" s="65" t="str">
        <f aca="false">IF($Y254="","",$Y254*1000+ROW())</f>
        <v/>
      </c>
      <c r="AU254" s="65" t="str">
        <f aca="false">IF(AND($A254&lt;&gt;"",$G254&gt;=WeekStart),$G254+ROW()/100000,"")</f>
        <v/>
      </c>
      <c r="AV254" s="65" t="str">
        <f aca="false">IF($A254="","",IF(OR(AND($S254&lt;&gt;"",$S254&gt;=WeekStart),AND($U254&lt;&gt;"",$U254&gt;=WeekStart)),MAX($S254,$U254)+ROW()/100000,""))</f>
        <v/>
      </c>
      <c r="AW254" s="65" t="str">
        <f aca="false">IF($AV254="","",IF($T254&lt;&gt;"",$T254,IF($X254="Closed","Closed","Accepted to "&amp;$X254)))</f>
        <v/>
      </c>
      <c r="AX254" s="65" t="str">
        <f aca="false">IF(AND($Y254&lt;&gt;"",$R254&lt;&gt;""),$AF254+ROW()/100000,"")</f>
        <v/>
      </c>
      <c r="AY254" s="65" t="str">
        <f aca="false">IF(AND($Y254&lt;&gt;"",OR($AB254="Overdue",AND($AH254="Critical",$R254&lt;&gt;""))),$AF254+ROW()/100000,"")</f>
        <v/>
      </c>
      <c r="AZ254" s="65" t="str">
        <f aca="false">IF($AH254="Critical",$AF254+ROW()/100000,"")</f>
        <v/>
      </c>
    </row>
    <row r="255" customFormat="false" ht="15" hidden="false" customHeight="false" outlineLevel="0" collapsed="false">
      <c r="A255" s="28"/>
      <c r="B255" s="28"/>
      <c r="C255" s="28"/>
      <c r="D255" s="28"/>
      <c r="E255" s="28"/>
      <c r="F255" s="28"/>
      <c r="G255" s="63"/>
      <c r="H255" s="63"/>
      <c r="I255" s="63"/>
      <c r="J255" s="28"/>
      <c r="K255" s="28"/>
      <c r="L255" s="28"/>
      <c r="M255" s="28"/>
      <c r="N255" s="28"/>
      <c r="O255" s="64"/>
      <c r="P255" s="64"/>
      <c r="Q255" s="64"/>
      <c r="R255" s="28"/>
      <c r="S255" s="63"/>
      <c r="T255" s="64"/>
      <c r="U255" s="63"/>
      <c r="V255" s="64"/>
      <c r="W255" s="28"/>
      <c r="X255" s="65" t="str">
        <f aca="false">IF($A255="","",IF(OR($T255&lt;&gt;"",$U255&lt;&gt;""),"Closed",IFERROR(INDEX(MapStage,MATCH($C255,MapStatus,0)),"Unmapped")))</f>
        <v/>
      </c>
      <c r="Y255" s="65" t="str">
        <f aca="false">IF(OR($X255="",$X255="Closed",$X255="Unmapped"),"",MATCH($X255,StageName,0))</f>
        <v/>
      </c>
      <c r="Z255" s="65" t="str">
        <f aca="false">IF(OR($Y255="",$I255=""),"",$I255-AsOf)</f>
        <v/>
      </c>
      <c r="AA255" s="65" t="str">
        <f aca="false">IF($A255="","",AsOf-$H255)</f>
        <v/>
      </c>
      <c r="AB255" s="65" t="str">
        <f aca="false">IF($A255="","",IF($X255="Closed","Closed",IF($X255="Unmapped","Unmapped",IF($I255="","No target",IF($Z255&lt;0,"Overdue",IF($Z255&lt;=INDEX(StageWindow,$Y255),"At risk","On track"))))))</f>
        <v/>
      </c>
      <c r="AC255" s="65" t="str">
        <f aca="false">IF($Y255="","",IF($AA255&gt;2*INDEX(StageStale,$Y255),"Stale",IF($AA255&gt;INDEX(StageStale,$Y255),"Aging","Fresh")))</f>
        <v/>
      </c>
      <c r="AD255" s="65" t="str">
        <f aca="false">IF($A255="","",IF(OR(ISNUMBER(SEARCH("Reg report",$J255)),ISNUMBER(SEARCH("No human review",$J255)),COUNTIF(TierFuncs,$D255)&gt;0),"High",IF(OR(TRIM($J255)&lt;&gt;"",ISNUMBER(SEARCH("revenue",$K255))),"Medium","Low")))</f>
        <v/>
      </c>
      <c r="AE255" s="65" t="str">
        <f aca="false">IF($A255="","",INDEX(TierDays,MATCH($AD255,TierName,0)))</f>
        <v/>
      </c>
      <c r="AF255" s="65" t="str">
        <f aca="false">IF($A255="","",AsOf-$G255)</f>
        <v/>
      </c>
      <c r="AG255" s="65" t="str">
        <f aca="false">IF($Y255="","",IF($Y255&lt;=5,IF($AF255&gt;$AE255,"Over","Inside"),"Past approval"))</f>
        <v/>
      </c>
      <c r="AH255" s="65" t="str">
        <f aca="false">IF($Y255="","",CHOOSE($Y255,IF(OR(TRIM($F255)="",ISNUMBER(SEARCH("not named",$F255))),"Critical","Good"),IF($O255&lt;&gt;"Y","Critical",IF($Q255&lt;&gt;"Y","Warning","Good")),IF($P255="","Critical",IF($P255="partial","Warning",IF($P255="ready","Good","Critical"))),IF($R255&lt;&gt;"","Critical","Warning"),IF($L255="","Critical",IF($N255="","Warning","Good")),IF($R255&lt;&gt;"","Critical","Warning"),IF($R255&lt;&gt;"","Critical","Warning"),IF($Q255="Y","Good","Critical")))</f>
        <v/>
      </c>
      <c r="AI255" s="65" t="str">
        <f aca="false">IF($Y255="","",CHOOSE($Y255,IF(OR(TRIM($F255)="",ISNUMBER(SEARCH("not named",$F255))),"Name a sponsor accountable for the value",""),IF($O255&lt;&gt;"Y","State the success metric and the stop condition",IF($Q255&lt;&gt;"Y","Set the baseline the benefit will be measured against","")),IF($P255="","Assess data readiness and regulatory impact",IF($P255="partial","Close the known data gaps",IF($P255="ready","","Data is not available; reshape or park"))),IF($R255&lt;&gt;"",IF(OR(ISNUMBER(SEARCH("mrm",$R255)),ISNUMBER(SEARCH("model",$R255)),ISNUMBER(SEARCH("risk",$R255)),ISNUMBER(SEARCH("legal",$R255)),ISNUMBER(SEARCH("complian",$R255))),"Awaiting ","Held at the design gate: ")&amp;$R255,"Map the governance framework for its tier"),IF($L255="","Size the annual benefit",IF($N255="","Score it so it can be ranked against capacity","")),IF($R255&lt;&gt;"","Build held: "&amp;$R255,"In build, not yet through test"),IF($R255&lt;&gt;"","Not ready to scale: "&amp;$R255,"Monitoring and third-party review not yet signed off"),IF($Q255="Y","","Live without a measured baseline to judge it against")))</f>
        <v/>
      </c>
      <c r="AJ255" s="65" t="str">
        <f aca="false">IF($Y255="","",INDEX(StageForum,$Y255))</f>
        <v/>
      </c>
      <c r="AK255" s="65" t="str">
        <f aca="false">IF($Y255="","",IF(OR($X255="Delivery",$X255="Value"),"Committed",IF($N255&lt;&gt;"","Candidate","")))</f>
        <v/>
      </c>
      <c r="AL255" s="65" t="str">
        <f aca="false">IF($AK255&lt;&gt;"Candidate","",COUNTIFS($AK$2:$AK$501,"Candidate",$N$2:$N$501,"&gt;"&amp;$N255)+COUNTIFS($AK$2:$AK$501,"Candidate",$N$2:$N$501,$N255,$A$2:$A$501,"&lt;"&amp;$A255)+1)</f>
        <v/>
      </c>
      <c r="AM255" s="65" t="str">
        <f aca="false">IF($AL255="","",SUMIFS($M$2:$M$501,$AK$2:$AK$501,"Candidate",$AL$2:$AL$501,"&lt;="&amp;$AL255))</f>
        <v/>
      </c>
      <c r="AN255" s="65" t="str">
        <f aca="false">IF($AL255="","",IF($AM255&lt;=CapacityOpen,"Fits","Below line"))</f>
        <v/>
      </c>
      <c r="AO255" s="65" t="str">
        <f aca="false">IF($A255="","",IF($X255="Closed","",IF($X255="Unmapped","Warning",IF(OR($AB255="Overdue",$V255="Y",$AH255="Critical"),"Critical",IF(OR($AB255="At risk",$AC255="Stale",$AG255="Over"),"Warning","")))))</f>
        <v/>
      </c>
      <c r="AP255" s="65" t="str">
        <f aca="false">IF($AO255="","",IF($AO255="Critical",3000,2000)-IF($Z255="",0,$Z255)+ROW()/100000)</f>
        <v/>
      </c>
      <c r="AQ255" s="65" t="str">
        <f aca="false">IF($AO255="","",IF($X255="Unmapped","Status '"&amp;$C255&amp;"' is not in the Config map",IF($V255="Y","Flagged in Jira",IF($AB255="Overdue",-$Z255&amp;" days past its "&amp;$X255&amp;" target",IF($AH255="Critical",$AI255,IF($AB255="At risk","Target in "&amp;$Z255&amp;" days",IF($AC255="Stale","No update in "&amp;$AA255&amp;" days","Past its "&amp;$AE255&amp;"-day tier window")))))))</f>
        <v/>
      </c>
      <c r="AR255" s="65" t="str">
        <f aca="false">IF($AO255="","","draft Jira update for "&amp;$A255)</f>
        <v/>
      </c>
      <c r="AS255" s="65" t="str">
        <f aca="false">IF($A255="","",HYPERLINK(JiraSite&amp;"/browse/"&amp;$A255,"open"))</f>
        <v/>
      </c>
      <c r="AT255" s="65" t="str">
        <f aca="false">IF($Y255="","",$Y255*1000+ROW())</f>
        <v/>
      </c>
      <c r="AU255" s="65" t="str">
        <f aca="false">IF(AND($A255&lt;&gt;"",$G255&gt;=WeekStart),$G255+ROW()/100000,"")</f>
        <v/>
      </c>
      <c r="AV255" s="65" t="str">
        <f aca="false">IF($A255="","",IF(OR(AND($S255&lt;&gt;"",$S255&gt;=WeekStart),AND($U255&lt;&gt;"",$U255&gt;=WeekStart)),MAX($S255,$U255)+ROW()/100000,""))</f>
        <v/>
      </c>
      <c r="AW255" s="65" t="str">
        <f aca="false">IF($AV255="","",IF($T255&lt;&gt;"",$T255,IF($X255="Closed","Closed","Accepted to "&amp;$X255)))</f>
        <v/>
      </c>
      <c r="AX255" s="65" t="str">
        <f aca="false">IF(AND($Y255&lt;&gt;"",$R255&lt;&gt;""),$AF255+ROW()/100000,"")</f>
        <v/>
      </c>
      <c r="AY255" s="65" t="str">
        <f aca="false">IF(AND($Y255&lt;&gt;"",OR($AB255="Overdue",AND($AH255="Critical",$R255&lt;&gt;""))),$AF255+ROW()/100000,"")</f>
        <v/>
      </c>
      <c r="AZ255" s="65" t="str">
        <f aca="false">IF($AH255="Critical",$AF255+ROW()/100000,"")</f>
        <v/>
      </c>
    </row>
    <row r="256" customFormat="false" ht="15" hidden="false" customHeight="false" outlineLevel="0" collapsed="false">
      <c r="A256" s="28"/>
      <c r="B256" s="28"/>
      <c r="C256" s="28"/>
      <c r="D256" s="28"/>
      <c r="E256" s="28"/>
      <c r="F256" s="28"/>
      <c r="G256" s="63"/>
      <c r="H256" s="63"/>
      <c r="I256" s="63"/>
      <c r="J256" s="28"/>
      <c r="K256" s="28"/>
      <c r="L256" s="28"/>
      <c r="M256" s="28"/>
      <c r="N256" s="28"/>
      <c r="O256" s="64"/>
      <c r="P256" s="64"/>
      <c r="Q256" s="64"/>
      <c r="R256" s="28"/>
      <c r="S256" s="63"/>
      <c r="T256" s="64"/>
      <c r="U256" s="63"/>
      <c r="V256" s="64"/>
      <c r="W256" s="28"/>
      <c r="X256" s="65" t="str">
        <f aca="false">IF($A256="","",IF(OR($T256&lt;&gt;"",$U256&lt;&gt;""),"Closed",IFERROR(INDEX(MapStage,MATCH($C256,MapStatus,0)),"Unmapped")))</f>
        <v/>
      </c>
      <c r="Y256" s="65" t="str">
        <f aca="false">IF(OR($X256="",$X256="Closed",$X256="Unmapped"),"",MATCH($X256,StageName,0))</f>
        <v/>
      </c>
      <c r="Z256" s="65" t="str">
        <f aca="false">IF(OR($Y256="",$I256=""),"",$I256-AsOf)</f>
        <v/>
      </c>
      <c r="AA256" s="65" t="str">
        <f aca="false">IF($A256="","",AsOf-$H256)</f>
        <v/>
      </c>
      <c r="AB256" s="65" t="str">
        <f aca="false">IF($A256="","",IF($X256="Closed","Closed",IF($X256="Unmapped","Unmapped",IF($I256="","No target",IF($Z256&lt;0,"Overdue",IF($Z256&lt;=INDEX(StageWindow,$Y256),"At risk","On track"))))))</f>
        <v/>
      </c>
      <c r="AC256" s="65" t="str">
        <f aca="false">IF($Y256="","",IF($AA256&gt;2*INDEX(StageStale,$Y256),"Stale",IF($AA256&gt;INDEX(StageStale,$Y256),"Aging","Fresh")))</f>
        <v/>
      </c>
      <c r="AD256" s="65" t="str">
        <f aca="false">IF($A256="","",IF(OR(ISNUMBER(SEARCH("Reg report",$J256)),ISNUMBER(SEARCH("No human review",$J256)),COUNTIF(TierFuncs,$D256)&gt;0),"High",IF(OR(TRIM($J256)&lt;&gt;"",ISNUMBER(SEARCH("revenue",$K256))),"Medium","Low")))</f>
        <v/>
      </c>
      <c r="AE256" s="65" t="str">
        <f aca="false">IF($A256="","",INDEX(TierDays,MATCH($AD256,TierName,0)))</f>
        <v/>
      </c>
      <c r="AF256" s="65" t="str">
        <f aca="false">IF($A256="","",AsOf-$G256)</f>
        <v/>
      </c>
      <c r="AG256" s="65" t="str">
        <f aca="false">IF($Y256="","",IF($Y256&lt;=5,IF($AF256&gt;$AE256,"Over","Inside"),"Past approval"))</f>
        <v/>
      </c>
      <c r="AH256" s="65" t="str">
        <f aca="false">IF($Y256="","",CHOOSE($Y256,IF(OR(TRIM($F256)="",ISNUMBER(SEARCH("not named",$F256))),"Critical","Good"),IF($O256&lt;&gt;"Y","Critical",IF($Q256&lt;&gt;"Y","Warning","Good")),IF($P256="","Critical",IF($P256="partial","Warning",IF($P256="ready","Good","Critical"))),IF($R256&lt;&gt;"","Critical","Warning"),IF($L256="","Critical",IF($N256="","Warning","Good")),IF($R256&lt;&gt;"","Critical","Warning"),IF($R256&lt;&gt;"","Critical","Warning"),IF($Q256="Y","Good","Critical")))</f>
        <v/>
      </c>
      <c r="AI256" s="65" t="str">
        <f aca="false">IF($Y256="","",CHOOSE($Y256,IF(OR(TRIM($F256)="",ISNUMBER(SEARCH("not named",$F256))),"Name a sponsor accountable for the value",""),IF($O256&lt;&gt;"Y","State the success metric and the stop condition",IF($Q256&lt;&gt;"Y","Set the baseline the benefit will be measured against","")),IF($P256="","Assess data readiness and regulatory impact",IF($P256="partial","Close the known data gaps",IF($P256="ready","","Data is not available; reshape or park"))),IF($R256&lt;&gt;"",IF(OR(ISNUMBER(SEARCH("mrm",$R256)),ISNUMBER(SEARCH("model",$R256)),ISNUMBER(SEARCH("risk",$R256)),ISNUMBER(SEARCH("legal",$R256)),ISNUMBER(SEARCH("complian",$R256))),"Awaiting ","Held at the design gate: ")&amp;$R256,"Map the governance framework for its tier"),IF($L256="","Size the annual benefit",IF($N256="","Score it so it can be ranked against capacity","")),IF($R256&lt;&gt;"","Build held: "&amp;$R256,"In build, not yet through test"),IF($R256&lt;&gt;"","Not ready to scale: "&amp;$R256,"Monitoring and third-party review not yet signed off"),IF($Q256="Y","","Live without a measured baseline to judge it against")))</f>
        <v/>
      </c>
      <c r="AJ256" s="65" t="str">
        <f aca="false">IF($Y256="","",INDEX(StageForum,$Y256))</f>
        <v/>
      </c>
      <c r="AK256" s="65" t="str">
        <f aca="false">IF($Y256="","",IF(OR($X256="Delivery",$X256="Value"),"Committed",IF($N256&lt;&gt;"","Candidate","")))</f>
        <v/>
      </c>
      <c r="AL256" s="65" t="str">
        <f aca="false">IF($AK256&lt;&gt;"Candidate","",COUNTIFS($AK$2:$AK$501,"Candidate",$N$2:$N$501,"&gt;"&amp;$N256)+COUNTIFS($AK$2:$AK$501,"Candidate",$N$2:$N$501,$N256,$A$2:$A$501,"&lt;"&amp;$A256)+1)</f>
        <v/>
      </c>
      <c r="AM256" s="65" t="str">
        <f aca="false">IF($AL256="","",SUMIFS($M$2:$M$501,$AK$2:$AK$501,"Candidate",$AL$2:$AL$501,"&lt;="&amp;$AL256))</f>
        <v/>
      </c>
      <c r="AN256" s="65" t="str">
        <f aca="false">IF($AL256="","",IF($AM256&lt;=CapacityOpen,"Fits","Below line"))</f>
        <v/>
      </c>
      <c r="AO256" s="65" t="str">
        <f aca="false">IF($A256="","",IF($X256="Closed","",IF($X256="Unmapped","Warning",IF(OR($AB256="Overdue",$V256="Y",$AH256="Critical"),"Critical",IF(OR($AB256="At risk",$AC256="Stale",$AG256="Over"),"Warning","")))))</f>
        <v/>
      </c>
      <c r="AP256" s="65" t="str">
        <f aca="false">IF($AO256="","",IF($AO256="Critical",3000,2000)-IF($Z256="",0,$Z256)+ROW()/100000)</f>
        <v/>
      </c>
      <c r="AQ256" s="65" t="str">
        <f aca="false">IF($AO256="","",IF($X256="Unmapped","Status '"&amp;$C256&amp;"' is not in the Config map",IF($V256="Y","Flagged in Jira",IF($AB256="Overdue",-$Z256&amp;" days past its "&amp;$X256&amp;" target",IF($AH256="Critical",$AI256,IF($AB256="At risk","Target in "&amp;$Z256&amp;" days",IF($AC256="Stale","No update in "&amp;$AA256&amp;" days","Past its "&amp;$AE256&amp;"-day tier window")))))))</f>
        <v/>
      </c>
      <c r="AR256" s="65" t="str">
        <f aca="false">IF($AO256="","","draft Jira update for "&amp;$A256)</f>
        <v/>
      </c>
      <c r="AS256" s="65" t="str">
        <f aca="false">IF($A256="","",HYPERLINK(JiraSite&amp;"/browse/"&amp;$A256,"open"))</f>
        <v/>
      </c>
      <c r="AT256" s="65" t="str">
        <f aca="false">IF($Y256="","",$Y256*1000+ROW())</f>
        <v/>
      </c>
      <c r="AU256" s="65" t="str">
        <f aca="false">IF(AND($A256&lt;&gt;"",$G256&gt;=WeekStart),$G256+ROW()/100000,"")</f>
        <v/>
      </c>
      <c r="AV256" s="65" t="str">
        <f aca="false">IF($A256="","",IF(OR(AND($S256&lt;&gt;"",$S256&gt;=WeekStart),AND($U256&lt;&gt;"",$U256&gt;=WeekStart)),MAX($S256,$U256)+ROW()/100000,""))</f>
        <v/>
      </c>
      <c r="AW256" s="65" t="str">
        <f aca="false">IF($AV256="","",IF($T256&lt;&gt;"",$T256,IF($X256="Closed","Closed","Accepted to "&amp;$X256)))</f>
        <v/>
      </c>
      <c r="AX256" s="65" t="str">
        <f aca="false">IF(AND($Y256&lt;&gt;"",$R256&lt;&gt;""),$AF256+ROW()/100000,"")</f>
        <v/>
      </c>
      <c r="AY256" s="65" t="str">
        <f aca="false">IF(AND($Y256&lt;&gt;"",OR($AB256="Overdue",AND($AH256="Critical",$R256&lt;&gt;""))),$AF256+ROW()/100000,"")</f>
        <v/>
      </c>
      <c r="AZ256" s="65" t="str">
        <f aca="false">IF($AH256="Critical",$AF256+ROW()/100000,"")</f>
        <v/>
      </c>
    </row>
    <row r="257" customFormat="false" ht="15" hidden="false" customHeight="false" outlineLevel="0" collapsed="false">
      <c r="A257" s="28"/>
      <c r="B257" s="28"/>
      <c r="C257" s="28"/>
      <c r="D257" s="28"/>
      <c r="E257" s="28"/>
      <c r="F257" s="28"/>
      <c r="G257" s="63"/>
      <c r="H257" s="63"/>
      <c r="I257" s="63"/>
      <c r="J257" s="28"/>
      <c r="K257" s="28"/>
      <c r="L257" s="28"/>
      <c r="M257" s="28"/>
      <c r="N257" s="28"/>
      <c r="O257" s="64"/>
      <c r="P257" s="64"/>
      <c r="Q257" s="64"/>
      <c r="R257" s="28"/>
      <c r="S257" s="63"/>
      <c r="T257" s="64"/>
      <c r="U257" s="63"/>
      <c r="V257" s="64"/>
      <c r="W257" s="28"/>
      <c r="X257" s="65" t="str">
        <f aca="false">IF($A257="","",IF(OR($T257&lt;&gt;"",$U257&lt;&gt;""),"Closed",IFERROR(INDEX(MapStage,MATCH($C257,MapStatus,0)),"Unmapped")))</f>
        <v/>
      </c>
      <c r="Y257" s="65" t="str">
        <f aca="false">IF(OR($X257="",$X257="Closed",$X257="Unmapped"),"",MATCH($X257,StageName,0))</f>
        <v/>
      </c>
      <c r="Z257" s="65" t="str">
        <f aca="false">IF(OR($Y257="",$I257=""),"",$I257-AsOf)</f>
        <v/>
      </c>
      <c r="AA257" s="65" t="str">
        <f aca="false">IF($A257="","",AsOf-$H257)</f>
        <v/>
      </c>
      <c r="AB257" s="65" t="str">
        <f aca="false">IF($A257="","",IF($X257="Closed","Closed",IF($X257="Unmapped","Unmapped",IF($I257="","No target",IF($Z257&lt;0,"Overdue",IF($Z257&lt;=INDEX(StageWindow,$Y257),"At risk","On track"))))))</f>
        <v/>
      </c>
      <c r="AC257" s="65" t="str">
        <f aca="false">IF($Y257="","",IF($AA257&gt;2*INDEX(StageStale,$Y257),"Stale",IF($AA257&gt;INDEX(StageStale,$Y257),"Aging","Fresh")))</f>
        <v/>
      </c>
      <c r="AD257" s="65" t="str">
        <f aca="false">IF($A257="","",IF(OR(ISNUMBER(SEARCH("Reg report",$J257)),ISNUMBER(SEARCH("No human review",$J257)),COUNTIF(TierFuncs,$D257)&gt;0),"High",IF(OR(TRIM($J257)&lt;&gt;"",ISNUMBER(SEARCH("revenue",$K257))),"Medium","Low")))</f>
        <v/>
      </c>
      <c r="AE257" s="65" t="str">
        <f aca="false">IF($A257="","",INDEX(TierDays,MATCH($AD257,TierName,0)))</f>
        <v/>
      </c>
      <c r="AF257" s="65" t="str">
        <f aca="false">IF($A257="","",AsOf-$G257)</f>
        <v/>
      </c>
      <c r="AG257" s="65" t="str">
        <f aca="false">IF($Y257="","",IF($Y257&lt;=5,IF($AF257&gt;$AE257,"Over","Inside"),"Past approval"))</f>
        <v/>
      </c>
      <c r="AH257" s="65" t="str">
        <f aca="false">IF($Y257="","",CHOOSE($Y257,IF(OR(TRIM($F257)="",ISNUMBER(SEARCH("not named",$F257))),"Critical","Good"),IF($O257&lt;&gt;"Y","Critical",IF($Q257&lt;&gt;"Y","Warning","Good")),IF($P257="","Critical",IF($P257="partial","Warning",IF($P257="ready","Good","Critical"))),IF($R257&lt;&gt;"","Critical","Warning"),IF($L257="","Critical",IF($N257="","Warning","Good")),IF($R257&lt;&gt;"","Critical","Warning"),IF($R257&lt;&gt;"","Critical","Warning"),IF($Q257="Y","Good","Critical")))</f>
        <v/>
      </c>
      <c r="AI257" s="65" t="str">
        <f aca="false">IF($Y257="","",CHOOSE($Y257,IF(OR(TRIM($F257)="",ISNUMBER(SEARCH("not named",$F257))),"Name a sponsor accountable for the value",""),IF($O257&lt;&gt;"Y","State the success metric and the stop condition",IF($Q257&lt;&gt;"Y","Set the baseline the benefit will be measured against","")),IF($P257="","Assess data readiness and regulatory impact",IF($P257="partial","Close the known data gaps",IF($P257="ready","","Data is not available; reshape or park"))),IF($R257&lt;&gt;"",IF(OR(ISNUMBER(SEARCH("mrm",$R257)),ISNUMBER(SEARCH("model",$R257)),ISNUMBER(SEARCH("risk",$R257)),ISNUMBER(SEARCH("legal",$R257)),ISNUMBER(SEARCH("complian",$R257))),"Awaiting ","Held at the design gate: ")&amp;$R257,"Map the governance framework for its tier"),IF($L257="","Size the annual benefit",IF($N257="","Score it so it can be ranked against capacity","")),IF($R257&lt;&gt;"","Build held: "&amp;$R257,"In build, not yet through test"),IF($R257&lt;&gt;"","Not ready to scale: "&amp;$R257,"Monitoring and third-party review not yet signed off"),IF($Q257="Y","","Live without a measured baseline to judge it against")))</f>
        <v/>
      </c>
      <c r="AJ257" s="65" t="str">
        <f aca="false">IF($Y257="","",INDEX(StageForum,$Y257))</f>
        <v/>
      </c>
      <c r="AK257" s="65" t="str">
        <f aca="false">IF($Y257="","",IF(OR($X257="Delivery",$X257="Value"),"Committed",IF($N257&lt;&gt;"","Candidate","")))</f>
        <v/>
      </c>
      <c r="AL257" s="65" t="str">
        <f aca="false">IF($AK257&lt;&gt;"Candidate","",COUNTIFS($AK$2:$AK$501,"Candidate",$N$2:$N$501,"&gt;"&amp;$N257)+COUNTIFS($AK$2:$AK$501,"Candidate",$N$2:$N$501,$N257,$A$2:$A$501,"&lt;"&amp;$A257)+1)</f>
        <v/>
      </c>
      <c r="AM257" s="65" t="str">
        <f aca="false">IF($AL257="","",SUMIFS($M$2:$M$501,$AK$2:$AK$501,"Candidate",$AL$2:$AL$501,"&lt;="&amp;$AL257))</f>
        <v/>
      </c>
      <c r="AN257" s="65" t="str">
        <f aca="false">IF($AL257="","",IF($AM257&lt;=CapacityOpen,"Fits","Below line"))</f>
        <v/>
      </c>
      <c r="AO257" s="65" t="str">
        <f aca="false">IF($A257="","",IF($X257="Closed","",IF($X257="Unmapped","Warning",IF(OR($AB257="Overdue",$V257="Y",$AH257="Critical"),"Critical",IF(OR($AB257="At risk",$AC257="Stale",$AG257="Over"),"Warning","")))))</f>
        <v/>
      </c>
      <c r="AP257" s="65" t="str">
        <f aca="false">IF($AO257="","",IF($AO257="Critical",3000,2000)-IF($Z257="",0,$Z257)+ROW()/100000)</f>
        <v/>
      </c>
      <c r="AQ257" s="65" t="str">
        <f aca="false">IF($AO257="","",IF($X257="Unmapped","Status '"&amp;$C257&amp;"' is not in the Config map",IF($V257="Y","Flagged in Jira",IF($AB257="Overdue",-$Z257&amp;" days past its "&amp;$X257&amp;" target",IF($AH257="Critical",$AI257,IF($AB257="At risk","Target in "&amp;$Z257&amp;" days",IF($AC257="Stale","No update in "&amp;$AA257&amp;" days","Past its "&amp;$AE257&amp;"-day tier window")))))))</f>
        <v/>
      </c>
      <c r="AR257" s="65" t="str">
        <f aca="false">IF($AO257="","","draft Jira update for "&amp;$A257)</f>
        <v/>
      </c>
      <c r="AS257" s="65" t="str">
        <f aca="false">IF($A257="","",HYPERLINK(JiraSite&amp;"/browse/"&amp;$A257,"open"))</f>
        <v/>
      </c>
      <c r="AT257" s="65" t="str">
        <f aca="false">IF($Y257="","",$Y257*1000+ROW())</f>
        <v/>
      </c>
      <c r="AU257" s="65" t="str">
        <f aca="false">IF(AND($A257&lt;&gt;"",$G257&gt;=WeekStart),$G257+ROW()/100000,"")</f>
        <v/>
      </c>
      <c r="AV257" s="65" t="str">
        <f aca="false">IF($A257="","",IF(OR(AND($S257&lt;&gt;"",$S257&gt;=WeekStart),AND($U257&lt;&gt;"",$U257&gt;=WeekStart)),MAX($S257,$U257)+ROW()/100000,""))</f>
        <v/>
      </c>
      <c r="AW257" s="65" t="str">
        <f aca="false">IF($AV257="","",IF($T257&lt;&gt;"",$T257,IF($X257="Closed","Closed","Accepted to "&amp;$X257)))</f>
        <v/>
      </c>
      <c r="AX257" s="65" t="str">
        <f aca="false">IF(AND($Y257&lt;&gt;"",$R257&lt;&gt;""),$AF257+ROW()/100000,"")</f>
        <v/>
      </c>
      <c r="AY257" s="65" t="str">
        <f aca="false">IF(AND($Y257&lt;&gt;"",OR($AB257="Overdue",AND($AH257="Critical",$R257&lt;&gt;""))),$AF257+ROW()/100000,"")</f>
        <v/>
      </c>
      <c r="AZ257" s="65" t="str">
        <f aca="false">IF($AH257="Critical",$AF257+ROW()/100000,"")</f>
        <v/>
      </c>
    </row>
    <row r="258" customFormat="false" ht="15" hidden="false" customHeight="false" outlineLevel="0" collapsed="false">
      <c r="A258" s="28"/>
      <c r="B258" s="28"/>
      <c r="C258" s="28"/>
      <c r="D258" s="28"/>
      <c r="E258" s="28"/>
      <c r="F258" s="28"/>
      <c r="G258" s="63"/>
      <c r="H258" s="63"/>
      <c r="I258" s="63"/>
      <c r="J258" s="28"/>
      <c r="K258" s="28"/>
      <c r="L258" s="28"/>
      <c r="M258" s="28"/>
      <c r="N258" s="28"/>
      <c r="O258" s="64"/>
      <c r="P258" s="64"/>
      <c r="Q258" s="64"/>
      <c r="R258" s="28"/>
      <c r="S258" s="63"/>
      <c r="T258" s="64"/>
      <c r="U258" s="63"/>
      <c r="V258" s="64"/>
      <c r="W258" s="28"/>
      <c r="X258" s="65" t="str">
        <f aca="false">IF($A258="","",IF(OR($T258&lt;&gt;"",$U258&lt;&gt;""),"Closed",IFERROR(INDEX(MapStage,MATCH($C258,MapStatus,0)),"Unmapped")))</f>
        <v/>
      </c>
      <c r="Y258" s="65" t="str">
        <f aca="false">IF(OR($X258="",$X258="Closed",$X258="Unmapped"),"",MATCH($X258,StageName,0))</f>
        <v/>
      </c>
      <c r="Z258" s="65" t="str">
        <f aca="false">IF(OR($Y258="",$I258=""),"",$I258-AsOf)</f>
        <v/>
      </c>
      <c r="AA258" s="65" t="str">
        <f aca="false">IF($A258="","",AsOf-$H258)</f>
        <v/>
      </c>
      <c r="AB258" s="65" t="str">
        <f aca="false">IF($A258="","",IF($X258="Closed","Closed",IF($X258="Unmapped","Unmapped",IF($I258="","No target",IF($Z258&lt;0,"Overdue",IF($Z258&lt;=INDEX(StageWindow,$Y258),"At risk","On track"))))))</f>
        <v/>
      </c>
      <c r="AC258" s="65" t="str">
        <f aca="false">IF($Y258="","",IF($AA258&gt;2*INDEX(StageStale,$Y258),"Stale",IF($AA258&gt;INDEX(StageStale,$Y258),"Aging","Fresh")))</f>
        <v/>
      </c>
      <c r="AD258" s="65" t="str">
        <f aca="false">IF($A258="","",IF(OR(ISNUMBER(SEARCH("Reg report",$J258)),ISNUMBER(SEARCH("No human review",$J258)),COUNTIF(TierFuncs,$D258)&gt;0),"High",IF(OR(TRIM($J258)&lt;&gt;"",ISNUMBER(SEARCH("revenue",$K258))),"Medium","Low")))</f>
        <v/>
      </c>
      <c r="AE258" s="65" t="str">
        <f aca="false">IF($A258="","",INDEX(TierDays,MATCH($AD258,TierName,0)))</f>
        <v/>
      </c>
      <c r="AF258" s="65" t="str">
        <f aca="false">IF($A258="","",AsOf-$G258)</f>
        <v/>
      </c>
      <c r="AG258" s="65" t="str">
        <f aca="false">IF($Y258="","",IF($Y258&lt;=5,IF($AF258&gt;$AE258,"Over","Inside"),"Past approval"))</f>
        <v/>
      </c>
      <c r="AH258" s="65" t="str">
        <f aca="false">IF($Y258="","",CHOOSE($Y258,IF(OR(TRIM($F258)="",ISNUMBER(SEARCH("not named",$F258))),"Critical","Good"),IF($O258&lt;&gt;"Y","Critical",IF($Q258&lt;&gt;"Y","Warning","Good")),IF($P258="","Critical",IF($P258="partial","Warning",IF($P258="ready","Good","Critical"))),IF($R258&lt;&gt;"","Critical","Warning"),IF($L258="","Critical",IF($N258="","Warning","Good")),IF($R258&lt;&gt;"","Critical","Warning"),IF($R258&lt;&gt;"","Critical","Warning"),IF($Q258="Y","Good","Critical")))</f>
        <v/>
      </c>
      <c r="AI258" s="65" t="str">
        <f aca="false">IF($Y258="","",CHOOSE($Y258,IF(OR(TRIM($F258)="",ISNUMBER(SEARCH("not named",$F258))),"Name a sponsor accountable for the value",""),IF($O258&lt;&gt;"Y","State the success metric and the stop condition",IF($Q258&lt;&gt;"Y","Set the baseline the benefit will be measured against","")),IF($P258="","Assess data readiness and regulatory impact",IF($P258="partial","Close the known data gaps",IF($P258="ready","","Data is not available; reshape or park"))),IF($R258&lt;&gt;"",IF(OR(ISNUMBER(SEARCH("mrm",$R258)),ISNUMBER(SEARCH("model",$R258)),ISNUMBER(SEARCH("risk",$R258)),ISNUMBER(SEARCH("legal",$R258)),ISNUMBER(SEARCH("complian",$R258))),"Awaiting ","Held at the design gate: ")&amp;$R258,"Map the governance framework for its tier"),IF($L258="","Size the annual benefit",IF($N258="","Score it so it can be ranked against capacity","")),IF($R258&lt;&gt;"","Build held: "&amp;$R258,"In build, not yet through test"),IF($R258&lt;&gt;"","Not ready to scale: "&amp;$R258,"Monitoring and third-party review not yet signed off"),IF($Q258="Y","","Live without a measured baseline to judge it against")))</f>
        <v/>
      </c>
      <c r="AJ258" s="65" t="str">
        <f aca="false">IF($Y258="","",INDEX(StageForum,$Y258))</f>
        <v/>
      </c>
      <c r="AK258" s="65" t="str">
        <f aca="false">IF($Y258="","",IF(OR($X258="Delivery",$X258="Value"),"Committed",IF($N258&lt;&gt;"","Candidate","")))</f>
        <v/>
      </c>
      <c r="AL258" s="65" t="str">
        <f aca="false">IF($AK258&lt;&gt;"Candidate","",COUNTIFS($AK$2:$AK$501,"Candidate",$N$2:$N$501,"&gt;"&amp;$N258)+COUNTIFS($AK$2:$AK$501,"Candidate",$N$2:$N$501,$N258,$A$2:$A$501,"&lt;"&amp;$A258)+1)</f>
        <v/>
      </c>
      <c r="AM258" s="65" t="str">
        <f aca="false">IF($AL258="","",SUMIFS($M$2:$M$501,$AK$2:$AK$501,"Candidate",$AL$2:$AL$501,"&lt;="&amp;$AL258))</f>
        <v/>
      </c>
      <c r="AN258" s="65" t="str">
        <f aca="false">IF($AL258="","",IF($AM258&lt;=CapacityOpen,"Fits","Below line"))</f>
        <v/>
      </c>
      <c r="AO258" s="65" t="str">
        <f aca="false">IF($A258="","",IF($X258="Closed","",IF($X258="Unmapped","Warning",IF(OR($AB258="Overdue",$V258="Y",$AH258="Critical"),"Critical",IF(OR($AB258="At risk",$AC258="Stale",$AG258="Over"),"Warning","")))))</f>
        <v/>
      </c>
      <c r="AP258" s="65" t="str">
        <f aca="false">IF($AO258="","",IF($AO258="Critical",3000,2000)-IF($Z258="",0,$Z258)+ROW()/100000)</f>
        <v/>
      </c>
      <c r="AQ258" s="65" t="str">
        <f aca="false">IF($AO258="","",IF($X258="Unmapped","Status '"&amp;$C258&amp;"' is not in the Config map",IF($V258="Y","Flagged in Jira",IF($AB258="Overdue",-$Z258&amp;" days past its "&amp;$X258&amp;" target",IF($AH258="Critical",$AI258,IF($AB258="At risk","Target in "&amp;$Z258&amp;" days",IF($AC258="Stale","No update in "&amp;$AA258&amp;" days","Past its "&amp;$AE258&amp;"-day tier window")))))))</f>
        <v/>
      </c>
      <c r="AR258" s="65" t="str">
        <f aca="false">IF($AO258="","","draft Jira update for "&amp;$A258)</f>
        <v/>
      </c>
      <c r="AS258" s="65" t="str">
        <f aca="false">IF($A258="","",HYPERLINK(JiraSite&amp;"/browse/"&amp;$A258,"open"))</f>
        <v/>
      </c>
      <c r="AT258" s="65" t="str">
        <f aca="false">IF($Y258="","",$Y258*1000+ROW())</f>
        <v/>
      </c>
      <c r="AU258" s="65" t="str">
        <f aca="false">IF(AND($A258&lt;&gt;"",$G258&gt;=WeekStart),$G258+ROW()/100000,"")</f>
        <v/>
      </c>
      <c r="AV258" s="65" t="str">
        <f aca="false">IF($A258="","",IF(OR(AND($S258&lt;&gt;"",$S258&gt;=WeekStart),AND($U258&lt;&gt;"",$U258&gt;=WeekStart)),MAX($S258,$U258)+ROW()/100000,""))</f>
        <v/>
      </c>
      <c r="AW258" s="65" t="str">
        <f aca="false">IF($AV258="","",IF($T258&lt;&gt;"",$T258,IF($X258="Closed","Closed","Accepted to "&amp;$X258)))</f>
        <v/>
      </c>
      <c r="AX258" s="65" t="str">
        <f aca="false">IF(AND($Y258&lt;&gt;"",$R258&lt;&gt;""),$AF258+ROW()/100000,"")</f>
        <v/>
      </c>
      <c r="AY258" s="65" t="str">
        <f aca="false">IF(AND($Y258&lt;&gt;"",OR($AB258="Overdue",AND($AH258="Critical",$R258&lt;&gt;""))),$AF258+ROW()/100000,"")</f>
        <v/>
      </c>
      <c r="AZ258" s="65" t="str">
        <f aca="false">IF($AH258="Critical",$AF258+ROW()/100000,"")</f>
        <v/>
      </c>
    </row>
    <row r="259" customFormat="false" ht="15" hidden="false" customHeight="false" outlineLevel="0" collapsed="false">
      <c r="A259" s="28"/>
      <c r="B259" s="28"/>
      <c r="C259" s="28"/>
      <c r="D259" s="28"/>
      <c r="E259" s="28"/>
      <c r="F259" s="28"/>
      <c r="G259" s="63"/>
      <c r="H259" s="63"/>
      <c r="I259" s="63"/>
      <c r="J259" s="28"/>
      <c r="K259" s="28"/>
      <c r="L259" s="28"/>
      <c r="M259" s="28"/>
      <c r="N259" s="28"/>
      <c r="O259" s="64"/>
      <c r="P259" s="64"/>
      <c r="Q259" s="64"/>
      <c r="R259" s="28"/>
      <c r="S259" s="63"/>
      <c r="T259" s="64"/>
      <c r="U259" s="63"/>
      <c r="V259" s="64"/>
      <c r="W259" s="28"/>
      <c r="X259" s="65" t="str">
        <f aca="false">IF($A259="","",IF(OR($T259&lt;&gt;"",$U259&lt;&gt;""),"Closed",IFERROR(INDEX(MapStage,MATCH($C259,MapStatus,0)),"Unmapped")))</f>
        <v/>
      </c>
      <c r="Y259" s="65" t="str">
        <f aca="false">IF(OR($X259="",$X259="Closed",$X259="Unmapped"),"",MATCH($X259,StageName,0))</f>
        <v/>
      </c>
      <c r="Z259" s="65" t="str">
        <f aca="false">IF(OR($Y259="",$I259=""),"",$I259-AsOf)</f>
        <v/>
      </c>
      <c r="AA259" s="65" t="str">
        <f aca="false">IF($A259="","",AsOf-$H259)</f>
        <v/>
      </c>
      <c r="AB259" s="65" t="str">
        <f aca="false">IF($A259="","",IF($X259="Closed","Closed",IF($X259="Unmapped","Unmapped",IF($I259="","No target",IF($Z259&lt;0,"Overdue",IF($Z259&lt;=INDEX(StageWindow,$Y259),"At risk","On track"))))))</f>
        <v/>
      </c>
      <c r="AC259" s="65" t="str">
        <f aca="false">IF($Y259="","",IF($AA259&gt;2*INDEX(StageStale,$Y259),"Stale",IF($AA259&gt;INDEX(StageStale,$Y259),"Aging","Fresh")))</f>
        <v/>
      </c>
      <c r="AD259" s="65" t="str">
        <f aca="false">IF($A259="","",IF(OR(ISNUMBER(SEARCH("Reg report",$J259)),ISNUMBER(SEARCH("No human review",$J259)),COUNTIF(TierFuncs,$D259)&gt;0),"High",IF(OR(TRIM($J259)&lt;&gt;"",ISNUMBER(SEARCH("revenue",$K259))),"Medium","Low")))</f>
        <v/>
      </c>
      <c r="AE259" s="65" t="str">
        <f aca="false">IF($A259="","",INDEX(TierDays,MATCH($AD259,TierName,0)))</f>
        <v/>
      </c>
      <c r="AF259" s="65" t="str">
        <f aca="false">IF($A259="","",AsOf-$G259)</f>
        <v/>
      </c>
      <c r="AG259" s="65" t="str">
        <f aca="false">IF($Y259="","",IF($Y259&lt;=5,IF($AF259&gt;$AE259,"Over","Inside"),"Past approval"))</f>
        <v/>
      </c>
      <c r="AH259" s="65" t="str">
        <f aca="false">IF($Y259="","",CHOOSE($Y259,IF(OR(TRIM($F259)="",ISNUMBER(SEARCH("not named",$F259))),"Critical","Good"),IF($O259&lt;&gt;"Y","Critical",IF($Q259&lt;&gt;"Y","Warning","Good")),IF($P259="","Critical",IF($P259="partial","Warning",IF($P259="ready","Good","Critical"))),IF($R259&lt;&gt;"","Critical","Warning"),IF($L259="","Critical",IF($N259="","Warning","Good")),IF($R259&lt;&gt;"","Critical","Warning"),IF($R259&lt;&gt;"","Critical","Warning"),IF($Q259="Y","Good","Critical")))</f>
        <v/>
      </c>
      <c r="AI259" s="65" t="str">
        <f aca="false">IF($Y259="","",CHOOSE($Y259,IF(OR(TRIM($F259)="",ISNUMBER(SEARCH("not named",$F259))),"Name a sponsor accountable for the value",""),IF($O259&lt;&gt;"Y","State the success metric and the stop condition",IF($Q259&lt;&gt;"Y","Set the baseline the benefit will be measured against","")),IF($P259="","Assess data readiness and regulatory impact",IF($P259="partial","Close the known data gaps",IF($P259="ready","","Data is not available; reshape or park"))),IF($R259&lt;&gt;"",IF(OR(ISNUMBER(SEARCH("mrm",$R259)),ISNUMBER(SEARCH("model",$R259)),ISNUMBER(SEARCH("risk",$R259)),ISNUMBER(SEARCH("legal",$R259)),ISNUMBER(SEARCH("complian",$R259))),"Awaiting ","Held at the design gate: ")&amp;$R259,"Map the governance framework for its tier"),IF($L259="","Size the annual benefit",IF($N259="","Score it so it can be ranked against capacity","")),IF($R259&lt;&gt;"","Build held: "&amp;$R259,"In build, not yet through test"),IF($R259&lt;&gt;"","Not ready to scale: "&amp;$R259,"Monitoring and third-party review not yet signed off"),IF($Q259="Y","","Live without a measured baseline to judge it against")))</f>
        <v/>
      </c>
      <c r="AJ259" s="65" t="str">
        <f aca="false">IF($Y259="","",INDEX(StageForum,$Y259))</f>
        <v/>
      </c>
      <c r="AK259" s="65" t="str">
        <f aca="false">IF($Y259="","",IF(OR($X259="Delivery",$X259="Value"),"Committed",IF($N259&lt;&gt;"","Candidate","")))</f>
        <v/>
      </c>
      <c r="AL259" s="65" t="str">
        <f aca="false">IF($AK259&lt;&gt;"Candidate","",COUNTIFS($AK$2:$AK$501,"Candidate",$N$2:$N$501,"&gt;"&amp;$N259)+COUNTIFS($AK$2:$AK$501,"Candidate",$N$2:$N$501,$N259,$A$2:$A$501,"&lt;"&amp;$A259)+1)</f>
        <v/>
      </c>
      <c r="AM259" s="65" t="str">
        <f aca="false">IF($AL259="","",SUMIFS($M$2:$M$501,$AK$2:$AK$501,"Candidate",$AL$2:$AL$501,"&lt;="&amp;$AL259))</f>
        <v/>
      </c>
      <c r="AN259" s="65" t="str">
        <f aca="false">IF($AL259="","",IF($AM259&lt;=CapacityOpen,"Fits","Below line"))</f>
        <v/>
      </c>
      <c r="AO259" s="65" t="str">
        <f aca="false">IF($A259="","",IF($X259="Closed","",IF($X259="Unmapped","Warning",IF(OR($AB259="Overdue",$V259="Y",$AH259="Critical"),"Critical",IF(OR($AB259="At risk",$AC259="Stale",$AG259="Over"),"Warning","")))))</f>
        <v/>
      </c>
      <c r="AP259" s="65" t="str">
        <f aca="false">IF($AO259="","",IF($AO259="Critical",3000,2000)-IF($Z259="",0,$Z259)+ROW()/100000)</f>
        <v/>
      </c>
      <c r="AQ259" s="65" t="str">
        <f aca="false">IF($AO259="","",IF($X259="Unmapped","Status '"&amp;$C259&amp;"' is not in the Config map",IF($V259="Y","Flagged in Jira",IF($AB259="Overdue",-$Z259&amp;" days past its "&amp;$X259&amp;" target",IF($AH259="Critical",$AI259,IF($AB259="At risk","Target in "&amp;$Z259&amp;" days",IF($AC259="Stale","No update in "&amp;$AA259&amp;" days","Past its "&amp;$AE259&amp;"-day tier window")))))))</f>
        <v/>
      </c>
      <c r="AR259" s="65" t="str">
        <f aca="false">IF($AO259="","","draft Jira update for "&amp;$A259)</f>
        <v/>
      </c>
      <c r="AS259" s="65" t="str">
        <f aca="false">IF($A259="","",HYPERLINK(JiraSite&amp;"/browse/"&amp;$A259,"open"))</f>
        <v/>
      </c>
      <c r="AT259" s="65" t="str">
        <f aca="false">IF($Y259="","",$Y259*1000+ROW())</f>
        <v/>
      </c>
      <c r="AU259" s="65" t="str">
        <f aca="false">IF(AND($A259&lt;&gt;"",$G259&gt;=WeekStart),$G259+ROW()/100000,"")</f>
        <v/>
      </c>
      <c r="AV259" s="65" t="str">
        <f aca="false">IF($A259="","",IF(OR(AND($S259&lt;&gt;"",$S259&gt;=WeekStart),AND($U259&lt;&gt;"",$U259&gt;=WeekStart)),MAX($S259,$U259)+ROW()/100000,""))</f>
        <v/>
      </c>
      <c r="AW259" s="65" t="str">
        <f aca="false">IF($AV259="","",IF($T259&lt;&gt;"",$T259,IF($X259="Closed","Closed","Accepted to "&amp;$X259)))</f>
        <v/>
      </c>
      <c r="AX259" s="65" t="str">
        <f aca="false">IF(AND($Y259&lt;&gt;"",$R259&lt;&gt;""),$AF259+ROW()/100000,"")</f>
        <v/>
      </c>
      <c r="AY259" s="65" t="str">
        <f aca="false">IF(AND($Y259&lt;&gt;"",OR($AB259="Overdue",AND($AH259="Critical",$R259&lt;&gt;""))),$AF259+ROW()/100000,"")</f>
        <v/>
      </c>
      <c r="AZ259" s="65" t="str">
        <f aca="false">IF($AH259="Critical",$AF259+ROW()/100000,"")</f>
        <v/>
      </c>
    </row>
    <row r="260" customFormat="false" ht="15" hidden="false" customHeight="false" outlineLevel="0" collapsed="false">
      <c r="A260" s="28"/>
      <c r="B260" s="28"/>
      <c r="C260" s="28"/>
      <c r="D260" s="28"/>
      <c r="E260" s="28"/>
      <c r="F260" s="28"/>
      <c r="G260" s="63"/>
      <c r="H260" s="63"/>
      <c r="I260" s="63"/>
      <c r="J260" s="28"/>
      <c r="K260" s="28"/>
      <c r="L260" s="28"/>
      <c r="M260" s="28"/>
      <c r="N260" s="28"/>
      <c r="O260" s="64"/>
      <c r="P260" s="64"/>
      <c r="Q260" s="64"/>
      <c r="R260" s="28"/>
      <c r="S260" s="63"/>
      <c r="T260" s="64"/>
      <c r="U260" s="63"/>
      <c r="V260" s="64"/>
      <c r="W260" s="28"/>
      <c r="X260" s="65" t="str">
        <f aca="false">IF($A260="","",IF(OR($T260&lt;&gt;"",$U260&lt;&gt;""),"Closed",IFERROR(INDEX(MapStage,MATCH($C260,MapStatus,0)),"Unmapped")))</f>
        <v/>
      </c>
      <c r="Y260" s="65" t="str">
        <f aca="false">IF(OR($X260="",$X260="Closed",$X260="Unmapped"),"",MATCH($X260,StageName,0))</f>
        <v/>
      </c>
      <c r="Z260" s="65" t="str">
        <f aca="false">IF(OR($Y260="",$I260=""),"",$I260-AsOf)</f>
        <v/>
      </c>
      <c r="AA260" s="65" t="str">
        <f aca="false">IF($A260="","",AsOf-$H260)</f>
        <v/>
      </c>
      <c r="AB260" s="65" t="str">
        <f aca="false">IF($A260="","",IF($X260="Closed","Closed",IF($X260="Unmapped","Unmapped",IF($I260="","No target",IF($Z260&lt;0,"Overdue",IF($Z260&lt;=INDEX(StageWindow,$Y260),"At risk","On track"))))))</f>
        <v/>
      </c>
      <c r="AC260" s="65" t="str">
        <f aca="false">IF($Y260="","",IF($AA260&gt;2*INDEX(StageStale,$Y260),"Stale",IF($AA260&gt;INDEX(StageStale,$Y260),"Aging","Fresh")))</f>
        <v/>
      </c>
      <c r="AD260" s="65" t="str">
        <f aca="false">IF($A260="","",IF(OR(ISNUMBER(SEARCH("Reg report",$J260)),ISNUMBER(SEARCH("No human review",$J260)),COUNTIF(TierFuncs,$D260)&gt;0),"High",IF(OR(TRIM($J260)&lt;&gt;"",ISNUMBER(SEARCH("revenue",$K260))),"Medium","Low")))</f>
        <v/>
      </c>
      <c r="AE260" s="65" t="str">
        <f aca="false">IF($A260="","",INDEX(TierDays,MATCH($AD260,TierName,0)))</f>
        <v/>
      </c>
      <c r="AF260" s="65" t="str">
        <f aca="false">IF($A260="","",AsOf-$G260)</f>
        <v/>
      </c>
      <c r="AG260" s="65" t="str">
        <f aca="false">IF($Y260="","",IF($Y260&lt;=5,IF($AF260&gt;$AE260,"Over","Inside"),"Past approval"))</f>
        <v/>
      </c>
      <c r="AH260" s="65" t="str">
        <f aca="false">IF($Y260="","",CHOOSE($Y260,IF(OR(TRIM($F260)="",ISNUMBER(SEARCH("not named",$F260))),"Critical","Good"),IF($O260&lt;&gt;"Y","Critical",IF($Q260&lt;&gt;"Y","Warning","Good")),IF($P260="","Critical",IF($P260="partial","Warning",IF($P260="ready","Good","Critical"))),IF($R260&lt;&gt;"","Critical","Warning"),IF($L260="","Critical",IF($N260="","Warning","Good")),IF($R260&lt;&gt;"","Critical","Warning"),IF($R260&lt;&gt;"","Critical","Warning"),IF($Q260="Y","Good","Critical")))</f>
        <v/>
      </c>
      <c r="AI260" s="65" t="str">
        <f aca="false">IF($Y260="","",CHOOSE($Y260,IF(OR(TRIM($F260)="",ISNUMBER(SEARCH("not named",$F260))),"Name a sponsor accountable for the value",""),IF($O260&lt;&gt;"Y","State the success metric and the stop condition",IF($Q260&lt;&gt;"Y","Set the baseline the benefit will be measured against","")),IF($P260="","Assess data readiness and regulatory impact",IF($P260="partial","Close the known data gaps",IF($P260="ready","","Data is not available; reshape or park"))),IF($R260&lt;&gt;"",IF(OR(ISNUMBER(SEARCH("mrm",$R260)),ISNUMBER(SEARCH("model",$R260)),ISNUMBER(SEARCH("risk",$R260)),ISNUMBER(SEARCH("legal",$R260)),ISNUMBER(SEARCH("complian",$R260))),"Awaiting ","Held at the design gate: ")&amp;$R260,"Map the governance framework for its tier"),IF($L260="","Size the annual benefit",IF($N260="","Score it so it can be ranked against capacity","")),IF($R260&lt;&gt;"","Build held: "&amp;$R260,"In build, not yet through test"),IF($R260&lt;&gt;"","Not ready to scale: "&amp;$R260,"Monitoring and third-party review not yet signed off"),IF($Q260="Y","","Live without a measured baseline to judge it against")))</f>
        <v/>
      </c>
      <c r="AJ260" s="65" t="str">
        <f aca="false">IF($Y260="","",INDEX(StageForum,$Y260))</f>
        <v/>
      </c>
      <c r="AK260" s="65" t="str">
        <f aca="false">IF($Y260="","",IF(OR($X260="Delivery",$X260="Value"),"Committed",IF($N260&lt;&gt;"","Candidate","")))</f>
        <v/>
      </c>
      <c r="AL260" s="65" t="str">
        <f aca="false">IF($AK260&lt;&gt;"Candidate","",COUNTIFS($AK$2:$AK$501,"Candidate",$N$2:$N$501,"&gt;"&amp;$N260)+COUNTIFS($AK$2:$AK$501,"Candidate",$N$2:$N$501,$N260,$A$2:$A$501,"&lt;"&amp;$A260)+1)</f>
        <v/>
      </c>
      <c r="AM260" s="65" t="str">
        <f aca="false">IF($AL260="","",SUMIFS($M$2:$M$501,$AK$2:$AK$501,"Candidate",$AL$2:$AL$501,"&lt;="&amp;$AL260))</f>
        <v/>
      </c>
      <c r="AN260" s="65" t="str">
        <f aca="false">IF($AL260="","",IF($AM260&lt;=CapacityOpen,"Fits","Below line"))</f>
        <v/>
      </c>
      <c r="AO260" s="65" t="str">
        <f aca="false">IF($A260="","",IF($X260="Closed","",IF($X260="Unmapped","Warning",IF(OR($AB260="Overdue",$V260="Y",$AH260="Critical"),"Critical",IF(OR($AB260="At risk",$AC260="Stale",$AG260="Over"),"Warning","")))))</f>
        <v/>
      </c>
      <c r="AP260" s="65" t="str">
        <f aca="false">IF($AO260="","",IF($AO260="Critical",3000,2000)-IF($Z260="",0,$Z260)+ROW()/100000)</f>
        <v/>
      </c>
      <c r="AQ260" s="65" t="str">
        <f aca="false">IF($AO260="","",IF($X260="Unmapped","Status '"&amp;$C260&amp;"' is not in the Config map",IF($V260="Y","Flagged in Jira",IF($AB260="Overdue",-$Z260&amp;" days past its "&amp;$X260&amp;" target",IF($AH260="Critical",$AI260,IF($AB260="At risk","Target in "&amp;$Z260&amp;" days",IF($AC260="Stale","No update in "&amp;$AA260&amp;" days","Past its "&amp;$AE260&amp;"-day tier window")))))))</f>
        <v/>
      </c>
      <c r="AR260" s="65" t="str">
        <f aca="false">IF($AO260="","","draft Jira update for "&amp;$A260)</f>
        <v/>
      </c>
      <c r="AS260" s="65" t="str">
        <f aca="false">IF($A260="","",HYPERLINK(JiraSite&amp;"/browse/"&amp;$A260,"open"))</f>
        <v/>
      </c>
      <c r="AT260" s="65" t="str">
        <f aca="false">IF($Y260="","",$Y260*1000+ROW())</f>
        <v/>
      </c>
      <c r="AU260" s="65" t="str">
        <f aca="false">IF(AND($A260&lt;&gt;"",$G260&gt;=WeekStart),$G260+ROW()/100000,"")</f>
        <v/>
      </c>
      <c r="AV260" s="65" t="str">
        <f aca="false">IF($A260="","",IF(OR(AND($S260&lt;&gt;"",$S260&gt;=WeekStart),AND($U260&lt;&gt;"",$U260&gt;=WeekStart)),MAX($S260,$U260)+ROW()/100000,""))</f>
        <v/>
      </c>
      <c r="AW260" s="65" t="str">
        <f aca="false">IF($AV260="","",IF($T260&lt;&gt;"",$T260,IF($X260="Closed","Closed","Accepted to "&amp;$X260)))</f>
        <v/>
      </c>
      <c r="AX260" s="65" t="str">
        <f aca="false">IF(AND($Y260&lt;&gt;"",$R260&lt;&gt;""),$AF260+ROW()/100000,"")</f>
        <v/>
      </c>
      <c r="AY260" s="65" t="str">
        <f aca="false">IF(AND($Y260&lt;&gt;"",OR($AB260="Overdue",AND($AH260="Critical",$R260&lt;&gt;""))),$AF260+ROW()/100000,"")</f>
        <v/>
      </c>
      <c r="AZ260" s="65" t="str">
        <f aca="false">IF($AH260="Critical",$AF260+ROW()/100000,"")</f>
        <v/>
      </c>
    </row>
    <row r="261" customFormat="false" ht="15" hidden="false" customHeight="false" outlineLevel="0" collapsed="false">
      <c r="A261" s="28"/>
      <c r="B261" s="28"/>
      <c r="C261" s="28"/>
      <c r="D261" s="28"/>
      <c r="E261" s="28"/>
      <c r="F261" s="28"/>
      <c r="G261" s="63"/>
      <c r="H261" s="63"/>
      <c r="I261" s="63"/>
      <c r="J261" s="28"/>
      <c r="K261" s="28"/>
      <c r="L261" s="28"/>
      <c r="M261" s="28"/>
      <c r="N261" s="28"/>
      <c r="O261" s="64"/>
      <c r="P261" s="64"/>
      <c r="Q261" s="64"/>
      <c r="R261" s="28"/>
      <c r="S261" s="63"/>
      <c r="T261" s="64"/>
      <c r="U261" s="63"/>
      <c r="V261" s="64"/>
      <c r="W261" s="28"/>
      <c r="X261" s="65" t="str">
        <f aca="false">IF($A261="","",IF(OR($T261&lt;&gt;"",$U261&lt;&gt;""),"Closed",IFERROR(INDEX(MapStage,MATCH($C261,MapStatus,0)),"Unmapped")))</f>
        <v/>
      </c>
      <c r="Y261" s="65" t="str">
        <f aca="false">IF(OR($X261="",$X261="Closed",$X261="Unmapped"),"",MATCH($X261,StageName,0))</f>
        <v/>
      </c>
      <c r="Z261" s="65" t="str">
        <f aca="false">IF(OR($Y261="",$I261=""),"",$I261-AsOf)</f>
        <v/>
      </c>
      <c r="AA261" s="65" t="str">
        <f aca="false">IF($A261="","",AsOf-$H261)</f>
        <v/>
      </c>
      <c r="AB261" s="65" t="str">
        <f aca="false">IF($A261="","",IF($X261="Closed","Closed",IF($X261="Unmapped","Unmapped",IF($I261="","No target",IF($Z261&lt;0,"Overdue",IF($Z261&lt;=INDEX(StageWindow,$Y261),"At risk","On track"))))))</f>
        <v/>
      </c>
      <c r="AC261" s="65" t="str">
        <f aca="false">IF($Y261="","",IF($AA261&gt;2*INDEX(StageStale,$Y261),"Stale",IF($AA261&gt;INDEX(StageStale,$Y261),"Aging","Fresh")))</f>
        <v/>
      </c>
      <c r="AD261" s="65" t="str">
        <f aca="false">IF($A261="","",IF(OR(ISNUMBER(SEARCH("Reg report",$J261)),ISNUMBER(SEARCH("No human review",$J261)),COUNTIF(TierFuncs,$D261)&gt;0),"High",IF(OR(TRIM($J261)&lt;&gt;"",ISNUMBER(SEARCH("revenue",$K261))),"Medium","Low")))</f>
        <v/>
      </c>
      <c r="AE261" s="65" t="str">
        <f aca="false">IF($A261="","",INDEX(TierDays,MATCH($AD261,TierName,0)))</f>
        <v/>
      </c>
      <c r="AF261" s="65" t="str">
        <f aca="false">IF($A261="","",AsOf-$G261)</f>
        <v/>
      </c>
      <c r="AG261" s="65" t="str">
        <f aca="false">IF($Y261="","",IF($Y261&lt;=5,IF($AF261&gt;$AE261,"Over","Inside"),"Past approval"))</f>
        <v/>
      </c>
      <c r="AH261" s="65" t="str">
        <f aca="false">IF($Y261="","",CHOOSE($Y261,IF(OR(TRIM($F261)="",ISNUMBER(SEARCH("not named",$F261))),"Critical","Good"),IF($O261&lt;&gt;"Y","Critical",IF($Q261&lt;&gt;"Y","Warning","Good")),IF($P261="","Critical",IF($P261="partial","Warning",IF($P261="ready","Good","Critical"))),IF($R261&lt;&gt;"","Critical","Warning"),IF($L261="","Critical",IF($N261="","Warning","Good")),IF($R261&lt;&gt;"","Critical","Warning"),IF($R261&lt;&gt;"","Critical","Warning"),IF($Q261="Y","Good","Critical")))</f>
        <v/>
      </c>
      <c r="AI261" s="65" t="str">
        <f aca="false">IF($Y261="","",CHOOSE($Y261,IF(OR(TRIM($F261)="",ISNUMBER(SEARCH("not named",$F261))),"Name a sponsor accountable for the value",""),IF($O261&lt;&gt;"Y","State the success metric and the stop condition",IF($Q261&lt;&gt;"Y","Set the baseline the benefit will be measured against","")),IF($P261="","Assess data readiness and regulatory impact",IF($P261="partial","Close the known data gaps",IF($P261="ready","","Data is not available; reshape or park"))),IF($R261&lt;&gt;"",IF(OR(ISNUMBER(SEARCH("mrm",$R261)),ISNUMBER(SEARCH("model",$R261)),ISNUMBER(SEARCH("risk",$R261)),ISNUMBER(SEARCH("legal",$R261)),ISNUMBER(SEARCH("complian",$R261))),"Awaiting ","Held at the design gate: ")&amp;$R261,"Map the governance framework for its tier"),IF($L261="","Size the annual benefit",IF($N261="","Score it so it can be ranked against capacity","")),IF($R261&lt;&gt;"","Build held: "&amp;$R261,"In build, not yet through test"),IF($R261&lt;&gt;"","Not ready to scale: "&amp;$R261,"Monitoring and third-party review not yet signed off"),IF($Q261="Y","","Live without a measured baseline to judge it against")))</f>
        <v/>
      </c>
      <c r="AJ261" s="65" t="str">
        <f aca="false">IF($Y261="","",INDEX(StageForum,$Y261))</f>
        <v/>
      </c>
      <c r="AK261" s="65" t="str">
        <f aca="false">IF($Y261="","",IF(OR($X261="Delivery",$X261="Value"),"Committed",IF($N261&lt;&gt;"","Candidate","")))</f>
        <v/>
      </c>
      <c r="AL261" s="65" t="str">
        <f aca="false">IF($AK261&lt;&gt;"Candidate","",COUNTIFS($AK$2:$AK$501,"Candidate",$N$2:$N$501,"&gt;"&amp;$N261)+COUNTIFS($AK$2:$AK$501,"Candidate",$N$2:$N$501,$N261,$A$2:$A$501,"&lt;"&amp;$A261)+1)</f>
        <v/>
      </c>
      <c r="AM261" s="65" t="str">
        <f aca="false">IF($AL261="","",SUMIFS($M$2:$M$501,$AK$2:$AK$501,"Candidate",$AL$2:$AL$501,"&lt;="&amp;$AL261))</f>
        <v/>
      </c>
      <c r="AN261" s="65" t="str">
        <f aca="false">IF($AL261="","",IF($AM261&lt;=CapacityOpen,"Fits","Below line"))</f>
        <v/>
      </c>
      <c r="AO261" s="65" t="str">
        <f aca="false">IF($A261="","",IF($X261="Closed","",IF($X261="Unmapped","Warning",IF(OR($AB261="Overdue",$V261="Y",$AH261="Critical"),"Critical",IF(OR($AB261="At risk",$AC261="Stale",$AG261="Over"),"Warning","")))))</f>
        <v/>
      </c>
      <c r="AP261" s="65" t="str">
        <f aca="false">IF($AO261="","",IF($AO261="Critical",3000,2000)-IF($Z261="",0,$Z261)+ROW()/100000)</f>
        <v/>
      </c>
      <c r="AQ261" s="65" t="str">
        <f aca="false">IF($AO261="","",IF($X261="Unmapped","Status '"&amp;$C261&amp;"' is not in the Config map",IF($V261="Y","Flagged in Jira",IF($AB261="Overdue",-$Z261&amp;" days past its "&amp;$X261&amp;" target",IF($AH261="Critical",$AI261,IF($AB261="At risk","Target in "&amp;$Z261&amp;" days",IF($AC261="Stale","No update in "&amp;$AA261&amp;" days","Past its "&amp;$AE261&amp;"-day tier window")))))))</f>
        <v/>
      </c>
      <c r="AR261" s="65" t="str">
        <f aca="false">IF($AO261="","","draft Jira update for "&amp;$A261)</f>
        <v/>
      </c>
      <c r="AS261" s="65" t="str">
        <f aca="false">IF($A261="","",HYPERLINK(JiraSite&amp;"/browse/"&amp;$A261,"open"))</f>
        <v/>
      </c>
      <c r="AT261" s="65" t="str">
        <f aca="false">IF($Y261="","",$Y261*1000+ROW())</f>
        <v/>
      </c>
      <c r="AU261" s="65" t="str">
        <f aca="false">IF(AND($A261&lt;&gt;"",$G261&gt;=WeekStart),$G261+ROW()/100000,"")</f>
        <v/>
      </c>
      <c r="AV261" s="65" t="str">
        <f aca="false">IF($A261="","",IF(OR(AND($S261&lt;&gt;"",$S261&gt;=WeekStart),AND($U261&lt;&gt;"",$U261&gt;=WeekStart)),MAX($S261,$U261)+ROW()/100000,""))</f>
        <v/>
      </c>
      <c r="AW261" s="65" t="str">
        <f aca="false">IF($AV261="","",IF($T261&lt;&gt;"",$T261,IF($X261="Closed","Closed","Accepted to "&amp;$X261)))</f>
        <v/>
      </c>
      <c r="AX261" s="65" t="str">
        <f aca="false">IF(AND($Y261&lt;&gt;"",$R261&lt;&gt;""),$AF261+ROW()/100000,"")</f>
        <v/>
      </c>
      <c r="AY261" s="65" t="str">
        <f aca="false">IF(AND($Y261&lt;&gt;"",OR($AB261="Overdue",AND($AH261="Critical",$R261&lt;&gt;""))),$AF261+ROW()/100000,"")</f>
        <v/>
      </c>
      <c r="AZ261" s="65" t="str">
        <f aca="false">IF($AH261="Critical",$AF261+ROW()/100000,"")</f>
        <v/>
      </c>
    </row>
    <row r="262" customFormat="false" ht="15" hidden="false" customHeight="false" outlineLevel="0" collapsed="false">
      <c r="A262" s="28"/>
      <c r="B262" s="28"/>
      <c r="C262" s="28"/>
      <c r="D262" s="28"/>
      <c r="E262" s="28"/>
      <c r="F262" s="28"/>
      <c r="G262" s="63"/>
      <c r="H262" s="63"/>
      <c r="I262" s="63"/>
      <c r="J262" s="28"/>
      <c r="K262" s="28"/>
      <c r="L262" s="28"/>
      <c r="M262" s="28"/>
      <c r="N262" s="28"/>
      <c r="O262" s="64"/>
      <c r="P262" s="64"/>
      <c r="Q262" s="64"/>
      <c r="R262" s="28"/>
      <c r="S262" s="63"/>
      <c r="T262" s="64"/>
      <c r="U262" s="63"/>
      <c r="V262" s="64"/>
      <c r="W262" s="28"/>
      <c r="X262" s="65" t="str">
        <f aca="false">IF($A262="","",IF(OR($T262&lt;&gt;"",$U262&lt;&gt;""),"Closed",IFERROR(INDEX(MapStage,MATCH($C262,MapStatus,0)),"Unmapped")))</f>
        <v/>
      </c>
      <c r="Y262" s="65" t="str">
        <f aca="false">IF(OR($X262="",$X262="Closed",$X262="Unmapped"),"",MATCH($X262,StageName,0))</f>
        <v/>
      </c>
      <c r="Z262" s="65" t="str">
        <f aca="false">IF(OR($Y262="",$I262=""),"",$I262-AsOf)</f>
        <v/>
      </c>
      <c r="AA262" s="65" t="str">
        <f aca="false">IF($A262="","",AsOf-$H262)</f>
        <v/>
      </c>
      <c r="AB262" s="65" t="str">
        <f aca="false">IF($A262="","",IF($X262="Closed","Closed",IF($X262="Unmapped","Unmapped",IF($I262="","No target",IF($Z262&lt;0,"Overdue",IF($Z262&lt;=INDEX(StageWindow,$Y262),"At risk","On track"))))))</f>
        <v/>
      </c>
      <c r="AC262" s="65" t="str">
        <f aca="false">IF($Y262="","",IF($AA262&gt;2*INDEX(StageStale,$Y262),"Stale",IF($AA262&gt;INDEX(StageStale,$Y262),"Aging","Fresh")))</f>
        <v/>
      </c>
      <c r="AD262" s="65" t="str">
        <f aca="false">IF($A262="","",IF(OR(ISNUMBER(SEARCH("Reg report",$J262)),ISNUMBER(SEARCH("No human review",$J262)),COUNTIF(TierFuncs,$D262)&gt;0),"High",IF(OR(TRIM($J262)&lt;&gt;"",ISNUMBER(SEARCH("revenue",$K262))),"Medium","Low")))</f>
        <v/>
      </c>
      <c r="AE262" s="65" t="str">
        <f aca="false">IF($A262="","",INDEX(TierDays,MATCH($AD262,TierName,0)))</f>
        <v/>
      </c>
      <c r="AF262" s="65" t="str">
        <f aca="false">IF($A262="","",AsOf-$G262)</f>
        <v/>
      </c>
      <c r="AG262" s="65" t="str">
        <f aca="false">IF($Y262="","",IF($Y262&lt;=5,IF($AF262&gt;$AE262,"Over","Inside"),"Past approval"))</f>
        <v/>
      </c>
      <c r="AH262" s="65" t="str">
        <f aca="false">IF($Y262="","",CHOOSE($Y262,IF(OR(TRIM($F262)="",ISNUMBER(SEARCH("not named",$F262))),"Critical","Good"),IF($O262&lt;&gt;"Y","Critical",IF($Q262&lt;&gt;"Y","Warning","Good")),IF($P262="","Critical",IF($P262="partial","Warning",IF($P262="ready","Good","Critical"))),IF($R262&lt;&gt;"","Critical","Warning"),IF($L262="","Critical",IF($N262="","Warning","Good")),IF($R262&lt;&gt;"","Critical","Warning"),IF($R262&lt;&gt;"","Critical","Warning"),IF($Q262="Y","Good","Critical")))</f>
        <v/>
      </c>
      <c r="AI262" s="65" t="str">
        <f aca="false">IF($Y262="","",CHOOSE($Y262,IF(OR(TRIM($F262)="",ISNUMBER(SEARCH("not named",$F262))),"Name a sponsor accountable for the value",""),IF($O262&lt;&gt;"Y","State the success metric and the stop condition",IF($Q262&lt;&gt;"Y","Set the baseline the benefit will be measured against","")),IF($P262="","Assess data readiness and regulatory impact",IF($P262="partial","Close the known data gaps",IF($P262="ready","","Data is not available; reshape or park"))),IF($R262&lt;&gt;"",IF(OR(ISNUMBER(SEARCH("mrm",$R262)),ISNUMBER(SEARCH("model",$R262)),ISNUMBER(SEARCH("risk",$R262)),ISNUMBER(SEARCH("legal",$R262)),ISNUMBER(SEARCH("complian",$R262))),"Awaiting ","Held at the design gate: ")&amp;$R262,"Map the governance framework for its tier"),IF($L262="","Size the annual benefit",IF($N262="","Score it so it can be ranked against capacity","")),IF($R262&lt;&gt;"","Build held: "&amp;$R262,"In build, not yet through test"),IF($R262&lt;&gt;"","Not ready to scale: "&amp;$R262,"Monitoring and third-party review not yet signed off"),IF($Q262="Y","","Live without a measured baseline to judge it against")))</f>
        <v/>
      </c>
      <c r="AJ262" s="65" t="str">
        <f aca="false">IF($Y262="","",INDEX(StageForum,$Y262))</f>
        <v/>
      </c>
      <c r="AK262" s="65" t="str">
        <f aca="false">IF($Y262="","",IF(OR($X262="Delivery",$X262="Value"),"Committed",IF($N262&lt;&gt;"","Candidate","")))</f>
        <v/>
      </c>
      <c r="AL262" s="65" t="str">
        <f aca="false">IF($AK262&lt;&gt;"Candidate","",COUNTIFS($AK$2:$AK$501,"Candidate",$N$2:$N$501,"&gt;"&amp;$N262)+COUNTIFS($AK$2:$AK$501,"Candidate",$N$2:$N$501,$N262,$A$2:$A$501,"&lt;"&amp;$A262)+1)</f>
        <v/>
      </c>
      <c r="AM262" s="65" t="str">
        <f aca="false">IF($AL262="","",SUMIFS($M$2:$M$501,$AK$2:$AK$501,"Candidate",$AL$2:$AL$501,"&lt;="&amp;$AL262))</f>
        <v/>
      </c>
      <c r="AN262" s="65" t="str">
        <f aca="false">IF($AL262="","",IF($AM262&lt;=CapacityOpen,"Fits","Below line"))</f>
        <v/>
      </c>
      <c r="AO262" s="65" t="str">
        <f aca="false">IF($A262="","",IF($X262="Closed","",IF($X262="Unmapped","Warning",IF(OR($AB262="Overdue",$V262="Y",$AH262="Critical"),"Critical",IF(OR($AB262="At risk",$AC262="Stale",$AG262="Over"),"Warning","")))))</f>
        <v/>
      </c>
      <c r="AP262" s="65" t="str">
        <f aca="false">IF($AO262="","",IF($AO262="Critical",3000,2000)-IF($Z262="",0,$Z262)+ROW()/100000)</f>
        <v/>
      </c>
      <c r="AQ262" s="65" t="str">
        <f aca="false">IF($AO262="","",IF($X262="Unmapped","Status '"&amp;$C262&amp;"' is not in the Config map",IF($V262="Y","Flagged in Jira",IF($AB262="Overdue",-$Z262&amp;" days past its "&amp;$X262&amp;" target",IF($AH262="Critical",$AI262,IF($AB262="At risk","Target in "&amp;$Z262&amp;" days",IF($AC262="Stale","No update in "&amp;$AA262&amp;" days","Past its "&amp;$AE262&amp;"-day tier window")))))))</f>
        <v/>
      </c>
      <c r="AR262" s="65" t="str">
        <f aca="false">IF($AO262="","","draft Jira update for "&amp;$A262)</f>
        <v/>
      </c>
      <c r="AS262" s="65" t="str">
        <f aca="false">IF($A262="","",HYPERLINK(JiraSite&amp;"/browse/"&amp;$A262,"open"))</f>
        <v/>
      </c>
      <c r="AT262" s="65" t="str">
        <f aca="false">IF($Y262="","",$Y262*1000+ROW())</f>
        <v/>
      </c>
      <c r="AU262" s="65" t="str">
        <f aca="false">IF(AND($A262&lt;&gt;"",$G262&gt;=WeekStart),$G262+ROW()/100000,"")</f>
        <v/>
      </c>
      <c r="AV262" s="65" t="str">
        <f aca="false">IF($A262="","",IF(OR(AND($S262&lt;&gt;"",$S262&gt;=WeekStart),AND($U262&lt;&gt;"",$U262&gt;=WeekStart)),MAX($S262,$U262)+ROW()/100000,""))</f>
        <v/>
      </c>
      <c r="AW262" s="65" t="str">
        <f aca="false">IF($AV262="","",IF($T262&lt;&gt;"",$T262,IF($X262="Closed","Closed","Accepted to "&amp;$X262)))</f>
        <v/>
      </c>
      <c r="AX262" s="65" t="str">
        <f aca="false">IF(AND($Y262&lt;&gt;"",$R262&lt;&gt;""),$AF262+ROW()/100000,"")</f>
        <v/>
      </c>
      <c r="AY262" s="65" t="str">
        <f aca="false">IF(AND($Y262&lt;&gt;"",OR($AB262="Overdue",AND($AH262="Critical",$R262&lt;&gt;""))),$AF262+ROW()/100000,"")</f>
        <v/>
      </c>
      <c r="AZ262" s="65" t="str">
        <f aca="false">IF($AH262="Critical",$AF262+ROW()/100000,"")</f>
        <v/>
      </c>
    </row>
    <row r="263" customFormat="false" ht="15" hidden="false" customHeight="false" outlineLevel="0" collapsed="false">
      <c r="A263" s="28"/>
      <c r="B263" s="28"/>
      <c r="C263" s="28"/>
      <c r="D263" s="28"/>
      <c r="E263" s="28"/>
      <c r="F263" s="28"/>
      <c r="G263" s="63"/>
      <c r="H263" s="63"/>
      <c r="I263" s="63"/>
      <c r="J263" s="28"/>
      <c r="K263" s="28"/>
      <c r="L263" s="28"/>
      <c r="M263" s="28"/>
      <c r="N263" s="28"/>
      <c r="O263" s="64"/>
      <c r="P263" s="64"/>
      <c r="Q263" s="64"/>
      <c r="R263" s="28"/>
      <c r="S263" s="63"/>
      <c r="T263" s="64"/>
      <c r="U263" s="63"/>
      <c r="V263" s="64"/>
      <c r="W263" s="28"/>
      <c r="X263" s="65" t="str">
        <f aca="false">IF($A263="","",IF(OR($T263&lt;&gt;"",$U263&lt;&gt;""),"Closed",IFERROR(INDEX(MapStage,MATCH($C263,MapStatus,0)),"Unmapped")))</f>
        <v/>
      </c>
      <c r="Y263" s="65" t="str">
        <f aca="false">IF(OR($X263="",$X263="Closed",$X263="Unmapped"),"",MATCH($X263,StageName,0))</f>
        <v/>
      </c>
      <c r="Z263" s="65" t="str">
        <f aca="false">IF(OR($Y263="",$I263=""),"",$I263-AsOf)</f>
        <v/>
      </c>
      <c r="AA263" s="65" t="str">
        <f aca="false">IF($A263="","",AsOf-$H263)</f>
        <v/>
      </c>
      <c r="AB263" s="65" t="str">
        <f aca="false">IF($A263="","",IF($X263="Closed","Closed",IF($X263="Unmapped","Unmapped",IF($I263="","No target",IF($Z263&lt;0,"Overdue",IF($Z263&lt;=INDEX(StageWindow,$Y263),"At risk","On track"))))))</f>
        <v/>
      </c>
      <c r="AC263" s="65" t="str">
        <f aca="false">IF($Y263="","",IF($AA263&gt;2*INDEX(StageStale,$Y263),"Stale",IF($AA263&gt;INDEX(StageStale,$Y263),"Aging","Fresh")))</f>
        <v/>
      </c>
      <c r="AD263" s="65" t="str">
        <f aca="false">IF($A263="","",IF(OR(ISNUMBER(SEARCH("Reg report",$J263)),ISNUMBER(SEARCH("No human review",$J263)),COUNTIF(TierFuncs,$D263)&gt;0),"High",IF(OR(TRIM($J263)&lt;&gt;"",ISNUMBER(SEARCH("revenue",$K263))),"Medium","Low")))</f>
        <v/>
      </c>
      <c r="AE263" s="65" t="str">
        <f aca="false">IF($A263="","",INDEX(TierDays,MATCH($AD263,TierName,0)))</f>
        <v/>
      </c>
      <c r="AF263" s="65" t="str">
        <f aca="false">IF($A263="","",AsOf-$G263)</f>
        <v/>
      </c>
      <c r="AG263" s="65" t="str">
        <f aca="false">IF($Y263="","",IF($Y263&lt;=5,IF($AF263&gt;$AE263,"Over","Inside"),"Past approval"))</f>
        <v/>
      </c>
      <c r="AH263" s="65" t="str">
        <f aca="false">IF($Y263="","",CHOOSE($Y263,IF(OR(TRIM($F263)="",ISNUMBER(SEARCH("not named",$F263))),"Critical","Good"),IF($O263&lt;&gt;"Y","Critical",IF($Q263&lt;&gt;"Y","Warning","Good")),IF($P263="","Critical",IF($P263="partial","Warning",IF($P263="ready","Good","Critical"))),IF($R263&lt;&gt;"","Critical","Warning"),IF($L263="","Critical",IF($N263="","Warning","Good")),IF($R263&lt;&gt;"","Critical","Warning"),IF($R263&lt;&gt;"","Critical","Warning"),IF($Q263="Y","Good","Critical")))</f>
        <v/>
      </c>
      <c r="AI263" s="65" t="str">
        <f aca="false">IF($Y263="","",CHOOSE($Y263,IF(OR(TRIM($F263)="",ISNUMBER(SEARCH("not named",$F263))),"Name a sponsor accountable for the value",""),IF($O263&lt;&gt;"Y","State the success metric and the stop condition",IF($Q263&lt;&gt;"Y","Set the baseline the benefit will be measured against","")),IF($P263="","Assess data readiness and regulatory impact",IF($P263="partial","Close the known data gaps",IF($P263="ready","","Data is not available; reshape or park"))),IF($R263&lt;&gt;"",IF(OR(ISNUMBER(SEARCH("mrm",$R263)),ISNUMBER(SEARCH("model",$R263)),ISNUMBER(SEARCH("risk",$R263)),ISNUMBER(SEARCH("legal",$R263)),ISNUMBER(SEARCH("complian",$R263))),"Awaiting ","Held at the design gate: ")&amp;$R263,"Map the governance framework for its tier"),IF($L263="","Size the annual benefit",IF($N263="","Score it so it can be ranked against capacity","")),IF($R263&lt;&gt;"","Build held: "&amp;$R263,"In build, not yet through test"),IF($R263&lt;&gt;"","Not ready to scale: "&amp;$R263,"Monitoring and third-party review not yet signed off"),IF($Q263="Y","","Live without a measured baseline to judge it against")))</f>
        <v/>
      </c>
      <c r="AJ263" s="65" t="str">
        <f aca="false">IF($Y263="","",INDEX(StageForum,$Y263))</f>
        <v/>
      </c>
      <c r="AK263" s="65" t="str">
        <f aca="false">IF($Y263="","",IF(OR($X263="Delivery",$X263="Value"),"Committed",IF($N263&lt;&gt;"","Candidate","")))</f>
        <v/>
      </c>
      <c r="AL263" s="65" t="str">
        <f aca="false">IF($AK263&lt;&gt;"Candidate","",COUNTIFS($AK$2:$AK$501,"Candidate",$N$2:$N$501,"&gt;"&amp;$N263)+COUNTIFS($AK$2:$AK$501,"Candidate",$N$2:$N$501,$N263,$A$2:$A$501,"&lt;"&amp;$A263)+1)</f>
        <v/>
      </c>
      <c r="AM263" s="65" t="str">
        <f aca="false">IF($AL263="","",SUMIFS($M$2:$M$501,$AK$2:$AK$501,"Candidate",$AL$2:$AL$501,"&lt;="&amp;$AL263))</f>
        <v/>
      </c>
      <c r="AN263" s="65" t="str">
        <f aca="false">IF($AL263="","",IF($AM263&lt;=CapacityOpen,"Fits","Below line"))</f>
        <v/>
      </c>
      <c r="AO263" s="65" t="str">
        <f aca="false">IF($A263="","",IF($X263="Closed","",IF($X263="Unmapped","Warning",IF(OR($AB263="Overdue",$V263="Y",$AH263="Critical"),"Critical",IF(OR($AB263="At risk",$AC263="Stale",$AG263="Over"),"Warning","")))))</f>
        <v/>
      </c>
      <c r="AP263" s="65" t="str">
        <f aca="false">IF($AO263="","",IF($AO263="Critical",3000,2000)-IF($Z263="",0,$Z263)+ROW()/100000)</f>
        <v/>
      </c>
      <c r="AQ263" s="65" t="str">
        <f aca="false">IF($AO263="","",IF($X263="Unmapped","Status '"&amp;$C263&amp;"' is not in the Config map",IF($V263="Y","Flagged in Jira",IF($AB263="Overdue",-$Z263&amp;" days past its "&amp;$X263&amp;" target",IF($AH263="Critical",$AI263,IF($AB263="At risk","Target in "&amp;$Z263&amp;" days",IF($AC263="Stale","No update in "&amp;$AA263&amp;" days","Past its "&amp;$AE263&amp;"-day tier window")))))))</f>
        <v/>
      </c>
      <c r="AR263" s="65" t="str">
        <f aca="false">IF($AO263="","","draft Jira update for "&amp;$A263)</f>
        <v/>
      </c>
      <c r="AS263" s="65" t="str">
        <f aca="false">IF($A263="","",HYPERLINK(JiraSite&amp;"/browse/"&amp;$A263,"open"))</f>
        <v/>
      </c>
      <c r="AT263" s="65" t="str">
        <f aca="false">IF($Y263="","",$Y263*1000+ROW())</f>
        <v/>
      </c>
      <c r="AU263" s="65" t="str">
        <f aca="false">IF(AND($A263&lt;&gt;"",$G263&gt;=WeekStart),$G263+ROW()/100000,"")</f>
        <v/>
      </c>
      <c r="AV263" s="65" t="str">
        <f aca="false">IF($A263="","",IF(OR(AND($S263&lt;&gt;"",$S263&gt;=WeekStart),AND($U263&lt;&gt;"",$U263&gt;=WeekStart)),MAX($S263,$U263)+ROW()/100000,""))</f>
        <v/>
      </c>
      <c r="AW263" s="65" t="str">
        <f aca="false">IF($AV263="","",IF($T263&lt;&gt;"",$T263,IF($X263="Closed","Closed","Accepted to "&amp;$X263)))</f>
        <v/>
      </c>
      <c r="AX263" s="65" t="str">
        <f aca="false">IF(AND($Y263&lt;&gt;"",$R263&lt;&gt;""),$AF263+ROW()/100000,"")</f>
        <v/>
      </c>
      <c r="AY263" s="65" t="str">
        <f aca="false">IF(AND($Y263&lt;&gt;"",OR($AB263="Overdue",AND($AH263="Critical",$R263&lt;&gt;""))),$AF263+ROW()/100000,"")</f>
        <v/>
      </c>
      <c r="AZ263" s="65" t="str">
        <f aca="false">IF($AH263="Critical",$AF263+ROW()/100000,"")</f>
        <v/>
      </c>
    </row>
    <row r="264" customFormat="false" ht="15" hidden="false" customHeight="false" outlineLevel="0" collapsed="false">
      <c r="A264" s="28"/>
      <c r="B264" s="28"/>
      <c r="C264" s="28"/>
      <c r="D264" s="28"/>
      <c r="E264" s="28"/>
      <c r="F264" s="28"/>
      <c r="G264" s="63"/>
      <c r="H264" s="63"/>
      <c r="I264" s="63"/>
      <c r="J264" s="28"/>
      <c r="K264" s="28"/>
      <c r="L264" s="28"/>
      <c r="M264" s="28"/>
      <c r="N264" s="28"/>
      <c r="O264" s="64"/>
      <c r="P264" s="64"/>
      <c r="Q264" s="64"/>
      <c r="R264" s="28"/>
      <c r="S264" s="63"/>
      <c r="T264" s="64"/>
      <c r="U264" s="63"/>
      <c r="V264" s="64"/>
      <c r="W264" s="28"/>
      <c r="X264" s="65" t="str">
        <f aca="false">IF($A264="","",IF(OR($T264&lt;&gt;"",$U264&lt;&gt;""),"Closed",IFERROR(INDEX(MapStage,MATCH($C264,MapStatus,0)),"Unmapped")))</f>
        <v/>
      </c>
      <c r="Y264" s="65" t="str">
        <f aca="false">IF(OR($X264="",$X264="Closed",$X264="Unmapped"),"",MATCH($X264,StageName,0))</f>
        <v/>
      </c>
      <c r="Z264" s="65" t="str">
        <f aca="false">IF(OR($Y264="",$I264=""),"",$I264-AsOf)</f>
        <v/>
      </c>
      <c r="AA264" s="65" t="str">
        <f aca="false">IF($A264="","",AsOf-$H264)</f>
        <v/>
      </c>
      <c r="AB264" s="65" t="str">
        <f aca="false">IF($A264="","",IF($X264="Closed","Closed",IF($X264="Unmapped","Unmapped",IF($I264="","No target",IF($Z264&lt;0,"Overdue",IF($Z264&lt;=INDEX(StageWindow,$Y264),"At risk","On track"))))))</f>
        <v/>
      </c>
      <c r="AC264" s="65" t="str">
        <f aca="false">IF($Y264="","",IF($AA264&gt;2*INDEX(StageStale,$Y264),"Stale",IF($AA264&gt;INDEX(StageStale,$Y264),"Aging","Fresh")))</f>
        <v/>
      </c>
      <c r="AD264" s="65" t="str">
        <f aca="false">IF($A264="","",IF(OR(ISNUMBER(SEARCH("Reg report",$J264)),ISNUMBER(SEARCH("No human review",$J264)),COUNTIF(TierFuncs,$D264)&gt;0),"High",IF(OR(TRIM($J264)&lt;&gt;"",ISNUMBER(SEARCH("revenue",$K264))),"Medium","Low")))</f>
        <v/>
      </c>
      <c r="AE264" s="65" t="str">
        <f aca="false">IF($A264="","",INDEX(TierDays,MATCH($AD264,TierName,0)))</f>
        <v/>
      </c>
      <c r="AF264" s="65" t="str">
        <f aca="false">IF($A264="","",AsOf-$G264)</f>
        <v/>
      </c>
      <c r="AG264" s="65" t="str">
        <f aca="false">IF($Y264="","",IF($Y264&lt;=5,IF($AF264&gt;$AE264,"Over","Inside"),"Past approval"))</f>
        <v/>
      </c>
      <c r="AH264" s="65" t="str">
        <f aca="false">IF($Y264="","",CHOOSE($Y264,IF(OR(TRIM($F264)="",ISNUMBER(SEARCH("not named",$F264))),"Critical","Good"),IF($O264&lt;&gt;"Y","Critical",IF($Q264&lt;&gt;"Y","Warning","Good")),IF($P264="","Critical",IF($P264="partial","Warning",IF($P264="ready","Good","Critical"))),IF($R264&lt;&gt;"","Critical","Warning"),IF($L264="","Critical",IF($N264="","Warning","Good")),IF($R264&lt;&gt;"","Critical","Warning"),IF($R264&lt;&gt;"","Critical","Warning"),IF($Q264="Y","Good","Critical")))</f>
        <v/>
      </c>
      <c r="AI264" s="65" t="str">
        <f aca="false">IF($Y264="","",CHOOSE($Y264,IF(OR(TRIM($F264)="",ISNUMBER(SEARCH("not named",$F264))),"Name a sponsor accountable for the value",""),IF($O264&lt;&gt;"Y","State the success metric and the stop condition",IF($Q264&lt;&gt;"Y","Set the baseline the benefit will be measured against","")),IF($P264="","Assess data readiness and regulatory impact",IF($P264="partial","Close the known data gaps",IF($P264="ready","","Data is not available; reshape or park"))),IF($R264&lt;&gt;"",IF(OR(ISNUMBER(SEARCH("mrm",$R264)),ISNUMBER(SEARCH("model",$R264)),ISNUMBER(SEARCH("risk",$R264)),ISNUMBER(SEARCH("legal",$R264)),ISNUMBER(SEARCH("complian",$R264))),"Awaiting ","Held at the design gate: ")&amp;$R264,"Map the governance framework for its tier"),IF($L264="","Size the annual benefit",IF($N264="","Score it so it can be ranked against capacity","")),IF($R264&lt;&gt;"","Build held: "&amp;$R264,"In build, not yet through test"),IF($R264&lt;&gt;"","Not ready to scale: "&amp;$R264,"Monitoring and third-party review not yet signed off"),IF($Q264="Y","","Live without a measured baseline to judge it against")))</f>
        <v/>
      </c>
      <c r="AJ264" s="65" t="str">
        <f aca="false">IF($Y264="","",INDEX(StageForum,$Y264))</f>
        <v/>
      </c>
      <c r="AK264" s="65" t="str">
        <f aca="false">IF($Y264="","",IF(OR($X264="Delivery",$X264="Value"),"Committed",IF($N264&lt;&gt;"","Candidate","")))</f>
        <v/>
      </c>
      <c r="AL264" s="65" t="str">
        <f aca="false">IF($AK264&lt;&gt;"Candidate","",COUNTIFS($AK$2:$AK$501,"Candidate",$N$2:$N$501,"&gt;"&amp;$N264)+COUNTIFS($AK$2:$AK$501,"Candidate",$N$2:$N$501,$N264,$A$2:$A$501,"&lt;"&amp;$A264)+1)</f>
        <v/>
      </c>
      <c r="AM264" s="65" t="str">
        <f aca="false">IF($AL264="","",SUMIFS($M$2:$M$501,$AK$2:$AK$501,"Candidate",$AL$2:$AL$501,"&lt;="&amp;$AL264))</f>
        <v/>
      </c>
      <c r="AN264" s="65" t="str">
        <f aca="false">IF($AL264="","",IF($AM264&lt;=CapacityOpen,"Fits","Below line"))</f>
        <v/>
      </c>
      <c r="AO264" s="65" t="str">
        <f aca="false">IF($A264="","",IF($X264="Closed","",IF($X264="Unmapped","Warning",IF(OR($AB264="Overdue",$V264="Y",$AH264="Critical"),"Critical",IF(OR($AB264="At risk",$AC264="Stale",$AG264="Over"),"Warning","")))))</f>
        <v/>
      </c>
      <c r="AP264" s="65" t="str">
        <f aca="false">IF($AO264="","",IF($AO264="Critical",3000,2000)-IF($Z264="",0,$Z264)+ROW()/100000)</f>
        <v/>
      </c>
      <c r="AQ264" s="65" t="str">
        <f aca="false">IF($AO264="","",IF($X264="Unmapped","Status '"&amp;$C264&amp;"' is not in the Config map",IF($V264="Y","Flagged in Jira",IF($AB264="Overdue",-$Z264&amp;" days past its "&amp;$X264&amp;" target",IF($AH264="Critical",$AI264,IF($AB264="At risk","Target in "&amp;$Z264&amp;" days",IF($AC264="Stale","No update in "&amp;$AA264&amp;" days","Past its "&amp;$AE264&amp;"-day tier window")))))))</f>
        <v/>
      </c>
      <c r="AR264" s="65" t="str">
        <f aca="false">IF($AO264="","","draft Jira update for "&amp;$A264)</f>
        <v/>
      </c>
      <c r="AS264" s="65" t="str">
        <f aca="false">IF($A264="","",HYPERLINK(JiraSite&amp;"/browse/"&amp;$A264,"open"))</f>
        <v/>
      </c>
      <c r="AT264" s="65" t="str">
        <f aca="false">IF($Y264="","",$Y264*1000+ROW())</f>
        <v/>
      </c>
      <c r="AU264" s="65" t="str">
        <f aca="false">IF(AND($A264&lt;&gt;"",$G264&gt;=WeekStart),$G264+ROW()/100000,"")</f>
        <v/>
      </c>
      <c r="AV264" s="65" t="str">
        <f aca="false">IF($A264="","",IF(OR(AND($S264&lt;&gt;"",$S264&gt;=WeekStart),AND($U264&lt;&gt;"",$U264&gt;=WeekStart)),MAX($S264,$U264)+ROW()/100000,""))</f>
        <v/>
      </c>
      <c r="AW264" s="65" t="str">
        <f aca="false">IF($AV264="","",IF($T264&lt;&gt;"",$T264,IF($X264="Closed","Closed","Accepted to "&amp;$X264)))</f>
        <v/>
      </c>
      <c r="AX264" s="65" t="str">
        <f aca="false">IF(AND($Y264&lt;&gt;"",$R264&lt;&gt;""),$AF264+ROW()/100000,"")</f>
        <v/>
      </c>
      <c r="AY264" s="65" t="str">
        <f aca="false">IF(AND($Y264&lt;&gt;"",OR($AB264="Overdue",AND($AH264="Critical",$R264&lt;&gt;""))),$AF264+ROW()/100000,"")</f>
        <v/>
      </c>
      <c r="AZ264" s="65" t="str">
        <f aca="false">IF($AH264="Critical",$AF264+ROW()/100000,"")</f>
        <v/>
      </c>
    </row>
    <row r="265" customFormat="false" ht="15" hidden="false" customHeight="false" outlineLevel="0" collapsed="false">
      <c r="A265" s="28"/>
      <c r="B265" s="28"/>
      <c r="C265" s="28"/>
      <c r="D265" s="28"/>
      <c r="E265" s="28"/>
      <c r="F265" s="28"/>
      <c r="G265" s="63"/>
      <c r="H265" s="63"/>
      <c r="I265" s="63"/>
      <c r="J265" s="28"/>
      <c r="K265" s="28"/>
      <c r="L265" s="28"/>
      <c r="M265" s="28"/>
      <c r="N265" s="28"/>
      <c r="O265" s="64"/>
      <c r="P265" s="64"/>
      <c r="Q265" s="64"/>
      <c r="R265" s="28"/>
      <c r="S265" s="63"/>
      <c r="T265" s="64"/>
      <c r="U265" s="63"/>
      <c r="V265" s="64"/>
      <c r="W265" s="28"/>
      <c r="X265" s="65" t="str">
        <f aca="false">IF($A265="","",IF(OR($T265&lt;&gt;"",$U265&lt;&gt;""),"Closed",IFERROR(INDEX(MapStage,MATCH($C265,MapStatus,0)),"Unmapped")))</f>
        <v/>
      </c>
      <c r="Y265" s="65" t="str">
        <f aca="false">IF(OR($X265="",$X265="Closed",$X265="Unmapped"),"",MATCH($X265,StageName,0))</f>
        <v/>
      </c>
      <c r="Z265" s="65" t="str">
        <f aca="false">IF(OR($Y265="",$I265=""),"",$I265-AsOf)</f>
        <v/>
      </c>
      <c r="AA265" s="65" t="str">
        <f aca="false">IF($A265="","",AsOf-$H265)</f>
        <v/>
      </c>
      <c r="AB265" s="65" t="str">
        <f aca="false">IF($A265="","",IF($X265="Closed","Closed",IF($X265="Unmapped","Unmapped",IF($I265="","No target",IF($Z265&lt;0,"Overdue",IF($Z265&lt;=INDEX(StageWindow,$Y265),"At risk","On track"))))))</f>
        <v/>
      </c>
      <c r="AC265" s="65" t="str">
        <f aca="false">IF($Y265="","",IF($AA265&gt;2*INDEX(StageStale,$Y265),"Stale",IF($AA265&gt;INDEX(StageStale,$Y265),"Aging","Fresh")))</f>
        <v/>
      </c>
      <c r="AD265" s="65" t="str">
        <f aca="false">IF($A265="","",IF(OR(ISNUMBER(SEARCH("Reg report",$J265)),ISNUMBER(SEARCH("No human review",$J265)),COUNTIF(TierFuncs,$D265)&gt;0),"High",IF(OR(TRIM($J265)&lt;&gt;"",ISNUMBER(SEARCH("revenue",$K265))),"Medium","Low")))</f>
        <v/>
      </c>
      <c r="AE265" s="65" t="str">
        <f aca="false">IF($A265="","",INDEX(TierDays,MATCH($AD265,TierName,0)))</f>
        <v/>
      </c>
      <c r="AF265" s="65" t="str">
        <f aca="false">IF($A265="","",AsOf-$G265)</f>
        <v/>
      </c>
      <c r="AG265" s="65" t="str">
        <f aca="false">IF($Y265="","",IF($Y265&lt;=5,IF($AF265&gt;$AE265,"Over","Inside"),"Past approval"))</f>
        <v/>
      </c>
      <c r="AH265" s="65" t="str">
        <f aca="false">IF($Y265="","",CHOOSE($Y265,IF(OR(TRIM($F265)="",ISNUMBER(SEARCH("not named",$F265))),"Critical","Good"),IF($O265&lt;&gt;"Y","Critical",IF($Q265&lt;&gt;"Y","Warning","Good")),IF($P265="","Critical",IF($P265="partial","Warning",IF($P265="ready","Good","Critical"))),IF($R265&lt;&gt;"","Critical","Warning"),IF($L265="","Critical",IF($N265="","Warning","Good")),IF($R265&lt;&gt;"","Critical","Warning"),IF($R265&lt;&gt;"","Critical","Warning"),IF($Q265="Y","Good","Critical")))</f>
        <v/>
      </c>
      <c r="AI265" s="65" t="str">
        <f aca="false">IF($Y265="","",CHOOSE($Y265,IF(OR(TRIM($F265)="",ISNUMBER(SEARCH("not named",$F265))),"Name a sponsor accountable for the value",""),IF($O265&lt;&gt;"Y","State the success metric and the stop condition",IF($Q265&lt;&gt;"Y","Set the baseline the benefit will be measured against","")),IF($P265="","Assess data readiness and regulatory impact",IF($P265="partial","Close the known data gaps",IF($P265="ready","","Data is not available; reshape or park"))),IF($R265&lt;&gt;"",IF(OR(ISNUMBER(SEARCH("mrm",$R265)),ISNUMBER(SEARCH("model",$R265)),ISNUMBER(SEARCH("risk",$R265)),ISNUMBER(SEARCH("legal",$R265)),ISNUMBER(SEARCH("complian",$R265))),"Awaiting ","Held at the design gate: ")&amp;$R265,"Map the governance framework for its tier"),IF($L265="","Size the annual benefit",IF($N265="","Score it so it can be ranked against capacity","")),IF($R265&lt;&gt;"","Build held: "&amp;$R265,"In build, not yet through test"),IF($R265&lt;&gt;"","Not ready to scale: "&amp;$R265,"Monitoring and third-party review not yet signed off"),IF($Q265="Y","","Live without a measured baseline to judge it against")))</f>
        <v/>
      </c>
      <c r="AJ265" s="65" t="str">
        <f aca="false">IF($Y265="","",INDEX(StageForum,$Y265))</f>
        <v/>
      </c>
      <c r="AK265" s="65" t="str">
        <f aca="false">IF($Y265="","",IF(OR($X265="Delivery",$X265="Value"),"Committed",IF($N265&lt;&gt;"","Candidate","")))</f>
        <v/>
      </c>
      <c r="AL265" s="65" t="str">
        <f aca="false">IF($AK265&lt;&gt;"Candidate","",COUNTIFS($AK$2:$AK$501,"Candidate",$N$2:$N$501,"&gt;"&amp;$N265)+COUNTIFS($AK$2:$AK$501,"Candidate",$N$2:$N$501,$N265,$A$2:$A$501,"&lt;"&amp;$A265)+1)</f>
        <v/>
      </c>
      <c r="AM265" s="65" t="str">
        <f aca="false">IF($AL265="","",SUMIFS($M$2:$M$501,$AK$2:$AK$501,"Candidate",$AL$2:$AL$501,"&lt;="&amp;$AL265))</f>
        <v/>
      </c>
      <c r="AN265" s="65" t="str">
        <f aca="false">IF($AL265="","",IF($AM265&lt;=CapacityOpen,"Fits","Below line"))</f>
        <v/>
      </c>
      <c r="AO265" s="65" t="str">
        <f aca="false">IF($A265="","",IF($X265="Closed","",IF($X265="Unmapped","Warning",IF(OR($AB265="Overdue",$V265="Y",$AH265="Critical"),"Critical",IF(OR($AB265="At risk",$AC265="Stale",$AG265="Over"),"Warning","")))))</f>
        <v/>
      </c>
      <c r="AP265" s="65" t="str">
        <f aca="false">IF($AO265="","",IF($AO265="Critical",3000,2000)-IF($Z265="",0,$Z265)+ROW()/100000)</f>
        <v/>
      </c>
      <c r="AQ265" s="65" t="str">
        <f aca="false">IF($AO265="","",IF($X265="Unmapped","Status '"&amp;$C265&amp;"' is not in the Config map",IF($V265="Y","Flagged in Jira",IF($AB265="Overdue",-$Z265&amp;" days past its "&amp;$X265&amp;" target",IF($AH265="Critical",$AI265,IF($AB265="At risk","Target in "&amp;$Z265&amp;" days",IF($AC265="Stale","No update in "&amp;$AA265&amp;" days","Past its "&amp;$AE265&amp;"-day tier window")))))))</f>
        <v/>
      </c>
      <c r="AR265" s="65" t="str">
        <f aca="false">IF($AO265="","","draft Jira update for "&amp;$A265)</f>
        <v/>
      </c>
      <c r="AS265" s="65" t="str">
        <f aca="false">IF($A265="","",HYPERLINK(JiraSite&amp;"/browse/"&amp;$A265,"open"))</f>
        <v/>
      </c>
      <c r="AT265" s="65" t="str">
        <f aca="false">IF($Y265="","",$Y265*1000+ROW())</f>
        <v/>
      </c>
      <c r="AU265" s="65" t="str">
        <f aca="false">IF(AND($A265&lt;&gt;"",$G265&gt;=WeekStart),$G265+ROW()/100000,"")</f>
        <v/>
      </c>
      <c r="AV265" s="65" t="str">
        <f aca="false">IF($A265="","",IF(OR(AND($S265&lt;&gt;"",$S265&gt;=WeekStart),AND($U265&lt;&gt;"",$U265&gt;=WeekStart)),MAX($S265,$U265)+ROW()/100000,""))</f>
        <v/>
      </c>
      <c r="AW265" s="65" t="str">
        <f aca="false">IF($AV265="","",IF($T265&lt;&gt;"",$T265,IF($X265="Closed","Closed","Accepted to "&amp;$X265)))</f>
        <v/>
      </c>
      <c r="AX265" s="65" t="str">
        <f aca="false">IF(AND($Y265&lt;&gt;"",$R265&lt;&gt;""),$AF265+ROW()/100000,"")</f>
        <v/>
      </c>
      <c r="AY265" s="65" t="str">
        <f aca="false">IF(AND($Y265&lt;&gt;"",OR($AB265="Overdue",AND($AH265="Critical",$R265&lt;&gt;""))),$AF265+ROW()/100000,"")</f>
        <v/>
      </c>
      <c r="AZ265" s="65" t="str">
        <f aca="false">IF($AH265="Critical",$AF265+ROW()/100000,"")</f>
        <v/>
      </c>
    </row>
    <row r="266" customFormat="false" ht="15" hidden="false" customHeight="false" outlineLevel="0" collapsed="false">
      <c r="A266" s="28"/>
      <c r="B266" s="28"/>
      <c r="C266" s="28"/>
      <c r="D266" s="28"/>
      <c r="E266" s="28"/>
      <c r="F266" s="28"/>
      <c r="G266" s="63"/>
      <c r="H266" s="63"/>
      <c r="I266" s="63"/>
      <c r="J266" s="28"/>
      <c r="K266" s="28"/>
      <c r="L266" s="28"/>
      <c r="M266" s="28"/>
      <c r="N266" s="28"/>
      <c r="O266" s="64"/>
      <c r="P266" s="64"/>
      <c r="Q266" s="64"/>
      <c r="R266" s="28"/>
      <c r="S266" s="63"/>
      <c r="T266" s="64"/>
      <c r="U266" s="63"/>
      <c r="V266" s="64"/>
      <c r="W266" s="28"/>
      <c r="X266" s="65" t="str">
        <f aca="false">IF($A266="","",IF(OR($T266&lt;&gt;"",$U266&lt;&gt;""),"Closed",IFERROR(INDEX(MapStage,MATCH($C266,MapStatus,0)),"Unmapped")))</f>
        <v/>
      </c>
      <c r="Y266" s="65" t="str">
        <f aca="false">IF(OR($X266="",$X266="Closed",$X266="Unmapped"),"",MATCH($X266,StageName,0))</f>
        <v/>
      </c>
      <c r="Z266" s="65" t="str">
        <f aca="false">IF(OR($Y266="",$I266=""),"",$I266-AsOf)</f>
        <v/>
      </c>
      <c r="AA266" s="65" t="str">
        <f aca="false">IF($A266="","",AsOf-$H266)</f>
        <v/>
      </c>
      <c r="AB266" s="65" t="str">
        <f aca="false">IF($A266="","",IF($X266="Closed","Closed",IF($X266="Unmapped","Unmapped",IF($I266="","No target",IF($Z266&lt;0,"Overdue",IF($Z266&lt;=INDEX(StageWindow,$Y266),"At risk","On track"))))))</f>
        <v/>
      </c>
      <c r="AC266" s="65" t="str">
        <f aca="false">IF($Y266="","",IF($AA266&gt;2*INDEX(StageStale,$Y266),"Stale",IF($AA266&gt;INDEX(StageStale,$Y266),"Aging","Fresh")))</f>
        <v/>
      </c>
      <c r="AD266" s="65" t="str">
        <f aca="false">IF($A266="","",IF(OR(ISNUMBER(SEARCH("Reg report",$J266)),ISNUMBER(SEARCH("No human review",$J266)),COUNTIF(TierFuncs,$D266)&gt;0),"High",IF(OR(TRIM($J266)&lt;&gt;"",ISNUMBER(SEARCH("revenue",$K266))),"Medium","Low")))</f>
        <v/>
      </c>
      <c r="AE266" s="65" t="str">
        <f aca="false">IF($A266="","",INDEX(TierDays,MATCH($AD266,TierName,0)))</f>
        <v/>
      </c>
      <c r="AF266" s="65" t="str">
        <f aca="false">IF($A266="","",AsOf-$G266)</f>
        <v/>
      </c>
      <c r="AG266" s="65" t="str">
        <f aca="false">IF($Y266="","",IF($Y266&lt;=5,IF($AF266&gt;$AE266,"Over","Inside"),"Past approval"))</f>
        <v/>
      </c>
      <c r="AH266" s="65" t="str">
        <f aca="false">IF($Y266="","",CHOOSE($Y266,IF(OR(TRIM($F266)="",ISNUMBER(SEARCH("not named",$F266))),"Critical","Good"),IF($O266&lt;&gt;"Y","Critical",IF($Q266&lt;&gt;"Y","Warning","Good")),IF($P266="","Critical",IF($P266="partial","Warning",IF($P266="ready","Good","Critical"))),IF($R266&lt;&gt;"","Critical","Warning"),IF($L266="","Critical",IF($N266="","Warning","Good")),IF($R266&lt;&gt;"","Critical","Warning"),IF($R266&lt;&gt;"","Critical","Warning"),IF($Q266="Y","Good","Critical")))</f>
        <v/>
      </c>
      <c r="AI266" s="65" t="str">
        <f aca="false">IF($Y266="","",CHOOSE($Y266,IF(OR(TRIM($F266)="",ISNUMBER(SEARCH("not named",$F266))),"Name a sponsor accountable for the value",""),IF($O266&lt;&gt;"Y","State the success metric and the stop condition",IF($Q266&lt;&gt;"Y","Set the baseline the benefit will be measured against","")),IF($P266="","Assess data readiness and regulatory impact",IF($P266="partial","Close the known data gaps",IF($P266="ready","","Data is not available; reshape or park"))),IF($R266&lt;&gt;"",IF(OR(ISNUMBER(SEARCH("mrm",$R266)),ISNUMBER(SEARCH("model",$R266)),ISNUMBER(SEARCH("risk",$R266)),ISNUMBER(SEARCH("legal",$R266)),ISNUMBER(SEARCH("complian",$R266))),"Awaiting ","Held at the design gate: ")&amp;$R266,"Map the governance framework for its tier"),IF($L266="","Size the annual benefit",IF($N266="","Score it so it can be ranked against capacity","")),IF($R266&lt;&gt;"","Build held: "&amp;$R266,"In build, not yet through test"),IF($R266&lt;&gt;"","Not ready to scale: "&amp;$R266,"Monitoring and third-party review not yet signed off"),IF($Q266="Y","","Live without a measured baseline to judge it against")))</f>
        <v/>
      </c>
      <c r="AJ266" s="65" t="str">
        <f aca="false">IF($Y266="","",INDEX(StageForum,$Y266))</f>
        <v/>
      </c>
      <c r="AK266" s="65" t="str">
        <f aca="false">IF($Y266="","",IF(OR($X266="Delivery",$X266="Value"),"Committed",IF($N266&lt;&gt;"","Candidate","")))</f>
        <v/>
      </c>
      <c r="AL266" s="65" t="str">
        <f aca="false">IF($AK266&lt;&gt;"Candidate","",COUNTIFS($AK$2:$AK$501,"Candidate",$N$2:$N$501,"&gt;"&amp;$N266)+COUNTIFS($AK$2:$AK$501,"Candidate",$N$2:$N$501,$N266,$A$2:$A$501,"&lt;"&amp;$A266)+1)</f>
        <v/>
      </c>
      <c r="AM266" s="65" t="str">
        <f aca="false">IF($AL266="","",SUMIFS($M$2:$M$501,$AK$2:$AK$501,"Candidate",$AL$2:$AL$501,"&lt;="&amp;$AL266))</f>
        <v/>
      </c>
      <c r="AN266" s="65" t="str">
        <f aca="false">IF($AL266="","",IF($AM266&lt;=CapacityOpen,"Fits","Below line"))</f>
        <v/>
      </c>
      <c r="AO266" s="65" t="str">
        <f aca="false">IF($A266="","",IF($X266="Closed","",IF($X266="Unmapped","Warning",IF(OR($AB266="Overdue",$V266="Y",$AH266="Critical"),"Critical",IF(OR($AB266="At risk",$AC266="Stale",$AG266="Over"),"Warning","")))))</f>
        <v/>
      </c>
      <c r="AP266" s="65" t="str">
        <f aca="false">IF($AO266="","",IF($AO266="Critical",3000,2000)-IF($Z266="",0,$Z266)+ROW()/100000)</f>
        <v/>
      </c>
      <c r="AQ266" s="65" t="str">
        <f aca="false">IF($AO266="","",IF($X266="Unmapped","Status '"&amp;$C266&amp;"' is not in the Config map",IF($V266="Y","Flagged in Jira",IF($AB266="Overdue",-$Z266&amp;" days past its "&amp;$X266&amp;" target",IF($AH266="Critical",$AI266,IF($AB266="At risk","Target in "&amp;$Z266&amp;" days",IF($AC266="Stale","No update in "&amp;$AA266&amp;" days","Past its "&amp;$AE266&amp;"-day tier window")))))))</f>
        <v/>
      </c>
      <c r="AR266" s="65" t="str">
        <f aca="false">IF($AO266="","","draft Jira update for "&amp;$A266)</f>
        <v/>
      </c>
      <c r="AS266" s="65" t="str">
        <f aca="false">IF($A266="","",HYPERLINK(JiraSite&amp;"/browse/"&amp;$A266,"open"))</f>
        <v/>
      </c>
      <c r="AT266" s="65" t="str">
        <f aca="false">IF($Y266="","",$Y266*1000+ROW())</f>
        <v/>
      </c>
      <c r="AU266" s="65" t="str">
        <f aca="false">IF(AND($A266&lt;&gt;"",$G266&gt;=WeekStart),$G266+ROW()/100000,"")</f>
        <v/>
      </c>
      <c r="AV266" s="65" t="str">
        <f aca="false">IF($A266="","",IF(OR(AND($S266&lt;&gt;"",$S266&gt;=WeekStart),AND($U266&lt;&gt;"",$U266&gt;=WeekStart)),MAX($S266,$U266)+ROW()/100000,""))</f>
        <v/>
      </c>
      <c r="AW266" s="65" t="str">
        <f aca="false">IF($AV266="","",IF($T266&lt;&gt;"",$T266,IF($X266="Closed","Closed","Accepted to "&amp;$X266)))</f>
        <v/>
      </c>
      <c r="AX266" s="65" t="str">
        <f aca="false">IF(AND($Y266&lt;&gt;"",$R266&lt;&gt;""),$AF266+ROW()/100000,"")</f>
        <v/>
      </c>
      <c r="AY266" s="65" t="str">
        <f aca="false">IF(AND($Y266&lt;&gt;"",OR($AB266="Overdue",AND($AH266="Critical",$R266&lt;&gt;""))),$AF266+ROW()/100000,"")</f>
        <v/>
      </c>
      <c r="AZ266" s="65" t="str">
        <f aca="false">IF($AH266="Critical",$AF266+ROW()/100000,"")</f>
        <v/>
      </c>
    </row>
    <row r="267" customFormat="false" ht="15" hidden="false" customHeight="false" outlineLevel="0" collapsed="false">
      <c r="A267" s="28"/>
      <c r="B267" s="28"/>
      <c r="C267" s="28"/>
      <c r="D267" s="28"/>
      <c r="E267" s="28"/>
      <c r="F267" s="28"/>
      <c r="G267" s="63"/>
      <c r="H267" s="63"/>
      <c r="I267" s="63"/>
      <c r="J267" s="28"/>
      <c r="K267" s="28"/>
      <c r="L267" s="28"/>
      <c r="M267" s="28"/>
      <c r="N267" s="28"/>
      <c r="O267" s="64"/>
      <c r="P267" s="64"/>
      <c r="Q267" s="64"/>
      <c r="R267" s="28"/>
      <c r="S267" s="63"/>
      <c r="T267" s="64"/>
      <c r="U267" s="63"/>
      <c r="V267" s="64"/>
      <c r="W267" s="28"/>
      <c r="X267" s="65" t="str">
        <f aca="false">IF($A267="","",IF(OR($T267&lt;&gt;"",$U267&lt;&gt;""),"Closed",IFERROR(INDEX(MapStage,MATCH($C267,MapStatus,0)),"Unmapped")))</f>
        <v/>
      </c>
      <c r="Y267" s="65" t="str">
        <f aca="false">IF(OR($X267="",$X267="Closed",$X267="Unmapped"),"",MATCH($X267,StageName,0))</f>
        <v/>
      </c>
      <c r="Z267" s="65" t="str">
        <f aca="false">IF(OR($Y267="",$I267=""),"",$I267-AsOf)</f>
        <v/>
      </c>
      <c r="AA267" s="65" t="str">
        <f aca="false">IF($A267="","",AsOf-$H267)</f>
        <v/>
      </c>
      <c r="AB267" s="65" t="str">
        <f aca="false">IF($A267="","",IF($X267="Closed","Closed",IF($X267="Unmapped","Unmapped",IF($I267="","No target",IF($Z267&lt;0,"Overdue",IF($Z267&lt;=INDEX(StageWindow,$Y267),"At risk","On track"))))))</f>
        <v/>
      </c>
      <c r="AC267" s="65" t="str">
        <f aca="false">IF($Y267="","",IF($AA267&gt;2*INDEX(StageStale,$Y267),"Stale",IF($AA267&gt;INDEX(StageStale,$Y267),"Aging","Fresh")))</f>
        <v/>
      </c>
      <c r="AD267" s="65" t="str">
        <f aca="false">IF($A267="","",IF(OR(ISNUMBER(SEARCH("Reg report",$J267)),ISNUMBER(SEARCH("No human review",$J267)),COUNTIF(TierFuncs,$D267)&gt;0),"High",IF(OR(TRIM($J267)&lt;&gt;"",ISNUMBER(SEARCH("revenue",$K267))),"Medium","Low")))</f>
        <v/>
      </c>
      <c r="AE267" s="65" t="str">
        <f aca="false">IF($A267="","",INDEX(TierDays,MATCH($AD267,TierName,0)))</f>
        <v/>
      </c>
      <c r="AF267" s="65" t="str">
        <f aca="false">IF($A267="","",AsOf-$G267)</f>
        <v/>
      </c>
      <c r="AG267" s="65" t="str">
        <f aca="false">IF($Y267="","",IF($Y267&lt;=5,IF($AF267&gt;$AE267,"Over","Inside"),"Past approval"))</f>
        <v/>
      </c>
      <c r="AH267" s="65" t="str">
        <f aca="false">IF($Y267="","",CHOOSE($Y267,IF(OR(TRIM($F267)="",ISNUMBER(SEARCH("not named",$F267))),"Critical","Good"),IF($O267&lt;&gt;"Y","Critical",IF($Q267&lt;&gt;"Y","Warning","Good")),IF($P267="","Critical",IF($P267="partial","Warning",IF($P267="ready","Good","Critical"))),IF($R267&lt;&gt;"","Critical","Warning"),IF($L267="","Critical",IF($N267="","Warning","Good")),IF($R267&lt;&gt;"","Critical","Warning"),IF($R267&lt;&gt;"","Critical","Warning"),IF($Q267="Y","Good","Critical")))</f>
        <v/>
      </c>
      <c r="AI267" s="65" t="str">
        <f aca="false">IF($Y267="","",CHOOSE($Y267,IF(OR(TRIM($F267)="",ISNUMBER(SEARCH("not named",$F267))),"Name a sponsor accountable for the value",""),IF($O267&lt;&gt;"Y","State the success metric and the stop condition",IF($Q267&lt;&gt;"Y","Set the baseline the benefit will be measured against","")),IF($P267="","Assess data readiness and regulatory impact",IF($P267="partial","Close the known data gaps",IF($P267="ready","","Data is not available; reshape or park"))),IF($R267&lt;&gt;"",IF(OR(ISNUMBER(SEARCH("mrm",$R267)),ISNUMBER(SEARCH("model",$R267)),ISNUMBER(SEARCH("risk",$R267)),ISNUMBER(SEARCH("legal",$R267)),ISNUMBER(SEARCH("complian",$R267))),"Awaiting ","Held at the design gate: ")&amp;$R267,"Map the governance framework for its tier"),IF($L267="","Size the annual benefit",IF($N267="","Score it so it can be ranked against capacity","")),IF($R267&lt;&gt;"","Build held: "&amp;$R267,"In build, not yet through test"),IF($R267&lt;&gt;"","Not ready to scale: "&amp;$R267,"Monitoring and third-party review not yet signed off"),IF($Q267="Y","","Live without a measured baseline to judge it against")))</f>
        <v/>
      </c>
      <c r="AJ267" s="65" t="str">
        <f aca="false">IF($Y267="","",INDEX(StageForum,$Y267))</f>
        <v/>
      </c>
      <c r="AK267" s="65" t="str">
        <f aca="false">IF($Y267="","",IF(OR($X267="Delivery",$X267="Value"),"Committed",IF($N267&lt;&gt;"","Candidate","")))</f>
        <v/>
      </c>
      <c r="AL267" s="65" t="str">
        <f aca="false">IF($AK267&lt;&gt;"Candidate","",COUNTIFS($AK$2:$AK$501,"Candidate",$N$2:$N$501,"&gt;"&amp;$N267)+COUNTIFS($AK$2:$AK$501,"Candidate",$N$2:$N$501,$N267,$A$2:$A$501,"&lt;"&amp;$A267)+1)</f>
        <v/>
      </c>
      <c r="AM267" s="65" t="str">
        <f aca="false">IF($AL267="","",SUMIFS($M$2:$M$501,$AK$2:$AK$501,"Candidate",$AL$2:$AL$501,"&lt;="&amp;$AL267))</f>
        <v/>
      </c>
      <c r="AN267" s="65" t="str">
        <f aca="false">IF($AL267="","",IF($AM267&lt;=CapacityOpen,"Fits","Below line"))</f>
        <v/>
      </c>
      <c r="AO267" s="65" t="str">
        <f aca="false">IF($A267="","",IF($X267="Closed","",IF($X267="Unmapped","Warning",IF(OR($AB267="Overdue",$V267="Y",$AH267="Critical"),"Critical",IF(OR($AB267="At risk",$AC267="Stale",$AG267="Over"),"Warning","")))))</f>
        <v/>
      </c>
      <c r="AP267" s="65" t="str">
        <f aca="false">IF($AO267="","",IF($AO267="Critical",3000,2000)-IF($Z267="",0,$Z267)+ROW()/100000)</f>
        <v/>
      </c>
      <c r="AQ267" s="65" t="str">
        <f aca="false">IF($AO267="","",IF($X267="Unmapped","Status '"&amp;$C267&amp;"' is not in the Config map",IF($V267="Y","Flagged in Jira",IF($AB267="Overdue",-$Z267&amp;" days past its "&amp;$X267&amp;" target",IF($AH267="Critical",$AI267,IF($AB267="At risk","Target in "&amp;$Z267&amp;" days",IF($AC267="Stale","No update in "&amp;$AA267&amp;" days","Past its "&amp;$AE267&amp;"-day tier window")))))))</f>
        <v/>
      </c>
      <c r="AR267" s="65" t="str">
        <f aca="false">IF($AO267="","","draft Jira update for "&amp;$A267)</f>
        <v/>
      </c>
      <c r="AS267" s="65" t="str">
        <f aca="false">IF($A267="","",HYPERLINK(JiraSite&amp;"/browse/"&amp;$A267,"open"))</f>
        <v/>
      </c>
      <c r="AT267" s="65" t="str">
        <f aca="false">IF($Y267="","",$Y267*1000+ROW())</f>
        <v/>
      </c>
      <c r="AU267" s="65" t="str">
        <f aca="false">IF(AND($A267&lt;&gt;"",$G267&gt;=WeekStart),$G267+ROW()/100000,"")</f>
        <v/>
      </c>
      <c r="AV267" s="65" t="str">
        <f aca="false">IF($A267="","",IF(OR(AND($S267&lt;&gt;"",$S267&gt;=WeekStart),AND($U267&lt;&gt;"",$U267&gt;=WeekStart)),MAX($S267,$U267)+ROW()/100000,""))</f>
        <v/>
      </c>
      <c r="AW267" s="65" t="str">
        <f aca="false">IF($AV267="","",IF($T267&lt;&gt;"",$T267,IF($X267="Closed","Closed","Accepted to "&amp;$X267)))</f>
        <v/>
      </c>
      <c r="AX267" s="65" t="str">
        <f aca="false">IF(AND($Y267&lt;&gt;"",$R267&lt;&gt;""),$AF267+ROW()/100000,"")</f>
        <v/>
      </c>
      <c r="AY267" s="65" t="str">
        <f aca="false">IF(AND($Y267&lt;&gt;"",OR($AB267="Overdue",AND($AH267="Critical",$R267&lt;&gt;""))),$AF267+ROW()/100000,"")</f>
        <v/>
      </c>
      <c r="AZ267" s="65" t="str">
        <f aca="false">IF($AH267="Critical",$AF267+ROW()/100000,"")</f>
        <v/>
      </c>
    </row>
    <row r="268" customFormat="false" ht="15" hidden="false" customHeight="false" outlineLevel="0" collapsed="false">
      <c r="A268" s="28"/>
      <c r="B268" s="28"/>
      <c r="C268" s="28"/>
      <c r="D268" s="28"/>
      <c r="E268" s="28"/>
      <c r="F268" s="28"/>
      <c r="G268" s="63"/>
      <c r="H268" s="63"/>
      <c r="I268" s="63"/>
      <c r="J268" s="28"/>
      <c r="K268" s="28"/>
      <c r="L268" s="28"/>
      <c r="M268" s="28"/>
      <c r="N268" s="28"/>
      <c r="O268" s="64"/>
      <c r="P268" s="64"/>
      <c r="Q268" s="64"/>
      <c r="R268" s="28"/>
      <c r="S268" s="63"/>
      <c r="T268" s="64"/>
      <c r="U268" s="63"/>
      <c r="V268" s="64"/>
      <c r="W268" s="28"/>
      <c r="X268" s="65" t="str">
        <f aca="false">IF($A268="","",IF(OR($T268&lt;&gt;"",$U268&lt;&gt;""),"Closed",IFERROR(INDEX(MapStage,MATCH($C268,MapStatus,0)),"Unmapped")))</f>
        <v/>
      </c>
      <c r="Y268" s="65" t="str">
        <f aca="false">IF(OR($X268="",$X268="Closed",$X268="Unmapped"),"",MATCH($X268,StageName,0))</f>
        <v/>
      </c>
      <c r="Z268" s="65" t="str">
        <f aca="false">IF(OR($Y268="",$I268=""),"",$I268-AsOf)</f>
        <v/>
      </c>
      <c r="AA268" s="65" t="str">
        <f aca="false">IF($A268="","",AsOf-$H268)</f>
        <v/>
      </c>
      <c r="AB268" s="65" t="str">
        <f aca="false">IF($A268="","",IF($X268="Closed","Closed",IF($X268="Unmapped","Unmapped",IF($I268="","No target",IF($Z268&lt;0,"Overdue",IF($Z268&lt;=INDEX(StageWindow,$Y268),"At risk","On track"))))))</f>
        <v/>
      </c>
      <c r="AC268" s="65" t="str">
        <f aca="false">IF($Y268="","",IF($AA268&gt;2*INDEX(StageStale,$Y268),"Stale",IF($AA268&gt;INDEX(StageStale,$Y268),"Aging","Fresh")))</f>
        <v/>
      </c>
      <c r="AD268" s="65" t="str">
        <f aca="false">IF($A268="","",IF(OR(ISNUMBER(SEARCH("Reg report",$J268)),ISNUMBER(SEARCH("No human review",$J268)),COUNTIF(TierFuncs,$D268)&gt;0),"High",IF(OR(TRIM($J268)&lt;&gt;"",ISNUMBER(SEARCH("revenue",$K268))),"Medium","Low")))</f>
        <v/>
      </c>
      <c r="AE268" s="65" t="str">
        <f aca="false">IF($A268="","",INDEX(TierDays,MATCH($AD268,TierName,0)))</f>
        <v/>
      </c>
      <c r="AF268" s="65" t="str">
        <f aca="false">IF($A268="","",AsOf-$G268)</f>
        <v/>
      </c>
      <c r="AG268" s="65" t="str">
        <f aca="false">IF($Y268="","",IF($Y268&lt;=5,IF($AF268&gt;$AE268,"Over","Inside"),"Past approval"))</f>
        <v/>
      </c>
      <c r="AH268" s="65" t="str">
        <f aca="false">IF($Y268="","",CHOOSE($Y268,IF(OR(TRIM($F268)="",ISNUMBER(SEARCH("not named",$F268))),"Critical","Good"),IF($O268&lt;&gt;"Y","Critical",IF($Q268&lt;&gt;"Y","Warning","Good")),IF($P268="","Critical",IF($P268="partial","Warning",IF($P268="ready","Good","Critical"))),IF($R268&lt;&gt;"","Critical","Warning"),IF($L268="","Critical",IF($N268="","Warning","Good")),IF($R268&lt;&gt;"","Critical","Warning"),IF($R268&lt;&gt;"","Critical","Warning"),IF($Q268="Y","Good","Critical")))</f>
        <v/>
      </c>
      <c r="AI268" s="65" t="str">
        <f aca="false">IF($Y268="","",CHOOSE($Y268,IF(OR(TRIM($F268)="",ISNUMBER(SEARCH("not named",$F268))),"Name a sponsor accountable for the value",""),IF($O268&lt;&gt;"Y","State the success metric and the stop condition",IF($Q268&lt;&gt;"Y","Set the baseline the benefit will be measured against","")),IF($P268="","Assess data readiness and regulatory impact",IF($P268="partial","Close the known data gaps",IF($P268="ready","","Data is not available; reshape or park"))),IF($R268&lt;&gt;"",IF(OR(ISNUMBER(SEARCH("mrm",$R268)),ISNUMBER(SEARCH("model",$R268)),ISNUMBER(SEARCH("risk",$R268)),ISNUMBER(SEARCH("legal",$R268)),ISNUMBER(SEARCH("complian",$R268))),"Awaiting ","Held at the design gate: ")&amp;$R268,"Map the governance framework for its tier"),IF($L268="","Size the annual benefit",IF($N268="","Score it so it can be ranked against capacity","")),IF($R268&lt;&gt;"","Build held: "&amp;$R268,"In build, not yet through test"),IF($R268&lt;&gt;"","Not ready to scale: "&amp;$R268,"Monitoring and third-party review not yet signed off"),IF($Q268="Y","","Live without a measured baseline to judge it against")))</f>
        <v/>
      </c>
      <c r="AJ268" s="65" t="str">
        <f aca="false">IF($Y268="","",INDEX(StageForum,$Y268))</f>
        <v/>
      </c>
      <c r="AK268" s="65" t="str">
        <f aca="false">IF($Y268="","",IF(OR($X268="Delivery",$X268="Value"),"Committed",IF($N268&lt;&gt;"","Candidate","")))</f>
        <v/>
      </c>
      <c r="AL268" s="65" t="str">
        <f aca="false">IF($AK268&lt;&gt;"Candidate","",COUNTIFS($AK$2:$AK$501,"Candidate",$N$2:$N$501,"&gt;"&amp;$N268)+COUNTIFS($AK$2:$AK$501,"Candidate",$N$2:$N$501,$N268,$A$2:$A$501,"&lt;"&amp;$A268)+1)</f>
        <v/>
      </c>
      <c r="AM268" s="65" t="str">
        <f aca="false">IF($AL268="","",SUMIFS($M$2:$M$501,$AK$2:$AK$501,"Candidate",$AL$2:$AL$501,"&lt;="&amp;$AL268))</f>
        <v/>
      </c>
      <c r="AN268" s="65" t="str">
        <f aca="false">IF($AL268="","",IF($AM268&lt;=CapacityOpen,"Fits","Below line"))</f>
        <v/>
      </c>
      <c r="AO268" s="65" t="str">
        <f aca="false">IF($A268="","",IF($X268="Closed","",IF($X268="Unmapped","Warning",IF(OR($AB268="Overdue",$V268="Y",$AH268="Critical"),"Critical",IF(OR($AB268="At risk",$AC268="Stale",$AG268="Over"),"Warning","")))))</f>
        <v/>
      </c>
      <c r="AP268" s="65" t="str">
        <f aca="false">IF($AO268="","",IF($AO268="Critical",3000,2000)-IF($Z268="",0,$Z268)+ROW()/100000)</f>
        <v/>
      </c>
      <c r="AQ268" s="65" t="str">
        <f aca="false">IF($AO268="","",IF($X268="Unmapped","Status '"&amp;$C268&amp;"' is not in the Config map",IF($V268="Y","Flagged in Jira",IF($AB268="Overdue",-$Z268&amp;" days past its "&amp;$X268&amp;" target",IF($AH268="Critical",$AI268,IF($AB268="At risk","Target in "&amp;$Z268&amp;" days",IF($AC268="Stale","No update in "&amp;$AA268&amp;" days","Past its "&amp;$AE268&amp;"-day tier window")))))))</f>
        <v/>
      </c>
      <c r="AR268" s="65" t="str">
        <f aca="false">IF($AO268="","","draft Jira update for "&amp;$A268)</f>
        <v/>
      </c>
      <c r="AS268" s="65" t="str">
        <f aca="false">IF($A268="","",HYPERLINK(JiraSite&amp;"/browse/"&amp;$A268,"open"))</f>
        <v/>
      </c>
      <c r="AT268" s="65" t="str">
        <f aca="false">IF($Y268="","",$Y268*1000+ROW())</f>
        <v/>
      </c>
      <c r="AU268" s="65" t="str">
        <f aca="false">IF(AND($A268&lt;&gt;"",$G268&gt;=WeekStart),$G268+ROW()/100000,"")</f>
        <v/>
      </c>
      <c r="AV268" s="65" t="str">
        <f aca="false">IF($A268="","",IF(OR(AND($S268&lt;&gt;"",$S268&gt;=WeekStart),AND($U268&lt;&gt;"",$U268&gt;=WeekStart)),MAX($S268,$U268)+ROW()/100000,""))</f>
        <v/>
      </c>
      <c r="AW268" s="65" t="str">
        <f aca="false">IF($AV268="","",IF($T268&lt;&gt;"",$T268,IF($X268="Closed","Closed","Accepted to "&amp;$X268)))</f>
        <v/>
      </c>
      <c r="AX268" s="65" t="str">
        <f aca="false">IF(AND($Y268&lt;&gt;"",$R268&lt;&gt;""),$AF268+ROW()/100000,"")</f>
        <v/>
      </c>
      <c r="AY268" s="65" t="str">
        <f aca="false">IF(AND($Y268&lt;&gt;"",OR($AB268="Overdue",AND($AH268="Critical",$R268&lt;&gt;""))),$AF268+ROW()/100000,"")</f>
        <v/>
      </c>
      <c r="AZ268" s="65" t="str">
        <f aca="false">IF($AH268="Critical",$AF268+ROW()/100000,"")</f>
        <v/>
      </c>
    </row>
    <row r="269" customFormat="false" ht="15" hidden="false" customHeight="false" outlineLevel="0" collapsed="false">
      <c r="A269" s="28"/>
      <c r="B269" s="28"/>
      <c r="C269" s="28"/>
      <c r="D269" s="28"/>
      <c r="E269" s="28"/>
      <c r="F269" s="28"/>
      <c r="G269" s="63"/>
      <c r="H269" s="63"/>
      <c r="I269" s="63"/>
      <c r="J269" s="28"/>
      <c r="K269" s="28"/>
      <c r="L269" s="28"/>
      <c r="M269" s="28"/>
      <c r="N269" s="28"/>
      <c r="O269" s="64"/>
      <c r="P269" s="64"/>
      <c r="Q269" s="64"/>
      <c r="R269" s="28"/>
      <c r="S269" s="63"/>
      <c r="T269" s="64"/>
      <c r="U269" s="63"/>
      <c r="V269" s="64"/>
      <c r="W269" s="28"/>
      <c r="X269" s="65" t="str">
        <f aca="false">IF($A269="","",IF(OR($T269&lt;&gt;"",$U269&lt;&gt;""),"Closed",IFERROR(INDEX(MapStage,MATCH($C269,MapStatus,0)),"Unmapped")))</f>
        <v/>
      </c>
      <c r="Y269" s="65" t="str">
        <f aca="false">IF(OR($X269="",$X269="Closed",$X269="Unmapped"),"",MATCH($X269,StageName,0))</f>
        <v/>
      </c>
      <c r="Z269" s="65" t="str">
        <f aca="false">IF(OR($Y269="",$I269=""),"",$I269-AsOf)</f>
        <v/>
      </c>
      <c r="AA269" s="65" t="str">
        <f aca="false">IF($A269="","",AsOf-$H269)</f>
        <v/>
      </c>
      <c r="AB269" s="65" t="str">
        <f aca="false">IF($A269="","",IF($X269="Closed","Closed",IF($X269="Unmapped","Unmapped",IF($I269="","No target",IF($Z269&lt;0,"Overdue",IF($Z269&lt;=INDEX(StageWindow,$Y269),"At risk","On track"))))))</f>
        <v/>
      </c>
      <c r="AC269" s="65" t="str">
        <f aca="false">IF($Y269="","",IF($AA269&gt;2*INDEX(StageStale,$Y269),"Stale",IF($AA269&gt;INDEX(StageStale,$Y269),"Aging","Fresh")))</f>
        <v/>
      </c>
      <c r="AD269" s="65" t="str">
        <f aca="false">IF($A269="","",IF(OR(ISNUMBER(SEARCH("Reg report",$J269)),ISNUMBER(SEARCH("No human review",$J269)),COUNTIF(TierFuncs,$D269)&gt;0),"High",IF(OR(TRIM($J269)&lt;&gt;"",ISNUMBER(SEARCH("revenue",$K269))),"Medium","Low")))</f>
        <v/>
      </c>
      <c r="AE269" s="65" t="str">
        <f aca="false">IF($A269="","",INDEX(TierDays,MATCH($AD269,TierName,0)))</f>
        <v/>
      </c>
      <c r="AF269" s="65" t="str">
        <f aca="false">IF($A269="","",AsOf-$G269)</f>
        <v/>
      </c>
      <c r="AG269" s="65" t="str">
        <f aca="false">IF($Y269="","",IF($Y269&lt;=5,IF($AF269&gt;$AE269,"Over","Inside"),"Past approval"))</f>
        <v/>
      </c>
      <c r="AH269" s="65" t="str">
        <f aca="false">IF($Y269="","",CHOOSE($Y269,IF(OR(TRIM($F269)="",ISNUMBER(SEARCH("not named",$F269))),"Critical","Good"),IF($O269&lt;&gt;"Y","Critical",IF($Q269&lt;&gt;"Y","Warning","Good")),IF($P269="","Critical",IF($P269="partial","Warning",IF($P269="ready","Good","Critical"))),IF($R269&lt;&gt;"","Critical","Warning"),IF($L269="","Critical",IF($N269="","Warning","Good")),IF($R269&lt;&gt;"","Critical","Warning"),IF($R269&lt;&gt;"","Critical","Warning"),IF($Q269="Y","Good","Critical")))</f>
        <v/>
      </c>
      <c r="AI269" s="65" t="str">
        <f aca="false">IF($Y269="","",CHOOSE($Y269,IF(OR(TRIM($F269)="",ISNUMBER(SEARCH("not named",$F269))),"Name a sponsor accountable for the value",""),IF($O269&lt;&gt;"Y","State the success metric and the stop condition",IF($Q269&lt;&gt;"Y","Set the baseline the benefit will be measured against","")),IF($P269="","Assess data readiness and regulatory impact",IF($P269="partial","Close the known data gaps",IF($P269="ready","","Data is not available; reshape or park"))),IF($R269&lt;&gt;"",IF(OR(ISNUMBER(SEARCH("mrm",$R269)),ISNUMBER(SEARCH("model",$R269)),ISNUMBER(SEARCH("risk",$R269)),ISNUMBER(SEARCH("legal",$R269)),ISNUMBER(SEARCH("complian",$R269))),"Awaiting ","Held at the design gate: ")&amp;$R269,"Map the governance framework for its tier"),IF($L269="","Size the annual benefit",IF($N269="","Score it so it can be ranked against capacity","")),IF($R269&lt;&gt;"","Build held: "&amp;$R269,"In build, not yet through test"),IF($R269&lt;&gt;"","Not ready to scale: "&amp;$R269,"Monitoring and third-party review not yet signed off"),IF($Q269="Y","","Live without a measured baseline to judge it against")))</f>
        <v/>
      </c>
      <c r="AJ269" s="65" t="str">
        <f aca="false">IF($Y269="","",INDEX(StageForum,$Y269))</f>
        <v/>
      </c>
      <c r="AK269" s="65" t="str">
        <f aca="false">IF($Y269="","",IF(OR($X269="Delivery",$X269="Value"),"Committed",IF($N269&lt;&gt;"","Candidate","")))</f>
        <v/>
      </c>
      <c r="AL269" s="65" t="str">
        <f aca="false">IF($AK269&lt;&gt;"Candidate","",COUNTIFS($AK$2:$AK$501,"Candidate",$N$2:$N$501,"&gt;"&amp;$N269)+COUNTIFS($AK$2:$AK$501,"Candidate",$N$2:$N$501,$N269,$A$2:$A$501,"&lt;"&amp;$A269)+1)</f>
        <v/>
      </c>
      <c r="AM269" s="65" t="str">
        <f aca="false">IF($AL269="","",SUMIFS($M$2:$M$501,$AK$2:$AK$501,"Candidate",$AL$2:$AL$501,"&lt;="&amp;$AL269))</f>
        <v/>
      </c>
      <c r="AN269" s="65" t="str">
        <f aca="false">IF($AL269="","",IF($AM269&lt;=CapacityOpen,"Fits","Below line"))</f>
        <v/>
      </c>
      <c r="AO269" s="65" t="str">
        <f aca="false">IF($A269="","",IF($X269="Closed","",IF($X269="Unmapped","Warning",IF(OR($AB269="Overdue",$V269="Y",$AH269="Critical"),"Critical",IF(OR($AB269="At risk",$AC269="Stale",$AG269="Over"),"Warning","")))))</f>
        <v/>
      </c>
      <c r="AP269" s="65" t="str">
        <f aca="false">IF($AO269="","",IF($AO269="Critical",3000,2000)-IF($Z269="",0,$Z269)+ROW()/100000)</f>
        <v/>
      </c>
      <c r="AQ269" s="65" t="str">
        <f aca="false">IF($AO269="","",IF($X269="Unmapped","Status '"&amp;$C269&amp;"' is not in the Config map",IF($V269="Y","Flagged in Jira",IF($AB269="Overdue",-$Z269&amp;" days past its "&amp;$X269&amp;" target",IF($AH269="Critical",$AI269,IF($AB269="At risk","Target in "&amp;$Z269&amp;" days",IF($AC269="Stale","No update in "&amp;$AA269&amp;" days","Past its "&amp;$AE269&amp;"-day tier window")))))))</f>
        <v/>
      </c>
      <c r="AR269" s="65" t="str">
        <f aca="false">IF($AO269="","","draft Jira update for "&amp;$A269)</f>
        <v/>
      </c>
      <c r="AS269" s="65" t="str">
        <f aca="false">IF($A269="","",HYPERLINK(JiraSite&amp;"/browse/"&amp;$A269,"open"))</f>
        <v/>
      </c>
      <c r="AT269" s="65" t="str">
        <f aca="false">IF($Y269="","",$Y269*1000+ROW())</f>
        <v/>
      </c>
      <c r="AU269" s="65" t="str">
        <f aca="false">IF(AND($A269&lt;&gt;"",$G269&gt;=WeekStart),$G269+ROW()/100000,"")</f>
        <v/>
      </c>
      <c r="AV269" s="65" t="str">
        <f aca="false">IF($A269="","",IF(OR(AND($S269&lt;&gt;"",$S269&gt;=WeekStart),AND($U269&lt;&gt;"",$U269&gt;=WeekStart)),MAX($S269,$U269)+ROW()/100000,""))</f>
        <v/>
      </c>
      <c r="AW269" s="65" t="str">
        <f aca="false">IF($AV269="","",IF($T269&lt;&gt;"",$T269,IF($X269="Closed","Closed","Accepted to "&amp;$X269)))</f>
        <v/>
      </c>
      <c r="AX269" s="65" t="str">
        <f aca="false">IF(AND($Y269&lt;&gt;"",$R269&lt;&gt;""),$AF269+ROW()/100000,"")</f>
        <v/>
      </c>
      <c r="AY269" s="65" t="str">
        <f aca="false">IF(AND($Y269&lt;&gt;"",OR($AB269="Overdue",AND($AH269="Critical",$R269&lt;&gt;""))),$AF269+ROW()/100000,"")</f>
        <v/>
      </c>
      <c r="AZ269" s="65" t="str">
        <f aca="false">IF($AH269="Critical",$AF269+ROW()/100000,"")</f>
        <v/>
      </c>
    </row>
    <row r="270" customFormat="false" ht="15" hidden="false" customHeight="false" outlineLevel="0" collapsed="false">
      <c r="A270" s="28"/>
      <c r="B270" s="28"/>
      <c r="C270" s="28"/>
      <c r="D270" s="28"/>
      <c r="E270" s="28"/>
      <c r="F270" s="28"/>
      <c r="G270" s="63"/>
      <c r="H270" s="63"/>
      <c r="I270" s="63"/>
      <c r="J270" s="28"/>
      <c r="K270" s="28"/>
      <c r="L270" s="28"/>
      <c r="M270" s="28"/>
      <c r="N270" s="28"/>
      <c r="O270" s="64"/>
      <c r="P270" s="64"/>
      <c r="Q270" s="64"/>
      <c r="R270" s="28"/>
      <c r="S270" s="63"/>
      <c r="T270" s="64"/>
      <c r="U270" s="63"/>
      <c r="V270" s="64"/>
      <c r="W270" s="28"/>
      <c r="X270" s="65" t="str">
        <f aca="false">IF($A270="","",IF(OR($T270&lt;&gt;"",$U270&lt;&gt;""),"Closed",IFERROR(INDEX(MapStage,MATCH($C270,MapStatus,0)),"Unmapped")))</f>
        <v/>
      </c>
      <c r="Y270" s="65" t="str">
        <f aca="false">IF(OR($X270="",$X270="Closed",$X270="Unmapped"),"",MATCH($X270,StageName,0))</f>
        <v/>
      </c>
      <c r="Z270" s="65" t="str">
        <f aca="false">IF(OR($Y270="",$I270=""),"",$I270-AsOf)</f>
        <v/>
      </c>
      <c r="AA270" s="65" t="str">
        <f aca="false">IF($A270="","",AsOf-$H270)</f>
        <v/>
      </c>
      <c r="AB270" s="65" t="str">
        <f aca="false">IF($A270="","",IF($X270="Closed","Closed",IF($X270="Unmapped","Unmapped",IF($I270="","No target",IF($Z270&lt;0,"Overdue",IF($Z270&lt;=INDEX(StageWindow,$Y270),"At risk","On track"))))))</f>
        <v/>
      </c>
      <c r="AC270" s="65" t="str">
        <f aca="false">IF($Y270="","",IF($AA270&gt;2*INDEX(StageStale,$Y270),"Stale",IF($AA270&gt;INDEX(StageStale,$Y270),"Aging","Fresh")))</f>
        <v/>
      </c>
      <c r="AD270" s="65" t="str">
        <f aca="false">IF($A270="","",IF(OR(ISNUMBER(SEARCH("Reg report",$J270)),ISNUMBER(SEARCH("No human review",$J270)),COUNTIF(TierFuncs,$D270)&gt;0),"High",IF(OR(TRIM($J270)&lt;&gt;"",ISNUMBER(SEARCH("revenue",$K270))),"Medium","Low")))</f>
        <v/>
      </c>
      <c r="AE270" s="65" t="str">
        <f aca="false">IF($A270="","",INDEX(TierDays,MATCH($AD270,TierName,0)))</f>
        <v/>
      </c>
      <c r="AF270" s="65" t="str">
        <f aca="false">IF($A270="","",AsOf-$G270)</f>
        <v/>
      </c>
      <c r="AG270" s="65" t="str">
        <f aca="false">IF($Y270="","",IF($Y270&lt;=5,IF($AF270&gt;$AE270,"Over","Inside"),"Past approval"))</f>
        <v/>
      </c>
      <c r="AH270" s="65" t="str">
        <f aca="false">IF($Y270="","",CHOOSE($Y270,IF(OR(TRIM($F270)="",ISNUMBER(SEARCH("not named",$F270))),"Critical","Good"),IF($O270&lt;&gt;"Y","Critical",IF($Q270&lt;&gt;"Y","Warning","Good")),IF($P270="","Critical",IF($P270="partial","Warning",IF($P270="ready","Good","Critical"))),IF($R270&lt;&gt;"","Critical","Warning"),IF($L270="","Critical",IF($N270="","Warning","Good")),IF($R270&lt;&gt;"","Critical","Warning"),IF($R270&lt;&gt;"","Critical","Warning"),IF($Q270="Y","Good","Critical")))</f>
        <v/>
      </c>
      <c r="AI270" s="65" t="str">
        <f aca="false">IF($Y270="","",CHOOSE($Y270,IF(OR(TRIM($F270)="",ISNUMBER(SEARCH("not named",$F270))),"Name a sponsor accountable for the value",""),IF($O270&lt;&gt;"Y","State the success metric and the stop condition",IF($Q270&lt;&gt;"Y","Set the baseline the benefit will be measured against","")),IF($P270="","Assess data readiness and regulatory impact",IF($P270="partial","Close the known data gaps",IF($P270="ready","","Data is not available; reshape or park"))),IF($R270&lt;&gt;"",IF(OR(ISNUMBER(SEARCH("mrm",$R270)),ISNUMBER(SEARCH("model",$R270)),ISNUMBER(SEARCH("risk",$R270)),ISNUMBER(SEARCH("legal",$R270)),ISNUMBER(SEARCH("complian",$R270))),"Awaiting ","Held at the design gate: ")&amp;$R270,"Map the governance framework for its tier"),IF($L270="","Size the annual benefit",IF($N270="","Score it so it can be ranked against capacity","")),IF($R270&lt;&gt;"","Build held: "&amp;$R270,"In build, not yet through test"),IF($R270&lt;&gt;"","Not ready to scale: "&amp;$R270,"Monitoring and third-party review not yet signed off"),IF($Q270="Y","","Live without a measured baseline to judge it against")))</f>
        <v/>
      </c>
      <c r="AJ270" s="65" t="str">
        <f aca="false">IF($Y270="","",INDEX(StageForum,$Y270))</f>
        <v/>
      </c>
      <c r="AK270" s="65" t="str">
        <f aca="false">IF($Y270="","",IF(OR($X270="Delivery",$X270="Value"),"Committed",IF($N270&lt;&gt;"","Candidate","")))</f>
        <v/>
      </c>
      <c r="AL270" s="65" t="str">
        <f aca="false">IF($AK270&lt;&gt;"Candidate","",COUNTIFS($AK$2:$AK$501,"Candidate",$N$2:$N$501,"&gt;"&amp;$N270)+COUNTIFS($AK$2:$AK$501,"Candidate",$N$2:$N$501,$N270,$A$2:$A$501,"&lt;"&amp;$A270)+1)</f>
        <v/>
      </c>
      <c r="AM270" s="65" t="str">
        <f aca="false">IF($AL270="","",SUMIFS($M$2:$M$501,$AK$2:$AK$501,"Candidate",$AL$2:$AL$501,"&lt;="&amp;$AL270))</f>
        <v/>
      </c>
      <c r="AN270" s="65" t="str">
        <f aca="false">IF($AL270="","",IF($AM270&lt;=CapacityOpen,"Fits","Below line"))</f>
        <v/>
      </c>
      <c r="AO270" s="65" t="str">
        <f aca="false">IF($A270="","",IF($X270="Closed","",IF($X270="Unmapped","Warning",IF(OR($AB270="Overdue",$V270="Y",$AH270="Critical"),"Critical",IF(OR($AB270="At risk",$AC270="Stale",$AG270="Over"),"Warning","")))))</f>
        <v/>
      </c>
      <c r="AP270" s="65" t="str">
        <f aca="false">IF($AO270="","",IF($AO270="Critical",3000,2000)-IF($Z270="",0,$Z270)+ROW()/100000)</f>
        <v/>
      </c>
      <c r="AQ270" s="65" t="str">
        <f aca="false">IF($AO270="","",IF($X270="Unmapped","Status '"&amp;$C270&amp;"' is not in the Config map",IF($V270="Y","Flagged in Jira",IF($AB270="Overdue",-$Z270&amp;" days past its "&amp;$X270&amp;" target",IF($AH270="Critical",$AI270,IF($AB270="At risk","Target in "&amp;$Z270&amp;" days",IF($AC270="Stale","No update in "&amp;$AA270&amp;" days","Past its "&amp;$AE270&amp;"-day tier window")))))))</f>
        <v/>
      </c>
      <c r="AR270" s="65" t="str">
        <f aca="false">IF($AO270="","","draft Jira update for "&amp;$A270)</f>
        <v/>
      </c>
      <c r="AS270" s="65" t="str">
        <f aca="false">IF($A270="","",HYPERLINK(JiraSite&amp;"/browse/"&amp;$A270,"open"))</f>
        <v/>
      </c>
      <c r="AT270" s="65" t="str">
        <f aca="false">IF($Y270="","",$Y270*1000+ROW())</f>
        <v/>
      </c>
      <c r="AU270" s="65" t="str">
        <f aca="false">IF(AND($A270&lt;&gt;"",$G270&gt;=WeekStart),$G270+ROW()/100000,"")</f>
        <v/>
      </c>
      <c r="AV270" s="65" t="str">
        <f aca="false">IF($A270="","",IF(OR(AND($S270&lt;&gt;"",$S270&gt;=WeekStart),AND($U270&lt;&gt;"",$U270&gt;=WeekStart)),MAX($S270,$U270)+ROW()/100000,""))</f>
        <v/>
      </c>
      <c r="AW270" s="65" t="str">
        <f aca="false">IF($AV270="","",IF($T270&lt;&gt;"",$T270,IF($X270="Closed","Closed","Accepted to "&amp;$X270)))</f>
        <v/>
      </c>
      <c r="AX270" s="65" t="str">
        <f aca="false">IF(AND($Y270&lt;&gt;"",$R270&lt;&gt;""),$AF270+ROW()/100000,"")</f>
        <v/>
      </c>
      <c r="AY270" s="65" t="str">
        <f aca="false">IF(AND($Y270&lt;&gt;"",OR($AB270="Overdue",AND($AH270="Critical",$R270&lt;&gt;""))),$AF270+ROW()/100000,"")</f>
        <v/>
      </c>
      <c r="AZ270" s="65" t="str">
        <f aca="false">IF($AH270="Critical",$AF270+ROW()/100000,"")</f>
        <v/>
      </c>
    </row>
    <row r="271" customFormat="false" ht="15" hidden="false" customHeight="false" outlineLevel="0" collapsed="false">
      <c r="A271" s="28"/>
      <c r="B271" s="28"/>
      <c r="C271" s="28"/>
      <c r="D271" s="28"/>
      <c r="E271" s="28"/>
      <c r="F271" s="28"/>
      <c r="G271" s="63"/>
      <c r="H271" s="63"/>
      <c r="I271" s="63"/>
      <c r="J271" s="28"/>
      <c r="K271" s="28"/>
      <c r="L271" s="28"/>
      <c r="M271" s="28"/>
      <c r="N271" s="28"/>
      <c r="O271" s="64"/>
      <c r="P271" s="64"/>
      <c r="Q271" s="64"/>
      <c r="R271" s="28"/>
      <c r="S271" s="63"/>
      <c r="T271" s="64"/>
      <c r="U271" s="63"/>
      <c r="V271" s="64"/>
      <c r="W271" s="28"/>
      <c r="X271" s="65" t="str">
        <f aca="false">IF($A271="","",IF(OR($T271&lt;&gt;"",$U271&lt;&gt;""),"Closed",IFERROR(INDEX(MapStage,MATCH($C271,MapStatus,0)),"Unmapped")))</f>
        <v/>
      </c>
      <c r="Y271" s="65" t="str">
        <f aca="false">IF(OR($X271="",$X271="Closed",$X271="Unmapped"),"",MATCH($X271,StageName,0))</f>
        <v/>
      </c>
      <c r="Z271" s="65" t="str">
        <f aca="false">IF(OR($Y271="",$I271=""),"",$I271-AsOf)</f>
        <v/>
      </c>
      <c r="AA271" s="65" t="str">
        <f aca="false">IF($A271="","",AsOf-$H271)</f>
        <v/>
      </c>
      <c r="AB271" s="65" t="str">
        <f aca="false">IF($A271="","",IF($X271="Closed","Closed",IF($X271="Unmapped","Unmapped",IF($I271="","No target",IF($Z271&lt;0,"Overdue",IF($Z271&lt;=INDEX(StageWindow,$Y271),"At risk","On track"))))))</f>
        <v/>
      </c>
      <c r="AC271" s="65" t="str">
        <f aca="false">IF($Y271="","",IF($AA271&gt;2*INDEX(StageStale,$Y271),"Stale",IF($AA271&gt;INDEX(StageStale,$Y271),"Aging","Fresh")))</f>
        <v/>
      </c>
      <c r="AD271" s="65" t="str">
        <f aca="false">IF($A271="","",IF(OR(ISNUMBER(SEARCH("Reg report",$J271)),ISNUMBER(SEARCH("No human review",$J271)),COUNTIF(TierFuncs,$D271)&gt;0),"High",IF(OR(TRIM($J271)&lt;&gt;"",ISNUMBER(SEARCH("revenue",$K271))),"Medium","Low")))</f>
        <v/>
      </c>
      <c r="AE271" s="65" t="str">
        <f aca="false">IF($A271="","",INDEX(TierDays,MATCH($AD271,TierName,0)))</f>
        <v/>
      </c>
      <c r="AF271" s="65" t="str">
        <f aca="false">IF($A271="","",AsOf-$G271)</f>
        <v/>
      </c>
      <c r="AG271" s="65" t="str">
        <f aca="false">IF($Y271="","",IF($Y271&lt;=5,IF($AF271&gt;$AE271,"Over","Inside"),"Past approval"))</f>
        <v/>
      </c>
      <c r="AH271" s="65" t="str">
        <f aca="false">IF($Y271="","",CHOOSE($Y271,IF(OR(TRIM($F271)="",ISNUMBER(SEARCH("not named",$F271))),"Critical","Good"),IF($O271&lt;&gt;"Y","Critical",IF($Q271&lt;&gt;"Y","Warning","Good")),IF($P271="","Critical",IF($P271="partial","Warning",IF($P271="ready","Good","Critical"))),IF($R271&lt;&gt;"","Critical","Warning"),IF($L271="","Critical",IF($N271="","Warning","Good")),IF($R271&lt;&gt;"","Critical","Warning"),IF($R271&lt;&gt;"","Critical","Warning"),IF($Q271="Y","Good","Critical")))</f>
        <v/>
      </c>
      <c r="AI271" s="65" t="str">
        <f aca="false">IF($Y271="","",CHOOSE($Y271,IF(OR(TRIM($F271)="",ISNUMBER(SEARCH("not named",$F271))),"Name a sponsor accountable for the value",""),IF($O271&lt;&gt;"Y","State the success metric and the stop condition",IF($Q271&lt;&gt;"Y","Set the baseline the benefit will be measured against","")),IF($P271="","Assess data readiness and regulatory impact",IF($P271="partial","Close the known data gaps",IF($P271="ready","","Data is not available; reshape or park"))),IF($R271&lt;&gt;"",IF(OR(ISNUMBER(SEARCH("mrm",$R271)),ISNUMBER(SEARCH("model",$R271)),ISNUMBER(SEARCH("risk",$R271)),ISNUMBER(SEARCH("legal",$R271)),ISNUMBER(SEARCH("complian",$R271))),"Awaiting ","Held at the design gate: ")&amp;$R271,"Map the governance framework for its tier"),IF($L271="","Size the annual benefit",IF($N271="","Score it so it can be ranked against capacity","")),IF($R271&lt;&gt;"","Build held: "&amp;$R271,"In build, not yet through test"),IF($R271&lt;&gt;"","Not ready to scale: "&amp;$R271,"Monitoring and third-party review not yet signed off"),IF($Q271="Y","","Live without a measured baseline to judge it against")))</f>
        <v/>
      </c>
      <c r="AJ271" s="65" t="str">
        <f aca="false">IF($Y271="","",INDEX(StageForum,$Y271))</f>
        <v/>
      </c>
      <c r="AK271" s="65" t="str">
        <f aca="false">IF($Y271="","",IF(OR($X271="Delivery",$X271="Value"),"Committed",IF($N271&lt;&gt;"","Candidate","")))</f>
        <v/>
      </c>
      <c r="AL271" s="65" t="str">
        <f aca="false">IF($AK271&lt;&gt;"Candidate","",COUNTIFS($AK$2:$AK$501,"Candidate",$N$2:$N$501,"&gt;"&amp;$N271)+COUNTIFS($AK$2:$AK$501,"Candidate",$N$2:$N$501,$N271,$A$2:$A$501,"&lt;"&amp;$A271)+1)</f>
        <v/>
      </c>
      <c r="AM271" s="65" t="str">
        <f aca="false">IF($AL271="","",SUMIFS($M$2:$M$501,$AK$2:$AK$501,"Candidate",$AL$2:$AL$501,"&lt;="&amp;$AL271))</f>
        <v/>
      </c>
      <c r="AN271" s="65" t="str">
        <f aca="false">IF($AL271="","",IF($AM271&lt;=CapacityOpen,"Fits","Below line"))</f>
        <v/>
      </c>
      <c r="AO271" s="65" t="str">
        <f aca="false">IF($A271="","",IF($X271="Closed","",IF($X271="Unmapped","Warning",IF(OR($AB271="Overdue",$V271="Y",$AH271="Critical"),"Critical",IF(OR($AB271="At risk",$AC271="Stale",$AG271="Over"),"Warning","")))))</f>
        <v/>
      </c>
      <c r="AP271" s="65" t="str">
        <f aca="false">IF($AO271="","",IF($AO271="Critical",3000,2000)-IF($Z271="",0,$Z271)+ROW()/100000)</f>
        <v/>
      </c>
      <c r="AQ271" s="65" t="str">
        <f aca="false">IF($AO271="","",IF($X271="Unmapped","Status '"&amp;$C271&amp;"' is not in the Config map",IF($V271="Y","Flagged in Jira",IF($AB271="Overdue",-$Z271&amp;" days past its "&amp;$X271&amp;" target",IF($AH271="Critical",$AI271,IF($AB271="At risk","Target in "&amp;$Z271&amp;" days",IF($AC271="Stale","No update in "&amp;$AA271&amp;" days","Past its "&amp;$AE271&amp;"-day tier window")))))))</f>
        <v/>
      </c>
      <c r="AR271" s="65" t="str">
        <f aca="false">IF($AO271="","","draft Jira update for "&amp;$A271)</f>
        <v/>
      </c>
      <c r="AS271" s="65" t="str">
        <f aca="false">IF($A271="","",HYPERLINK(JiraSite&amp;"/browse/"&amp;$A271,"open"))</f>
        <v/>
      </c>
      <c r="AT271" s="65" t="str">
        <f aca="false">IF($Y271="","",$Y271*1000+ROW())</f>
        <v/>
      </c>
      <c r="AU271" s="65" t="str">
        <f aca="false">IF(AND($A271&lt;&gt;"",$G271&gt;=WeekStart),$G271+ROW()/100000,"")</f>
        <v/>
      </c>
      <c r="AV271" s="65" t="str">
        <f aca="false">IF($A271="","",IF(OR(AND($S271&lt;&gt;"",$S271&gt;=WeekStart),AND($U271&lt;&gt;"",$U271&gt;=WeekStart)),MAX($S271,$U271)+ROW()/100000,""))</f>
        <v/>
      </c>
      <c r="AW271" s="65" t="str">
        <f aca="false">IF($AV271="","",IF($T271&lt;&gt;"",$T271,IF($X271="Closed","Closed","Accepted to "&amp;$X271)))</f>
        <v/>
      </c>
      <c r="AX271" s="65" t="str">
        <f aca="false">IF(AND($Y271&lt;&gt;"",$R271&lt;&gt;""),$AF271+ROW()/100000,"")</f>
        <v/>
      </c>
      <c r="AY271" s="65" t="str">
        <f aca="false">IF(AND($Y271&lt;&gt;"",OR($AB271="Overdue",AND($AH271="Critical",$R271&lt;&gt;""))),$AF271+ROW()/100000,"")</f>
        <v/>
      </c>
      <c r="AZ271" s="65" t="str">
        <f aca="false">IF($AH271="Critical",$AF271+ROW()/100000,"")</f>
        <v/>
      </c>
    </row>
    <row r="272" customFormat="false" ht="15" hidden="false" customHeight="false" outlineLevel="0" collapsed="false">
      <c r="A272" s="28"/>
      <c r="B272" s="28"/>
      <c r="C272" s="28"/>
      <c r="D272" s="28"/>
      <c r="E272" s="28"/>
      <c r="F272" s="28"/>
      <c r="G272" s="63"/>
      <c r="H272" s="63"/>
      <c r="I272" s="63"/>
      <c r="J272" s="28"/>
      <c r="K272" s="28"/>
      <c r="L272" s="28"/>
      <c r="M272" s="28"/>
      <c r="N272" s="28"/>
      <c r="O272" s="64"/>
      <c r="P272" s="64"/>
      <c r="Q272" s="64"/>
      <c r="R272" s="28"/>
      <c r="S272" s="63"/>
      <c r="T272" s="64"/>
      <c r="U272" s="63"/>
      <c r="V272" s="64"/>
      <c r="W272" s="28"/>
      <c r="X272" s="65" t="str">
        <f aca="false">IF($A272="","",IF(OR($T272&lt;&gt;"",$U272&lt;&gt;""),"Closed",IFERROR(INDEX(MapStage,MATCH($C272,MapStatus,0)),"Unmapped")))</f>
        <v/>
      </c>
      <c r="Y272" s="65" t="str">
        <f aca="false">IF(OR($X272="",$X272="Closed",$X272="Unmapped"),"",MATCH($X272,StageName,0))</f>
        <v/>
      </c>
      <c r="Z272" s="65" t="str">
        <f aca="false">IF(OR($Y272="",$I272=""),"",$I272-AsOf)</f>
        <v/>
      </c>
      <c r="AA272" s="65" t="str">
        <f aca="false">IF($A272="","",AsOf-$H272)</f>
        <v/>
      </c>
      <c r="AB272" s="65" t="str">
        <f aca="false">IF($A272="","",IF($X272="Closed","Closed",IF($X272="Unmapped","Unmapped",IF($I272="","No target",IF($Z272&lt;0,"Overdue",IF($Z272&lt;=INDEX(StageWindow,$Y272),"At risk","On track"))))))</f>
        <v/>
      </c>
      <c r="AC272" s="65" t="str">
        <f aca="false">IF($Y272="","",IF($AA272&gt;2*INDEX(StageStale,$Y272),"Stale",IF($AA272&gt;INDEX(StageStale,$Y272),"Aging","Fresh")))</f>
        <v/>
      </c>
      <c r="AD272" s="65" t="str">
        <f aca="false">IF($A272="","",IF(OR(ISNUMBER(SEARCH("Reg report",$J272)),ISNUMBER(SEARCH("No human review",$J272)),COUNTIF(TierFuncs,$D272)&gt;0),"High",IF(OR(TRIM($J272)&lt;&gt;"",ISNUMBER(SEARCH("revenue",$K272))),"Medium","Low")))</f>
        <v/>
      </c>
      <c r="AE272" s="65" t="str">
        <f aca="false">IF($A272="","",INDEX(TierDays,MATCH($AD272,TierName,0)))</f>
        <v/>
      </c>
      <c r="AF272" s="65" t="str">
        <f aca="false">IF($A272="","",AsOf-$G272)</f>
        <v/>
      </c>
      <c r="AG272" s="65" t="str">
        <f aca="false">IF($Y272="","",IF($Y272&lt;=5,IF($AF272&gt;$AE272,"Over","Inside"),"Past approval"))</f>
        <v/>
      </c>
      <c r="AH272" s="65" t="str">
        <f aca="false">IF($Y272="","",CHOOSE($Y272,IF(OR(TRIM($F272)="",ISNUMBER(SEARCH("not named",$F272))),"Critical","Good"),IF($O272&lt;&gt;"Y","Critical",IF($Q272&lt;&gt;"Y","Warning","Good")),IF($P272="","Critical",IF($P272="partial","Warning",IF($P272="ready","Good","Critical"))),IF($R272&lt;&gt;"","Critical","Warning"),IF($L272="","Critical",IF($N272="","Warning","Good")),IF($R272&lt;&gt;"","Critical","Warning"),IF($R272&lt;&gt;"","Critical","Warning"),IF($Q272="Y","Good","Critical")))</f>
        <v/>
      </c>
      <c r="AI272" s="65" t="str">
        <f aca="false">IF($Y272="","",CHOOSE($Y272,IF(OR(TRIM($F272)="",ISNUMBER(SEARCH("not named",$F272))),"Name a sponsor accountable for the value",""),IF($O272&lt;&gt;"Y","State the success metric and the stop condition",IF($Q272&lt;&gt;"Y","Set the baseline the benefit will be measured against","")),IF($P272="","Assess data readiness and regulatory impact",IF($P272="partial","Close the known data gaps",IF($P272="ready","","Data is not available; reshape or park"))),IF($R272&lt;&gt;"",IF(OR(ISNUMBER(SEARCH("mrm",$R272)),ISNUMBER(SEARCH("model",$R272)),ISNUMBER(SEARCH("risk",$R272)),ISNUMBER(SEARCH("legal",$R272)),ISNUMBER(SEARCH("complian",$R272))),"Awaiting ","Held at the design gate: ")&amp;$R272,"Map the governance framework for its tier"),IF($L272="","Size the annual benefit",IF($N272="","Score it so it can be ranked against capacity","")),IF($R272&lt;&gt;"","Build held: "&amp;$R272,"In build, not yet through test"),IF($R272&lt;&gt;"","Not ready to scale: "&amp;$R272,"Monitoring and third-party review not yet signed off"),IF($Q272="Y","","Live without a measured baseline to judge it against")))</f>
        <v/>
      </c>
      <c r="AJ272" s="65" t="str">
        <f aca="false">IF($Y272="","",INDEX(StageForum,$Y272))</f>
        <v/>
      </c>
      <c r="AK272" s="65" t="str">
        <f aca="false">IF($Y272="","",IF(OR($X272="Delivery",$X272="Value"),"Committed",IF($N272&lt;&gt;"","Candidate","")))</f>
        <v/>
      </c>
      <c r="AL272" s="65" t="str">
        <f aca="false">IF($AK272&lt;&gt;"Candidate","",COUNTIFS($AK$2:$AK$501,"Candidate",$N$2:$N$501,"&gt;"&amp;$N272)+COUNTIFS($AK$2:$AK$501,"Candidate",$N$2:$N$501,$N272,$A$2:$A$501,"&lt;"&amp;$A272)+1)</f>
        <v/>
      </c>
      <c r="AM272" s="65" t="str">
        <f aca="false">IF($AL272="","",SUMIFS($M$2:$M$501,$AK$2:$AK$501,"Candidate",$AL$2:$AL$501,"&lt;="&amp;$AL272))</f>
        <v/>
      </c>
      <c r="AN272" s="65" t="str">
        <f aca="false">IF($AL272="","",IF($AM272&lt;=CapacityOpen,"Fits","Below line"))</f>
        <v/>
      </c>
      <c r="AO272" s="65" t="str">
        <f aca="false">IF($A272="","",IF($X272="Closed","",IF($X272="Unmapped","Warning",IF(OR($AB272="Overdue",$V272="Y",$AH272="Critical"),"Critical",IF(OR($AB272="At risk",$AC272="Stale",$AG272="Over"),"Warning","")))))</f>
        <v/>
      </c>
      <c r="AP272" s="65" t="str">
        <f aca="false">IF($AO272="","",IF($AO272="Critical",3000,2000)-IF($Z272="",0,$Z272)+ROW()/100000)</f>
        <v/>
      </c>
      <c r="AQ272" s="65" t="str">
        <f aca="false">IF($AO272="","",IF($X272="Unmapped","Status '"&amp;$C272&amp;"' is not in the Config map",IF($V272="Y","Flagged in Jira",IF($AB272="Overdue",-$Z272&amp;" days past its "&amp;$X272&amp;" target",IF($AH272="Critical",$AI272,IF($AB272="At risk","Target in "&amp;$Z272&amp;" days",IF($AC272="Stale","No update in "&amp;$AA272&amp;" days","Past its "&amp;$AE272&amp;"-day tier window")))))))</f>
        <v/>
      </c>
      <c r="AR272" s="65" t="str">
        <f aca="false">IF($AO272="","","draft Jira update for "&amp;$A272)</f>
        <v/>
      </c>
      <c r="AS272" s="65" t="str">
        <f aca="false">IF($A272="","",HYPERLINK(JiraSite&amp;"/browse/"&amp;$A272,"open"))</f>
        <v/>
      </c>
      <c r="AT272" s="65" t="str">
        <f aca="false">IF($Y272="","",$Y272*1000+ROW())</f>
        <v/>
      </c>
      <c r="AU272" s="65" t="str">
        <f aca="false">IF(AND($A272&lt;&gt;"",$G272&gt;=WeekStart),$G272+ROW()/100000,"")</f>
        <v/>
      </c>
      <c r="AV272" s="65" t="str">
        <f aca="false">IF($A272="","",IF(OR(AND($S272&lt;&gt;"",$S272&gt;=WeekStart),AND($U272&lt;&gt;"",$U272&gt;=WeekStart)),MAX($S272,$U272)+ROW()/100000,""))</f>
        <v/>
      </c>
      <c r="AW272" s="65" t="str">
        <f aca="false">IF($AV272="","",IF($T272&lt;&gt;"",$T272,IF($X272="Closed","Closed","Accepted to "&amp;$X272)))</f>
        <v/>
      </c>
      <c r="AX272" s="65" t="str">
        <f aca="false">IF(AND($Y272&lt;&gt;"",$R272&lt;&gt;""),$AF272+ROW()/100000,"")</f>
        <v/>
      </c>
      <c r="AY272" s="65" t="str">
        <f aca="false">IF(AND($Y272&lt;&gt;"",OR($AB272="Overdue",AND($AH272="Critical",$R272&lt;&gt;""))),$AF272+ROW()/100000,"")</f>
        <v/>
      </c>
      <c r="AZ272" s="65" t="str">
        <f aca="false">IF($AH272="Critical",$AF272+ROW()/100000,"")</f>
        <v/>
      </c>
    </row>
    <row r="273" customFormat="false" ht="15" hidden="false" customHeight="false" outlineLevel="0" collapsed="false">
      <c r="A273" s="28"/>
      <c r="B273" s="28"/>
      <c r="C273" s="28"/>
      <c r="D273" s="28"/>
      <c r="E273" s="28"/>
      <c r="F273" s="28"/>
      <c r="G273" s="63"/>
      <c r="H273" s="63"/>
      <c r="I273" s="63"/>
      <c r="J273" s="28"/>
      <c r="K273" s="28"/>
      <c r="L273" s="28"/>
      <c r="M273" s="28"/>
      <c r="N273" s="28"/>
      <c r="O273" s="64"/>
      <c r="P273" s="64"/>
      <c r="Q273" s="64"/>
      <c r="R273" s="28"/>
      <c r="S273" s="63"/>
      <c r="T273" s="64"/>
      <c r="U273" s="63"/>
      <c r="V273" s="64"/>
      <c r="W273" s="28"/>
      <c r="X273" s="65" t="str">
        <f aca="false">IF($A273="","",IF(OR($T273&lt;&gt;"",$U273&lt;&gt;""),"Closed",IFERROR(INDEX(MapStage,MATCH($C273,MapStatus,0)),"Unmapped")))</f>
        <v/>
      </c>
      <c r="Y273" s="65" t="str">
        <f aca="false">IF(OR($X273="",$X273="Closed",$X273="Unmapped"),"",MATCH($X273,StageName,0))</f>
        <v/>
      </c>
      <c r="Z273" s="65" t="str">
        <f aca="false">IF(OR($Y273="",$I273=""),"",$I273-AsOf)</f>
        <v/>
      </c>
      <c r="AA273" s="65" t="str">
        <f aca="false">IF($A273="","",AsOf-$H273)</f>
        <v/>
      </c>
      <c r="AB273" s="65" t="str">
        <f aca="false">IF($A273="","",IF($X273="Closed","Closed",IF($X273="Unmapped","Unmapped",IF($I273="","No target",IF($Z273&lt;0,"Overdue",IF($Z273&lt;=INDEX(StageWindow,$Y273),"At risk","On track"))))))</f>
        <v/>
      </c>
      <c r="AC273" s="65" t="str">
        <f aca="false">IF($Y273="","",IF($AA273&gt;2*INDEX(StageStale,$Y273),"Stale",IF($AA273&gt;INDEX(StageStale,$Y273),"Aging","Fresh")))</f>
        <v/>
      </c>
      <c r="AD273" s="65" t="str">
        <f aca="false">IF($A273="","",IF(OR(ISNUMBER(SEARCH("Reg report",$J273)),ISNUMBER(SEARCH("No human review",$J273)),COUNTIF(TierFuncs,$D273)&gt;0),"High",IF(OR(TRIM($J273)&lt;&gt;"",ISNUMBER(SEARCH("revenue",$K273))),"Medium","Low")))</f>
        <v/>
      </c>
      <c r="AE273" s="65" t="str">
        <f aca="false">IF($A273="","",INDEX(TierDays,MATCH($AD273,TierName,0)))</f>
        <v/>
      </c>
      <c r="AF273" s="65" t="str">
        <f aca="false">IF($A273="","",AsOf-$G273)</f>
        <v/>
      </c>
      <c r="AG273" s="65" t="str">
        <f aca="false">IF($Y273="","",IF($Y273&lt;=5,IF($AF273&gt;$AE273,"Over","Inside"),"Past approval"))</f>
        <v/>
      </c>
      <c r="AH273" s="65" t="str">
        <f aca="false">IF($Y273="","",CHOOSE($Y273,IF(OR(TRIM($F273)="",ISNUMBER(SEARCH("not named",$F273))),"Critical","Good"),IF($O273&lt;&gt;"Y","Critical",IF($Q273&lt;&gt;"Y","Warning","Good")),IF($P273="","Critical",IF($P273="partial","Warning",IF($P273="ready","Good","Critical"))),IF($R273&lt;&gt;"","Critical","Warning"),IF($L273="","Critical",IF($N273="","Warning","Good")),IF($R273&lt;&gt;"","Critical","Warning"),IF($R273&lt;&gt;"","Critical","Warning"),IF($Q273="Y","Good","Critical")))</f>
        <v/>
      </c>
      <c r="AI273" s="65" t="str">
        <f aca="false">IF($Y273="","",CHOOSE($Y273,IF(OR(TRIM($F273)="",ISNUMBER(SEARCH("not named",$F273))),"Name a sponsor accountable for the value",""),IF($O273&lt;&gt;"Y","State the success metric and the stop condition",IF($Q273&lt;&gt;"Y","Set the baseline the benefit will be measured against","")),IF($P273="","Assess data readiness and regulatory impact",IF($P273="partial","Close the known data gaps",IF($P273="ready","","Data is not available; reshape or park"))),IF($R273&lt;&gt;"",IF(OR(ISNUMBER(SEARCH("mrm",$R273)),ISNUMBER(SEARCH("model",$R273)),ISNUMBER(SEARCH("risk",$R273)),ISNUMBER(SEARCH("legal",$R273)),ISNUMBER(SEARCH("complian",$R273))),"Awaiting ","Held at the design gate: ")&amp;$R273,"Map the governance framework for its tier"),IF($L273="","Size the annual benefit",IF($N273="","Score it so it can be ranked against capacity","")),IF($R273&lt;&gt;"","Build held: "&amp;$R273,"In build, not yet through test"),IF($R273&lt;&gt;"","Not ready to scale: "&amp;$R273,"Monitoring and third-party review not yet signed off"),IF($Q273="Y","","Live without a measured baseline to judge it against")))</f>
        <v/>
      </c>
      <c r="AJ273" s="65" t="str">
        <f aca="false">IF($Y273="","",INDEX(StageForum,$Y273))</f>
        <v/>
      </c>
      <c r="AK273" s="65" t="str">
        <f aca="false">IF($Y273="","",IF(OR($X273="Delivery",$X273="Value"),"Committed",IF($N273&lt;&gt;"","Candidate","")))</f>
        <v/>
      </c>
      <c r="AL273" s="65" t="str">
        <f aca="false">IF($AK273&lt;&gt;"Candidate","",COUNTIFS($AK$2:$AK$501,"Candidate",$N$2:$N$501,"&gt;"&amp;$N273)+COUNTIFS($AK$2:$AK$501,"Candidate",$N$2:$N$501,$N273,$A$2:$A$501,"&lt;"&amp;$A273)+1)</f>
        <v/>
      </c>
      <c r="AM273" s="65" t="str">
        <f aca="false">IF($AL273="","",SUMIFS($M$2:$M$501,$AK$2:$AK$501,"Candidate",$AL$2:$AL$501,"&lt;="&amp;$AL273))</f>
        <v/>
      </c>
      <c r="AN273" s="65" t="str">
        <f aca="false">IF($AL273="","",IF($AM273&lt;=CapacityOpen,"Fits","Below line"))</f>
        <v/>
      </c>
      <c r="AO273" s="65" t="str">
        <f aca="false">IF($A273="","",IF($X273="Closed","",IF($X273="Unmapped","Warning",IF(OR($AB273="Overdue",$V273="Y",$AH273="Critical"),"Critical",IF(OR($AB273="At risk",$AC273="Stale",$AG273="Over"),"Warning","")))))</f>
        <v/>
      </c>
      <c r="AP273" s="65" t="str">
        <f aca="false">IF($AO273="","",IF($AO273="Critical",3000,2000)-IF($Z273="",0,$Z273)+ROW()/100000)</f>
        <v/>
      </c>
      <c r="AQ273" s="65" t="str">
        <f aca="false">IF($AO273="","",IF($X273="Unmapped","Status '"&amp;$C273&amp;"' is not in the Config map",IF($V273="Y","Flagged in Jira",IF($AB273="Overdue",-$Z273&amp;" days past its "&amp;$X273&amp;" target",IF($AH273="Critical",$AI273,IF($AB273="At risk","Target in "&amp;$Z273&amp;" days",IF($AC273="Stale","No update in "&amp;$AA273&amp;" days","Past its "&amp;$AE273&amp;"-day tier window")))))))</f>
        <v/>
      </c>
      <c r="AR273" s="65" t="str">
        <f aca="false">IF($AO273="","","draft Jira update for "&amp;$A273)</f>
        <v/>
      </c>
      <c r="AS273" s="65" t="str">
        <f aca="false">IF($A273="","",HYPERLINK(JiraSite&amp;"/browse/"&amp;$A273,"open"))</f>
        <v/>
      </c>
      <c r="AT273" s="65" t="str">
        <f aca="false">IF($Y273="","",$Y273*1000+ROW())</f>
        <v/>
      </c>
      <c r="AU273" s="65" t="str">
        <f aca="false">IF(AND($A273&lt;&gt;"",$G273&gt;=WeekStart),$G273+ROW()/100000,"")</f>
        <v/>
      </c>
      <c r="AV273" s="65" t="str">
        <f aca="false">IF($A273="","",IF(OR(AND($S273&lt;&gt;"",$S273&gt;=WeekStart),AND($U273&lt;&gt;"",$U273&gt;=WeekStart)),MAX($S273,$U273)+ROW()/100000,""))</f>
        <v/>
      </c>
      <c r="AW273" s="65" t="str">
        <f aca="false">IF($AV273="","",IF($T273&lt;&gt;"",$T273,IF($X273="Closed","Closed","Accepted to "&amp;$X273)))</f>
        <v/>
      </c>
      <c r="AX273" s="65" t="str">
        <f aca="false">IF(AND($Y273&lt;&gt;"",$R273&lt;&gt;""),$AF273+ROW()/100000,"")</f>
        <v/>
      </c>
      <c r="AY273" s="65" t="str">
        <f aca="false">IF(AND($Y273&lt;&gt;"",OR($AB273="Overdue",AND($AH273="Critical",$R273&lt;&gt;""))),$AF273+ROW()/100000,"")</f>
        <v/>
      </c>
      <c r="AZ273" s="65" t="str">
        <f aca="false">IF($AH273="Critical",$AF273+ROW()/100000,"")</f>
        <v/>
      </c>
    </row>
    <row r="274" customFormat="false" ht="15" hidden="false" customHeight="false" outlineLevel="0" collapsed="false">
      <c r="A274" s="28"/>
      <c r="B274" s="28"/>
      <c r="C274" s="28"/>
      <c r="D274" s="28"/>
      <c r="E274" s="28"/>
      <c r="F274" s="28"/>
      <c r="G274" s="63"/>
      <c r="H274" s="63"/>
      <c r="I274" s="63"/>
      <c r="J274" s="28"/>
      <c r="K274" s="28"/>
      <c r="L274" s="28"/>
      <c r="M274" s="28"/>
      <c r="N274" s="28"/>
      <c r="O274" s="64"/>
      <c r="P274" s="64"/>
      <c r="Q274" s="64"/>
      <c r="R274" s="28"/>
      <c r="S274" s="63"/>
      <c r="T274" s="64"/>
      <c r="U274" s="63"/>
      <c r="V274" s="64"/>
      <c r="W274" s="28"/>
      <c r="X274" s="65" t="str">
        <f aca="false">IF($A274="","",IF(OR($T274&lt;&gt;"",$U274&lt;&gt;""),"Closed",IFERROR(INDEX(MapStage,MATCH($C274,MapStatus,0)),"Unmapped")))</f>
        <v/>
      </c>
      <c r="Y274" s="65" t="str">
        <f aca="false">IF(OR($X274="",$X274="Closed",$X274="Unmapped"),"",MATCH($X274,StageName,0))</f>
        <v/>
      </c>
      <c r="Z274" s="65" t="str">
        <f aca="false">IF(OR($Y274="",$I274=""),"",$I274-AsOf)</f>
        <v/>
      </c>
      <c r="AA274" s="65" t="str">
        <f aca="false">IF($A274="","",AsOf-$H274)</f>
        <v/>
      </c>
      <c r="AB274" s="65" t="str">
        <f aca="false">IF($A274="","",IF($X274="Closed","Closed",IF($X274="Unmapped","Unmapped",IF($I274="","No target",IF($Z274&lt;0,"Overdue",IF($Z274&lt;=INDEX(StageWindow,$Y274),"At risk","On track"))))))</f>
        <v/>
      </c>
      <c r="AC274" s="65" t="str">
        <f aca="false">IF($Y274="","",IF($AA274&gt;2*INDEX(StageStale,$Y274),"Stale",IF($AA274&gt;INDEX(StageStale,$Y274),"Aging","Fresh")))</f>
        <v/>
      </c>
      <c r="AD274" s="65" t="str">
        <f aca="false">IF($A274="","",IF(OR(ISNUMBER(SEARCH("Reg report",$J274)),ISNUMBER(SEARCH("No human review",$J274)),COUNTIF(TierFuncs,$D274)&gt;0),"High",IF(OR(TRIM($J274)&lt;&gt;"",ISNUMBER(SEARCH("revenue",$K274))),"Medium","Low")))</f>
        <v/>
      </c>
      <c r="AE274" s="65" t="str">
        <f aca="false">IF($A274="","",INDEX(TierDays,MATCH($AD274,TierName,0)))</f>
        <v/>
      </c>
      <c r="AF274" s="65" t="str">
        <f aca="false">IF($A274="","",AsOf-$G274)</f>
        <v/>
      </c>
      <c r="AG274" s="65" t="str">
        <f aca="false">IF($Y274="","",IF($Y274&lt;=5,IF($AF274&gt;$AE274,"Over","Inside"),"Past approval"))</f>
        <v/>
      </c>
      <c r="AH274" s="65" t="str">
        <f aca="false">IF($Y274="","",CHOOSE($Y274,IF(OR(TRIM($F274)="",ISNUMBER(SEARCH("not named",$F274))),"Critical","Good"),IF($O274&lt;&gt;"Y","Critical",IF($Q274&lt;&gt;"Y","Warning","Good")),IF($P274="","Critical",IF($P274="partial","Warning",IF($P274="ready","Good","Critical"))),IF($R274&lt;&gt;"","Critical","Warning"),IF($L274="","Critical",IF($N274="","Warning","Good")),IF($R274&lt;&gt;"","Critical","Warning"),IF($R274&lt;&gt;"","Critical","Warning"),IF($Q274="Y","Good","Critical")))</f>
        <v/>
      </c>
      <c r="AI274" s="65" t="str">
        <f aca="false">IF($Y274="","",CHOOSE($Y274,IF(OR(TRIM($F274)="",ISNUMBER(SEARCH("not named",$F274))),"Name a sponsor accountable for the value",""),IF($O274&lt;&gt;"Y","State the success metric and the stop condition",IF($Q274&lt;&gt;"Y","Set the baseline the benefit will be measured against","")),IF($P274="","Assess data readiness and regulatory impact",IF($P274="partial","Close the known data gaps",IF($P274="ready","","Data is not available; reshape or park"))),IF($R274&lt;&gt;"",IF(OR(ISNUMBER(SEARCH("mrm",$R274)),ISNUMBER(SEARCH("model",$R274)),ISNUMBER(SEARCH("risk",$R274)),ISNUMBER(SEARCH("legal",$R274)),ISNUMBER(SEARCH("complian",$R274))),"Awaiting ","Held at the design gate: ")&amp;$R274,"Map the governance framework for its tier"),IF($L274="","Size the annual benefit",IF($N274="","Score it so it can be ranked against capacity","")),IF($R274&lt;&gt;"","Build held: "&amp;$R274,"In build, not yet through test"),IF($R274&lt;&gt;"","Not ready to scale: "&amp;$R274,"Monitoring and third-party review not yet signed off"),IF($Q274="Y","","Live without a measured baseline to judge it against")))</f>
        <v/>
      </c>
      <c r="AJ274" s="65" t="str">
        <f aca="false">IF($Y274="","",INDEX(StageForum,$Y274))</f>
        <v/>
      </c>
      <c r="AK274" s="65" t="str">
        <f aca="false">IF($Y274="","",IF(OR($X274="Delivery",$X274="Value"),"Committed",IF($N274&lt;&gt;"","Candidate","")))</f>
        <v/>
      </c>
      <c r="AL274" s="65" t="str">
        <f aca="false">IF($AK274&lt;&gt;"Candidate","",COUNTIFS($AK$2:$AK$501,"Candidate",$N$2:$N$501,"&gt;"&amp;$N274)+COUNTIFS($AK$2:$AK$501,"Candidate",$N$2:$N$501,$N274,$A$2:$A$501,"&lt;"&amp;$A274)+1)</f>
        <v/>
      </c>
      <c r="AM274" s="65" t="str">
        <f aca="false">IF($AL274="","",SUMIFS($M$2:$M$501,$AK$2:$AK$501,"Candidate",$AL$2:$AL$501,"&lt;="&amp;$AL274))</f>
        <v/>
      </c>
      <c r="AN274" s="65" t="str">
        <f aca="false">IF($AL274="","",IF($AM274&lt;=CapacityOpen,"Fits","Below line"))</f>
        <v/>
      </c>
      <c r="AO274" s="65" t="str">
        <f aca="false">IF($A274="","",IF($X274="Closed","",IF($X274="Unmapped","Warning",IF(OR($AB274="Overdue",$V274="Y",$AH274="Critical"),"Critical",IF(OR($AB274="At risk",$AC274="Stale",$AG274="Over"),"Warning","")))))</f>
        <v/>
      </c>
      <c r="AP274" s="65" t="str">
        <f aca="false">IF($AO274="","",IF($AO274="Critical",3000,2000)-IF($Z274="",0,$Z274)+ROW()/100000)</f>
        <v/>
      </c>
      <c r="AQ274" s="65" t="str">
        <f aca="false">IF($AO274="","",IF($X274="Unmapped","Status '"&amp;$C274&amp;"' is not in the Config map",IF($V274="Y","Flagged in Jira",IF($AB274="Overdue",-$Z274&amp;" days past its "&amp;$X274&amp;" target",IF($AH274="Critical",$AI274,IF($AB274="At risk","Target in "&amp;$Z274&amp;" days",IF($AC274="Stale","No update in "&amp;$AA274&amp;" days","Past its "&amp;$AE274&amp;"-day tier window")))))))</f>
        <v/>
      </c>
      <c r="AR274" s="65" t="str">
        <f aca="false">IF($AO274="","","draft Jira update for "&amp;$A274)</f>
        <v/>
      </c>
      <c r="AS274" s="65" t="str">
        <f aca="false">IF($A274="","",HYPERLINK(JiraSite&amp;"/browse/"&amp;$A274,"open"))</f>
        <v/>
      </c>
      <c r="AT274" s="65" t="str">
        <f aca="false">IF($Y274="","",$Y274*1000+ROW())</f>
        <v/>
      </c>
      <c r="AU274" s="65" t="str">
        <f aca="false">IF(AND($A274&lt;&gt;"",$G274&gt;=WeekStart),$G274+ROW()/100000,"")</f>
        <v/>
      </c>
      <c r="AV274" s="65" t="str">
        <f aca="false">IF($A274="","",IF(OR(AND($S274&lt;&gt;"",$S274&gt;=WeekStart),AND($U274&lt;&gt;"",$U274&gt;=WeekStart)),MAX($S274,$U274)+ROW()/100000,""))</f>
        <v/>
      </c>
      <c r="AW274" s="65" t="str">
        <f aca="false">IF($AV274="","",IF($T274&lt;&gt;"",$T274,IF($X274="Closed","Closed","Accepted to "&amp;$X274)))</f>
        <v/>
      </c>
      <c r="AX274" s="65" t="str">
        <f aca="false">IF(AND($Y274&lt;&gt;"",$R274&lt;&gt;""),$AF274+ROW()/100000,"")</f>
        <v/>
      </c>
      <c r="AY274" s="65" t="str">
        <f aca="false">IF(AND($Y274&lt;&gt;"",OR($AB274="Overdue",AND($AH274="Critical",$R274&lt;&gt;""))),$AF274+ROW()/100000,"")</f>
        <v/>
      </c>
      <c r="AZ274" s="65" t="str">
        <f aca="false">IF($AH274="Critical",$AF274+ROW()/100000,"")</f>
        <v/>
      </c>
    </row>
    <row r="275" customFormat="false" ht="15" hidden="false" customHeight="false" outlineLevel="0" collapsed="false">
      <c r="A275" s="28"/>
      <c r="B275" s="28"/>
      <c r="C275" s="28"/>
      <c r="D275" s="28"/>
      <c r="E275" s="28"/>
      <c r="F275" s="28"/>
      <c r="G275" s="63"/>
      <c r="H275" s="63"/>
      <c r="I275" s="63"/>
      <c r="J275" s="28"/>
      <c r="K275" s="28"/>
      <c r="L275" s="28"/>
      <c r="M275" s="28"/>
      <c r="N275" s="28"/>
      <c r="O275" s="64"/>
      <c r="P275" s="64"/>
      <c r="Q275" s="64"/>
      <c r="R275" s="28"/>
      <c r="S275" s="63"/>
      <c r="T275" s="64"/>
      <c r="U275" s="63"/>
      <c r="V275" s="64"/>
      <c r="W275" s="28"/>
      <c r="X275" s="65" t="str">
        <f aca="false">IF($A275="","",IF(OR($T275&lt;&gt;"",$U275&lt;&gt;""),"Closed",IFERROR(INDEX(MapStage,MATCH($C275,MapStatus,0)),"Unmapped")))</f>
        <v/>
      </c>
      <c r="Y275" s="65" t="str">
        <f aca="false">IF(OR($X275="",$X275="Closed",$X275="Unmapped"),"",MATCH($X275,StageName,0))</f>
        <v/>
      </c>
      <c r="Z275" s="65" t="str">
        <f aca="false">IF(OR($Y275="",$I275=""),"",$I275-AsOf)</f>
        <v/>
      </c>
      <c r="AA275" s="65" t="str">
        <f aca="false">IF($A275="","",AsOf-$H275)</f>
        <v/>
      </c>
      <c r="AB275" s="65" t="str">
        <f aca="false">IF($A275="","",IF($X275="Closed","Closed",IF($X275="Unmapped","Unmapped",IF($I275="","No target",IF($Z275&lt;0,"Overdue",IF($Z275&lt;=INDEX(StageWindow,$Y275),"At risk","On track"))))))</f>
        <v/>
      </c>
      <c r="AC275" s="65" t="str">
        <f aca="false">IF($Y275="","",IF($AA275&gt;2*INDEX(StageStale,$Y275),"Stale",IF($AA275&gt;INDEX(StageStale,$Y275),"Aging","Fresh")))</f>
        <v/>
      </c>
      <c r="AD275" s="65" t="str">
        <f aca="false">IF($A275="","",IF(OR(ISNUMBER(SEARCH("Reg report",$J275)),ISNUMBER(SEARCH("No human review",$J275)),COUNTIF(TierFuncs,$D275)&gt;0),"High",IF(OR(TRIM($J275)&lt;&gt;"",ISNUMBER(SEARCH("revenue",$K275))),"Medium","Low")))</f>
        <v/>
      </c>
      <c r="AE275" s="65" t="str">
        <f aca="false">IF($A275="","",INDEX(TierDays,MATCH($AD275,TierName,0)))</f>
        <v/>
      </c>
      <c r="AF275" s="65" t="str">
        <f aca="false">IF($A275="","",AsOf-$G275)</f>
        <v/>
      </c>
      <c r="AG275" s="65" t="str">
        <f aca="false">IF($Y275="","",IF($Y275&lt;=5,IF($AF275&gt;$AE275,"Over","Inside"),"Past approval"))</f>
        <v/>
      </c>
      <c r="AH275" s="65" t="str">
        <f aca="false">IF($Y275="","",CHOOSE($Y275,IF(OR(TRIM($F275)="",ISNUMBER(SEARCH("not named",$F275))),"Critical","Good"),IF($O275&lt;&gt;"Y","Critical",IF($Q275&lt;&gt;"Y","Warning","Good")),IF($P275="","Critical",IF($P275="partial","Warning",IF($P275="ready","Good","Critical"))),IF($R275&lt;&gt;"","Critical","Warning"),IF($L275="","Critical",IF($N275="","Warning","Good")),IF($R275&lt;&gt;"","Critical","Warning"),IF($R275&lt;&gt;"","Critical","Warning"),IF($Q275="Y","Good","Critical")))</f>
        <v/>
      </c>
      <c r="AI275" s="65" t="str">
        <f aca="false">IF($Y275="","",CHOOSE($Y275,IF(OR(TRIM($F275)="",ISNUMBER(SEARCH("not named",$F275))),"Name a sponsor accountable for the value",""),IF($O275&lt;&gt;"Y","State the success metric and the stop condition",IF($Q275&lt;&gt;"Y","Set the baseline the benefit will be measured against","")),IF($P275="","Assess data readiness and regulatory impact",IF($P275="partial","Close the known data gaps",IF($P275="ready","","Data is not available; reshape or park"))),IF($R275&lt;&gt;"",IF(OR(ISNUMBER(SEARCH("mrm",$R275)),ISNUMBER(SEARCH("model",$R275)),ISNUMBER(SEARCH("risk",$R275)),ISNUMBER(SEARCH("legal",$R275)),ISNUMBER(SEARCH("complian",$R275))),"Awaiting ","Held at the design gate: ")&amp;$R275,"Map the governance framework for its tier"),IF($L275="","Size the annual benefit",IF($N275="","Score it so it can be ranked against capacity","")),IF($R275&lt;&gt;"","Build held: "&amp;$R275,"In build, not yet through test"),IF($R275&lt;&gt;"","Not ready to scale: "&amp;$R275,"Monitoring and third-party review not yet signed off"),IF($Q275="Y","","Live without a measured baseline to judge it against")))</f>
        <v/>
      </c>
      <c r="AJ275" s="65" t="str">
        <f aca="false">IF($Y275="","",INDEX(StageForum,$Y275))</f>
        <v/>
      </c>
      <c r="AK275" s="65" t="str">
        <f aca="false">IF($Y275="","",IF(OR($X275="Delivery",$X275="Value"),"Committed",IF($N275&lt;&gt;"","Candidate","")))</f>
        <v/>
      </c>
      <c r="AL275" s="65" t="str">
        <f aca="false">IF($AK275&lt;&gt;"Candidate","",COUNTIFS($AK$2:$AK$501,"Candidate",$N$2:$N$501,"&gt;"&amp;$N275)+COUNTIFS($AK$2:$AK$501,"Candidate",$N$2:$N$501,$N275,$A$2:$A$501,"&lt;"&amp;$A275)+1)</f>
        <v/>
      </c>
      <c r="AM275" s="65" t="str">
        <f aca="false">IF($AL275="","",SUMIFS($M$2:$M$501,$AK$2:$AK$501,"Candidate",$AL$2:$AL$501,"&lt;="&amp;$AL275))</f>
        <v/>
      </c>
      <c r="AN275" s="65" t="str">
        <f aca="false">IF($AL275="","",IF($AM275&lt;=CapacityOpen,"Fits","Below line"))</f>
        <v/>
      </c>
      <c r="AO275" s="65" t="str">
        <f aca="false">IF($A275="","",IF($X275="Closed","",IF($X275="Unmapped","Warning",IF(OR($AB275="Overdue",$V275="Y",$AH275="Critical"),"Critical",IF(OR($AB275="At risk",$AC275="Stale",$AG275="Over"),"Warning","")))))</f>
        <v/>
      </c>
      <c r="AP275" s="65" t="str">
        <f aca="false">IF($AO275="","",IF($AO275="Critical",3000,2000)-IF($Z275="",0,$Z275)+ROW()/100000)</f>
        <v/>
      </c>
      <c r="AQ275" s="65" t="str">
        <f aca="false">IF($AO275="","",IF($X275="Unmapped","Status '"&amp;$C275&amp;"' is not in the Config map",IF($V275="Y","Flagged in Jira",IF($AB275="Overdue",-$Z275&amp;" days past its "&amp;$X275&amp;" target",IF($AH275="Critical",$AI275,IF($AB275="At risk","Target in "&amp;$Z275&amp;" days",IF($AC275="Stale","No update in "&amp;$AA275&amp;" days","Past its "&amp;$AE275&amp;"-day tier window")))))))</f>
        <v/>
      </c>
      <c r="AR275" s="65" t="str">
        <f aca="false">IF($AO275="","","draft Jira update for "&amp;$A275)</f>
        <v/>
      </c>
      <c r="AS275" s="65" t="str">
        <f aca="false">IF($A275="","",HYPERLINK(JiraSite&amp;"/browse/"&amp;$A275,"open"))</f>
        <v/>
      </c>
      <c r="AT275" s="65" t="str">
        <f aca="false">IF($Y275="","",$Y275*1000+ROW())</f>
        <v/>
      </c>
      <c r="AU275" s="65" t="str">
        <f aca="false">IF(AND($A275&lt;&gt;"",$G275&gt;=WeekStart),$G275+ROW()/100000,"")</f>
        <v/>
      </c>
      <c r="AV275" s="65" t="str">
        <f aca="false">IF($A275="","",IF(OR(AND($S275&lt;&gt;"",$S275&gt;=WeekStart),AND($U275&lt;&gt;"",$U275&gt;=WeekStart)),MAX($S275,$U275)+ROW()/100000,""))</f>
        <v/>
      </c>
      <c r="AW275" s="65" t="str">
        <f aca="false">IF($AV275="","",IF($T275&lt;&gt;"",$T275,IF($X275="Closed","Closed","Accepted to "&amp;$X275)))</f>
        <v/>
      </c>
      <c r="AX275" s="65" t="str">
        <f aca="false">IF(AND($Y275&lt;&gt;"",$R275&lt;&gt;""),$AF275+ROW()/100000,"")</f>
        <v/>
      </c>
      <c r="AY275" s="65" t="str">
        <f aca="false">IF(AND($Y275&lt;&gt;"",OR($AB275="Overdue",AND($AH275="Critical",$R275&lt;&gt;""))),$AF275+ROW()/100000,"")</f>
        <v/>
      </c>
      <c r="AZ275" s="65" t="str">
        <f aca="false">IF($AH275="Critical",$AF275+ROW()/100000,"")</f>
        <v/>
      </c>
    </row>
    <row r="276" customFormat="false" ht="15" hidden="false" customHeight="false" outlineLevel="0" collapsed="false">
      <c r="A276" s="28"/>
      <c r="B276" s="28"/>
      <c r="C276" s="28"/>
      <c r="D276" s="28"/>
      <c r="E276" s="28"/>
      <c r="F276" s="28"/>
      <c r="G276" s="63"/>
      <c r="H276" s="63"/>
      <c r="I276" s="63"/>
      <c r="J276" s="28"/>
      <c r="K276" s="28"/>
      <c r="L276" s="28"/>
      <c r="M276" s="28"/>
      <c r="N276" s="28"/>
      <c r="O276" s="64"/>
      <c r="P276" s="64"/>
      <c r="Q276" s="64"/>
      <c r="R276" s="28"/>
      <c r="S276" s="63"/>
      <c r="T276" s="64"/>
      <c r="U276" s="63"/>
      <c r="V276" s="64"/>
      <c r="W276" s="28"/>
      <c r="X276" s="65" t="str">
        <f aca="false">IF($A276="","",IF(OR($T276&lt;&gt;"",$U276&lt;&gt;""),"Closed",IFERROR(INDEX(MapStage,MATCH($C276,MapStatus,0)),"Unmapped")))</f>
        <v/>
      </c>
      <c r="Y276" s="65" t="str">
        <f aca="false">IF(OR($X276="",$X276="Closed",$X276="Unmapped"),"",MATCH($X276,StageName,0))</f>
        <v/>
      </c>
      <c r="Z276" s="65" t="str">
        <f aca="false">IF(OR($Y276="",$I276=""),"",$I276-AsOf)</f>
        <v/>
      </c>
      <c r="AA276" s="65" t="str">
        <f aca="false">IF($A276="","",AsOf-$H276)</f>
        <v/>
      </c>
      <c r="AB276" s="65" t="str">
        <f aca="false">IF($A276="","",IF($X276="Closed","Closed",IF($X276="Unmapped","Unmapped",IF($I276="","No target",IF($Z276&lt;0,"Overdue",IF($Z276&lt;=INDEX(StageWindow,$Y276),"At risk","On track"))))))</f>
        <v/>
      </c>
      <c r="AC276" s="65" t="str">
        <f aca="false">IF($Y276="","",IF($AA276&gt;2*INDEX(StageStale,$Y276),"Stale",IF($AA276&gt;INDEX(StageStale,$Y276),"Aging","Fresh")))</f>
        <v/>
      </c>
      <c r="AD276" s="65" t="str">
        <f aca="false">IF($A276="","",IF(OR(ISNUMBER(SEARCH("Reg report",$J276)),ISNUMBER(SEARCH("No human review",$J276)),COUNTIF(TierFuncs,$D276)&gt;0),"High",IF(OR(TRIM($J276)&lt;&gt;"",ISNUMBER(SEARCH("revenue",$K276))),"Medium","Low")))</f>
        <v/>
      </c>
      <c r="AE276" s="65" t="str">
        <f aca="false">IF($A276="","",INDEX(TierDays,MATCH($AD276,TierName,0)))</f>
        <v/>
      </c>
      <c r="AF276" s="65" t="str">
        <f aca="false">IF($A276="","",AsOf-$G276)</f>
        <v/>
      </c>
      <c r="AG276" s="65" t="str">
        <f aca="false">IF($Y276="","",IF($Y276&lt;=5,IF($AF276&gt;$AE276,"Over","Inside"),"Past approval"))</f>
        <v/>
      </c>
      <c r="AH276" s="65" t="str">
        <f aca="false">IF($Y276="","",CHOOSE($Y276,IF(OR(TRIM($F276)="",ISNUMBER(SEARCH("not named",$F276))),"Critical","Good"),IF($O276&lt;&gt;"Y","Critical",IF($Q276&lt;&gt;"Y","Warning","Good")),IF($P276="","Critical",IF($P276="partial","Warning",IF($P276="ready","Good","Critical"))),IF($R276&lt;&gt;"","Critical","Warning"),IF($L276="","Critical",IF($N276="","Warning","Good")),IF($R276&lt;&gt;"","Critical","Warning"),IF($R276&lt;&gt;"","Critical","Warning"),IF($Q276="Y","Good","Critical")))</f>
        <v/>
      </c>
      <c r="AI276" s="65" t="str">
        <f aca="false">IF($Y276="","",CHOOSE($Y276,IF(OR(TRIM($F276)="",ISNUMBER(SEARCH("not named",$F276))),"Name a sponsor accountable for the value",""),IF($O276&lt;&gt;"Y","State the success metric and the stop condition",IF($Q276&lt;&gt;"Y","Set the baseline the benefit will be measured against","")),IF($P276="","Assess data readiness and regulatory impact",IF($P276="partial","Close the known data gaps",IF($P276="ready","","Data is not available; reshape or park"))),IF($R276&lt;&gt;"",IF(OR(ISNUMBER(SEARCH("mrm",$R276)),ISNUMBER(SEARCH("model",$R276)),ISNUMBER(SEARCH("risk",$R276)),ISNUMBER(SEARCH("legal",$R276)),ISNUMBER(SEARCH("complian",$R276))),"Awaiting ","Held at the design gate: ")&amp;$R276,"Map the governance framework for its tier"),IF($L276="","Size the annual benefit",IF($N276="","Score it so it can be ranked against capacity","")),IF($R276&lt;&gt;"","Build held: "&amp;$R276,"In build, not yet through test"),IF($R276&lt;&gt;"","Not ready to scale: "&amp;$R276,"Monitoring and third-party review not yet signed off"),IF($Q276="Y","","Live without a measured baseline to judge it against")))</f>
        <v/>
      </c>
      <c r="AJ276" s="65" t="str">
        <f aca="false">IF($Y276="","",INDEX(StageForum,$Y276))</f>
        <v/>
      </c>
      <c r="AK276" s="65" t="str">
        <f aca="false">IF($Y276="","",IF(OR($X276="Delivery",$X276="Value"),"Committed",IF($N276&lt;&gt;"","Candidate","")))</f>
        <v/>
      </c>
      <c r="AL276" s="65" t="str">
        <f aca="false">IF($AK276&lt;&gt;"Candidate","",COUNTIFS($AK$2:$AK$501,"Candidate",$N$2:$N$501,"&gt;"&amp;$N276)+COUNTIFS($AK$2:$AK$501,"Candidate",$N$2:$N$501,$N276,$A$2:$A$501,"&lt;"&amp;$A276)+1)</f>
        <v/>
      </c>
      <c r="AM276" s="65" t="str">
        <f aca="false">IF($AL276="","",SUMIFS($M$2:$M$501,$AK$2:$AK$501,"Candidate",$AL$2:$AL$501,"&lt;="&amp;$AL276))</f>
        <v/>
      </c>
      <c r="AN276" s="65" t="str">
        <f aca="false">IF($AL276="","",IF($AM276&lt;=CapacityOpen,"Fits","Below line"))</f>
        <v/>
      </c>
      <c r="AO276" s="65" t="str">
        <f aca="false">IF($A276="","",IF($X276="Closed","",IF($X276="Unmapped","Warning",IF(OR($AB276="Overdue",$V276="Y",$AH276="Critical"),"Critical",IF(OR($AB276="At risk",$AC276="Stale",$AG276="Over"),"Warning","")))))</f>
        <v/>
      </c>
      <c r="AP276" s="65" t="str">
        <f aca="false">IF($AO276="","",IF($AO276="Critical",3000,2000)-IF($Z276="",0,$Z276)+ROW()/100000)</f>
        <v/>
      </c>
      <c r="AQ276" s="65" t="str">
        <f aca="false">IF($AO276="","",IF($X276="Unmapped","Status '"&amp;$C276&amp;"' is not in the Config map",IF($V276="Y","Flagged in Jira",IF($AB276="Overdue",-$Z276&amp;" days past its "&amp;$X276&amp;" target",IF($AH276="Critical",$AI276,IF($AB276="At risk","Target in "&amp;$Z276&amp;" days",IF($AC276="Stale","No update in "&amp;$AA276&amp;" days","Past its "&amp;$AE276&amp;"-day tier window")))))))</f>
        <v/>
      </c>
      <c r="AR276" s="65" t="str">
        <f aca="false">IF($AO276="","","draft Jira update for "&amp;$A276)</f>
        <v/>
      </c>
      <c r="AS276" s="65" t="str">
        <f aca="false">IF($A276="","",HYPERLINK(JiraSite&amp;"/browse/"&amp;$A276,"open"))</f>
        <v/>
      </c>
      <c r="AT276" s="65" t="str">
        <f aca="false">IF($Y276="","",$Y276*1000+ROW())</f>
        <v/>
      </c>
      <c r="AU276" s="65" t="str">
        <f aca="false">IF(AND($A276&lt;&gt;"",$G276&gt;=WeekStart),$G276+ROW()/100000,"")</f>
        <v/>
      </c>
      <c r="AV276" s="65" t="str">
        <f aca="false">IF($A276="","",IF(OR(AND($S276&lt;&gt;"",$S276&gt;=WeekStart),AND($U276&lt;&gt;"",$U276&gt;=WeekStart)),MAX($S276,$U276)+ROW()/100000,""))</f>
        <v/>
      </c>
      <c r="AW276" s="65" t="str">
        <f aca="false">IF($AV276="","",IF($T276&lt;&gt;"",$T276,IF($X276="Closed","Closed","Accepted to "&amp;$X276)))</f>
        <v/>
      </c>
      <c r="AX276" s="65" t="str">
        <f aca="false">IF(AND($Y276&lt;&gt;"",$R276&lt;&gt;""),$AF276+ROW()/100000,"")</f>
        <v/>
      </c>
      <c r="AY276" s="65" t="str">
        <f aca="false">IF(AND($Y276&lt;&gt;"",OR($AB276="Overdue",AND($AH276="Critical",$R276&lt;&gt;""))),$AF276+ROW()/100000,"")</f>
        <v/>
      </c>
      <c r="AZ276" s="65" t="str">
        <f aca="false">IF($AH276="Critical",$AF276+ROW()/100000,"")</f>
        <v/>
      </c>
    </row>
    <row r="277" customFormat="false" ht="15" hidden="false" customHeight="false" outlineLevel="0" collapsed="false">
      <c r="A277" s="28"/>
      <c r="B277" s="28"/>
      <c r="C277" s="28"/>
      <c r="D277" s="28"/>
      <c r="E277" s="28"/>
      <c r="F277" s="28"/>
      <c r="G277" s="63"/>
      <c r="H277" s="63"/>
      <c r="I277" s="63"/>
      <c r="J277" s="28"/>
      <c r="K277" s="28"/>
      <c r="L277" s="28"/>
      <c r="M277" s="28"/>
      <c r="N277" s="28"/>
      <c r="O277" s="64"/>
      <c r="P277" s="64"/>
      <c r="Q277" s="64"/>
      <c r="R277" s="28"/>
      <c r="S277" s="63"/>
      <c r="T277" s="64"/>
      <c r="U277" s="63"/>
      <c r="V277" s="64"/>
      <c r="W277" s="28"/>
      <c r="X277" s="65" t="str">
        <f aca="false">IF($A277="","",IF(OR($T277&lt;&gt;"",$U277&lt;&gt;""),"Closed",IFERROR(INDEX(MapStage,MATCH($C277,MapStatus,0)),"Unmapped")))</f>
        <v/>
      </c>
      <c r="Y277" s="65" t="str">
        <f aca="false">IF(OR($X277="",$X277="Closed",$X277="Unmapped"),"",MATCH($X277,StageName,0))</f>
        <v/>
      </c>
      <c r="Z277" s="65" t="str">
        <f aca="false">IF(OR($Y277="",$I277=""),"",$I277-AsOf)</f>
        <v/>
      </c>
      <c r="AA277" s="65" t="str">
        <f aca="false">IF($A277="","",AsOf-$H277)</f>
        <v/>
      </c>
      <c r="AB277" s="65" t="str">
        <f aca="false">IF($A277="","",IF($X277="Closed","Closed",IF($X277="Unmapped","Unmapped",IF($I277="","No target",IF($Z277&lt;0,"Overdue",IF($Z277&lt;=INDEX(StageWindow,$Y277),"At risk","On track"))))))</f>
        <v/>
      </c>
      <c r="AC277" s="65" t="str">
        <f aca="false">IF($Y277="","",IF($AA277&gt;2*INDEX(StageStale,$Y277),"Stale",IF($AA277&gt;INDEX(StageStale,$Y277),"Aging","Fresh")))</f>
        <v/>
      </c>
      <c r="AD277" s="65" t="str">
        <f aca="false">IF($A277="","",IF(OR(ISNUMBER(SEARCH("Reg report",$J277)),ISNUMBER(SEARCH("No human review",$J277)),COUNTIF(TierFuncs,$D277)&gt;0),"High",IF(OR(TRIM($J277)&lt;&gt;"",ISNUMBER(SEARCH("revenue",$K277))),"Medium","Low")))</f>
        <v/>
      </c>
      <c r="AE277" s="65" t="str">
        <f aca="false">IF($A277="","",INDEX(TierDays,MATCH($AD277,TierName,0)))</f>
        <v/>
      </c>
      <c r="AF277" s="65" t="str">
        <f aca="false">IF($A277="","",AsOf-$G277)</f>
        <v/>
      </c>
      <c r="AG277" s="65" t="str">
        <f aca="false">IF($Y277="","",IF($Y277&lt;=5,IF($AF277&gt;$AE277,"Over","Inside"),"Past approval"))</f>
        <v/>
      </c>
      <c r="AH277" s="65" t="str">
        <f aca="false">IF($Y277="","",CHOOSE($Y277,IF(OR(TRIM($F277)="",ISNUMBER(SEARCH("not named",$F277))),"Critical","Good"),IF($O277&lt;&gt;"Y","Critical",IF($Q277&lt;&gt;"Y","Warning","Good")),IF($P277="","Critical",IF($P277="partial","Warning",IF($P277="ready","Good","Critical"))),IF($R277&lt;&gt;"","Critical","Warning"),IF($L277="","Critical",IF($N277="","Warning","Good")),IF($R277&lt;&gt;"","Critical","Warning"),IF($R277&lt;&gt;"","Critical","Warning"),IF($Q277="Y","Good","Critical")))</f>
        <v/>
      </c>
      <c r="AI277" s="65" t="str">
        <f aca="false">IF($Y277="","",CHOOSE($Y277,IF(OR(TRIM($F277)="",ISNUMBER(SEARCH("not named",$F277))),"Name a sponsor accountable for the value",""),IF($O277&lt;&gt;"Y","State the success metric and the stop condition",IF($Q277&lt;&gt;"Y","Set the baseline the benefit will be measured against","")),IF($P277="","Assess data readiness and regulatory impact",IF($P277="partial","Close the known data gaps",IF($P277="ready","","Data is not available; reshape or park"))),IF($R277&lt;&gt;"",IF(OR(ISNUMBER(SEARCH("mrm",$R277)),ISNUMBER(SEARCH("model",$R277)),ISNUMBER(SEARCH("risk",$R277)),ISNUMBER(SEARCH("legal",$R277)),ISNUMBER(SEARCH("complian",$R277))),"Awaiting ","Held at the design gate: ")&amp;$R277,"Map the governance framework for its tier"),IF($L277="","Size the annual benefit",IF($N277="","Score it so it can be ranked against capacity","")),IF($R277&lt;&gt;"","Build held: "&amp;$R277,"In build, not yet through test"),IF($R277&lt;&gt;"","Not ready to scale: "&amp;$R277,"Monitoring and third-party review not yet signed off"),IF($Q277="Y","","Live without a measured baseline to judge it against")))</f>
        <v/>
      </c>
      <c r="AJ277" s="65" t="str">
        <f aca="false">IF($Y277="","",INDEX(StageForum,$Y277))</f>
        <v/>
      </c>
      <c r="AK277" s="65" t="str">
        <f aca="false">IF($Y277="","",IF(OR($X277="Delivery",$X277="Value"),"Committed",IF($N277&lt;&gt;"","Candidate","")))</f>
        <v/>
      </c>
      <c r="AL277" s="65" t="str">
        <f aca="false">IF($AK277&lt;&gt;"Candidate","",COUNTIFS($AK$2:$AK$501,"Candidate",$N$2:$N$501,"&gt;"&amp;$N277)+COUNTIFS($AK$2:$AK$501,"Candidate",$N$2:$N$501,$N277,$A$2:$A$501,"&lt;"&amp;$A277)+1)</f>
        <v/>
      </c>
      <c r="AM277" s="65" t="str">
        <f aca="false">IF($AL277="","",SUMIFS($M$2:$M$501,$AK$2:$AK$501,"Candidate",$AL$2:$AL$501,"&lt;="&amp;$AL277))</f>
        <v/>
      </c>
      <c r="AN277" s="65" t="str">
        <f aca="false">IF($AL277="","",IF($AM277&lt;=CapacityOpen,"Fits","Below line"))</f>
        <v/>
      </c>
      <c r="AO277" s="65" t="str">
        <f aca="false">IF($A277="","",IF($X277="Closed","",IF($X277="Unmapped","Warning",IF(OR($AB277="Overdue",$V277="Y",$AH277="Critical"),"Critical",IF(OR($AB277="At risk",$AC277="Stale",$AG277="Over"),"Warning","")))))</f>
        <v/>
      </c>
      <c r="AP277" s="65" t="str">
        <f aca="false">IF($AO277="","",IF($AO277="Critical",3000,2000)-IF($Z277="",0,$Z277)+ROW()/100000)</f>
        <v/>
      </c>
      <c r="AQ277" s="65" t="str">
        <f aca="false">IF($AO277="","",IF($X277="Unmapped","Status '"&amp;$C277&amp;"' is not in the Config map",IF($V277="Y","Flagged in Jira",IF($AB277="Overdue",-$Z277&amp;" days past its "&amp;$X277&amp;" target",IF($AH277="Critical",$AI277,IF($AB277="At risk","Target in "&amp;$Z277&amp;" days",IF($AC277="Stale","No update in "&amp;$AA277&amp;" days","Past its "&amp;$AE277&amp;"-day tier window")))))))</f>
        <v/>
      </c>
      <c r="AR277" s="65" t="str">
        <f aca="false">IF($AO277="","","draft Jira update for "&amp;$A277)</f>
        <v/>
      </c>
      <c r="AS277" s="65" t="str">
        <f aca="false">IF($A277="","",HYPERLINK(JiraSite&amp;"/browse/"&amp;$A277,"open"))</f>
        <v/>
      </c>
      <c r="AT277" s="65" t="str">
        <f aca="false">IF($Y277="","",$Y277*1000+ROW())</f>
        <v/>
      </c>
      <c r="AU277" s="65" t="str">
        <f aca="false">IF(AND($A277&lt;&gt;"",$G277&gt;=WeekStart),$G277+ROW()/100000,"")</f>
        <v/>
      </c>
      <c r="AV277" s="65" t="str">
        <f aca="false">IF($A277="","",IF(OR(AND($S277&lt;&gt;"",$S277&gt;=WeekStart),AND($U277&lt;&gt;"",$U277&gt;=WeekStart)),MAX($S277,$U277)+ROW()/100000,""))</f>
        <v/>
      </c>
      <c r="AW277" s="65" t="str">
        <f aca="false">IF($AV277="","",IF($T277&lt;&gt;"",$T277,IF($X277="Closed","Closed","Accepted to "&amp;$X277)))</f>
        <v/>
      </c>
      <c r="AX277" s="65" t="str">
        <f aca="false">IF(AND($Y277&lt;&gt;"",$R277&lt;&gt;""),$AF277+ROW()/100000,"")</f>
        <v/>
      </c>
      <c r="AY277" s="65" t="str">
        <f aca="false">IF(AND($Y277&lt;&gt;"",OR($AB277="Overdue",AND($AH277="Critical",$R277&lt;&gt;""))),$AF277+ROW()/100000,"")</f>
        <v/>
      </c>
      <c r="AZ277" s="65" t="str">
        <f aca="false">IF($AH277="Critical",$AF277+ROW()/100000,"")</f>
        <v/>
      </c>
    </row>
    <row r="278" customFormat="false" ht="15" hidden="false" customHeight="false" outlineLevel="0" collapsed="false">
      <c r="A278" s="28"/>
      <c r="B278" s="28"/>
      <c r="C278" s="28"/>
      <c r="D278" s="28"/>
      <c r="E278" s="28"/>
      <c r="F278" s="28"/>
      <c r="G278" s="63"/>
      <c r="H278" s="63"/>
      <c r="I278" s="63"/>
      <c r="J278" s="28"/>
      <c r="K278" s="28"/>
      <c r="L278" s="28"/>
      <c r="M278" s="28"/>
      <c r="N278" s="28"/>
      <c r="O278" s="64"/>
      <c r="P278" s="64"/>
      <c r="Q278" s="64"/>
      <c r="R278" s="28"/>
      <c r="S278" s="63"/>
      <c r="T278" s="64"/>
      <c r="U278" s="63"/>
      <c r="V278" s="64"/>
      <c r="W278" s="28"/>
      <c r="X278" s="65" t="str">
        <f aca="false">IF($A278="","",IF(OR($T278&lt;&gt;"",$U278&lt;&gt;""),"Closed",IFERROR(INDEX(MapStage,MATCH($C278,MapStatus,0)),"Unmapped")))</f>
        <v/>
      </c>
      <c r="Y278" s="65" t="str">
        <f aca="false">IF(OR($X278="",$X278="Closed",$X278="Unmapped"),"",MATCH($X278,StageName,0))</f>
        <v/>
      </c>
      <c r="Z278" s="65" t="str">
        <f aca="false">IF(OR($Y278="",$I278=""),"",$I278-AsOf)</f>
        <v/>
      </c>
      <c r="AA278" s="65" t="str">
        <f aca="false">IF($A278="","",AsOf-$H278)</f>
        <v/>
      </c>
      <c r="AB278" s="65" t="str">
        <f aca="false">IF($A278="","",IF($X278="Closed","Closed",IF($X278="Unmapped","Unmapped",IF($I278="","No target",IF($Z278&lt;0,"Overdue",IF($Z278&lt;=INDEX(StageWindow,$Y278),"At risk","On track"))))))</f>
        <v/>
      </c>
      <c r="AC278" s="65" t="str">
        <f aca="false">IF($Y278="","",IF($AA278&gt;2*INDEX(StageStale,$Y278),"Stale",IF($AA278&gt;INDEX(StageStale,$Y278),"Aging","Fresh")))</f>
        <v/>
      </c>
      <c r="AD278" s="65" t="str">
        <f aca="false">IF($A278="","",IF(OR(ISNUMBER(SEARCH("Reg report",$J278)),ISNUMBER(SEARCH("No human review",$J278)),COUNTIF(TierFuncs,$D278)&gt;0),"High",IF(OR(TRIM($J278)&lt;&gt;"",ISNUMBER(SEARCH("revenue",$K278))),"Medium","Low")))</f>
        <v/>
      </c>
      <c r="AE278" s="65" t="str">
        <f aca="false">IF($A278="","",INDEX(TierDays,MATCH($AD278,TierName,0)))</f>
        <v/>
      </c>
      <c r="AF278" s="65" t="str">
        <f aca="false">IF($A278="","",AsOf-$G278)</f>
        <v/>
      </c>
      <c r="AG278" s="65" t="str">
        <f aca="false">IF($Y278="","",IF($Y278&lt;=5,IF($AF278&gt;$AE278,"Over","Inside"),"Past approval"))</f>
        <v/>
      </c>
      <c r="AH278" s="65" t="str">
        <f aca="false">IF($Y278="","",CHOOSE($Y278,IF(OR(TRIM($F278)="",ISNUMBER(SEARCH("not named",$F278))),"Critical","Good"),IF($O278&lt;&gt;"Y","Critical",IF($Q278&lt;&gt;"Y","Warning","Good")),IF($P278="","Critical",IF($P278="partial","Warning",IF($P278="ready","Good","Critical"))),IF($R278&lt;&gt;"","Critical","Warning"),IF($L278="","Critical",IF($N278="","Warning","Good")),IF($R278&lt;&gt;"","Critical","Warning"),IF($R278&lt;&gt;"","Critical","Warning"),IF($Q278="Y","Good","Critical")))</f>
        <v/>
      </c>
      <c r="AI278" s="65" t="str">
        <f aca="false">IF($Y278="","",CHOOSE($Y278,IF(OR(TRIM($F278)="",ISNUMBER(SEARCH("not named",$F278))),"Name a sponsor accountable for the value",""),IF($O278&lt;&gt;"Y","State the success metric and the stop condition",IF($Q278&lt;&gt;"Y","Set the baseline the benefit will be measured against","")),IF($P278="","Assess data readiness and regulatory impact",IF($P278="partial","Close the known data gaps",IF($P278="ready","","Data is not available; reshape or park"))),IF($R278&lt;&gt;"",IF(OR(ISNUMBER(SEARCH("mrm",$R278)),ISNUMBER(SEARCH("model",$R278)),ISNUMBER(SEARCH("risk",$R278)),ISNUMBER(SEARCH("legal",$R278)),ISNUMBER(SEARCH("complian",$R278))),"Awaiting ","Held at the design gate: ")&amp;$R278,"Map the governance framework for its tier"),IF($L278="","Size the annual benefit",IF($N278="","Score it so it can be ranked against capacity","")),IF($R278&lt;&gt;"","Build held: "&amp;$R278,"In build, not yet through test"),IF($R278&lt;&gt;"","Not ready to scale: "&amp;$R278,"Monitoring and third-party review not yet signed off"),IF($Q278="Y","","Live without a measured baseline to judge it against")))</f>
        <v/>
      </c>
      <c r="AJ278" s="65" t="str">
        <f aca="false">IF($Y278="","",INDEX(StageForum,$Y278))</f>
        <v/>
      </c>
      <c r="AK278" s="65" t="str">
        <f aca="false">IF($Y278="","",IF(OR($X278="Delivery",$X278="Value"),"Committed",IF($N278&lt;&gt;"","Candidate","")))</f>
        <v/>
      </c>
      <c r="AL278" s="65" t="str">
        <f aca="false">IF($AK278&lt;&gt;"Candidate","",COUNTIFS($AK$2:$AK$501,"Candidate",$N$2:$N$501,"&gt;"&amp;$N278)+COUNTIFS($AK$2:$AK$501,"Candidate",$N$2:$N$501,$N278,$A$2:$A$501,"&lt;"&amp;$A278)+1)</f>
        <v/>
      </c>
      <c r="AM278" s="65" t="str">
        <f aca="false">IF($AL278="","",SUMIFS($M$2:$M$501,$AK$2:$AK$501,"Candidate",$AL$2:$AL$501,"&lt;="&amp;$AL278))</f>
        <v/>
      </c>
      <c r="AN278" s="65" t="str">
        <f aca="false">IF($AL278="","",IF($AM278&lt;=CapacityOpen,"Fits","Below line"))</f>
        <v/>
      </c>
      <c r="AO278" s="65" t="str">
        <f aca="false">IF($A278="","",IF($X278="Closed","",IF($X278="Unmapped","Warning",IF(OR($AB278="Overdue",$V278="Y",$AH278="Critical"),"Critical",IF(OR($AB278="At risk",$AC278="Stale",$AG278="Over"),"Warning","")))))</f>
        <v/>
      </c>
      <c r="AP278" s="65" t="str">
        <f aca="false">IF($AO278="","",IF($AO278="Critical",3000,2000)-IF($Z278="",0,$Z278)+ROW()/100000)</f>
        <v/>
      </c>
      <c r="AQ278" s="65" t="str">
        <f aca="false">IF($AO278="","",IF($X278="Unmapped","Status '"&amp;$C278&amp;"' is not in the Config map",IF($V278="Y","Flagged in Jira",IF($AB278="Overdue",-$Z278&amp;" days past its "&amp;$X278&amp;" target",IF($AH278="Critical",$AI278,IF($AB278="At risk","Target in "&amp;$Z278&amp;" days",IF($AC278="Stale","No update in "&amp;$AA278&amp;" days","Past its "&amp;$AE278&amp;"-day tier window")))))))</f>
        <v/>
      </c>
      <c r="AR278" s="65" t="str">
        <f aca="false">IF($AO278="","","draft Jira update for "&amp;$A278)</f>
        <v/>
      </c>
      <c r="AS278" s="65" t="str">
        <f aca="false">IF($A278="","",HYPERLINK(JiraSite&amp;"/browse/"&amp;$A278,"open"))</f>
        <v/>
      </c>
      <c r="AT278" s="65" t="str">
        <f aca="false">IF($Y278="","",$Y278*1000+ROW())</f>
        <v/>
      </c>
      <c r="AU278" s="65" t="str">
        <f aca="false">IF(AND($A278&lt;&gt;"",$G278&gt;=WeekStart),$G278+ROW()/100000,"")</f>
        <v/>
      </c>
      <c r="AV278" s="65" t="str">
        <f aca="false">IF($A278="","",IF(OR(AND($S278&lt;&gt;"",$S278&gt;=WeekStart),AND($U278&lt;&gt;"",$U278&gt;=WeekStart)),MAX($S278,$U278)+ROW()/100000,""))</f>
        <v/>
      </c>
      <c r="AW278" s="65" t="str">
        <f aca="false">IF($AV278="","",IF($T278&lt;&gt;"",$T278,IF($X278="Closed","Closed","Accepted to "&amp;$X278)))</f>
        <v/>
      </c>
      <c r="AX278" s="65" t="str">
        <f aca="false">IF(AND($Y278&lt;&gt;"",$R278&lt;&gt;""),$AF278+ROW()/100000,"")</f>
        <v/>
      </c>
      <c r="AY278" s="65" t="str">
        <f aca="false">IF(AND($Y278&lt;&gt;"",OR($AB278="Overdue",AND($AH278="Critical",$R278&lt;&gt;""))),$AF278+ROW()/100000,"")</f>
        <v/>
      </c>
      <c r="AZ278" s="65" t="str">
        <f aca="false">IF($AH278="Critical",$AF278+ROW()/100000,"")</f>
        <v/>
      </c>
    </row>
    <row r="279" customFormat="false" ht="15" hidden="false" customHeight="false" outlineLevel="0" collapsed="false">
      <c r="A279" s="28"/>
      <c r="B279" s="28"/>
      <c r="C279" s="28"/>
      <c r="D279" s="28"/>
      <c r="E279" s="28"/>
      <c r="F279" s="28"/>
      <c r="G279" s="63"/>
      <c r="H279" s="63"/>
      <c r="I279" s="63"/>
      <c r="J279" s="28"/>
      <c r="K279" s="28"/>
      <c r="L279" s="28"/>
      <c r="M279" s="28"/>
      <c r="N279" s="28"/>
      <c r="O279" s="64"/>
      <c r="P279" s="64"/>
      <c r="Q279" s="64"/>
      <c r="R279" s="28"/>
      <c r="S279" s="63"/>
      <c r="T279" s="64"/>
      <c r="U279" s="63"/>
      <c r="V279" s="64"/>
      <c r="W279" s="28"/>
      <c r="X279" s="65" t="str">
        <f aca="false">IF($A279="","",IF(OR($T279&lt;&gt;"",$U279&lt;&gt;""),"Closed",IFERROR(INDEX(MapStage,MATCH($C279,MapStatus,0)),"Unmapped")))</f>
        <v/>
      </c>
      <c r="Y279" s="65" t="str">
        <f aca="false">IF(OR($X279="",$X279="Closed",$X279="Unmapped"),"",MATCH($X279,StageName,0))</f>
        <v/>
      </c>
      <c r="Z279" s="65" t="str">
        <f aca="false">IF(OR($Y279="",$I279=""),"",$I279-AsOf)</f>
        <v/>
      </c>
      <c r="AA279" s="65" t="str">
        <f aca="false">IF($A279="","",AsOf-$H279)</f>
        <v/>
      </c>
      <c r="AB279" s="65" t="str">
        <f aca="false">IF($A279="","",IF($X279="Closed","Closed",IF($X279="Unmapped","Unmapped",IF($I279="","No target",IF($Z279&lt;0,"Overdue",IF($Z279&lt;=INDEX(StageWindow,$Y279),"At risk","On track"))))))</f>
        <v/>
      </c>
      <c r="AC279" s="65" t="str">
        <f aca="false">IF($Y279="","",IF($AA279&gt;2*INDEX(StageStale,$Y279),"Stale",IF($AA279&gt;INDEX(StageStale,$Y279),"Aging","Fresh")))</f>
        <v/>
      </c>
      <c r="AD279" s="65" t="str">
        <f aca="false">IF($A279="","",IF(OR(ISNUMBER(SEARCH("Reg report",$J279)),ISNUMBER(SEARCH("No human review",$J279)),COUNTIF(TierFuncs,$D279)&gt;0),"High",IF(OR(TRIM($J279)&lt;&gt;"",ISNUMBER(SEARCH("revenue",$K279))),"Medium","Low")))</f>
        <v/>
      </c>
      <c r="AE279" s="65" t="str">
        <f aca="false">IF($A279="","",INDEX(TierDays,MATCH($AD279,TierName,0)))</f>
        <v/>
      </c>
      <c r="AF279" s="65" t="str">
        <f aca="false">IF($A279="","",AsOf-$G279)</f>
        <v/>
      </c>
      <c r="AG279" s="65" t="str">
        <f aca="false">IF($Y279="","",IF($Y279&lt;=5,IF($AF279&gt;$AE279,"Over","Inside"),"Past approval"))</f>
        <v/>
      </c>
      <c r="AH279" s="65" t="str">
        <f aca="false">IF($Y279="","",CHOOSE($Y279,IF(OR(TRIM($F279)="",ISNUMBER(SEARCH("not named",$F279))),"Critical","Good"),IF($O279&lt;&gt;"Y","Critical",IF($Q279&lt;&gt;"Y","Warning","Good")),IF($P279="","Critical",IF($P279="partial","Warning",IF($P279="ready","Good","Critical"))),IF($R279&lt;&gt;"","Critical","Warning"),IF($L279="","Critical",IF($N279="","Warning","Good")),IF($R279&lt;&gt;"","Critical","Warning"),IF($R279&lt;&gt;"","Critical","Warning"),IF($Q279="Y","Good","Critical")))</f>
        <v/>
      </c>
      <c r="AI279" s="65" t="str">
        <f aca="false">IF($Y279="","",CHOOSE($Y279,IF(OR(TRIM($F279)="",ISNUMBER(SEARCH("not named",$F279))),"Name a sponsor accountable for the value",""),IF($O279&lt;&gt;"Y","State the success metric and the stop condition",IF($Q279&lt;&gt;"Y","Set the baseline the benefit will be measured against","")),IF($P279="","Assess data readiness and regulatory impact",IF($P279="partial","Close the known data gaps",IF($P279="ready","","Data is not available; reshape or park"))),IF($R279&lt;&gt;"",IF(OR(ISNUMBER(SEARCH("mrm",$R279)),ISNUMBER(SEARCH("model",$R279)),ISNUMBER(SEARCH("risk",$R279)),ISNUMBER(SEARCH("legal",$R279)),ISNUMBER(SEARCH("complian",$R279))),"Awaiting ","Held at the design gate: ")&amp;$R279,"Map the governance framework for its tier"),IF($L279="","Size the annual benefit",IF($N279="","Score it so it can be ranked against capacity","")),IF($R279&lt;&gt;"","Build held: "&amp;$R279,"In build, not yet through test"),IF($R279&lt;&gt;"","Not ready to scale: "&amp;$R279,"Monitoring and third-party review not yet signed off"),IF($Q279="Y","","Live without a measured baseline to judge it against")))</f>
        <v/>
      </c>
      <c r="AJ279" s="65" t="str">
        <f aca="false">IF($Y279="","",INDEX(StageForum,$Y279))</f>
        <v/>
      </c>
      <c r="AK279" s="65" t="str">
        <f aca="false">IF($Y279="","",IF(OR($X279="Delivery",$X279="Value"),"Committed",IF($N279&lt;&gt;"","Candidate","")))</f>
        <v/>
      </c>
      <c r="AL279" s="65" t="str">
        <f aca="false">IF($AK279&lt;&gt;"Candidate","",COUNTIFS($AK$2:$AK$501,"Candidate",$N$2:$N$501,"&gt;"&amp;$N279)+COUNTIFS($AK$2:$AK$501,"Candidate",$N$2:$N$501,$N279,$A$2:$A$501,"&lt;"&amp;$A279)+1)</f>
        <v/>
      </c>
      <c r="AM279" s="65" t="str">
        <f aca="false">IF($AL279="","",SUMIFS($M$2:$M$501,$AK$2:$AK$501,"Candidate",$AL$2:$AL$501,"&lt;="&amp;$AL279))</f>
        <v/>
      </c>
      <c r="AN279" s="65" t="str">
        <f aca="false">IF($AL279="","",IF($AM279&lt;=CapacityOpen,"Fits","Below line"))</f>
        <v/>
      </c>
      <c r="AO279" s="65" t="str">
        <f aca="false">IF($A279="","",IF($X279="Closed","",IF($X279="Unmapped","Warning",IF(OR($AB279="Overdue",$V279="Y",$AH279="Critical"),"Critical",IF(OR($AB279="At risk",$AC279="Stale",$AG279="Over"),"Warning","")))))</f>
        <v/>
      </c>
      <c r="AP279" s="65" t="str">
        <f aca="false">IF($AO279="","",IF($AO279="Critical",3000,2000)-IF($Z279="",0,$Z279)+ROW()/100000)</f>
        <v/>
      </c>
      <c r="AQ279" s="65" t="str">
        <f aca="false">IF($AO279="","",IF($X279="Unmapped","Status '"&amp;$C279&amp;"' is not in the Config map",IF($V279="Y","Flagged in Jira",IF($AB279="Overdue",-$Z279&amp;" days past its "&amp;$X279&amp;" target",IF($AH279="Critical",$AI279,IF($AB279="At risk","Target in "&amp;$Z279&amp;" days",IF($AC279="Stale","No update in "&amp;$AA279&amp;" days","Past its "&amp;$AE279&amp;"-day tier window")))))))</f>
        <v/>
      </c>
      <c r="AR279" s="65" t="str">
        <f aca="false">IF($AO279="","","draft Jira update for "&amp;$A279)</f>
        <v/>
      </c>
      <c r="AS279" s="65" t="str">
        <f aca="false">IF($A279="","",HYPERLINK(JiraSite&amp;"/browse/"&amp;$A279,"open"))</f>
        <v/>
      </c>
      <c r="AT279" s="65" t="str">
        <f aca="false">IF($Y279="","",$Y279*1000+ROW())</f>
        <v/>
      </c>
      <c r="AU279" s="65" t="str">
        <f aca="false">IF(AND($A279&lt;&gt;"",$G279&gt;=WeekStart),$G279+ROW()/100000,"")</f>
        <v/>
      </c>
      <c r="AV279" s="65" t="str">
        <f aca="false">IF($A279="","",IF(OR(AND($S279&lt;&gt;"",$S279&gt;=WeekStart),AND($U279&lt;&gt;"",$U279&gt;=WeekStart)),MAX($S279,$U279)+ROW()/100000,""))</f>
        <v/>
      </c>
      <c r="AW279" s="65" t="str">
        <f aca="false">IF($AV279="","",IF($T279&lt;&gt;"",$T279,IF($X279="Closed","Closed","Accepted to "&amp;$X279)))</f>
        <v/>
      </c>
      <c r="AX279" s="65" t="str">
        <f aca="false">IF(AND($Y279&lt;&gt;"",$R279&lt;&gt;""),$AF279+ROW()/100000,"")</f>
        <v/>
      </c>
      <c r="AY279" s="65" t="str">
        <f aca="false">IF(AND($Y279&lt;&gt;"",OR($AB279="Overdue",AND($AH279="Critical",$R279&lt;&gt;""))),$AF279+ROW()/100000,"")</f>
        <v/>
      </c>
      <c r="AZ279" s="65" t="str">
        <f aca="false">IF($AH279="Critical",$AF279+ROW()/100000,"")</f>
        <v/>
      </c>
    </row>
    <row r="280" customFormat="false" ht="15" hidden="false" customHeight="false" outlineLevel="0" collapsed="false">
      <c r="A280" s="28"/>
      <c r="B280" s="28"/>
      <c r="C280" s="28"/>
      <c r="D280" s="28"/>
      <c r="E280" s="28"/>
      <c r="F280" s="28"/>
      <c r="G280" s="63"/>
      <c r="H280" s="63"/>
      <c r="I280" s="63"/>
      <c r="J280" s="28"/>
      <c r="K280" s="28"/>
      <c r="L280" s="28"/>
      <c r="M280" s="28"/>
      <c r="N280" s="28"/>
      <c r="O280" s="64"/>
      <c r="P280" s="64"/>
      <c r="Q280" s="64"/>
      <c r="R280" s="28"/>
      <c r="S280" s="63"/>
      <c r="T280" s="64"/>
      <c r="U280" s="63"/>
      <c r="V280" s="64"/>
      <c r="W280" s="28"/>
      <c r="X280" s="65" t="str">
        <f aca="false">IF($A280="","",IF(OR($T280&lt;&gt;"",$U280&lt;&gt;""),"Closed",IFERROR(INDEX(MapStage,MATCH($C280,MapStatus,0)),"Unmapped")))</f>
        <v/>
      </c>
      <c r="Y280" s="65" t="str">
        <f aca="false">IF(OR($X280="",$X280="Closed",$X280="Unmapped"),"",MATCH($X280,StageName,0))</f>
        <v/>
      </c>
      <c r="Z280" s="65" t="str">
        <f aca="false">IF(OR($Y280="",$I280=""),"",$I280-AsOf)</f>
        <v/>
      </c>
      <c r="AA280" s="65" t="str">
        <f aca="false">IF($A280="","",AsOf-$H280)</f>
        <v/>
      </c>
      <c r="AB280" s="65" t="str">
        <f aca="false">IF($A280="","",IF($X280="Closed","Closed",IF($X280="Unmapped","Unmapped",IF($I280="","No target",IF($Z280&lt;0,"Overdue",IF($Z280&lt;=INDEX(StageWindow,$Y280),"At risk","On track"))))))</f>
        <v/>
      </c>
      <c r="AC280" s="65" t="str">
        <f aca="false">IF($Y280="","",IF($AA280&gt;2*INDEX(StageStale,$Y280),"Stale",IF($AA280&gt;INDEX(StageStale,$Y280),"Aging","Fresh")))</f>
        <v/>
      </c>
      <c r="AD280" s="65" t="str">
        <f aca="false">IF($A280="","",IF(OR(ISNUMBER(SEARCH("Reg report",$J280)),ISNUMBER(SEARCH("No human review",$J280)),COUNTIF(TierFuncs,$D280)&gt;0),"High",IF(OR(TRIM($J280)&lt;&gt;"",ISNUMBER(SEARCH("revenue",$K280))),"Medium","Low")))</f>
        <v/>
      </c>
      <c r="AE280" s="65" t="str">
        <f aca="false">IF($A280="","",INDEX(TierDays,MATCH($AD280,TierName,0)))</f>
        <v/>
      </c>
      <c r="AF280" s="65" t="str">
        <f aca="false">IF($A280="","",AsOf-$G280)</f>
        <v/>
      </c>
      <c r="AG280" s="65" t="str">
        <f aca="false">IF($Y280="","",IF($Y280&lt;=5,IF($AF280&gt;$AE280,"Over","Inside"),"Past approval"))</f>
        <v/>
      </c>
      <c r="AH280" s="65" t="str">
        <f aca="false">IF($Y280="","",CHOOSE($Y280,IF(OR(TRIM($F280)="",ISNUMBER(SEARCH("not named",$F280))),"Critical","Good"),IF($O280&lt;&gt;"Y","Critical",IF($Q280&lt;&gt;"Y","Warning","Good")),IF($P280="","Critical",IF($P280="partial","Warning",IF($P280="ready","Good","Critical"))),IF($R280&lt;&gt;"","Critical","Warning"),IF($L280="","Critical",IF($N280="","Warning","Good")),IF($R280&lt;&gt;"","Critical","Warning"),IF($R280&lt;&gt;"","Critical","Warning"),IF($Q280="Y","Good","Critical")))</f>
        <v/>
      </c>
      <c r="AI280" s="65" t="str">
        <f aca="false">IF($Y280="","",CHOOSE($Y280,IF(OR(TRIM($F280)="",ISNUMBER(SEARCH("not named",$F280))),"Name a sponsor accountable for the value",""),IF($O280&lt;&gt;"Y","State the success metric and the stop condition",IF($Q280&lt;&gt;"Y","Set the baseline the benefit will be measured against","")),IF($P280="","Assess data readiness and regulatory impact",IF($P280="partial","Close the known data gaps",IF($P280="ready","","Data is not available; reshape or park"))),IF($R280&lt;&gt;"",IF(OR(ISNUMBER(SEARCH("mrm",$R280)),ISNUMBER(SEARCH("model",$R280)),ISNUMBER(SEARCH("risk",$R280)),ISNUMBER(SEARCH("legal",$R280)),ISNUMBER(SEARCH("complian",$R280))),"Awaiting ","Held at the design gate: ")&amp;$R280,"Map the governance framework for its tier"),IF($L280="","Size the annual benefit",IF($N280="","Score it so it can be ranked against capacity","")),IF($R280&lt;&gt;"","Build held: "&amp;$R280,"In build, not yet through test"),IF($R280&lt;&gt;"","Not ready to scale: "&amp;$R280,"Monitoring and third-party review not yet signed off"),IF($Q280="Y","","Live without a measured baseline to judge it against")))</f>
        <v/>
      </c>
      <c r="AJ280" s="65" t="str">
        <f aca="false">IF($Y280="","",INDEX(StageForum,$Y280))</f>
        <v/>
      </c>
      <c r="AK280" s="65" t="str">
        <f aca="false">IF($Y280="","",IF(OR($X280="Delivery",$X280="Value"),"Committed",IF($N280&lt;&gt;"","Candidate","")))</f>
        <v/>
      </c>
      <c r="AL280" s="65" t="str">
        <f aca="false">IF($AK280&lt;&gt;"Candidate","",COUNTIFS($AK$2:$AK$501,"Candidate",$N$2:$N$501,"&gt;"&amp;$N280)+COUNTIFS($AK$2:$AK$501,"Candidate",$N$2:$N$501,$N280,$A$2:$A$501,"&lt;"&amp;$A280)+1)</f>
        <v/>
      </c>
      <c r="AM280" s="65" t="str">
        <f aca="false">IF($AL280="","",SUMIFS($M$2:$M$501,$AK$2:$AK$501,"Candidate",$AL$2:$AL$501,"&lt;="&amp;$AL280))</f>
        <v/>
      </c>
      <c r="AN280" s="65" t="str">
        <f aca="false">IF($AL280="","",IF($AM280&lt;=CapacityOpen,"Fits","Below line"))</f>
        <v/>
      </c>
      <c r="AO280" s="65" t="str">
        <f aca="false">IF($A280="","",IF($X280="Closed","",IF($X280="Unmapped","Warning",IF(OR($AB280="Overdue",$V280="Y",$AH280="Critical"),"Critical",IF(OR($AB280="At risk",$AC280="Stale",$AG280="Over"),"Warning","")))))</f>
        <v/>
      </c>
      <c r="AP280" s="65" t="str">
        <f aca="false">IF($AO280="","",IF($AO280="Critical",3000,2000)-IF($Z280="",0,$Z280)+ROW()/100000)</f>
        <v/>
      </c>
      <c r="AQ280" s="65" t="str">
        <f aca="false">IF($AO280="","",IF($X280="Unmapped","Status '"&amp;$C280&amp;"' is not in the Config map",IF($V280="Y","Flagged in Jira",IF($AB280="Overdue",-$Z280&amp;" days past its "&amp;$X280&amp;" target",IF($AH280="Critical",$AI280,IF($AB280="At risk","Target in "&amp;$Z280&amp;" days",IF($AC280="Stale","No update in "&amp;$AA280&amp;" days","Past its "&amp;$AE280&amp;"-day tier window")))))))</f>
        <v/>
      </c>
      <c r="AR280" s="65" t="str">
        <f aca="false">IF($AO280="","","draft Jira update for "&amp;$A280)</f>
        <v/>
      </c>
      <c r="AS280" s="65" t="str">
        <f aca="false">IF($A280="","",HYPERLINK(JiraSite&amp;"/browse/"&amp;$A280,"open"))</f>
        <v/>
      </c>
      <c r="AT280" s="65" t="str">
        <f aca="false">IF($Y280="","",$Y280*1000+ROW())</f>
        <v/>
      </c>
      <c r="AU280" s="65" t="str">
        <f aca="false">IF(AND($A280&lt;&gt;"",$G280&gt;=WeekStart),$G280+ROW()/100000,"")</f>
        <v/>
      </c>
      <c r="AV280" s="65" t="str">
        <f aca="false">IF($A280="","",IF(OR(AND($S280&lt;&gt;"",$S280&gt;=WeekStart),AND($U280&lt;&gt;"",$U280&gt;=WeekStart)),MAX($S280,$U280)+ROW()/100000,""))</f>
        <v/>
      </c>
      <c r="AW280" s="65" t="str">
        <f aca="false">IF($AV280="","",IF($T280&lt;&gt;"",$T280,IF($X280="Closed","Closed","Accepted to "&amp;$X280)))</f>
        <v/>
      </c>
      <c r="AX280" s="65" t="str">
        <f aca="false">IF(AND($Y280&lt;&gt;"",$R280&lt;&gt;""),$AF280+ROW()/100000,"")</f>
        <v/>
      </c>
      <c r="AY280" s="65" t="str">
        <f aca="false">IF(AND($Y280&lt;&gt;"",OR($AB280="Overdue",AND($AH280="Critical",$R280&lt;&gt;""))),$AF280+ROW()/100000,"")</f>
        <v/>
      </c>
      <c r="AZ280" s="65" t="str">
        <f aca="false">IF($AH280="Critical",$AF280+ROW()/100000,"")</f>
        <v/>
      </c>
    </row>
    <row r="281" customFormat="false" ht="15" hidden="false" customHeight="false" outlineLevel="0" collapsed="false">
      <c r="A281" s="28"/>
      <c r="B281" s="28"/>
      <c r="C281" s="28"/>
      <c r="D281" s="28"/>
      <c r="E281" s="28"/>
      <c r="F281" s="28"/>
      <c r="G281" s="63"/>
      <c r="H281" s="63"/>
      <c r="I281" s="63"/>
      <c r="J281" s="28"/>
      <c r="K281" s="28"/>
      <c r="L281" s="28"/>
      <c r="M281" s="28"/>
      <c r="N281" s="28"/>
      <c r="O281" s="64"/>
      <c r="P281" s="64"/>
      <c r="Q281" s="64"/>
      <c r="R281" s="28"/>
      <c r="S281" s="63"/>
      <c r="T281" s="64"/>
      <c r="U281" s="63"/>
      <c r="V281" s="64"/>
      <c r="W281" s="28"/>
      <c r="X281" s="65" t="str">
        <f aca="false">IF($A281="","",IF(OR($T281&lt;&gt;"",$U281&lt;&gt;""),"Closed",IFERROR(INDEX(MapStage,MATCH($C281,MapStatus,0)),"Unmapped")))</f>
        <v/>
      </c>
      <c r="Y281" s="65" t="str">
        <f aca="false">IF(OR($X281="",$X281="Closed",$X281="Unmapped"),"",MATCH($X281,StageName,0))</f>
        <v/>
      </c>
      <c r="Z281" s="65" t="str">
        <f aca="false">IF(OR($Y281="",$I281=""),"",$I281-AsOf)</f>
        <v/>
      </c>
      <c r="AA281" s="65" t="str">
        <f aca="false">IF($A281="","",AsOf-$H281)</f>
        <v/>
      </c>
      <c r="AB281" s="65" t="str">
        <f aca="false">IF($A281="","",IF($X281="Closed","Closed",IF($X281="Unmapped","Unmapped",IF($I281="","No target",IF($Z281&lt;0,"Overdue",IF($Z281&lt;=INDEX(StageWindow,$Y281),"At risk","On track"))))))</f>
        <v/>
      </c>
      <c r="AC281" s="65" t="str">
        <f aca="false">IF($Y281="","",IF($AA281&gt;2*INDEX(StageStale,$Y281),"Stale",IF($AA281&gt;INDEX(StageStale,$Y281),"Aging","Fresh")))</f>
        <v/>
      </c>
      <c r="AD281" s="65" t="str">
        <f aca="false">IF($A281="","",IF(OR(ISNUMBER(SEARCH("Reg report",$J281)),ISNUMBER(SEARCH("No human review",$J281)),COUNTIF(TierFuncs,$D281)&gt;0),"High",IF(OR(TRIM($J281)&lt;&gt;"",ISNUMBER(SEARCH("revenue",$K281))),"Medium","Low")))</f>
        <v/>
      </c>
      <c r="AE281" s="65" t="str">
        <f aca="false">IF($A281="","",INDEX(TierDays,MATCH($AD281,TierName,0)))</f>
        <v/>
      </c>
      <c r="AF281" s="65" t="str">
        <f aca="false">IF($A281="","",AsOf-$G281)</f>
        <v/>
      </c>
      <c r="AG281" s="65" t="str">
        <f aca="false">IF($Y281="","",IF($Y281&lt;=5,IF($AF281&gt;$AE281,"Over","Inside"),"Past approval"))</f>
        <v/>
      </c>
      <c r="AH281" s="65" t="str">
        <f aca="false">IF($Y281="","",CHOOSE($Y281,IF(OR(TRIM($F281)="",ISNUMBER(SEARCH("not named",$F281))),"Critical","Good"),IF($O281&lt;&gt;"Y","Critical",IF($Q281&lt;&gt;"Y","Warning","Good")),IF($P281="","Critical",IF($P281="partial","Warning",IF($P281="ready","Good","Critical"))),IF($R281&lt;&gt;"","Critical","Warning"),IF($L281="","Critical",IF($N281="","Warning","Good")),IF($R281&lt;&gt;"","Critical","Warning"),IF($R281&lt;&gt;"","Critical","Warning"),IF($Q281="Y","Good","Critical")))</f>
        <v/>
      </c>
      <c r="AI281" s="65" t="str">
        <f aca="false">IF($Y281="","",CHOOSE($Y281,IF(OR(TRIM($F281)="",ISNUMBER(SEARCH("not named",$F281))),"Name a sponsor accountable for the value",""),IF($O281&lt;&gt;"Y","State the success metric and the stop condition",IF($Q281&lt;&gt;"Y","Set the baseline the benefit will be measured against","")),IF($P281="","Assess data readiness and regulatory impact",IF($P281="partial","Close the known data gaps",IF($P281="ready","","Data is not available; reshape or park"))),IF($R281&lt;&gt;"",IF(OR(ISNUMBER(SEARCH("mrm",$R281)),ISNUMBER(SEARCH("model",$R281)),ISNUMBER(SEARCH("risk",$R281)),ISNUMBER(SEARCH("legal",$R281)),ISNUMBER(SEARCH("complian",$R281))),"Awaiting ","Held at the design gate: ")&amp;$R281,"Map the governance framework for its tier"),IF($L281="","Size the annual benefit",IF($N281="","Score it so it can be ranked against capacity","")),IF($R281&lt;&gt;"","Build held: "&amp;$R281,"In build, not yet through test"),IF($R281&lt;&gt;"","Not ready to scale: "&amp;$R281,"Monitoring and third-party review not yet signed off"),IF($Q281="Y","","Live without a measured baseline to judge it against")))</f>
        <v/>
      </c>
      <c r="AJ281" s="65" t="str">
        <f aca="false">IF($Y281="","",INDEX(StageForum,$Y281))</f>
        <v/>
      </c>
      <c r="AK281" s="65" t="str">
        <f aca="false">IF($Y281="","",IF(OR($X281="Delivery",$X281="Value"),"Committed",IF($N281&lt;&gt;"","Candidate","")))</f>
        <v/>
      </c>
      <c r="AL281" s="65" t="str">
        <f aca="false">IF($AK281&lt;&gt;"Candidate","",COUNTIFS($AK$2:$AK$501,"Candidate",$N$2:$N$501,"&gt;"&amp;$N281)+COUNTIFS($AK$2:$AK$501,"Candidate",$N$2:$N$501,$N281,$A$2:$A$501,"&lt;"&amp;$A281)+1)</f>
        <v/>
      </c>
      <c r="AM281" s="65" t="str">
        <f aca="false">IF($AL281="","",SUMIFS($M$2:$M$501,$AK$2:$AK$501,"Candidate",$AL$2:$AL$501,"&lt;="&amp;$AL281))</f>
        <v/>
      </c>
      <c r="AN281" s="65" t="str">
        <f aca="false">IF($AL281="","",IF($AM281&lt;=CapacityOpen,"Fits","Below line"))</f>
        <v/>
      </c>
      <c r="AO281" s="65" t="str">
        <f aca="false">IF($A281="","",IF($X281="Closed","",IF($X281="Unmapped","Warning",IF(OR($AB281="Overdue",$V281="Y",$AH281="Critical"),"Critical",IF(OR($AB281="At risk",$AC281="Stale",$AG281="Over"),"Warning","")))))</f>
        <v/>
      </c>
      <c r="AP281" s="65" t="str">
        <f aca="false">IF($AO281="","",IF($AO281="Critical",3000,2000)-IF($Z281="",0,$Z281)+ROW()/100000)</f>
        <v/>
      </c>
      <c r="AQ281" s="65" t="str">
        <f aca="false">IF($AO281="","",IF($X281="Unmapped","Status '"&amp;$C281&amp;"' is not in the Config map",IF($V281="Y","Flagged in Jira",IF($AB281="Overdue",-$Z281&amp;" days past its "&amp;$X281&amp;" target",IF($AH281="Critical",$AI281,IF($AB281="At risk","Target in "&amp;$Z281&amp;" days",IF($AC281="Stale","No update in "&amp;$AA281&amp;" days","Past its "&amp;$AE281&amp;"-day tier window")))))))</f>
        <v/>
      </c>
      <c r="AR281" s="65" t="str">
        <f aca="false">IF($AO281="","","draft Jira update for "&amp;$A281)</f>
        <v/>
      </c>
      <c r="AS281" s="65" t="str">
        <f aca="false">IF($A281="","",HYPERLINK(JiraSite&amp;"/browse/"&amp;$A281,"open"))</f>
        <v/>
      </c>
      <c r="AT281" s="65" t="str">
        <f aca="false">IF($Y281="","",$Y281*1000+ROW())</f>
        <v/>
      </c>
      <c r="AU281" s="65" t="str">
        <f aca="false">IF(AND($A281&lt;&gt;"",$G281&gt;=WeekStart),$G281+ROW()/100000,"")</f>
        <v/>
      </c>
      <c r="AV281" s="65" t="str">
        <f aca="false">IF($A281="","",IF(OR(AND($S281&lt;&gt;"",$S281&gt;=WeekStart),AND($U281&lt;&gt;"",$U281&gt;=WeekStart)),MAX($S281,$U281)+ROW()/100000,""))</f>
        <v/>
      </c>
      <c r="AW281" s="65" t="str">
        <f aca="false">IF($AV281="","",IF($T281&lt;&gt;"",$T281,IF($X281="Closed","Closed","Accepted to "&amp;$X281)))</f>
        <v/>
      </c>
      <c r="AX281" s="65" t="str">
        <f aca="false">IF(AND($Y281&lt;&gt;"",$R281&lt;&gt;""),$AF281+ROW()/100000,"")</f>
        <v/>
      </c>
      <c r="AY281" s="65" t="str">
        <f aca="false">IF(AND($Y281&lt;&gt;"",OR($AB281="Overdue",AND($AH281="Critical",$R281&lt;&gt;""))),$AF281+ROW()/100000,"")</f>
        <v/>
      </c>
      <c r="AZ281" s="65" t="str">
        <f aca="false">IF($AH281="Critical",$AF281+ROW()/100000,"")</f>
        <v/>
      </c>
    </row>
    <row r="282" customFormat="false" ht="15" hidden="false" customHeight="false" outlineLevel="0" collapsed="false">
      <c r="A282" s="28"/>
      <c r="B282" s="28"/>
      <c r="C282" s="28"/>
      <c r="D282" s="28"/>
      <c r="E282" s="28"/>
      <c r="F282" s="28"/>
      <c r="G282" s="63"/>
      <c r="H282" s="63"/>
      <c r="I282" s="63"/>
      <c r="J282" s="28"/>
      <c r="K282" s="28"/>
      <c r="L282" s="28"/>
      <c r="M282" s="28"/>
      <c r="N282" s="28"/>
      <c r="O282" s="64"/>
      <c r="P282" s="64"/>
      <c r="Q282" s="64"/>
      <c r="R282" s="28"/>
      <c r="S282" s="63"/>
      <c r="T282" s="64"/>
      <c r="U282" s="63"/>
      <c r="V282" s="64"/>
      <c r="W282" s="28"/>
      <c r="X282" s="65" t="str">
        <f aca="false">IF($A282="","",IF(OR($T282&lt;&gt;"",$U282&lt;&gt;""),"Closed",IFERROR(INDEX(MapStage,MATCH($C282,MapStatus,0)),"Unmapped")))</f>
        <v/>
      </c>
      <c r="Y282" s="65" t="str">
        <f aca="false">IF(OR($X282="",$X282="Closed",$X282="Unmapped"),"",MATCH($X282,StageName,0))</f>
        <v/>
      </c>
      <c r="Z282" s="65" t="str">
        <f aca="false">IF(OR($Y282="",$I282=""),"",$I282-AsOf)</f>
        <v/>
      </c>
      <c r="AA282" s="65" t="str">
        <f aca="false">IF($A282="","",AsOf-$H282)</f>
        <v/>
      </c>
      <c r="AB282" s="65" t="str">
        <f aca="false">IF($A282="","",IF($X282="Closed","Closed",IF($X282="Unmapped","Unmapped",IF($I282="","No target",IF($Z282&lt;0,"Overdue",IF($Z282&lt;=INDEX(StageWindow,$Y282),"At risk","On track"))))))</f>
        <v/>
      </c>
      <c r="AC282" s="65" t="str">
        <f aca="false">IF($Y282="","",IF($AA282&gt;2*INDEX(StageStale,$Y282),"Stale",IF($AA282&gt;INDEX(StageStale,$Y282),"Aging","Fresh")))</f>
        <v/>
      </c>
      <c r="AD282" s="65" t="str">
        <f aca="false">IF($A282="","",IF(OR(ISNUMBER(SEARCH("Reg report",$J282)),ISNUMBER(SEARCH("No human review",$J282)),COUNTIF(TierFuncs,$D282)&gt;0),"High",IF(OR(TRIM($J282)&lt;&gt;"",ISNUMBER(SEARCH("revenue",$K282))),"Medium","Low")))</f>
        <v/>
      </c>
      <c r="AE282" s="65" t="str">
        <f aca="false">IF($A282="","",INDEX(TierDays,MATCH($AD282,TierName,0)))</f>
        <v/>
      </c>
      <c r="AF282" s="65" t="str">
        <f aca="false">IF($A282="","",AsOf-$G282)</f>
        <v/>
      </c>
      <c r="AG282" s="65" t="str">
        <f aca="false">IF($Y282="","",IF($Y282&lt;=5,IF($AF282&gt;$AE282,"Over","Inside"),"Past approval"))</f>
        <v/>
      </c>
      <c r="AH282" s="65" t="str">
        <f aca="false">IF($Y282="","",CHOOSE($Y282,IF(OR(TRIM($F282)="",ISNUMBER(SEARCH("not named",$F282))),"Critical","Good"),IF($O282&lt;&gt;"Y","Critical",IF($Q282&lt;&gt;"Y","Warning","Good")),IF($P282="","Critical",IF($P282="partial","Warning",IF($P282="ready","Good","Critical"))),IF($R282&lt;&gt;"","Critical","Warning"),IF($L282="","Critical",IF($N282="","Warning","Good")),IF($R282&lt;&gt;"","Critical","Warning"),IF($R282&lt;&gt;"","Critical","Warning"),IF($Q282="Y","Good","Critical")))</f>
        <v/>
      </c>
      <c r="AI282" s="65" t="str">
        <f aca="false">IF($Y282="","",CHOOSE($Y282,IF(OR(TRIM($F282)="",ISNUMBER(SEARCH("not named",$F282))),"Name a sponsor accountable for the value",""),IF($O282&lt;&gt;"Y","State the success metric and the stop condition",IF($Q282&lt;&gt;"Y","Set the baseline the benefit will be measured against","")),IF($P282="","Assess data readiness and regulatory impact",IF($P282="partial","Close the known data gaps",IF($P282="ready","","Data is not available; reshape or park"))),IF($R282&lt;&gt;"",IF(OR(ISNUMBER(SEARCH("mrm",$R282)),ISNUMBER(SEARCH("model",$R282)),ISNUMBER(SEARCH("risk",$R282)),ISNUMBER(SEARCH("legal",$R282)),ISNUMBER(SEARCH("complian",$R282))),"Awaiting ","Held at the design gate: ")&amp;$R282,"Map the governance framework for its tier"),IF($L282="","Size the annual benefit",IF($N282="","Score it so it can be ranked against capacity","")),IF($R282&lt;&gt;"","Build held: "&amp;$R282,"In build, not yet through test"),IF($R282&lt;&gt;"","Not ready to scale: "&amp;$R282,"Monitoring and third-party review not yet signed off"),IF($Q282="Y","","Live without a measured baseline to judge it against")))</f>
        <v/>
      </c>
      <c r="AJ282" s="65" t="str">
        <f aca="false">IF($Y282="","",INDEX(StageForum,$Y282))</f>
        <v/>
      </c>
      <c r="AK282" s="65" t="str">
        <f aca="false">IF($Y282="","",IF(OR($X282="Delivery",$X282="Value"),"Committed",IF($N282&lt;&gt;"","Candidate","")))</f>
        <v/>
      </c>
      <c r="AL282" s="65" t="str">
        <f aca="false">IF($AK282&lt;&gt;"Candidate","",COUNTIFS($AK$2:$AK$501,"Candidate",$N$2:$N$501,"&gt;"&amp;$N282)+COUNTIFS($AK$2:$AK$501,"Candidate",$N$2:$N$501,$N282,$A$2:$A$501,"&lt;"&amp;$A282)+1)</f>
        <v/>
      </c>
      <c r="AM282" s="65" t="str">
        <f aca="false">IF($AL282="","",SUMIFS($M$2:$M$501,$AK$2:$AK$501,"Candidate",$AL$2:$AL$501,"&lt;="&amp;$AL282))</f>
        <v/>
      </c>
      <c r="AN282" s="65" t="str">
        <f aca="false">IF($AL282="","",IF($AM282&lt;=CapacityOpen,"Fits","Below line"))</f>
        <v/>
      </c>
      <c r="AO282" s="65" t="str">
        <f aca="false">IF($A282="","",IF($X282="Closed","",IF($X282="Unmapped","Warning",IF(OR($AB282="Overdue",$V282="Y",$AH282="Critical"),"Critical",IF(OR($AB282="At risk",$AC282="Stale",$AG282="Over"),"Warning","")))))</f>
        <v/>
      </c>
      <c r="AP282" s="65" t="str">
        <f aca="false">IF($AO282="","",IF($AO282="Critical",3000,2000)-IF($Z282="",0,$Z282)+ROW()/100000)</f>
        <v/>
      </c>
      <c r="AQ282" s="65" t="str">
        <f aca="false">IF($AO282="","",IF($X282="Unmapped","Status '"&amp;$C282&amp;"' is not in the Config map",IF($V282="Y","Flagged in Jira",IF($AB282="Overdue",-$Z282&amp;" days past its "&amp;$X282&amp;" target",IF($AH282="Critical",$AI282,IF($AB282="At risk","Target in "&amp;$Z282&amp;" days",IF($AC282="Stale","No update in "&amp;$AA282&amp;" days","Past its "&amp;$AE282&amp;"-day tier window")))))))</f>
        <v/>
      </c>
      <c r="AR282" s="65" t="str">
        <f aca="false">IF($AO282="","","draft Jira update for "&amp;$A282)</f>
        <v/>
      </c>
      <c r="AS282" s="65" t="str">
        <f aca="false">IF($A282="","",HYPERLINK(JiraSite&amp;"/browse/"&amp;$A282,"open"))</f>
        <v/>
      </c>
      <c r="AT282" s="65" t="str">
        <f aca="false">IF($Y282="","",$Y282*1000+ROW())</f>
        <v/>
      </c>
      <c r="AU282" s="65" t="str">
        <f aca="false">IF(AND($A282&lt;&gt;"",$G282&gt;=WeekStart),$G282+ROW()/100000,"")</f>
        <v/>
      </c>
      <c r="AV282" s="65" t="str">
        <f aca="false">IF($A282="","",IF(OR(AND($S282&lt;&gt;"",$S282&gt;=WeekStart),AND($U282&lt;&gt;"",$U282&gt;=WeekStart)),MAX($S282,$U282)+ROW()/100000,""))</f>
        <v/>
      </c>
      <c r="AW282" s="65" t="str">
        <f aca="false">IF($AV282="","",IF($T282&lt;&gt;"",$T282,IF($X282="Closed","Closed","Accepted to "&amp;$X282)))</f>
        <v/>
      </c>
      <c r="AX282" s="65" t="str">
        <f aca="false">IF(AND($Y282&lt;&gt;"",$R282&lt;&gt;""),$AF282+ROW()/100000,"")</f>
        <v/>
      </c>
      <c r="AY282" s="65" t="str">
        <f aca="false">IF(AND($Y282&lt;&gt;"",OR($AB282="Overdue",AND($AH282="Critical",$R282&lt;&gt;""))),$AF282+ROW()/100000,"")</f>
        <v/>
      </c>
      <c r="AZ282" s="65" t="str">
        <f aca="false">IF($AH282="Critical",$AF282+ROW()/100000,"")</f>
        <v/>
      </c>
    </row>
    <row r="283" customFormat="false" ht="15" hidden="false" customHeight="false" outlineLevel="0" collapsed="false">
      <c r="A283" s="28"/>
      <c r="B283" s="28"/>
      <c r="C283" s="28"/>
      <c r="D283" s="28"/>
      <c r="E283" s="28"/>
      <c r="F283" s="28"/>
      <c r="G283" s="63"/>
      <c r="H283" s="63"/>
      <c r="I283" s="63"/>
      <c r="J283" s="28"/>
      <c r="K283" s="28"/>
      <c r="L283" s="28"/>
      <c r="M283" s="28"/>
      <c r="N283" s="28"/>
      <c r="O283" s="64"/>
      <c r="P283" s="64"/>
      <c r="Q283" s="64"/>
      <c r="R283" s="28"/>
      <c r="S283" s="63"/>
      <c r="T283" s="64"/>
      <c r="U283" s="63"/>
      <c r="V283" s="64"/>
      <c r="W283" s="28"/>
      <c r="X283" s="65" t="str">
        <f aca="false">IF($A283="","",IF(OR($T283&lt;&gt;"",$U283&lt;&gt;""),"Closed",IFERROR(INDEX(MapStage,MATCH($C283,MapStatus,0)),"Unmapped")))</f>
        <v/>
      </c>
      <c r="Y283" s="65" t="str">
        <f aca="false">IF(OR($X283="",$X283="Closed",$X283="Unmapped"),"",MATCH($X283,StageName,0))</f>
        <v/>
      </c>
      <c r="Z283" s="65" t="str">
        <f aca="false">IF(OR($Y283="",$I283=""),"",$I283-AsOf)</f>
        <v/>
      </c>
      <c r="AA283" s="65" t="str">
        <f aca="false">IF($A283="","",AsOf-$H283)</f>
        <v/>
      </c>
      <c r="AB283" s="65" t="str">
        <f aca="false">IF($A283="","",IF($X283="Closed","Closed",IF($X283="Unmapped","Unmapped",IF($I283="","No target",IF($Z283&lt;0,"Overdue",IF($Z283&lt;=INDEX(StageWindow,$Y283),"At risk","On track"))))))</f>
        <v/>
      </c>
      <c r="AC283" s="65" t="str">
        <f aca="false">IF($Y283="","",IF($AA283&gt;2*INDEX(StageStale,$Y283),"Stale",IF($AA283&gt;INDEX(StageStale,$Y283),"Aging","Fresh")))</f>
        <v/>
      </c>
      <c r="AD283" s="65" t="str">
        <f aca="false">IF($A283="","",IF(OR(ISNUMBER(SEARCH("Reg report",$J283)),ISNUMBER(SEARCH("No human review",$J283)),COUNTIF(TierFuncs,$D283)&gt;0),"High",IF(OR(TRIM($J283)&lt;&gt;"",ISNUMBER(SEARCH("revenue",$K283))),"Medium","Low")))</f>
        <v/>
      </c>
      <c r="AE283" s="65" t="str">
        <f aca="false">IF($A283="","",INDEX(TierDays,MATCH($AD283,TierName,0)))</f>
        <v/>
      </c>
      <c r="AF283" s="65" t="str">
        <f aca="false">IF($A283="","",AsOf-$G283)</f>
        <v/>
      </c>
      <c r="AG283" s="65" t="str">
        <f aca="false">IF($Y283="","",IF($Y283&lt;=5,IF($AF283&gt;$AE283,"Over","Inside"),"Past approval"))</f>
        <v/>
      </c>
      <c r="AH283" s="65" t="str">
        <f aca="false">IF($Y283="","",CHOOSE($Y283,IF(OR(TRIM($F283)="",ISNUMBER(SEARCH("not named",$F283))),"Critical","Good"),IF($O283&lt;&gt;"Y","Critical",IF($Q283&lt;&gt;"Y","Warning","Good")),IF($P283="","Critical",IF($P283="partial","Warning",IF($P283="ready","Good","Critical"))),IF($R283&lt;&gt;"","Critical","Warning"),IF($L283="","Critical",IF($N283="","Warning","Good")),IF($R283&lt;&gt;"","Critical","Warning"),IF($R283&lt;&gt;"","Critical","Warning"),IF($Q283="Y","Good","Critical")))</f>
        <v/>
      </c>
      <c r="AI283" s="65" t="str">
        <f aca="false">IF($Y283="","",CHOOSE($Y283,IF(OR(TRIM($F283)="",ISNUMBER(SEARCH("not named",$F283))),"Name a sponsor accountable for the value",""),IF($O283&lt;&gt;"Y","State the success metric and the stop condition",IF($Q283&lt;&gt;"Y","Set the baseline the benefit will be measured against","")),IF($P283="","Assess data readiness and regulatory impact",IF($P283="partial","Close the known data gaps",IF($P283="ready","","Data is not available; reshape or park"))),IF($R283&lt;&gt;"",IF(OR(ISNUMBER(SEARCH("mrm",$R283)),ISNUMBER(SEARCH("model",$R283)),ISNUMBER(SEARCH("risk",$R283)),ISNUMBER(SEARCH("legal",$R283)),ISNUMBER(SEARCH("complian",$R283))),"Awaiting ","Held at the design gate: ")&amp;$R283,"Map the governance framework for its tier"),IF($L283="","Size the annual benefit",IF($N283="","Score it so it can be ranked against capacity","")),IF($R283&lt;&gt;"","Build held: "&amp;$R283,"In build, not yet through test"),IF($R283&lt;&gt;"","Not ready to scale: "&amp;$R283,"Monitoring and third-party review not yet signed off"),IF($Q283="Y","","Live without a measured baseline to judge it against")))</f>
        <v/>
      </c>
      <c r="AJ283" s="65" t="str">
        <f aca="false">IF($Y283="","",INDEX(StageForum,$Y283))</f>
        <v/>
      </c>
      <c r="AK283" s="65" t="str">
        <f aca="false">IF($Y283="","",IF(OR($X283="Delivery",$X283="Value"),"Committed",IF($N283&lt;&gt;"","Candidate","")))</f>
        <v/>
      </c>
      <c r="AL283" s="65" t="str">
        <f aca="false">IF($AK283&lt;&gt;"Candidate","",COUNTIFS($AK$2:$AK$501,"Candidate",$N$2:$N$501,"&gt;"&amp;$N283)+COUNTIFS($AK$2:$AK$501,"Candidate",$N$2:$N$501,$N283,$A$2:$A$501,"&lt;"&amp;$A283)+1)</f>
        <v/>
      </c>
      <c r="AM283" s="65" t="str">
        <f aca="false">IF($AL283="","",SUMIFS($M$2:$M$501,$AK$2:$AK$501,"Candidate",$AL$2:$AL$501,"&lt;="&amp;$AL283))</f>
        <v/>
      </c>
      <c r="AN283" s="65" t="str">
        <f aca="false">IF($AL283="","",IF($AM283&lt;=CapacityOpen,"Fits","Below line"))</f>
        <v/>
      </c>
      <c r="AO283" s="65" t="str">
        <f aca="false">IF($A283="","",IF($X283="Closed","",IF($X283="Unmapped","Warning",IF(OR($AB283="Overdue",$V283="Y",$AH283="Critical"),"Critical",IF(OR($AB283="At risk",$AC283="Stale",$AG283="Over"),"Warning","")))))</f>
        <v/>
      </c>
      <c r="AP283" s="65" t="str">
        <f aca="false">IF($AO283="","",IF($AO283="Critical",3000,2000)-IF($Z283="",0,$Z283)+ROW()/100000)</f>
        <v/>
      </c>
      <c r="AQ283" s="65" t="str">
        <f aca="false">IF($AO283="","",IF($X283="Unmapped","Status '"&amp;$C283&amp;"' is not in the Config map",IF($V283="Y","Flagged in Jira",IF($AB283="Overdue",-$Z283&amp;" days past its "&amp;$X283&amp;" target",IF($AH283="Critical",$AI283,IF($AB283="At risk","Target in "&amp;$Z283&amp;" days",IF($AC283="Stale","No update in "&amp;$AA283&amp;" days","Past its "&amp;$AE283&amp;"-day tier window")))))))</f>
        <v/>
      </c>
      <c r="AR283" s="65" t="str">
        <f aca="false">IF($AO283="","","draft Jira update for "&amp;$A283)</f>
        <v/>
      </c>
      <c r="AS283" s="65" t="str">
        <f aca="false">IF($A283="","",HYPERLINK(JiraSite&amp;"/browse/"&amp;$A283,"open"))</f>
        <v/>
      </c>
      <c r="AT283" s="65" t="str">
        <f aca="false">IF($Y283="","",$Y283*1000+ROW())</f>
        <v/>
      </c>
      <c r="AU283" s="65" t="str">
        <f aca="false">IF(AND($A283&lt;&gt;"",$G283&gt;=WeekStart),$G283+ROW()/100000,"")</f>
        <v/>
      </c>
      <c r="AV283" s="65" t="str">
        <f aca="false">IF($A283="","",IF(OR(AND($S283&lt;&gt;"",$S283&gt;=WeekStart),AND($U283&lt;&gt;"",$U283&gt;=WeekStart)),MAX($S283,$U283)+ROW()/100000,""))</f>
        <v/>
      </c>
      <c r="AW283" s="65" t="str">
        <f aca="false">IF($AV283="","",IF($T283&lt;&gt;"",$T283,IF($X283="Closed","Closed","Accepted to "&amp;$X283)))</f>
        <v/>
      </c>
      <c r="AX283" s="65" t="str">
        <f aca="false">IF(AND($Y283&lt;&gt;"",$R283&lt;&gt;""),$AF283+ROW()/100000,"")</f>
        <v/>
      </c>
      <c r="AY283" s="65" t="str">
        <f aca="false">IF(AND($Y283&lt;&gt;"",OR($AB283="Overdue",AND($AH283="Critical",$R283&lt;&gt;""))),$AF283+ROW()/100000,"")</f>
        <v/>
      </c>
      <c r="AZ283" s="65" t="str">
        <f aca="false">IF($AH283="Critical",$AF283+ROW()/100000,"")</f>
        <v/>
      </c>
    </row>
    <row r="284" customFormat="false" ht="15" hidden="false" customHeight="false" outlineLevel="0" collapsed="false">
      <c r="A284" s="28"/>
      <c r="B284" s="28"/>
      <c r="C284" s="28"/>
      <c r="D284" s="28"/>
      <c r="E284" s="28"/>
      <c r="F284" s="28"/>
      <c r="G284" s="63"/>
      <c r="H284" s="63"/>
      <c r="I284" s="63"/>
      <c r="J284" s="28"/>
      <c r="K284" s="28"/>
      <c r="L284" s="28"/>
      <c r="M284" s="28"/>
      <c r="N284" s="28"/>
      <c r="O284" s="64"/>
      <c r="P284" s="64"/>
      <c r="Q284" s="64"/>
      <c r="R284" s="28"/>
      <c r="S284" s="63"/>
      <c r="T284" s="64"/>
      <c r="U284" s="63"/>
      <c r="V284" s="64"/>
      <c r="W284" s="28"/>
      <c r="X284" s="65" t="str">
        <f aca="false">IF($A284="","",IF(OR($T284&lt;&gt;"",$U284&lt;&gt;""),"Closed",IFERROR(INDEX(MapStage,MATCH($C284,MapStatus,0)),"Unmapped")))</f>
        <v/>
      </c>
      <c r="Y284" s="65" t="str">
        <f aca="false">IF(OR($X284="",$X284="Closed",$X284="Unmapped"),"",MATCH($X284,StageName,0))</f>
        <v/>
      </c>
      <c r="Z284" s="65" t="str">
        <f aca="false">IF(OR($Y284="",$I284=""),"",$I284-AsOf)</f>
        <v/>
      </c>
      <c r="AA284" s="65" t="str">
        <f aca="false">IF($A284="","",AsOf-$H284)</f>
        <v/>
      </c>
      <c r="AB284" s="65" t="str">
        <f aca="false">IF($A284="","",IF($X284="Closed","Closed",IF($X284="Unmapped","Unmapped",IF($I284="","No target",IF($Z284&lt;0,"Overdue",IF($Z284&lt;=INDEX(StageWindow,$Y284),"At risk","On track"))))))</f>
        <v/>
      </c>
      <c r="AC284" s="65" t="str">
        <f aca="false">IF($Y284="","",IF($AA284&gt;2*INDEX(StageStale,$Y284),"Stale",IF($AA284&gt;INDEX(StageStale,$Y284),"Aging","Fresh")))</f>
        <v/>
      </c>
      <c r="AD284" s="65" t="str">
        <f aca="false">IF($A284="","",IF(OR(ISNUMBER(SEARCH("Reg report",$J284)),ISNUMBER(SEARCH("No human review",$J284)),COUNTIF(TierFuncs,$D284)&gt;0),"High",IF(OR(TRIM($J284)&lt;&gt;"",ISNUMBER(SEARCH("revenue",$K284))),"Medium","Low")))</f>
        <v/>
      </c>
      <c r="AE284" s="65" t="str">
        <f aca="false">IF($A284="","",INDEX(TierDays,MATCH($AD284,TierName,0)))</f>
        <v/>
      </c>
      <c r="AF284" s="65" t="str">
        <f aca="false">IF($A284="","",AsOf-$G284)</f>
        <v/>
      </c>
      <c r="AG284" s="65" t="str">
        <f aca="false">IF($Y284="","",IF($Y284&lt;=5,IF($AF284&gt;$AE284,"Over","Inside"),"Past approval"))</f>
        <v/>
      </c>
      <c r="AH284" s="65" t="str">
        <f aca="false">IF($Y284="","",CHOOSE($Y284,IF(OR(TRIM($F284)="",ISNUMBER(SEARCH("not named",$F284))),"Critical","Good"),IF($O284&lt;&gt;"Y","Critical",IF($Q284&lt;&gt;"Y","Warning","Good")),IF($P284="","Critical",IF($P284="partial","Warning",IF($P284="ready","Good","Critical"))),IF($R284&lt;&gt;"","Critical","Warning"),IF($L284="","Critical",IF($N284="","Warning","Good")),IF($R284&lt;&gt;"","Critical","Warning"),IF($R284&lt;&gt;"","Critical","Warning"),IF($Q284="Y","Good","Critical")))</f>
        <v/>
      </c>
      <c r="AI284" s="65" t="str">
        <f aca="false">IF($Y284="","",CHOOSE($Y284,IF(OR(TRIM($F284)="",ISNUMBER(SEARCH("not named",$F284))),"Name a sponsor accountable for the value",""),IF($O284&lt;&gt;"Y","State the success metric and the stop condition",IF($Q284&lt;&gt;"Y","Set the baseline the benefit will be measured against","")),IF($P284="","Assess data readiness and regulatory impact",IF($P284="partial","Close the known data gaps",IF($P284="ready","","Data is not available; reshape or park"))),IF($R284&lt;&gt;"",IF(OR(ISNUMBER(SEARCH("mrm",$R284)),ISNUMBER(SEARCH("model",$R284)),ISNUMBER(SEARCH("risk",$R284)),ISNUMBER(SEARCH("legal",$R284)),ISNUMBER(SEARCH("complian",$R284))),"Awaiting ","Held at the design gate: ")&amp;$R284,"Map the governance framework for its tier"),IF($L284="","Size the annual benefit",IF($N284="","Score it so it can be ranked against capacity","")),IF($R284&lt;&gt;"","Build held: "&amp;$R284,"In build, not yet through test"),IF($R284&lt;&gt;"","Not ready to scale: "&amp;$R284,"Monitoring and third-party review not yet signed off"),IF($Q284="Y","","Live without a measured baseline to judge it against")))</f>
        <v/>
      </c>
      <c r="AJ284" s="65" t="str">
        <f aca="false">IF($Y284="","",INDEX(StageForum,$Y284))</f>
        <v/>
      </c>
      <c r="AK284" s="65" t="str">
        <f aca="false">IF($Y284="","",IF(OR($X284="Delivery",$X284="Value"),"Committed",IF($N284&lt;&gt;"","Candidate","")))</f>
        <v/>
      </c>
      <c r="AL284" s="65" t="str">
        <f aca="false">IF($AK284&lt;&gt;"Candidate","",COUNTIFS($AK$2:$AK$501,"Candidate",$N$2:$N$501,"&gt;"&amp;$N284)+COUNTIFS($AK$2:$AK$501,"Candidate",$N$2:$N$501,$N284,$A$2:$A$501,"&lt;"&amp;$A284)+1)</f>
        <v/>
      </c>
      <c r="AM284" s="65" t="str">
        <f aca="false">IF($AL284="","",SUMIFS($M$2:$M$501,$AK$2:$AK$501,"Candidate",$AL$2:$AL$501,"&lt;="&amp;$AL284))</f>
        <v/>
      </c>
      <c r="AN284" s="65" t="str">
        <f aca="false">IF($AL284="","",IF($AM284&lt;=CapacityOpen,"Fits","Below line"))</f>
        <v/>
      </c>
      <c r="AO284" s="65" t="str">
        <f aca="false">IF($A284="","",IF($X284="Closed","",IF($X284="Unmapped","Warning",IF(OR($AB284="Overdue",$V284="Y",$AH284="Critical"),"Critical",IF(OR($AB284="At risk",$AC284="Stale",$AG284="Over"),"Warning","")))))</f>
        <v/>
      </c>
      <c r="AP284" s="65" t="str">
        <f aca="false">IF($AO284="","",IF($AO284="Critical",3000,2000)-IF($Z284="",0,$Z284)+ROW()/100000)</f>
        <v/>
      </c>
      <c r="AQ284" s="65" t="str">
        <f aca="false">IF($AO284="","",IF($X284="Unmapped","Status '"&amp;$C284&amp;"' is not in the Config map",IF($V284="Y","Flagged in Jira",IF($AB284="Overdue",-$Z284&amp;" days past its "&amp;$X284&amp;" target",IF($AH284="Critical",$AI284,IF($AB284="At risk","Target in "&amp;$Z284&amp;" days",IF($AC284="Stale","No update in "&amp;$AA284&amp;" days","Past its "&amp;$AE284&amp;"-day tier window")))))))</f>
        <v/>
      </c>
      <c r="AR284" s="65" t="str">
        <f aca="false">IF($AO284="","","draft Jira update for "&amp;$A284)</f>
        <v/>
      </c>
      <c r="AS284" s="65" t="str">
        <f aca="false">IF($A284="","",HYPERLINK(JiraSite&amp;"/browse/"&amp;$A284,"open"))</f>
        <v/>
      </c>
      <c r="AT284" s="65" t="str">
        <f aca="false">IF($Y284="","",$Y284*1000+ROW())</f>
        <v/>
      </c>
      <c r="AU284" s="65" t="str">
        <f aca="false">IF(AND($A284&lt;&gt;"",$G284&gt;=WeekStart),$G284+ROW()/100000,"")</f>
        <v/>
      </c>
      <c r="AV284" s="65" t="str">
        <f aca="false">IF($A284="","",IF(OR(AND($S284&lt;&gt;"",$S284&gt;=WeekStart),AND($U284&lt;&gt;"",$U284&gt;=WeekStart)),MAX($S284,$U284)+ROW()/100000,""))</f>
        <v/>
      </c>
      <c r="AW284" s="65" t="str">
        <f aca="false">IF($AV284="","",IF($T284&lt;&gt;"",$T284,IF($X284="Closed","Closed","Accepted to "&amp;$X284)))</f>
        <v/>
      </c>
      <c r="AX284" s="65" t="str">
        <f aca="false">IF(AND($Y284&lt;&gt;"",$R284&lt;&gt;""),$AF284+ROW()/100000,"")</f>
        <v/>
      </c>
      <c r="AY284" s="65" t="str">
        <f aca="false">IF(AND($Y284&lt;&gt;"",OR($AB284="Overdue",AND($AH284="Critical",$R284&lt;&gt;""))),$AF284+ROW()/100000,"")</f>
        <v/>
      </c>
      <c r="AZ284" s="65" t="str">
        <f aca="false">IF($AH284="Critical",$AF284+ROW()/100000,"")</f>
        <v/>
      </c>
    </row>
    <row r="285" customFormat="false" ht="15" hidden="false" customHeight="false" outlineLevel="0" collapsed="false">
      <c r="A285" s="28"/>
      <c r="B285" s="28"/>
      <c r="C285" s="28"/>
      <c r="D285" s="28"/>
      <c r="E285" s="28"/>
      <c r="F285" s="28"/>
      <c r="G285" s="63"/>
      <c r="H285" s="63"/>
      <c r="I285" s="63"/>
      <c r="J285" s="28"/>
      <c r="K285" s="28"/>
      <c r="L285" s="28"/>
      <c r="M285" s="28"/>
      <c r="N285" s="28"/>
      <c r="O285" s="64"/>
      <c r="P285" s="64"/>
      <c r="Q285" s="64"/>
      <c r="R285" s="28"/>
      <c r="S285" s="63"/>
      <c r="T285" s="64"/>
      <c r="U285" s="63"/>
      <c r="V285" s="64"/>
      <c r="W285" s="28"/>
      <c r="X285" s="65" t="str">
        <f aca="false">IF($A285="","",IF(OR($T285&lt;&gt;"",$U285&lt;&gt;""),"Closed",IFERROR(INDEX(MapStage,MATCH($C285,MapStatus,0)),"Unmapped")))</f>
        <v/>
      </c>
      <c r="Y285" s="65" t="str">
        <f aca="false">IF(OR($X285="",$X285="Closed",$X285="Unmapped"),"",MATCH($X285,StageName,0))</f>
        <v/>
      </c>
      <c r="Z285" s="65" t="str">
        <f aca="false">IF(OR($Y285="",$I285=""),"",$I285-AsOf)</f>
        <v/>
      </c>
      <c r="AA285" s="65" t="str">
        <f aca="false">IF($A285="","",AsOf-$H285)</f>
        <v/>
      </c>
      <c r="AB285" s="65" t="str">
        <f aca="false">IF($A285="","",IF($X285="Closed","Closed",IF($X285="Unmapped","Unmapped",IF($I285="","No target",IF($Z285&lt;0,"Overdue",IF($Z285&lt;=INDEX(StageWindow,$Y285),"At risk","On track"))))))</f>
        <v/>
      </c>
      <c r="AC285" s="65" t="str">
        <f aca="false">IF($Y285="","",IF($AA285&gt;2*INDEX(StageStale,$Y285),"Stale",IF($AA285&gt;INDEX(StageStale,$Y285),"Aging","Fresh")))</f>
        <v/>
      </c>
      <c r="AD285" s="65" t="str">
        <f aca="false">IF($A285="","",IF(OR(ISNUMBER(SEARCH("Reg report",$J285)),ISNUMBER(SEARCH("No human review",$J285)),COUNTIF(TierFuncs,$D285)&gt;0),"High",IF(OR(TRIM($J285)&lt;&gt;"",ISNUMBER(SEARCH("revenue",$K285))),"Medium","Low")))</f>
        <v/>
      </c>
      <c r="AE285" s="65" t="str">
        <f aca="false">IF($A285="","",INDEX(TierDays,MATCH($AD285,TierName,0)))</f>
        <v/>
      </c>
      <c r="AF285" s="65" t="str">
        <f aca="false">IF($A285="","",AsOf-$G285)</f>
        <v/>
      </c>
      <c r="AG285" s="65" t="str">
        <f aca="false">IF($Y285="","",IF($Y285&lt;=5,IF($AF285&gt;$AE285,"Over","Inside"),"Past approval"))</f>
        <v/>
      </c>
      <c r="AH285" s="65" t="str">
        <f aca="false">IF($Y285="","",CHOOSE($Y285,IF(OR(TRIM($F285)="",ISNUMBER(SEARCH("not named",$F285))),"Critical","Good"),IF($O285&lt;&gt;"Y","Critical",IF($Q285&lt;&gt;"Y","Warning","Good")),IF($P285="","Critical",IF($P285="partial","Warning",IF($P285="ready","Good","Critical"))),IF($R285&lt;&gt;"","Critical","Warning"),IF($L285="","Critical",IF($N285="","Warning","Good")),IF($R285&lt;&gt;"","Critical","Warning"),IF($R285&lt;&gt;"","Critical","Warning"),IF($Q285="Y","Good","Critical")))</f>
        <v/>
      </c>
      <c r="AI285" s="65" t="str">
        <f aca="false">IF($Y285="","",CHOOSE($Y285,IF(OR(TRIM($F285)="",ISNUMBER(SEARCH("not named",$F285))),"Name a sponsor accountable for the value",""),IF($O285&lt;&gt;"Y","State the success metric and the stop condition",IF($Q285&lt;&gt;"Y","Set the baseline the benefit will be measured against","")),IF($P285="","Assess data readiness and regulatory impact",IF($P285="partial","Close the known data gaps",IF($P285="ready","","Data is not available; reshape or park"))),IF($R285&lt;&gt;"",IF(OR(ISNUMBER(SEARCH("mrm",$R285)),ISNUMBER(SEARCH("model",$R285)),ISNUMBER(SEARCH("risk",$R285)),ISNUMBER(SEARCH("legal",$R285)),ISNUMBER(SEARCH("complian",$R285))),"Awaiting ","Held at the design gate: ")&amp;$R285,"Map the governance framework for its tier"),IF($L285="","Size the annual benefit",IF($N285="","Score it so it can be ranked against capacity","")),IF($R285&lt;&gt;"","Build held: "&amp;$R285,"In build, not yet through test"),IF($R285&lt;&gt;"","Not ready to scale: "&amp;$R285,"Monitoring and third-party review not yet signed off"),IF($Q285="Y","","Live without a measured baseline to judge it against")))</f>
        <v/>
      </c>
      <c r="AJ285" s="65" t="str">
        <f aca="false">IF($Y285="","",INDEX(StageForum,$Y285))</f>
        <v/>
      </c>
      <c r="AK285" s="65" t="str">
        <f aca="false">IF($Y285="","",IF(OR($X285="Delivery",$X285="Value"),"Committed",IF($N285&lt;&gt;"","Candidate","")))</f>
        <v/>
      </c>
      <c r="AL285" s="65" t="str">
        <f aca="false">IF($AK285&lt;&gt;"Candidate","",COUNTIFS($AK$2:$AK$501,"Candidate",$N$2:$N$501,"&gt;"&amp;$N285)+COUNTIFS($AK$2:$AK$501,"Candidate",$N$2:$N$501,$N285,$A$2:$A$501,"&lt;"&amp;$A285)+1)</f>
        <v/>
      </c>
      <c r="AM285" s="65" t="str">
        <f aca="false">IF($AL285="","",SUMIFS($M$2:$M$501,$AK$2:$AK$501,"Candidate",$AL$2:$AL$501,"&lt;="&amp;$AL285))</f>
        <v/>
      </c>
      <c r="AN285" s="65" t="str">
        <f aca="false">IF($AL285="","",IF($AM285&lt;=CapacityOpen,"Fits","Below line"))</f>
        <v/>
      </c>
      <c r="AO285" s="65" t="str">
        <f aca="false">IF($A285="","",IF($X285="Closed","",IF($X285="Unmapped","Warning",IF(OR($AB285="Overdue",$V285="Y",$AH285="Critical"),"Critical",IF(OR($AB285="At risk",$AC285="Stale",$AG285="Over"),"Warning","")))))</f>
        <v/>
      </c>
      <c r="AP285" s="65" t="str">
        <f aca="false">IF($AO285="","",IF($AO285="Critical",3000,2000)-IF($Z285="",0,$Z285)+ROW()/100000)</f>
        <v/>
      </c>
      <c r="AQ285" s="65" t="str">
        <f aca="false">IF($AO285="","",IF($X285="Unmapped","Status '"&amp;$C285&amp;"' is not in the Config map",IF($V285="Y","Flagged in Jira",IF($AB285="Overdue",-$Z285&amp;" days past its "&amp;$X285&amp;" target",IF($AH285="Critical",$AI285,IF($AB285="At risk","Target in "&amp;$Z285&amp;" days",IF($AC285="Stale","No update in "&amp;$AA285&amp;" days","Past its "&amp;$AE285&amp;"-day tier window")))))))</f>
        <v/>
      </c>
      <c r="AR285" s="65" t="str">
        <f aca="false">IF($AO285="","","draft Jira update for "&amp;$A285)</f>
        <v/>
      </c>
      <c r="AS285" s="65" t="str">
        <f aca="false">IF($A285="","",HYPERLINK(JiraSite&amp;"/browse/"&amp;$A285,"open"))</f>
        <v/>
      </c>
      <c r="AT285" s="65" t="str">
        <f aca="false">IF($Y285="","",$Y285*1000+ROW())</f>
        <v/>
      </c>
      <c r="AU285" s="65" t="str">
        <f aca="false">IF(AND($A285&lt;&gt;"",$G285&gt;=WeekStart),$G285+ROW()/100000,"")</f>
        <v/>
      </c>
      <c r="AV285" s="65" t="str">
        <f aca="false">IF($A285="","",IF(OR(AND($S285&lt;&gt;"",$S285&gt;=WeekStart),AND($U285&lt;&gt;"",$U285&gt;=WeekStart)),MAX($S285,$U285)+ROW()/100000,""))</f>
        <v/>
      </c>
      <c r="AW285" s="65" t="str">
        <f aca="false">IF($AV285="","",IF($T285&lt;&gt;"",$T285,IF($X285="Closed","Closed","Accepted to "&amp;$X285)))</f>
        <v/>
      </c>
      <c r="AX285" s="65" t="str">
        <f aca="false">IF(AND($Y285&lt;&gt;"",$R285&lt;&gt;""),$AF285+ROW()/100000,"")</f>
        <v/>
      </c>
      <c r="AY285" s="65" t="str">
        <f aca="false">IF(AND($Y285&lt;&gt;"",OR($AB285="Overdue",AND($AH285="Critical",$R285&lt;&gt;""))),$AF285+ROW()/100000,"")</f>
        <v/>
      </c>
      <c r="AZ285" s="65" t="str">
        <f aca="false">IF($AH285="Critical",$AF285+ROW()/100000,"")</f>
        <v/>
      </c>
    </row>
    <row r="286" customFormat="false" ht="15" hidden="false" customHeight="false" outlineLevel="0" collapsed="false">
      <c r="A286" s="28"/>
      <c r="B286" s="28"/>
      <c r="C286" s="28"/>
      <c r="D286" s="28"/>
      <c r="E286" s="28"/>
      <c r="F286" s="28"/>
      <c r="G286" s="63"/>
      <c r="H286" s="63"/>
      <c r="I286" s="63"/>
      <c r="J286" s="28"/>
      <c r="K286" s="28"/>
      <c r="L286" s="28"/>
      <c r="M286" s="28"/>
      <c r="N286" s="28"/>
      <c r="O286" s="64"/>
      <c r="P286" s="64"/>
      <c r="Q286" s="64"/>
      <c r="R286" s="28"/>
      <c r="S286" s="63"/>
      <c r="T286" s="64"/>
      <c r="U286" s="63"/>
      <c r="V286" s="64"/>
      <c r="W286" s="28"/>
      <c r="X286" s="65" t="str">
        <f aca="false">IF($A286="","",IF(OR($T286&lt;&gt;"",$U286&lt;&gt;""),"Closed",IFERROR(INDEX(MapStage,MATCH($C286,MapStatus,0)),"Unmapped")))</f>
        <v/>
      </c>
      <c r="Y286" s="65" t="str">
        <f aca="false">IF(OR($X286="",$X286="Closed",$X286="Unmapped"),"",MATCH($X286,StageName,0))</f>
        <v/>
      </c>
      <c r="Z286" s="65" t="str">
        <f aca="false">IF(OR($Y286="",$I286=""),"",$I286-AsOf)</f>
        <v/>
      </c>
      <c r="AA286" s="65" t="str">
        <f aca="false">IF($A286="","",AsOf-$H286)</f>
        <v/>
      </c>
      <c r="AB286" s="65" t="str">
        <f aca="false">IF($A286="","",IF($X286="Closed","Closed",IF($X286="Unmapped","Unmapped",IF($I286="","No target",IF($Z286&lt;0,"Overdue",IF($Z286&lt;=INDEX(StageWindow,$Y286),"At risk","On track"))))))</f>
        <v/>
      </c>
      <c r="AC286" s="65" t="str">
        <f aca="false">IF($Y286="","",IF($AA286&gt;2*INDEX(StageStale,$Y286),"Stale",IF($AA286&gt;INDEX(StageStale,$Y286),"Aging","Fresh")))</f>
        <v/>
      </c>
      <c r="AD286" s="65" t="str">
        <f aca="false">IF($A286="","",IF(OR(ISNUMBER(SEARCH("Reg report",$J286)),ISNUMBER(SEARCH("No human review",$J286)),COUNTIF(TierFuncs,$D286)&gt;0),"High",IF(OR(TRIM($J286)&lt;&gt;"",ISNUMBER(SEARCH("revenue",$K286))),"Medium","Low")))</f>
        <v/>
      </c>
      <c r="AE286" s="65" t="str">
        <f aca="false">IF($A286="","",INDEX(TierDays,MATCH($AD286,TierName,0)))</f>
        <v/>
      </c>
      <c r="AF286" s="65" t="str">
        <f aca="false">IF($A286="","",AsOf-$G286)</f>
        <v/>
      </c>
      <c r="AG286" s="65" t="str">
        <f aca="false">IF($Y286="","",IF($Y286&lt;=5,IF($AF286&gt;$AE286,"Over","Inside"),"Past approval"))</f>
        <v/>
      </c>
      <c r="AH286" s="65" t="str">
        <f aca="false">IF($Y286="","",CHOOSE($Y286,IF(OR(TRIM($F286)="",ISNUMBER(SEARCH("not named",$F286))),"Critical","Good"),IF($O286&lt;&gt;"Y","Critical",IF($Q286&lt;&gt;"Y","Warning","Good")),IF($P286="","Critical",IF($P286="partial","Warning",IF($P286="ready","Good","Critical"))),IF($R286&lt;&gt;"","Critical","Warning"),IF($L286="","Critical",IF($N286="","Warning","Good")),IF($R286&lt;&gt;"","Critical","Warning"),IF($R286&lt;&gt;"","Critical","Warning"),IF($Q286="Y","Good","Critical")))</f>
        <v/>
      </c>
      <c r="AI286" s="65" t="str">
        <f aca="false">IF($Y286="","",CHOOSE($Y286,IF(OR(TRIM($F286)="",ISNUMBER(SEARCH("not named",$F286))),"Name a sponsor accountable for the value",""),IF($O286&lt;&gt;"Y","State the success metric and the stop condition",IF($Q286&lt;&gt;"Y","Set the baseline the benefit will be measured against","")),IF($P286="","Assess data readiness and regulatory impact",IF($P286="partial","Close the known data gaps",IF($P286="ready","","Data is not available; reshape or park"))),IF($R286&lt;&gt;"",IF(OR(ISNUMBER(SEARCH("mrm",$R286)),ISNUMBER(SEARCH("model",$R286)),ISNUMBER(SEARCH("risk",$R286)),ISNUMBER(SEARCH("legal",$R286)),ISNUMBER(SEARCH("complian",$R286))),"Awaiting ","Held at the design gate: ")&amp;$R286,"Map the governance framework for its tier"),IF($L286="","Size the annual benefit",IF($N286="","Score it so it can be ranked against capacity","")),IF($R286&lt;&gt;"","Build held: "&amp;$R286,"In build, not yet through test"),IF($R286&lt;&gt;"","Not ready to scale: "&amp;$R286,"Monitoring and third-party review not yet signed off"),IF($Q286="Y","","Live without a measured baseline to judge it against")))</f>
        <v/>
      </c>
      <c r="AJ286" s="65" t="str">
        <f aca="false">IF($Y286="","",INDEX(StageForum,$Y286))</f>
        <v/>
      </c>
      <c r="AK286" s="65" t="str">
        <f aca="false">IF($Y286="","",IF(OR($X286="Delivery",$X286="Value"),"Committed",IF($N286&lt;&gt;"","Candidate","")))</f>
        <v/>
      </c>
      <c r="AL286" s="65" t="str">
        <f aca="false">IF($AK286&lt;&gt;"Candidate","",COUNTIFS($AK$2:$AK$501,"Candidate",$N$2:$N$501,"&gt;"&amp;$N286)+COUNTIFS($AK$2:$AK$501,"Candidate",$N$2:$N$501,$N286,$A$2:$A$501,"&lt;"&amp;$A286)+1)</f>
        <v/>
      </c>
      <c r="AM286" s="65" t="str">
        <f aca="false">IF($AL286="","",SUMIFS($M$2:$M$501,$AK$2:$AK$501,"Candidate",$AL$2:$AL$501,"&lt;="&amp;$AL286))</f>
        <v/>
      </c>
      <c r="AN286" s="65" t="str">
        <f aca="false">IF($AL286="","",IF($AM286&lt;=CapacityOpen,"Fits","Below line"))</f>
        <v/>
      </c>
      <c r="AO286" s="65" t="str">
        <f aca="false">IF($A286="","",IF($X286="Closed","",IF($X286="Unmapped","Warning",IF(OR($AB286="Overdue",$V286="Y",$AH286="Critical"),"Critical",IF(OR($AB286="At risk",$AC286="Stale",$AG286="Over"),"Warning","")))))</f>
        <v/>
      </c>
      <c r="AP286" s="65" t="str">
        <f aca="false">IF($AO286="","",IF($AO286="Critical",3000,2000)-IF($Z286="",0,$Z286)+ROW()/100000)</f>
        <v/>
      </c>
      <c r="AQ286" s="65" t="str">
        <f aca="false">IF($AO286="","",IF($X286="Unmapped","Status '"&amp;$C286&amp;"' is not in the Config map",IF($V286="Y","Flagged in Jira",IF($AB286="Overdue",-$Z286&amp;" days past its "&amp;$X286&amp;" target",IF($AH286="Critical",$AI286,IF($AB286="At risk","Target in "&amp;$Z286&amp;" days",IF($AC286="Stale","No update in "&amp;$AA286&amp;" days","Past its "&amp;$AE286&amp;"-day tier window")))))))</f>
        <v/>
      </c>
      <c r="AR286" s="65" t="str">
        <f aca="false">IF($AO286="","","draft Jira update for "&amp;$A286)</f>
        <v/>
      </c>
      <c r="AS286" s="65" t="str">
        <f aca="false">IF($A286="","",HYPERLINK(JiraSite&amp;"/browse/"&amp;$A286,"open"))</f>
        <v/>
      </c>
      <c r="AT286" s="65" t="str">
        <f aca="false">IF($Y286="","",$Y286*1000+ROW())</f>
        <v/>
      </c>
      <c r="AU286" s="65" t="str">
        <f aca="false">IF(AND($A286&lt;&gt;"",$G286&gt;=WeekStart),$G286+ROW()/100000,"")</f>
        <v/>
      </c>
      <c r="AV286" s="65" t="str">
        <f aca="false">IF($A286="","",IF(OR(AND($S286&lt;&gt;"",$S286&gt;=WeekStart),AND($U286&lt;&gt;"",$U286&gt;=WeekStart)),MAX($S286,$U286)+ROW()/100000,""))</f>
        <v/>
      </c>
      <c r="AW286" s="65" t="str">
        <f aca="false">IF($AV286="","",IF($T286&lt;&gt;"",$T286,IF($X286="Closed","Closed","Accepted to "&amp;$X286)))</f>
        <v/>
      </c>
      <c r="AX286" s="65" t="str">
        <f aca="false">IF(AND($Y286&lt;&gt;"",$R286&lt;&gt;""),$AF286+ROW()/100000,"")</f>
        <v/>
      </c>
      <c r="AY286" s="65" t="str">
        <f aca="false">IF(AND($Y286&lt;&gt;"",OR($AB286="Overdue",AND($AH286="Critical",$R286&lt;&gt;""))),$AF286+ROW()/100000,"")</f>
        <v/>
      </c>
      <c r="AZ286" s="65" t="str">
        <f aca="false">IF($AH286="Critical",$AF286+ROW()/100000,"")</f>
        <v/>
      </c>
    </row>
    <row r="287" customFormat="false" ht="15" hidden="false" customHeight="false" outlineLevel="0" collapsed="false">
      <c r="A287" s="28"/>
      <c r="B287" s="28"/>
      <c r="C287" s="28"/>
      <c r="D287" s="28"/>
      <c r="E287" s="28"/>
      <c r="F287" s="28"/>
      <c r="G287" s="63"/>
      <c r="H287" s="63"/>
      <c r="I287" s="63"/>
      <c r="J287" s="28"/>
      <c r="K287" s="28"/>
      <c r="L287" s="28"/>
      <c r="M287" s="28"/>
      <c r="N287" s="28"/>
      <c r="O287" s="64"/>
      <c r="P287" s="64"/>
      <c r="Q287" s="64"/>
      <c r="R287" s="28"/>
      <c r="S287" s="63"/>
      <c r="T287" s="64"/>
      <c r="U287" s="63"/>
      <c r="V287" s="64"/>
      <c r="W287" s="28"/>
      <c r="X287" s="65" t="str">
        <f aca="false">IF($A287="","",IF(OR($T287&lt;&gt;"",$U287&lt;&gt;""),"Closed",IFERROR(INDEX(MapStage,MATCH($C287,MapStatus,0)),"Unmapped")))</f>
        <v/>
      </c>
      <c r="Y287" s="65" t="str">
        <f aca="false">IF(OR($X287="",$X287="Closed",$X287="Unmapped"),"",MATCH($X287,StageName,0))</f>
        <v/>
      </c>
      <c r="Z287" s="65" t="str">
        <f aca="false">IF(OR($Y287="",$I287=""),"",$I287-AsOf)</f>
        <v/>
      </c>
      <c r="AA287" s="65" t="str">
        <f aca="false">IF($A287="","",AsOf-$H287)</f>
        <v/>
      </c>
      <c r="AB287" s="65" t="str">
        <f aca="false">IF($A287="","",IF($X287="Closed","Closed",IF($X287="Unmapped","Unmapped",IF($I287="","No target",IF($Z287&lt;0,"Overdue",IF($Z287&lt;=INDEX(StageWindow,$Y287),"At risk","On track"))))))</f>
        <v/>
      </c>
      <c r="AC287" s="65" t="str">
        <f aca="false">IF($Y287="","",IF($AA287&gt;2*INDEX(StageStale,$Y287),"Stale",IF($AA287&gt;INDEX(StageStale,$Y287),"Aging","Fresh")))</f>
        <v/>
      </c>
      <c r="AD287" s="65" t="str">
        <f aca="false">IF($A287="","",IF(OR(ISNUMBER(SEARCH("Reg report",$J287)),ISNUMBER(SEARCH("No human review",$J287)),COUNTIF(TierFuncs,$D287)&gt;0),"High",IF(OR(TRIM($J287)&lt;&gt;"",ISNUMBER(SEARCH("revenue",$K287))),"Medium","Low")))</f>
        <v/>
      </c>
      <c r="AE287" s="65" t="str">
        <f aca="false">IF($A287="","",INDEX(TierDays,MATCH($AD287,TierName,0)))</f>
        <v/>
      </c>
      <c r="AF287" s="65" t="str">
        <f aca="false">IF($A287="","",AsOf-$G287)</f>
        <v/>
      </c>
      <c r="AG287" s="65" t="str">
        <f aca="false">IF($Y287="","",IF($Y287&lt;=5,IF($AF287&gt;$AE287,"Over","Inside"),"Past approval"))</f>
        <v/>
      </c>
      <c r="AH287" s="65" t="str">
        <f aca="false">IF($Y287="","",CHOOSE($Y287,IF(OR(TRIM($F287)="",ISNUMBER(SEARCH("not named",$F287))),"Critical","Good"),IF($O287&lt;&gt;"Y","Critical",IF($Q287&lt;&gt;"Y","Warning","Good")),IF($P287="","Critical",IF($P287="partial","Warning",IF($P287="ready","Good","Critical"))),IF($R287&lt;&gt;"","Critical","Warning"),IF($L287="","Critical",IF($N287="","Warning","Good")),IF($R287&lt;&gt;"","Critical","Warning"),IF($R287&lt;&gt;"","Critical","Warning"),IF($Q287="Y","Good","Critical")))</f>
        <v/>
      </c>
      <c r="AI287" s="65" t="str">
        <f aca="false">IF($Y287="","",CHOOSE($Y287,IF(OR(TRIM($F287)="",ISNUMBER(SEARCH("not named",$F287))),"Name a sponsor accountable for the value",""),IF($O287&lt;&gt;"Y","State the success metric and the stop condition",IF($Q287&lt;&gt;"Y","Set the baseline the benefit will be measured against","")),IF($P287="","Assess data readiness and regulatory impact",IF($P287="partial","Close the known data gaps",IF($P287="ready","","Data is not available; reshape or park"))),IF($R287&lt;&gt;"",IF(OR(ISNUMBER(SEARCH("mrm",$R287)),ISNUMBER(SEARCH("model",$R287)),ISNUMBER(SEARCH("risk",$R287)),ISNUMBER(SEARCH("legal",$R287)),ISNUMBER(SEARCH("complian",$R287))),"Awaiting ","Held at the design gate: ")&amp;$R287,"Map the governance framework for its tier"),IF($L287="","Size the annual benefit",IF($N287="","Score it so it can be ranked against capacity","")),IF($R287&lt;&gt;"","Build held: "&amp;$R287,"In build, not yet through test"),IF($R287&lt;&gt;"","Not ready to scale: "&amp;$R287,"Monitoring and third-party review not yet signed off"),IF($Q287="Y","","Live without a measured baseline to judge it against")))</f>
        <v/>
      </c>
      <c r="AJ287" s="65" t="str">
        <f aca="false">IF($Y287="","",INDEX(StageForum,$Y287))</f>
        <v/>
      </c>
      <c r="AK287" s="65" t="str">
        <f aca="false">IF($Y287="","",IF(OR($X287="Delivery",$X287="Value"),"Committed",IF($N287&lt;&gt;"","Candidate","")))</f>
        <v/>
      </c>
      <c r="AL287" s="65" t="str">
        <f aca="false">IF($AK287&lt;&gt;"Candidate","",COUNTIFS($AK$2:$AK$501,"Candidate",$N$2:$N$501,"&gt;"&amp;$N287)+COUNTIFS($AK$2:$AK$501,"Candidate",$N$2:$N$501,$N287,$A$2:$A$501,"&lt;"&amp;$A287)+1)</f>
        <v/>
      </c>
      <c r="AM287" s="65" t="str">
        <f aca="false">IF($AL287="","",SUMIFS($M$2:$M$501,$AK$2:$AK$501,"Candidate",$AL$2:$AL$501,"&lt;="&amp;$AL287))</f>
        <v/>
      </c>
      <c r="AN287" s="65" t="str">
        <f aca="false">IF($AL287="","",IF($AM287&lt;=CapacityOpen,"Fits","Below line"))</f>
        <v/>
      </c>
      <c r="AO287" s="65" t="str">
        <f aca="false">IF($A287="","",IF($X287="Closed","",IF($X287="Unmapped","Warning",IF(OR($AB287="Overdue",$V287="Y",$AH287="Critical"),"Critical",IF(OR($AB287="At risk",$AC287="Stale",$AG287="Over"),"Warning","")))))</f>
        <v/>
      </c>
      <c r="AP287" s="65" t="str">
        <f aca="false">IF($AO287="","",IF($AO287="Critical",3000,2000)-IF($Z287="",0,$Z287)+ROW()/100000)</f>
        <v/>
      </c>
      <c r="AQ287" s="65" t="str">
        <f aca="false">IF($AO287="","",IF($X287="Unmapped","Status '"&amp;$C287&amp;"' is not in the Config map",IF($V287="Y","Flagged in Jira",IF($AB287="Overdue",-$Z287&amp;" days past its "&amp;$X287&amp;" target",IF($AH287="Critical",$AI287,IF($AB287="At risk","Target in "&amp;$Z287&amp;" days",IF($AC287="Stale","No update in "&amp;$AA287&amp;" days","Past its "&amp;$AE287&amp;"-day tier window")))))))</f>
        <v/>
      </c>
      <c r="AR287" s="65" t="str">
        <f aca="false">IF($AO287="","","draft Jira update for "&amp;$A287)</f>
        <v/>
      </c>
      <c r="AS287" s="65" t="str">
        <f aca="false">IF($A287="","",HYPERLINK(JiraSite&amp;"/browse/"&amp;$A287,"open"))</f>
        <v/>
      </c>
      <c r="AT287" s="65" t="str">
        <f aca="false">IF($Y287="","",$Y287*1000+ROW())</f>
        <v/>
      </c>
      <c r="AU287" s="65" t="str">
        <f aca="false">IF(AND($A287&lt;&gt;"",$G287&gt;=WeekStart),$G287+ROW()/100000,"")</f>
        <v/>
      </c>
      <c r="AV287" s="65" t="str">
        <f aca="false">IF($A287="","",IF(OR(AND($S287&lt;&gt;"",$S287&gt;=WeekStart),AND($U287&lt;&gt;"",$U287&gt;=WeekStart)),MAX($S287,$U287)+ROW()/100000,""))</f>
        <v/>
      </c>
      <c r="AW287" s="65" t="str">
        <f aca="false">IF($AV287="","",IF($T287&lt;&gt;"",$T287,IF($X287="Closed","Closed","Accepted to "&amp;$X287)))</f>
        <v/>
      </c>
      <c r="AX287" s="65" t="str">
        <f aca="false">IF(AND($Y287&lt;&gt;"",$R287&lt;&gt;""),$AF287+ROW()/100000,"")</f>
        <v/>
      </c>
      <c r="AY287" s="65" t="str">
        <f aca="false">IF(AND($Y287&lt;&gt;"",OR($AB287="Overdue",AND($AH287="Critical",$R287&lt;&gt;""))),$AF287+ROW()/100000,"")</f>
        <v/>
      </c>
      <c r="AZ287" s="65" t="str">
        <f aca="false">IF($AH287="Critical",$AF287+ROW()/100000,"")</f>
        <v/>
      </c>
    </row>
    <row r="288" customFormat="false" ht="15" hidden="false" customHeight="false" outlineLevel="0" collapsed="false">
      <c r="A288" s="28"/>
      <c r="B288" s="28"/>
      <c r="C288" s="28"/>
      <c r="D288" s="28"/>
      <c r="E288" s="28"/>
      <c r="F288" s="28"/>
      <c r="G288" s="63"/>
      <c r="H288" s="63"/>
      <c r="I288" s="63"/>
      <c r="J288" s="28"/>
      <c r="K288" s="28"/>
      <c r="L288" s="28"/>
      <c r="M288" s="28"/>
      <c r="N288" s="28"/>
      <c r="O288" s="64"/>
      <c r="P288" s="64"/>
      <c r="Q288" s="64"/>
      <c r="R288" s="28"/>
      <c r="S288" s="63"/>
      <c r="T288" s="64"/>
      <c r="U288" s="63"/>
      <c r="V288" s="64"/>
      <c r="W288" s="28"/>
      <c r="X288" s="65" t="str">
        <f aca="false">IF($A288="","",IF(OR($T288&lt;&gt;"",$U288&lt;&gt;""),"Closed",IFERROR(INDEX(MapStage,MATCH($C288,MapStatus,0)),"Unmapped")))</f>
        <v/>
      </c>
      <c r="Y288" s="65" t="str">
        <f aca="false">IF(OR($X288="",$X288="Closed",$X288="Unmapped"),"",MATCH($X288,StageName,0))</f>
        <v/>
      </c>
      <c r="Z288" s="65" t="str">
        <f aca="false">IF(OR($Y288="",$I288=""),"",$I288-AsOf)</f>
        <v/>
      </c>
      <c r="AA288" s="65" t="str">
        <f aca="false">IF($A288="","",AsOf-$H288)</f>
        <v/>
      </c>
      <c r="AB288" s="65" t="str">
        <f aca="false">IF($A288="","",IF($X288="Closed","Closed",IF($X288="Unmapped","Unmapped",IF($I288="","No target",IF($Z288&lt;0,"Overdue",IF($Z288&lt;=INDEX(StageWindow,$Y288),"At risk","On track"))))))</f>
        <v/>
      </c>
      <c r="AC288" s="65" t="str">
        <f aca="false">IF($Y288="","",IF($AA288&gt;2*INDEX(StageStale,$Y288),"Stale",IF($AA288&gt;INDEX(StageStale,$Y288),"Aging","Fresh")))</f>
        <v/>
      </c>
      <c r="AD288" s="65" t="str">
        <f aca="false">IF($A288="","",IF(OR(ISNUMBER(SEARCH("Reg report",$J288)),ISNUMBER(SEARCH("No human review",$J288)),COUNTIF(TierFuncs,$D288)&gt;0),"High",IF(OR(TRIM($J288)&lt;&gt;"",ISNUMBER(SEARCH("revenue",$K288))),"Medium","Low")))</f>
        <v/>
      </c>
      <c r="AE288" s="65" t="str">
        <f aca="false">IF($A288="","",INDEX(TierDays,MATCH($AD288,TierName,0)))</f>
        <v/>
      </c>
      <c r="AF288" s="65" t="str">
        <f aca="false">IF($A288="","",AsOf-$G288)</f>
        <v/>
      </c>
      <c r="AG288" s="65" t="str">
        <f aca="false">IF($Y288="","",IF($Y288&lt;=5,IF($AF288&gt;$AE288,"Over","Inside"),"Past approval"))</f>
        <v/>
      </c>
      <c r="AH288" s="65" t="str">
        <f aca="false">IF($Y288="","",CHOOSE($Y288,IF(OR(TRIM($F288)="",ISNUMBER(SEARCH("not named",$F288))),"Critical","Good"),IF($O288&lt;&gt;"Y","Critical",IF($Q288&lt;&gt;"Y","Warning","Good")),IF($P288="","Critical",IF($P288="partial","Warning",IF($P288="ready","Good","Critical"))),IF($R288&lt;&gt;"","Critical","Warning"),IF($L288="","Critical",IF($N288="","Warning","Good")),IF($R288&lt;&gt;"","Critical","Warning"),IF($R288&lt;&gt;"","Critical","Warning"),IF($Q288="Y","Good","Critical")))</f>
        <v/>
      </c>
      <c r="AI288" s="65" t="str">
        <f aca="false">IF($Y288="","",CHOOSE($Y288,IF(OR(TRIM($F288)="",ISNUMBER(SEARCH("not named",$F288))),"Name a sponsor accountable for the value",""),IF($O288&lt;&gt;"Y","State the success metric and the stop condition",IF($Q288&lt;&gt;"Y","Set the baseline the benefit will be measured against","")),IF($P288="","Assess data readiness and regulatory impact",IF($P288="partial","Close the known data gaps",IF($P288="ready","","Data is not available; reshape or park"))),IF($R288&lt;&gt;"",IF(OR(ISNUMBER(SEARCH("mrm",$R288)),ISNUMBER(SEARCH("model",$R288)),ISNUMBER(SEARCH("risk",$R288)),ISNUMBER(SEARCH("legal",$R288)),ISNUMBER(SEARCH("complian",$R288))),"Awaiting ","Held at the design gate: ")&amp;$R288,"Map the governance framework for its tier"),IF($L288="","Size the annual benefit",IF($N288="","Score it so it can be ranked against capacity","")),IF($R288&lt;&gt;"","Build held: "&amp;$R288,"In build, not yet through test"),IF($R288&lt;&gt;"","Not ready to scale: "&amp;$R288,"Monitoring and third-party review not yet signed off"),IF($Q288="Y","","Live without a measured baseline to judge it against")))</f>
        <v/>
      </c>
      <c r="AJ288" s="65" t="str">
        <f aca="false">IF($Y288="","",INDEX(StageForum,$Y288))</f>
        <v/>
      </c>
      <c r="AK288" s="65" t="str">
        <f aca="false">IF($Y288="","",IF(OR($X288="Delivery",$X288="Value"),"Committed",IF($N288&lt;&gt;"","Candidate","")))</f>
        <v/>
      </c>
      <c r="AL288" s="65" t="str">
        <f aca="false">IF($AK288&lt;&gt;"Candidate","",COUNTIFS($AK$2:$AK$501,"Candidate",$N$2:$N$501,"&gt;"&amp;$N288)+COUNTIFS($AK$2:$AK$501,"Candidate",$N$2:$N$501,$N288,$A$2:$A$501,"&lt;"&amp;$A288)+1)</f>
        <v/>
      </c>
      <c r="AM288" s="65" t="str">
        <f aca="false">IF($AL288="","",SUMIFS($M$2:$M$501,$AK$2:$AK$501,"Candidate",$AL$2:$AL$501,"&lt;="&amp;$AL288))</f>
        <v/>
      </c>
      <c r="AN288" s="65" t="str">
        <f aca="false">IF($AL288="","",IF($AM288&lt;=CapacityOpen,"Fits","Below line"))</f>
        <v/>
      </c>
      <c r="AO288" s="65" t="str">
        <f aca="false">IF($A288="","",IF($X288="Closed","",IF($X288="Unmapped","Warning",IF(OR($AB288="Overdue",$V288="Y",$AH288="Critical"),"Critical",IF(OR($AB288="At risk",$AC288="Stale",$AG288="Over"),"Warning","")))))</f>
        <v/>
      </c>
      <c r="AP288" s="65" t="str">
        <f aca="false">IF($AO288="","",IF($AO288="Critical",3000,2000)-IF($Z288="",0,$Z288)+ROW()/100000)</f>
        <v/>
      </c>
      <c r="AQ288" s="65" t="str">
        <f aca="false">IF($AO288="","",IF($X288="Unmapped","Status '"&amp;$C288&amp;"' is not in the Config map",IF($V288="Y","Flagged in Jira",IF($AB288="Overdue",-$Z288&amp;" days past its "&amp;$X288&amp;" target",IF($AH288="Critical",$AI288,IF($AB288="At risk","Target in "&amp;$Z288&amp;" days",IF($AC288="Stale","No update in "&amp;$AA288&amp;" days","Past its "&amp;$AE288&amp;"-day tier window")))))))</f>
        <v/>
      </c>
      <c r="AR288" s="65" t="str">
        <f aca="false">IF($AO288="","","draft Jira update for "&amp;$A288)</f>
        <v/>
      </c>
      <c r="AS288" s="65" t="str">
        <f aca="false">IF($A288="","",HYPERLINK(JiraSite&amp;"/browse/"&amp;$A288,"open"))</f>
        <v/>
      </c>
      <c r="AT288" s="65" t="str">
        <f aca="false">IF($Y288="","",$Y288*1000+ROW())</f>
        <v/>
      </c>
      <c r="AU288" s="65" t="str">
        <f aca="false">IF(AND($A288&lt;&gt;"",$G288&gt;=WeekStart),$G288+ROW()/100000,"")</f>
        <v/>
      </c>
      <c r="AV288" s="65" t="str">
        <f aca="false">IF($A288="","",IF(OR(AND($S288&lt;&gt;"",$S288&gt;=WeekStart),AND($U288&lt;&gt;"",$U288&gt;=WeekStart)),MAX($S288,$U288)+ROW()/100000,""))</f>
        <v/>
      </c>
      <c r="AW288" s="65" t="str">
        <f aca="false">IF($AV288="","",IF($T288&lt;&gt;"",$T288,IF($X288="Closed","Closed","Accepted to "&amp;$X288)))</f>
        <v/>
      </c>
      <c r="AX288" s="65" t="str">
        <f aca="false">IF(AND($Y288&lt;&gt;"",$R288&lt;&gt;""),$AF288+ROW()/100000,"")</f>
        <v/>
      </c>
      <c r="AY288" s="65" t="str">
        <f aca="false">IF(AND($Y288&lt;&gt;"",OR($AB288="Overdue",AND($AH288="Critical",$R288&lt;&gt;""))),$AF288+ROW()/100000,"")</f>
        <v/>
      </c>
      <c r="AZ288" s="65" t="str">
        <f aca="false">IF($AH288="Critical",$AF288+ROW()/100000,"")</f>
        <v/>
      </c>
    </row>
    <row r="289" customFormat="false" ht="15" hidden="false" customHeight="false" outlineLevel="0" collapsed="false">
      <c r="A289" s="28"/>
      <c r="B289" s="28"/>
      <c r="C289" s="28"/>
      <c r="D289" s="28"/>
      <c r="E289" s="28"/>
      <c r="F289" s="28"/>
      <c r="G289" s="63"/>
      <c r="H289" s="63"/>
      <c r="I289" s="63"/>
      <c r="J289" s="28"/>
      <c r="K289" s="28"/>
      <c r="L289" s="28"/>
      <c r="M289" s="28"/>
      <c r="N289" s="28"/>
      <c r="O289" s="64"/>
      <c r="P289" s="64"/>
      <c r="Q289" s="64"/>
      <c r="R289" s="28"/>
      <c r="S289" s="63"/>
      <c r="T289" s="64"/>
      <c r="U289" s="63"/>
      <c r="V289" s="64"/>
      <c r="W289" s="28"/>
      <c r="X289" s="65" t="str">
        <f aca="false">IF($A289="","",IF(OR($T289&lt;&gt;"",$U289&lt;&gt;""),"Closed",IFERROR(INDEX(MapStage,MATCH($C289,MapStatus,0)),"Unmapped")))</f>
        <v/>
      </c>
      <c r="Y289" s="65" t="str">
        <f aca="false">IF(OR($X289="",$X289="Closed",$X289="Unmapped"),"",MATCH($X289,StageName,0))</f>
        <v/>
      </c>
      <c r="Z289" s="65" t="str">
        <f aca="false">IF(OR($Y289="",$I289=""),"",$I289-AsOf)</f>
        <v/>
      </c>
      <c r="AA289" s="65" t="str">
        <f aca="false">IF($A289="","",AsOf-$H289)</f>
        <v/>
      </c>
      <c r="AB289" s="65" t="str">
        <f aca="false">IF($A289="","",IF($X289="Closed","Closed",IF($X289="Unmapped","Unmapped",IF($I289="","No target",IF($Z289&lt;0,"Overdue",IF($Z289&lt;=INDEX(StageWindow,$Y289),"At risk","On track"))))))</f>
        <v/>
      </c>
      <c r="AC289" s="65" t="str">
        <f aca="false">IF($Y289="","",IF($AA289&gt;2*INDEX(StageStale,$Y289),"Stale",IF($AA289&gt;INDEX(StageStale,$Y289),"Aging","Fresh")))</f>
        <v/>
      </c>
      <c r="AD289" s="65" t="str">
        <f aca="false">IF($A289="","",IF(OR(ISNUMBER(SEARCH("Reg report",$J289)),ISNUMBER(SEARCH("No human review",$J289)),COUNTIF(TierFuncs,$D289)&gt;0),"High",IF(OR(TRIM($J289)&lt;&gt;"",ISNUMBER(SEARCH("revenue",$K289))),"Medium","Low")))</f>
        <v/>
      </c>
      <c r="AE289" s="65" t="str">
        <f aca="false">IF($A289="","",INDEX(TierDays,MATCH($AD289,TierName,0)))</f>
        <v/>
      </c>
      <c r="AF289" s="65" t="str">
        <f aca="false">IF($A289="","",AsOf-$G289)</f>
        <v/>
      </c>
      <c r="AG289" s="65" t="str">
        <f aca="false">IF($Y289="","",IF($Y289&lt;=5,IF($AF289&gt;$AE289,"Over","Inside"),"Past approval"))</f>
        <v/>
      </c>
      <c r="AH289" s="65" t="str">
        <f aca="false">IF($Y289="","",CHOOSE($Y289,IF(OR(TRIM($F289)="",ISNUMBER(SEARCH("not named",$F289))),"Critical","Good"),IF($O289&lt;&gt;"Y","Critical",IF($Q289&lt;&gt;"Y","Warning","Good")),IF($P289="","Critical",IF($P289="partial","Warning",IF($P289="ready","Good","Critical"))),IF($R289&lt;&gt;"","Critical","Warning"),IF($L289="","Critical",IF($N289="","Warning","Good")),IF($R289&lt;&gt;"","Critical","Warning"),IF($R289&lt;&gt;"","Critical","Warning"),IF($Q289="Y","Good","Critical")))</f>
        <v/>
      </c>
      <c r="AI289" s="65" t="str">
        <f aca="false">IF($Y289="","",CHOOSE($Y289,IF(OR(TRIM($F289)="",ISNUMBER(SEARCH("not named",$F289))),"Name a sponsor accountable for the value",""),IF($O289&lt;&gt;"Y","State the success metric and the stop condition",IF($Q289&lt;&gt;"Y","Set the baseline the benefit will be measured against","")),IF($P289="","Assess data readiness and regulatory impact",IF($P289="partial","Close the known data gaps",IF($P289="ready","","Data is not available; reshape or park"))),IF($R289&lt;&gt;"",IF(OR(ISNUMBER(SEARCH("mrm",$R289)),ISNUMBER(SEARCH("model",$R289)),ISNUMBER(SEARCH("risk",$R289)),ISNUMBER(SEARCH("legal",$R289)),ISNUMBER(SEARCH("complian",$R289))),"Awaiting ","Held at the design gate: ")&amp;$R289,"Map the governance framework for its tier"),IF($L289="","Size the annual benefit",IF($N289="","Score it so it can be ranked against capacity","")),IF($R289&lt;&gt;"","Build held: "&amp;$R289,"In build, not yet through test"),IF($R289&lt;&gt;"","Not ready to scale: "&amp;$R289,"Monitoring and third-party review not yet signed off"),IF($Q289="Y","","Live without a measured baseline to judge it against")))</f>
        <v/>
      </c>
      <c r="AJ289" s="65" t="str">
        <f aca="false">IF($Y289="","",INDEX(StageForum,$Y289))</f>
        <v/>
      </c>
      <c r="AK289" s="65" t="str">
        <f aca="false">IF($Y289="","",IF(OR($X289="Delivery",$X289="Value"),"Committed",IF($N289&lt;&gt;"","Candidate","")))</f>
        <v/>
      </c>
      <c r="AL289" s="65" t="str">
        <f aca="false">IF($AK289&lt;&gt;"Candidate","",COUNTIFS($AK$2:$AK$501,"Candidate",$N$2:$N$501,"&gt;"&amp;$N289)+COUNTIFS($AK$2:$AK$501,"Candidate",$N$2:$N$501,$N289,$A$2:$A$501,"&lt;"&amp;$A289)+1)</f>
        <v/>
      </c>
      <c r="AM289" s="65" t="str">
        <f aca="false">IF($AL289="","",SUMIFS($M$2:$M$501,$AK$2:$AK$501,"Candidate",$AL$2:$AL$501,"&lt;="&amp;$AL289))</f>
        <v/>
      </c>
      <c r="AN289" s="65" t="str">
        <f aca="false">IF($AL289="","",IF($AM289&lt;=CapacityOpen,"Fits","Below line"))</f>
        <v/>
      </c>
      <c r="AO289" s="65" t="str">
        <f aca="false">IF($A289="","",IF($X289="Closed","",IF($X289="Unmapped","Warning",IF(OR($AB289="Overdue",$V289="Y",$AH289="Critical"),"Critical",IF(OR($AB289="At risk",$AC289="Stale",$AG289="Over"),"Warning","")))))</f>
        <v/>
      </c>
      <c r="AP289" s="65" t="str">
        <f aca="false">IF($AO289="","",IF($AO289="Critical",3000,2000)-IF($Z289="",0,$Z289)+ROW()/100000)</f>
        <v/>
      </c>
      <c r="AQ289" s="65" t="str">
        <f aca="false">IF($AO289="","",IF($X289="Unmapped","Status '"&amp;$C289&amp;"' is not in the Config map",IF($V289="Y","Flagged in Jira",IF($AB289="Overdue",-$Z289&amp;" days past its "&amp;$X289&amp;" target",IF($AH289="Critical",$AI289,IF($AB289="At risk","Target in "&amp;$Z289&amp;" days",IF($AC289="Stale","No update in "&amp;$AA289&amp;" days","Past its "&amp;$AE289&amp;"-day tier window")))))))</f>
        <v/>
      </c>
      <c r="AR289" s="65" t="str">
        <f aca="false">IF($AO289="","","draft Jira update for "&amp;$A289)</f>
        <v/>
      </c>
      <c r="AS289" s="65" t="str">
        <f aca="false">IF($A289="","",HYPERLINK(JiraSite&amp;"/browse/"&amp;$A289,"open"))</f>
        <v/>
      </c>
      <c r="AT289" s="65" t="str">
        <f aca="false">IF($Y289="","",$Y289*1000+ROW())</f>
        <v/>
      </c>
      <c r="AU289" s="65" t="str">
        <f aca="false">IF(AND($A289&lt;&gt;"",$G289&gt;=WeekStart),$G289+ROW()/100000,"")</f>
        <v/>
      </c>
      <c r="AV289" s="65" t="str">
        <f aca="false">IF($A289="","",IF(OR(AND($S289&lt;&gt;"",$S289&gt;=WeekStart),AND($U289&lt;&gt;"",$U289&gt;=WeekStart)),MAX($S289,$U289)+ROW()/100000,""))</f>
        <v/>
      </c>
      <c r="AW289" s="65" t="str">
        <f aca="false">IF($AV289="","",IF($T289&lt;&gt;"",$T289,IF($X289="Closed","Closed","Accepted to "&amp;$X289)))</f>
        <v/>
      </c>
      <c r="AX289" s="65" t="str">
        <f aca="false">IF(AND($Y289&lt;&gt;"",$R289&lt;&gt;""),$AF289+ROW()/100000,"")</f>
        <v/>
      </c>
      <c r="AY289" s="65" t="str">
        <f aca="false">IF(AND($Y289&lt;&gt;"",OR($AB289="Overdue",AND($AH289="Critical",$R289&lt;&gt;""))),$AF289+ROW()/100000,"")</f>
        <v/>
      </c>
      <c r="AZ289" s="65" t="str">
        <f aca="false">IF($AH289="Critical",$AF289+ROW()/100000,"")</f>
        <v/>
      </c>
    </row>
    <row r="290" customFormat="false" ht="15" hidden="false" customHeight="false" outlineLevel="0" collapsed="false">
      <c r="A290" s="28"/>
      <c r="B290" s="28"/>
      <c r="C290" s="28"/>
      <c r="D290" s="28"/>
      <c r="E290" s="28"/>
      <c r="F290" s="28"/>
      <c r="G290" s="63"/>
      <c r="H290" s="63"/>
      <c r="I290" s="63"/>
      <c r="J290" s="28"/>
      <c r="K290" s="28"/>
      <c r="L290" s="28"/>
      <c r="M290" s="28"/>
      <c r="N290" s="28"/>
      <c r="O290" s="64"/>
      <c r="P290" s="64"/>
      <c r="Q290" s="64"/>
      <c r="R290" s="28"/>
      <c r="S290" s="63"/>
      <c r="T290" s="64"/>
      <c r="U290" s="63"/>
      <c r="V290" s="64"/>
      <c r="W290" s="28"/>
      <c r="X290" s="65" t="str">
        <f aca="false">IF($A290="","",IF(OR($T290&lt;&gt;"",$U290&lt;&gt;""),"Closed",IFERROR(INDEX(MapStage,MATCH($C290,MapStatus,0)),"Unmapped")))</f>
        <v/>
      </c>
      <c r="Y290" s="65" t="str">
        <f aca="false">IF(OR($X290="",$X290="Closed",$X290="Unmapped"),"",MATCH($X290,StageName,0))</f>
        <v/>
      </c>
      <c r="Z290" s="65" t="str">
        <f aca="false">IF(OR($Y290="",$I290=""),"",$I290-AsOf)</f>
        <v/>
      </c>
      <c r="AA290" s="65" t="str">
        <f aca="false">IF($A290="","",AsOf-$H290)</f>
        <v/>
      </c>
      <c r="AB290" s="65" t="str">
        <f aca="false">IF($A290="","",IF($X290="Closed","Closed",IF($X290="Unmapped","Unmapped",IF($I290="","No target",IF($Z290&lt;0,"Overdue",IF($Z290&lt;=INDEX(StageWindow,$Y290),"At risk","On track"))))))</f>
        <v/>
      </c>
      <c r="AC290" s="65" t="str">
        <f aca="false">IF($Y290="","",IF($AA290&gt;2*INDEX(StageStale,$Y290),"Stale",IF($AA290&gt;INDEX(StageStale,$Y290),"Aging","Fresh")))</f>
        <v/>
      </c>
      <c r="AD290" s="65" t="str">
        <f aca="false">IF($A290="","",IF(OR(ISNUMBER(SEARCH("Reg report",$J290)),ISNUMBER(SEARCH("No human review",$J290)),COUNTIF(TierFuncs,$D290)&gt;0),"High",IF(OR(TRIM($J290)&lt;&gt;"",ISNUMBER(SEARCH("revenue",$K290))),"Medium","Low")))</f>
        <v/>
      </c>
      <c r="AE290" s="65" t="str">
        <f aca="false">IF($A290="","",INDEX(TierDays,MATCH($AD290,TierName,0)))</f>
        <v/>
      </c>
      <c r="AF290" s="65" t="str">
        <f aca="false">IF($A290="","",AsOf-$G290)</f>
        <v/>
      </c>
      <c r="AG290" s="65" t="str">
        <f aca="false">IF($Y290="","",IF($Y290&lt;=5,IF($AF290&gt;$AE290,"Over","Inside"),"Past approval"))</f>
        <v/>
      </c>
      <c r="AH290" s="65" t="str">
        <f aca="false">IF($Y290="","",CHOOSE($Y290,IF(OR(TRIM($F290)="",ISNUMBER(SEARCH("not named",$F290))),"Critical","Good"),IF($O290&lt;&gt;"Y","Critical",IF($Q290&lt;&gt;"Y","Warning","Good")),IF($P290="","Critical",IF($P290="partial","Warning",IF($P290="ready","Good","Critical"))),IF($R290&lt;&gt;"","Critical","Warning"),IF($L290="","Critical",IF($N290="","Warning","Good")),IF($R290&lt;&gt;"","Critical","Warning"),IF($R290&lt;&gt;"","Critical","Warning"),IF($Q290="Y","Good","Critical")))</f>
        <v/>
      </c>
      <c r="AI290" s="65" t="str">
        <f aca="false">IF($Y290="","",CHOOSE($Y290,IF(OR(TRIM($F290)="",ISNUMBER(SEARCH("not named",$F290))),"Name a sponsor accountable for the value",""),IF($O290&lt;&gt;"Y","State the success metric and the stop condition",IF($Q290&lt;&gt;"Y","Set the baseline the benefit will be measured against","")),IF($P290="","Assess data readiness and regulatory impact",IF($P290="partial","Close the known data gaps",IF($P290="ready","","Data is not available; reshape or park"))),IF($R290&lt;&gt;"",IF(OR(ISNUMBER(SEARCH("mrm",$R290)),ISNUMBER(SEARCH("model",$R290)),ISNUMBER(SEARCH("risk",$R290)),ISNUMBER(SEARCH("legal",$R290)),ISNUMBER(SEARCH("complian",$R290))),"Awaiting ","Held at the design gate: ")&amp;$R290,"Map the governance framework for its tier"),IF($L290="","Size the annual benefit",IF($N290="","Score it so it can be ranked against capacity","")),IF($R290&lt;&gt;"","Build held: "&amp;$R290,"In build, not yet through test"),IF($R290&lt;&gt;"","Not ready to scale: "&amp;$R290,"Monitoring and third-party review not yet signed off"),IF($Q290="Y","","Live without a measured baseline to judge it against")))</f>
        <v/>
      </c>
      <c r="AJ290" s="65" t="str">
        <f aca="false">IF($Y290="","",INDEX(StageForum,$Y290))</f>
        <v/>
      </c>
      <c r="AK290" s="65" t="str">
        <f aca="false">IF($Y290="","",IF(OR($X290="Delivery",$X290="Value"),"Committed",IF($N290&lt;&gt;"","Candidate","")))</f>
        <v/>
      </c>
      <c r="AL290" s="65" t="str">
        <f aca="false">IF($AK290&lt;&gt;"Candidate","",COUNTIFS($AK$2:$AK$501,"Candidate",$N$2:$N$501,"&gt;"&amp;$N290)+COUNTIFS($AK$2:$AK$501,"Candidate",$N$2:$N$501,$N290,$A$2:$A$501,"&lt;"&amp;$A290)+1)</f>
        <v/>
      </c>
      <c r="AM290" s="65" t="str">
        <f aca="false">IF($AL290="","",SUMIFS($M$2:$M$501,$AK$2:$AK$501,"Candidate",$AL$2:$AL$501,"&lt;="&amp;$AL290))</f>
        <v/>
      </c>
      <c r="AN290" s="65" t="str">
        <f aca="false">IF($AL290="","",IF($AM290&lt;=CapacityOpen,"Fits","Below line"))</f>
        <v/>
      </c>
      <c r="AO290" s="65" t="str">
        <f aca="false">IF($A290="","",IF($X290="Closed","",IF($X290="Unmapped","Warning",IF(OR($AB290="Overdue",$V290="Y",$AH290="Critical"),"Critical",IF(OR($AB290="At risk",$AC290="Stale",$AG290="Over"),"Warning","")))))</f>
        <v/>
      </c>
      <c r="AP290" s="65" t="str">
        <f aca="false">IF($AO290="","",IF($AO290="Critical",3000,2000)-IF($Z290="",0,$Z290)+ROW()/100000)</f>
        <v/>
      </c>
      <c r="AQ290" s="65" t="str">
        <f aca="false">IF($AO290="","",IF($X290="Unmapped","Status '"&amp;$C290&amp;"' is not in the Config map",IF($V290="Y","Flagged in Jira",IF($AB290="Overdue",-$Z290&amp;" days past its "&amp;$X290&amp;" target",IF($AH290="Critical",$AI290,IF($AB290="At risk","Target in "&amp;$Z290&amp;" days",IF($AC290="Stale","No update in "&amp;$AA290&amp;" days","Past its "&amp;$AE290&amp;"-day tier window")))))))</f>
        <v/>
      </c>
      <c r="AR290" s="65" t="str">
        <f aca="false">IF($AO290="","","draft Jira update for "&amp;$A290)</f>
        <v/>
      </c>
      <c r="AS290" s="65" t="str">
        <f aca="false">IF($A290="","",HYPERLINK(JiraSite&amp;"/browse/"&amp;$A290,"open"))</f>
        <v/>
      </c>
      <c r="AT290" s="65" t="str">
        <f aca="false">IF($Y290="","",$Y290*1000+ROW())</f>
        <v/>
      </c>
      <c r="AU290" s="65" t="str">
        <f aca="false">IF(AND($A290&lt;&gt;"",$G290&gt;=WeekStart),$G290+ROW()/100000,"")</f>
        <v/>
      </c>
      <c r="AV290" s="65" t="str">
        <f aca="false">IF($A290="","",IF(OR(AND($S290&lt;&gt;"",$S290&gt;=WeekStart),AND($U290&lt;&gt;"",$U290&gt;=WeekStart)),MAX($S290,$U290)+ROW()/100000,""))</f>
        <v/>
      </c>
      <c r="AW290" s="65" t="str">
        <f aca="false">IF($AV290="","",IF($T290&lt;&gt;"",$T290,IF($X290="Closed","Closed","Accepted to "&amp;$X290)))</f>
        <v/>
      </c>
      <c r="AX290" s="65" t="str">
        <f aca="false">IF(AND($Y290&lt;&gt;"",$R290&lt;&gt;""),$AF290+ROW()/100000,"")</f>
        <v/>
      </c>
      <c r="AY290" s="65" t="str">
        <f aca="false">IF(AND($Y290&lt;&gt;"",OR($AB290="Overdue",AND($AH290="Critical",$R290&lt;&gt;""))),$AF290+ROW()/100000,"")</f>
        <v/>
      </c>
      <c r="AZ290" s="65" t="str">
        <f aca="false">IF($AH290="Critical",$AF290+ROW()/100000,"")</f>
        <v/>
      </c>
    </row>
    <row r="291" customFormat="false" ht="15" hidden="false" customHeight="false" outlineLevel="0" collapsed="false">
      <c r="A291" s="28"/>
      <c r="B291" s="28"/>
      <c r="C291" s="28"/>
      <c r="D291" s="28"/>
      <c r="E291" s="28"/>
      <c r="F291" s="28"/>
      <c r="G291" s="63"/>
      <c r="H291" s="63"/>
      <c r="I291" s="63"/>
      <c r="J291" s="28"/>
      <c r="K291" s="28"/>
      <c r="L291" s="28"/>
      <c r="M291" s="28"/>
      <c r="N291" s="28"/>
      <c r="O291" s="64"/>
      <c r="P291" s="64"/>
      <c r="Q291" s="64"/>
      <c r="R291" s="28"/>
      <c r="S291" s="63"/>
      <c r="T291" s="64"/>
      <c r="U291" s="63"/>
      <c r="V291" s="64"/>
      <c r="W291" s="28"/>
      <c r="X291" s="65" t="str">
        <f aca="false">IF($A291="","",IF(OR($T291&lt;&gt;"",$U291&lt;&gt;""),"Closed",IFERROR(INDEX(MapStage,MATCH($C291,MapStatus,0)),"Unmapped")))</f>
        <v/>
      </c>
      <c r="Y291" s="65" t="str">
        <f aca="false">IF(OR($X291="",$X291="Closed",$X291="Unmapped"),"",MATCH($X291,StageName,0))</f>
        <v/>
      </c>
      <c r="Z291" s="65" t="str">
        <f aca="false">IF(OR($Y291="",$I291=""),"",$I291-AsOf)</f>
        <v/>
      </c>
      <c r="AA291" s="65" t="str">
        <f aca="false">IF($A291="","",AsOf-$H291)</f>
        <v/>
      </c>
      <c r="AB291" s="65" t="str">
        <f aca="false">IF($A291="","",IF($X291="Closed","Closed",IF($X291="Unmapped","Unmapped",IF($I291="","No target",IF($Z291&lt;0,"Overdue",IF($Z291&lt;=INDEX(StageWindow,$Y291),"At risk","On track"))))))</f>
        <v/>
      </c>
      <c r="AC291" s="65" t="str">
        <f aca="false">IF($Y291="","",IF($AA291&gt;2*INDEX(StageStale,$Y291),"Stale",IF($AA291&gt;INDEX(StageStale,$Y291),"Aging","Fresh")))</f>
        <v/>
      </c>
      <c r="AD291" s="65" t="str">
        <f aca="false">IF($A291="","",IF(OR(ISNUMBER(SEARCH("Reg report",$J291)),ISNUMBER(SEARCH("No human review",$J291)),COUNTIF(TierFuncs,$D291)&gt;0),"High",IF(OR(TRIM($J291)&lt;&gt;"",ISNUMBER(SEARCH("revenue",$K291))),"Medium","Low")))</f>
        <v/>
      </c>
      <c r="AE291" s="65" t="str">
        <f aca="false">IF($A291="","",INDEX(TierDays,MATCH($AD291,TierName,0)))</f>
        <v/>
      </c>
      <c r="AF291" s="65" t="str">
        <f aca="false">IF($A291="","",AsOf-$G291)</f>
        <v/>
      </c>
      <c r="AG291" s="65" t="str">
        <f aca="false">IF($Y291="","",IF($Y291&lt;=5,IF($AF291&gt;$AE291,"Over","Inside"),"Past approval"))</f>
        <v/>
      </c>
      <c r="AH291" s="65" t="str">
        <f aca="false">IF($Y291="","",CHOOSE($Y291,IF(OR(TRIM($F291)="",ISNUMBER(SEARCH("not named",$F291))),"Critical","Good"),IF($O291&lt;&gt;"Y","Critical",IF($Q291&lt;&gt;"Y","Warning","Good")),IF($P291="","Critical",IF($P291="partial","Warning",IF($P291="ready","Good","Critical"))),IF($R291&lt;&gt;"","Critical","Warning"),IF($L291="","Critical",IF($N291="","Warning","Good")),IF($R291&lt;&gt;"","Critical","Warning"),IF($R291&lt;&gt;"","Critical","Warning"),IF($Q291="Y","Good","Critical")))</f>
        <v/>
      </c>
      <c r="AI291" s="65" t="str">
        <f aca="false">IF($Y291="","",CHOOSE($Y291,IF(OR(TRIM($F291)="",ISNUMBER(SEARCH("not named",$F291))),"Name a sponsor accountable for the value",""),IF($O291&lt;&gt;"Y","State the success metric and the stop condition",IF($Q291&lt;&gt;"Y","Set the baseline the benefit will be measured against","")),IF($P291="","Assess data readiness and regulatory impact",IF($P291="partial","Close the known data gaps",IF($P291="ready","","Data is not available; reshape or park"))),IF($R291&lt;&gt;"",IF(OR(ISNUMBER(SEARCH("mrm",$R291)),ISNUMBER(SEARCH("model",$R291)),ISNUMBER(SEARCH("risk",$R291)),ISNUMBER(SEARCH("legal",$R291)),ISNUMBER(SEARCH("complian",$R291))),"Awaiting ","Held at the design gate: ")&amp;$R291,"Map the governance framework for its tier"),IF($L291="","Size the annual benefit",IF($N291="","Score it so it can be ranked against capacity","")),IF($R291&lt;&gt;"","Build held: "&amp;$R291,"In build, not yet through test"),IF($R291&lt;&gt;"","Not ready to scale: "&amp;$R291,"Monitoring and third-party review not yet signed off"),IF($Q291="Y","","Live without a measured baseline to judge it against")))</f>
        <v/>
      </c>
      <c r="AJ291" s="65" t="str">
        <f aca="false">IF($Y291="","",INDEX(StageForum,$Y291))</f>
        <v/>
      </c>
      <c r="AK291" s="65" t="str">
        <f aca="false">IF($Y291="","",IF(OR($X291="Delivery",$X291="Value"),"Committed",IF($N291&lt;&gt;"","Candidate","")))</f>
        <v/>
      </c>
      <c r="AL291" s="65" t="str">
        <f aca="false">IF($AK291&lt;&gt;"Candidate","",COUNTIFS($AK$2:$AK$501,"Candidate",$N$2:$N$501,"&gt;"&amp;$N291)+COUNTIFS($AK$2:$AK$501,"Candidate",$N$2:$N$501,$N291,$A$2:$A$501,"&lt;"&amp;$A291)+1)</f>
        <v/>
      </c>
      <c r="AM291" s="65" t="str">
        <f aca="false">IF($AL291="","",SUMIFS($M$2:$M$501,$AK$2:$AK$501,"Candidate",$AL$2:$AL$501,"&lt;="&amp;$AL291))</f>
        <v/>
      </c>
      <c r="AN291" s="65" t="str">
        <f aca="false">IF($AL291="","",IF($AM291&lt;=CapacityOpen,"Fits","Below line"))</f>
        <v/>
      </c>
      <c r="AO291" s="65" t="str">
        <f aca="false">IF($A291="","",IF($X291="Closed","",IF($X291="Unmapped","Warning",IF(OR($AB291="Overdue",$V291="Y",$AH291="Critical"),"Critical",IF(OR($AB291="At risk",$AC291="Stale",$AG291="Over"),"Warning","")))))</f>
        <v/>
      </c>
      <c r="AP291" s="65" t="str">
        <f aca="false">IF($AO291="","",IF($AO291="Critical",3000,2000)-IF($Z291="",0,$Z291)+ROW()/100000)</f>
        <v/>
      </c>
      <c r="AQ291" s="65" t="str">
        <f aca="false">IF($AO291="","",IF($X291="Unmapped","Status '"&amp;$C291&amp;"' is not in the Config map",IF($V291="Y","Flagged in Jira",IF($AB291="Overdue",-$Z291&amp;" days past its "&amp;$X291&amp;" target",IF($AH291="Critical",$AI291,IF($AB291="At risk","Target in "&amp;$Z291&amp;" days",IF($AC291="Stale","No update in "&amp;$AA291&amp;" days","Past its "&amp;$AE291&amp;"-day tier window")))))))</f>
        <v/>
      </c>
      <c r="AR291" s="65" t="str">
        <f aca="false">IF($AO291="","","draft Jira update for "&amp;$A291)</f>
        <v/>
      </c>
      <c r="AS291" s="65" t="str">
        <f aca="false">IF($A291="","",HYPERLINK(JiraSite&amp;"/browse/"&amp;$A291,"open"))</f>
        <v/>
      </c>
      <c r="AT291" s="65" t="str">
        <f aca="false">IF($Y291="","",$Y291*1000+ROW())</f>
        <v/>
      </c>
      <c r="AU291" s="65" t="str">
        <f aca="false">IF(AND($A291&lt;&gt;"",$G291&gt;=WeekStart),$G291+ROW()/100000,"")</f>
        <v/>
      </c>
      <c r="AV291" s="65" t="str">
        <f aca="false">IF($A291="","",IF(OR(AND($S291&lt;&gt;"",$S291&gt;=WeekStart),AND($U291&lt;&gt;"",$U291&gt;=WeekStart)),MAX($S291,$U291)+ROW()/100000,""))</f>
        <v/>
      </c>
      <c r="AW291" s="65" t="str">
        <f aca="false">IF($AV291="","",IF($T291&lt;&gt;"",$T291,IF($X291="Closed","Closed","Accepted to "&amp;$X291)))</f>
        <v/>
      </c>
      <c r="AX291" s="65" t="str">
        <f aca="false">IF(AND($Y291&lt;&gt;"",$R291&lt;&gt;""),$AF291+ROW()/100000,"")</f>
        <v/>
      </c>
      <c r="AY291" s="65" t="str">
        <f aca="false">IF(AND($Y291&lt;&gt;"",OR($AB291="Overdue",AND($AH291="Critical",$R291&lt;&gt;""))),$AF291+ROW()/100000,"")</f>
        <v/>
      </c>
      <c r="AZ291" s="65" t="str">
        <f aca="false">IF($AH291="Critical",$AF291+ROW()/100000,"")</f>
        <v/>
      </c>
    </row>
    <row r="292" customFormat="false" ht="15" hidden="false" customHeight="false" outlineLevel="0" collapsed="false">
      <c r="A292" s="28"/>
      <c r="B292" s="28"/>
      <c r="C292" s="28"/>
      <c r="D292" s="28"/>
      <c r="E292" s="28"/>
      <c r="F292" s="28"/>
      <c r="G292" s="63"/>
      <c r="H292" s="63"/>
      <c r="I292" s="63"/>
      <c r="J292" s="28"/>
      <c r="K292" s="28"/>
      <c r="L292" s="28"/>
      <c r="M292" s="28"/>
      <c r="N292" s="28"/>
      <c r="O292" s="64"/>
      <c r="P292" s="64"/>
      <c r="Q292" s="64"/>
      <c r="R292" s="28"/>
      <c r="S292" s="63"/>
      <c r="T292" s="64"/>
      <c r="U292" s="63"/>
      <c r="V292" s="64"/>
      <c r="W292" s="28"/>
      <c r="X292" s="65" t="str">
        <f aca="false">IF($A292="","",IF(OR($T292&lt;&gt;"",$U292&lt;&gt;""),"Closed",IFERROR(INDEX(MapStage,MATCH($C292,MapStatus,0)),"Unmapped")))</f>
        <v/>
      </c>
      <c r="Y292" s="65" t="str">
        <f aca="false">IF(OR($X292="",$X292="Closed",$X292="Unmapped"),"",MATCH($X292,StageName,0))</f>
        <v/>
      </c>
      <c r="Z292" s="65" t="str">
        <f aca="false">IF(OR($Y292="",$I292=""),"",$I292-AsOf)</f>
        <v/>
      </c>
      <c r="AA292" s="65" t="str">
        <f aca="false">IF($A292="","",AsOf-$H292)</f>
        <v/>
      </c>
      <c r="AB292" s="65" t="str">
        <f aca="false">IF($A292="","",IF($X292="Closed","Closed",IF($X292="Unmapped","Unmapped",IF($I292="","No target",IF($Z292&lt;0,"Overdue",IF($Z292&lt;=INDEX(StageWindow,$Y292),"At risk","On track"))))))</f>
        <v/>
      </c>
      <c r="AC292" s="65" t="str">
        <f aca="false">IF($Y292="","",IF($AA292&gt;2*INDEX(StageStale,$Y292),"Stale",IF($AA292&gt;INDEX(StageStale,$Y292),"Aging","Fresh")))</f>
        <v/>
      </c>
      <c r="AD292" s="65" t="str">
        <f aca="false">IF($A292="","",IF(OR(ISNUMBER(SEARCH("Reg report",$J292)),ISNUMBER(SEARCH("No human review",$J292)),COUNTIF(TierFuncs,$D292)&gt;0),"High",IF(OR(TRIM($J292)&lt;&gt;"",ISNUMBER(SEARCH("revenue",$K292))),"Medium","Low")))</f>
        <v/>
      </c>
      <c r="AE292" s="65" t="str">
        <f aca="false">IF($A292="","",INDEX(TierDays,MATCH($AD292,TierName,0)))</f>
        <v/>
      </c>
      <c r="AF292" s="65" t="str">
        <f aca="false">IF($A292="","",AsOf-$G292)</f>
        <v/>
      </c>
      <c r="AG292" s="65" t="str">
        <f aca="false">IF($Y292="","",IF($Y292&lt;=5,IF($AF292&gt;$AE292,"Over","Inside"),"Past approval"))</f>
        <v/>
      </c>
      <c r="AH292" s="65" t="str">
        <f aca="false">IF($Y292="","",CHOOSE($Y292,IF(OR(TRIM($F292)="",ISNUMBER(SEARCH("not named",$F292))),"Critical","Good"),IF($O292&lt;&gt;"Y","Critical",IF($Q292&lt;&gt;"Y","Warning","Good")),IF($P292="","Critical",IF($P292="partial","Warning",IF($P292="ready","Good","Critical"))),IF($R292&lt;&gt;"","Critical","Warning"),IF($L292="","Critical",IF($N292="","Warning","Good")),IF($R292&lt;&gt;"","Critical","Warning"),IF($R292&lt;&gt;"","Critical","Warning"),IF($Q292="Y","Good","Critical")))</f>
        <v/>
      </c>
      <c r="AI292" s="65" t="str">
        <f aca="false">IF($Y292="","",CHOOSE($Y292,IF(OR(TRIM($F292)="",ISNUMBER(SEARCH("not named",$F292))),"Name a sponsor accountable for the value",""),IF($O292&lt;&gt;"Y","State the success metric and the stop condition",IF($Q292&lt;&gt;"Y","Set the baseline the benefit will be measured against","")),IF($P292="","Assess data readiness and regulatory impact",IF($P292="partial","Close the known data gaps",IF($P292="ready","","Data is not available; reshape or park"))),IF($R292&lt;&gt;"",IF(OR(ISNUMBER(SEARCH("mrm",$R292)),ISNUMBER(SEARCH("model",$R292)),ISNUMBER(SEARCH("risk",$R292)),ISNUMBER(SEARCH("legal",$R292)),ISNUMBER(SEARCH("complian",$R292))),"Awaiting ","Held at the design gate: ")&amp;$R292,"Map the governance framework for its tier"),IF($L292="","Size the annual benefit",IF($N292="","Score it so it can be ranked against capacity","")),IF($R292&lt;&gt;"","Build held: "&amp;$R292,"In build, not yet through test"),IF($R292&lt;&gt;"","Not ready to scale: "&amp;$R292,"Monitoring and third-party review not yet signed off"),IF($Q292="Y","","Live without a measured baseline to judge it against")))</f>
        <v/>
      </c>
      <c r="AJ292" s="65" t="str">
        <f aca="false">IF($Y292="","",INDEX(StageForum,$Y292))</f>
        <v/>
      </c>
      <c r="AK292" s="65" t="str">
        <f aca="false">IF($Y292="","",IF(OR($X292="Delivery",$X292="Value"),"Committed",IF($N292&lt;&gt;"","Candidate","")))</f>
        <v/>
      </c>
      <c r="AL292" s="65" t="str">
        <f aca="false">IF($AK292&lt;&gt;"Candidate","",COUNTIFS($AK$2:$AK$501,"Candidate",$N$2:$N$501,"&gt;"&amp;$N292)+COUNTIFS($AK$2:$AK$501,"Candidate",$N$2:$N$501,$N292,$A$2:$A$501,"&lt;"&amp;$A292)+1)</f>
        <v/>
      </c>
      <c r="AM292" s="65" t="str">
        <f aca="false">IF($AL292="","",SUMIFS($M$2:$M$501,$AK$2:$AK$501,"Candidate",$AL$2:$AL$501,"&lt;="&amp;$AL292))</f>
        <v/>
      </c>
      <c r="AN292" s="65" t="str">
        <f aca="false">IF($AL292="","",IF($AM292&lt;=CapacityOpen,"Fits","Below line"))</f>
        <v/>
      </c>
      <c r="AO292" s="65" t="str">
        <f aca="false">IF($A292="","",IF($X292="Closed","",IF($X292="Unmapped","Warning",IF(OR($AB292="Overdue",$V292="Y",$AH292="Critical"),"Critical",IF(OR($AB292="At risk",$AC292="Stale",$AG292="Over"),"Warning","")))))</f>
        <v/>
      </c>
      <c r="AP292" s="65" t="str">
        <f aca="false">IF($AO292="","",IF($AO292="Critical",3000,2000)-IF($Z292="",0,$Z292)+ROW()/100000)</f>
        <v/>
      </c>
      <c r="AQ292" s="65" t="str">
        <f aca="false">IF($AO292="","",IF($X292="Unmapped","Status '"&amp;$C292&amp;"' is not in the Config map",IF($V292="Y","Flagged in Jira",IF($AB292="Overdue",-$Z292&amp;" days past its "&amp;$X292&amp;" target",IF($AH292="Critical",$AI292,IF($AB292="At risk","Target in "&amp;$Z292&amp;" days",IF($AC292="Stale","No update in "&amp;$AA292&amp;" days","Past its "&amp;$AE292&amp;"-day tier window")))))))</f>
        <v/>
      </c>
      <c r="AR292" s="65" t="str">
        <f aca="false">IF($AO292="","","draft Jira update for "&amp;$A292)</f>
        <v/>
      </c>
      <c r="AS292" s="65" t="str">
        <f aca="false">IF($A292="","",HYPERLINK(JiraSite&amp;"/browse/"&amp;$A292,"open"))</f>
        <v/>
      </c>
      <c r="AT292" s="65" t="str">
        <f aca="false">IF($Y292="","",$Y292*1000+ROW())</f>
        <v/>
      </c>
      <c r="AU292" s="65" t="str">
        <f aca="false">IF(AND($A292&lt;&gt;"",$G292&gt;=WeekStart),$G292+ROW()/100000,"")</f>
        <v/>
      </c>
      <c r="AV292" s="65" t="str">
        <f aca="false">IF($A292="","",IF(OR(AND($S292&lt;&gt;"",$S292&gt;=WeekStart),AND($U292&lt;&gt;"",$U292&gt;=WeekStart)),MAX($S292,$U292)+ROW()/100000,""))</f>
        <v/>
      </c>
      <c r="AW292" s="65" t="str">
        <f aca="false">IF($AV292="","",IF($T292&lt;&gt;"",$T292,IF($X292="Closed","Closed","Accepted to "&amp;$X292)))</f>
        <v/>
      </c>
      <c r="AX292" s="65" t="str">
        <f aca="false">IF(AND($Y292&lt;&gt;"",$R292&lt;&gt;""),$AF292+ROW()/100000,"")</f>
        <v/>
      </c>
      <c r="AY292" s="65" t="str">
        <f aca="false">IF(AND($Y292&lt;&gt;"",OR($AB292="Overdue",AND($AH292="Critical",$R292&lt;&gt;""))),$AF292+ROW()/100000,"")</f>
        <v/>
      </c>
      <c r="AZ292" s="65" t="str">
        <f aca="false">IF($AH292="Critical",$AF292+ROW()/100000,"")</f>
        <v/>
      </c>
    </row>
    <row r="293" customFormat="false" ht="15" hidden="false" customHeight="false" outlineLevel="0" collapsed="false">
      <c r="A293" s="28"/>
      <c r="B293" s="28"/>
      <c r="C293" s="28"/>
      <c r="D293" s="28"/>
      <c r="E293" s="28"/>
      <c r="F293" s="28"/>
      <c r="G293" s="63"/>
      <c r="H293" s="63"/>
      <c r="I293" s="63"/>
      <c r="J293" s="28"/>
      <c r="K293" s="28"/>
      <c r="L293" s="28"/>
      <c r="M293" s="28"/>
      <c r="N293" s="28"/>
      <c r="O293" s="64"/>
      <c r="P293" s="64"/>
      <c r="Q293" s="64"/>
      <c r="R293" s="28"/>
      <c r="S293" s="63"/>
      <c r="T293" s="64"/>
      <c r="U293" s="63"/>
      <c r="V293" s="64"/>
      <c r="W293" s="28"/>
      <c r="X293" s="65" t="str">
        <f aca="false">IF($A293="","",IF(OR($T293&lt;&gt;"",$U293&lt;&gt;""),"Closed",IFERROR(INDEX(MapStage,MATCH($C293,MapStatus,0)),"Unmapped")))</f>
        <v/>
      </c>
      <c r="Y293" s="65" t="str">
        <f aca="false">IF(OR($X293="",$X293="Closed",$X293="Unmapped"),"",MATCH($X293,StageName,0))</f>
        <v/>
      </c>
      <c r="Z293" s="65" t="str">
        <f aca="false">IF(OR($Y293="",$I293=""),"",$I293-AsOf)</f>
        <v/>
      </c>
      <c r="AA293" s="65" t="str">
        <f aca="false">IF($A293="","",AsOf-$H293)</f>
        <v/>
      </c>
      <c r="AB293" s="65" t="str">
        <f aca="false">IF($A293="","",IF($X293="Closed","Closed",IF($X293="Unmapped","Unmapped",IF($I293="","No target",IF($Z293&lt;0,"Overdue",IF($Z293&lt;=INDEX(StageWindow,$Y293),"At risk","On track"))))))</f>
        <v/>
      </c>
      <c r="AC293" s="65" t="str">
        <f aca="false">IF($Y293="","",IF($AA293&gt;2*INDEX(StageStale,$Y293),"Stale",IF($AA293&gt;INDEX(StageStale,$Y293),"Aging","Fresh")))</f>
        <v/>
      </c>
      <c r="AD293" s="65" t="str">
        <f aca="false">IF($A293="","",IF(OR(ISNUMBER(SEARCH("Reg report",$J293)),ISNUMBER(SEARCH("No human review",$J293)),COUNTIF(TierFuncs,$D293)&gt;0),"High",IF(OR(TRIM($J293)&lt;&gt;"",ISNUMBER(SEARCH("revenue",$K293))),"Medium","Low")))</f>
        <v/>
      </c>
      <c r="AE293" s="65" t="str">
        <f aca="false">IF($A293="","",INDEX(TierDays,MATCH($AD293,TierName,0)))</f>
        <v/>
      </c>
      <c r="AF293" s="65" t="str">
        <f aca="false">IF($A293="","",AsOf-$G293)</f>
        <v/>
      </c>
      <c r="AG293" s="65" t="str">
        <f aca="false">IF($Y293="","",IF($Y293&lt;=5,IF($AF293&gt;$AE293,"Over","Inside"),"Past approval"))</f>
        <v/>
      </c>
      <c r="AH293" s="65" t="str">
        <f aca="false">IF($Y293="","",CHOOSE($Y293,IF(OR(TRIM($F293)="",ISNUMBER(SEARCH("not named",$F293))),"Critical","Good"),IF($O293&lt;&gt;"Y","Critical",IF($Q293&lt;&gt;"Y","Warning","Good")),IF($P293="","Critical",IF($P293="partial","Warning",IF($P293="ready","Good","Critical"))),IF($R293&lt;&gt;"","Critical","Warning"),IF($L293="","Critical",IF($N293="","Warning","Good")),IF($R293&lt;&gt;"","Critical","Warning"),IF($R293&lt;&gt;"","Critical","Warning"),IF($Q293="Y","Good","Critical")))</f>
        <v/>
      </c>
      <c r="AI293" s="65" t="str">
        <f aca="false">IF($Y293="","",CHOOSE($Y293,IF(OR(TRIM($F293)="",ISNUMBER(SEARCH("not named",$F293))),"Name a sponsor accountable for the value",""),IF($O293&lt;&gt;"Y","State the success metric and the stop condition",IF($Q293&lt;&gt;"Y","Set the baseline the benefit will be measured against","")),IF($P293="","Assess data readiness and regulatory impact",IF($P293="partial","Close the known data gaps",IF($P293="ready","","Data is not available; reshape or park"))),IF($R293&lt;&gt;"",IF(OR(ISNUMBER(SEARCH("mrm",$R293)),ISNUMBER(SEARCH("model",$R293)),ISNUMBER(SEARCH("risk",$R293)),ISNUMBER(SEARCH("legal",$R293)),ISNUMBER(SEARCH("complian",$R293))),"Awaiting ","Held at the design gate: ")&amp;$R293,"Map the governance framework for its tier"),IF($L293="","Size the annual benefit",IF($N293="","Score it so it can be ranked against capacity","")),IF($R293&lt;&gt;"","Build held: "&amp;$R293,"In build, not yet through test"),IF($R293&lt;&gt;"","Not ready to scale: "&amp;$R293,"Monitoring and third-party review not yet signed off"),IF($Q293="Y","","Live without a measured baseline to judge it against")))</f>
        <v/>
      </c>
      <c r="AJ293" s="65" t="str">
        <f aca="false">IF($Y293="","",INDEX(StageForum,$Y293))</f>
        <v/>
      </c>
      <c r="AK293" s="65" t="str">
        <f aca="false">IF($Y293="","",IF(OR($X293="Delivery",$X293="Value"),"Committed",IF($N293&lt;&gt;"","Candidate","")))</f>
        <v/>
      </c>
      <c r="AL293" s="65" t="str">
        <f aca="false">IF($AK293&lt;&gt;"Candidate","",COUNTIFS($AK$2:$AK$501,"Candidate",$N$2:$N$501,"&gt;"&amp;$N293)+COUNTIFS($AK$2:$AK$501,"Candidate",$N$2:$N$501,$N293,$A$2:$A$501,"&lt;"&amp;$A293)+1)</f>
        <v/>
      </c>
      <c r="AM293" s="65" t="str">
        <f aca="false">IF($AL293="","",SUMIFS($M$2:$M$501,$AK$2:$AK$501,"Candidate",$AL$2:$AL$501,"&lt;="&amp;$AL293))</f>
        <v/>
      </c>
      <c r="AN293" s="65" t="str">
        <f aca="false">IF($AL293="","",IF($AM293&lt;=CapacityOpen,"Fits","Below line"))</f>
        <v/>
      </c>
      <c r="AO293" s="65" t="str">
        <f aca="false">IF($A293="","",IF($X293="Closed","",IF($X293="Unmapped","Warning",IF(OR($AB293="Overdue",$V293="Y",$AH293="Critical"),"Critical",IF(OR($AB293="At risk",$AC293="Stale",$AG293="Over"),"Warning","")))))</f>
        <v/>
      </c>
      <c r="AP293" s="65" t="str">
        <f aca="false">IF($AO293="","",IF($AO293="Critical",3000,2000)-IF($Z293="",0,$Z293)+ROW()/100000)</f>
        <v/>
      </c>
      <c r="AQ293" s="65" t="str">
        <f aca="false">IF($AO293="","",IF($X293="Unmapped","Status '"&amp;$C293&amp;"' is not in the Config map",IF($V293="Y","Flagged in Jira",IF($AB293="Overdue",-$Z293&amp;" days past its "&amp;$X293&amp;" target",IF($AH293="Critical",$AI293,IF($AB293="At risk","Target in "&amp;$Z293&amp;" days",IF($AC293="Stale","No update in "&amp;$AA293&amp;" days","Past its "&amp;$AE293&amp;"-day tier window")))))))</f>
        <v/>
      </c>
      <c r="AR293" s="65" t="str">
        <f aca="false">IF($AO293="","","draft Jira update for "&amp;$A293)</f>
        <v/>
      </c>
      <c r="AS293" s="65" t="str">
        <f aca="false">IF($A293="","",HYPERLINK(JiraSite&amp;"/browse/"&amp;$A293,"open"))</f>
        <v/>
      </c>
      <c r="AT293" s="65" t="str">
        <f aca="false">IF($Y293="","",$Y293*1000+ROW())</f>
        <v/>
      </c>
      <c r="AU293" s="65" t="str">
        <f aca="false">IF(AND($A293&lt;&gt;"",$G293&gt;=WeekStart),$G293+ROW()/100000,"")</f>
        <v/>
      </c>
      <c r="AV293" s="65" t="str">
        <f aca="false">IF($A293="","",IF(OR(AND($S293&lt;&gt;"",$S293&gt;=WeekStart),AND($U293&lt;&gt;"",$U293&gt;=WeekStart)),MAX($S293,$U293)+ROW()/100000,""))</f>
        <v/>
      </c>
      <c r="AW293" s="65" t="str">
        <f aca="false">IF($AV293="","",IF($T293&lt;&gt;"",$T293,IF($X293="Closed","Closed","Accepted to "&amp;$X293)))</f>
        <v/>
      </c>
      <c r="AX293" s="65" t="str">
        <f aca="false">IF(AND($Y293&lt;&gt;"",$R293&lt;&gt;""),$AF293+ROW()/100000,"")</f>
        <v/>
      </c>
      <c r="AY293" s="65" t="str">
        <f aca="false">IF(AND($Y293&lt;&gt;"",OR($AB293="Overdue",AND($AH293="Critical",$R293&lt;&gt;""))),$AF293+ROW()/100000,"")</f>
        <v/>
      </c>
      <c r="AZ293" s="65" t="str">
        <f aca="false">IF($AH293="Critical",$AF293+ROW()/100000,"")</f>
        <v/>
      </c>
    </row>
    <row r="294" customFormat="false" ht="15" hidden="false" customHeight="false" outlineLevel="0" collapsed="false">
      <c r="A294" s="28"/>
      <c r="B294" s="28"/>
      <c r="C294" s="28"/>
      <c r="D294" s="28"/>
      <c r="E294" s="28"/>
      <c r="F294" s="28"/>
      <c r="G294" s="63"/>
      <c r="H294" s="63"/>
      <c r="I294" s="63"/>
      <c r="J294" s="28"/>
      <c r="K294" s="28"/>
      <c r="L294" s="28"/>
      <c r="M294" s="28"/>
      <c r="N294" s="28"/>
      <c r="O294" s="64"/>
      <c r="P294" s="64"/>
      <c r="Q294" s="64"/>
      <c r="R294" s="28"/>
      <c r="S294" s="63"/>
      <c r="T294" s="64"/>
      <c r="U294" s="63"/>
      <c r="V294" s="64"/>
      <c r="W294" s="28"/>
      <c r="X294" s="65" t="str">
        <f aca="false">IF($A294="","",IF(OR($T294&lt;&gt;"",$U294&lt;&gt;""),"Closed",IFERROR(INDEX(MapStage,MATCH($C294,MapStatus,0)),"Unmapped")))</f>
        <v/>
      </c>
      <c r="Y294" s="65" t="str">
        <f aca="false">IF(OR($X294="",$X294="Closed",$X294="Unmapped"),"",MATCH($X294,StageName,0))</f>
        <v/>
      </c>
      <c r="Z294" s="65" t="str">
        <f aca="false">IF(OR($Y294="",$I294=""),"",$I294-AsOf)</f>
        <v/>
      </c>
      <c r="AA294" s="65" t="str">
        <f aca="false">IF($A294="","",AsOf-$H294)</f>
        <v/>
      </c>
      <c r="AB294" s="65" t="str">
        <f aca="false">IF($A294="","",IF($X294="Closed","Closed",IF($X294="Unmapped","Unmapped",IF($I294="","No target",IF($Z294&lt;0,"Overdue",IF($Z294&lt;=INDEX(StageWindow,$Y294),"At risk","On track"))))))</f>
        <v/>
      </c>
      <c r="AC294" s="65" t="str">
        <f aca="false">IF($Y294="","",IF($AA294&gt;2*INDEX(StageStale,$Y294),"Stale",IF($AA294&gt;INDEX(StageStale,$Y294),"Aging","Fresh")))</f>
        <v/>
      </c>
      <c r="AD294" s="65" t="str">
        <f aca="false">IF($A294="","",IF(OR(ISNUMBER(SEARCH("Reg report",$J294)),ISNUMBER(SEARCH("No human review",$J294)),COUNTIF(TierFuncs,$D294)&gt;0),"High",IF(OR(TRIM($J294)&lt;&gt;"",ISNUMBER(SEARCH("revenue",$K294))),"Medium","Low")))</f>
        <v/>
      </c>
      <c r="AE294" s="65" t="str">
        <f aca="false">IF($A294="","",INDEX(TierDays,MATCH($AD294,TierName,0)))</f>
        <v/>
      </c>
      <c r="AF294" s="65" t="str">
        <f aca="false">IF($A294="","",AsOf-$G294)</f>
        <v/>
      </c>
      <c r="AG294" s="65" t="str">
        <f aca="false">IF($Y294="","",IF($Y294&lt;=5,IF($AF294&gt;$AE294,"Over","Inside"),"Past approval"))</f>
        <v/>
      </c>
      <c r="AH294" s="65" t="str">
        <f aca="false">IF($Y294="","",CHOOSE($Y294,IF(OR(TRIM($F294)="",ISNUMBER(SEARCH("not named",$F294))),"Critical","Good"),IF($O294&lt;&gt;"Y","Critical",IF($Q294&lt;&gt;"Y","Warning","Good")),IF($P294="","Critical",IF($P294="partial","Warning",IF($P294="ready","Good","Critical"))),IF($R294&lt;&gt;"","Critical","Warning"),IF($L294="","Critical",IF($N294="","Warning","Good")),IF($R294&lt;&gt;"","Critical","Warning"),IF($R294&lt;&gt;"","Critical","Warning"),IF($Q294="Y","Good","Critical")))</f>
        <v/>
      </c>
      <c r="AI294" s="65" t="str">
        <f aca="false">IF($Y294="","",CHOOSE($Y294,IF(OR(TRIM($F294)="",ISNUMBER(SEARCH("not named",$F294))),"Name a sponsor accountable for the value",""),IF($O294&lt;&gt;"Y","State the success metric and the stop condition",IF($Q294&lt;&gt;"Y","Set the baseline the benefit will be measured against","")),IF($P294="","Assess data readiness and regulatory impact",IF($P294="partial","Close the known data gaps",IF($P294="ready","","Data is not available; reshape or park"))),IF($R294&lt;&gt;"",IF(OR(ISNUMBER(SEARCH("mrm",$R294)),ISNUMBER(SEARCH("model",$R294)),ISNUMBER(SEARCH("risk",$R294)),ISNUMBER(SEARCH("legal",$R294)),ISNUMBER(SEARCH("complian",$R294))),"Awaiting ","Held at the design gate: ")&amp;$R294,"Map the governance framework for its tier"),IF($L294="","Size the annual benefit",IF($N294="","Score it so it can be ranked against capacity","")),IF($R294&lt;&gt;"","Build held: "&amp;$R294,"In build, not yet through test"),IF($R294&lt;&gt;"","Not ready to scale: "&amp;$R294,"Monitoring and third-party review not yet signed off"),IF($Q294="Y","","Live without a measured baseline to judge it against")))</f>
        <v/>
      </c>
      <c r="AJ294" s="65" t="str">
        <f aca="false">IF($Y294="","",INDEX(StageForum,$Y294))</f>
        <v/>
      </c>
      <c r="AK294" s="65" t="str">
        <f aca="false">IF($Y294="","",IF(OR($X294="Delivery",$X294="Value"),"Committed",IF($N294&lt;&gt;"","Candidate","")))</f>
        <v/>
      </c>
      <c r="AL294" s="65" t="str">
        <f aca="false">IF($AK294&lt;&gt;"Candidate","",COUNTIFS($AK$2:$AK$501,"Candidate",$N$2:$N$501,"&gt;"&amp;$N294)+COUNTIFS($AK$2:$AK$501,"Candidate",$N$2:$N$501,$N294,$A$2:$A$501,"&lt;"&amp;$A294)+1)</f>
        <v/>
      </c>
      <c r="AM294" s="65" t="str">
        <f aca="false">IF($AL294="","",SUMIFS($M$2:$M$501,$AK$2:$AK$501,"Candidate",$AL$2:$AL$501,"&lt;="&amp;$AL294))</f>
        <v/>
      </c>
      <c r="AN294" s="65" t="str">
        <f aca="false">IF($AL294="","",IF($AM294&lt;=CapacityOpen,"Fits","Below line"))</f>
        <v/>
      </c>
      <c r="AO294" s="65" t="str">
        <f aca="false">IF($A294="","",IF($X294="Closed","",IF($X294="Unmapped","Warning",IF(OR($AB294="Overdue",$V294="Y",$AH294="Critical"),"Critical",IF(OR($AB294="At risk",$AC294="Stale",$AG294="Over"),"Warning","")))))</f>
        <v/>
      </c>
      <c r="AP294" s="65" t="str">
        <f aca="false">IF($AO294="","",IF($AO294="Critical",3000,2000)-IF($Z294="",0,$Z294)+ROW()/100000)</f>
        <v/>
      </c>
      <c r="AQ294" s="65" t="str">
        <f aca="false">IF($AO294="","",IF($X294="Unmapped","Status '"&amp;$C294&amp;"' is not in the Config map",IF($V294="Y","Flagged in Jira",IF($AB294="Overdue",-$Z294&amp;" days past its "&amp;$X294&amp;" target",IF($AH294="Critical",$AI294,IF($AB294="At risk","Target in "&amp;$Z294&amp;" days",IF($AC294="Stale","No update in "&amp;$AA294&amp;" days","Past its "&amp;$AE294&amp;"-day tier window")))))))</f>
        <v/>
      </c>
      <c r="AR294" s="65" t="str">
        <f aca="false">IF($AO294="","","draft Jira update for "&amp;$A294)</f>
        <v/>
      </c>
      <c r="AS294" s="65" t="str">
        <f aca="false">IF($A294="","",HYPERLINK(JiraSite&amp;"/browse/"&amp;$A294,"open"))</f>
        <v/>
      </c>
      <c r="AT294" s="65" t="str">
        <f aca="false">IF($Y294="","",$Y294*1000+ROW())</f>
        <v/>
      </c>
      <c r="AU294" s="65" t="str">
        <f aca="false">IF(AND($A294&lt;&gt;"",$G294&gt;=WeekStart),$G294+ROW()/100000,"")</f>
        <v/>
      </c>
      <c r="AV294" s="65" t="str">
        <f aca="false">IF($A294="","",IF(OR(AND($S294&lt;&gt;"",$S294&gt;=WeekStart),AND($U294&lt;&gt;"",$U294&gt;=WeekStart)),MAX($S294,$U294)+ROW()/100000,""))</f>
        <v/>
      </c>
      <c r="AW294" s="65" t="str">
        <f aca="false">IF($AV294="","",IF($T294&lt;&gt;"",$T294,IF($X294="Closed","Closed","Accepted to "&amp;$X294)))</f>
        <v/>
      </c>
      <c r="AX294" s="65" t="str">
        <f aca="false">IF(AND($Y294&lt;&gt;"",$R294&lt;&gt;""),$AF294+ROW()/100000,"")</f>
        <v/>
      </c>
      <c r="AY294" s="65" t="str">
        <f aca="false">IF(AND($Y294&lt;&gt;"",OR($AB294="Overdue",AND($AH294="Critical",$R294&lt;&gt;""))),$AF294+ROW()/100000,"")</f>
        <v/>
      </c>
      <c r="AZ294" s="65" t="str">
        <f aca="false">IF($AH294="Critical",$AF294+ROW()/100000,"")</f>
        <v/>
      </c>
    </row>
    <row r="295" customFormat="false" ht="15" hidden="false" customHeight="false" outlineLevel="0" collapsed="false">
      <c r="A295" s="28"/>
      <c r="B295" s="28"/>
      <c r="C295" s="28"/>
      <c r="D295" s="28"/>
      <c r="E295" s="28"/>
      <c r="F295" s="28"/>
      <c r="G295" s="63"/>
      <c r="H295" s="63"/>
      <c r="I295" s="63"/>
      <c r="J295" s="28"/>
      <c r="K295" s="28"/>
      <c r="L295" s="28"/>
      <c r="M295" s="28"/>
      <c r="N295" s="28"/>
      <c r="O295" s="64"/>
      <c r="P295" s="64"/>
      <c r="Q295" s="64"/>
      <c r="R295" s="28"/>
      <c r="S295" s="63"/>
      <c r="T295" s="64"/>
      <c r="U295" s="63"/>
      <c r="V295" s="64"/>
      <c r="W295" s="28"/>
      <c r="X295" s="65" t="str">
        <f aca="false">IF($A295="","",IF(OR($T295&lt;&gt;"",$U295&lt;&gt;""),"Closed",IFERROR(INDEX(MapStage,MATCH($C295,MapStatus,0)),"Unmapped")))</f>
        <v/>
      </c>
      <c r="Y295" s="65" t="str">
        <f aca="false">IF(OR($X295="",$X295="Closed",$X295="Unmapped"),"",MATCH($X295,StageName,0))</f>
        <v/>
      </c>
      <c r="Z295" s="65" t="str">
        <f aca="false">IF(OR($Y295="",$I295=""),"",$I295-AsOf)</f>
        <v/>
      </c>
      <c r="AA295" s="65" t="str">
        <f aca="false">IF($A295="","",AsOf-$H295)</f>
        <v/>
      </c>
      <c r="AB295" s="65" t="str">
        <f aca="false">IF($A295="","",IF($X295="Closed","Closed",IF($X295="Unmapped","Unmapped",IF($I295="","No target",IF($Z295&lt;0,"Overdue",IF($Z295&lt;=INDEX(StageWindow,$Y295),"At risk","On track"))))))</f>
        <v/>
      </c>
      <c r="AC295" s="65" t="str">
        <f aca="false">IF($Y295="","",IF($AA295&gt;2*INDEX(StageStale,$Y295),"Stale",IF($AA295&gt;INDEX(StageStale,$Y295),"Aging","Fresh")))</f>
        <v/>
      </c>
      <c r="AD295" s="65" t="str">
        <f aca="false">IF($A295="","",IF(OR(ISNUMBER(SEARCH("Reg report",$J295)),ISNUMBER(SEARCH("No human review",$J295)),COUNTIF(TierFuncs,$D295)&gt;0),"High",IF(OR(TRIM($J295)&lt;&gt;"",ISNUMBER(SEARCH("revenue",$K295))),"Medium","Low")))</f>
        <v/>
      </c>
      <c r="AE295" s="65" t="str">
        <f aca="false">IF($A295="","",INDEX(TierDays,MATCH($AD295,TierName,0)))</f>
        <v/>
      </c>
      <c r="AF295" s="65" t="str">
        <f aca="false">IF($A295="","",AsOf-$G295)</f>
        <v/>
      </c>
      <c r="AG295" s="65" t="str">
        <f aca="false">IF($Y295="","",IF($Y295&lt;=5,IF($AF295&gt;$AE295,"Over","Inside"),"Past approval"))</f>
        <v/>
      </c>
      <c r="AH295" s="65" t="str">
        <f aca="false">IF($Y295="","",CHOOSE($Y295,IF(OR(TRIM($F295)="",ISNUMBER(SEARCH("not named",$F295))),"Critical","Good"),IF($O295&lt;&gt;"Y","Critical",IF($Q295&lt;&gt;"Y","Warning","Good")),IF($P295="","Critical",IF($P295="partial","Warning",IF($P295="ready","Good","Critical"))),IF($R295&lt;&gt;"","Critical","Warning"),IF($L295="","Critical",IF($N295="","Warning","Good")),IF($R295&lt;&gt;"","Critical","Warning"),IF($R295&lt;&gt;"","Critical","Warning"),IF($Q295="Y","Good","Critical")))</f>
        <v/>
      </c>
      <c r="AI295" s="65" t="str">
        <f aca="false">IF($Y295="","",CHOOSE($Y295,IF(OR(TRIM($F295)="",ISNUMBER(SEARCH("not named",$F295))),"Name a sponsor accountable for the value",""),IF($O295&lt;&gt;"Y","State the success metric and the stop condition",IF($Q295&lt;&gt;"Y","Set the baseline the benefit will be measured against","")),IF($P295="","Assess data readiness and regulatory impact",IF($P295="partial","Close the known data gaps",IF($P295="ready","","Data is not available; reshape or park"))),IF($R295&lt;&gt;"",IF(OR(ISNUMBER(SEARCH("mrm",$R295)),ISNUMBER(SEARCH("model",$R295)),ISNUMBER(SEARCH("risk",$R295)),ISNUMBER(SEARCH("legal",$R295)),ISNUMBER(SEARCH("complian",$R295))),"Awaiting ","Held at the design gate: ")&amp;$R295,"Map the governance framework for its tier"),IF($L295="","Size the annual benefit",IF($N295="","Score it so it can be ranked against capacity","")),IF($R295&lt;&gt;"","Build held: "&amp;$R295,"In build, not yet through test"),IF($R295&lt;&gt;"","Not ready to scale: "&amp;$R295,"Monitoring and third-party review not yet signed off"),IF($Q295="Y","","Live without a measured baseline to judge it against")))</f>
        <v/>
      </c>
      <c r="AJ295" s="65" t="str">
        <f aca="false">IF($Y295="","",INDEX(StageForum,$Y295))</f>
        <v/>
      </c>
      <c r="AK295" s="65" t="str">
        <f aca="false">IF($Y295="","",IF(OR($X295="Delivery",$X295="Value"),"Committed",IF($N295&lt;&gt;"","Candidate","")))</f>
        <v/>
      </c>
      <c r="AL295" s="65" t="str">
        <f aca="false">IF($AK295&lt;&gt;"Candidate","",COUNTIFS($AK$2:$AK$501,"Candidate",$N$2:$N$501,"&gt;"&amp;$N295)+COUNTIFS($AK$2:$AK$501,"Candidate",$N$2:$N$501,$N295,$A$2:$A$501,"&lt;"&amp;$A295)+1)</f>
        <v/>
      </c>
      <c r="AM295" s="65" t="str">
        <f aca="false">IF($AL295="","",SUMIFS($M$2:$M$501,$AK$2:$AK$501,"Candidate",$AL$2:$AL$501,"&lt;="&amp;$AL295))</f>
        <v/>
      </c>
      <c r="AN295" s="65" t="str">
        <f aca="false">IF($AL295="","",IF($AM295&lt;=CapacityOpen,"Fits","Below line"))</f>
        <v/>
      </c>
      <c r="AO295" s="65" t="str">
        <f aca="false">IF($A295="","",IF($X295="Closed","",IF($X295="Unmapped","Warning",IF(OR($AB295="Overdue",$V295="Y",$AH295="Critical"),"Critical",IF(OR($AB295="At risk",$AC295="Stale",$AG295="Over"),"Warning","")))))</f>
        <v/>
      </c>
      <c r="AP295" s="65" t="str">
        <f aca="false">IF($AO295="","",IF($AO295="Critical",3000,2000)-IF($Z295="",0,$Z295)+ROW()/100000)</f>
        <v/>
      </c>
      <c r="AQ295" s="65" t="str">
        <f aca="false">IF($AO295="","",IF($X295="Unmapped","Status '"&amp;$C295&amp;"' is not in the Config map",IF($V295="Y","Flagged in Jira",IF($AB295="Overdue",-$Z295&amp;" days past its "&amp;$X295&amp;" target",IF($AH295="Critical",$AI295,IF($AB295="At risk","Target in "&amp;$Z295&amp;" days",IF($AC295="Stale","No update in "&amp;$AA295&amp;" days","Past its "&amp;$AE295&amp;"-day tier window")))))))</f>
        <v/>
      </c>
      <c r="AR295" s="65" t="str">
        <f aca="false">IF($AO295="","","draft Jira update for "&amp;$A295)</f>
        <v/>
      </c>
      <c r="AS295" s="65" t="str">
        <f aca="false">IF($A295="","",HYPERLINK(JiraSite&amp;"/browse/"&amp;$A295,"open"))</f>
        <v/>
      </c>
      <c r="AT295" s="65" t="str">
        <f aca="false">IF($Y295="","",$Y295*1000+ROW())</f>
        <v/>
      </c>
      <c r="AU295" s="65" t="str">
        <f aca="false">IF(AND($A295&lt;&gt;"",$G295&gt;=WeekStart),$G295+ROW()/100000,"")</f>
        <v/>
      </c>
      <c r="AV295" s="65" t="str">
        <f aca="false">IF($A295="","",IF(OR(AND($S295&lt;&gt;"",$S295&gt;=WeekStart),AND($U295&lt;&gt;"",$U295&gt;=WeekStart)),MAX($S295,$U295)+ROW()/100000,""))</f>
        <v/>
      </c>
      <c r="AW295" s="65" t="str">
        <f aca="false">IF($AV295="","",IF($T295&lt;&gt;"",$T295,IF($X295="Closed","Closed","Accepted to "&amp;$X295)))</f>
        <v/>
      </c>
      <c r="AX295" s="65" t="str">
        <f aca="false">IF(AND($Y295&lt;&gt;"",$R295&lt;&gt;""),$AF295+ROW()/100000,"")</f>
        <v/>
      </c>
      <c r="AY295" s="65" t="str">
        <f aca="false">IF(AND($Y295&lt;&gt;"",OR($AB295="Overdue",AND($AH295="Critical",$R295&lt;&gt;""))),$AF295+ROW()/100000,"")</f>
        <v/>
      </c>
      <c r="AZ295" s="65" t="str">
        <f aca="false">IF($AH295="Critical",$AF295+ROW()/100000,"")</f>
        <v/>
      </c>
    </row>
    <row r="296" customFormat="false" ht="15" hidden="false" customHeight="false" outlineLevel="0" collapsed="false">
      <c r="A296" s="28"/>
      <c r="B296" s="28"/>
      <c r="C296" s="28"/>
      <c r="D296" s="28"/>
      <c r="E296" s="28"/>
      <c r="F296" s="28"/>
      <c r="G296" s="63"/>
      <c r="H296" s="63"/>
      <c r="I296" s="63"/>
      <c r="J296" s="28"/>
      <c r="K296" s="28"/>
      <c r="L296" s="28"/>
      <c r="M296" s="28"/>
      <c r="N296" s="28"/>
      <c r="O296" s="64"/>
      <c r="P296" s="64"/>
      <c r="Q296" s="64"/>
      <c r="R296" s="28"/>
      <c r="S296" s="63"/>
      <c r="T296" s="64"/>
      <c r="U296" s="63"/>
      <c r="V296" s="64"/>
      <c r="W296" s="28"/>
      <c r="X296" s="65" t="str">
        <f aca="false">IF($A296="","",IF(OR($T296&lt;&gt;"",$U296&lt;&gt;""),"Closed",IFERROR(INDEX(MapStage,MATCH($C296,MapStatus,0)),"Unmapped")))</f>
        <v/>
      </c>
      <c r="Y296" s="65" t="str">
        <f aca="false">IF(OR($X296="",$X296="Closed",$X296="Unmapped"),"",MATCH($X296,StageName,0))</f>
        <v/>
      </c>
      <c r="Z296" s="65" t="str">
        <f aca="false">IF(OR($Y296="",$I296=""),"",$I296-AsOf)</f>
        <v/>
      </c>
      <c r="AA296" s="65" t="str">
        <f aca="false">IF($A296="","",AsOf-$H296)</f>
        <v/>
      </c>
      <c r="AB296" s="65" t="str">
        <f aca="false">IF($A296="","",IF($X296="Closed","Closed",IF($X296="Unmapped","Unmapped",IF($I296="","No target",IF($Z296&lt;0,"Overdue",IF($Z296&lt;=INDEX(StageWindow,$Y296),"At risk","On track"))))))</f>
        <v/>
      </c>
      <c r="AC296" s="65" t="str">
        <f aca="false">IF($Y296="","",IF($AA296&gt;2*INDEX(StageStale,$Y296),"Stale",IF($AA296&gt;INDEX(StageStale,$Y296),"Aging","Fresh")))</f>
        <v/>
      </c>
      <c r="AD296" s="65" t="str">
        <f aca="false">IF($A296="","",IF(OR(ISNUMBER(SEARCH("Reg report",$J296)),ISNUMBER(SEARCH("No human review",$J296)),COUNTIF(TierFuncs,$D296)&gt;0),"High",IF(OR(TRIM($J296)&lt;&gt;"",ISNUMBER(SEARCH("revenue",$K296))),"Medium","Low")))</f>
        <v/>
      </c>
      <c r="AE296" s="65" t="str">
        <f aca="false">IF($A296="","",INDEX(TierDays,MATCH($AD296,TierName,0)))</f>
        <v/>
      </c>
      <c r="AF296" s="65" t="str">
        <f aca="false">IF($A296="","",AsOf-$G296)</f>
        <v/>
      </c>
      <c r="AG296" s="65" t="str">
        <f aca="false">IF($Y296="","",IF($Y296&lt;=5,IF($AF296&gt;$AE296,"Over","Inside"),"Past approval"))</f>
        <v/>
      </c>
      <c r="AH296" s="65" t="str">
        <f aca="false">IF($Y296="","",CHOOSE($Y296,IF(OR(TRIM($F296)="",ISNUMBER(SEARCH("not named",$F296))),"Critical","Good"),IF($O296&lt;&gt;"Y","Critical",IF($Q296&lt;&gt;"Y","Warning","Good")),IF($P296="","Critical",IF($P296="partial","Warning",IF($P296="ready","Good","Critical"))),IF($R296&lt;&gt;"","Critical","Warning"),IF($L296="","Critical",IF($N296="","Warning","Good")),IF($R296&lt;&gt;"","Critical","Warning"),IF($R296&lt;&gt;"","Critical","Warning"),IF($Q296="Y","Good","Critical")))</f>
        <v/>
      </c>
      <c r="AI296" s="65" t="str">
        <f aca="false">IF($Y296="","",CHOOSE($Y296,IF(OR(TRIM($F296)="",ISNUMBER(SEARCH("not named",$F296))),"Name a sponsor accountable for the value",""),IF($O296&lt;&gt;"Y","State the success metric and the stop condition",IF($Q296&lt;&gt;"Y","Set the baseline the benefit will be measured against","")),IF($P296="","Assess data readiness and regulatory impact",IF($P296="partial","Close the known data gaps",IF($P296="ready","","Data is not available; reshape or park"))),IF($R296&lt;&gt;"",IF(OR(ISNUMBER(SEARCH("mrm",$R296)),ISNUMBER(SEARCH("model",$R296)),ISNUMBER(SEARCH("risk",$R296)),ISNUMBER(SEARCH("legal",$R296)),ISNUMBER(SEARCH("complian",$R296))),"Awaiting ","Held at the design gate: ")&amp;$R296,"Map the governance framework for its tier"),IF($L296="","Size the annual benefit",IF($N296="","Score it so it can be ranked against capacity","")),IF($R296&lt;&gt;"","Build held: "&amp;$R296,"In build, not yet through test"),IF($R296&lt;&gt;"","Not ready to scale: "&amp;$R296,"Monitoring and third-party review not yet signed off"),IF($Q296="Y","","Live without a measured baseline to judge it against")))</f>
        <v/>
      </c>
      <c r="AJ296" s="65" t="str">
        <f aca="false">IF($Y296="","",INDEX(StageForum,$Y296))</f>
        <v/>
      </c>
      <c r="AK296" s="65" t="str">
        <f aca="false">IF($Y296="","",IF(OR($X296="Delivery",$X296="Value"),"Committed",IF($N296&lt;&gt;"","Candidate","")))</f>
        <v/>
      </c>
      <c r="AL296" s="65" t="str">
        <f aca="false">IF($AK296&lt;&gt;"Candidate","",COUNTIFS($AK$2:$AK$501,"Candidate",$N$2:$N$501,"&gt;"&amp;$N296)+COUNTIFS($AK$2:$AK$501,"Candidate",$N$2:$N$501,$N296,$A$2:$A$501,"&lt;"&amp;$A296)+1)</f>
        <v/>
      </c>
      <c r="AM296" s="65" t="str">
        <f aca="false">IF($AL296="","",SUMIFS($M$2:$M$501,$AK$2:$AK$501,"Candidate",$AL$2:$AL$501,"&lt;="&amp;$AL296))</f>
        <v/>
      </c>
      <c r="AN296" s="65" t="str">
        <f aca="false">IF($AL296="","",IF($AM296&lt;=CapacityOpen,"Fits","Below line"))</f>
        <v/>
      </c>
      <c r="AO296" s="65" t="str">
        <f aca="false">IF($A296="","",IF($X296="Closed","",IF($X296="Unmapped","Warning",IF(OR($AB296="Overdue",$V296="Y",$AH296="Critical"),"Critical",IF(OR($AB296="At risk",$AC296="Stale",$AG296="Over"),"Warning","")))))</f>
        <v/>
      </c>
      <c r="AP296" s="65" t="str">
        <f aca="false">IF($AO296="","",IF($AO296="Critical",3000,2000)-IF($Z296="",0,$Z296)+ROW()/100000)</f>
        <v/>
      </c>
      <c r="AQ296" s="65" t="str">
        <f aca="false">IF($AO296="","",IF($X296="Unmapped","Status '"&amp;$C296&amp;"' is not in the Config map",IF($V296="Y","Flagged in Jira",IF($AB296="Overdue",-$Z296&amp;" days past its "&amp;$X296&amp;" target",IF($AH296="Critical",$AI296,IF($AB296="At risk","Target in "&amp;$Z296&amp;" days",IF($AC296="Stale","No update in "&amp;$AA296&amp;" days","Past its "&amp;$AE296&amp;"-day tier window")))))))</f>
        <v/>
      </c>
      <c r="AR296" s="65" t="str">
        <f aca="false">IF($AO296="","","draft Jira update for "&amp;$A296)</f>
        <v/>
      </c>
      <c r="AS296" s="65" t="str">
        <f aca="false">IF($A296="","",HYPERLINK(JiraSite&amp;"/browse/"&amp;$A296,"open"))</f>
        <v/>
      </c>
      <c r="AT296" s="65" t="str">
        <f aca="false">IF($Y296="","",$Y296*1000+ROW())</f>
        <v/>
      </c>
      <c r="AU296" s="65" t="str">
        <f aca="false">IF(AND($A296&lt;&gt;"",$G296&gt;=WeekStart),$G296+ROW()/100000,"")</f>
        <v/>
      </c>
      <c r="AV296" s="65" t="str">
        <f aca="false">IF($A296="","",IF(OR(AND($S296&lt;&gt;"",$S296&gt;=WeekStart),AND($U296&lt;&gt;"",$U296&gt;=WeekStart)),MAX($S296,$U296)+ROW()/100000,""))</f>
        <v/>
      </c>
      <c r="AW296" s="65" t="str">
        <f aca="false">IF($AV296="","",IF($T296&lt;&gt;"",$T296,IF($X296="Closed","Closed","Accepted to "&amp;$X296)))</f>
        <v/>
      </c>
      <c r="AX296" s="65" t="str">
        <f aca="false">IF(AND($Y296&lt;&gt;"",$R296&lt;&gt;""),$AF296+ROW()/100000,"")</f>
        <v/>
      </c>
      <c r="AY296" s="65" t="str">
        <f aca="false">IF(AND($Y296&lt;&gt;"",OR($AB296="Overdue",AND($AH296="Critical",$R296&lt;&gt;""))),$AF296+ROW()/100000,"")</f>
        <v/>
      </c>
      <c r="AZ296" s="65" t="str">
        <f aca="false">IF($AH296="Critical",$AF296+ROW()/100000,"")</f>
        <v/>
      </c>
    </row>
    <row r="297" customFormat="false" ht="15" hidden="false" customHeight="false" outlineLevel="0" collapsed="false">
      <c r="A297" s="28"/>
      <c r="B297" s="28"/>
      <c r="C297" s="28"/>
      <c r="D297" s="28"/>
      <c r="E297" s="28"/>
      <c r="F297" s="28"/>
      <c r="G297" s="63"/>
      <c r="H297" s="63"/>
      <c r="I297" s="63"/>
      <c r="J297" s="28"/>
      <c r="K297" s="28"/>
      <c r="L297" s="28"/>
      <c r="M297" s="28"/>
      <c r="N297" s="28"/>
      <c r="O297" s="64"/>
      <c r="P297" s="64"/>
      <c r="Q297" s="64"/>
      <c r="R297" s="28"/>
      <c r="S297" s="63"/>
      <c r="T297" s="64"/>
      <c r="U297" s="63"/>
      <c r="V297" s="64"/>
      <c r="W297" s="28"/>
      <c r="X297" s="65" t="str">
        <f aca="false">IF($A297="","",IF(OR($T297&lt;&gt;"",$U297&lt;&gt;""),"Closed",IFERROR(INDEX(MapStage,MATCH($C297,MapStatus,0)),"Unmapped")))</f>
        <v/>
      </c>
      <c r="Y297" s="65" t="str">
        <f aca="false">IF(OR($X297="",$X297="Closed",$X297="Unmapped"),"",MATCH($X297,StageName,0))</f>
        <v/>
      </c>
      <c r="Z297" s="65" t="str">
        <f aca="false">IF(OR($Y297="",$I297=""),"",$I297-AsOf)</f>
        <v/>
      </c>
      <c r="AA297" s="65" t="str">
        <f aca="false">IF($A297="","",AsOf-$H297)</f>
        <v/>
      </c>
      <c r="AB297" s="65" t="str">
        <f aca="false">IF($A297="","",IF($X297="Closed","Closed",IF($X297="Unmapped","Unmapped",IF($I297="","No target",IF($Z297&lt;0,"Overdue",IF($Z297&lt;=INDEX(StageWindow,$Y297),"At risk","On track"))))))</f>
        <v/>
      </c>
      <c r="AC297" s="65" t="str">
        <f aca="false">IF($Y297="","",IF($AA297&gt;2*INDEX(StageStale,$Y297),"Stale",IF($AA297&gt;INDEX(StageStale,$Y297),"Aging","Fresh")))</f>
        <v/>
      </c>
      <c r="AD297" s="65" t="str">
        <f aca="false">IF($A297="","",IF(OR(ISNUMBER(SEARCH("Reg report",$J297)),ISNUMBER(SEARCH("No human review",$J297)),COUNTIF(TierFuncs,$D297)&gt;0),"High",IF(OR(TRIM($J297)&lt;&gt;"",ISNUMBER(SEARCH("revenue",$K297))),"Medium","Low")))</f>
        <v/>
      </c>
      <c r="AE297" s="65" t="str">
        <f aca="false">IF($A297="","",INDEX(TierDays,MATCH($AD297,TierName,0)))</f>
        <v/>
      </c>
      <c r="AF297" s="65" t="str">
        <f aca="false">IF($A297="","",AsOf-$G297)</f>
        <v/>
      </c>
      <c r="AG297" s="65" t="str">
        <f aca="false">IF($Y297="","",IF($Y297&lt;=5,IF($AF297&gt;$AE297,"Over","Inside"),"Past approval"))</f>
        <v/>
      </c>
      <c r="AH297" s="65" t="str">
        <f aca="false">IF($Y297="","",CHOOSE($Y297,IF(OR(TRIM($F297)="",ISNUMBER(SEARCH("not named",$F297))),"Critical","Good"),IF($O297&lt;&gt;"Y","Critical",IF($Q297&lt;&gt;"Y","Warning","Good")),IF($P297="","Critical",IF($P297="partial","Warning",IF($P297="ready","Good","Critical"))),IF($R297&lt;&gt;"","Critical","Warning"),IF($L297="","Critical",IF($N297="","Warning","Good")),IF($R297&lt;&gt;"","Critical","Warning"),IF($R297&lt;&gt;"","Critical","Warning"),IF($Q297="Y","Good","Critical")))</f>
        <v/>
      </c>
      <c r="AI297" s="65" t="str">
        <f aca="false">IF($Y297="","",CHOOSE($Y297,IF(OR(TRIM($F297)="",ISNUMBER(SEARCH("not named",$F297))),"Name a sponsor accountable for the value",""),IF($O297&lt;&gt;"Y","State the success metric and the stop condition",IF($Q297&lt;&gt;"Y","Set the baseline the benefit will be measured against","")),IF($P297="","Assess data readiness and regulatory impact",IF($P297="partial","Close the known data gaps",IF($P297="ready","","Data is not available; reshape or park"))),IF($R297&lt;&gt;"",IF(OR(ISNUMBER(SEARCH("mrm",$R297)),ISNUMBER(SEARCH("model",$R297)),ISNUMBER(SEARCH("risk",$R297)),ISNUMBER(SEARCH("legal",$R297)),ISNUMBER(SEARCH("complian",$R297))),"Awaiting ","Held at the design gate: ")&amp;$R297,"Map the governance framework for its tier"),IF($L297="","Size the annual benefit",IF($N297="","Score it so it can be ranked against capacity","")),IF($R297&lt;&gt;"","Build held: "&amp;$R297,"In build, not yet through test"),IF($R297&lt;&gt;"","Not ready to scale: "&amp;$R297,"Monitoring and third-party review not yet signed off"),IF($Q297="Y","","Live without a measured baseline to judge it against")))</f>
        <v/>
      </c>
      <c r="AJ297" s="65" t="str">
        <f aca="false">IF($Y297="","",INDEX(StageForum,$Y297))</f>
        <v/>
      </c>
      <c r="AK297" s="65" t="str">
        <f aca="false">IF($Y297="","",IF(OR($X297="Delivery",$X297="Value"),"Committed",IF($N297&lt;&gt;"","Candidate","")))</f>
        <v/>
      </c>
      <c r="AL297" s="65" t="str">
        <f aca="false">IF($AK297&lt;&gt;"Candidate","",COUNTIFS($AK$2:$AK$501,"Candidate",$N$2:$N$501,"&gt;"&amp;$N297)+COUNTIFS($AK$2:$AK$501,"Candidate",$N$2:$N$501,$N297,$A$2:$A$501,"&lt;"&amp;$A297)+1)</f>
        <v/>
      </c>
      <c r="AM297" s="65" t="str">
        <f aca="false">IF($AL297="","",SUMIFS($M$2:$M$501,$AK$2:$AK$501,"Candidate",$AL$2:$AL$501,"&lt;="&amp;$AL297))</f>
        <v/>
      </c>
      <c r="AN297" s="65" t="str">
        <f aca="false">IF($AL297="","",IF($AM297&lt;=CapacityOpen,"Fits","Below line"))</f>
        <v/>
      </c>
      <c r="AO297" s="65" t="str">
        <f aca="false">IF($A297="","",IF($X297="Closed","",IF($X297="Unmapped","Warning",IF(OR($AB297="Overdue",$V297="Y",$AH297="Critical"),"Critical",IF(OR($AB297="At risk",$AC297="Stale",$AG297="Over"),"Warning","")))))</f>
        <v/>
      </c>
      <c r="AP297" s="65" t="str">
        <f aca="false">IF($AO297="","",IF($AO297="Critical",3000,2000)-IF($Z297="",0,$Z297)+ROW()/100000)</f>
        <v/>
      </c>
      <c r="AQ297" s="65" t="str">
        <f aca="false">IF($AO297="","",IF($X297="Unmapped","Status '"&amp;$C297&amp;"' is not in the Config map",IF($V297="Y","Flagged in Jira",IF($AB297="Overdue",-$Z297&amp;" days past its "&amp;$X297&amp;" target",IF($AH297="Critical",$AI297,IF($AB297="At risk","Target in "&amp;$Z297&amp;" days",IF($AC297="Stale","No update in "&amp;$AA297&amp;" days","Past its "&amp;$AE297&amp;"-day tier window")))))))</f>
        <v/>
      </c>
      <c r="AR297" s="65" t="str">
        <f aca="false">IF($AO297="","","draft Jira update for "&amp;$A297)</f>
        <v/>
      </c>
      <c r="AS297" s="65" t="str">
        <f aca="false">IF($A297="","",HYPERLINK(JiraSite&amp;"/browse/"&amp;$A297,"open"))</f>
        <v/>
      </c>
      <c r="AT297" s="65" t="str">
        <f aca="false">IF($Y297="","",$Y297*1000+ROW())</f>
        <v/>
      </c>
      <c r="AU297" s="65" t="str">
        <f aca="false">IF(AND($A297&lt;&gt;"",$G297&gt;=WeekStart),$G297+ROW()/100000,"")</f>
        <v/>
      </c>
      <c r="AV297" s="65" t="str">
        <f aca="false">IF($A297="","",IF(OR(AND($S297&lt;&gt;"",$S297&gt;=WeekStart),AND($U297&lt;&gt;"",$U297&gt;=WeekStart)),MAX($S297,$U297)+ROW()/100000,""))</f>
        <v/>
      </c>
      <c r="AW297" s="65" t="str">
        <f aca="false">IF($AV297="","",IF($T297&lt;&gt;"",$T297,IF($X297="Closed","Closed","Accepted to "&amp;$X297)))</f>
        <v/>
      </c>
      <c r="AX297" s="65" t="str">
        <f aca="false">IF(AND($Y297&lt;&gt;"",$R297&lt;&gt;""),$AF297+ROW()/100000,"")</f>
        <v/>
      </c>
      <c r="AY297" s="65" t="str">
        <f aca="false">IF(AND($Y297&lt;&gt;"",OR($AB297="Overdue",AND($AH297="Critical",$R297&lt;&gt;""))),$AF297+ROW()/100000,"")</f>
        <v/>
      </c>
      <c r="AZ297" s="65" t="str">
        <f aca="false">IF($AH297="Critical",$AF297+ROW()/100000,"")</f>
        <v/>
      </c>
    </row>
    <row r="298" customFormat="false" ht="15" hidden="false" customHeight="false" outlineLevel="0" collapsed="false">
      <c r="A298" s="28"/>
      <c r="B298" s="28"/>
      <c r="C298" s="28"/>
      <c r="D298" s="28"/>
      <c r="E298" s="28"/>
      <c r="F298" s="28"/>
      <c r="G298" s="63"/>
      <c r="H298" s="63"/>
      <c r="I298" s="63"/>
      <c r="J298" s="28"/>
      <c r="K298" s="28"/>
      <c r="L298" s="28"/>
      <c r="M298" s="28"/>
      <c r="N298" s="28"/>
      <c r="O298" s="64"/>
      <c r="P298" s="64"/>
      <c r="Q298" s="64"/>
      <c r="R298" s="28"/>
      <c r="S298" s="63"/>
      <c r="T298" s="64"/>
      <c r="U298" s="63"/>
      <c r="V298" s="64"/>
      <c r="W298" s="28"/>
      <c r="X298" s="65" t="str">
        <f aca="false">IF($A298="","",IF(OR($T298&lt;&gt;"",$U298&lt;&gt;""),"Closed",IFERROR(INDEX(MapStage,MATCH($C298,MapStatus,0)),"Unmapped")))</f>
        <v/>
      </c>
      <c r="Y298" s="65" t="str">
        <f aca="false">IF(OR($X298="",$X298="Closed",$X298="Unmapped"),"",MATCH($X298,StageName,0))</f>
        <v/>
      </c>
      <c r="Z298" s="65" t="str">
        <f aca="false">IF(OR($Y298="",$I298=""),"",$I298-AsOf)</f>
        <v/>
      </c>
      <c r="AA298" s="65" t="str">
        <f aca="false">IF($A298="","",AsOf-$H298)</f>
        <v/>
      </c>
      <c r="AB298" s="65" t="str">
        <f aca="false">IF($A298="","",IF($X298="Closed","Closed",IF($X298="Unmapped","Unmapped",IF($I298="","No target",IF($Z298&lt;0,"Overdue",IF($Z298&lt;=INDEX(StageWindow,$Y298),"At risk","On track"))))))</f>
        <v/>
      </c>
      <c r="AC298" s="65" t="str">
        <f aca="false">IF($Y298="","",IF($AA298&gt;2*INDEX(StageStale,$Y298),"Stale",IF($AA298&gt;INDEX(StageStale,$Y298),"Aging","Fresh")))</f>
        <v/>
      </c>
      <c r="AD298" s="65" t="str">
        <f aca="false">IF($A298="","",IF(OR(ISNUMBER(SEARCH("Reg report",$J298)),ISNUMBER(SEARCH("No human review",$J298)),COUNTIF(TierFuncs,$D298)&gt;0),"High",IF(OR(TRIM($J298)&lt;&gt;"",ISNUMBER(SEARCH("revenue",$K298))),"Medium","Low")))</f>
        <v/>
      </c>
      <c r="AE298" s="65" t="str">
        <f aca="false">IF($A298="","",INDEX(TierDays,MATCH($AD298,TierName,0)))</f>
        <v/>
      </c>
      <c r="AF298" s="65" t="str">
        <f aca="false">IF($A298="","",AsOf-$G298)</f>
        <v/>
      </c>
      <c r="AG298" s="65" t="str">
        <f aca="false">IF($Y298="","",IF($Y298&lt;=5,IF($AF298&gt;$AE298,"Over","Inside"),"Past approval"))</f>
        <v/>
      </c>
      <c r="AH298" s="65" t="str">
        <f aca="false">IF($Y298="","",CHOOSE($Y298,IF(OR(TRIM($F298)="",ISNUMBER(SEARCH("not named",$F298))),"Critical","Good"),IF($O298&lt;&gt;"Y","Critical",IF($Q298&lt;&gt;"Y","Warning","Good")),IF($P298="","Critical",IF($P298="partial","Warning",IF($P298="ready","Good","Critical"))),IF($R298&lt;&gt;"","Critical","Warning"),IF($L298="","Critical",IF($N298="","Warning","Good")),IF($R298&lt;&gt;"","Critical","Warning"),IF($R298&lt;&gt;"","Critical","Warning"),IF($Q298="Y","Good","Critical")))</f>
        <v/>
      </c>
      <c r="AI298" s="65" t="str">
        <f aca="false">IF($Y298="","",CHOOSE($Y298,IF(OR(TRIM($F298)="",ISNUMBER(SEARCH("not named",$F298))),"Name a sponsor accountable for the value",""),IF($O298&lt;&gt;"Y","State the success metric and the stop condition",IF($Q298&lt;&gt;"Y","Set the baseline the benefit will be measured against","")),IF($P298="","Assess data readiness and regulatory impact",IF($P298="partial","Close the known data gaps",IF($P298="ready","","Data is not available; reshape or park"))),IF($R298&lt;&gt;"",IF(OR(ISNUMBER(SEARCH("mrm",$R298)),ISNUMBER(SEARCH("model",$R298)),ISNUMBER(SEARCH("risk",$R298)),ISNUMBER(SEARCH("legal",$R298)),ISNUMBER(SEARCH("complian",$R298))),"Awaiting ","Held at the design gate: ")&amp;$R298,"Map the governance framework for its tier"),IF($L298="","Size the annual benefit",IF($N298="","Score it so it can be ranked against capacity","")),IF($R298&lt;&gt;"","Build held: "&amp;$R298,"In build, not yet through test"),IF($R298&lt;&gt;"","Not ready to scale: "&amp;$R298,"Monitoring and third-party review not yet signed off"),IF($Q298="Y","","Live without a measured baseline to judge it against")))</f>
        <v/>
      </c>
      <c r="AJ298" s="65" t="str">
        <f aca="false">IF($Y298="","",INDEX(StageForum,$Y298))</f>
        <v/>
      </c>
      <c r="AK298" s="65" t="str">
        <f aca="false">IF($Y298="","",IF(OR($X298="Delivery",$X298="Value"),"Committed",IF($N298&lt;&gt;"","Candidate","")))</f>
        <v/>
      </c>
      <c r="AL298" s="65" t="str">
        <f aca="false">IF($AK298&lt;&gt;"Candidate","",COUNTIFS($AK$2:$AK$501,"Candidate",$N$2:$N$501,"&gt;"&amp;$N298)+COUNTIFS($AK$2:$AK$501,"Candidate",$N$2:$N$501,$N298,$A$2:$A$501,"&lt;"&amp;$A298)+1)</f>
        <v/>
      </c>
      <c r="AM298" s="65" t="str">
        <f aca="false">IF($AL298="","",SUMIFS($M$2:$M$501,$AK$2:$AK$501,"Candidate",$AL$2:$AL$501,"&lt;="&amp;$AL298))</f>
        <v/>
      </c>
      <c r="AN298" s="65" t="str">
        <f aca="false">IF($AL298="","",IF($AM298&lt;=CapacityOpen,"Fits","Below line"))</f>
        <v/>
      </c>
      <c r="AO298" s="65" t="str">
        <f aca="false">IF($A298="","",IF($X298="Closed","",IF($X298="Unmapped","Warning",IF(OR($AB298="Overdue",$V298="Y",$AH298="Critical"),"Critical",IF(OR($AB298="At risk",$AC298="Stale",$AG298="Over"),"Warning","")))))</f>
        <v/>
      </c>
      <c r="AP298" s="65" t="str">
        <f aca="false">IF($AO298="","",IF($AO298="Critical",3000,2000)-IF($Z298="",0,$Z298)+ROW()/100000)</f>
        <v/>
      </c>
      <c r="AQ298" s="65" t="str">
        <f aca="false">IF($AO298="","",IF($X298="Unmapped","Status '"&amp;$C298&amp;"' is not in the Config map",IF($V298="Y","Flagged in Jira",IF($AB298="Overdue",-$Z298&amp;" days past its "&amp;$X298&amp;" target",IF($AH298="Critical",$AI298,IF($AB298="At risk","Target in "&amp;$Z298&amp;" days",IF($AC298="Stale","No update in "&amp;$AA298&amp;" days","Past its "&amp;$AE298&amp;"-day tier window")))))))</f>
        <v/>
      </c>
      <c r="AR298" s="65" t="str">
        <f aca="false">IF($AO298="","","draft Jira update for "&amp;$A298)</f>
        <v/>
      </c>
      <c r="AS298" s="65" t="str">
        <f aca="false">IF($A298="","",HYPERLINK(JiraSite&amp;"/browse/"&amp;$A298,"open"))</f>
        <v/>
      </c>
      <c r="AT298" s="65" t="str">
        <f aca="false">IF($Y298="","",$Y298*1000+ROW())</f>
        <v/>
      </c>
      <c r="AU298" s="65" t="str">
        <f aca="false">IF(AND($A298&lt;&gt;"",$G298&gt;=WeekStart),$G298+ROW()/100000,"")</f>
        <v/>
      </c>
      <c r="AV298" s="65" t="str">
        <f aca="false">IF($A298="","",IF(OR(AND($S298&lt;&gt;"",$S298&gt;=WeekStart),AND($U298&lt;&gt;"",$U298&gt;=WeekStart)),MAX($S298,$U298)+ROW()/100000,""))</f>
        <v/>
      </c>
      <c r="AW298" s="65" t="str">
        <f aca="false">IF($AV298="","",IF($T298&lt;&gt;"",$T298,IF($X298="Closed","Closed","Accepted to "&amp;$X298)))</f>
        <v/>
      </c>
      <c r="AX298" s="65" t="str">
        <f aca="false">IF(AND($Y298&lt;&gt;"",$R298&lt;&gt;""),$AF298+ROW()/100000,"")</f>
        <v/>
      </c>
      <c r="AY298" s="65" t="str">
        <f aca="false">IF(AND($Y298&lt;&gt;"",OR($AB298="Overdue",AND($AH298="Critical",$R298&lt;&gt;""))),$AF298+ROW()/100000,"")</f>
        <v/>
      </c>
      <c r="AZ298" s="65" t="str">
        <f aca="false">IF($AH298="Critical",$AF298+ROW()/100000,"")</f>
        <v/>
      </c>
    </row>
    <row r="299" customFormat="false" ht="15" hidden="false" customHeight="false" outlineLevel="0" collapsed="false">
      <c r="A299" s="28"/>
      <c r="B299" s="28"/>
      <c r="C299" s="28"/>
      <c r="D299" s="28"/>
      <c r="E299" s="28"/>
      <c r="F299" s="28"/>
      <c r="G299" s="63"/>
      <c r="H299" s="63"/>
      <c r="I299" s="63"/>
      <c r="J299" s="28"/>
      <c r="K299" s="28"/>
      <c r="L299" s="28"/>
      <c r="M299" s="28"/>
      <c r="N299" s="28"/>
      <c r="O299" s="64"/>
      <c r="P299" s="64"/>
      <c r="Q299" s="64"/>
      <c r="R299" s="28"/>
      <c r="S299" s="63"/>
      <c r="T299" s="64"/>
      <c r="U299" s="63"/>
      <c r="V299" s="64"/>
      <c r="W299" s="28"/>
      <c r="X299" s="65" t="str">
        <f aca="false">IF($A299="","",IF(OR($T299&lt;&gt;"",$U299&lt;&gt;""),"Closed",IFERROR(INDEX(MapStage,MATCH($C299,MapStatus,0)),"Unmapped")))</f>
        <v/>
      </c>
      <c r="Y299" s="65" t="str">
        <f aca="false">IF(OR($X299="",$X299="Closed",$X299="Unmapped"),"",MATCH($X299,StageName,0))</f>
        <v/>
      </c>
      <c r="Z299" s="65" t="str">
        <f aca="false">IF(OR($Y299="",$I299=""),"",$I299-AsOf)</f>
        <v/>
      </c>
      <c r="AA299" s="65" t="str">
        <f aca="false">IF($A299="","",AsOf-$H299)</f>
        <v/>
      </c>
      <c r="AB299" s="65" t="str">
        <f aca="false">IF($A299="","",IF($X299="Closed","Closed",IF($X299="Unmapped","Unmapped",IF($I299="","No target",IF($Z299&lt;0,"Overdue",IF($Z299&lt;=INDEX(StageWindow,$Y299),"At risk","On track"))))))</f>
        <v/>
      </c>
      <c r="AC299" s="65" t="str">
        <f aca="false">IF($Y299="","",IF($AA299&gt;2*INDEX(StageStale,$Y299),"Stale",IF($AA299&gt;INDEX(StageStale,$Y299),"Aging","Fresh")))</f>
        <v/>
      </c>
      <c r="AD299" s="65" t="str">
        <f aca="false">IF($A299="","",IF(OR(ISNUMBER(SEARCH("Reg report",$J299)),ISNUMBER(SEARCH("No human review",$J299)),COUNTIF(TierFuncs,$D299)&gt;0),"High",IF(OR(TRIM($J299)&lt;&gt;"",ISNUMBER(SEARCH("revenue",$K299))),"Medium","Low")))</f>
        <v/>
      </c>
      <c r="AE299" s="65" t="str">
        <f aca="false">IF($A299="","",INDEX(TierDays,MATCH($AD299,TierName,0)))</f>
        <v/>
      </c>
      <c r="AF299" s="65" t="str">
        <f aca="false">IF($A299="","",AsOf-$G299)</f>
        <v/>
      </c>
      <c r="AG299" s="65" t="str">
        <f aca="false">IF($Y299="","",IF($Y299&lt;=5,IF($AF299&gt;$AE299,"Over","Inside"),"Past approval"))</f>
        <v/>
      </c>
      <c r="AH299" s="65" t="str">
        <f aca="false">IF($Y299="","",CHOOSE($Y299,IF(OR(TRIM($F299)="",ISNUMBER(SEARCH("not named",$F299))),"Critical","Good"),IF($O299&lt;&gt;"Y","Critical",IF($Q299&lt;&gt;"Y","Warning","Good")),IF($P299="","Critical",IF($P299="partial","Warning",IF($P299="ready","Good","Critical"))),IF($R299&lt;&gt;"","Critical","Warning"),IF($L299="","Critical",IF($N299="","Warning","Good")),IF($R299&lt;&gt;"","Critical","Warning"),IF($R299&lt;&gt;"","Critical","Warning"),IF($Q299="Y","Good","Critical")))</f>
        <v/>
      </c>
      <c r="AI299" s="65" t="str">
        <f aca="false">IF($Y299="","",CHOOSE($Y299,IF(OR(TRIM($F299)="",ISNUMBER(SEARCH("not named",$F299))),"Name a sponsor accountable for the value",""),IF($O299&lt;&gt;"Y","State the success metric and the stop condition",IF($Q299&lt;&gt;"Y","Set the baseline the benefit will be measured against","")),IF($P299="","Assess data readiness and regulatory impact",IF($P299="partial","Close the known data gaps",IF($P299="ready","","Data is not available; reshape or park"))),IF($R299&lt;&gt;"",IF(OR(ISNUMBER(SEARCH("mrm",$R299)),ISNUMBER(SEARCH("model",$R299)),ISNUMBER(SEARCH("risk",$R299)),ISNUMBER(SEARCH("legal",$R299)),ISNUMBER(SEARCH("complian",$R299))),"Awaiting ","Held at the design gate: ")&amp;$R299,"Map the governance framework for its tier"),IF($L299="","Size the annual benefit",IF($N299="","Score it so it can be ranked against capacity","")),IF($R299&lt;&gt;"","Build held: "&amp;$R299,"In build, not yet through test"),IF($R299&lt;&gt;"","Not ready to scale: "&amp;$R299,"Monitoring and third-party review not yet signed off"),IF($Q299="Y","","Live without a measured baseline to judge it against")))</f>
        <v/>
      </c>
      <c r="AJ299" s="65" t="str">
        <f aca="false">IF($Y299="","",INDEX(StageForum,$Y299))</f>
        <v/>
      </c>
      <c r="AK299" s="65" t="str">
        <f aca="false">IF($Y299="","",IF(OR($X299="Delivery",$X299="Value"),"Committed",IF($N299&lt;&gt;"","Candidate","")))</f>
        <v/>
      </c>
      <c r="AL299" s="65" t="str">
        <f aca="false">IF($AK299&lt;&gt;"Candidate","",COUNTIFS($AK$2:$AK$501,"Candidate",$N$2:$N$501,"&gt;"&amp;$N299)+COUNTIFS($AK$2:$AK$501,"Candidate",$N$2:$N$501,$N299,$A$2:$A$501,"&lt;"&amp;$A299)+1)</f>
        <v/>
      </c>
      <c r="AM299" s="65" t="str">
        <f aca="false">IF($AL299="","",SUMIFS($M$2:$M$501,$AK$2:$AK$501,"Candidate",$AL$2:$AL$501,"&lt;="&amp;$AL299))</f>
        <v/>
      </c>
      <c r="AN299" s="65" t="str">
        <f aca="false">IF($AL299="","",IF($AM299&lt;=CapacityOpen,"Fits","Below line"))</f>
        <v/>
      </c>
      <c r="AO299" s="65" t="str">
        <f aca="false">IF($A299="","",IF($X299="Closed","",IF($X299="Unmapped","Warning",IF(OR($AB299="Overdue",$V299="Y",$AH299="Critical"),"Critical",IF(OR($AB299="At risk",$AC299="Stale",$AG299="Over"),"Warning","")))))</f>
        <v/>
      </c>
      <c r="AP299" s="65" t="str">
        <f aca="false">IF($AO299="","",IF($AO299="Critical",3000,2000)-IF($Z299="",0,$Z299)+ROW()/100000)</f>
        <v/>
      </c>
      <c r="AQ299" s="65" t="str">
        <f aca="false">IF($AO299="","",IF($X299="Unmapped","Status '"&amp;$C299&amp;"' is not in the Config map",IF($V299="Y","Flagged in Jira",IF($AB299="Overdue",-$Z299&amp;" days past its "&amp;$X299&amp;" target",IF($AH299="Critical",$AI299,IF($AB299="At risk","Target in "&amp;$Z299&amp;" days",IF($AC299="Stale","No update in "&amp;$AA299&amp;" days","Past its "&amp;$AE299&amp;"-day tier window")))))))</f>
        <v/>
      </c>
      <c r="AR299" s="65" t="str">
        <f aca="false">IF($AO299="","","draft Jira update for "&amp;$A299)</f>
        <v/>
      </c>
      <c r="AS299" s="65" t="str">
        <f aca="false">IF($A299="","",HYPERLINK(JiraSite&amp;"/browse/"&amp;$A299,"open"))</f>
        <v/>
      </c>
      <c r="AT299" s="65" t="str">
        <f aca="false">IF($Y299="","",$Y299*1000+ROW())</f>
        <v/>
      </c>
      <c r="AU299" s="65" t="str">
        <f aca="false">IF(AND($A299&lt;&gt;"",$G299&gt;=WeekStart),$G299+ROW()/100000,"")</f>
        <v/>
      </c>
      <c r="AV299" s="65" t="str">
        <f aca="false">IF($A299="","",IF(OR(AND($S299&lt;&gt;"",$S299&gt;=WeekStart),AND($U299&lt;&gt;"",$U299&gt;=WeekStart)),MAX($S299,$U299)+ROW()/100000,""))</f>
        <v/>
      </c>
      <c r="AW299" s="65" t="str">
        <f aca="false">IF($AV299="","",IF($T299&lt;&gt;"",$T299,IF($X299="Closed","Closed","Accepted to "&amp;$X299)))</f>
        <v/>
      </c>
      <c r="AX299" s="65" t="str">
        <f aca="false">IF(AND($Y299&lt;&gt;"",$R299&lt;&gt;""),$AF299+ROW()/100000,"")</f>
        <v/>
      </c>
      <c r="AY299" s="65" t="str">
        <f aca="false">IF(AND($Y299&lt;&gt;"",OR($AB299="Overdue",AND($AH299="Critical",$R299&lt;&gt;""))),$AF299+ROW()/100000,"")</f>
        <v/>
      </c>
      <c r="AZ299" s="65" t="str">
        <f aca="false">IF($AH299="Critical",$AF299+ROW()/100000,"")</f>
        <v/>
      </c>
    </row>
    <row r="300" customFormat="false" ht="15" hidden="false" customHeight="false" outlineLevel="0" collapsed="false">
      <c r="A300" s="28"/>
      <c r="B300" s="28"/>
      <c r="C300" s="28"/>
      <c r="D300" s="28"/>
      <c r="E300" s="28"/>
      <c r="F300" s="28"/>
      <c r="G300" s="63"/>
      <c r="H300" s="63"/>
      <c r="I300" s="63"/>
      <c r="J300" s="28"/>
      <c r="K300" s="28"/>
      <c r="L300" s="28"/>
      <c r="M300" s="28"/>
      <c r="N300" s="28"/>
      <c r="O300" s="64"/>
      <c r="P300" s="64"/>
      <c r="Q300" s="64"/>
      <c r="R300" s="28"/>
      <c r="S300" s="63"/>
      <c r="T300" s="64"/>
      <c r="U300" s="63"/>
      <c r="V300" s="64"/>
      <c r="W300" s="28"/>
      <c r="X300" s="65" t="str">
        <f aca="false">IF($A300="","",IF(OR($T300&lt;&gt;"",$U300&lt;&gt;""),"Closed",IFERROR(INDEX(MapStage,MATCH($C300,MapStatus,0)),"Unmapped")))</f>
        <v/>
      </c>
      <c r="Y300" s="65" t="str">
        <f aca="false">IF(OR($X300="",$X300="Closed",$X300="Unmapped"),"",MATCH($X300,StageName,0))</f>
        <v/>
      </c>
      <c r="Z300" s="65" t="str">
        <f aca="false">IF(OR($Y300="",$I300=""),"",$I300-AsOf)</f>
        <v/>
      </c>
      <c r="AA300" s="65" t="str">
        <f aca="false">IF($A300="","",AsOf-$H300)</f>
        <v/>
      </c>
      <c r="AB300" s="65" t="str">
        <f aca="false">IF($A300="","",IF($X300="Closed","Closed",IF($X300="Unmapped","Unmapped",IF($I300="","No target",IF($Z300&lt;0,"Overdue",IF($Z300&lt;=INDEX(StageWindow,$Y300),"At risk","On track"))))))</f>
        <v/>
      </c>
      <c r="AC300" s="65" t="str">
        <f aca="false">IF($Y300="","",IF($AA300&gt;2*INDEX(StageStale,$Y300),"Stale",IF($AA300&gt;INDEX(StageStale,$Y300),"Aging","Fresh")))</f>
        <v/>
      </c>
      <c r="AD300" s="65" t="str">
        <f aca="false">IF($A300="","",IF(OR(ISNUMBER(SEARCH("Reg report",$J300)),ISNUMBER(SEARCH("No human review",$J300)),COUNTIF(TierFuncs,$D300)&gt;0),"High",IF(OR(TRIM($J300)&lt;&gt;"",ISNUMBER(SEARCH("revenue",$K300))),"Medium","Low")))</f>
        <v/>
      </c>
      <c r="AE300" s="65" t="str">
        <f aca="false">IF($A300="","",INDEX(TierDays,MATCH($AD300,TierName,0)))</f>
        <v/>
      </c>
      <c r="AF300" s="65" t="str">
        <f aca="false">IF($A300="","",AsOf-$G300)</f>
        <v/>
      </c>
      <c r="AG300" s="65" t="str">
        <f aca="false">IF($Y300="","",IF($Y300&lt;=5,IF($AF300&gt;$AE300,"Over","Inside"),"Past approval"))</f>
        <v/>
      </c>
      <c r="AH300" s="65" t="str">
        <f aca="false">IF($Y300="","",CHOOSE($Y300,IF(OR(TRIM($F300)="",ISNUMBER(SEARCH("not named",$F300))),"Critical","Good"),IF($O300&lt;&gt;"Y","Critical",IF($Q300&lt;&gt;"Y","Warning","Good")),IF($P300="","Critical",IF($P300="partial","Warning",IF($P300="ready","Good","Critical"))),IF($R300&lt;&gt;"","Critical","Warning"),IF($L300="","Critical",IF($N300="","Warning","Good")),IF($R300&lt;&gt;"","Critical","Warning"),IF($R300&lt;&gt;"","Critical","Warning"),IF($Q300="Y","Good","Critical")))</f>
        <v/>
      </c>
      <c r="AI300" s="65" t="str">
        <f aca="false">IF($Y300="","",CHOOSE($Y300,IF(OR(TRIM($F300)="",ISNUMBER(SEARCH("not named",$F300))),"Name a sponsor accountable for the value",""),IF($O300&lt;&gt;"Y","State the success metric and the stop condition",IF($Q300&lt;&gt;"Y","Set the baseline the benefit will be measured against","")),IF($P300="","Assess data readiness and regulatory impact",IF($P300="partial","Close the known data gaps",IF($P300="ready","","Data is not available; reshape or park"))),IF($R300&lt;&gt;"",IF(OR(ISNUMBER(SEARCH("mrm",$R300)),ISNUMBER(SEARCH("model",$R300)),ISNUMBER(SEARCH("risk",$R300)),ISNUMBER(SEARCH("legal",$R300)),ISNUMBER(SEARCH("complian",$R300))),"Awaiting ","Held at the design gate: ")&amp;$R300,"Map the governance framework for its tier"),IF($L300="","Size the annual benefit",IF($N300="","Score it so it can be ranked against capacity","")),IF($R300&lt;&gt;"","Build held: "&amp;$R300,"In build, not yet through test"),IF($R300&lt;&gt;"","Not ready to scale: "&amp;$R300,"Monitoring and third-party review not yet signed off"),IF($Q300="Y","","Live without a measured baseline to judge it against")))</f>
        <v/>
      </c>
      <c r="AJ300" s="65" t="str">
        <f aca="false">IF($Y300="","",INDEX(StageForum,$Y300))</f>
        <v/>
      </c>
      <c r="AK300" s="65" t="str">
        <f aca="false">IF($Y300="","",IF(OR($X300="Delivery",$X300="Value"),"Committed",IF($N300&lt;&gt;"","Candidate","")))</f>
        <v/>
      </c>
      <c r="AL300" s="65" t="str">
        <f aca="false">IF($AK300&lt;&gt;"Candidate","",COUNTIFS($AK$2:$AK$501,"Candidate",$N$2:$N$501,"&gt;"&amp;$N300)+COUNTIFS($AK$2:$AK$501,"Candidate",$N$2:$N$501,$N300,$A$2:$A$501,"&lt;"&amp;$A300)+1)</f>
        <v/>
      </c>
      <c r="AM300" s="65" t="str">
        <f aca="false">IF($AL300="","",SUMIFS($M$2:$M$501,$AK$2:$AK$501,"Candidate",$AL$2:$AL$501,"&lt;="&amp;$AL300))</f>
        <v/>
      </c>
      <c r="AN300" s="65" t="str">
        <f aca="false">IF($AL300="","",IF($AM300&lt;=CapacityOpen,"Fits","Below line"))</f>
        <v/>
      </c>
      <c r="AO300" s="65" t="str">
        <f aca="false">IF($A300="","",IF($X300="Closed","",IF($X300="Unmapped","Warning",IF(OR($AB300="Overdue",$V300="Y",$AH300="Critical"),"Critical",IF(OR($AB300="At risk",$AC300="Stale",$AG300="Over"),"Warning","")))))</f>
        <v/>
      </c>
      <c r="AP300" s="65" t="str">
        <f aca="false">IF($AO300="","",IF($AO300="Critical",3000,2000)-IF($Z300="",0,$Z300)+ROW()/100000)</f>
        <v/>
      </c>
      <c r="AQ300" s="65" t="str">
        <f aca="false">IF($AO300="","",IF($X300="Unmapped","Status '"&amp;$C300&amp;"' is not in the Config map",IF($V300="Y","Flagged in Jira",IF($AB300="Overdue",-$Z300&amp;" days past its "&amp;$X300&amp;" target",IF($AH300="Critical",$AI300,IF($AB300="At risk","Target in "&amp;$Z300&amp;" days",IF($AC300="Stale","No update in "&amp;$AA300&amp;" days","Past its "&amp;$AE300&amp;"-day tier window")))))))</f>
        <v/>
      </c>
      <c r="AR300" s="65" t="str">
        <f aca="false">IF($AO300="","","draft Jira update for "&amp;$A300)</f>
        <v/>
      </c>
      <c r="AS300" s="65" t="str">
        <f aca="false">IF($A300="","",HYPERLINK(JiraSite&amp;"/browse/"&amp;$A300,"open"))</f>
        <v/>
      </c>
      <c r="AT300" s="65" t="str">
        <f aca="false">IF($Y300="","",$Y300*1000+ROW())</f>
        <v/>
      </c>
      <c r="AU300" s="65" t="str">
        <f aca="false">IF(AND($A300&lt;&gt;"",$G300&gt;=WeekStart),$G300+ROW()/100000,"")</f>
        <v/>
      </c>
      <c r="AV300" s="65" t="str">
        <f aca="false">IF($A300="","",IF(OR(AND($S300&lt;&gt;"",$S300&gt;=WeekStart),AND($U300&lt;&gt;"",$U300&gt;=WeekStart)),MAX($S300,$U300)+ROW()/100000,""))</f>
        <v/>
      </c>
      <c r="AW300" s="65" t="str">
        <f aca="false">IF($AV300="","",IF($T300&lt;&gt;"",$T300,IF($X300="Closed","Closed","Accepted to "&amp;$X300)))</f>
        <v/>
      </c>
      <c r="AX300" s="65" t="str">
        <f aca="false">IF(AND($Y300&lt;&gt;"",$R300&lt;&gt;""),$AF300+ROW()/100000,"")</f>
        <v/>
      </c>
      <c r="AY300" s="65" t="str">
        <f aca="false">IF(AND($Y300&lt;&gt;"",OR($AB300="Overdue",AND($AH300="Critical",$R300&lt;&gt;""))),$AF300+ROW()/100000,"")</f>
        <v/>
      </c>
      <c r="AZ300" s="65" t="str">
        <f aca="false">IF($AH300="Critical",$AF300+ROW()/100000,"")</f>
        <v/>
      </c>
    </row>
    <row r="301" customFormat="false" ht="15" hidden="false" customHeight="false" outlineLevel="0" collapsed="false">
      <c r="A301" s="28"/>
      <c r="B301" s="28"/>
      <c r="C301" s="28"/>
      <c r="D301" s="28"/>
      <c r="E301" s="28"/>
      <c r="F301" s="28"/>
      <c r="G301" s="63"/>
      <c r="H301" s="63"/>
      <c r="I301" s="63"/>
      <c r="J301" s="28"/>
      <c r="K301" s="28"/>
      <c r="L301" s="28"/>
      <c r="M301" s="28"/>
      <c r="N301" s="28"/>
      <c r="O301" s="64"/>
      <c r="P301" s="64"/>
      <c r="Q301" s="64"/>
      <c r="R301" s="28"/>
      <c r="S301" s="63"/>
      <c r="T301" s="64"/>
      <c r="U301" s="63"/>
      <c r="V301" s="64"/>
      <c r="W301" s="28"/>
      <c r="X301" s="65" t="str">
        <f aca="false">IF($A301="","",IF(OR($T301&lt;&gt;"",$U301&lt;&gt;""),"Closed",IFERROR(INDEX(MapStage,MATCH($C301,MapStatus,0)),"Unmapped")))</f>
        <v/>
      </c>
      <c r="Y301" s="65" t="str">
        <f aca="false">IF(OR($X301="",$X301="Closed",$X301="Unmapped"),"",MATCH($X301,StageName,0))</f>
        <v/>
      </c>
      <c r="Z301" s="65" t="str">
        <f aca="false">IF(OR($Y301="",$I301=""),"",$I301-AsOf)</f>
        <v/>
      </c>
      <c r="AA301" s="65" t="str">
        <f aca="false">IF($A301="","",AsOf-$H301)</f>
        <v/>
      </c>
      <c r="AB301" s="65" t="str">
        <f aca="false">IF($A301="","",IF($X301="Closed","Closed",IF($X301="Unmapped","Unmapped",IF($I301="","No target",IF($Z301&lt;0,"Overdue",IF($Z301&lt;=INDEX(StageWindow,$Y301),"At risk","On track"))))))</f>
        <v/>
      </c>
      <c r="AC301" s="65" t="str">
        <f aca="false">IF($Y301="","",IF($AA301&gt;2*INDEX(StageStale,$Y301),"Stale",IF($AA301&gt;INDEX(StageStale,$Y301),"Aging","Fresh")))</f>
        <v/>
      </c>
      <c r="AD301" s="65" t="str">
        <f aca="false">IF($A301="","",IF(OR(ISNUMBER(SEARCH("Reg report",$J301)),ISNUMBER(SEARCH("No human review",$J301)),COUNTIF(TierFuncs,$D301)&gt;0),"High",IF(OR(TRIM($J301)&lt;&gt;"",ISNUMBER(SEARCH("revenue",$K301))),"Medium","Low")))</f>
        <v/>
      </c>
      <c r="AE301" s="65" t="str">
        <f aca="false">IF($A301="","",INDEX(TierDays,MATCH($AD301,TierName,0)))</f>
        <v/>
      </c>
      <c r="AF301" s="65" t="str">
        <f aca="false">IF($A301="","",AsOf-$G301)</f>
        <v/>
      </c>
      <c r="AG301" s="65" t="str">
        <f aca="false">IF($Y301="","",IF($Y301&lt;=5,IF($AF301&gt;$AE301,"Over","Inside"),"Past approval"))</f>
        <v/>
      </c>
      <c r="AH301" s="65" t="str">
        <f aca="false">IF($Y301="","",CHOOSE($Y301,IF(OR(TRIM($F301)="",ISNUMBER(SEARCH("not named",$F301))),"Critical","Good"),IF($O301&lt;&gt;"Y","Critical",IF($Q301&lt;&gt;"Y","Warning","Good")),IF($P301="","Critical",IF($P301="partial","Warning",IF($P301="ready","Good","Critical"))),IF($R301&lt;&gt;"","Critical","Warning"),IF($L301="","Critical",IF($N301="","Warning","Good")),IF($R301&lt;&gt;"","Critical","Warning"),IF($R301&lt;&gt;"","Critical","Warning"),IF($Q301="Y","Good","Critical")))</f>
        <v/>
      </c>
      <c r="AI301" s="65" t="str">
        <f aca="false">IF($Y301="","",CHOOSE($Y301,IF(OR(TRIM($F301)="",ISNUMBER(SEARCH("not named",$F301))),"Name a sponsor accountable for the value",""),IF($O301&lt;&gt;"Y","State the success metric and the stop condition",IF($Q301&lt;&gt;"Y","Set the baseline the benefit will be measured against","")),IF($P301="","Assess data readiness and regulatory impact",IF($P301="partial","Close the known data gaps",IF($P301="ready","","Data is not available; reshape or park"))),IF($R301&lt;&gt;"",IF(OR(ISNUMBER(SEARCH("mrm",$R301)),ISNUMBER(SEARCH("model",$R301)),ISNUMBER(SEARCH("risk",$R301)),ISNUMBER(SEARCH("legal",$R301)),ISNUMBER(SEARCH("complian",$R301))),"Awaiting ","Held at the design gate: ")&amp;$R301,"Map the governance framework for its tier"),IF($L301="","Size the annual benefit",IF($N301="","Score it so it can be ranked against capacity","")),IF($R301&lt;&gt;"","Build held: "&amp;$R301,"In build, not yet through test"),IF($R301&lt;&gt;"","Not ready to scale: "&amp;$R301,"Monitoring and third-party review not yet signed off"),IF($Q301="Y","","Live without a measured baseline to judge it against")))</f>
        <v/>
      </c>
      <c r="AJ301" s="65" t="str">
        <f aca="false">IF($Y301="","",INDEX(StageForum,$Y301))</f>
        <v/>
      </c>
      <c r="AK301" s="65" t="str">
        <f aca="false">IF($Y301="","",IF(OR($X301="Delivery",$X301="Value"),"Committed",IF($N301&lt;&gt;"","Candidate","")))</f>
        <v/>
      </c>
      <c r="AL301" s="65" t="str">
        <f aca="false">IF($AK301&lt;&gt;"Candidate","",COUNTIFS($AK$2:$AK$501,"Candidate",$N$2:$N$501,"&gt;"&amp;$N301)+COUNTIFS($AK$2:$AK$501,"Candidate",$N$2:$N$501,$N301,$A$2:$A$501,"&lt;"&amp;$A301)+1)</f>
        <v/>
      </c>
      <c r="AM301" s="65" t="str">
        <f aca="false">IF($AL301="","",SUMIFS($M$2:$M$501,$AK$2:$AK$501,"Candidate",$AL$2:$AL$501,"&lt;="&amp;$AL301))</f>
        <v/>
      </c>
      <c r="AN301" s="65" t="str">
        <f aca="false">IF($AL301="","",IF($AM301&lt;=CapacityOpen,"Fits","Below line"))</f>
        <v/>
      </c>
      <c r="AO301" s="65" t="str">
        <f aca="false">IF($A301="","",IF($X301="Closed","",IF($X301="Unmapped","Warning",IF(OR($AB301="Overdue",$V301="Y",$AH301="Critical"),"Critical",IF(OR($AB301="At risk",$AC301="Stale",$AG301="Over"),"Warning","")))))</f>
        <v/>
      </c>
      <c r="AP301" s="65" t="str">
        <f aca="false">IF($AO301="","",IF($AO301="Critical",3000,2000)-IF($Z301="",0,$Z301)+ROW()/100000)</f>
        <v/>
      </c>
      <c r="AQ301" s="65" t="str">
        <f aca="false">IF($AO301="","",IF($X301="Unmapped","Status '"&amp;$C301&amp;"' is not in the Config map",IF($V301="Y","Flagged in Jira",IF($AB301="Overdue",-$Z301&amp;" days past its "&amp;$X301&amp;" target",IF($AH301="Critical",$AI301,IF($AB301="At risk","Target in "&amp;$Z301&amp;" days",IF($AC301="Stale","No update in "&amp;$AA301&amp;" days","Past its "&amp;$AE301&amp;"-day tier window")))))))</f>
        <v/>
      </c>
      <c r="AR301" s="65" t="str">
        <f aca="false">IF($AO301="","","draft Jira update for "&amp;$A301)</f>
        <v/>
      </c>
      <c r="AS301" s="65" t="str">
        <f aca="false">IF($A301="","",HYPERLINK(JiraSite&amp;"/browse/"&amp;$A301,"open"))</f>
        <v/>
      </c>
      <c r="AT301" s="65" t="str">
        <f aca="false">IF($Y301="","",$Y301*1000+ROW())</f>
        <v/>
      </c>
      <c r="AU301" s="65" t="str">
        <f aca="false">IF(AND($A301&lt;&gt;"",$G301&gt;=WeekStart),$G301+ROW()/100000,"")</f>
        <v/>
      </c>
      <c r="AV301" s="65" t="str">
        <f aca="false">IF($A301="","",IF(OR(AND($S301&lt;&gt;"",$S301&gt;=WeekStart),AND($U301&lt;&gt;"",$U301&gt;=WeekStart)),MAX($S301,$U301)+ROW()/100000,""))</f>
        <v/>
      </c>
      <c r="AW301" s="65" t="str">
        <f aca="false">IF($AV301="","",IF($T301&lt;&gt;"",$T301,IF($X301="Closed","Closed","Accepted to "&amp;$X301)))</f>
        <v/>
      </c>
      <c r="AX301" s="65" t="str">
        <f aca="false">IF(AND($Y301&lt;&gt;"",$R301&lt;&gt;""),$AF301+ROW()/100000,"")</f>
        <v/>
      </c>
      <c r="AY301" s="65" t="str">
        <f aca="false">IF(AND($Y301&lt;&gt;"",OR($AB301="Overdue",AND($AH301="Critical",$R301&lt;&gt;""))),$AF301+ROW()/100000,"")</f>
        <v/>
      </c>
      <c r="AZ301" s="65" t="str">
        <f aca="false">IF($AH301="Critical",$AF301+ROW()/100000,"")</f>
        <v/>
      </c>
    </row>
    <row r="302" customFormat="false" ht="15" hidden="false" customHeight="false" outlineLevel="0" collapsed="false">
      <c r="A302" s="28"/>
      <c r="B302" s="28"/>
      <c r="C302" s="28"/>
      <c r="D302" s="28"/>
      <c r="E302" s="28"/>
      <c r="F302" s="28"/>
      <c r="G302" s="63"/>
      <c r="H302" s="63"/>
      <c r="I302" s="63"/>
      <c r="J302" s="28"/>
      <c r="K302" s="28"/>
      <c r="L302" s="28"/>
      <c r="M302" s="28"/>
      <c r="N302" s="28"/>
      <c r="O302" s="64"/>
      <c r="P302" s="64"/>
      <c r="Q302" s="64"/>
      <c r="R302" s="28"/>
      <c r="S302" s="63"/>
      <c r="T302" s="64"/>
      <c r="U302" s="63"/>
      <c r="V302" s="64"/>
      <c r="W302" s="28"/>
      <c r="X302" s="65" t="str">
        <f aca="false">IF($A302="","",IF(OR($T302&lt;&gt;"",$U302&lt;&gt;""),"Closed",IFERROR(INDEX(MapStage,MATCH($C302,MapStatus,0)),"Unmapped")))</f>
        <v/>
      </c>
      <c r="Y302" s="65" t="str">
        <f aca="false">IF(OR($X302="",$X302="Closed",$X302="Unmapped"),"",MATCH($X302,StageName,0))</f>
        <v/>
      </c>
      <c r="Z302" s="65" t="str">
        <f aca="false">IF(OR($Y302="",$I302=""),"",$I302-AsOf)</f>
        <v/>
      </c>
      <c r="AA302" s="65" t="str">
        <f aca="false">IF($A302="","",AsOf-$H302)</f>
        <v/>
      </c>
      <c r="AB302" s="65" t="str">
        <f aca="false">IF($A302="","",IF($X302="Closed","Closed",IF($X302="Unmapped","Unmapped",IF($I302="","No target",IF($Z302&lt;0,"Overdue",IF($Z302&lt;=INDEX(StageWindow,$Y302),"At risk","On track"))))))</f>
        <v/>
      </c>
      <c r="AC302" s="65" t="str">
        <f aca="false">IF($Y302="","",IF($AA302&gt;2*INDEX(StageStale,$Y302),"Stale",IF($AA302&gt;INDEX(StageStale,$Y302),"Aging","Fresh")))</f>
        <v/>
      </c>
      <c r="AD302" s="65" t="str">
        <f aca="false">IF($A302="","",IF(OR(ISNUMBER(SEARCH("Reg report",$J302)),ISNUMBER(SEARCH("No human review",$J302)),COUNTIF(TierFuncs,$D302)&gt;0),"High",IF(OR(TRIM($J302)&lt;&gt;"",ISNUMBER(SEARCH("revenue",$K302))),"Medium","Low")))</f>
        <v/>
      </c>
      <c r="AE302" s="65" t="str">
        <f aca="false">IF($A302="","",INDEX(TierDays,MATCH($AD302,TierName,0)))</f>
        <v/>
      </c>
      <c r="AF302" s="65" t="str">
        <f aca="false">IF($A302="","",AsOf-$G302)</f>
        <v/>
      </c>
      <c r="AG302" s="65" t="str">
        <f aca="false">IF($Y302="","",IF($Y302&lt;=5,IF($AF302&gt;$AE302,"Over","Inside"),"Past approval"))</f>
        <v/>
      </c>
      <c r="AH302" s="65" t="str">
        <f aca="false">IF($Y302="","",CHOOSE($Y302,IF(OR(TRIM($F302)="",ISNUMBER(SEARCH("not named",$F302))),"Critical","Good"),IF($O302&lt;&gt;"Y","Critical",IF($Q302&lt;&gt;"Y","Warning","Good")),IF($P302="","Critical",IF($P302="partial","Warning",IF($P302="ready","Good","Critical"))),IF($R302&lt;&gt;"","Critical","Warning"),IF($L302="","Critical",IF($N302="","Warning","Good")),IF($R302&lt;&gt;"","Critical","Warning"),IF($R302&lt;&gt;"","Critical","Warning"),IF($Q302="Y","Good","Critical")))</f>
        <v/>
      </c>
      <c r="AI302" s="65" t="str">
        <f aca="false">IF($Y302="","",CHOOSE($Y302,IF(OR(TRIM($F302)="",ISNUMBER(SEARCH("not named",$F302))),"Name a sponsor accountable for the value",""),IF($O302&lt;&gt;"Y","State the success metric and the stop condition",IF($Q302&lt;&gt;"Y","Set the baseline the benefit will be measured against","")),IF($P302="","Assess data readiness and regulatory impact",IF($P302="partial","Close the known data gaps",IF($P302="ready","","Data is not available; reshape or park"))),IF($R302&lt;&gt;"",IF(OR(ISNUMBER(SEARCH("mrm",$R302)),ISNUMBER(SEARCH("model",$R302)),ISNUMBER(SEARCH("risk",$R302)),ISNUMBER(SEARCH("legal",$R302)),ISNUMBER(SEARCH("complian",$R302))),"Awaiting ","Held at the design gate: ")&amp;$R302,"Map the governance framework for its tier"),IF($L302="","Size the annual benefit",IF($N302="","Score it so it can be ranked against capacity","")),IF($R302&lt;&gt;"","Build held: "&amp;$R302,"In build, not yet through test"),IF($R302&lt;&gt;"","Not ready to scale: "&amp;$R302,"Monitoring and third-party review not yet signed off"),IF($Q302="Y","","Live without a measured baseline to judge it against")))</f>
        <v/>
      </c>
      <c r="AJ302" s="65" t="str">
        <f aca="false">IF($Y302="","",INDEX(StageForum,$Y302))</f>
        <v/>
      </c>
      <c r="AK302" s="65" t="str">
        <f aca="false">IF($Y302="","",IF(OR($X302="Delivery",$X302="Value"),"Committed",IF($N302&lt;&gt;"","Candidate","")))</f>
        <v/>
      </c>
      <c r="AL302" s="65" t="str">
        <f aca="false">IF($AK302&lt;&gt;"Candidate","",COUNTIFS($AK$2:$AK$501,"Candidate",$N$2:$N$501,"&gt;"&amp;$N302)+COUNTIFS($AK$2:$AK$501,"Candidate",$N$2:$N$501,$N302,$A$2:$A$501,"&lt;"&amp;$A302)+1)</f>
        <v/>
      </c>
      <c r="AM302" s="65" t="str">
        <f aca="false">IF($AL302="","",SUMIFS($M$2:$M$501,$AK$2:$AK$501,"Candidate",$AL$2:$AL$501,"&lt;="&amp;$AL302))</f>
        <v/>
      </c>
      <c r="AN302" s="65" t="str">
        <f aca="false">IF($AL302="","",IF($AM302&lt;=CapacityOpen,"Fits","Below line"))</f>
        <v/>
      </c>
      <c r="AO302" s="65" t="str">
        <f aca="false">IF($A302="","",IF($X302="Closed","",IF($X302="Unmapped","Warning",IF(OR($AB302="Overdue",$V302="Y",$AH302="Critical"),"Critical",IF(OR($AB302="At risk",$AC302="Stale",$AG302="Over"),"Warning","")))))</f>
        <v/>
      </c>
      <c r="AP302" s="65" t="str">
        <f aca="false">IF($AO302="","",IF($AO302="Critical",3000,2000)-IF($Z302="",0,$Z302)+ROW()/100000)</f>
        <v/>
      </c>
      <c r="AQ302" s="65" t="str">
        <f aca="false">IF($AO302="","",IF($X302="Unmapped","Status '"&amp;$C302&amp;"' is not in the Config map",IF($V302="Y","Flagged in Jira",IF($AB302="Overdue",-$Z302&amp;" days past its "&amp;$X302&amp;" target",IF($AH302="Critical",$AI302,IF($AB302="At risk","Target in "&amp;$Z302&amp;" days",IF($AC302="Stale","No update in "&amp;$AA302&amp;" days","Past its "&amp;$AE302&amp;"-day tier window")))))))</f>
        <v/>
      </c>
      <c r="AR302" s="65" t="str">
        <f aca="false">IF($AO302="","","draft Jira update for "&amp;$A302)</f>
        <v/>
      </c>
      <c r="AS302" s="65" t="str">
        <f aca="false">IF($A302="","",HYPERLINK(JiraSite&amp;"/browse/"&amp;$A302,"open"))</f>
        <v/>
      </c>
      <c r="AT302" s="65" t="str">
        <f aca="false">IF($Y302="","",$Y302*1000+ROW())</f>
        <v/>
      </c>
      <c r="AU302" s="65" t="str">
        <f aca="false">IF(AND($A302&lt;&gt;"",$G302&gt;=WeekStart),$G302+ROW()/100000,"")</f>
        <v/>
      </c>
      <c r="AV302" s="65" t="str">
        <f aca="false">IF($A302="","",IF(OR(AND($S302&lt;&gt;"",$S302&gt;=WeekStart),AND($U302&lt;&gt;"",$U302&gt;=WeekStart)),MAX($S302,$U302)+ROW()/100000,""))</f>
        <v/>
      </c>
      <c r="AW302" s="65" t="str">
        <f aca="false">IF($AV302="","",IF($T302&lt;&gt;"",$T302,IF($X302="Closed","Closed","Accepted to "&amp;$X302)))</f>
        <v/>
      </c>
      <c r="AX302" s="65" t="str">
        <f aca="false">IF(AND($Y302&lt;&gt;"",$R302&lt;&gt;""),$AF302+ROW()/100000,"")</f>
        <v/>
      </c>
      <c r="AY302" s="65" t="str">
        <f aca="false">IF(AND($Y302&lt;&gt;"",OR($AB302="Overdue",AND($AH302="Critical",$R302&lt;&gt;""))),$AF302+ROW()/100000,"")</f>
        <v/>
      </c>
      <c r="AZ302" s="65" t="str">
        <f aca="false">IF($AH302="Critical",$AF302+ROW()/100000,"")</f>
        <v/>
      </c>
    </row>
    <row r="303" customFormat="false" ht="15" hidden="false" customHeight="false" outlineLevel="0" collapsed="false">
      <c r="A303" s="28"/>
      <c r="B303" s="28"/>
      <c r="C303" s="28"/>
      <c r="D303" s="28"/>
      <c r="E303" s="28"/>
      <c r="F303" s="28"/>
      <c r="G303" s="63"/>
      <c r="H303" s="63"/>
      <c r="I303" s="63"/>
      <c r="J303" s="28"/>
      <c r="K303" s="28"/>
      <c r="L303" s="28"/>
      <c r="M303" s="28"/>
      <c r="N303" s="28"/>
      <c r="O303" s="64"/>
      <c r="P303" s="64"/>
      <c r="Q303" s="64"/>
      <c r="R303" s="28"/>
      <c r="S303" s="63"/>
      <c r="T303" s="64"/>
      <c r="U303" s="63"/>
      <c r="V303" s="64"/>
      <c r="W303" s="28"/>
      <c r="X303" s="65" t="str">
        <f aca="false">IF($A303="","",IF(OR($T303&lt;&gt;"",$U303&lt;&gt;""),"Closed",IFERROR(INDEX(MapStage,MATCH($C303,MapStatus,0)),"Unmapped")))</f>
        <v/>
      </c>
      <c r="Y303" s="65" t="str">
        <f aca="false">IF(OR($X303="",$X303="Closed",$X303="Unmapped"),"",MATCH($X303,StageName,0))</f>
        <v/>
      </c>
      <c r="Z303" s="65" t="str">
        <f aca="false">IF(OR($Y303="",$I303=""),"",$I303-AsOf)</f>
        <v/>
      </c>
      <c r="AA303" s="65" t="str">
        <f aca="false">IF($A303="","",AsOf-$H303)</f>
        <v/>
      </c>
      <c r="AB303" s="65" t="str">
        <f aca="false">IF($A303="","",IF($X303="Closed","Closed",IF($X303="Unmapped","Unmapped",IF($I303="","No target",IF($Z303&lt;0,"Overdue",IF($Z303&lt;=INDEX(StageWindow,$Y303),"At risk","On track"))))))</f>
        <v/>
      </c>
      <c r="AC303" s="65" t="str">
        <f aca="false">IF($Y303="","",IF($AA303&gt;2*INDEX(StageStale,$Y303),"Stale",IF($AA303&gt;INDEX(StageStale,$Y303),"Aging","Fresh")))</f>
        <v/>
      </c>
      <c r="AD303" s="65" t="str">
        <f aca="false">IF($A303="","",IF(OR(ISNUMBER(SEARCH("Reg report",$J303)),ISNUMBER(SEARCH("No human review",$J303)),COUNTIF(TierFuncs,$D303)&gt;0),"High",IF(OR(TRIM($J303)&lt;&gt;"",ISNUMBER(SEARCH("revenue",$K303))),"Medium","Low")))</f>
        <v/>
      </c>
      <c r="AE303" s="65" t="str">
        <f aca="false">IF($A303="","",INDEX(TierDays,MATCH($AD303,TierName,0)))</f>
        <v/>
      </c>
      <c r="AF303" s="65" t="str">
        <f aca="false">IF($A303="","",AsOf-$G303)</f>
        <v/>
      </c>
      <c r="AG303" s="65" t="str">
        <f aca="false">IF($Y303="","",IF($Y303&lt;=5,IF($AF303&gt;$AE303,"Over","Inside"),"Past approval"))</f>
        <v/>
      </c>
      <c r="AH303" s="65" t="str">
        <f aca="false">IF($Y303="","",CHOOSE($Y303,IF(OR(TRIM($F303)="",ISNUMBER(SEARCH("not named",$F303))),"Critical","Good"),IF($O303&lt;&gt;"Y","Critical",IF($Q303&lt;&gt;"Y","Warning","Good")),IF($P303="","Critical",IF($P303="partial","Warning",IF($P303="ready","Good","Critical"))),IF($R303&lt;&gt;"","Critical","Warning"),IF($L303="","Critical",IF($N303="","Warning","Good")),IF($R303&lt;&gt;"","Critical","Warning"),IF($R303&lt;&gt;"","Critical","Warning"),IF($Q303="Y","Good","Critical")))</f>
        <v/>
      </c>
      <c r="AI303" s="65" t="str">
        <f aca="false">IF($Y303="","",CHOOSE($Y303,IF(OR(TRIM($F303)="",ISNUMBER(SEARCH("not named",$F303))),"Name a sponsor accountable for the value",""),IF($O303&lt;&gt;"Y","State the success metric and the stop condition",IF($Q303&lt;&gt;"Y","Set the baseline the benefit will be measured against","")),IF($P303="","Assess data readiness and regulatory impact",IF($P303="partial","Close the known data gaps",IF($P303="ready","","Data is not available; reshape or park"))),IF($R303&lt;&gt;"",IF(OR(ISNUMBER(SEARCH("mrm",$R303)),ISNUMBER(SEARCH("model",$R303)),ISNUMBER(SEARCH("risk",$R303)),ISNUMBER(SEARCH("legal",$R303)),ISNUMBER(SEARCH("complian",$R303))),"Awaiting ","Held at the design gate: ")&amp;$R303,"Map the governance framework for its tier"),IF($L303="","Size the annual benefit",IF($N303="","Score it so it can be ranked against capacity","")),IF($R303&lt;&gt;"","Build held: "&amp;$R303,"In build, not yet through test"),IF($R303&lt;&gt;"","Not ready to scale: "&amp;$R303,"Monitoring and third-party review not yet signed off"),IF($Q303="Y","","Live without a measured baseline to judge it against")))</f>
        <v/>
      </c>
      <c r="AJ303" s="65" t="str">
        <f aca="false">IF($Y303="","",INDEX(StageForum,$Y303))</f>
        <v/>
      </c>
      <c r="AK303" s="65" t="str">
        <f aca="false">IF($Y303="","",IF(OR($X303="Delivery",$X303="Value"),"Committed",IF($N303&lt;&gt;"","Candidate","")))</f>
        <v/>
      </c>
      <c r="AL303" s="65" t="str">
        <f aca="false">IF($AK303&lt;&gt;"Candidate","",COUNTIFS($AK$2:$AK$501,"Candidate",$N$2:$N$501,"&gt;"&amp;$N303)+COUNTIFS($AK$2:$AK$501,"Candidate",$N$2:$N$501,$N303,$A$2:$A$501,"&lt;"&amp;$A303)+1)</f>
        <v/>
      </c>
      <c r="AM303" s="65" t="str">
        <f aca="false">IF($AL303="","",SUMIFS($M$2:$M$501,$AK$2:$AK$501,"Candidate",$AL$2:$AL$501,"&lt;="&amp;$AL303))</f>
        <v/>
      </c>
      <c r="AN303" s="65" t="str">
        <f aca="false">IF($AL303="","",IF($AM303&lt;=CapacityOpen,"Fits","Below line"))</f>
        <v/>
      </c>
      <c r="AO303" s="65" t="str">
        <f aca="false">IF($A303="","",IF($X303="Closed","",IF($X303="Unmapped","Warning",IF(OR($AB303="Overdue",$V303="Y",$AH303="Critical"),"Critical",IF(OR($AB303="At risk",$AC303="Stale",$AG303="Over"),"Warning","")))))</f>
        <v/>
      </c>
      <c r="AP303" s="65" t="str">
        <f aca="false">IF($AO303="","",IF($AO303="Critical",3000,2000)-IF($Z303="",0,$Z303)+ROW()/100000)</f>
        <v/>
      </c>
      <c r="AQ303" s="65" t="str">
        <f aca="false">IF($AO303="","",IF($X303="Unmapped","Status '"&amp;$C303&amp;"' is not in the Config map",IF($V303="Y","Flagged in Jira",IF($AB303="Overdue",-$Z303&amp;" days past its "&amp;$X303&amp;" target",IF($AH303="Critical",$AI303,IF($AB303="At risk","Target in "&amp;$Z303&amp;" days",IF($AC303="Stale","No update in "&amp;$AA303&amp;" days","Past its "&amp;$AE303&amp;"-day tier window")))))))</f>
        <v/>
      </c>
      <c r="AR303" s="65" t="str">
        <f aca="false">IF($AO303="","","draft Jira update for "&amp;$A303)</f>
        <v/>
      </c>
      <c r="AS303" s="65" t="str">
        <f aca="false">IF($A303="","",HYPERLINK(JiraSite&amp;"/browse/"&amp;$A303,"open"))</f>
        <v/>
      </c>
      <c r="AT303" s="65" t="str">
        <f aca="false">IF($Y303="","",$Y303*1000+ROW())</f>
        <v/>
      </c>
      <c r="AU303" s="65" t="str">
        <f aca="false">IF(AND($A303&lt;&gt;"",$G303&gt;=WeekStart),$G303+ROW()/100000,"")</f>
        <v/>
      </c>
      <c r="AV303" s="65" t="str">
        <f aca="false">IF($A303="","",IF(OR(AND($S303&lt;&gt;"",$S303&gt;=WeekStart),AND($U303&lt;&gt;"",$U303&gt;=WeekStart)),MAX($S303,$U303)+ROW()/100000,""))</f>
        <v/>
      </c>
      <c r="AW303" s="65" t="str">
        <f aca="false">IF($AV303="","",IF($T303&lt;&gt;"",$T303,IF($X303="Closed","Closed","Accepted to "&amp;$X303)))</f>
        <v/>
      </c>
      <c r="AX303" s="65" t="str">
        <f aca="false">IF(AND($Y303&lt;&gt;"",$R303&lt;&gt;""),$AF303+ROW()/100000,"")</f>
        <v/>
      </c>
      <c r="AY303" s="65" t="str">
        <f aca="false">IF(AND($Y303&lt;&gt;"",OR($AB303="Overdue",AND($AH303="Critical",$R303&lt;&gt;""))),$AF303+ROW()/100000,"")</f>
        <v/>
      </c>
      <c r="AZ303" s="65" t="str">
        <f aca="false">IF($AH303="Critical",$AF303+ROW()/100000,"")</f>
        <v/>
      </c>
    </row>
    <row r="304" customFormat="false" ht="15" hidden="false" customHeight="false" outlineLevel="0" collapsed="false">
      <c r="A304" s="28"/>
      <c r="B304" s="28"/>
      <c r="C304" s="28"/>
      <c r="D304" s="28"/>
      <c r="E304" s="28"/>
      <c r="F304" s="28"/>
      <c r="G304" s="63"/>
      <c r="H304" s="63"/>
      <c r="I304" s="63"/>
      <c r="J304" s="28"/>
      <c r="K304" s="28"/>
      <c r="L304" s="28"/>
      <c r="M304" s="28"/>
      <c r="N304" s="28"/>
      <c r="O304" s="64"/>
      <c r="P304" s="64"/>
      <c r="Q304" s="64"/>
      <c r="R304" s="28"/>
      <c r="S304" s="63"/>
      <c r="T304" s="64"/>
      <c r="U304" s="63"/>
      <c r="V304" s="64"/>
      <c r="W304" s="28"/>
      <c r="X304" s="65" t="str">
        <f aca="false">IF($A304="","",IF(OR($T304&lt;&gt;"",$U304&lt;&gt;""),"Closed",IFERROR(INDEX(MapStage,MATCH($C304,MapStatus,0)),"Unmapped")))</f>
        <v/>
      </c>
      <c r="Y304" s="65" t="str">
        <f aca="false">IF(OR($X304="",$X304="Closed",$X304="Unmapped"),"",MATCH($X304,StageName,0))</f>
        <v/>
      </c>
      <c r="Z304" s="65" t="str">
        <f aca="false">IF(OR($Y304="",$I304=""),"",$I304-AsOf)</f>
        <v/>
      </c>
      <c r="AA304" s="65" t="str">
        <f aca="false">IF($A304="","",AsOf-$H304)</f>
        <v/>
      </c>
      <c r="AB304" s="65" t="str">
        <f aca="false">IF($A304="","",IF($X304="Closed","Closed",IF($X304="Unmapped","Unmapped",IF($I304="","No target",IF($Z304&lt;0,"Overdue",IF($Z304&lt;=INDEX(StageWindow,$Y304),"At risk","On track"))))))</f>
        <v/>
      </c>
      <c r="AC304" s="65" t="str">
        <f aca="false">IF($Y304="","",IF($AA304&gt;2*INDEX(StageStale,$Y304),"Stale",IF($AA304&gt;INDEX(StageStale,$Y304),"Aging","Fresh")))</f>
        <v/>
      </c>
      <c r="AD304" s="65" t="str">
        <f aca="false">IF($A304="","",IF(OR(ISNUMBER(SEARCH("Reg report",$J304)),ISNUMBER(SEARCH("No human review",$J304)),COUNTIF(TierFuncs,$D304)&gt;0),"High",IF(OR(TRIM($J304)&lt;&gt;"",ISNUMBER(SEARCH("revenue",$K304))),"Medium","Low")))</f>
        <v/>
      </c>
      <c r="AE304" s="65" t="str">
        <f aca="false">IF($A304="","",INDEX(TierDays,MATCH($AD304,TierName,0)))</f>
        <v/>
      </c>
      <c r="AF304" s="65" t="str">
        <f aca="false">IF($A304="","",AsOf-$G304)</f>
        <v/>
      </c>
      <c r="AG304" s="65" t="str">
        <f aca="false">IF($Y304="","",IF($Y304&lt;=5,IF($AF304&gt;$AE304,"Over","Inside"),"Past approval"))</f>
        <v/>
      </c>
      <c r="AH304" s="65" t="str">
        <f aca="false">IF($Y304="","",CHOOSE($Y304,IF(OR(TRIM($F304)="",ISNUMBER(SEARCH("not named",$F304))),"Critical","Good"),IF($O304&lt;&gt;"Y","Critical",IF($Q304&lt;&gt;"Y","Warning","Good")),IF($P304="","Critical",IF($P304="partial","Warning",IF($P304="ready","Good","Critical"))),IF($R304&lt;&gt;"","Critical","Warning"),IF($L304="","Critical",IF($N304="","Warning","Good")),IF($R304&lt;&gt;"","Critical","Warning"),IF($R304&lt;&gt;"","Critical","Warning"),IF($Q304="Y","Good","Critical")))</f>
        <v/>
      </c>
      <c r="AI304" s="65" t="str">
        <f aca="false">IF($Y304="","",CHOOSE($Y304,IF(OR(TRIM($F304)="",ISNUMBER(SEARCH("not named",$F304))),"Name a sponsor accountable for the value",""),IF($O304&lt;&gt;"Y","State the success metric and the stop condition",IF($Q304&lt;&gt;"Y","Set the baseline the benefit will be measured against","")),IF($P304="","Assess data readiness and regulatory impact",IF($P304="partial","Close the known data gaps",IF($P304="ready","","Data is not available; reshape or park"))),IF($R304&lt;&gt;"",IF(OR(ISNUMBER(SEARCH("mrm",$R304)),ISNUMBER(SEARCH("model",$R304)),ISNUMBER(SEARCH("risk",$R304)),ISNUMBER(SEARCH("legal",$R304)),ISNUMBER(SEARCH("complian",$R304))),"Awaiting ","Held at the design gate: ")&amp;$R304,"Map the governance framework for its tier"),IF($L304="","Size the annual benefit",IF($N304="","Score it so it can be ranked against capacity","")),IF($R304&lt;&gt;"","Build held: "&amp;$R304,"In build, not yet through test"),IF($R304&lt;&gt;"","Not ready to scale: "&amp;$R304,"Monitoring and third-party review not yet signed off"),IF($Q304="Y","","Live without a measured baseline to judge it against")))</f>
        <v/>
      </c>
      <c r="AJ304" s="65" t="str">
        <f aca="false">IF($Y304="","",INDEX(StageForum,$Y304))</f>
        <v/>
      </c>
      <c r="AK304" s="65" t="str">
        <f aca="false">IF($Y304="","",IF(OR($X304="Delivery",$X304="Value"),"Committed",IF($N304&lt;&gt;"","Candidate","")))</f>
        <v/>
      </c>
      <c r="AL304" s="65" t="str">
        <f aca="false">IF($AK304&lt;&gt;"Candidate","",COUNTIFS($AK$2:$AK$501,"Candidate",$N$2:$N$501,"&gt;"&amp;$N304)+COUNTIFS($AK$2:$AK$501,"Candidate",$N$2:$N$501,$N304,$A$2:$A$501,"&lt;"&amp;$A304)+1)</f>
        <v/>
      </c>
      <c r="AM304" s="65" t="str">
        <f aca="false">IF($AL304="","",SUMIFS($M$2:$M$501,$AK$2:$AK$501,"Candidate",$AL$2:$AL$501,"&lt;="&amp;$AL304))</f>
        <v/>
      </c>
      <c r="AN304" s="65" t="str">
        <f aca="false">IF($AL304="","",IF($AM304&lt;=CapacityOpen,"Fits","Below line"))</f>
        <v/>
      </c>
      <c r="AO304" s="65" t="str">
        <f aca="false">IF($A304="","",IF($X304="Closed","",IF($X304="Unmapped","Warning",IF(OR($AB304="Overdue",$V304="Y",$AH304="Critical"),"Critical",IF(OR($AB304="At risk",$AC304="Stale",$AG304="Over"),"Warning","")))))</f>
        <v/>
      </c>
      <c r="AP304" s="65" t="str">
        <f aca="false">IF($AO304="","",IF($AO304="Critical",3000,2000)-IF($Z304="",0,$Z304)+ROW()/100000)</f>
        <v/>
      </c>
      <c r="AQ304" s="65" t="str">
        <f aca="false">IF($AO304="","",IF($X304="Unmapped","Status '"&amp;$C304&amp;"' is not in the Config map",IF($V304="Y","Flagged in Jira",IF($AB304="Overdue",-$Z304&amp;" days past its "&amp;$X304&amp;" target",IF($AH304="Critical",$AI304,IF($AB304="At risk","Target in "&amp;$Z304&amp;" days",IF($AC304="Stale","No update in "&amp;$AA304&amp;" days","Past its "&amp;$AE304&amp;"-day tier window")))))))</f>
        <v/>
      </c>
      <c r="AR304" s="65" t="str">
        <f aca="false">IF($AO304="","","draft Jira update for "&amp;$A304)</f>
        <v/>
      </c>
      <c r="AS304" s="65" t="str">
        <f aca="false">IF($A304="","",HYPERLINK(JiraSite&amp;"/browse/"&amp;$A304,"open"))</f>
        <v/>
      </c>
      <c r="AT304" s="65" t="str">
        <f aca="false">IF($Y304="","",$Y304*1000+ROW())</f>
        <v/>
      </c>
      <c r="AU304" s="65" t="str">
        <f aca="false">IF(AND($A304&lt;&gt;"",$G304&gt;=WeekStart),$G304+ROW()/100000,"")</f>
        <v/>
      </c>
      <c r="AV304" s="65" t="str">
        <f aca="false">IF($A304="","",IF(OR(AND($S304&lt;&gt;"",$S304&gt;=WeekStart),AND($U304&lt;&gt;"",$U304&gt;=WeekStart)),MAX($S304,$U304)+ROW()/100000,""))</f>
        <v/>
      </c>
      <c r="AW304" s="65" t="str">
        <f aca="false">IF($AV304="","",IF($T304&lt;&gt;"",$T304,IF($X304="Closed","Closed","Accepted to "&amp;$X304)))</f>
        <v/>
      </c>
      <c r="AX304" s="65" t="str">
        <f aca="false">IF(AND($Y304&lt;&gt;"",$R304&lt;&gt;""),$AF304+ROW()/100000,"")</f>
        <v/>
      </c>
      <c r="AY304" s="65" t="str">
        <f aca="false">IF(AND($Y304&lt;&gt;"",OR($AB304="Overdue",AND($AH304="Critical",$R304&lt;&gt;""))),$AF304+ROW()/100000,"")</f>
        <v/>
      </c>
      <c r="AZ304" s="65" t="str">
        <f aca="false">IF($AH304="Critical",$AF304+ROW()/100000,"")</f>
        <v/>
      </c>
    </row>
    <row r="305" customFormat="false" ht="15" hidden="false" customHeight="false" outlineLevel="0" collapsed="false">
      <c r="A305" s="28"/>
      <c r="B305" s="28"/>
      <c r="C305" s="28"/>
      <c r="D305" s="28"/>
      <c r="E305" s="28"/>
      <c r="F305" s="28"/>
      <c r="G305" s="63"/>
      <c r="H305" s="63"/>
      <c r="I305" s="63"/>
      <c r="J305" s="28"/>
      <c r="K305" s="28"/>
      <c r="L305" s="28"/>
      <c r="M305" s="28"/>
      <c r="N305" s="28"/>
      <c r="O305" s="64"/>
      <c r="P305" s="64"/>
      <c r="Q305" s="64"/>
      <c r="R305" s="28"/>
      <c r="S305" s="63"/>
      <c r="T305" s="64"/>
      <c r="U305" s="63"/>
      <c r="V305" s="64"/>
      <c r="W305" s="28"/>
      <c r="X305" s="65" t="str">
        <f aca="false">IF($A305="","",IF(OR($T305&lt;&gt;"",$U305&lt;&gt;""),"Closed",IFERROR(INDEX(MapStage,MATCH($C305,MapStatus,0)),"Unmapped")))</f>
        <v/>
      </c>
      <c r="Y305" s="65" t="str">
        <f aca="false">IF(OR($X305="",$X305="Closed",$X305="Unmapped"),"",MATCH($X305,StageName,0))</f>
        <v/>
      </c>
      <c r="Z305" s="65" t="str">
        <f aca="false">IF(OR($Y305="",$I305=""),"",$I305-AsOf)</f>
        <v/>
      </c>
      <c r="AA305" s="65" t="str">
        <f aca="false">IF($A305="","",AsOf-$H305)</f>
        <v/>
      </c>
      <c r="AB305" s="65" t="str">
        <f aca="false">IF($A305="","",IF($X305="Closed","Closed",IF($X305="Unmapped","Unmapped",IF($I305="","No target",IF($Z305&lt;0,"Overdue",IF($Z305&lt;=INDEX(StageWindow,$Y305),"At risk","On track"))))))</f>
        <v/>
      </c>
      <c r="AC305" s="65" t="str">
        <f aca="false">IF($Y305="","",IF($AA305&gt;2*INDEX(StageStale,$Y305),"Stale",IF($AA305&gt;INDEX(StageStale,$Y305),"Aging","Fresh")))</f>
        <v/>
      </c>
      <c r="AD305" s="65" t="str">
        <f aca="false">IF($A305="","",IF(OR(ISNUMBER(SEARCH("Reg report",$J305)),ISNUMBER(SEARCH("No human review",$J305)),COUNTIF(TierFuncs,$D305)&gt;0),"High",IF(OR(TRIM($J305)&lt;&gt;"",ISNUMBER(SEARCH("revenue",$K305))),"Medium","Low")))</f>
        <v/>
      </c>
      <c r="AE305" s="65" t="str">
        <f aca="false">IF($A305="","",INDEX(TierDays,MATCH($AD305,TierName,0)))</f>
        <v/>
      </c>
      <c r="AF305" s="65" t="str">
        <f aca="false">IF($A305="","",AsOf-$G305)</f>
        <v/>
      </c>
      <c r="AG305" s="65" t="str">
        <f aca="false">IF($Y305="","",IF($Y305&lt;=5,IF($AF305&gt;$AE305,"Over","Inside"),"Past approval"))</f>
        <v/>
      </c>
      <c r="AH305" s="65" t="str">
        <f aca="false">IF($Y305="","",CHOOSE($Y305,IF(OR(TRIM($F305)="",ISNUMBER(SEARCH("not named",$F305))),"Critical","Good"),IF($O305&lt;&gt;"Y","Critical",IF($Q305&lt;&gt;"Y","Warning","Good")),IF($P305="","Critical",IF($P305="partial","Warning",IF($P305="ready","Good","Critical"))),IF($R305&lt;&gt;"","Critical","Warning"),IF($L305="","Critical",IF($N305="","Warning","Good")),IF($R305&lt;&gt;"","Critical","Warning"),IF($R305&lt;&gt;"","Critical","Warning"),IF($Q305="Y","Good","Critical")))</f>
        <v/>
      </c>
      <c r="AI305" s="65" t="str">
        <f aca="false">IF($Y305="","",CHOOSE($Y305,IF(OR(TRIM($F305)="",ISNUMBER(SEARCH("not named",$F305))),"Name a sponsor accountable for the value",""),IF($O305&lt;&gt;"Y","State the success metric and the stop condition",IF($Q305&lt;&gt;"Y","Set the baseline the benefit will be measured against","")),IF($P305="","Assess data readiness and regulatory impact",IF($P305="partial","Close the known data gaps",IF($P305="ready","","Data is not available; reshape or park"))),IF($R305&lt;&gt;"",IF(OR(ISNUMBER(SEARCH("mrm",$R305)),ISNUMBER(SEARCH("model",$R305)),ISNUMBER(SEARCH("risk",$R305)),ISNUMBER(SEARCH("legal",$R305)),ISNUMBER(SEARCH("complian",$R305))),"Awaiting ","Held at the design gate: ")&amp;$R305,"Map the governance framework for its tier"),IF($L305="","Size the annual benefit",IF($N305="","Score it so it can be ranked against capacity","")),IF($R305&lt;&gt;"","Build held: "&amp;$R305,"In build, not yet through test"),IF($R305&lt;&gt;"","Not ready to scale: "&amp;$R305,"Monitoring and third-party review not yet signed off"),IF($Q305="Y","","Live without a measured baseline to judge it against")))</f>
        <v/>
      </c>
      <c r="AJ305" s="65" t="str">
        <f aca="false">IF($Y305="","",INDEX(StageForum,$Y305))</f>
        <v/>
      </c>
      <c r="AK305" s="65" t="str">
        <f aca="false">IF($Y305="","",IF(OR($X305="Delivery",$X305="Value"),"Committed",IF($N305&lt;&gt;"","Candidate","")))</f>
        <v/>
      </c>
      <c r="AL305" s="65" t="str">
        <f aca="false">IF($AK305&lt;&gt;"Candidate","",COUNTIFS($AK$2:$AK$501,"Candidate",$N$2:$N$501,"&gt;"&amp;$N305)+COUNTIFS($AK$2:$AK$501,"Candidate",$N$2:$N$501,$N305,$A$2:$A$501,"&lt;"&amp;$A305)+1)</f>
        <v/>
      </c>
      <c r="AM305" s="65" t="str">
        <f aca="false">IF($AL305="","",SUMIFS($M$2:$M$501,$AK$2:$AK$501,"Candidate",$AL$2:$AL$501,"&lt;="&amp;$AL305))</f>
        <v/>
      </c>
      <c r="AN305" s="65" t="str">
        <f aca="false">IF($AL305="","",IF($AM305&lt;=CapacityOpen,"Fits","Below line"))</f>
        <v/>
      </c>
      <c r="AO305" s="65" t="str">
        <f aca="false">IF($A305="","",IF($X305="Closed","",IF($X305="Unmapped","Warning",IF(OR($AB305="Overdue",$V305="Y",$AH305="Critical"),"Critical",IF(OR($AB305="At risk",$AC305="Stale",$AG305="Over"),"Warning","")))))</f>
        <v/>
      </c>
      <c r="AP305" s="65" t="str">
        <f aca="false">IF($AO305="","",IF($AO305="Critical",3000,2000)-IF($Z305="",0,$Z305)+ROW()/100000)</f>
        <v/>
      </c>
      <c r="AQ305" s="65" t="str">
        <f aca="false">IF($AO305="","",IF($X305="Unmapped","Status '"&amp;$C305&amp;"' is not in the Config map",IF($V305="Y","Flagged in Jira",IF($AB305="Overdue",-$Z305&amp;" days past its "&amp;$X305&amp;" target",IF($AH305="Critical",$AI305,IF($AB305="At risk","Target in "&amp;$Z305&amp;" days",IF($AC305="Stale","No update in "&amp;$AA305&amp;" days","Past its "&amp;$AE305&amp;"-day tier window")))))))</f>
        <v/>
      </c>
      <c r="AR305" s="65" t="str">
        <f aca="false">IF($AO305="","","draft Jira update for "&amp;$A305)</f>
        <v/>
      </c>
      <c r="AS305" s="65" t="str">
        <f aca="false">IF($A305="","",HYPERLINK(JiraSite&amp;"/browse/"&amp;$A305,"open"))</f>
        <v/>
      </c>
      <c r="AT305" s="65" t="str">
        <f aca="false">IF($Y305="","",$Y305*1000+ROW())</f>
        <v/>
      </c>
      <c r="AU305" s="65" t="str">
        <f aca="false">IF(AND($A305&lt;&gt;"",$G305&gt;=WeekStart),$G305+ROW()/100000,"")</f>
        <v/>
      </c>
      <c r="AV305" s="65" t="str">
        <f aca="false">IF($A305="","",IF(OR(AND($S305&lt;&gt;"",$S305&gt;=WeekStart),AND($U305&lt;&gt;"",$U305&gt;=WeekStart)),MAX($S305,$U305)+ROW()/100000,""))</f>
        <v/>
      </c>
      <c r="AW305" s="65" t="str">
        <f aca="false">IF($AV305="","",IF($T305&lt;&gt;"",$T305,IF($X305="Closed","Closed","Accepted to "&amp;$X305)))</f>
        <v/>
      </c>
      <c r="AX305" s="65" t="str">
        <f aca="false">IF(AND($Y305&lt;&gt;"",$R305&lt;&gt;""),$AF305+ROW()/100000,"")</f>
        <v/>
      </c>
      <c r="AY305" s="65" t="str">
        <f aca="false">IF(AND($Y305&lt;&gt;"",OR($AB305="Overdue",AND($AH305="Critical",$R305&lt;&gt;""))),$AF305+ROW()/100000,"")</f>
        <v/>
      </c>
      <c r="AZ305" s="65" t="str">
        <f aca="false">IF($AH305="Critical",$AF305+ROW()/100000,"")</f>
        <v/>
      </c>
    </row>
    <row r="306" customFormat="false" ht="15" hidden="false" customHeight="false" outlineLevel="0" collapsed="false">
      <c r="A306" s="28"/>
      <c r="B306" s="28"/>
      <c r="C306" s="28"/>
      <c r="D306" s="28"/>
      <c r="E306" s="28"/>
      <c r="F306" s="28"/>
      <c r="G306" s="63"/>
      <c r="H306" s="63"/>
      <c r="I306" s="63"/>
      <c r="J306" s="28"/>
      <c r="K306" s="28"/>
      <c r="L306" s="28"/>
      <c r="M306" s="28"/>
      <c r="N306" s="28"/>
      <c r="O306" s="64"/>
      <c r="P306" s="64"/>
      <c r="Q306" s="64"/>
      <c r="R306" s="28"/>
      <c r="S306" s="63"/>
      <c r="T306" s="64"/>
      <c r="U306" s="63"/>
      <c r="V306" s="64"/>
      <c r="W306" s="28"/>
      <c r="X306" s="65" t="str">
        <f aca="false">IF($A306="","",IF(OR($T306&lt;&gt;"",$U306&lt;&gt;""),"Closed",IFERROR(INDEX(MapStage,MATCH($C306,MapStatus,0)),"Unmapped")))</f>
        <v/>
      </c>
      <c r="Y306" s="65" t="str">
        <f aca="false">IF(OR($X306="",$X306="Closed",$X306="Unmapped"),"",MATCH($X306,StageName,0))</f>
        <v/>
      </c>
      <c r="Z306" s="65" t="str">
        <f aca="false">IF(OR($Y306="",$I306=""),"",$I306-AsOf)</f>
        <v/>
      </c>
      <c r="AA306" s="65" t="str">
        <f aca="false">IF($A306="","",AsOf-$H306)</f>
        <v/>
      </c>
      <c r="AB306" s="65" t="str">
        <f aca="false">IF($A306="","",IF($X306="Closed","Closed",IF($X306="Unmapped","Unmapped",IF($I306="","No target",IF($Z306&lt;0,"Overdue",IF($Z306&lt;=INDEX(StageWindow,$Y306),"At risk","On track"))))))</f>
        <v/>
      </c>
      <c r="AC306" s="65" t="str">
        <f aca="false">IF($Y306="","",IF($AA306&gt;2*INDEX(StageStale,$Y306),"Stale",IF($AA306&gt;INDEX(StageStale,$Y306),"Aging","Fresh")))</f>
        <v/>
      </c>
      <c r="AD306" s="65" t="str">
        <f aca="false">IF($A306="","",IF(OR(ISNUMBER(SEARCH("Reg report",$J306)),ISNUMBER(SEARCH("No human review",$J306)),COUNTIF(TierFuncs,$D306)&gt;0),"High",IF(OR(TRIM($J306)&lt;&gt;"",ISNUMBER(SEARCH("revenue",$K306))),"Medium","Low")))</f>
        <v/>
      </c>
      <c r="AE306" s="65" t="str">
        <f aca="false">IF($A306="","",INDEX(TierDays,MATCH($AD306,TierName,0)))</f>
        <v/>
      </c>
      <c r="AF306" s="65" t="str">
        <f aca="false">IF($A306="","",AsOf-$G306)</f>
        <v/>
      </c>
      <c r="AG306" s="65" t="str">
        <f aca="false">IF($Y306="","",IF($Y306&lt;=5,IF($AF306&gt;$AE306,"Over","Inside"),"Past approval"))</f>
        <v/>
      </c>
      <c r="AH306" s="65" t="str">
        <f aca="false">IF($Y306="","",CHOOSE($Y306,IF(OR(TRIM($F306)="",ISNUMBER(SEARCH("not named",$F306))),"Critical","Good"),IF($O306&lt;&gt;"Y","Critical",IF($Q306&lt;&gt;"Y","Warning","Good")),IF($P306="","Critical",IF($P306="partial","Warning",IF($P306="ready","Good","Critical"))),IF($R306&lt;&gt;"","Critical","Warning"),IF($L306="","Critical",IF($N306="","Warning","Good")),IF($R306&lt;&gt;"","Critical","Warning"),IF($R306&lt;&gt;"","Critical","Warning"),IF($Q306="Y","Good","Critical")))</f>
        <v/>
      </c>
      <c r="AI306" s="65" t="str">
        <f aca="false">IF($Y306="","",CHOOSE($Y306,IF(OR(TRIM($F306)="",ISNUMBER(SEARCH("not named",$F306))),"Name a sponsor accountable for the value",""),IF($O306&lt;&gt;"Y","State the success metric and the stop condition",IF($Q306&lt;&gt;"Y","Set the baseline the benefit will be measured against","")),IF($P306="","Assess data readiness and regulatory impact",IF($P306="partial","Close the known data gaps",IF($P306="ready","","Data is not available; reshape or park"))),IF($R306&lt;&gt;"",IF(OR(ISNUMBER(SEARCH("mrm",$R306)),ISNUMBER(SEARCH("model",$R306)),ISNUMBER(SEARCH("risk",$R306)),ISNUMBER(SEARCH("legal",$R306)),ISNUMBER(SEARCH("complian",$R306))),"Awaiting ","Held at the design gate: ")&amp;$R306,"Map the governance framework for its tier"),IF($L306="","Size the annual benefit",IF($N306="","Score it so it can be ranked against capacity","")),IF($R306&lt;&gt;"","Build held: "&amp;$R306,"In build, not yet through test"),IF($R306&lt;&gt;"","Not ready to scale: "&amp;$R306,"Monitoring and third-party review not yet signed off"),IF($Q306="Y","","Live without a measured baseline to judge it against")))</f>
        <v/>
      </c>
      <c r="AJ306" s="65" t="str">
        <f aca="false">IF($Y306="","",INDEX(StageForum,$Y306))</f>
        <v/>
      </c>
      <c r="AK306" s="65" t="str">
        <f aca="false">IF($Y306="","",IF(OR($X306="Delivery",$X306="Value"),"Committed",IF($N306&lt;&gt;"","Candidate","")))</f>
        <v/>
      </c>
      <c r="AL306" s="65" t="str">
        <f aca="false">IF($AK306&lt;&gt;"Candidate","",COUNTIFS($AK$2:$AK$501,"Candidate",$N$2:$N$501,"&gt;"&amp;$N306)+COUNTIFS($AK$2:$AK$501,"Candidate",$N$2:$N$501,$N306,$A$2:$A$501,"&lt;"&amp;$A306)+1)</f>
        <v/>
      </c>
      <c r="AM306" s="65" t="str">
        <f aca="false">IF($AL306="","",SUMIFS($M$2:$M$501,$AK$2:$AK$501,"Candidate",$AL$2:$AL$501,"&lt;="&amp;$AL306))</f>
        <v/>
      </c>
      <c r="AN306" s="65" t="str">
        <f aca="false">IF($AL306="","",IF($AM306&lt;=CapacityOpen,"Fits","Below line"))</f>
        <v/>
      </c>
      <c r="AO306" s="65" t="str">
        <f aca="false">IF($A306="","",IF($X306="Closed","",IF($X306="Unmapped","Warning",IF(OR($AB306="Overdue",$V306="Y",$AH306="Critical"),"Critical",IF(OR($AB306="At risk",$AC306="Stale",$AG306="Over"),"Warning","")))))</f>
        <v/>
      </c>
      <c r="AP306" s="65" t="str">
        <f aca="false">IF($AO306="","",IF($AO306="Critical",3000,2000)-IF($Z306="",0,$Z306)+ROW()/100000)</f>
        <v/>
      </c>
      <c r="AQ306" s="65" t="str">
        <f aca="false">IF($AO306="","",IF($X306="Unmapped","Status '"&amp;$C306&amp;"' is not in the Config map",IF($V306="Y","Flagged in Jira",IF($AB306="Overdue",-$Z306&amp;" days past its "&amp;$X306&amp;" target",IF($AH306="Critical",$AI306,IF($AB306="At risk","Target in "&amp;$Z306&amp;" days",IF($AC306="Stale","No update in "&amp;$AA306&amp;" days","Past its "&amp;$AE306&amp;"-day tier window")))))))</f>
        <v/>
      </c>
      <c r="AR306" s="65" t="str">
        <f aca="false">IF($AO306="","","draft Jira update for "&amp;$A306)</f>
        <v/>
      </c>
      <c r="AS306" s="65" t="str">
        <f aca="false">IF($A306="","",HYPERLINK(JiraSite&amp;"/browse/"&amp;$A306,"open"))</f>
        <v/>
      </c>
      <c r="AT306" s="65" t="str">
        <f aca="false">IF($Y306="","",$Y306*1000+ROW())</f>
        <v/>
      </c>
      <c r="AU306" s="65" t="str">
        <f aca="false">IF(AND($A306&lt;&gt;"",$G306&gt;=WeekStart),$G306+ROW()/100000,"")</f>
        <v/>
      </c>
      <c r="AV306" s="65" t="str">
        <f aca="false">IF($A306="","",IF(OR(AND($S306&lt;&gt;"",$S306&gt;=WeekStart),AND($U306&lt;&gt;"",$U306&gt;=WeekStart)),MAX($S306,$U306)+ROW()/100000,""))</f>
        <v/>
      </c>
      <c r="AW306" s="65" t="str">
        <f aca="false">IF($AV306="","",IF($T306&lt;&gt;"",$T306,IF($X306="Closed","Closed","Accepted to "&amp;$X306)))</f>
        <v/>
      </c>
      <c r="AX306" s="65" t="str">
        <f aca="false">IF(AND($Y306&lt;&gt;"",$R306&lt;&gt;""),$AF306+ROW()/100000,"")</f>
        <v/>
      </c>
      <c r="AY306" s="65" t="str">
        <f aca="false">IF(AND($Y306&lt;&gt;"",OR($AB306="Overdue",AND($AH306="Critical",$R306&lt;&gt;""))),$AF306+ROW()/100000,"")</f>
        <v/>
      </c>
      <c r="AZ306" s="65" t="str">
        <f aca="false">IF($AH306="Critical",$AF306+ROW()/100000,"")</f>
        <v/>
      </c>
    </row>
    <row r="307" customFormat="false" ht="15" hidden="false" customHeight="false" outlineLevel="0" collapsed="false">
      <c r="A307" s="28"/>
      <c r="B307" s="28"/>
      <c r="C307" s="28"/>
      <c r="D307" s="28"/>
      <c r="E307" s="28"/>
      <c r="F307" s="28"/>
      <c r="G307" s="63"/>
      <c r="H307" s="63"/>
      <c r="I307" s="63"/>
      <c r="J307" s="28"/>
      <c r="K307" s="28"/>
      <c r="L307" s="28"/>
      <c r="M307" s="28"/>
      <c r="N307" s="28"/>
      <c r="O307" s="64"/>
      <c r="P307" s="64"/>
      <c r="Q307" s="64"/>
      <c r="R307" s="28"/>
      <c r="S307" s="63"/>
      <c r="T307" s="64"/>
      <c r="U307" s="63"/>
      <c r="V307" s="64"/>
      <c r="W307" s="28"/>
      <c r="X307" s="65" t="str">
        <f aca="false">IF($A307="","",IF(OR($T307&lt;&gt;"",$U307&lt;&gt;""),"Closed",IFERROR(INDEX(MapStage,MATCH($C307,MapStatus,0)),"Unmapped")))</f>
        <v/>
      </c>
      <c r="Y307" s="65" t="str">
        <f aca="false">IF(OR($X307="",$X307="Closed",$X307="Unmapped"),"",MATCH($X307,StageName,0))</f>
        <v/>
      </c>
      <c r="Z307" s="65" t="str">
        <f aca="false">IF(OR($Y307="",$I307=""),"",$I307-AsOf)</f>
        <v/>
      </c>
      <c r="AA307" s="65" t="str">
        <f aca="false">IF($A307="","",AsOf-$H307)</f>
        <v/>
      </c>
      <c r="AB307" s="65" t="str">
        <f aca="false">IF($A307="","",IF($X307="Closed","Closed",IF($X307="Unmapped","Unmapped",IF($I307="","No target",IF($Z307&lt;0,"Overdue",IF($Z307&lt;=INDEX(StageWindow,$Y307),"At risk","On track"))))))</f>
        <v/>
      </c>
      <c r="AC307" s="65" t="str">
        <f aca="false">IF($Y307="","",IF($AA307&gt;2*INDEX(StageStale,$Y307),"Stale",IF($AA307&gt;INDEX(StageStale,$Y307),"Aging","Fresh")))</f>
        <v/>
      </c>
      <c r="AD307" s="65" t="str">
        <f aca="false">IF($A307="","",IF(OR(ISNUMBER(SEARCH("Reg report",$J307)),ISNUMBER(SEARCH("No human review",$J307)),COUNTIF(TierFuncs,$D307)&gt;0),"High",IF(OR(TRIM($J307)&lt;&gt;"",ISNUMBER(SEARCH("revenue",$K307))),"Medium","Low")))</f>
        <v/>
      </c>
      <c r="AE307" s="65" t="str">
        <f aca="false">IF($A307="","",INDEX(TierDays,MATCH($AD307,TierName,0)))</f>
        <v/>
      </c>
      <c r="AF307" s="65" t="str">
        <f aca="false">IF($A307="","",AsOf-$G307)</f>
        <v/>
      </c>
      <c r="AG307" s="65" t="str">
        <f aca="false">IF($Y307="","",IF($Y307&lt;=5,IF($AF307&gt;$AE307,"Over","Inside"),"Past approval"))</f>
        <v/>
      </c>
      <c r="AH307" s="65" t="str">
        <f aca="false">IF($Y307="","",CHOOSE($Y307,IF(OR(TRIM($F307)="",ISNUMBER(SEARCH("not named",$F307))),"Critical","Good"),IF($O307&lt;&gt;"Y","Critical",IF($Q307&lt;&gt;"Y","Warning","Good")),IF($P307="","Critical",IF($P307="partial","Warning",IF($P307="ready","Good","Critical"))),IF($R307&lt;&gt;"","Critical","Warning"),IF($L307="","Critical",IF($N307="","Warning","Good")),IF($R307&lt;&gt;"","Critical","Warning"),IF($R307&lt;&gt;"","Critical","Warning"),IF($Q307="Y","Good","Critical")))</f>
        <v/>
      </c>
      <c r="AI307" s="65" t="str">
        <f aca="false">IF($Y307="","",CHOOSE($Y307,IF(OR(TRIM($F307)="",ISNUMBER(SEARCH("not named",$F307))),"Name a sponsor accountable for the value",""),IF($O307&lt;&gt;"Y","State the success metric and the stop condition",IF($Q307&lt;&gt;"Y","Set the baseline the benefit will be measured against","")),IF($P307="","Assess data readiness and regulatory impact",IF($P307="partial","Close the known data gaps",IF($P307="ready","","Data is not available; reshape or park"))),IF($R307&lt;&gt;"",IF(OR(ISNUMBER(SEARCH("mrm",$R307)),ISNUMBER(SEARCH("model",$R307)),ISNUMBER(SEARCH("risk",$R307)),ISNUMBER(SEARCH("legal",$R307)),ISNUMBER(SEARCH("complian",$R307))),"Awaiting ","Held at the design gate: ")&amp;$R307,"Map the governance framework for its tier"),IF($L307="","Size the annual benefit",IF($N307="","Score it so it can be ranked against capacity","")),IF($R307&lt;&gt;"","Build held: "&amp;$R307,"In build, not yet through test"),IF($R307&lt;&gt;"","Not ready to scale: "&amp;$R307,"Monitoring and third-party review not yet signed off"),IF($Q307="Y","","Live without a measured baseline to judge it against")))</f>
        <v/>
      </c>
      <c r="AJ307" s="65" t="str">
        <f aca="false">IF($Y307="","",INDEX(StageForum,$Y307))</f>
        <v/>
      </c>
      <c r="AK307" s="65" t="str">
        <f aca="false">IF($Y307="","",IF(OR($X307="Delivery",$X307="Value"),"Committed",IF($N307&lt;&gt;"","Candidate","")))</f>
        <v/>
      </c>
      <c r="AL307" s="65" t="str">
        <f aca="false">IF($AK307&lt;&gt;"Candidate","",COUNTIFS($AK$2:$AK$501,"Candidate",$N$2:$N$501,"&gt;"&amp;$N307)+COUNTIFS($AK$2:$AK$501,"Candidate",$N$2:$N$501,$N307,$A$2:$A$501,"&lt;"&amp;$A307)+1)</f>
        <v/>
      </c>
      <c r="AM307" s="65" t="str">
        <f aca="false">IF($AL307="","",SUMIFS($M$2:$M$501,$AK$2:$AK$501,"Candidate",$AL$2:$AL$501,"&lt;="&amp;$AL307))</f>
        <v/>
      </c>
      <c r="AN307" s="65" t="str">
        <f aca="false">IF($AL307="","",IF($AM307&lt;=CapacityOpen,"Fits","Below line"))</f>
        <v/>
      </c>
      <c r="AO307" s="65" t="str">
        <f aca="false">IF($A307="","",IF($X307="Closed","",IF($X307="Unmapped","Warning",IF(OR($AB307="Overdue",$V307="Y",$AH307="Critical"),"Critical",IF(OR($AB307="At risk",$AC307="Stale",$AG307="Over"),"Warning","")))))</f>
        <v/>
      </c>
      <c r="AP307" s="65" t="str">
        <f aca="false">IF($AO307="","",IF($AO307="Critical",3000,2000)-IF($Z307="",0,$Z307)+ROW()/100000)</f>
        <v/>
      </c>
      <c r="AQ307" s="65" t="str">
        <f aca="false">IF($AO307="","",IF($X307="Unmapped","Status '"&amp;$C307&amp;"' is not in the Config map",IF($V307="Y","Flagged in Jira",IF($AB307="Overdue",-$Z307&amp;" days past its "&amp;$X307&amp;" target",IF($AH307="Critical",$AI307,IF($AB307="At risk","Target in "&amp;$Z307&amp;" days",IF($AC307="Stale","No update in "&amp;$AA307&amp;" days","Past its "&amp;$AE307&amp;"-day tier window")))))))</f>
        <v/>
      </c>
      <c r="AR307" s="65" t="str">
        <f aca="false">IF($AO307="","","draft Jira update for "&amp;$A307)</f>
        <v/>
      </c>
      <c r="AS307" s="65" t="str">
        <f aca="false">IF($A307="","",HYPERLINK(JiraSite&amp;"/browse/"&amp;$A307,"open"))</f>
        <v/>
      </c>
      <c r="AT307" s="65" t="str">
        <f aca="false">IF($Y307="","",$Y307*1000+ROW())</f>
        <v/>
      </c>
      <c r="AU307" s="65" t="str">
        <f aca="false">IF(AND($A307&lt;&gt;"",$G307&gt;=WeekStart),$G307+ROW()/100000,"")</f>
        <v/>
      </c>
      <c r="AV307" s="65" t="str">
        <f aca="false">IF($A307="","",IF(OR(AND($S307&lt;&gt;"",$S307&gt;=WeekStart),AND($U307&lt;&gt;"",$U307&gt;=WeekStart)),MAX($S307,$U307)+ROW()/100000,""))</f>
        <v/>
      </c>
      <c r="AW307" s="65" t="str">
        <f aca="false">IF($AV307="","",IF($T307&lt;&gt;"",$T307,IF($X307="Closed","Closed","Accepted to "&amp;$X307)))</f>
        <v/>
      </c>
      <c r="AX307" s="65" t="str">
        <f aca="false">IF(AND($Y307&lt;&gt;"",$R307&lt;&gt;""),$AF307+ROW()/100000,"")</f>
        <v/>
      </c>
      <c r="AY307" s="65" t="str">
        <f aca="false">IF(AND($Y307&lt;&gt;"",OR($AB307="Overdue",AND($AH307="Critical",$R307&lt;&gt;""))),$AF307+ROW()/100000,"")</f>
        <v/>
      </c>
      <c r="AZ307" s="65" t="str">
        <f aca="false">IF($AH307="Critical",$AF307+ROW()/100000,"")</f>
        <v/>
      </c>
    </row>
    <row r="308" customFormat="false" ht="15" hidden="false" customHeight="false" outlineLevel="0" collapsed="false">
      <c r="A308" s="28"/>
      <c r="B308" s="28"/>
      <c r="C308" s="28"/>
      <c r="D308" s="28"/>
      <c r="E308" s="28"/>
      <c r="F308" s="28"/>
      <c r="G308" s="63"/>
      <c r="H308" s="63"/>
      <c r="I308" s="63"/>
      <c r="J308" s="28"/>
      <c r="K308" s="28"/>
      <c r="L308" s="28"/>
      <c r="M308" s="28"/>
      <c r="N308" s="28"/>
      <c r="O308" s="64"/>
      <c r="P308" s="64"/>
      <c r="Q308" s="64"/>
      <c r="R308" s="28"/>
      <c r="S308" s="63"/>
      <c r="T308" s="64"/>
      <c r="U308" s="63"/>
      <c r="V308" s="64"/>
      <c r="W308" s="28"/>
      <c r="X308" s="65" t="str">
        <f aca="false">IF($A308="","",IF(OR($T308&lt;&gt;"",$U308&lt;&gt;""),"Closed",IFERROR(INDEX(MapStage,MATCH($C308,MapStatus,0)),"Unmapped")))</f>
        <v/>
      </c>
      <c r="Y308" s="65" t="str">
        <f aca="false">IF(OR($X308="",$X308="Closed",$X308="Unmapped"),"",MATCH($X308,StageName,0))</f>
        <v/>
      </c>
      <c r="Z308" s="65" t="str">
        <f aca="false">IF(OR($Y308="",$I308=""),"",$I308-AsOf)</f>
        <v/>
      </c>
      <c r="AA308" s="65" t="str">
        <f aca="false">IF($A308="","",AsOf-$H308)</f>
        <v/>
      </c>
      <c r="AB308" s="65" t="str">
        <f aca="false">IF($A308="","",IF($X308="Closed","Closed",IF($X308="Unmapped","Unmapped",IF($I308="","No target",IF($Z308&lt;0,"Overdue",IF($Z308&lt;=INDEX(StageWindow,$Y308),"At risk","On track"))))))</f>
        <v/>
      </c>
      <c r="AC308" s="65" t="str">
        <f aca="false">IF($Y308="","",IF($AA308&gt;2*INDEX(StageStale,$Y308),"Stale",IF($AA308&gt;INDEX(StageStale,$Y308),"Aging","Fresh")))</f>
        <v/>
      </c>
      <c r="AD308" s="65" t="str">
        <f aca="false">IF($A308="","",IF(OR(ISNUMBER(SEARCH("Reg report",$J308)),ISNUMBER(SEARCH("No human review",$J308)),COUNTIF(TierFuncs,$D308)&gt;0),"High",IF(OR(TRIM($J308)&lt;&gt;"",ISNUMBER(SEARCH("revenue",$K308))),"Medium","Low")))</f>
        <v/>
      </c>
      <c r="AE308" s="65" t="str">
        <f aca="false">IF($A308="","",INDEX(TierDays,MATCH($AD308,TierName,0)))</f>
        <v/>
      </c>
      <c r="AF308" s="65" t="str">
        <f aca="false">IF($A308="","",AsOf-$G308)</f>
        <v/>
      </c>
      <c r="AG308" s="65" t="str">
        <f aca="false">IF($Y308="","",IF($Y308&lt;=5,IF($AF308&gt;$AE308,"Over","Inside"),"Past approval"))</f>
        <v/>
      </c>
      <c r="AH308" s="65" t="str">
        <f aca="false">IF($Y308="","",CHOOSE($Y308,IF(OR(TRIM($F308)="",ISNUMBER(SEARCH("not named",$F308))),"Critical","Good"),IF($O308&lt;&gt;"Y","Critical",IF($Q308&lt;&gt;"Y","Warning","Good")),IF($P308="","Critical",IF($P308="partial","Warning",IF($P308="ready","Good","Critical"))),IF($R308&lt;&gt;"","Critical","Warning"),IF($L308="","Critical",IF($N308="","Warning","Good")),IF($R308&lt;&gt;"","Critical","Warning"),IF($R308&lt;&gt;"","Critical","Warning"),IF($Q308="Y","Good","Critical")))</f>
        <v/>
      </c>
      <c r="AI308" s="65" t="str">
        <f aca="false">IF($Y308="","",CHOOSE($Y308,IF(OR(TRIM($F308)="",ISNUMBER(SEARCH("not named",$F308))),"Name a sponsor accountable for the value",""),IF($O308&lt;&gt;"Y","State the success metric and the stop condition",IF($Q308&lt;&gt;"Y","Set the baseline the benefit will be measured against","")),IF($P308="","Assess data readiness and regulatory impact",IF($P308="partial","Close the known data gaps",IF($P308="ready","","Data is not available; reshape or park"))),IF($R308&lt;&gt;"",IF(OR(ISNUMBER(SEARCH("mrm",$R308)),ISNUMBER(SEARCH("model",$R308)),ISNUMBER(SEARCH("risk",$R308)),ISNUMBER(SEARCH("legal",$R308)),ISNUMBER(SEARCH("complian",$R308))),"Awaiting ","Held at the design gate: ")&amp;$R308,"Map the governance framework for its tier"),IF($L308="","Size the annual benefit",IF($N308="","Score it so it can be ranked against capacity","")),IF($R308&lt;&gt;"","Build held: "&amp;$R308,"In build, not yet through test"),IF($R308&lt;&gt;"","Not ready to scale: "&amp;$R308,"Monitoring and third-party review not yet signed off"),IF($Q308="Y","","Live without a measured baseline to judge it against")))</f>
        <v/>
      </c>
      <c r="AJ308" s="65" t="str">
        <f aca="false">IF($Y308="","",INDEX(StageForum,$Y308))</f>
        <v/>
      </c>
      <c r="AK308" s="65" t="str">
        <f aca="false">IF($Y308="","",IF(OR($X308="Delivery",$X308="Value"),"Committed",IF($N308&lt;&gt;"","Candidate","")))</f>
        <v/>
      </c>
      <c r="AL308" s="65" t="str">
        <f aca="false">IF($AK308&lt;&gt;"Candidate","",COUNTIFS($AK$2:$AK$501,"Candidate",$N$2:$N$501,"&gt;"&amp;$N308)+COUNTIFS($AK$2:$AK$501,"Candidate",$N$2:$N$501,$N308,$A$2:$A$501,"&lt;"&amp;$A308)+1)</f>
        <v/>
      </c>
      <c r="AM308" s="65" t="str">
        <f aca="false">IF($AL308="","",SUMIFS($M$2:$M$501,$AK$2:$AK$501,"Candidate",$AL$2:$AL$501,"&lt;="&amp;$AL308))</f>
        <v/>
      </c>
      <c r="AN308" s="65" t="str">
        <f aca="false">IF($AL308="","",IF($AM308&lt;=CapacityOpen,"Fits","Below line"))</f>
        <v/>
      </c>
      <c r="AO308" s="65" t="str">
        <f aca="false">IF($A308="","",IF($X308="Closed","",IF($X308="Unmapped","Warning",IF(OR($AB308="Overdue",$V308="Y",$AH308="Critical"),"Critical",IF(OR($AB308="At risk",$AC308="Stale",$AG308="Over"),"Warning","")))))</f>
        <v/>
      </c>
      <c r="AP308" s="65" t="str">
        <f aca="false">IF($AO308="","",IF($AO308="Critical",3000,2000)-IF($Z308="",0,$Z308)+ROW()/100000)</f>
        <v/>
      </c>
      <c r="AQ308" s="65" t="str">
        <f aca="false">IF($AO308="","",IF($X308="Unmapped","Status '"&amp;$C308&amp;"' is not in the Config map",IF($V308="Y","Flagged in Jira",IF($AB308="Overdue",-$Z308&amp;" days past its "&amp;$X308&amp;" target",IF($AH308="Critical",$AI308,IF($AB308="At risk","Target in "&amp;$Z308&amp;" days",IF($AC308="Stale","No update in "&amp;$AA308&amp;" days","Past its "&amp;$AE308&amp;"-day tier window")))))))</f>
        <v/>
      </c>
      <c r="AR308" s="65" t="str">
        <f aca="false">IF($AO308="","","draft Jira update for "&amp;$A308)</f>
        <v/>
      </c>
      <c r="AS308" s="65" t="str">
        <f aca="false">IF($A308="","",HYPERLINK(JiraSite&amp;"/browse/"&amp;$A308,"open"))</f>
        <v/>
      </c>
      <c r="AT308" s="65" t="str">
        <f aca="false">IF($Y308="","",$Y308*1000+ROW())</f>
        <v/>
      </c>
      <c r="AU308" s="65" t="str">
        <f aca="false">IF(AND($A308&lt;&gt;"",$G308&gt;=WeekStart),$G308+ROW()/100000,"")</f>
        <v/>
      </c>
      <c r="AV308" s="65" t="str">
        <f aca="false">IF($A308="","",IF(OR(AND($S308&lt;&gt;"",$S308&gt;=WeekStart),AND($U308&lt;&gt;"",$U308&gt;=WeekStart)),MAX($S308,$U308)+ROW()/100000,""))</f>
        <v/>
      </c>
      <c r="AW308" s="65" t="str">
        <f aca="false">IF($AV308="","",IF($T308&lt;&gt;"",$T308,IF($X308="Closed","Closed","Accepted to "&amp;$X308)))</f>
        <v/>
      </c>
      <c r="AX308" s="65" t="str">
        <f aca="false">IF(AND($Y308&lt;&gt;"",$R308&lt;&gt;""),$AF308+ROW()/100000,"")</f>
        <v/>
      </c>
      <c r="AY308" s="65" t="str">
        <f aca="false">IF(AND($Y308&lt;&gt;"",OR($AB308="Overdue",AND($AH308="Critical",$R308&lt;&gt;""))),$AF308+ROW()/100000,"")</f>
        <v/>
      </c>
      <c r="AZ308" s="65" t="str">
        <f aca="false">IF($AH308="Critical",$AF308+ROW()/100000,"")</f>
        <v/>
      </c>
    </row>
    <row r="309" customFormat="false" ht="15" hidden="false" customHeight="false" outlineLevel="0" collapsed="false">
      <c r="A309" s="28"/>
      <c r="B309" s="28"/>
      <c r="C309" s="28"/>
      <c r="D309" s="28"/>
      <c r="E309" s="28"/>
      <c r="F309" s="28"/>
      <c r="G309" s="63"/>
      <c r="H309" s="63"/>
      <c r="I309" s="63"/>
      <c r="J309" s="28"/>
      <c r="K309" s="28"/>
      <c r="L309" s="28"/>
      <c r="M309" s="28"/>
      <c r="N309" s="28"/>
      <c r="O309" s="64"/>
      <c r="P309" s="64"/>
      <c r="Q309" s="64"/>
      <c r="R309" s="28"/>
      <c r="S309" s="63"/>
      <c r="T309" s="64"/>
      <c r="U309" s="63"/>
      <c r="V309" s="64"/>
      <c r="W309" s="28"/>
      <c r="X309" s="65" t="str">
        <f aca="false">IF($A309="","",IF(OR($T309&lt;&gt;"",$U309&lt;&gt;""),"Closed",IFERROR(INDEX(MapStage,MATCH($C309,MapStatus,0)),"Unmapped")))</f>
        <v/>
      </c>
      <c r="Y309" s="65" t="str">
        <f aca="false">IF(OR($X309="",$X309="Closed",$X309="Unmapped"),"",MATCH($X309,StageName,0))</f>
        <v/>
      </c>
      <c r="Z309" s="65" t="str">
        <f aca="false">IF(OR($Y309="",$I309=""),"",$I309-AsOf)</f>
        <v/>
      </c>
      <c r="AA309" s="65" t="str">
        <f aca="false">IF($A309="","",AsOf-$H309)</f>
        <v/>
      </c>
      <c r="AB309" s="65" t="str">
        <f aca="false">IF($A309="","",IF($X309="Closed","Closed",IF($X309="Unmapped","Unmapped",IF($I309="","No target",IF($Z309&lt;0,"Overdue",IF($Z309&lt;=INDEX(StageWindow,$Y309),"At risk","On track"))))))</f>
        <v/>
      </c>
      <c r="AC309" s="65" t="str">
        <f aca="false">IF($Y309="","",IF($AA309&gt;2*INDEX(StageStale,$Y309),"Stale",IF($AA309&gt;INDEX(StageStale,$Y309),"Aging","Fresh")))</f>
        <v/>
      </c>
      <c r="AD309" s="65" t="str">
        <f aca="false">IF($A309="","",IF(OR(ISNUMBER(SEARCH("Reg report",$J309)),ISNUMBER(SEARCH("No human review",$J309)),COUNTIF(TierFuncs,$D309)&gt;0),"High",IF(OR(TRIM($J309)&lt;&gt;"",ISNUMBER(SEARCH("revenue",$K309))),"Medium","Low")))</f>
        <v/>
      </c>
      <c r="AE309" s="65" t="str">
        <f aca="false">IF($A309="","",INDEX(TierDays,MATCH($AD309,TierName,0)))</f>
        <v/>
      </c>
      <c r="AF309" s="65" t="str">
        <f aca="false">IF($A309="","",AsOf-$G309)</f>
        <v/>
      </c>
      <c r="AG309" s="65" t="str">
        <f aca="false">IF($Y309="","",IF($Y309&lt;=5,IF($AF309&gt;$AE309,"Over","Inside"),"Past approval"))</f>
        <v/>
      </c>
      <c r="AH309" s="65" t="str">
        <f aca="false">IF($Y309="","",CHOOSE($Y309,IF(OR(TRIM($F309)="",ISNUMBER(SEARCH("not named",$F309))),"Critical","Good"),IF($O309&lt;&gt;"Y","Critical",IF($Q309&lt;&gt;"Y","Warning","Good")),IF($P309="","Critical",IF($P309="partial","Warning",IF($P309="ready","Good","Critical"))),IF($R309&lt;&gt;"","Critical","Warning"),IF($L309="","Critical",IF($N309="","Warning","Good")),IF($R309&lt;&gt;"","Critical","Warning"),IF($R309&lt;&gt;"","Critical","Warning"),IF($Q309="Y","Good","Critical")))</f>
        <v/>
      </c>
      <c r="AI309" s="65" t="str">
        <f aca="false">IF($Y309="","",CHOOSE($Y309,IF(OR(TRIM($F309)="",ISNUMBER(SEARCH("not named",$F309))),"Name a sponsor accountable for the value",""),IF($O309&lt;&gt;"Y","State the success metric and the stop condition",IF($Q309&lt;&gt;"Y","Set the baseline the benefit will be measured against","")),IF($P309="","Assess data readiness and regulatory impact",IF($P309="partial","Close the known data gaps",IF($P309="ready","","Data is not available; reshape or park"))),IF($R309&lt;&gt;"",IF(OR(ISNUMBER(SEARCH("mrm",$R309)),ISNUMBER(SEARCH("model",$R309)),ISNUMBER(SEARCH("risk",$R309)),ISNUMBER(SEARCH("legal",$R309)),ISNUMBER(SEARCH("complian",$R309))),"Awaiting ","Held at the design gate: ")&amp;$R309,"Map the governance framework for its tier"),IF($L309="","Size the annual benefit",IF($N309="","Score it so it can be ranked against capacity","")),IF($R309&lt;&gt;"","Build held: "&amp;$R309,"In build, not yet through test"),IF($R309&lt;&gt;"","Not ready to scale: "&amp;$R309,"Monitoring and third-party review not yet signed off"),IF($Q309="Y","","Live without a measured baseline to judge it against")))</f>
        <v/>
      </c>
      <c r="AJ309" s="65" t="str">
        <f aca="false">IF($Y309="","",INDEX(StageForum,$Y309))</f>
        <v/>
      </c>
      <c r="AK309" s="65" t="str">
        <f aca="false">IF($Y309="","",IF(OR($X309="Delivery",$X309="Value"),"Committed",IF($N309&lt;&gt;"","Candidate","")))</f>
        <v/>
      </c>
      <c r="AL309" s="65" t="str">
        <f aca="false">IF($AK309&lt;&gt;"Candidate","",COUNTIFS($AK$2:$AK$501,"Candidate",$N$2:$N$501,"&gt;"&amp;$N309)+COUNTIFS($AK$2:$AK$501,"Candidate",$N$2:$N$501,$N309,$A$2:$A$501,"&lt;"&amp;$A309)+1)</f>
        <v/>
      </c>
      <c r="AM309" s="65" t="str">
        <f aca="false">IF($AL309="","",SUMIFS($M$2:$M$501,$AK$2:$AK$501,"Candidate",$AL$2:$AL$501,"&lt;="&amp;$AL309))</f>
        <v/>
      </c>
      <c r="AN309" s="65" t="str">
        <f aca="false">IF($AL309="","",IF($AM309&lt;=CapacityOpen,"Fits","Below line"))</f>
        <v/>
      </c>
      <c r="AO309" s="65" t="str">
        <f aca="false">IF($A309="","",IF($X309="Closed","",IF($X309="Unmapped","Warning",IF(OR($AB309="Overdue",$V309="Y",$AH309="Critical"),"Critical",IF(OR($AB309="At risk",$AC309="Stale",$AG309="Over"),"Warning","")))))</f>
        <v/>
      </c>
      <c r="AP309" s="65" t="str">
        <f aca="false">IF($AO309="","",IF($AO309="Critical",3000,2000)-IF($Z309="",0,$Z309)+ROW()/100000)</f>
        <v/>
      </c>
      <c r="AQ309" s="65" t="str">
        <f aca="false">IF($AO309="","",IF($X309="Unmapped","Status '"&amp;$C309&amp;"' is not in the Config map",IF($V309="Y","Flagged in Jira",IF($AB309="Overdue",-$Z309&amp;" days past its "&amp;$X309&amp;" target",IF($AH309="Critical",$AI309,IF($AB309="At risk","Target in "&amp;$Z309&amp;" days",IF($AC309="Stale","No update in "&amp;$AA309&amp;" days","Past its "&amp;$AE309&amp;"-day tier window")))))))</f>
        <v/>
      </c>
      <c r="AR309" s="65" t="str">
        <f aca="false">IF($AO309="","","draft Jira update for "&amp;$A309)</f>
        <v/>
      </c>
      <c r="AS309" s="65" t="str">
        <f aca="false">IF($A309="","",HYPERLINK(JiraSite&amp;"/browse/"&amp;$A309,"open"))</f>
        <v/>
      </c>
      <c r="AT309" s="65" t="str">
        <f aca="false">IF($Y309="","",$Y309*1000+ROW())</f>
        <v/>
      </c>
      <c r="AU309" s="65" t="str">
        <f aca="false">IF(AND($A309&lt;&gt;"",$G309&gt;=WeekStart),$G309+ROW()/100000,"")</f>
        <v/>
      </c>
      <c r="AV309" s="65" t="str">
        <f aca="false">IF($A309="","",IF(OR(AND($S309&lt;&gt;"",$S309&gt;=WeekStart),AND($U309&lt;&gt;"",$U309&gt;=WeekStart)),MAX($S309,$U309)+ROW()/100000,""))</f>
        <v/>
      </c>
      <c r="AW309" s="65" t="str">
        <f aca="false">IF($AV309="","",IF($T309&lt;&gt;"",$T309,IF($X309="Closed","Closed","Accepted to "&amp;$X309)))</f>
        <v/>
      </c>
      <c r="AX309" s="65" t="str">
        <f aca="false">IF(AND($Y309&lt;&gt;"",$R309&lt;&gt;""),$AF309+ROW()/100000,"")</f>
        <v/>
      </c>
      <c r="AY309" s="65" t="str">
        <f aca="false">IF(AND($Y309&lt;&gt;"",OR($AB309="Overdue",AND($AH309="Critical",$R309&lt;&gt;""))),$AF309+ROW()/100000,"")</f>
        <v/>
      </c>
      <c r="AZ309" s="65" t="str">
        <f aca="false">IF($AH309="Critical",$AF309+ROW()/100000,"")</f>
        <v/>
      </c>
    </row>
    <row r="310" customFormat="false" ht="15" hidden="false" customHeight="false" outlineLevel="0" collapsed="false">
      <c r="A310" s="28"/>
      <c r="B310" s="28"/>
      <c r="C310" s="28"/>
      <c r="D310" s="28"/>
      <c r="E310" s="28"/>
      <c r="F310" s="28"/>
      <c r="G310" s="63"/>
      <c r="H310" s="63"/>
      <c r="I310" s="63"/>
      <c r="J310" s="28"/>
      <c r="K310" s="28"/>
      <c r="L310" s="28"/>
      <c r="M310" s="28"/>
      <c r="N310" s="28"/>
      <c r="O310" s="64"/>
      <c r="P310" s="64"/>
      <c r="Q310" s="64"/>
      <c r="R310" s="28"/>
      <c r="S310" s="63"/>
      <c r="T310" s="64"/>
      <c r="U310" s="63"/>
      <c r="V310" s="64"/>
      <c r="W310" s="28"/>
      <c r="X310" s="65" t="str">
        <f aca="false">IF($A310="","",IF(OR($T310&lt;&gt;"",$U310&lt;&gt;""),"Closed",IFERROR(INDEX(MapStage,MATCH($C310,MapStatus,0)),"Unmapped")))</f>
        <v/>
      </c>
      <c r="Y310" s="65" t="str">
        <f aca="false">IF(OR($X310="",$X310="Closed",$X310="Unmapped"),"",MATCH($X310,StageName,0))</f>
        <v/>
      </c>
      <c r="Z310" s="65" t="str">
        <f aca="false">IF(OR($Y310="",$I310=""),"",$I310-AsOf)</f>
        <v/>
      </c>
      <c r="AA310" s="65" t="str">
        <f aca="false">IF($A310="","",AsOf-$H310)</f>
        <v/>
      </c>
      <c r="AB310" s="65" t="str">
        <f aca="false">IF($A310="","",IF($X310="Closed","Closed",IF($X310="Unmapped","Unmapped",IF($I310="","No target",IF($Z310&lt;0,"Overdue",IF($Z310&lt;=INDEX(StageWindow,$Y310),"At risk","On track"))))))</f>
        <v/>
      </c>
      <c r="AC310" s="65" t="str">
        <f aca="false">IF($Y310="","",IF($AA310&gt;2*INDEX(StageStale,$Y310),"Stale",IF($AA310&gt;INDEX(StageStale,$Y310),"Aging","Fresh")))</f>
        <v/>
      </c>
      <c r="AD310" s="65" t="str">
        <f aca="false">IF($A310="","",IF(OR(ISNUMBER(SEARCH("Reg report",$J310)),ISNUMBER(SEARCH("No human review",$J310)),COUNTIF(TierFuncs,$D310)&gt;0),"High",IF(OR(TRIM($J310)&lt;&gt;"",ISNUMBER(SEARCH("revenue",$K310))),"Medium","Low")))</f>
        <v/>
      </c>
      <c r="AE310" s="65" t="str">
        <f aca="false">IF($A310="","",INDEX(TierDays,MATCH($AD310,TierName,0)))</f>
        <v/>
      </c>
      <c r="AF310" s="65" t="str">
        <f aca="false">IF($A310="","",AsOf-$G310)</f>
        <v/>
      </c>
      <c r="AG310" s="65" t="str">
        <f aca="false">IF($Y310="","",IF($Y310&lt;=5,IF($AF310&gt;$AE310,"Over","Inside"),"Past approval"))</f>
        <v/>
      </c>
      <c r="AH310" s="65" t="str">
        <f aca="false">IF($Y310="","",CHOOSE($Y310,IF(OR(TRIM($F310)="",ISNUMBER(SEARCH("not named",$F310))),"Critical","Good"),IF($O310&lt;&gt;"Y","Critical",IF($Q310&lt;&gt;"Y","Warning","Good")),IF($P310="","Critical",IF($P310="partial","Warning",IF($P310="ready","Good","Critical"))),IF($R310&lt;&gt;"","Critical","Warning"),IF($L310="","Critical",IF($N310="","Warning","Good")),IF($R310&lt;&gt;"","Critical","Warning"),IF($R310&lt;&gt;"","Critical","Warning"),IF($Q310="Y","Good","Critical")))</f>
        <v/>
      </c>
      <c r="AI310" s="65" t="str">
        <f aca="false">IF($Y310="","",CHOOSE($Y310,IF(OR(TRIM($F310)="",ISNUMBER(SEARCH("not named",$F310))),"Name a sponsor accountable for the value",""),IF($O310&lt;&gt;"Y","State the success metric and the stop condition",IF($Q310&lt;&gt;"Y","Set the baseline the benefit will be measured against","")),IF($P310="","Assess data readiness and regulatory impact",IF($P310="partial","Close the known data gaps",IF($P310="ready","","Data is not available; reshape or park"))),IF($R310&lt;&gt;"",IF(OR(ISNUMBER(SEARCH("mrm",$R310)),ISNUMBER(SEARCH("model",$R310)),ISNUMBER(SEARCH("risk",$R310)),ISNUMBER(SEARCH("legal",$R310)),ISNUMBER(SEARCH("complian",$R310))),"Awaiting ","Held at the design gate: ")&amp;$R310,"Map the governance framework for its tier"),IF($L310="","Size the annual benefit",IF($N310="","Score it so it can be ranked against capacity","")),IF($R310&lt;&gt;"","Build held: "&amp;$R310,"In build, not yet through test"),IF($R310&lt;&gt;"","Not ready to scale: "&amp;$R310,"Monitoring and third-party review not yet signed off"),IF($Q310="Y","","Live without a measured baseline to judge it against")))</f>
        <v/>
      </c>
      <c r="AJ310" s="65" t="str">
        <f aca="false">IF($Y310="","",INDEX(StageForum,$Y310))</f>
        <v/>
      </c>
      <c r="AK310" s="65" t="str">
        <f aca="false">IF($Y310="","",IF(OR($X310="Delivery",$X310="Value"),"Committed",IF($N310&lt;&gt;"","Candidate","")))</f>
        <v/>
      </c>
      <c r="AL310" s="65" t="str">
        <f aca="false">IF($AK310&lt;&gt;"Candidate","",COUNTIFS($AK$2:$AK$501,"Candidate",$N$2:$N$501,"&gt;"&amp;$N310)+COUNTIFS($AK$2:$AK$501,"Candidate",$N$2:$N$501,$N310,$A$2:$A$501,"&lt;"&amp;$A310)+1)</f>
        <v/>
      </c>
      <c r="AM310" s="65" t="str">
        <f aca="false">IF($AL310="","",SUMIFS($M$2:$M$501,$AK$2:$AK$501,"Candidate",$AL$2:$AL$501,"&lt;="&amp;$AL310))</f>
        <v/>
      </c>
      <c r="AN310" s="65" t="str">
        <f aca="false">IF($AL310="","",IF($AM310&lt;=CapacityOpen,"Fits","Below line"))</f>
        <v/>
      </c>
      <c r="AO310" s="65" t="str">
        <f aca="false">IF($A310="","",IF($X310="Closed","",IF($X310="Unmapped","Warning",IF(OR($AB310="Overdue",$V310="Y",$AH310="Critical"),"Critical",IF(OR($AB310="At risk",$AC310="Stale",$AG310="Over"),"Warning","")))))</f>
        <v/>
      </c>
      <c r="AP310" s="65" t="str">
        <f aca="false">IF($AO310="","",IF($AO310="Critical",3000,2000)-IF($Z310="",0,$Z310)+ROW()/100000)</f>
        <v/>
      </c>
      <c r="AQ310" s="65" t="str">
        <f aca="false">IF($AO310="","",IF($X310="Unmapped","Status '"&amp;$C310&amp;"' is not in the Config map",IF($V310="Y","Flagged in Jira",IF($AB310="Overdue",-$Z310&amp;" days past its "&amp;$X310&amp;" target",IF($AH310="Critical",$AI310,IF($AB310="At risk","Target in "&amp;$Z310&amp;" days",IF($AC310="Stale","No update in "&amp;$AA310&amp;" days","Past its "&amp;$AE310&amp;"-day tier window")))))))</f>
        <v/>
      </c>
      <c r="AR310" s="65" t="str">
        <f aca="false">IF($AO310="","","draft Jira update for "&amp;$A310)</f>
        <v/>
      </c>
      <c r="AS310" s="65" t="str">
        <f aca="false">IF($A310="","",HYPERLINK(JiraSite&amp;"/browse/"&amp;$A310,"open"))</f>
        <v/>
      </c>
      <c r="AT310" s="65" t="str">
        <f aca="false">IF($Y310="","",$Y310*1000+ROW())</f>
        <v/>
      </c>
      <c r="AU310" s="65" t="str">
        <f aca="false">IF(AND($A310&lt;&gt;"",$G310&gt;=WeekStart),$G310+ROW()/100000,"")</f>
        <v/>
      </c>
      <c r="AV310" s="65" t="str">
        <f aca="false">IF($A310="","",IF(OR(AND($S310&lt;&gt;"",$S310&gt;=WeekStart),AND($U310&lt;&gt;"",$U310&gt;=WeekStart)),MAX($S310,$U310)+ROW()/100000,""))</f>
        <v/>
      </c>
      <c r="AW310" s="65" t="str">
        <f aca="false">IF($AV310="","",IF($T310&lt;&gt;"",$T310,IF($X310="Closed","Closed","Accepted to "&amp;$X310)))</f>
        <v/>
      </c>
      <c r="AX310" s="65" t="str">
        <f aca="false">IF(AND($Y310&lt;&gt;"",$R310&lt;&gt;""),$AF310+ROW()/100000,"")</f>
        <v/>
      </c>
      <c r="AY310" s="65" t="str">
        <f aca="false">IF(AND($Y310&lt;&gt;"",OR($AB310="Overdue",AND($AH310="Critical",$R310&lt;&gt;""))),$AF310+ROW()/100000,"")</f>
        <v/>
      </c>
      <c r="AZ310" s="65" t="str">
        <f aca="false">IF($AH310="Critical",$AF310+ROW()/100000,"")</f>
        <v/>
      </c>
    </row>
    <row r="311" customFormat="false" ht="15" hidden="false" customHeight="false" outlineLevel="0" collapsed="false">
      <c r="A311" s="28"/>
      <c r="B311" s="28"/>
      <c r="C311" s="28"/>
      <c r="D311" s="28"/>
      <c r="E311" s="28"/>
      <c r="F311" s="28"/>
      <c r="G311" s="63"/>
      <c r="H311" s="63"/>
      <c r="I311" s="63"/>
      <c r="J311" s="28"/>
      <c r="K311" s="28"/>
      <c r="L311" s="28"/>
      <c r="M311" s="28"/>
      <c r="N311" s="28"/>
      <c r="O311" s="64"/>
      <c r="P311" s="64"/>
      <c r="Q311" s="64"/>
      <c r="R311" s="28"/>
      <c r="S311" s="63"/>
      <c r="T311" s="64"/>
      <c r="U311" s="63"/>
      <c r="V311" s="64"/>
      <c r="W311" s="28"/>
      <c r="X311" s="65" t="str">
        <f aca="false">IF($A311="","",IF(OR($T311&lt;&gt;"",$U311&lt;&gt;""),"Closed",IFERROR(INDEX(MapStage,MATCH($C311,MapStatus,0)),"Unmapped")))</f>
        <v/>
      </c>
      <c r="Y311" s="65" t="str">
        <f aca="false">IF(OR($X311="",$X311="Closed",$X311="Unmapped"),"",MATCH($X311,StageName,0))</f>
        <v/>
      </c>
      <c r="Z311" s="65" t="str">
        <f aca="false">IF(OR($Y311="",$I311=""),"",$I311-AsOf)</f>
        <v/>
      </c>
      <c r="AA311" s="65" t="str">
        <f aca="false">IF($A311="","",AsOf-$H311)</f>
        <v/>
      </c>
      <c r="AB311" s="65" t="str">
        <f aca="false">IF($A311="","",IF($X311="Closed","Closed",IF($X311="Unmapped","Unmapped",IF($I311="","No target",IF($Z311&lt;0,"Overdue",IF($Z311&lt;=INDEX(StageWindow,$Y311),"At risk","On track"))))))</f>
        <v/>
      </c>
      <c r="AC311" s="65" t="str">
        <f aca="false">IF($Y311="","",IF($AA311&gt;2*INDEX(StageStale,$Y311),"Stale",IF($AA311&gt;INDEX(StageStale,$Y311),"Aging","Fresh")))</f>
        <v/>
      </c>
      <c r="AD311" s="65" t="str">
        <f aca="false">IF($A311="","",IF(OR(ISNUMBER(SEARCH("Reg report",$J311)),ISNUMBER(SEARCH("No human review",$J311)),COUNTIF(TierFuncs,$D311)&gt;0),"High",IF(OR(TRIM($J311)&lt;&gt;"",ISNUMBER(SEARCH("revenue",$K311))),"Medium","Low")))</f>
        <v/>
      </c>
      <c r="AE311" s="65" t="str">
        <f aca="false">IF($A311="","",INDEX(TierDays,MATCH($AD311,TierName,0)))</f>
        <v/>
      </c>
      <c r="AF311" s="65" t="str">
        <f aca="false">IF($A311="","",AsOf-$G311)</f>
        <v/>
      </c>
      <c r="AG311" s="65" t="str">
        <f aca="false">IF($Y311="","",IF($Y311&lt;=5,IF($AF311&gt;$AE311,"Over","Inside"),"Past approval"))</f>
        <v/>
      </c>
      <c r="AH311" s="65" t="str">
        <f aca="false">IF($Y311="","",CHOOSE($Y311,IF(OR(TRIM($F311)="",ISNUMBER(SEARCH("not named",$F311))),"Critical","Good"),IF($O311&lt;&gt;"Y","Critical",IF($Q311&lt;&gt;"Y","Warning","Good")),IF($P311="","Critical",IF($P311="partial","Warning",IF($P311="ready","Good","Critical"))),IF($R311&lt;&gt;"","Critical","Warning"),IF($L311="","Critical",IF($N311="","Warning","Good")),IF($R311&lt;&gt;"","Critical","Warning"),IF($R311&lt;&gt;"","Critical","Warning"),IF($Q311="Y","Good","Critical")))</f>
        <v/>
      </c>
      <c r="AI311" s="65" t="str">
        <f aca="false">IF($Y311="","",CHOOSE($Y311,IF(OR(TRIM($F311)="",ISNUMBER(SEARCH("not named",$F311))),"Name a sponsor accountable for the value",""),IF($O311&lt;&gt;"Y","State the success metric and the stop condition",IF($Q311&lt;&gt;"Y","Set the baseline the benefit will be measured against","")),IF($P311="","Assess data readiness and regulatory impact",IF($P311="partial","Close the known data gaps",IF($P311="ready","","Data is not available; reshape or park"))),IF($R311&lt;&gt;"",IF(OR(ISNUMBER(SEARCH("mrm",$R311)),ISNUMBER(SEARCH("model",$R311)),ISNUMBER(SEARCH("risk",$R311)),ISNUMBER(SEARCH("legal",$R311)),ISNUMBER(SEARCH("complian",$R311))),"Awaiting ","Held at the design gate: ")&amp;$R311,"Map the governance framework for its tier"),IF($L311="","Size the annual benefit",IF($N311="","Score it so it can be ranked against capacity","")),IF($R311&lt;&gt;"","Build held: "&amp;$R311,"In build, not yet through test"),IF($R311&lt;&gt;"","Not ready to scale: "&amp;$R311,"Monitoring and third-party review not yet signed off"),IF($Q311="Y","","Live without a measured baseline to judge it against")))</f>
        <v/>
      </c>
      <c r="AJ311" s="65" t="str">
        <f aca="false">IF($Y311="","",INDEX(StageForum,$Y311))</f>
        <v/>
      </c>
      <c r="AK311" s="65" t="str">
        <f aca="false">IF($Y311="","",IF(OR($X311="Delivery",$X311="Value"),"Committed",IF($N311&lt;&gt;"","Candidate","")))</f>
        <v/>
      </c>
      <c r="AL311" s="65" t="str">
        <f aca="false">IF($AK311&lt;&gt;"Candidate","",COUNTIFS($AK$2:$AK$501,"Candidate",$N$2:$N$501,"&gt;"&amp;$N311)+COUNTIFS($AK$2:$AK$501,"Candidate",$N$2:$N$501,$N311,$A$2:$A$501,"&lt;"&amp;$A311)+1)</f>
        <v/>
      </c>
      <c r="AM311" s="65" t="str">
        <f aca="false">IF($AL311="","",SUMIFS($M$2:$M$501,$AK$2:$AK$501,"Candidate",$AL$2:$AL$501,"&lt;="&amp;$AL311))</f>
        <v/>
      </c>
      <c r="AN311" s="65" t="str">
        <f aca="false">IF($AL311="","",IF($AM311&lt;=CapacityOpen,"Fits","Below line"))</f>
        <v/>
      </c>
      <c r="AO311" s="65" t="str">
        <f aca="false">IF($A311="","",IF($X311="Closed","",IF($X311="Unmapped","Warning",IF(OR($AB311="Overdue",$V311="Y",$AH311="Critical"),"Critical",IF(OR($AB311="At risk",$AC311="Stale",$AG311="Over"),"Warning","")))))</f>
        <v/>
      </c>
      <c r="AP311" s="65" t="str">
        <f aca="false">IF($AO311="","",IF($AO311="Critical",3000,2000)-IF($Z311="",0,$Z311)+ROW()/100000)</f>
        <v/>
      </c>
      <c r="AQ311" s="65" t="str">
        <f aca="false">IF($AO311="","",IF($X311="Unmapped","Status '"&amp;$C311&amp;"' is not in the Config map",IF($V311="Y","Flagged in Jira",IF($AB311="Overdue",-$Z311&amp;" days past its "&amp;$X311&amp;" target",IF($AH311="Critical",$AI311,IF($AB311="At risk","Target in "&amp;$Z311&amp;" days",IF($AC311="Stale","No update in "&amp;$AA311&amp;" days","Past its "&amp;$AE311&amp;"-day tier window")))))))</f>
        <v/>
      </c>
      <c r="AR311" s="65" t="str">
        <f aca="false">IF($AO311="","","draft Jira update for "&amp;$A311)</f>
        <v/>
      </c>
      <c r="AS311" s="65" t="str">
        <f aca="false">IF($A311="","",HYPERLINK(JiraSite&amp;"/browse/"&amp;$A311,"open"))</f>
        <v/>
      </c>
      <c r="AT311" s="65" t="str">
        <f aca="false">IF($Y311="","",$Y311*1000+ROW())</f>
        <v/>
      </c>
      <c r="AU311" s="65" t="str">
        <f aca="false">IF(AND($A311&lt;&gt;"",$G311&gt;=WeekStart),$G311+ROW()/100000,"")</f>
        <v/>
      </c>
      <c r="AV311" s="65" t="str">
        <f aca="false">IF($A311="","",IF(OR(AND($S311&lt;&gt;"",$S311&gt;=WeekStart),AND($U311&lt;&gt;"",$U311&gt;=WeekStart)),MAX($S311,$U311)+ROW()/100000,""))</f>
        <v/>
      </c>
      <c r="AW311" s="65" t="str">
        <f aca="false">IF($AV311="","",IF($T311&lt;&gt;"",$T311,IF($X311="Closed","Closed","Accepted to "&amp;$X311)))</f>
        <v/>
      </c>
      <c r="AX311" s="65" t="str">
        <f aca="false">IF(AND($Y311&lt;&gt;"",$R311&lt;&gt;""),$AF311+ROW()/100000,"")</f>
        <v/>
      </c>
      <c r="AY311" s="65" t="str">
        <f aca="false">IF(AND($Y311&lt;&gt;"",OR($AB311="Overdue",AND($AH311="Critical",$R311&lt;&gt;""))),$AF311+ROW()/100000,"")</f>
        <v/>
      </c>
      <c r="AZ311" s="65" t="str">
        <f aca="false">IF($AH311="Critical",$AF311+ROW()/100000,"")</f>
        <v/>
      </c>
    </row>
    <row r="312" customFormat="false" ht="15" hidden="false" customHeight="false" outlineLevel="0" collapsed="false">
      <c r="A312" s="28"/>
      <c r="B312" s="28"/>
      <c r="C312" s="28"/>
      <c r="D312" s="28"/>
      <c r="E312" s="28"/>
      <c r="F312" s="28"/>
      <c r="G312" s="63"/>
      <c r="H312" s="63"/>
      <c r="I312" s="63"/>
      <c r="J312" s="28"/>
      <c r="K312" s="28"/>
      <c r="L312" s="28"/>
      <c r="M312" s="28"/>
      <c r="N312" s="28"/>
      <c r="O312" s="64"/>
      <c r="P312" s="64"/>
      <c r="Q312" s="64"/>
      <c r="R312" s="28"/>
      <c r="S312" s="63"/>
      <c r="T312" s="64"/>
      <c r="U312" s="63"/>
      <c r="V312" s="64"/>
      <c r="W312" s="28"/>
      <c r="X312" s="65" t="str">
        <f aca="false">IF($A312="","",IF(OR($T312&lt;&gt;"",$U312&lt;&gt;""),"Closed",IFERROR(INDEX(MapStage,MATCH($C312,MapStatus,0)),"Unmapped")))</f>
        <v/>
      </c>
      <c r="Y312" s="65" t="str">
        <f aca="false">IF(OR($X312="",$X312="Closed",$X312="Unmapped"),"",MATCH($X312,StageName,0))</f>
        <v/>
      </c>
      <c r="Z312" s="65" t="str">
        <f aca="false">IF(OR($Y312="",$I312=""),"",$I312-AsOf)</f>
        <v/>
      </c>
      <c r="AA312" s="65" t="str">
        <f aca="false">IF($A312="","",AsOf-$H312)</f>
        <v/>
      </c>
      <c r="AB312" s="65" t="str">
        <f aca="false">IF($A312="","",IF($X312="Closed","Closed",IF($X312="Unmapped","Unmapped",IF($I312="","No target",IF($Z312&lt;0,"Overdue",IF($Z312&lt;=INDEX(StageWindow,$Y312),"At risk","On track"))))))</f>
        <v/>
      </c>
      <c r="AC312" s="65" t="str">
        <f aca="false">IF($Y312="","",IF($AA312&gt;2*INDEX(StageStale,$Y312),"Stale",IF($AA312&gt;INDEX(StageStale,$Y312),"Aging","Fresh")))</f>
        <v/>
      </c>
      <c r="AD312" s="65" t="str">
        <f aca="false">IF($A312="","",IF(OR(ISNUMBER(SEARCH("Reg report",$J312)),ISNUMBER(SEARCH("No human review",$J312)),COUNTIF(TierFuncs,$D312)&gt;0),"High",IF(OR(TRIM($J312)&lt;&gt;"",ISNUMBER(SEARCH("revenue",$K312))),"Medium","Low")))</f>
        <v/>
      </c>
      <c r="AE312" s="65" t="str">
        <f aca="false">IF($A312="","",INDEX(TierDays,MATCH($AD312,TierName,0)))</f>
        <v/>
      </c>
      <c r="AF312" s="65" t="str">
        <f aca="false">IF($A312="","",AsOf-$G312)</f>
        <v/>
      </c>
      <c r="AG312" s="65" t="str">
        <f aca="false">IF($Y312="","",IF($Y312&lt;=5,IF($AF312&gt;$AE312,"Over","Inside"),"Past approval"))</f>
        <v/>
      </c>
      <c r="AH312" s="65" t="str">
        <f aca="false">IF($Y312="","",CHOOSE($Y312,IF(OR(TRIM($F312)="",ISNUMBER(SEARCH("not named",$F312))),"Critical","Good"),IF($O312&lt;&gt;"Y","Critical",IF($Q312&lt;&gt;"Y","Warning","Good")),IF($P312="","Critical",IF($P312="partial","Warning",IF($P312="ready","Good","Critical"))),IF($R312&lt;&gt;"","Critical","Warning"),IF($L312="","Critical",IF($N312="","Warning","Good")),IF($R312&lt;&gt;"","Critical","Warning"),IF($R312&lt;&gt;"","Critical","Warning"),IF($Q312="Y","Good","Critical")))</f>
        <v/>
      </c>
      <c r="AI312" s="65" t="str">
        <f aca="false">IF($Y312="","",CHOOSE($Y312,IF(OR(TRIM($F312)="",ISNUMBER(SEARCH("not named",$F312))),"Name a sponsor accountable for the value",""),IF($O312&lt;&gt;"Y","State the success metric and the stop condition",IF($Q312&lt;&gt;"Y","Set the baseline the benefit will be measured against","")),IF($P312="","Assess data readiness and regulatory impact",IF($P312="partial","Close the known data gaps",IF($P312="ready","","Data is not available; reshape or park"))),IF($R312&lt;&gt;"",IF(OR(ISNUMBER(SEARCH("mrm",$R312)),ISNUMBER(SEARCH("model",$R312)),ISNUMBER(SEARCH("risk",$R312)),ISNUMBER(SEARCH("legal",$R312)),ISNUMBER(SEARCH("complian",$R312))),"Awaiting ","Held at the design gate: ")&amp;$R312,"Map the governance framework for its tier"),IF($L312="","Size the annual benefit",IF($N312="","Score it so it can be ranked against capacity","")),IF($R312&lt;&gt;"","Build held: "&amp;$R312,"In build, not yet through test"),IF($R312&lt;&gt;"","Not ready to scale: "&amp;$R312,"Monitoring and third-party review not yet signed off"),IF($Q312="Y","","Live without a measured baseline to judge it against")))</f>
        <v/>
      </c>
      <c r="AJ312" s="65" t="str">
        <f aca="false">IF($Y312="","",INDEX(StageForum,$Y312))</f>
        <v/>
      </c>
      <c r="AK312" s="65" t="str">
        <f aca="false">IF($Y312="","",IF(OR($X312="Delivery",$X312="Value"),"Committed",IF($N312&lt;&gt;"","Candidate","")))</f>
        <v/>
      </c>
      <c r="AL312" s="65" t="str">
        <f aca="false">IF($AK312&lt;&gt;"Candidate","",COUNTIFS($AK$2:$AK$501,"Candidate",$N$2:$N$501,"&gt;"&amp;$N312)+COUNTIFS($AK$2:$AK$501,"Candidate",$N$2:$N$501,$N312,$A$2:$A$501,"&lt;"&amp;$A312)+1)</f>
        <v/>
      </c>
      <c r="AM312" s="65" t="str">
        <f aca="false">IF($AL312="","",SUMIFS($M$2:$M$501,$AK$2:$AK$501,"Candidate",$AL$2:$AL$501,"&lt;="&amp;$AL312))</f>
        <v/>
      </c>
      <c r="AN312" s="65" t="str">
        <f aca="false">IF($AL312="","",IF($AM312&lt;=CapacityOpen,"Fits","Below line"))</f>
        <v/>
      </c>
      <c r="AO312" s="65" t="str">
        <f aca="false">IF($A312="","",IF($X312="Closed","",IF($X312="Unmapped","Warning",IF(OR($AB312="Overdue",$V312="Y",$AH312="Critical"),"Critical",IF(OR($AB312="At risk",$AC312="Stale",$AG312="Over"),"Warning","")))))</f>
        <v/>
      </c>
      <c r="AP312" s="65" t="str">
        <f aca="false">IF($AO312="","",IF($AO312="Critical",3000,2000)-IF($Z312="",0,$Z312)+ROW()/100000)</f>
        <v/>
      </c>
      <c r="AQ312" s="65" t="str">
        <f aca="false">IF($AO312="","",IF($X312="Unmapped","Status '"&amp;$C312&amp;"' is not in the Config map",IF($V312="Y","Flagged in Jira",IF($AB312="Overdue",-$Z312&amp;" days past its "&amp;$X312&amp;" target",IF($AH312="Critical",$AI312,IF($AB312="At risk","Target in "&amp;$Z312&amp;" days",IF($AC312="Stale","No update in "&amp;$AA312&amp;" days","Past its "&amp;$AE312&amp;"-day tier window")))))))</f>
        <v/>
      </c>
      <c r="AR312" s="65" t="str">
        <f aca="false">IF($AO312="","","draft Jira update for "&amp;$A312)</f>
        <v/>
      </c>
      <c r="AS312" s="65" t="str">
        <f aca="false">IF($A312="","",HYPERLINK(JiraSite&amp;"/browse/"&amp;$A312,"open"))</f>
        <v/>
      </c>
      <c r="AT312" s="65" t="str">
        <f aca="false">IF($Y312="","",$Y312*1000+ROW())</f>
        <v/>
      </c>
      <c r="AU312" s="65" t="str">
        <f aca="false">IF(AND($A312&lt;&gt;"",$G312&gt;=WeekStart),$G312+ROW()/100000,"")</f>
        <v/>
      </c>
      <c r="AV312" s="65" t="str">
        <f aca="false">IF($A312="","",IF(OR(AND($S312&lt;&gt;"",$S312&gt;=WeekStart),AND($U312&lt;&gt;"",$U312&gt;=WeekStart)),MAX($S312,$U312)+ROW()/100000,""))</f>
        <v/>
      </c>
      <c r="AW312" s="65" t="str">
        <f aca="false">IF($AV312="","",IF($T312&lt;&gt;"",$T312,IF($X312="Closed","Closed","Accepted to "&amp;$X312)))</f>
        <v/>
      </c>
      <c r="AX312" s="65" t="str">
        <f aca="false">IF(AND($Y312&lt;&gt;"",$R312&lt;&gt;""),$AF312+ROW()/100000,"")</f>
        <v/>
      </c>
      <c r="AY312" s="65" t="str">
        <f aca="false">IF(AND($Y312&lt;&gt;"",OR($AB312="Overdue",AND($AH312="Critical",$R312&lt;&gt;""))),$AF312+ROW()/100000,"")</f>
        <v/>
      </c>
      <c r="AZ312" s="65" t="str">
        <f aca="false">IF($AH312="Critical",$AF312+ROW()/100000,"")</f>
        <v/>
      </c>
    </row>
    <row r="313" customFormat="false" ht="15" hidden="false" customHeight="false" outlineLevel="0" collapsed="false">
      <c r="A313" s="28"/>
      <c r="B313" s="28"/>
      <c r="C313" s="28"/>
      <c r="D313" s="28"/>
      <c r="E313" s="28"/>
      <c r="F313" s="28"/>
      <c r="G313" s="63"/>
      <c r="H313" s="63"/>
      <c r="I313" s="63"/>
      <c r="J313" s="28"/>
      <c r="K313" s="28"/>
      <c r="L313" s="28"/>
      <c r="M313" s="28"/>
      <c r="N313" s="28"/>
      <c r="O313" s="64"/>
      <c r="P313" s="64"/>
      <c r="Q313" s="64"/>
      <c r="R313" s="28"/>
      <c r="S313" s="63"/>
      <c r="T313" s="64"/>
      <c r="U313" s="63"/>
      <c r="V313" s="64"/>
      <c r="W313" s="28"/>
      <c r="X313" s="65" t="str">
        <f aca="false">IF($A313="","",IF(OR($T313&lt;&gt;"",$U313&lt;&gt;""),"Closed",IFERROR(INDEX(MapStage,MATCH($C313,MapStatus,0)),"Unmapped")))</f>
        <v/>
      </c>
      <c r="Y313" s="65" t="str">
        <f aca="false">IF(OR($X313="",$X313="Closed",$X313="Unmapped"),"",MATCH($X313,StageName,0))</f>
        <v/>
      </c>
      <c r="Z313" s="65" t="str">
        <f aca="false">IF(OR($Y313="",$I313=""),"",$I313-AsOf)</f>
        <v/>
      </c>
      <c r="AA313" s="65" t="str">
        <f aca="false">IF($A313="","",AsOf-$H313)</f>
        <v/>
      </c>
      <c r="AB313" s="65" t="str">
        <f aca="false">IF($A313="","",IF($X313="Closed","Closed",IF($X313="Unmapped","Unmapped",IF($I313="","No target",IF($Z313&lt;0,"Overdue",IF($Z313&lt;=INDEX(StageWindow,$Y313),"At risk","On track"))))))</f>
        <v/>
      </c>
      <c r="AC313" s="65" t="str">
        <f aca="false">IF($Y313="","",IF($AA313&gt;2*INDEX(StageStale,$Y313),"Stale",IF($AA313&gt;INDEX(StageStale,$Y313),"Aging","Fresh")))</f>
        <v/>
      </c>
      <c r="AD313" s="65" t="str">
        <f aca="false">IF($A313="","",IF(OR(ISNUMBER(SEARCH("Reg report",$J313)),ISNUMBER(SEARCH("No human review",$J313)),COUNTIF(TierFuncs,$D313)&gt;0),"High",IF(OR(TRIM($J313)&lt;&gt;"",ISNUMBER(SEARCH("revenue",$K313))),"Medium","Low")))</f>
        <v/>
      </c>
      <c r="AE313" s="65" t="str">
        <f aca="false">IF($A313="","",INDEX(TierDays,MATCH($AD313,TierName,0)))</f>
        <v/>
      </c>
      <c r="AF313" s="65" t="str">
        <f aca="false">IF($A313="","",AsOf-$G313)</f>
        <v/>
      </c>
      <c r="AG313" s="65" t="str">
        <f aca="false">IF($Y313="","",IF($Y313&lt;=5,IF($AF313&gt;$AE313,"Over","Inside"),"Past approval"))</f>
        <v/>
      </c>
      <c r="AH313" s="65" t="str">
        <f aca="false">IF($Y313="","",CHOOSE($Y313,IF(OR(TRIM($F313)="",ISNUMBER(SEARCH("not named",$F313))),"Critical","Good"),IF($O313&lt;&gt;"Y","Critical",IF($Q313&lt;&gt;"Y","Warning","Good")),IF($P313="","Critical",IF($P313="partial","Warning",IF($P313="ready","Good","Critical"))),IF($R313&lt;&gt;"","Critical","Warning"),IF($L313="","Critical",IF($N313="","Warning","Good")),IF($R313&lt;&gt;"","Critical","Warning"),IF($R313&lt;&gt;"","Critical","Warning"),IF($Q313="Y","Good","Critical")))</f>
        <v/>
      </c>
      <c r="AI313" s="65" t="str">
        <f aca="false">IF($Y313="","",CHOOSE($Y313,IF(OR(TRIM($F313)="",ISNUMBER(SEARCH("not named",$F313))),"Name a sponsor accountable for the value",""),IF($O313&lt;&gt;"Y","State the success metric and the stop condition",IF($Q313&lt;&gt;"Y","Set the baseline the benefit will be measured against","")),IF($P313="","Assess data readiness and regulatory impact",IF($P313="partial","Close the known data gaps",IF($P313="ready","","Data is not available; reshape or park"))),IF($R313&lt;&gt;"",IF(OR(ISNUMBER(SEARCH("mrm",$R313)),ISNUMBER(SEARCH("model",$R313)),ISNUMBER(SEARCH("risk",$R313)),ISNUMBER(SEARCH("legal",$R313)),ISNUMBER(SEARCH("complian",$R313))),"Awaiting ","Held at the design gate: ")&amp;$R313,"Map the governance framework for its tier"),IF($L313="","Size the annual benefit",IF($N313="","Score it so it can be ranked against capacity","")),IF($R313&lt;&gt;"","Build held: "&amp;$R313,"In build, not yet through test"),IF($R313&lt;&gt;"","Not ready to scale: "&amp;$R313,"Monitoring and third-party review not yet signed off"),IF($Q313="Y","","Live without a measured baseline to judge it against")))</f>
        <v/>
      </c>
      <c r="AJ313" s="65" t="str">
        <f aca="false">IF($Y313="","",INDEX(StageForum,$Y313))</f>
        <v/>
      </c>
      <c r="AK313" s="65" t="str">
        <f aca="false">IF($Y313="","",IF(OR($X313="Delivery",$X313="Value"),"Committed",IF($N313&lt;&gt;"","Candidate","")))</f>
        <v/>
      </c>
      <c r="AL313" s="65" t="str">
        <f aca="false">IF($AK313&lt;&gt;"Candidate","",COUNTIFS($AK$2:$AK$501,"Candidate",$N$2:$N$501,"&gt;"&amp;$N313)+COUNTIFS($AK$2:$AK$501,"Candidate",$N$2:$N$501,$N313,$A$2:$A$501,"&lt;"&amp;$A313)+1)</f>
        <v/>
      </c>
      <c r="AM313" s="65" t="str">
        <f aca="false">IF($AL313="","",SUMIFS($M$2:$M$501,$AK$2:$AK$501,"Candidate",$AL$2:$AL$501,"&lt;="&amp;$AL313))</f>
        <v/>
      </c>
      <c r="AN313" s="65" t="str">
        <f aca="false">IF($AL313="","",IF($AM313&lt;=CapacityOpen,"Fits","Below line"))</f>
        <v/>
      </c>
      <c r="AO313" s="65" t="str">
        <f aca="false">IF($A313="","",IF($X313="Closed","",IF($X313="Unmapped","Warning",IF(OR($AB313="Overdue",$V313="Y",$AH313="Critical"),"Critical",IF(OR($AB313="At risk",$AC313="Stale",$AG313="Over"),"Warning","")))))</f>
        <v/>
      </c>
      <c r="AP313" s="65" t="str">
        <f aca="false">IF($AO313="","",IF($AO313="Critical",3000,2000)-IF($Z313="",0,$Z313)+ROW()/100000)</f>
        <v/>
      </c>
      <c r="AQ313" s="65" t="str">
        <f aca="false">IF($AO313="","",IF($X313="Unmapped","Status '"&amp;$C313&amp;"' is not in the Config map",IF($V313="Y","Flagged in Jira",IF($AB313="Overdue",-$Z313&amp;" days past its "&amp;$X313&amp;" target",IF($AH313="Critical",$AI313,IF($AB313="At risk","Target in "&amp;$Z313&amp;" days",IF($AC313="Stale","No update in "&amp;$AA313&amp;" days","Past its "&amp;$AE313&amp;"-day tier window")))))))</f>
        <v/>
      </c>
      <c r="AR313" s="65" t="str">
        <f aca="false">IF($AO313="","","draft Jira update for "&amp;$A313)</f>
        <v/>
      </c>
      <c r="AS313" s="65" t="str">
        <f aca="false">IF($A313="","",HYPERLINK(JiraSite&amp;"/browse/"&amp;$A313,"open"))</f>
        <v/>
      </c>
      <c r="AT313" s="65" t="str">
        <f aca="false">IF($Y313="","",$Y313*1000+ROW())</f>
        <v/>
      </c>
      <c r="AU313" s="65" t="str">
        <f aca="false">IF(AND($A313&lt;&gt;"",$G313&gt;=WeekStart),$G313+ROW()/100000,"")</f>
        <v/>
      </c>
      <c r="AV313" s="65" t="str">
        <f aca="false">IF($A313="","",IF(OR(AND($S313&lt;&gt;"",$S313&gt;=WeekStart),AND($U313&lt;&gt;"",$U313&gt;=WeekStart)),MAX($S313,$U313)+ROW()/100000,""))</f>
        <v/>
      </c>
      <c r="AW313" s="65" t="str">
        <f aca="false">IF($AV313="","",IF($T313&lt;&gt;"",$T313,IF($X313="Closed","Closed","Accepted to "&amp;$X313)))</f>
        <v/>
      </c>
      <c r="AX313" s="65" t="str">
        <f aca="false">IF(AND($Y313&lt;&gt;"",$R313&lt;&gt;""),$AF313+ROW()/100000,"")</f>
        <v/>
      </c>
      <c r="AY313" s="65" t="str">
        <f aca="false">IF(AND($Y313&lt;&gt;"",OR($AB313="Overdue",AND($AH313="Critical",$R313&lt;&gt;""))),$AF313+ROW()/100000,"")</f>
        <v/>
      </c>
      <c r="AZ313" s="65" t="str">
        <f aca="false">IF($AH313="Critical",$AF313+ROW()/100000,"")</f>
        <v/>
      </c>
    </row>
    <row r="314" customFormat="false" ht="15" hidden="false" customHeight="false" outlineLevel="0" collapsed="false">
      <c r="A314" s="28"/>
      <c r="B314" s="28"/>
      <c r="C314" s="28"/>
      <c r="D314" s="28"/>
      <c r="E314" s="28"/>
      <c r="F314" s="28"/>
      <c r="G314" s="63"/>
      <c r="H314" s="63"/>
      <c r="I314" s="63"/>
      <c r="J314" s="28"/>
      <c r="K314" s="28"/>
      <c r="L314" s="28"/>
      <c r="M314" s="28"/>
      <c r="N314" s="28"/>
      <c r="O314" s="64"/>
      <c r="P314" s="64"/>
      <c r="Q314" s="64"/>
      <c r="R314" s="28"/>
      <c r="S314" s="63"/>
      <c r="T314" s="64"/>
      <c r="U314" s="63"/>
      <c r="V314" s="64"/>
      <c r="W314" s="28"/>
      <c r="X314" s="65" t="str">
        <f aca="false">IF($A314="","",IF(OR($T314&lt;&gt;"",$U314&lt;&gt;""),"Closed",IFERROR(INDEX(MapStage,MATCH($C314,MapStatus,0)),"Unmapped")))</f>
        <v/>
      </c>
      <c r="Y314" s="65" t="str">
        <f aca="false">IF(OR($X314="",$X314="Closed",$X314="Unmapped"),"",MATCH($X314,StageName,0))</f>
        <v/>
      </c>
      <c r="Z314" s="65" t="str">
        <f aca="false">IF(OR($Y314="",$I314=""),"",$I314-AsOf)</f>
        <v/>
      </c>
      <c r="AA314" s="65" t="str">
        <f aca="false">IF($A314="","",AsOf-$H314)</f>
        <v/>
      </c>
      <c r="AB314" s="65" t="str">
        <f aca="false">IF($A314="","",IF($X314="Closed","Closed",IF($X314="Unmapped","Unmapped",IF($I314="","No target",IF($Z314&lt;0,"Overdue",IF($Z314&lt;=INDEX(StageWindow,$Y314),"At risk","On track"))))))</f>
        <v/>
      </c>
      <c r="AC314" s="65" t="str">
        <f aca="false">IF($Y314="","",IF($AA314&gt;2*INDEX(StageStale,$Y314),"Stale",IF($AA314&gt;INDEX(StageStale,$Y314),"Aging","Fresh")))</f>
        <v/>
      </c>
      <c r="AD314" s="65" t="str">
        <f aca="false">IF($A314="","",IF(OR(ISNUMBER(SEARCH("Reg report",$J314)),ISNUMBER(SEARCH("No human review",$J314)),COUNTIF(TierFuncs,$D314)&gt;0),"High",IF(OR(TRIM($J314)&lt;&gt;"",ISNUMBER(SEARCH("revenue",$K314))),"Medium","Low")))</f>
        <v/>
      </c>
      <c r="AE314" s="65" t="str">
        <f aca="false">IF($A314="","",INDEX(TierDays,MATCH($AD314,TierName,0)))</f>
        <v/>
      </c>
      <c r="AF314" s="65" t="str">
        <f aca="false">IF($A314="","",AsOf-$G314)</f>
        <v/>
      </c>
      <c r="AG314" s="65" t="str">
        <f aca="false">IF($Y314="","",IF($Y314&lt;=5,IF($AF314&gt;$AE314,"Over","Inside"),"Past approval"))</f>
        <v/>
      </c>
      <c r="AH314" s="65" t="str">
        <f aca="false">IF($Y314="","",CHOOSE($Y314,IF(OR(TRIM($F314)="",ISNUMBER(SEARCH("not named",$F314))),"Critical","Good"),IF($O314&lt;&gt;"Y","Critical",IF($Q314&lt;&gt;"Y","Warning","Good")),IF($P314="","Critical",IF($P314="partial","Warning",IF($P314="ready","Good","Critical"))),IF($R314&lt;&gt;"","Critical","Warning"),IF($L314="","Critical",IF($N314="","Warning","Good")),IF($R314&lt;&gt;"","Critical","Warning"),IF($R314&lt;&gt;"","Critical","Warning"),IF($Q314="Y","Good","Critical")))</f>
        <v/>
      </c>
      <c r="AI314" s="65" t="str">
        <f aca="false">IF($Y314="","",CHOOSE($Y314,IF(OR(TRIM($F314)="",ISNUMBER(SEARCH("not named",$F314))),"Name a sponsor accountable for the value",""),IF($O314&lt;&gt;"Y","State the success metric and the stop condition",IF($Q314&lt;&gt;"Y","Set the baseline the benefit will be measured against","")),IF($P314="","Assess data readiness and regulatory impact",IF($P314="partial","Close the known data gaps",IF($P314="ready","","Data is not available; reshape or park"))),IF($R314&lt;&gt;"",IF(OR(ISNUMBER(SEARCH("mrm",$R314)),ISNUMBER(SEARCH("model",$R314)),ISNUMBER(SEARCH("risk",$R314)),ISNUMBER(SEARCH("legal",$R314)),ISNUMBER(SEARCH("complian",$R314))),"Awaiting ","Held at the design gate: ")&amp;$R314,"Map the governance framework for its tier"),IF($L314="","Size the annual benefit",IF($N314="","Score it so it can be ranked against capacity","")),IF($R314&lt;&gt;"","Build held: "&amp;$R314,"In build, not yet through test"),IF($R314&lt;&gt;"","Not ready to scale: "&amp;$R314,"Monitoring and third-party review not yet signed off"),IF($Q314="Y","","Live without a measured baseline to judge it against")))</f>
        <v/>
      </c>
      <c r="AJ314" s="65" t="str">
        <f aca="false">IF($Y314="","",INDEX(StageForum,$Y314))</f>
        <v/>
      </c>
      <c r="AK314" s="65" t="str">
        <f aca="false">IF($Y314="","",IF(OR($X314="Delivery",$X314="Value"),"Committed",IF($N314&lt;&gt;"","Candidate","")))</f>
        <v/>
      </c>
      <c r="AL314" s="65" t="str">
        <f aca="false">IF($AK314&lt;&gt;"Candidate","",COUNTIFS($AK$2:$AK$501,"Candidate",$N$2:$N$501,"&gt;"&amp;$N314)+COUNTIFS($AK$2:$AK$501,"Candidate",$N$2:$N$501,$N314,$A$2:$A$501,"&lt;"&amp;$A314)+1)</f>
        <v/>
      </c>
      <c r="AM314" s="65" t="str">
        <f aca="false">IF($AL314="","",SUMIFS($M$2:$M$501,$AK$2:$AK$501,"Candidate",$AL$2:$AL$501,"&lt;="&amp;$AL314))</f>
        <v/>
      </c>
      <c r="AN314" s="65" t="str">
        <f aca="false">IF($AL314="","",IF($AM314&lt;=CapacityOpen,"Fits","Below line"))</f>
        <v/>
      </c>
      <c r="AO314" s="65" t="str">
        <f aca="false">IF($A314="","",IF($X314="Closed","",IF($X314="Unmapped","Warning",IF(OR($AB314="Overdue",$V314="Y",$AH314="Critical"),"Critical",IF(OR($AB314="At risk",$AC314="Stale",$AG314="Over"),"Warning","")))))</f>
        <v/>
      </c>
      <c r="AP314" s="65" t="str">
        <f aca="false">IF($AO314="","",IF($AO314="Critical",3000,2000)-IF($Z314="",0,$Z314)+ROW()/100000)</f>
        <v/>
      </c>
      <c r="AQ314" s="65" t="str">
        <f aca="false">IF($AO314="","",IF($X314="Unmapped","Status '"&amp;$C314&amp;"' is not in the Config map",IF($V314="Y","Flagged in Jira",IF($AB314="Overdue",-$Z314&amp;" days past its "&amp;$X314&amp;" target",IF($AH314="Critical",$AI314,IF($AB314="At risk","Target in "&amp;$Z314&amp;" days",IF($AC314="Stale","No update in "&amp;$AA314&amp;" days","Past its "&amp;$AE314&amp;"-day tier window")))))))</f>
        <v/>
      </c>
      <c r="AR314" s="65" t="str">
        <f aca="false">IF($AO314="","","draft Jira update for "&amp;$A314)</f>
        <v/>
      </c>
      <c r="AS314" s="65" t="str">
        <f aca="false">IF($A314="","",HYPERLINK(JiraSite&amp;"/browse/"&amp;$A314,"open"))</f>
        <v/>
      </c>
      <c r="AT314" s="65" t="str">
        <f aca="false">IF($Y314="","",$Y314*1000+ROW())</f>
        <v/>
      </c>
      <c r="AU314" s="65" t="str">
        <f aca="false">IF(AND($A314&lt;&gt;"",$G314&gt;=WeekStart),$G314+ROW()/100000,"")</f>
        <v/>
      </c>
      <c r="AV314" s="65" t="str">
        <f aca="false">IF($A314="","",IF(OR(AND($S314&lt;&gt;"",$S314&gt;=WeekStart),AND($U314&lt;&gt;"",$U314&gt;=WeekStart)),MAX($S314,$U314)+ROW()/100000,""))</f>
        <v/>
      </c>
      <c r="AW314" s="65" t="str">
        <f aca="false">IF($AV314="","",IF($T314&lt;&gt;"",$T314,IF($X314="Closed","Closed","Accepted to "&amp;$X314)))</f>
        <v/>
      </c>
      <c r="AX314" s="65" t="str">
        <f aca="false">IF(AND($Y314&lt;&gt;"",$R314&lt;&gt;""),$AF314+ROW()/100000,"")</f>
        <v/>
      </c>
      <c r="AY314" s="65" t="str">
        <f aca="false">IF(AND($Y314&lt;&gt;"",OR($AB314="Overdue",AND($AH314="Critical",$R314&lt;&gt;""))),$AF314+ROW()/100000,"")</f>
        <v/>
      </c>
      <c r="AZ314" s="65" t="str">
        <f aca="false">IF($AH314="Critical",$AF314+ROW()/100000,"")</f>
        <v/>
      </c>
    </row>
    <row r="315" customFormat="false" ht="15" hidden="false" customHeight="false" outlineLevel="0" collapsed="false">
      <c r="A315" s="28"/>
      <c r="B315" s="28"/>
      <c r="C315" s="28"/>
      <c r="D315" s="28"/>
      <c r="E315" s="28"/>
      <c r="F315" s="28"/>
      <c r="G315" s="63"/>
      <c r="H315" s="63"/>
      <c r="I315" s="63"/>
      <c r="J315" s="28"/>
      <c r="K315" s="28"/>
      <c r="L315" s="28"/>
      <c r="M315" s="28"/>
      <c r="N315" s="28"/>
      <c r="O315" s="64"/>
      <c r="P315" s="64"/>
      <c r="Q315" s="64"/>
      <c r="R315" s="28"/>
      <c r="S315" s="63"/>
      <c r="T315" s="64"/>
      <c r="U315" s="63"/>
      <c r="V315" s="64"/>
      <c r="W315" s="28"/>
      <c r="X315" s="65" t="str">
        <f aca="false">IF($A315="","",IF(OR($T315&lt;&gt;"",$U315&lt;&gt;""),"Closed",IFERROR(INDEX(MapStage,MATCH($C315,MapStatus,0)),"Unmapped")))</f>
        <v/>
      </c>
      <c r="Y315" s="65" t="str">
        <f aca="false">IF(OR($X315="",$X315="Closed",$X315="Unmapped"),"",MATCH($X315,StageName,0))</f>
        <v/>
      </c>
      <c r="Z315" s="65" t="str">
        <f aca="false">IF(OR($Y315="",$I315=""),"",$I315-AsOf)</f>
        <v/>
      </c>
      <c r="AA315" s="65" t="str">
        <f aca="false">IF($A315="","",AsOf-$H315)</f>
        <v/>
      </c>
      <c r="AB315" s="65" t="str">
        <f aca="false">IF($A315="","",IF($X315="Closed","Closed",IF($X315="Unmapped","Unmapped",IF($I315="","No target",IF($Z315&lt;0,"Overdue",IF($Z315&lt;=INDEX(StageWindow,$Y315),"At risk","On track"))))))</f>
        <v/>
      </c>
      <c r="AC315" s="65" t="str">
        <f aca="false">IF($Y315="","",IF($AA315&gt;2*INDEX(StageStale,$Y315),"Stale",IF($AA315&gt;INDEX(StageStale,$Y315),"Aging","Fresh")))</f>
        <v/>
      </c>
      <c r="AD315" s="65" t="str">
        <f aca="false">IF($A315="","",IF(OR(ISNUMBER(SEARCH("Reg report",$J315)),ISNUMBER(SEARCH("No human review",$J315)),COUNTIF(TierFuncs,$D315)&gt;0),"High",IF(OR(TRIM($J315)&lt;&gt;"",ISNUMBER(SEARCH("revenue",$K315))),"Medium","Low")))</f>
        <v/>
      </c>
      <c r="AE315" s="65" t="str">
        <f aca="false">IF($A315="","",INDEX(TierDays,MATCH($AD315,TierName,0)))</f>
        <v/>
      </c>
      <c r="AF315" s="65" t="str">
        <f aca="false">IF($A315="","",AsOf-$G315)</f>
        <v/>
      </c>
      <c r="AG315" s="65" t="str">
        <f aca="false">IF($Y315="","",IF($Y315&lt;=5,IF($AF315&gt;$AE315,"Over","Inside"),"Past approval"))</f>
        <v/>
      </c>
      <c r="AH315" s="65" t="str">
        <f aca="false">IF($Y315="","",CHOOSE($Y315,IF(OR(TRIM($F315)="",ISNUMBER(SEARCH("not named",$F315))),"Critical","Good"),IF($O315&lt;&gt;"Y","Critical",IF($Q315&lt;&gt;"Y","Warning","Good")),IF($P315="","Critical",IF($P315="partial","Warning",IF($P315="ready","Good","Critical"))),IF($R315&lt;&gt;"","Critical","Warning"),IF($L315="","Critical",IF($N315="","Warning","Good")),IF($R315&lt;&gt;"","Critical","Warning"),IF($R315&lt;&gt;"","Critical","Warning"),IF($Q315="Y","Good","Critical")))</f>
        <v/>
      </c>
      <c r="AI315" s="65" t="str">
        <f aca="false">IF($Y315="","",CHOOSE($Y315,IF(OR(TRIM($F315)="",ISNUMBER(SEARCH("not named",$F315))),"Name a sponsor accountable for the value",""),IF($O315&lt;&gt;"Y","State the success metric and the stop condition",IF($Q315&lt;&gt;"Y","Set the baseline the benefit will be measured against","")),IF($P315="","Assess data readiness and regulatory impact",IF($P315="partial","Close the known data gaps",IF($P315="ready","","Data is not available; reshape or park"))),IF($R315&lt;&gt;"",IF(OR(ISNUMBER(SEARCH("mrm",$R315)),ISNUMBER(SEARCH("model",$R315)),ISNUMBER(SEARCH("risk",$R315)),ISNUMBER(SEARCH("legal",$R315)),ISNUMBER(SEARCH("complian",$R315))),"Awaiting ","Held at the design gate: ")&amp;$R315,"Map the governance framework for its tier"),IF($L315="","Size the annual benefit",IF($N315="","Score it so it can be ranked against capacity","")),IF($R315&lt;&gt;"","Build held: "&amp;$R315,"In build, not yet through test"),IF($R315&lt;&gt;"","Not ready to scale: "&amp;$R315,"Monitoring and third-party review not yet signed off"),IF($Q315="Y","","Live without a measured baseline to judge it against")))</f>
        <v/>
      </c>
      <c r="AJ315" s="65" t="str">
        <f aca="false">IF($Y315="","",INDEX(StageForum,$Y315))</f>
        <v/>
      </c>
      <c r="AK315" s="65" t="str">
        <f aca="false">IF($Y315="","",IF(OR($X315="Delivery",$X315="Value"),"Committed",IF($N315&lt;&gt;"","Candidate","")))</f>
        <v/>
      </c>
      <c r="AL315" s="65" t="str">
        <f aca="false">IF($AK315&lt;&gt;"Candidate","",COUNTIFS($AK$2:$AK$501,"Candidate",$N$2:$N$501,"&gt;"&amp;$N315)+COUNTIFS($AK$2:$AK$501,"Candidate",$N$2:$N$501,$N315,$A$2:$A$501,"&lt;"&amp;$A315)+1)</f>
        <v/>
      </c>
      <c r="AM315" s="65" t="str">
        <f aca="false">IF($AL315="","",SUMIFS($M$2:$M$501,$AK$2:$AK$501,"Candidate",$AL$2:$AL$501,"&lt;="&amp;$AL315))</f>
        <v/>
      </c>
      <c r="AN315" s="65" t="str">
        <f aca="false">IF($AL315="","",IF($AM315&lt;=CapacityOpen,"Fits","Below line"))</f>
        <v/>
      </c>
      <c r="AO315" s="65" t="str">
        <f aca="false">IF($A315="","",IF($X315="Closed","",IF($X315="Unmapped","Warning",IF(OR($AB315="Overdue",$V315="Y",$AH315="Critical"),"Critical",IF(OR($AB315="At risk",$AC315="Stale",$AG315="Over"),"Warning","")))))</f>
        <v/>
      </c>
      <c r="AP315" s="65" t="str">
        <f aca="false">IF($AO315="","",IF($AO315="Critical",3000,2000)-IF($Z315="",0,$Z315)+ROW()/100000)</f>
        <v/>
      </c>
      <c r="AQ315" s="65" t="str">
        <f aca="false">IF($AO315="","",IF($X315="Unmapped","Status '"&amp;$C315&amp;"' is not in the Config map",IF($V315="Y","Flagged in Jira",IF($AB315="Overdue",-$Z315&amp;" days past its "&amp;$X315&amp;" target",IF($AH315="Critical",$AI315,IF($AB315="At risk","Target in "&amp;$Z315&amp;" days",IF($AC315="Stale","No update in "&amp;$AA315&amp;" days","Past its "&amp;$AE315&amp;"-day tier window")))))))</f>
        <v/>
      </c>
      <c r="AR315" s="65" t="str">
        <f aca="false">IF($AO315="","","draft Jira update for "&amp;$A315)</f>
        <v/>
      </c>
      <c r="AS315" s="65" t="str">
        <f aca="false">IF($A315="","",HYPERLINK(JiraSite&amp;"/browse/"&amp;$A315,"open"))</f>
        <v/>
      </c>
      <c r="AT315" s="65" t="str">
        <f aca="false">IF($Y315="","",$Y315*1000+ROW())</f>
        <v/>
      </c>
      <c r="AU315" s="65" t="str">
        <f aca="false">IF(AND($A315&lt;&gt;"",$G315&gt;=WeekStart),$G315+ROW()/100000,"")</f>
        <v/>
      </c>
      <c r="AV315" s="65" t="str">
        <f aca="false">IF($A315="","",IF(OR(AND($S315&lt;&gt;"",$S315&gt;=WeekStart),AND($U315&lt;&gt;"",$U315&gt;=WeekStart)),MAX($S315,$U315)+ROW()/100000,""))</f>
        <v/>
      </c>
      <c r="AW315" s="65" t="str">
        <f aca="false">IF($AV315="","",IF($T315&lt;&gt;"",$T315,IF($X315="Closed","Closed","Accepted to "&amp;$X315)))</f>
        <v/>
      </c>
      <c r="AX315" s="65" t="str">
        <f aca="false">IF(AND($Y315&lt;&gt;"",$R315&lt;&gt;""),$AF315+ROW()/100000,"")</f>
        <v/>
      </c>
      <c r="AY315" s="65" t="str">
        <f aca="false">IF(AND($Y315&lt;&gt;"",OR($AB315="Overdue",AND($AH315="Critical",$R315&lt;&gt;""))),$AF315+ROW()/100000,"")</f>
        <v/>
      </c>
      <c r="AZ315" s="65" t="str">
        <f aca="false">IF($AH315="Critical",$AF315+ROW()/100000,"")</f>
        <v/>
      </c>
    </row>
    <row r="316" customFormat="false" ht="15" hidden="false" customHeight="false" outlineLevel="0" collapsed="false">
      <c r="A316" s="28"/>
      <c r="B316" s="28"/>
      <c r="C316" s="28"/>
      <c r="D316" s="28"/>
      <c r="E316" s="28"/>
      <c r="F316" s="28"/>
      <c r="G316" s="63"/>
      <c r="H316" s="63"/>
      <c r="I316" s="63"/>
      <c r="J316" s="28"/>
      <c r="K316" s="28"/>
      <c r="L316" s="28"/>
      <c r="M316" s="28"/>
      <c r="N316" s="28"/>
      <c r="O316" s="64"/>
      <c r="P316" s="64"/>
      <c r="Q316" s="64"/>
      <c r="R316" s="28"/>
      <c r="S316" s="63"/>
      <c r="T316" s="64"/>
      <c r="U316" s="63"/>
      <c r="V316" s="64"/>
      <c r="W316" s="28"/>
      <c r="X316" s="65" t="str">
        <f aca="false">IF($A316="","",IF(OR($T316&lt;&gt;"",$U316&lt;&gt;""),"Closed",IFERROR(INDEX(MapStage,MATCH($C316,MapStatus,0)),"Unmapped")))</f>
        <v/>
      </c>
      <c r="Y316" s="65" t="str">
        <f aca="false">IF(OR($X316="",$X316="Closed",$X316="Unmapped"),"",MATCH($X316,StageName,0))</f>
        <v/>
      </c>
      <c r="Z316" s="65" t="str">
        <f aca="false">IF(OR($Y316="",$I316=""),"",$I316-AsOf)</f>
        <v/>
      </c>
      <c r="AA316" s="65" t="str">
        <f aca="false">IF($A316="","",AsOf-$H316)</f>
        <v/>
      </c>
      <c r="AB316" s="65" t="str">
        <f aca="false">IF($A316="","",IF($X316="Closed","Closed",IF($X316="Unmapped","Unmapped",IF($I316="","No target",IF($Z316&lt;0,"Overdue",IF($Z316&lt;=INDEX(StageWindow,$Y316),"At risk","On track"))))))</f>
        <v/>
      </c>
      <c r="AC316" s="65" t="str">
        <f aca="false">IF($Y316="","",IF($AA316&gt;2*INDEX(StageStale,$Y316),"Stale",IF($AA316&gt;INDEX(StageStale,$Y316),"Aging","Fresh")))</f>
        <v/>
      </c>
      <c r="AD316" s="65" t="str">
        <f aca="false">IF($A316="","",IF(OR(ISNUMBER(SEARCH("Reg report",$J316)),ISNUMBER(SEARCH("No human review",$J316)),COUNTIF(TierFuncs,$D316)&gt;0),"High",IF(OR(TRIM($J316)&lt;&gt;"",ISNUMBER(SEARCH("revenue",$K316))),"Medium","Low")))</f>
        <v/>
      </c>
      <c r="AE316" s="65" t="str">
        <f aca="false">IF($A316="","",INDEX(TierDays,MATCH($AD316,TierName,0)))</f>
        <v/>
      </c>
      <c r="AF316" s="65" t="str">
        <f aca="false">IF($A316="","",AsOf-$G316)</f>
        <v/>
      </c>
      <c r="AG316" s="65" t="str">
        <f aca="false">IF($Y316="","",IF($Y316&lt;=5,IF($AF316&gt;$AE316,"Over","Inside"),"Past approval"))</f>
        <v/>
      </c>
      <c r="AH316" s="65" t="str">
        <f aca="false">IF($Y316="","",CHOOSE($Y316,IF(OR(TRIM($F316)="",ISNUMBER(SEARCH("not named",$F316))),"Critical","Good"),IF($O316&lt;&gt;"Y","Critical",IF($Q316&lt;&gt;"Y","Warning","Good")),IF($P316="","Critical",IF($P316="partial","Warning",IF($P316="ready","Good","Critical"))),IF($R316&lt;&gt;"","Critical","Warning"),IF($L316="","Critical",IF($N316="","Warning","Good")),IF($R316&lt;&gt;"","Critical","Warning"),IF($R316&lt;&gt;"","Critical","Warning"),IF($Q316="Y","Good","Critical")))</f>
        <v/>
      </c>
      <c r="AI316" s="65" t="str">
        <f aca="false">IF($Y316="","",CHOOSE($Y316,IF(OR(TRIM($F316)="",ISNUMBER(SEARCH("not named",$F316))),"Name a sponsor accountable for the value",""),IF($O316&lt;&gt;"Y","State the success metric and the stop condition",IF($Q316&lt;&gt;"Y","Set the baseline the benefit will be measured against","")),IF($P316="","Assess data readiness and regulatory impact",IF($P316="partial","Close the known data gaps",IF($P316="ready","","Data is not available; reshape or park"))),IF($R316&lt;&gt;"",IF(OR(ISNUMBER(SEARCH("mrm",$R316)),ISNUMBER(SEARCH("model",$R316)),ISNUMBER(SEARCH("risk",$R316)),ISNUMBER(SEARCH("legal",$R316)),ISNUMBER(SEARCH("complian",$R316))),"Awaiting ","Held at the design gate: ")&amp;$R316,"Map the governance framework for its tier"),IF($L316="","Size the annual benefit",IF($N316="","Score it so it can be ranked against capacity","")),IF($R316&lt;&gt;"","Build held: "&amp;$R316,"In build, not yet through test"),IF($R316&lt;&gt;"","Not ready to scale: "&amp;$R316,"Monitoring and third-party review not yet signed off"),IF($Q316="Y","","Live without a measured baseline to judge it against")))</f>
        <v/>
      </c>
      <c r="AJ316" s="65" t="str">
        <f aca="false">IF($Y316="","",INDEX(StageForum,$Y316))</f>
        <v/>
      </c>
      <c r="AK316" s="65" t="str">
        <f aca="false">IF($Y316="","",IF(OR($X316="Delivery",$X316="Value"),"Committed",IF($N316&lt;&gt;"","Candidate","")))</f>
        <v/>
      </c>
      <c r="AL316" s="65" t="str">
        <f aca="false">IF($AK316&lt;&gt;"Candidate","",COUNTIFS($AK$2:$AK$501,"Candidate",$N$2:$N$501,"&gt;"&amp;$N316)+COUNTIFS($AK$2:$AK$501,"Candidate",$N$2:$N$501,$N316,$A$2:$A$501,"&lt;"&amp;$A316)+1)</f>
        <v/>
      </c>
      <c r="AM316" s="65" t="str">
        <f aca="false">IF($AL316="","",SUMIFS($M$2:$M$501,$AK$2:$AK$501,"Candidate",$AL$2:$AL$501,"&lt;="&amp;$AL316))</f>
        <v/>
      </c>
      <c r="AN316" s="65" t="str">
        <f aca="false">IF($AL316="","",IF($AM316&lt;=CapacityOpen,"Fits","Below line"))</f>
        <v/>
      </c>
      <c r="AO316" s="65" t="str">
        <f aca="false">IF($A316="","",IF($X316="Closed","",IF($X316="Unmapped","Warning",IF(OR($AB316="Overdue",$V316="Y",$AH316="Critical"),"Critical",IF(OR($AB316="At risk",$AC316="Stale",$AG316="Over"),"Warning","")))))</f>
        <v/>
      </c>
      <c r="AP316" s="65" t="str">
        <f aca="false">IF($AO316="","",IF($AO316="Critical",3000,2000)-IF($Z316="",0,$Z316)+ROW()/100000)</f>
        <v/>
      </c>
      <c r="AQ316" s="65" t="str">
        <f aca="false">IF($AO316="","",IF($X316="Unmapped","Status '"&amp;$C316&amp;"' is not in the Config map",IF($V316="Y","Flagged in Jira",IF($AB316="Overdue",-$Z316&amp;" days past its "&amp;$X316&amp;" target",IF($AH316="Critical",$AI316,IF($AB316="At risk","Target in "&amp;$Z316&amp;" days",IF($AC316="Stale","No update in "&amp;$AA316&amp;" days","Past its "&amp;$AE316&amp;"-day tier window")))))))</f>
        <v/>
      </c>
      <c r="AR316" s="65" t="str">
        <f aca="false">IF($AO316="","","draft Jira update for "&amp;$A316)</f>
        <v/>
      </c>
      <c r="AS316" s="65" t="str">
        <f aca="false">IF($A316="","",HYPERLINK(JiraSite&amp;"/browse/"&amp;$A316,"open"))</f>
        <v/>
      </c>
      <c r="AT316" s="65" t="str">
        <f aca="false">IF($Y316="","",$Y316*1000+ROW())</f>
        <v/>
      </c>
      <c r="AU316" s="65" t="str">
        <f aca="false">IF(AND($A316&lt;&gt;"",$G316&gt;=WeekStart),$G316+ROW()/100000,"")</f>
        <v/>
      </c>
      <c r="AV316" s="65" t="str">
        <f aca="false">IF($A316="","",IF(OR(AND($S316&lt;&gt;"",$S316&gt;=WeekStart),AND($U316&lt;&gt;"",$U316&gt;=WeekStart)),MAX($S316,$U316)+ROW()/100000,""))</f>
        <v/>
      </c>
      <c r="AW316" s="65" t="str">
        <f aca="false">IF($AV316="","",IF($T316&lt;&gt;"",$T316,IF($X316="Closed","Closed","Accepted to "&amp;$X316)))</f>
        <v/>
      </c>
      <c r="AX316" s="65" t="str">
        <f aca="false">IF(AND($Y316&lt;&gt;"",$R316&lt;&gt;""),$AF316+ROW()/100000,"")</f>
        <v/>
      </c>
      <c r="AY316" s="65" t="str">
        <f aca="false">IF(AND($Y316&lt;&gt;"",OR($AB316="Overdue",AND($AH316="Critical",$R316&lt;&gt;""))),$AF316+ROW()/100000,"")</f>
        <v/>
      </c>
      <c r="AZ316" s="65" t="str">
        <f aca="false">IF($AH316="Critical",$AF316+ROW()/100000,"")</f>
        <v/>
      </c>
    </row>
    <row r="317" customFormat="false" ht="15" hidden="false" customHeight="false" outlineLevel="0" collapsed="false">
      <c r="A317" s="28"/>
      <c r="B317" s="28"/>
      <c r="C317" s="28"/>
      <c r="D317" s="28"/>
      <c r="E317" s="28"/>
      <c r="F317" s="28"/>
      <c r="G317" s="63"/>
      <c r="H317" s="63"/>
      <c r="I317" s="63"/>
      <c r="J317" s="28"/>
      <c r="K317" s="28"/>
      <c r="L317" s="28"/>
      <c r="M317" s="28"/>
      <c r="N317" s="28"/>
      <c r="O317" s="64"/>
      <c r="P317" s="64"/>
      <c r="Q317" s="64"/>
      <c r="R317" s="28"/>
      <c r="S317" s="63"/>
      <c r="T317" s="64"/>
      <c r="U317" s="63"/>
      <c r="V317" s="64"/>
      <c r="W317" s="28"/>
      <c r="X317" s="65" t="str">
        <f aca="false">IF($A317="","",IF(OR($T317&lt;&gt;"",$U317&lt;&gt;""),"Closed",IFERROR(INDEX(MapStage,MATCH($C317,MapStatus,0)),"Unmapped")))</f>
        <v/>
      </c>
      <c r="Y317" s="65" t="str">
        <f aca="false">IF(OR($X317="",$X317="Closed",$X317="Unmapped"),"",MATCH($X317,StageName,0))</f>
        <v/>
      </c>
      <c r="Z317" s="65" t="str">
        <f aca="false">IF(OR($Y317="",$I317=""),"",$I317-AsOf)</f>
        <v/>
      </c>
      <c r="AA317" s="65" t="str">
        <f aca="false">IF($A317="","",AsOf-$H317)</f>
        <v/>
      </c>
      <c r="AB317" s="65" t="str">
        <f aca="false">IF($A317="","",IF($X317="Closed","Closed",IF($X317="Unmapped","Unmapped",IF($I317="","No target",IF($Z317&lt;0,"Overdue",IF($Z317&lt;=INDEX(StageWindow,$Y317),"At risk","On track"))))))</f>
        <v/>
      </c>
      <c r="AC317" s="65" t="str">
        <f aca="false">IF($Y317="","",IF($AA317&gt;2*INDEX(StageStale,$Y317),"Stale",IF($AA317&gt;INDEX(StageStale,$Y317),"Aging","Fresh")))</f>
        <v/>
      </c>
      <c r="AD317" s="65" t="str">
        <f aca="false">IF($A317="","",IF(OR(ISNUMBER(SEARCH("Reg report",$J317)),ISNUMBER(SEARCH("No human review",$J317)),COUNTIF(TierFuncs,$D317)&gt;0),"High",IF(OR(TRIM($J317)&lt;&gt;"",ISNUMBER(SEARCH("revenue",$K317))),"Medium","Low")))</f>
        <v/>
      </c>
      <c r="AE317" s="65" t="str">
        <f aca="false">IF($A317="","",INDEX(TierDays,MATCH($AD317,TierName,0)))</f>
        <v/>
      </c>
      <c r="AF317" s="65" t="str">
        <f aca="false">IF($A317="","",AsOf-$G317)</f>
        <v/>
      </c>
      <c r="AG317" s="65" t="str">
        <f aca="false">IF($Y317="","",IF($Y317&lt;=5,IF($AF317&gt;$AE317,"Over","Inside"),"Past approval"))</f>
        <v/>
      </c>
      <c r="AH317" s="65" t="str">
        <f aca="false">IF($Y317="","",CHOOSE($Y317,IF(OR(TRIM($F317)="",ISNUMBER(SEARCH("not named",$F317))),"Critical","Good"),IF($O317&lt;&gt;"Y","Critical",IF($Q317&lt;&gt;"Y","Warning","Good")),IF($P317="","Critical",IF($P317="partial","Warning",IF($P317="ready","Good","Critical"))),IF($R317&lt;&gt;"","Critical","Warning"),IF($L317="","Critical",IF($N317="","Warning","Good")),IF($R317&lt;&gt;"","Critical","Warning"),IF($R317&lt;&gt;"","Critical","Warning"),IF($Q317="Y","Good","Critical")))</f>
        <v/>
      </c>
      <c r="AI317" s="65" t="str">
        <f aca="false">IF($Y317="","",CHOOSE($Y317,IF(OR(TRIM($F317)="",ISNUMBER(SEARCH("not named",$F317))),"Name a sponsor accountable for the value",""),IF($O317&lt;&gt;"Y","State the success metric and the stop condition",IF($Q317&lt;&gt;"Y","Set the baseline the benefit will be measured against","")),IF($P317="","Assess data readiness and regulatory impact",IF($P317="partial","Close the known data gaps",IF($P317="ready","","Data is not available; reshape or park"))),IF($R317&lt;&gt;"",IF(OR(ISNUMBER(SEARCH("mrm",$R317)),ISNUMBER(SEARCH("model",$R317)),ISNUMBER(SEARCH("risk",$R317)),ISNUMBER(SEARCH("legal",$R317)),ISNUMBER(SEARCH("complian",$R317))),"Awaiting ","Held at the design gate: ")&amp;$R317,"Map the governance framework for its tier"),IF($L317="","Size the annual benefit",IF($N317="","Score it so it can be ranked against capacity","")),IF($R317&lt;&gt;"","Build held: "&amp;$R317,"In build, not yet through test"),IF($R317&lt;&gt;"","Not ready to scale: "&amp;$R317,"Monitoring and third-party review not yet signed off"),IF($Q317="Y","","Live without a measured baseline to judge it against")))</f>
        <v/>
      </c>
      <c r="AJ317" s="65" t="str">
        <f aca="false">IF($Y317="","",INDEX(StageForum,$Y317))</f>
        <v/>
      </c>
      <c r="AK317" s="65" t="str">
        <f aca="false">IF($Y317="","",IF(OR($X317="Delivery",$X317="Value"),"Committed",IF($N317&lt;&gt;"","Candidate","")))</f>
        <v/>
      </c>
      <c r="AL317" s="65" t="str">
        <f aca="false">IF($AK317&lt;&gt;"Candidate","",COUNTIFS($AK$2:$AK$501,"Candidate",$N$2:$N$501,"&gt;"&amp;$N317)+COUNTIFS($AK$2:$AK$501,"Candidate",$N$2:$N$501,$N317,$A$2:$A$501,"&lt;"&amp;$A317)+1)</f>
        <v/>
      </c>
      <c r="AM317" s="65" t="str">
        <f aca="false">IF($AL317="","",SUMIFS($M$2:$M$501,$AK$2:$AK$501,"Candidate",$AL$2:$AL$501,"&lt;="&amp;$AL317))</f>
        <v/>
      </c>
      <c r="AN317" s="65" t="str">
        <f aca="false">IF($AL317="","",IF($AM317&lt;=CapacityOpen,"Fits","Below line"))</f>
        <v/>
      </c>
      <c r="AO317" s="65" t="str">
        <f aca="false">IF($A317="","",IF($X317="Closed","",IF($X317="Unmapped","Warning",IF(OR($AB317="Overdue",$V317="Y",$AH317="Critical"),"Critical",IF(OR($AB317="At risk",$AC317="Stale",$AG317="Over"),"Warning","")))))</f>
        <v/>
      </c>
      <c r="AP317" s="65" t="str">
        <f aca="false">IF($AO317="","",IF($AO317="Critical",3000,2000)-IF($Z317="",0,$Z317)+ROW()/100000)</f>
        <v/>
      </c>
      <c r="AQ317" s="65" t="str">
        <f aca="false">IF($AO317="","",IF($X317="Unmapped","Status '"&amp;$C317&amp;"' is not in the Config map",IF($V317="Y","Flagged in Jira",IF($AB317="Overdue",-$Z317&amp;" days past its "&amp;$X317&amp;" target",IF($AH317="Critical",$AI317,IF($AB317="At risk","Target in "&amp;$Z317&amp;" days",IF($AC317="Stale","No update in "&amp;$AA317&amp;" days","Past its "&amp;$AE317&amp;"-day tier window")))))))</f>
        <v/>
      </c>
      <c r="AR317" s="65" t="str">
        <f aca="false">IF($AO317="","","draft Jira update for "&amp;$A317)</f>
        <v/>
      </c>
      <c r="AS317" s="65" t="str">
        <f aca="false">IF($A317="","",HYPERLINK(JiraSite&amp;"/browse/"&amp;$A317,"open"))</f>
        <v/>
      </c>
      <c r="AT317" s="65" t="str">
        <f aca="false">IF($Y317="","",$Y317*1000+ROW())</f>
        <v/>
      </c>
      <c r="AU317" s="65" t="str">
        <f aca="false">IF(AND($A317&lt;&gt;"",$G317&gt;=WeekStart),$G317+ROW()/100000,"")</f>
        <v/>
      </c>
      <c r="AV317" s="65" t="str">
        <f aca="false">IF($A317="","",IF(OR(AND($S317&lt;&gt;"",$S317&gt;=WeekStart),AND($U317&lt;&gt;"",$U317&gt;=WeekStart)),MAX($S317,$U317)+ROW()/100000,""))</f>
        <v/>
      </c>
      <c r="AW317" s="65" t="str">
        <f aca="false">IF($AV317="","",IF($T317&lt;&gt;"",$T317,IF($X317="Closed","Closed","Accepted to "&amp;$X317)))</f>
        <v/>
      </c>
      <c r="AX317" s="65" t="str">
        <f aca="false">IF(AND($Y317&lt;&gt;"",$R317&lt;&gt;""),$AF317+ROW()/100000,"")</f>
        <v/>
      </c>
      <c r="AY317" s="65" t="str">
        <f aca="false">IF(AND($Y317&lt;&gt;"",OR($AB317="Overdue",AND($AH317="Critical",$R317&lt;&gt;""))),$AF317+ROW()/100000,"")</f>
        <v/>
      </c>
      <c r="AZ317" s="65" t="str">
        <f aca="false">IF($AH317="Critical",$AF317+ROW()/100000,"")</f>
        <v/>
      </c>
    </row>
    <row r="318" customFormat="false" ht="15" hidden="false" customHeight="false" outlineLevel="0" collapsed="false">
      <c r="A318" s="28"/>
      <c r="B318" s="28"/>
      <c r="C318" s="28"/>
      <c r="D318" s="28"/>
      <c r="E318" s="28"/>
      <c r="F318" s="28"/>
      <c r="G318" s="63"/>
      <c r="H318" s="63"/>
      <c r="I318" s="63"/>
      <c r="J318" s="28"/>
      <c r="K318" s="28"/>
      <c r="L318" s="28"/>
      <c r="M318" s="28"/>
      <c r="N318" s="28"/>
      <c r="O318" s="64"/>
      <c r="P318" s="64"/>
      <c r="Q318" s="64"/>
      <c r="R318" s="28"/>
      <c r="S318" s="63"/>
      <c r="T318" s="64"/>
      <c r="U318" s="63"/>
      <c r="V318" s="64"/>
      <c r="W318" s="28"/>
      <c r="X318" s="65" t="str">
        <f aca="false">IF($A318="","",IF(OR($T318&lt;&gt;"",$U318&lt;&gt;""),"Closed",IFERROR(INDEX(MapStage,MATCH($C318,MapStatus,0)),"Unmapped")))</f>
        <v/>
      </c>
      <c r="Y318" s="65" t="str">
        <f aca="false">IF(OR($X318="",$X318="Closed",$X318="Unmapped"),"",MATCH($X318,StageName,0))</f>
        <v/>
      </c>
      <c r="Z318" s="65" t="str">
        <f aca="false">IF(OR($Y318="",$I318=""),"",$I318-AsOf)</f>
        <v/>
      </c>
      <c r="AA318" s="65" t="str">
        <f aca="false">IF($A318="","",AsOf-$H318)</f>
        <v/>
      </c>
      <c r="AB318" s="65" t="str">
        <f aca="false">IF($A318="","",IF($X318="Closed","Closed",IF($X318="Unmapped","Unmapped",IF($I318="","No target",IF($Z318&lt;0,"Overdue",IF($Z318&lt;=INDEX(StageWindow,$Y318),"At risk","On track"))))))</f>
        <v/>
      </c>
      <c r="AC318" s="65" t="str">
        <f aca="false">IF($Y318="","",IF($AA318&gt;2*INDEX(StageStale,$Y318),"Stale",IF($AA318&gt;INDEX(StageStale,$Y318),"Aging","Fresh")))</f>
        <v/>
      </c>
      <c r="AD318" s="65" t="str">
        <f aca="false">IF($A318="","",IF(OR(ISNUMBER(SEARCH("Reg report",$J318)),ISNUMBER(SEARCH("No human review",$J318)),COUNTIF(TierFuncs,$D318)&gt;0),"High",IF(OR(TRIM($J318)&lt;&gt;"",ISNUMBER(SEARCH("revenue",$K318))),"Medium","Low")))</f>
        <v/>
      </c>
      <c r="AE318" s="65" t="str">
        <f aca="false">IF($A318="","",INDEX(TierDays,MATCH($AD318,TierName,0)))</f>
        <v/>
      </c>
      <c r="AF318" s="65" t="str">
        <f aca="false">IF($A318="","",AsOf-$G318)</f>
        <v/>
      </c>
      <c r="AG318" s="65" t="str">
        <f aca="false">IF($Y318="","",IF($Y318&lt;=5,IF($AF318&gt;$AE318,"Over","Inside"),"Past approval"))</f>
        <v/>
      </c>
      <c r="AH318" s="65" t="str">
        <f aca="false">IF($Y318="","",CHOOSE($Y318,IF(OR(TRIM($F318)="",ISNUMBER(SEARCH("not named",$F318))),"Critical","Good"),IF($O318&lt;&gt;"Y","Critical",IF($Q318&lt;&gt;"Y","Warning","Good")),IF($P318="","Critical",IF($P318="partial","Warning",IF($P318="ready","Good","Critical"))),IF($R318&lt;&gt;"","Critical","Warning"),IF($L318="","Critical",IF($N318="","Warning","Good")),IF($R318&lt;&gt;"","Critical","Warning"),IF($R318&lt;&gt;"","Critical","Warning"),IF($Q318="Y","Good","Critical")))</f>
        <v/>
      </c>
      <c r="AI318" s="65" t="str">
        <f aca="false">IF($Y318="","",CHOOSE($Y318,IF(OR(TRIM($F318)="",ISNUMBER(SEARCH("not named",$F318))),"Name a sponsor accountable for the value",""),IF($O318&lt;&gt;"Y","State the success metric and the stop condition",IF($Q318&lt;&gt;"Y","Set the baseline the benefit will be measured against","")),IF($P318="","Assess data readiness and regulatory impact",IF($P318="partial","Close the known data gaps",IF($P318="ready","","Data is not available; reshape or park"))),IF($R318&lt;&gt;"",IF(OR(ISNUMBER(SEARCH("mrm",$R318)),ISNUMBER(SEARCH("model",$R318)),ISNUMBER(SEARCH("risk",$R318)),ISNUMBER(SEARCH("legal",$R318)),ISNUMBER(SEARCH("complian",$R318))),"Awaiting ","Held at the design gate: ")&amp;$R318,"Map the governance framework for its tier"),IF($L318="","Size the annual benefit",IF($N318="","Score it so it can be ranked against capacity","")),IF($R318&lt;&gt;"","Build held: "&amp;$R318,"In build, not yet through test"),IF($R318&lt;&gt;"","Not ready to scale: "&amp;$R318,"Monitoring and third-party review not yet signed off"),IF($Q318="Y","","Live without a measured baseline to judge it against")))</f>
        <v/>
      </c>
      <c r="AJ318" s="65" t="str">
        <f aca="false">IF($Y318="","",INDEX(StageForum,$Y318))</f>
        <v/>
      </c>
      <c r="AK318" s="65" t="str">
        <f aca="false">IF($Y318="","",IF(OR($X318="Delivery",$X318="Value"),"Committed",IF($N318&lt;&gt;"","Candidate","")))</f>
        <v/>
      </c>
      <c r="AL318" s="65" t="str">
        <f aca="false">IF($AK318&lt;&gt;"Candidate","",COUNTIFS($AK$2:$AK$501,"Candidate",$N$2:$N$501,"&gt;"&amp;$N318)+COUNTIFS($AK$2:$AK$501,"Candidate",$N$2:$N$501,$N318,$A$2:$A$501,"&lt;"&amp;$A318)+1)</f>
        <v/>
      </c>
      <c r="AM318" s="65" t="str">
        <f aca="false">IF($AL318="","",SUMIFS($M$2:$M$501,$AK$2:$AK$501,"Candidate",$AL$2:$AL$501,"&lt;="&amp;$AL318))</f>
        <v/>
      </c>
      <c r="AN318" s="65" t="str">
        <f aca="false">IF($AL318="","",IF($AM318&lt;=CapacityOpen,"Fits","Below line"))</f>
        <v/>
      </c>
      <c r="AO318" s="65" t="str">
        <f aca="false">IF($A318="","",IF($X318="Closed","",IF($X318="Unmapped","Warning",IF(OR($AB318="Overdue",$V318="Y",$AH318="Critical"),"Critical",IF(OR($AB318="At risk",$AC318="Stale",$AG318="Over"),"Warning","")))))</f>
        <v/>
      </c>
      <c r="AP318" s="65" t="str">
        <f aca="false">IF($AO318="","",IF($AO318="Critical",3000,2000)-IF($Z318="",0,$Z318)+ROW()/100000)</f>
        <v/>
      </c>
      <c r="AQ318" s="65" t="str">
        <f aca="false">IF($AO318="","",IF($X318="Unmapped","Status '"&amp;$C318&amp;"' is not in the Config map",IF($V318="Y","Flagged in Jira",IF($AB318="Overdue",-$Z318&amp;" days past its "&amp;$X318&amp;" target",IF($AH318="Critical",$AI318,IF($AB318="At risk","Target in "&amp;$Z318&amp;" days",IF($AC318="Stale","No update in "&amp;$AA318&amp;" days","Past its "&amp;$AE318&amp;"-day tier window")))))))</f>
        <v/>
      </c>
      <c r="AR318" s="65" t="str">
        <f aca="false">IF($AO318="","","draft Jira update for "&amp;$A318)</f>
        <v/>
      </c>
      <c r="AS318" s="65" t="str">
        <f aca="false">IF($A318="","",HYPERLINK(JiraSite&amp;"/browse/"&amp;$A318,"open"))</f>
        <v/>
      </c>
      <c r="AT318" s="65" t="str">
        <f aca="false">IF($Y318="","",$Y318*1000+ROW())</f>
        <v/>
      </c>
      <c r="AU318" s="65" t="str">
        <f aca="false">IF(AND($A318&lt;&gt;"",$G318&gt;=WeekStart),$G318+ROW()/100000,"")</f>
        <v/>
      </c>
      <c r="AV318" s="65" t="str">
        <f aca="false">IF($A318="","",IF(OR(AND($S318&lt;&gt;"",$S318&gt;=WeekStart),AND($U318&lt;&gt;"",$U318&gt;=WeekStart)),MAX($S318,$U318)+ROW()/100000,""))</f>
        <v/>
      </c>
      <c r="AW318" s="65" t="str">
        <f aca="false">IF($AV318="","",IF($T318&lt;&gt;"",$T318,IF($X318="Closed","Closed","Accepted to "&amp;$X318)))</f>
        <v/>
      </c>
      <c r="AX318" s="65" t="str">
        <f aca="false">IF(AND($Y318&lt;&gt;"",$R318&lt;&gt;""),$AF318+ROW()/100000,"")</f>
        <v/>
      </c>
      <c r="AY318" s="65" t="str">
        <f aca="false">IF(AND($Y318&lt;&gt;"",OR($AB318="Overdue",AND($AH318="Critical",$R318&lt;&gt;""))),$AF318+ROW()/100000,"")</f>
        <v/>
      </c>
      <c r="AZ318" s="65" t="str">
        <f aca="false">IF($AH318="Critical",$AF318+ROW()/100000,"")</f>
        <v/>
      </c>
    </row>
    <row r="319" customFormat="false" ht="15" hidden="false" customHeight="false" outlineLevel="0" collapsed="false">
      <c r="A319" s="28"/>
      <c r="B319" s="28"/>
      <c r="C319" s="28"/>
      <c r="D319" s="28"/>
      <c r="E319" s="28"/>
      <c r="F319" s="28"/>
      <c r="G319" s="63"/>
      <c r="H319" s="63"/>
      <c r="I319" s="63"/>
      <c r="J319" s="28"/>
      <c r="K319" s="28"/>
      <c r="L319" s="28"/>
      <c r="M319" s="28"/>
      <c r="N319" s="28"/>
      <c r="O319" s="64"/>
      <c r="P319" s="64"/>
      <c r="Q319" s="64"/>
      <c r="R319" s="28"/>
      <c r="S319" s="63"/>
      <c r="T319" s="64"/>
      <c r="U319" s="63"/>
      <c r="V319" s="64"/>
      <c r="W319" s="28"/>
      <c r="X319" s="65" t="str">
        <f aca="false">IF($A319="","",IF(OR($T319&lt;&gt;"",$U319&lt;&gt;""),"Closed",IFERROR(INDEX(MapStage,MATCH($C319,MapStatus,0)),"Unmapped")))</f>
        <v/>
      </c>
      <c r="Y319" s="65" t="str">
        <f aca="false">IF(OR($X319="",$X319="Closed",$X319="Unmapped"),"",MATCH($X319,StageName,0))</f>
        <v/>
      </c>
      <c r="Z319" s="65" t="str">
        <f aca="false">IF(OR($Y319="",$I319=""),"",$I319-AsOf)</f>
        <v/>
      </c>
      <c r="AA319" s="65" t="str">
        <f aca="false">IF($A319="","",AsOf-$H319)</f>
        <v/>
      </c>
      <c r="AB319" s="65" t="str">
        <f aca="false">IF($A319="","",IF($X319="Closed","Closed",IF($X319="Unmapped","Unmapped",IF($I319="","No target",IF($Z319&lt;0,"Overdue",IF($Z319&lt;=INDEX(StageWindow,$Y319),"At risk","On track"))))))</f>
        <v/>
      </c>
      <c r="AC319" s="65" t="str">
        <f aca="false">IF($Y319="","",IF($AA319&gt;2*INDEX(StageStale,$Y319),"Stale",IF($AA319&gt;INDEX(StageStale,$Y319),"Aging","Fresh")))</f>
        <v/>
      </c>
      <c r="AD319" s="65" t="str">
        <f aca="false">IF($A319="","",IF(OR(ISNUMBER(SEARCH("Reg report",$J319)),ISNUMBER(SEARCH("No human review",$J319)),COUNTIF(TierFuncs,$D319)&gt;0),"High",IF(OR(TRIM($J319)&lt;&gt;"",ISNUMBER(SEARCH("revenue",$K319))),"Medium","Low")))</f>
        <v/>
      </c>
      <c r="AE319" s="65" t="str">
        <f aca="false">IF($A319="","",INDEX(TierDays,MATCH($AD319,TierName,0)))</f>
        <v/>
      </c>
      <c r="AF319" s="65" t="str">
        <f aca="false">IF($A319="","",AsOf-$G319)</f>
        <v/>
      </c>
      <c r="AG319" s="65" t="str">
        <f aca="false">IF($Y319="","",IF($Y319&lt;=5,IF($AF319&gt;$AE319,"Over","Inside"),"Past approval"))</f>
        <v/>
      </c>
      <c r="AH319" s="65" t="str">
        <f aca="false">IF($Y319="","",CHOOSE($Y319,IF(OR(TRIM($F319)="",ISNUMBER(SEARCH("not named",$F319))),"Critical","Good"),IF($O319&lt;&gt;"Y","Critical",IF($Q319&lt;&gt;"Y","Warning","Good")),IF($P319="","Critical",IF($P319="partial","Warning",IF($P319="ready","Good","Critical"))),IF($R319&lt;&gt;"","Critical","Warning"),IF($L319="","Critical",IF($N319="","Warning","Good")),IF($R319&lt;&gt;"","Critical","Warning"),IF($R319&lt;&gt;"","Critical","Warning"),IF($Q319="Y","Good","Critical")))</f>
        <v/>
      </c>
      <c r="AI319" s="65" t="str">
        <f aca="false">IF($Y319="","",CHOOSE($Y319,IF(OR(TRIM($F319)="",ISNUMBER(SEARCH("not named",$F319))),"Name a sponsor accountable for the value",""),IF($O319&lt;&gt;"Y","State the success metric and the stop condition",IF($Q319&lt;&gt;"Y","Set the baseline the benefit will be measured against","")),IF($P319="","Assess data readiness and regulatory impact",IF($P319="partial","Close the known data gaps",IF($P319="ready","","Data is not available; reshape or park"))),IF($R319&lt;&gt;"",IF(OR(ISNUMBER(SEARCH("mrm",$R319)),ISNUMBER(SEARCH("model",$R319)),ISNUMBER(SEARCH("risk",$R319)),ISNUMBER(SEARCH("legal",$R319)),ISNUMBER(SEARCH("complian",$R319))),"Awaiting ","Held at the design gate: ")&amp;$R319,"Map the governance framework for its tier"),IF($L319="","Size the annual benefit",IF($N319="","Score it so it can be ranked against capacity","")),IF($R319&lt;&gt;"","Build held: "&amp;$R319,"In build, not yet through test"),IF($R319&lt;&gt;"","Not ready to scale: "&amp;$R319,"Monitoring and third-party review not yet signed off"),IF($Q319="Y","","Live without a measured baseline to judge it against")))</f>
        <v/>
      </c>
      <c r="AJ319" s="65" t="str">
        <f aca="false">IF($Y319="","",INDEX(StageForum,$Y319))</f>
        <v/>
      </c>
      <c r="AK319" s="65" t="str">
        <f aca="false">IF($Y319="","",IF(OR($X319="Delivery",$X319="Value"),"Committed",IF($N319&lt;&gt;"","Candidate","")))</f>
        <v/>
      </c>
      <c r="AL319" s="65" t="str">
        <f aca="false">IF($AK319&lt;&gt;"Candidate","",COUNTIFS($AK$2:$AK$501,"Candidate",$N$2:$N$501,"&gt;"&amp;$N319)+COUNTIFS($AK$2:$AK$501,"Candidate",$N$2:$N$501,$N319,$A$2:$A$501,"&lt;"&amp;$A319)+1)</f>
        <v/>
      </c>
      <c r="AM319" s="65" t="str">
        <f aca="false">IF($AL319="","",SUMIFS($M$2:$M$501,$AK$2:$AK$501,"Candidate",$AL$2:$AL$501,"&lt;="&amp;$AL319))</f>
        <v/>
      </c>
      <c r="AN319" s="65" t="str">
        <f aca="false">IF($AL319="","",IF($AM319&lt;=CapacityOpen,"Fits","Below line"))</f>
        <v/>
      </c>
      <c r="AO319" s="65" t="str">
        <f aca="false">IF($A319="","",IF($X319="Closed","",IF($X319="Unmapped","Warning",IF(OR($AB319="Overdue",$V319="Y",$AH319="Critical"),"Critical",IF(OR($AB319="At risk",$AC319="Stale",$AG319="Over"),"Warning","")))))</f>
        <v/>
      </c>
      <c r="AP319" s="65" t="str">
        <f aca="false">IF($AO319="","",IF($AO319="Critical",3000,2000)-IF($Z319="",0,$Z319)+ROW()/100000)</f>
        <v/>
      </c>
      <c r="AQ319" s="65" t="str">
        <f aca="false">IF($AO319="","",IF($X319="Unmapped","Status '"&amp;$C319&amp;"' is not in the Config map",IF($V319="Y","Flagged in Jira",IF($AB319="Overdue",-$Z319&amp;" days past its "&amp;$X319&amp;" target",IF($AH319="Critical",$AI319,IF($AB319="At risk","Target in "&amp;$Z319&amp;" days",IF($AC319="Stale","No update in "&amp;$AA319&amp;" days","Past its "&amp;$AE319&amp;"-day tier window")))))))</f>
        <v/>
      </c>
      <c r="AR319" s="65" t="str">
        <f aca="false">IF($AO319="","","draft Jira update for "&amp;$A319)</f>
        <v/>
      </c>
      <c r="AS319" s="65" t="str">
        <f aca="false">IF($A319="","",HYPERLINK(JiraSite&amp;"/browse/"&amp;$A319,"open"))</f>
        <v/>
      </c>
      <c r="AT319" s="65" t="str">
        <f aca="false">IF($Y319="","",$Y319*1000+ROW())</f>
        <v/>
      </c>
      <c r="AU319" s="65" t="str">
        <f aca="false">IF(AND($A319&lt;&gt;"",$G319&gt;=WeekStart),$G319+ROW()/100000,"")</f>
        <v/>
      </c>
      <c r="AV319" s="65" t="str">
        <f aca="false">IF($A319="","",IF(OR(AND($S319&lt;&gt;"",$S319&gt;=WeekStart),AND($U319&lt;&gt;"",$U319&gt;=WeekStart)),MAX($S319,$U319)+ROW()/100000,""))</f>
        <v/>
      </c>
      <c r="AW319" s="65" t="str">
        <f aca="false">IF($AV319="","",IF($T319&lt;&gt;"",$T319,IF($X319="Closed","Closed","Accepted to "&amp;$X319)))</f>
        <v/>
      </c>
      <c r="AX319" s="65" t="str">
        <f aca="false">IF(AND($Y319&lt;&gt;"",$R319&lt;&gt;""),$AF319+ROW()/100000,"")</f>
        <v/>
      </c>
      <c r="AY319" s="65" t="str">
        <f aca="false">IF(AND($Y319&lt;&gt;"",OR($AB319="Overdue",AND($AH319="Critical",$R319&lt;&gt;""))),$AF319+ROW()/100000,"")</f>
        <v/>
      </c>
      <c r="AZ319" s="65" t="str">
        <f aca="false">IF($AH319="Critical",$AF319+ROW()/100000,"")</f>
        <v/>
      </c>
    </row>
    <row r="320" customFormat="false" ht="15" hidden="false" customHeight="false" outlineLevel="0" collapsed="false">
      <c r="A320" s="28"/>
      <c r="B320" s="28"/>
      <c r="C320" s="28"/>
      <c r="D320" s="28"/>
      <c r="E320" s="28"/>
      <c r="F320" s="28"/>
      <c r="G320" s="63"/>
      <c r="H320" s="63"/>
      <c r="I320" s="63"/>
      <c r="J320" s="28"/>
      <c r="K320" s="28"/>
      <c r="L320" s="28"/>
      <c r="M320" s="28"/>
      <c r="N320" s="28"/>
      <c r="O320" s="64"/>
      <c r="P320" s="64"/>
      <c r="Q320" s="64"/>
      <c r="R320" s="28"/>
      <c r="S320" s="63"/>
      <c r="T320" s="64"/>
      <c r="U320" s="63"/>
      <c r="V320" s="64"/>
      <c r="W320" s="28"/>
      <c r="X320" s="65" t="str">
        <f aca="false">IF($A320="","",IF(OR($T320&lt;&gt;"",$U320&lt;&gt;""),"Closed",IFERROR(INDEX(MapStage,MATCH($C320,MapStatus,0)),"Unmapped")))</f>
        <v/>
      </c>
      <c r="Y320" s="65" t="str">
        <f aca="false">IF(OR($X320="",$X320="Closed",$X320="Unmapped"),"",MATCH($X320,StageName,0))</f>
        <v/>
      </c>
      <c r="Z320" s="65" t="str">
        <f aca="false">IF(OR($Y320="",$I320=""),"",$I320-AsOf)</f>
        <v/>
      </c>
      <c r="AA320" s="65" t="str">
        <f aca="false">IF($A320="","",AsOf-$H320)</f>
        <v/>
      </c>
      <c r="AB320" s="65" t="str">
        <f aca="false">IF($A320="","",IF($X320="Closed","Closed",IF($X320="Unmapped","Unmapped",IF($I320="","No target",IF($Z320&lt;0,"Overdue",IF($Z320&lt;=INDEX(StageWindow,$Y320),"At risk","On track"))))))</f>
        <v/>
      </c>
      <c r="AC320" s="65" t="str">
        <f aca="false">IF($Y320="","",IF($AA320&gt;2*INDEX(StageStale,$Y320),"Stale",IF($AA320&gt;INDEX(StageStale,$Y320),"Aging","Fresh")))</f>
        <v/>
      </c>
      <c r="AD320" s="65" t="str">
        <f aca="false">IF($A320="","",IF(OR(ISNUMBER(SEARCH("Reg report",$J320)),ISNUMBER(SEARCH("No human review",$J320)),COUNTIF(TierFuncs,$D320)&gt;0),"High",IF(OR(TRIM($J320)&lt;&gt;"",ISNUMBER(SEARCH("revenue",$K320))),"Medium","Low")))</f>
        <v/>
      </c>
      <c r="AE320" s="65" t="str">
        <f aca="false">IF($A320="","",INDEX(TierDays,MATCH($AD320,TierName,0)))</f>
        <v/>
      </c>
      <c r="AF320" s="65" t="str">
        <f aca="false">IF($A320="","",AsOf-$G320)</f>
        <v/>
      </c>
      <c r="AG320" s="65" t="str">
        <f aca="false">IF($Y320="","",IF($Y320&lt;=5,IF($AF320&gt;$AE320,"Over","Inside"),"Past approval"))</f>
        <v/>
      </c>
      <c r="AH320" s="65" t="str">
        <f aca="false">IF($Y320="","",CHOOSE($Y320,IF(OR(TRIM($F320)="",ISNUMBER(SEARCH("not named",$F320))),"Critical","Good"),IF($O320&lt;&gt;"Y","Critical",IF($Q320&lt;&gt;"Y","Warning","Good")),IF($P320="","Critical",IF($P320="partial","Warning",IF($P320="ready","Good","Critical"))),IF($R320&lt;&gt;"","Critical","Warning"),IF($L320="","Critical",IF($N320="","Warning","Good")),IF($R320&lt;&gt;"","Critical","Warning"),IF($R320&lt;&gt;"","Critical","Warning"),IF($Q320="Y","Good","Critical")))</f>
        <v/>
      </c>
      <c r="AI320" s="65" t="str">
        <f aca="false">IF($Y320="","",CHOOSE($Y320,IF(OR(TRIM($F320)="",ISNUMBER(SEARCH("not named",$F320))),"Name a sponsor accountable for the value",""),IF($O320&lt;&gt;"Y","State the success metric and the stop condition",IF($Q320&lt;&gt;"Y","Set the baseline the benefit will be measured against","")),IF($P320="","Assess data readiness and regulatory impact",IF($P320="partial","Close the known data gaps",IF($P320="ready","","Data is not available; reshape or park"))),IF($R320&lt;&gt;"",IF(OR(ISNUMBER(SEARCH("mrm",$R320)),ISNUMBER(SEARCH("model",$R320)),ISNUMBER(SEARCH("risk",$R320)),ISNUMBER(SEARCH("legal",$R320)),ISNUMBER(SEARCH("complian",$R320))),"Awaiting ","Held at the design gate: ")&amp;$R320,"Map the governance framework for its tier"),IF($L320="","Size the annual benefit",IF($N320="","Score it so it can be ranked against capacity","")),IF($R320&lt;&gt;"","Build held: "&amp;$R320,"In build, not yet through test"),IF($R320&lt;&gt;"","Not ready to scale: "&amp;$R320,"Monitoring and third-party review not yet signed off"),IF($Q320="Y","","Live without a measured baseline to judge it against")))</f>
        <v/>
      </c>
      <c r="AJ320" s="65" t="str">
        <f aca="false">IF($Y320="","",INDEX(StageForum,$Y320))</f>
        <v/>
      </c>
      <c r="AK320" s="65" t="str">
        <f aca="false">IF($Y320="","",IF(OR($X320="Delivery",$X320="Value"),"Committed",IF($N320&lt;&gt;"","Candidate","")))</f>
        <v/>
      </c>
      <c r="AL320" s="65" t="str">
        <f aca="false">IF($AK320&lt;&gt;"Candidate","",COUNTIFS($AK$2:$AK$501,"Candidate",$N$2:$N$501,"&gt;"&amp;$N320)+COUNTIFS($AK$2:$AK$501,"Candidate",$N$2:$N$501,$N320,$A$2:$A$501,"&lt;"&amp;$A320)+1)</f>
        <v/>
      </c>
      <c r="AM320" s="65" t="str">
        <f aca="false">IF($AL320="","",SUMIFS($M$2:$M$501,$AK$2:$AK$501,"Candidate",$AL$2:$AL$501,"&lt;="&amp;$AL320))</f>
        <v/>
      </c>
      <c r="AN320" s="65" t="str">
        <f aca="false">IF($AL320="","",IF($AM320&lt;=CapacityOpen,"Fits","Below line"))</f>
        <v/>
      </c>
      <c r="AO320" s="65" t="str">
        <f aca="false">IF($A320="","",IF($X320="Closed","",IF($X320="Unmapped","Warning",IF(OR($AB320="Overdue",$V320="Y",$AH320="Critical"),"Critical",IF(OR($AB320="At risk",$AC320="Stale",$AG320="Over"),"Warning","")))))</f>
        <v/>
      </c>
      <c r="AP320" s="65" t="str">
        <f aca="false">IF($AO320="","",IF($AO320="Critical",3000,2000)-IF($Z320="",0,$Z320)+ROW()/100000)</f>
        <v/>
      </c>
      <c r="AQ320" s="65" t="str">
        <f aca="false">IF($AO320="","",IF($X320="Unmapped","Status '"&amp;$C320&amp;"' is not in the Config map",IF($V320="Y","Flagged in Jira",IF($AB320="Overdue",-$Z320&amp;" days past its "&amp;$X320&amp;" target",IF($AH320="Critical",$AI320,IF($AB320="At risk","Target in "&amp;$Z320&amp;" days",IF($AC320="Stale","No update in "&amp;$AA320&amp;" days","Past its "&amp;$AE320&amp;"-day tier window")))))))</f>
        <v/>
      </c>
      <c r="AR320" s="65" t="str">
        <f aca="false">IF($AO320="","","draft Jira update for "&amp;$A320)</f>
        <v/>
      </c>
      <c r="AS320" s="65" t="str">
        <f aca="false">IF($A320="","",HYPERLINK(JiraSite&amp;"/browse/"&amp;$A320,"open"))</f>
        <v/>
      </c>
      <c r="AT320" s="65" t="str">
        <f aca="false">IF($Y320="","",$Y320*1000+ROW())</f>
        <v/>
      </c>
      <c r="AU320" s="65" t="str">
        <f aca="false">IF(AND($A320&lt;&gt;"",$G320&gt;=WeekStart),$G320+ROW()/100000,"")</f>
        <v/>
      </c>
      <c r="AV320" s="65" t="str">
        <f aca="false">IF($A320="","",IF(OR(AND($S320&lt;&gt;"",$S320&gt;=WeekStart),AND($U320&lt;&gt;"",$U320&gt;=WeekStart)),MAX($S320,$U320)+ROW()/100000,""))</f>
        <v/>
      </c>
      <c r="AW320" s="65" t="str">
        <f aca="false">IF($AV320="","",IF($T320&lt;&gt;"",$T320,IF($X320="Closed","Closed","Accepted to "&amp;$X320)))</f>
        <v/>
      </c>
      <c r="AX320" s="65" t="str">
        <f aca="false">IF(AND($Y320&lt;&gt;"",$R320&lt;&gt;""),$AF320+ROW()/100000,"")</f>
        <v/>
      </c>
      <c r="AY320" s="65" t="str">
        <f aca="false">IF(AND($Y320&lt;&gt;"",OR($AB320="Overdue",AND($AH320="Critical",$R320&lt;&gt;""))),$AF320+ROW()/100000,"")</f>
        <v/>
      </c>
      <c r="AZ320" s="65" t="str">
        <f aca="false">IF($AH320="Critical",$AF320+ROW()/100000,"")</f>
        <v/>
      </c>
    </row>
    <row r="321" customFormat="false" ht="15" hidden="false" customHeight="false" outlineLevel="0" collapsed="false">
      <c r="A321" s="28"/>
      <c r="B321" s="28"/>
      <c r="C321" s="28"/>
      <c r="D321" s="28"/>
      <c r="E321" s="28"/>
      <c r="F321" s="28"/>
      <c r="G321" s="63"/>
      <c r="H321" s="63"/>
      <c r="I321" s="63"/>
      <c r="J321" s="28"/>
      <c r="K321" s="28"/>
      <c r="L321" s="28"/>
      <c r="M321" s="28"/>
      <c r="N321" s="28"/>
      <c r="O321" s="64"/>
      <c r="P321" s="64"/>
      <c r="Q321" s="64"/>
      <c r="R321" s="28"/>
      <c r="S321" s="63"/>
      <c r="T321" s="64"/>
      <c r="U321" s="63"/>
      <c r="V321" s="64"/>
      <c r="W321" s="28"/>
      <c r="X321" s="65" t="str">
        <f aca="false">IF($A321="","",IF(OR($T321&lt;&gt;"",$U321&lt;&gt;""),"Closed",IFERROR(INDEX(MapStage,MATCH($C321,MapStatus,0)),"Unmapped")))</f>
        <v/>
      </c>
      <c r="Y321" s="65" t="str">
        <f aca="false">IF(OR($X321="",$X321="Closed",$X321="Unmapped"),"",MATCH($X321,StageName,0))</f>
        <v/>
      </c>
      <c r="Z321" s="65" t="str">
        <f aca="false">IF(OR($Y321="",$I321=""),"",$I321-AsOf)</f>
        <v/>
      </c>
      <c r="AA321" s="65" t="str">
        <f aca="false">IF($A321="","",AsOf-$H321)</f>
        <v/>
      </c>
      <c r="AB321" s="65" t="str">
        <f aca="false">IF($A321="","",IF($X321="Closed","Closed",IF($X321="Unmapped","Unmapped",IF($I321="","No target",IF($Z321&lt;0,"Overdue",IF($Z321&lt;=INDEX(StageWindow,$Y321),"At risk","On track"))))))</f>
        <v/>
      </c>
      <c r="AC321" s="65" t="str">
        <f aca="false">IF($Y321="","",IF($AA321&gt;2*INDEX(StageStale,$Y321),"Stale",IF($AA321&gt;INDEX(StageStale,$Y321),"Aging","Fresh")))</f>
        <v/>
      </c>
      <c r="AD321" s="65" t="str">
        <f aca="false">IF($A321="","",IF(OR(ISNUMBER(SEARCH("Reg report",$J321)),ISNUMBER(SEARCH("No human review",$J321)),COUNTIF(TierFuncs,$D321)&gt;0),"High",IF(OR(TRIM($J321)&lt;&gt;"",ISNUMBER(SEARCH("revenue",$K321))),"Medium","Low")))</f>
        <v/>
      </c>
      <c r="AE321" s="65" t="str">
        <f aca="false">IF($A321="","",INDEX(TierDays,MATCH($AD321,TierName,0)))</f>
        <v/>
      </c>
      <c r="AF321" s="65" t="str">
        <f aca="false">IF($A321="","",AsOf-$G321)</f>
        <v/>
      </c>
      <c r="AG321" s="65" t="str">
        <f aca="false">IF($Y321="","",IF($Y321&lt;=5,IF($AF321&gt;$AE321,"Over","Inside"),"Past approval"))</f>
        <v/>
      </c>
      <c r="AH321" s="65" t="str">
        <f aca="false">IF($Y321="","",CHOOSE($Y321,IF(OR(TRIM($F321)="",ISNUMBER(SEARCH("not named",$F321))),"Critical","Good"),IF($O321&lt;&gt;"Y","Critical",IF($Q321&lt;&gt;"Y","Warning","Good")),IF($P321="","Critical",IF($P321="partial","Warning",IF($P321="ready","Good","Critical"))),IF($R321&lt;&gt;"","Critical","Warning"),IF($L321="","Critical",IF($N321="","Warning","Good")),IF($R321&lt;&gt;"","Critical","Warning"),IF($R321&lt;&gt;"","Critical","Warning"),IF($Q321="Y","Good","Critical")))</f>
        <v/>
      </c>
      <c r="AI321" s="65" t="str">
        <f aca="false">IF($Y321="","",CHOOSE($Y321,IF(OR(TRIM($F321)="",ISNUMBER(SEARCH("not named",$F321))),"Name a sponsor accountable for the value",""),IF($O321&lt;&gt;"Y","State the success metric and the stop condition",IF($Q321&lt;&gt;"Y","Set the baseline the benefit will be measured against","")),IF($P321="","Assess data readiness and regulatory impact",IF($P321="partial","Close the known data gaps",IF($P321="ready","","Data is not available; reshape or park"))),IF($R321&lt;&gt;"",IF(OR(ISNUMBER(SEARCH("mrm",$R321)),ISNUMBER(SEARCH("model",$R321)),ISNUMBER(SEARCH("risk",$R321)),ISNUMBER(SEARCH("legal",$R321)),ISNUMBER(SEARCH("complian",$R321))),"Awaiting ","Held at the design gate: ")&amp;$R321,"Map the governance framework for its tier"),IF($L321="","Size the annual benefit",IF($N321="","Score it so it can be ranked against capacity","")),IF($R321&lt;&gt;"","Build held: "&amp;$R321,"In build, not yet through test"),IF($R321&lt;&gt;"","Not ready to scale: "&amp;$R321,"Monitoring and third-party review not yet signed off"),IF($Q321="Y","","Live without a measured baseline to judge it against")))</f>
        <v/>
      </c>
      <c r="AJ321" s="65" t="str">
        <f aca="false">IF($Y321="","",INDEX(StageForum,$Y321))</f>
        <v/>
      </c>
      <c r="AK321" s="65" t="str">
        <f aca="false">IF($Y321="","",IF(OR($X321="Delivery",$X321="Value"),"Committed",IF($N321&lt;&gt;"","Candidate","")))</f>
        <v/>
      </c>
      <c r="AL321" s="65" t="str">
        <f aca="false">IF($AK321&lt;&gt;"Candidate","",COUNTIFS($AK$2:$AK$501,"Candidate",$N$2:$N$501,"&gt;"&amp;$N321)+COUNTIFS($AK$2:$AK$501,"Candidate",$N$2:$N$501,$N321,$A$2:$A$501,"&lt;"&amp;$A321)+1)</f>
        <v/>
      </c>
      <c r="AM321" s="65" t="str">
        <f aca="false">IF($AL321="","",SUMIFS($M$2:$M$501,$AK$2:$AK$501,"Candidate",$AL$2:$AL$501,"&lt;="&amp;$AL321))</f>
        <v/>
      </c>
      <c r="AN321" s="65" t="str">
        <f aca="false">IF($AL321="","",IF($AM321&lt;=CapacityOpen,"Fits","Below line"))</f>
        <v/>
      </c>
      <c r="AO321" s="65" t="str">
        <f aca="false">IF($A321="","",IF($X321="Closed","",IF($X321="Unmapped","Warning",IF(OR($AB321="Overdue",$V321="Y",$AH321="Critical"),"Critical",IF(OR($AB321="At risk",$AC321="Stale",$AG321="Over"),"Warning","")))))</f>
        <v/>
      </c>
      <c r="AP321" s="65" t="str">
        <f aca="false">IF($AO321="","",IF($AO321="Critical",3000,2000)-IF($Z321="",0,$Z321)+ROW()/100000)</f>
        <v/>
      </c>
      <c r="AQ321" s="65" t="str">
        <f aca="false">IF($AO321="","",IF($X321="Unmapped","Status '"&amp;$C321&amp;"' is not in the Config map",IF($V321="Y","Flagged in Jira",IF($AB321="Overdue",-$Z321&amp;" days past its "&amp;$X321&amp;" target",IF($AH321="Critical",$AI321,IF($AB321="At risk","Target in "&amp;$Z321&amp;" days",IF($AC321="Stale","No update in "&amp;$AA321&amp;" days","Past its "&amp;$AE321&amp;"-day tier window")))))))</f>
        <v/>
      </c>
      <c r="AR321" s="65" t="str">
        <f aca="false">IF($AO321="","","draft Jira update for "&amp;$A321)</f>
        <v/>
      </c>
      <c r="AS321" s="65" t="str">
        <f aca="false">IF($A321="","",HYPERLINK(JiraSite&amp;"/browse/"&amp;$A321,"open"))</f>
        <v/>
      </c>
      <c r="AT321" s="65" t="str">
        <f aca="false">IF($Y321="","",$Y321*1000+ROW())</f>
        <v/>
      </c>
      <c r="AU321" s="65" t="str">
        <f aca="false">IF(AND($A321&lt;&gt;"",$G321&gt;=WeekStart),$G321+ROW()/100000,"")</f>
        <v/>
      </c>
      <c r="AV321" s="65" t="str">
        <f aca="false">IF($A321="","",IF(OR(AND($S321&lt;&gt;"",$S321&gt;=WeekStart),AND($U321&lt;&gt;"",$U321&gt;=WeekStart)),MAX($S321,$U321)+ROW()/100000,""))</f>
        <v/>
      </c>
      <c r="AW321" s="65" t="str">
        <f aca="false">IF($AV321="","",IF($T321&lt;&gt;"",$T321,IF($X321="Closed","Closed","Accepted to "&amp;$X321)))</f>
        <v/>
      </c>
      <c r="AX321" s="65" t="str">
        <f aca="false">IF(AND($Y321&lt;&gt;"",$R321&lt;&gt;""),$AF321+ROW()/100000,"")</f>
        <v/>
      </c>
      <c r="AY321" s="65" t="str">
        <f aca="false">IF(AND($Y321&lt;&gt;"",OR($AB321="Overdue",AND($AH321="Critical",$R321&lt;&gt;""))),$AF321+ROW()/100000,"")</f>
        <v/>
      </c>
      <c r="AZ321" s="65" t="str">
        <f aca="false">IF($AH321="Critical",$AF321+ROW()/100000,"")</f>
        <v/>
      </c>
    </row>
    <row r="322" customFormat="false" ht="15" hidden="false" customHeight="false" outlineLevel="0" collapsed="false">
      <c r="A322" s="28"/>
      <c r="B322" s="28"/>
      <c r="C322" s="28"/>
      <c r="D322" s="28"/>
      <c r="E322" s="28"/>
      <c r="F322" s="28"/>
      <c r="G322" s="63"/>
      <c r="H322" s="63"/>
      <c r="I322" s="63"/>
      <c r="J322" s="28"/>
      <c r="K322" s="28"/>
      <c r="L322" s="28"/>
      <c r="M322" s="28"/>
      <c r="N322" s="28"/>
      <c r="O322" s="64"/>
      <c r="P322" s="64"/>
      <c r="Q322" s="64"/>
      <c r="R322" s="28"/>
      <c r="S322" s="63"/>
      <c r="T322" s="64"/>
      <c r="U322" s="63"/>
      <c r="V322" s="64"/>
      <c r="W322" s="28"/>
      <c r="X322" s="65" t="str">
        <f aca="false">IF($A322="","",IF(OR($T322&lt;&gt;"",$U322&lt;&gt;""),"Closed",IFERROR(INDEX(MapStage,MATCH($C322,MapStatus,0)),"Unmapped")))</f>
        <v/>
      </c>
      <c r="Y322" s="65" t="str">
        <f aca="false">IF(OR($X322="",$X322="Closed",$X322="Unmapped"),"",MATCH($X322,StageName,0))</f>
        <v/>
      </c>
      <c r="Z322" s="65" t="str">
        <f aca="false">IF(OR($Y322="",$I322=""),"",$I322-AsOf)</f>
        <v/>
      </c>
      <c r="AA322" s="65" t="str">
        <f aca="false">IF($A322="","",AsOf-$H322)</f>
        <v/>
      </c>
      <c r="AB322" s="65" t="str">
        <f aca="false">IF($A322="","",IF($X322="Closed","Closed",IF($X322="Unmapped","Unmapped",IF($I322="","No target",IF($Z322&lt;0,"Overdue",IF($Z322&lt;=INDEX(StageWindow,$Y322),"At risk","On track"))))))</f>
        <v/>
      </c>
      <c r="AC322" s="65" t="str">
        <f aca="false">IF($Y322="","",IF($AA322&gt;2*INDEX(StageStale,$Y322),"Stale",IF($AA322&gt;INDEX(StageStale,$Y322),"Aging","Fresh")))</f>
        <v/>
      </c>
      <c r="AD322" s="65" t="str">
        <f aca="false">IF($A322="","",IF(OR(ISNUMBER(SEARCH("Reg report",$J322)),ISNUMBER(SEARCH("No human review",$J322)),COUNTIF(TierFuncs,$D322)&gt;0),"High",IF(OR(TRIM($J322)&lt;&gt;"",ISNUMBER(SEARCH("revenue",$K322))),"Medium","Low")))</f>
        <v/>
      </c>
      <c r="AE322" s="65" t="str">
        <f aca="false">IF($A322="","",INDEX(TierDays,MATCH($AD322,TierName,0)))</f>
        <v/>
      </c>
      <c r="AF322" s="65" t="str">
        <f aca="false">IF($A322="","",AsOf-$G322)</f>
        <v/>
      </c>
      <c r="AG322" s="65" t="str">
        <f aca="false">IF($Y322="","",IF($Y322&lt;=5,IF($AF322&gt;$AE322,"Over","Inside"),"Past approval"))</f>
        <v/>
      </c>
      <c r="AH322" s="65" t="str">
        <f aca="false">IF($Y322="","",CHOOSE($Y322,IF(OR(TRIM($F322)="",ISNUMBER(SEARCH("not named",$F322))),"Critical","Good"),IF($O322&lt;&gt;"Y","Critical",IF($Q322&lt;&gt;"Y","Warning","Good")),IF($P322="","Critical",IF($P322="partial","Warning",IF($P322="ready","Good","Critical"))),IF($R322&lt;&gt;"","Critical","Warning"),IF($L322="","Critical",IF($N322="","Warning","Good")),IF($R322&lt;&gt;"","Critical","Warning"),IF($R322&lt;&gt;"","Critical","Warning"),IF($Q322="Y","Good","Critical")))</f>
        <v/>
      </c>
      <c r="AI322" s="65" t="str">
        <f aca="false">IF($Y322="","",CHOOSE($Y322,IF(OR(TRIM($F322)="",ISNUMBER(SEARCH("not named",$F322))),"Name a sponsor accountable for the value",""),IF($O322&lt;&gt;"Y","State the success metric and the stop condition",IF($Q322&lt;&gt;"Y","Set the baseline the benefit will be measured against","")),IF($P322="","Assess data readiness and regulatory impact",IF($P322="partial","Close the known data gaps",IF($P322="ready","","Data is not available; reshape or park"))),IF($R322&lt;&gt;"",IF(OR(ISNUMBER(SEARCH("mrm",$R322)),ISNUMBER(SEARCH("model",$R322)),ISNUMBER(SEARCH("risk",$R322)),ISNUMBER(SEARCH("legal",$R322)),ISNUMBER(SEARCH("complian",$R322))),"Awaiting ","Held at the design gate: ")&amp;$R322,"Map the governance framework for its tier"),IF($L322="","Size the annual benefit",IF($N322="","Score it so it can be ranked against capacity","")),IF($R322&lt;&gt;"","Build held: "&amp;$R322,"In build, not yet through test"),IF($R322&lt;&gt;"","Not ready to scale: "&amp;$R322,"Monitoring and third-party review not yet signed off"),IF($Q322="Y","","Live without a measured baseline to judge it against")))</f>
        <v/>
      </c>
      <c r="AJ322" s="65" t="str">
        <f aca="false">IF($Y322="","",INDEX(StageForum,$Y322))</f>
        <v/>
      </c>
      <c r="AK322" s="65" t="str">
        <f aca="false">IF($Y322="","",IF(OR($X322="Delivery",$X322="Value"),"Committed",IF($N322&lt;&gt;"","Candidate","")))</f>
        <v/>
      </c>
      <c r="AL322" s="65" t="str">
        <f aca="false">IF($AK322&lt;&gt;"Candidate","",COUNTIFS($AK$2:$AK$501,"Candidate",$N$2:$N$501,"&gt;"&amp;$N322)+COUNTIFS($AK$2:$AK$501,"Candidate",$N$2:$N$501,$N322,$A$2:$A$501,"&lt;"&amp;$A322)+1)</f>
        <v/>
      </c>
      <c r="AM322" s="65" t="str">
        <f aca="false">IF($AL322="","",SUMIFS($M$2:$M$501,$AK$2:$AK$501,"Candidate",$AL$2:$AL$501,"&lt;="&amp;$AL322))</f>
        <v/>
      </c>
      <c r="AN322" s="65" t="str">
        <f aca="false">IF($AL322="","",IF($AM322&lt;=CapacityOpen,"Fits","Below line"))</f>
        <v/>
      </c>
      <c r="AO322" s="65" t="str">
        <f aca="false">IF($A322="","",IF($X322="Closed","",IF($X322="Unmapped","Warning",IF(OR($AB322="Overdue",$V322="Y",$AH322="Critical"),"Critical",IF(OR($AB322="At risk",$AC322="Stale",$AG322="Over"),"Warning","")))))</f>
        <v/>
      </c>
      <c r="AP322" s="65" t="str">
        <f aca="false">IF($AO322="","",IF($AO322="Critical",3000,2000)-IF($Z322="",0,$Z322)+ROW()/100000)</f>
        <v/>
      </c>
      <c r="AQ322" s="65" t="str">
        <f aca="false">IF($AO322="","",IF($X322="Unmapped","Status '"&amp;$C322&amp;"' is not in the Config map",IF($V322="Y","Flagged in Jira",IF($AB322="Overdue",-$Z322&amp;" days past its "&amp;$X322&amp;" target",IF($AH322="Critical",$AI322,IF($AB322="At risk","Target in "&amp;$Z322&amp;" days",IF($AC322="Stale","No update in "&amp;$AA322&amp;" days","Past its "&amp;$AE322&amp;"-day tier window")))))))</f>
        <v/>
      </c>
      <c r="AR322" s="65" t="str">
        <f aca="false">IF($AO322="","","draft Jira update for "&amp;$A322)</f>
        <v/>
      </c>
      <c r="AS322" s="65" t="str">
        <f aca="false">IF($A322="","",HYPERLINK(JiraSite&amp;"/browse/"&amp;$A322,"open"))</f>
        <v/>
      </c>
      <c r="AT322" s="65" t="str">
        <f aca="false">IF($Y322="","",$Y322*1000+ROW())</f>
        <v/>
      </c>
      <c r="AU322" s="65" t="str">
        <f aca="false">IF(AND($A322&lt;&gt;"",$G322&gt;=WeekStart),$G322+ROW()/100000,"")</f>
        <v/>
      </c>
      <c r="AV322" s="65" t="str">
        <f aca="false">IF($A322="","",IF(OR(AND($S322&lt;&gt;"",$S322&gt;=WeekStart),AND($U322&lt;&gt;"",$U322&gt;=WeekStart)),MAX($S322,$U322)+ROW()/100000,""))</f>
        <v/>
      </c>
      <c r="AW322" s="65" t="str">
        <f aca="false">IF($AV322="","",IF($T322&lt;&gt;"",$T322,IF($X322="Closed","Closed","Accepted to "&amp;$X322)))</f>
        <v/>
      </c>
      <c r="AX322" s="65" t="str">
        <f aca="false">IF(AND($Y322&lt;&gt;"",$R322&lt;&gt;""),$AF322+ROW()/100000,"")</f>
        <v/>
      </c>
      <c r="AY322" s="65" t="str">
        <f aca="false">IF(AND($Y322&lt;&gt;"",OR($AB322="Overdue",AND($AH322="Critical",$R322&lt;&gt;""))),$AF322+ROW()/100000,"")</f>
        <v/>
      </c>
      <c r="AZ322" s="65" t="str">
        <f aca="false">IF($AH322="Critical",$AF322+ROW()/100000,"")</f>
        <v/>
      </c>
    </row>
    <row r="323" customFormat="false" ht="15" hidden="false" customHeight="false" outlineLevel="0" collapsed="false">
      <c r="A323" s="28"/>
      <c r="B323" s="28"/>
      <c r="C323" s="28"/>
      <c r="D323" s="28"/>
      <c r="E323" s="28"/>
      <c r="F323" s="28"/>
      <c r="G323" s="63"/>
      <c r="H323" s="63"/>
      <c r="I323" s="63"/>
      <c r="J323" s="28"/>
      <c r="K323" s="28"/>
      <c r="L323" s="28"/>
      <c r="M323" s="28"/>
      <c r="N323" s="28"/>
      <c r="O323" s="64"/>
      <c r="P323" s="64"/>
      <c r="Q323" s="64"/>
      <c r="R323" s="28"/>
      <c r="S323" s="63"/>
      <c r="T323" s="64"/>
      <c r="U323" s="63"/>
      <c r="V323" s="64"/>
      <c r="W323" s="28"/>
      <c r="X323" s="65" t="str">
        <f aca="false">IF($A323="","",IF(OR($T323&lt;&gt;"",$U323&lt;&gt;""),"Closed",IFERROR(INDEX(MapStage,MATCH($C323,MapStatus,0)),"Unmapped")))</f>
        <v/>
      </c>
      <c r="Y323" s="65" t="str">
        <f aca="false">IF(OR($X323="",$X323="Closed",$X323="Unmapped"),"",MATCH($X323,StageName,0))</f>
        <v/>
      </c>
      <c r="Z323" s="65" t="str">
        <f aca="false">IF(OR($Y323="",$I323=""),"",$I323-AsOf)</f>
        <v/>
      </c>
      <c r="AA323" s="65" t="str">
        <f aca="false">IF($A323="","",AsOf-$H323)</f>
        <v/>
      </c>
      <c r="AB323" s="65" t="str">
        <f aca="false">IF($A323="","",IF($X323="Closed","Closed",IF($X323="Unmapped","Unmapped",IF($I323="","No target",IF($Z323&lt;0,"Overdue",IF($Z323&lt;=INDEX(StageWindow,$Y323),"At risk","On track"))))))</f>
        <v/>
      </c>
      <c r="AC323" s="65" t="str">
        <f aca="false">IF($Y323="","",IF($AA323&gt;2*INDEX(StageStale,$Y323),"Stale",IF($AA323&gt;INDEX(StageStale,$Y323),"Aging","Fresh")))</f>
        <v/>
      </c>
      <c r="AD323" s="65" t="str">
        <f aca="false">IF($A323="","",IF(OR(ISNUMBER(SEARCH("Reg report",$J323)),ISNUMBER(SEARCH("No human review",$J323)),COUNTIF(TierFuncs,$D323)&gt;0),"High",IF(OR(TRIM($J323)&lt;&gt;"",ISNUMBER(SEARCH("revenue",$K323))),"Medium","Low")))</f>
        <v/>
      </c>
      <c r="AE323" s="65" t="str">
        <f aca="false">IF($A323="","",INDEX(TierDays,MATCH($AD323,TierName,0)))</f>
        <v/>
      </c>
      <c r="AF323" s="65" t="str">
        <f aca="false">IF($A323="","",AsOf-$G323)</f>
        <v/>
      </c>
      <c r="AG323" s="65" t="str">
        <f aca="false">IF($Y323="","",IF($Y323&lt;=5,IF($AF323&gt;$AE323,"Over","Inside"),"Past approval"))</f>
        <v/>
      </c>
      <c r="AH323" s="65" t="str">
        <f aca="false">IF($Y323="","",CHOOSE($Y323,IF(OR(TRIM($F323)="",ISNUMBER(SEARCH("not named",$F323))),"Critical","Good"),IF($O323&lt;&gt;"Y","Critical",IF($Q323&lt;&gt;"Y","Warning","Good")),IF($P323="","Critical",IF($P323="partial","Warning",IF($P323="ready","Good","Critical"))),IF($R323&lt;&gt;"","Critical","Warning"),IF($L323="","Critical",IF($N323="","Warning","Good")),IF($R323&lt;&gt;"","Critical","Warning"),IF($R323&lt;&gt;"","Critical","Warning"),IF($Q323="Y","Good","Critical")))</f>
        <v/>
      </c>
      <c r="AI323" s="65" t="str">
        <f aca="false">IF($Y323="","",CHOOSE($Y323,IF(OR(TRIM($F323)="",ISNUMBER(SEARCH("not named",$F323))),"Name a sponsor accountable for the value",""),IF($O323&lt;&gt;"Y","State the success metric and the stop condition",IF($Q323&lt;&gt;"Y","Set the baseline the benefit will be measured against","")),IF($P323="","Assess data readiness and regulatory impact",IF($P323="partial","Close the known data gaps",IF($P323="ready","","Data is not available; reshape or park"))),IF($R323&lt;&gt;"",IF(OR(ISNUMBER(SEARCH("mrm",$R323)),ISNUMBER(SEARCH("model",$R323)),ISNUMBER(SEARCH("risk",$R323)),ISNUMBER(SEARCH("legal",$R323)),ISNUMBER(SEARCH("complian",$R323))),"Awaiting ","Held at the design gate: ")&amp;$R323,"Map the governance framework for its tier"),IF($L323="","Size the annual benefit",IF($N323="","Score it so it can be ranked against capacity","")),IF($R323&lt;&gt;"","Build held: "&amp;$R323,"In build, not yet through test"),IF($R323&lt;&gt;"","Not ready to scale: "&amp;$R323,"Monitoring and third-party review not yet signed off"),IF($Q323="Y","","Live without a measured baseline to judge it against")))</f>
        <v/>
      </c>
      <c r="AJ323" s="65" t="str">
        <f aca="false">IF($Y323="","",INDEX(StageForum,$Y323))</f>
        <v/>
      </c>
      <c r="AK323" s="65" t="str">
        <f aca="false">IF($Y323="","",IF(OR($X323="Delivery",$X323="Value"),"Committed",IF($N323&lt;&gt;"","Candidate","")))</f>
        <v/>
      </c>
      <c r="AL323" s="65" t="str">
        <f aca="false">IF($AK323&lt;&gt;"Candidate","",COUNTIFS($AK$2:$AK$501,"Candidate",$N$2:$N$501,"&gt;"&amp;$N323)+COUNTIFS($AK$2:$AK$501,"Candidate",$N$2:$N$501,$N323,$A$2:$A$501,"&lt;"&amp;$A323)+1)</f>
        <v/>
      </c>
      <c r="AM323" s="65" t="str">
        <f aca="false">IF($AL323="","",SUMIFS($M$2:$M$501,$AK$2:$AK$501,"Candidate",$AL$2:$AL$501,"&lt;="&amp;$AL323))</f>
        <v/>
      </c>
      <c r="AN323" s="65" t="str">
        <f aca="false">IF($AL323="","",IF($AM323&lt;=CapacityOpen,"Fits","Below line"))</f>
        <v/>
      </c>
      <c r="AO323" s="65" t="str">
        <f aca="false">IF($A323="","",IF($X323="Closed","",IF($X323="Unmapped","Warning",IF(OR($AB323="Overdue",$V323="Y",$AH323="Critical"),"Critical",IF(OR($AB323="At risk",$AC323="Stale",$AG323="Over"),"Warning","")))))</f>
        <v/>
      </c>
      <c r="AP323" s="65" t="str">
        <f aca="false">IF($AO323="","",IF($AO323="Critical",3000,2000)-IF($Z323="",0,$Z323)+ROW()/100000)</f>
        <v/>
      </c>
      <c r="AQ323" s="65" t="str">
        <f aca="false">IF($AO323="","",IF($X323="Unmapped","Status '"&amp;$C323&amp;"' is not in the Config map",IF($V323="Y","Flagged in Jira",IF($AB323="Overdue",-$Z323&amp;" days past its "&amp;$X323&amp;" target",IF($AH323="Critical",$AI323,IF($AB323="At risk","Target in "&amp;$Z323&amp;" days",IF($AC323="Stale","No update in "&amp;$AA323&amp;" days","Past its "&amp;$AE323&amp;"-day tier window")))))))</f>
        <v/>
      </c>
      <c r="AR323" s="65" t="str">
        <f aca="false">IF($AO323="","","draft Jira update for "&amp;$A323)</f>
        <v/>
      </c>
      <c r="AS323" s="65" t="str">
        <f aca="false">IF($A323="","",HYPERLINK(JiraSite&amp;"/browse/"&amp;$A323,"open"))</f>
        <v/>
      </c>
      <c r="AT323" s="65" t="str">
        <f aca="false">IF($Y323="","",$Y323*1000+ROW())</f>
        <v/>
      </c>
      <c r="AU323" s="65" t="str">
        <f aca="false">IF(AND($A323&lt;&gt;"",$G323&gt;=WeekStart),$G323+ROW()/100000,"")</f>
        <v/>
      </c>
      <c r="AV323" s="65" t="str">
        <f aca="false">IF($A323="","",IF(OR(AND($S323&lt;&gt;"",$S323&gt;=WeekStart),AND($U323&lt;&gt;"",$U323&gt;=WeekStart)),MAX($S323,$U323)+ROW()/100000,""))</f>
        <v/>
      </c>
      <c r="AW323" s="65" t="str">
        <f aca="false">IF($AV323="","",IF($T323&lt;&gt;"",$T323,IF($X323="Closed","Closed","Accepted to "&amp;$X323)))</f>
        <v/>
      </c>
      <c r="AX323" s="65" t="str">
        <f aca="false">IF(AND($Y323&lt;&gt;"",$R323&lt;&gt;""),$AF323+ROW()/100000,"")</f>
        <v/>
      </c>
      <c r="AY323" s="65" t="str">
        <f aca="false">IF(AND($Y323&lt;&gt;"",OR($AB323="Overdue",AND($AH323="Critical",$R323&lt;&gt;""))),$AF323+ROW()/100000,"")</f>
        <v/>
      </c>
      <c r="AZ323" s="65" t="str">
        <f aca="false">IF($AH323="Critical",$AF323+ROW()/100000,"")</f>
        <v/>
      </c>
    </row>
    <row r="324" customFormat="false" ht="15" hidden="false" customHeight="false" outlineLevel="0" collapsed="false">
      <c r="A324" s="28"/>
      <c r="B324" s="28"/>
      <c r="C324" s="28"/>
      <c r="D324" s="28"/>
      <c r="E324" s="28"/>
      <c r="F324" s="28"/>
      <c r="G324" s="63"/>
      <c r="H324" s="63"/>
      <c r="I324" s="63"/>
      <c r="J324" s="28"/>
      <c r="K324" s="28"/>
      <c r="L324" s="28"/>
      <c r="M324" s="28"/>
      <c r="N324" s="28"/>
      <c r="O324" s="64"/>
      <c r="P324" s="64"/>
      <c r="Q324" s="64"/>
      <c r="R324" s="28"/>
      <c r="S324" s="63"/>
      <c r="T324" s="64"/>
      <c r="U324" s="63"/>
      <c r="V324" s="64"/>
      <c r="W324" s="28"/>
      <c r="X324" s="65" t="str">
        <f aca="false">IF($A324="","",IF(OR($T324&lt;&gt;"",$U324&lt;&gt;""),"Closed",IFERROR(INDEX(MapStage,MATCH($C324,MapStatus,0)),"Unmapped")))</f>
        <v/>
      </c>
      <c r="Y324" s="65" t="str">
        <f aca="false">IF(OR($X324="",$X324="Closed",$X324="Unmapped"),"",MATCH($X324,StageName,0))</f>
        <v/>
      </c>
      <c r="Z324" s="65" t="str">
        <f aca="false">IF(OR($Y324="",$I324=""),"",$I324-AsOf)</f>
        <v/>
      </c>
      <c r="AA324" s="65" t="str">
        <f aca="false">IF($A324="","",AsOf-$H324)</f>
        <v/>
      </c>
      <c r="AB324" s="65" t="str">
        <f aca="false">IF($A324="","",IF($X324="Closed","Closed",IF($X324="Unmapped","Unmapped",IF($I324="","No target",IF($Z324&lt;0,"Overdue",IF($Z324&lt;=INDEX(StageWindow,$Y324),"At risk","On track"))))))</f>
        <v/>
      </c>
      <c r="AC324" s="65" t="str">
        <f aca="false">IF($Y324="","",IF($AA324&gt;2*INDEX(StageStale,$Y324),"Stale",IF($AA324&gt;INDEX(StageStale,$Y324),"Aging","Fresh")))</f>
        <v/>
      </c>
      <c r="AD324" s="65" t="str">
        <f aca="false">IF($A324="","",IF(OR(ISNUMBER(SEARCH("Reg report",$J324)),ISNUMBER(SEARCH("No human review",$J324)),COUNTIF(TierFuncs,$D324)&gt;0),"High",IF(OR(TRIM($J324)&lt;&gt;"",ISNUMBER(SEARCH("revenue",$K324))),"Medium","Low")))</f>
        <v/>
      </c>
      <c r="AE324" s="65" t="str">
        <f aca="false">IF($A324="","",INDEX(TierDays,MATCH($AD324,TierName,0)))</f>
        <v/>
      </c>
      <c r="AF324" s="65" t="str">
        <f aca="false">IF($A324="","",AsOf-$G324)</f>
        <v/>
      </c>
      <c r="AG324" s="65" t="str">
        <f aca="false">IF($Y324="","",IF($Y324&lt;=5,IF($AF324&gt;$AE324,"Over","Inside"),"Past approval"))</f>
        <v/>
      </c>
      <c r="AH324" s="65" t="str">
        <f aca="false">IF($Y324="","",CHOOSE($Y324,IF(OR(TRIM($F324)="",ISNUMBER(SEARCH("not named",$F324))),"Critical","Good"),IF($O324&lt;&gt;"Y","Critical",IF($Q324&lt;&gt;"Y","Warning","Good")),IF($P324="","Critical",IF($P324="partial","Warning",IF($P324="ready","Good","Critical"))),IF($R324&lt;&gt;"","Critical","Warning"),IF($L324="","Critical",IF($N324="","Warning","Good")),IF($R324&lt;&gt;"","Critical","Warning"),IF($R324&lt;&gt;"","Critical","Warning"),IF($Q324="Y","Good","Critical")))</f>
        <v/>
      </c>
      <c r="AI324" s="65" t="str">
        <f aca="false">IF($Y324="","",CHOOSE($Y324,IF(OR(TRIM($F324)="",ISNUMBER(SEARCH("not named",$F324))),"Name a sponsor accountable for the value",""),IF($O324&lt;&gt;"Y","State the success metric and the stop condition",IF($Q324&lt;&gt;"Y","Set the baseline the benefit will be measured against","")),IF($P324="","Assess data readiness and regulatory impact",IF($P324="partial","Close the known data gaps",IF($P324="ready","","Data is not available; reshape or park"))),IF($R324&lt;&gt;"",IF(OR(ISNUMBER(SEARCH("mrm",$R324)),ISNUMBER(SEARCH("model",$R324)),ISNUMBER(SEARCH("risk",$R324)),ISNUMBER(SEARCH("legal",$R324)),ISNUMBER(SEARCH("complian",$R324))),"Awaiting ","Held at the design gate: ")&amp;$R324,"Map the governance framework for its tier"),IF($L324="","Size the annual benefit",IF($N324="","Score it so it can be ranked against capacity","")),IF($R324&lt;&gt;"","Build held: "&amp;$R324,"In build, not yet through test"),IF($R324&lt;&gt;"","Not ready to scale: "&amp;$R324,"Monitoring and third-party review not yet signed off"),IF($Q324="Y","","Live without a measured baseline to judge it against")))</f>
        <v/>
      </c>
      <c r="AJ324" s="65" t="str">
        <f aca="false">IF($Y324="","",INDEX(StageForum,$Y324))</f>
        <v/>
      </c>
      <c r="AK324" s="65" t="str">
        <f aca="false">IF($Y324="","",IF(OR($X324="Delivery",$X324="Value"),"Committed",IF($N324&lt;&gt;"","Candidate","")))</f>
        <v/>
      </c>
      <c r="AL324" s="65" t="str">
        <f aca="false">IF($AK324&lt;&gt;"Candidate","",COUNTIFS($AK$2:$AK$501,"Candidate",$N$2:$N$501,"&gt;"&amp;$N324)+COUNTIFS($AK$2:$AK$501,"Candidate",$N$2:$N$501,$N324,$A$2:$A$501,"&lt;"&amp;$A324)+1)</f>
        <v/>
      </c>
      <c r="AM324" s="65" t="str">
        <f aca="false">IF($AL324="","",SUMIFS($M$2:$M$501,$AK$2:$AK$501,"Candidate",$AL$2:$AL$501,"&lt;="&amp;$AL324))</f>
        <v/>
      </c>
      <c r="AN324" s="65" t="str">
        <f aca="false">IF($AL324="","",IF($AM324&lt;=CapacityOpen,"Fits","Below line"))</f>
        <v/>
      </c>
      <c r="AO324" s="65" t="str">
        <f aca="false">IF($A324="","",IF($X324="Closed","",IF($X324="Unmapped","Warning",IF(OR($AB324="Overdue",$V324="Y",$AH324="Critical"),"Critical",IF(OR($AB324="At risk",$AC324="Stale",$AG324="Over"),"Warning","")))))</f>
        <v/>
      </c>
      <c r="AP324" s="65" t="str">
        <f aca="false">IF($AO324="","",IF($AO324="Critical",3000,2000)-IF($Z324="",0,$Z324)+ROW()/100000)</f>
        <v/>
      </c>
      <c r="AQ324" s="65" t="str">
        <f aca="false">IF($AO324="","",IF($X324="Unmapped","Status '"&amp;$C324&amp;"' is not in the Config map",IF($V324="Y","Flagged in Jira",IF($AB324="Overdue",-$Z324&amp;" days past its "&amp;$X324&amp;" target",IF($AH324="Critical",$AI324,IF($AB324="At risk","Target in "&amp;$Z324&amp;" days",IF($AC324="Stale","No update in "&amp;$AA324&amp;" days","Past its "&amp;$AE324&amp;"-day tier window")))))))</f>
        <v/>
      </c>
      <c r="AR324" s="65" t="str">
        <f aca="false">IF($AO324="","","draft Jira update for "&amp;$A324)</f>
        <v/>
      </c>
      <c r="AS324" s="65" t="str">
        <f aca="false">IF($A324="","",HYPERLINK(JiraSite&amp;"/browse/"&amp;$A324,"open"))</f>
        <v/>
      </c>
      <c r="AT324" s="65" t="str">
        <f aca="false">IF($Y324="","",$Y324*1000+ROW())</f>
        <v/>
      </c>
      <c r="AU324" s="65" t="str">
        <f aca="false">IF(AND($A324&lt;&gt;"",$G324&gt;=WeekStart),$G324+ROW()/100000,"")</f>
        <v/>
      </c>
      <c r="AV324" s="65" t="str">
        <f aca="false">IF($A324="","",IF(OR(AND($S324&lt;&gt;"",$S324&gt;=WeekStart),AND($U324&lt;&gt;"",$U324&gt;=WeekStart)),MAX($S324,$U324)+ROW()/100000,""))</f>
        <v/>
      </c>
      <c r="AW324" s="65" t="str">
        <f aca="false">IF($AV324="","",IF($T324&lt;&gt;"",$T324,IF($X324="Closed","Closed","Accepted to "&amp;$X324)))</f>
        <v/>
      </c>
      <c r="AX324" s="65" t="str">
        <f aca="false">IF(AND($Y324&lt;&gt;"",$R324&lt;&gt;""),$AF324+ROW()/100000,"")</f>
        <v/>
      </c>
      <c r="AY324" s="65" t="str">
        <f aca="false">IF(AND($Y324&lt;&gt;"",OR($AB324="Overdue",AND($AH324="Critical",$R324&lt;&gt;""))),$AF324+ROW()/100000,"")</f>
        <v/>
      </c>
      <c r="AZ324" s="65" t="str">
        <f aca="false">IF($AH324="Critical",$AF324+ROW()/100000,"")</f>
        <v/>
      </c>
    </row>
    <row r="325" customFormat="false" ht="15" hidden="false" customHeight="false" outlineLevel="0" collapsed="false">
      <c r="A325" s="28"/>
      <c r="B325" s="28"/>
      <c r="C325" s="28"/>
      <c r="D325" s="28"/>
      <c r="E325" s="28"/>
      <c r="F325" s="28"/>
      <c r="G325" s="63"/>
      <c r="H325" s="63"/>
      <c r="I325" s="63"/>
      <c r="J325" s="28"/>
      <c r="K325" s="28"/>
      <c r="L325" s="28"/>
      <c r="M325" s="28"/>
      <c r="N325" s="28"/>
      <c r="O325" s="64"/>
      <c r="P325" s="64"/>
      <c r="Q325" s="64"/>
      <c r="R325" s="28"/>
      <c r="S325" s="63"/>
      <c r="T325" s="64"/>
      <c r="U325" s="63"/>
      <c r="V325" s="64"/>
      <c r="W325" s="28"/>
      <c r="X325" s="65" t="str">
        <f aca="false">IF($A325="","",IF(OR($T325&lt;&gt;"",$U325&lt;&gt;""),"Closed",IFERROR(INDEX(MapStage,MATCH($C325,MapStatus,0)),"Unmapped")))</f>
        <v/>
      </c>
      <c r="Y325" s="65" t="str">
        <f aca="false">IF(OR($X325="",$X325="Closed",$X325="Unmapped"),"",MATCH($X325,StageName,0))</f>
        <v/>
      </c>
      <c r="Z325" s="65" t="str">
        <f aca="false">IF(OR($Y325="",$I325=""),"",$I325-AsOf)</f>
        <v/>
      </c>
      <c r="AA325" s="65" t="str">
        <f aca="false">IF($A325="","",AsOf-$H325)</f>
        <v/>
      </c>
      <c r="AB325" s="65" t="str">
        <f aca="false">IF($A325="","",IF($X325="Closed","Closed",IF($X325="Unmapped","Unmapped",IF($I325="","No target",IF($Z325&lt;0,"Overdue",IF($Z325&lt;=INDEX(StageWindow,$Y325),"At risk","On track"))))))</f>
        <v/>
      </c>
      <c r="AC325" s="65" t="str">
        <f aca="false">IF($Y325="","",IF($AA325&gt;2*INDEX(StageStale,$Y325),"Stale",IF($AA325&gt;INDEX(StageStale,$Y325),"Aging","Fresh")))</f>
        <v/>
      </c>
      <c r="AD325" s="65" t="str">
        <f aca="false">IF($A325="","",IF(OR(ISNUMBER(SEARCH("Reg report",$J325)),ISNUMBER(SEARCH("No human review",$J325)),COUNTIF(TierFuncs,$D325)&gt;0),"High",IF(OR(TRIM($J325)&lt;&gt;"",ISNUMBER(SEARCH("revenue",$K325))),"Medium","Low")))</f>
        <v/>
      </c>
      <c r="AE325" s="65" t="str">
        <f aca="false">IF($A325="","",INDEX(TierDays,MATCH($AD325,TierName,0)))</f>
        <v/>
      </c>
      <c r="AF325" s="65" t="str">
        <f aca="false">IF($A325="","",AsOf-$G325)</f>
        <v/>
      </c>
      <c r="AG325" s="65" t="str">
        <f aca="false">IF($Y325="","",IF($Y325&lt;=5,IF($AF325&gt;$AE325,"Over","Inside"),"Past approval"))</f>
        <v/>
      </c>
      <c r="AH325" s="65" t="str">
        <f aca="false">IF($Y325="","",CHOOSE($Y325,IF(OR(TRIM($F325)="",ISNUMBER(SEARCH("not named",$F325))),"Critical","Good"),IF($O325&lt;&gt;"Y","Critical",IF($Q325&lt;&gt;"Y","Warning","Good")),IF($P325="","Critical",IF($P325="partial","Warning",IF($P325="ready","Good","Critical"))),IF($R325&lt;&gt;"","Critical","Warning"),IF($L325="","Critical",IF($N325="","Warning","Good")),IF($R325&lt;&gt;"","Critical","Warning"),IF($R325&lt;&gt;"","Critical","Warning"),IF($Q325="Y","Good","Critical")))</f>
        <v/>
      </c>
      <c r="AI325" s="65" t="str">
        <f aca="false">IF($Y325="","",CHOOSE($Y325,IF(OR(TRIM($F325)="",ISNUMBER(SEARCH("not named",$F325))),"Name a sponsor accountable for the value",""),IF($O325&lt;&gt;"Y","State the success metric and the stop condition",IF($Q325&lt;&gt;"Y","Set the baseline the benefit will be measured against","")),IF($P325="","Assess data readiness and regulatory impact",IF($P325="partial","Close the known data gaps",IF($P325="ready","","Data is not available; reshape or park"))),IF($R325&lt;&gt;"",IF(OR(ISNUMBER(SEARCH("mrm",$R325)),ISNUMBER(SEARCH("model",$R325)),ISNUMBER(SEARCH("risk",$R325)),ISNUMBER(SEARCH("legal",$R325)),ISNUMBER(SEARCH("complian",$R325))),"Awaiting ","Held at the design gate: ")&amp;$R325,"Map the governance framework for its tier"),IF($L325="","Size the annual benefit",IF($N325="","Score it so it can be ranked against capacity","")),IF($R325&lt;&gt;"","Build held: "&amp;$R325,"In build, not yet through test"),IF($R325&lt;&gt;"","Not ready to scale: "&amp;$R325,"Monitoring and third-party review not yet signed off"),IF($Q325="Y","","Live without a measured baseline to judge it against")))</f>
        <v/>
      </c>
      <c r="AJ325" s="65" t="str">
        <f aca="false">IF($Y325="","",INDEX(StageForum,$Y325))</f>
        <v/>
      </c>
      <c r="AK325" s="65" t="str">
        <f aca="false">IF($Y325="","",IF(OR($X325="Delivery",$X325="Value"),"Committed",IF($N325&lt;&gt;"","Candidate","")))</f>
        <v/>
      </c>
      <c r="AL325" s="65" t="str">
        <f aca="false">IF($AK325&lt;&gt;"Candidate","",COUNTIFS($AK$2:$AK$501,"Candidate",$N$2:$N$501,"&gt;"&amp;$N325)+COUNTIFS($AK$2:$AK$501,"Candidate",$N$2:$N$501,$N325,$A$2:$A$501,"&lt;"&amp;$A325)+1)</f>
        <v/>
      </c>
      <c r="AM325" s="65" t="str">
        <f aca="false">IF($AL325="","",SUMIFS($M$2:$M$501,$AK$2:$AK$501,"Candidate",$AL$2:$AL$501,"&lt;="&amp;$AL325))</f>
        <v/>
      </c>
      <c r="AN325" s="65" t="str">
        <f aca="false">IF($AL325="","",IF($AM325&lt;=CapacityOpen,"Fits","Below line"))</f>
        <v/>
      </c>
      <c r="AO325" s="65" t="str">
        <f aca="false">IF($A325="","",IF($X325="Closed","",IF($X325="Unmapped","Warning",IF(OR($AB325="Overdue",$V325="Y",$AH325="Critical"),"Critical",IF(OR($AB325="At risk",$AC325="Stale",$AG325="Over"),"Warning","")))))</f>
        <v/>
      </c>
      <c r="AP325" s="65" t="str">
        <f aca="false">IF($AO325="","",IF($AO325="Critical",3000,2000)-IF($Z325="",0,$Z325)+ROW()/100000)</f>
        <v/>
      </c>
      <c r="AQ325" s="65" t="str">
        <f aca="false">IF($AO325="","",IF($X325="Unmapped","Status '"&amp;$C325&amp;"' is not in the Config map",IF($V325="Y","Flagged in Jira",IF($AB325="Overdue",-$Z325&amp;" days past its "&amp;$X325&amp;" target",IF($AH325="Critical",$AI325,IF($AB325="At risk","Target in "&amp;$Z325&amp;" days",IF($AC325="Stale","No update in "&amp;$AA325&amp;" days","Past its "&amp;$AE325&amp;"-day tier window")))))))</f>
        <v/>
      </c>
      <c r="AR325" s="65" t="str">
        <f aca="false">IF($AO325="","","draft Jira update for "&amp;$A325)</f>
        <v/>
      </c>
      <c r="AS325" s="65" t="str">
        <f aca="false">IF($A325="","",HYPERLINK(JiraSite&amp;"/browse/"&amp;$A325,"open"))</f>
        <v/>
      </c>
      <c r="AT325" s="65" t="str">
        <f aca="false">IF($Y325="","",$Y325*1000+ROW())</f>
        <v/>
      </c>
      <c r="AU325" s="65" t="str">
        <f aca="false">IF(AND($A325&lt;&gt;"",$G325&gt;=WeekStart),$G325+ROW()/100000,"")</f>
        <v/>
      </c>
      <c r="AV325" s="65" t="str">
        <f aca="false">IF($A325="","",IF(OR(AND($S325&lt;&gt;"",$S325&gt;=WeekStart),AND($U325&lt;&gt;"",$U325&gt;=WeekStart)),MAX($S325,$U325)+ROW()/100000,""))</f>
        <v/>
      </c>
      <c r="AW325" s="65" t="str">
        <f aca="false">IF($AV325="","",IF($T325&lt;&gt;"",$T325,IF($X325="Closed","Closed","Accepted to "&amp;$X325)))</f>
        <v/>
      </c>
      <c r="AX325" s="65" t="str">
        <f aca="false">IF(AND($Y325&lt;&gt;"",$R325&lt;&gt;""),$AF325+ROW()/100000,"")</f>
        <v/>
      </c>
      <c r="AY325" s="65" t="str">
        <f aca="false">IF(AND($Y325&lt;&gt;"",OR($AB325="Overdue",AND($AH325="Critical",$R325&lt;&gt;""))),$AF325+ROW()/100000,"")</f>
        <v/>
      </c>
      <c r="AZ325" s="65" t="str">
        <f aca="false">IF($AH325="Critical",$AF325+ROW()/100000,"")</f>
        <v/>
      </c>
    </row>
    <row r="326" customFormat="false" ht="15" hidden="false" customHeight="false" outlineLevel="0" collapsed="false">
      <c r="A326" s="28"/>
      <c r="B326" s="28"/>
      <c r="C326" s="28"/>
      <c r="D326" s="28"/>
      <c r="E326" s="28"/>
      <c r="F326" s="28"/>
      <c r="G326" s="63"/>
      <c r="H326" s="63"/>
      <c r="I326" s="63"/>
      <c r="J326" s="28"/>
      <c r="K326" s="28"/>
      <c r="L326" s="28"/>
      <c r="M326" s="28"/>
      <c r="N326" s="28"/>
      <c r="O326" s="64"/>
      <c r="P326" s="64"/>
      <c r="Q326" s="64"/>
      <c r="R326" s="28"/>
      <c r="S326" s="63"/>
      <c r="T326" s="64"/>
      <c r="U326" s="63"/>
      <c r="V326" s="64"/>
      <c r="W326" s="28"/>
      <c r="X326" s="65" t="str">
        <f aca="false">IF($A326="","",IF(OR($T326&lt;&gt;"",$U326&lt;&gt;""),"Closed",IFERROR(INDEX(MapStage,MATCH($C326,MapStatus,0)),"Unmapped")))</f>
        <v/>
      </c>
      <c r="Y326" s="65" t="str">
        <f aca="false">IF(OR($X326="",$X326="Closed",$X326="Unmapped"),"",MATCH($X326,StageName,0))</f>
        <v/>
      </c>
      <c r="Z326" s="65" t="str">
        <f aca="false">IF(OR($Y326="",$I326=""),"",$I326-AsOf)</f>
        <v/>
      </c>
      <c r="AA326" s="65" t="str">
        <f aca="false">IF($A326="","",AsOf-$H326)</f>
        <v/>
      </c>
      <c r="AB326" s="65" t="str">
        <f aca="false">IF($A326="","",IF($X326="Closed","Closed",IF($X326="Unmapped","Unmapped",IF($I326="","No target",IF($Z326&lt;0,"Overdue",IF($Z326&lt;=INDEX(StageWindow,$Y326),"At risk","On track"))))))</f>
        <v/>
      </c>
      <c r="AC326" s="65" t="str">
        <f aca="false">IF($Y326="","",IF($AA326&gt;2*INDEX(StageStale,$Y326),"Stale",IF($AA326&gt;INDEX(StageStale,$Y326),"Aging","Fresh")))</f>
        <v/>
      </c>
      <c r="AD326" s="65" t="str">
        <f aca="false">IF($A326="","",IF(OR(ISNUMBER(SEARCH("Reg report",$J326)),ISNUMBER(SEARCH("No human review",$J326)),COUNTIF(TierFuncs,$D326)&gt;0),"High",IF(OR(TRIM($J326)&lt;&gt;"",ISNUMBER(SEARCH("revenue",$K326))),"Medium","Low")))</f>
        <v/>
      </c>
      <c r="AE326" s="65" t="str">
        <f aca="false">IF($A326="","",INDEX(TierDays,MATCH($AD326,TierName,0)))</f>
        <v/>
      </c>
      <c r="AF326" s="65" t="str">
        <f aca="false">IF($A326="","",AsOf-$G326)</f>
        <v/>
      </c>
      <c r="AG326" s="65" t="str">
        <f aca="false">IF($Y326="","",IF($Y326&lt;=5,IF($AF326&gt;$AE326,"Over","Inside"),"Past approval"))</f>
        <v/>
      </c>
      <c r="AH326" s="65" t="str">
        <f aca="false">IF($Y326="","",CHOOSE($Y326,IF(OR(TRIM($F326)="",ISNUMBER(SEARCH("not named",$F326))),"Critical","Good"),IF($O326&lt;&gt;"Y","Critical",IF($Q326&lt;&gt;"Y","Warning","Good")),IF($P326="","Critical",IF($P326="partial","Warning",IF($P326="ready","Good","Critical"))),IF($R326&lt;&gt;"","Critical","Warning"),IF($L326="","Critical",IF($N326="","Warning","Good")),IF($R326&lt;&gt;"","Critical","Warning"),IF($R326&lt;&gt;"","Critical","Warning"),IF($Q326="Y","Good","Critical")))</f>
        <v/>
      </c>
      <c r="AI326" s="65" t="str">
        <f aca="false">IF($Y326="","",CHOOSE($Y326,IF(OR(TRIM($F326)="",ISNUMBER(SEARCH("not named",$F326))),"Name a sponsor accountable for the value",""),IF($O326&lt;&gt;"Y","State the success metric and the stop condition",IF($Q326&lt;&gt;"Y","Set the baseline the benefit will be measured against","")),IF($P326="","Assess data readiness and regulatory impact",IF($P326="partial","Close the known data gaps",IF($P326="ready","","Data is not available; reshape or park"))),IF($R326&lt;&gt;"",IF(OR(ISNUMBER(SEARCH("mrm",$R326)),ISNUMBER(SEARCH("model",$R326)),ISNUMBER(SEARCH("risk",$R326)),ISNUMBER(SEARCH("legal",$R326)),ISNUMBER(SEARCH("complian",$R326))),"Awaiting ","Held at the design gate: ")&amp;$R326,"Map the governance framework for its tier"),IF($L326="","Size the annual benefit",IF($N326="","Score it so it can be ranked against capacity","")),IF($R326&lt;&gt;"","Build held: "&amp;$R326,"In build, not yet through test"),IF($R326&lt;&gt;"","Not ready to scale: "&amp;$R326,"Monitoring and third-party review not yet signed off"),IF($Q326="Y","","Live without a measured baseline to judge it against")))</f>
        <v/>
      </c>
      <c r="AJ326" s="65" t="str">
        <f aca="false">IF($Y326="","",INDEX(StageForum,$Y326))</f>
        <v/>
      </c>
      <c r="AK326" s="65" t="str">
        <f aca="false">IF($Y326="","",IF(OR($X326="Delivery",$X326="Value"),"Committed",IF($N326&lt;&gt;"","Candidate","")))</f>
        <v/>
      </c>
      <c r="AL326" s="65" t="str">
        <f aca="false">IF($AK326&lt;&gt;"Candidate","",COUNTIFS($AK$2:$AK$501,"Candidate",$N$2:$N$501,"&gt;"&amp;$N326)+COUNTIFS($AK$2:$AK$501,"Candidate",$N$2:$N$501,$N326,$A$2:$A$501,"&lt;"&amp;$A326)+1)</f>
        <v/>
      </c>
      <c r="AM326" s="65" t="str">
        <f aca="false">IF($AL326="","",SUMIFS($M$2:$M$501,$AK$2:$AK$501,"Candidate",$AL$2:$AL$501,"&lt;="&amp;$AL326))</f>
        <v/>
      </c>
      <c r="AN326" s="65" t="str">
        <f aca="false">IF($AL326="","",IF($AM326&lt;=CapacityOpen,"Fits","Below line"))</f>
        <v/>
      </c>
      <c r="AO326" s="65" t="str">
        <f aca="false">IF($A326="","",IF($X326="Closed","",IF($X326="Unmapped","Warning",IF(OR($AB326="Overdue",$V326="Y",$AH326="Critical"),"Critical",IF(OR($AB326="At risk",$AC326="Stale",$AG326="Over"),"Warning","")))))</f>
        <v/>
      </c>
      <c r="AP326" s="65" t="str">
        <f aca="false">IF($AO326="","",IF($AO326="Critical",3000,2000)-IF($Z326="",0,$Z326)+ROW()/100000)</f>
        <v/>
      </c>
      <c r="AQ326" s="65" t="str">
        <f aca="false">IF($AO326="","",IF($X326="Unmapped","Status '"&amp;$C326&amp;"' is not in the Config map",IF($V326="Y","Flagged in Jira",IF($AB326="Overdue",-$Z326&amp;" days past its "&amp;$X326&amp;" target",IF($AH326="Critical",$AI326,IF($AB326="At risk","Target in "&amp;$Z326&amp;" days",IF($AC326="Stale","No update in "&amp;$AA326&amp;" days","Past its "&amp;$AE326&amp;"-day tier window")))))))</f>
        <v/>
      </c>
      <c r="AR326" s="65" t="str">
        <f aca="false">IF($AO326="","","draft Jira update for "&amp;$A326)</f>
        <v/>
      </c>
      <c r="AS326" s="65" t="str">
        <f aca="false">IF($A326="","",HYPERLINK(JiraSite&amp;"/browse/"&amp;$A326,"open"))</f>
        <v/>
      </c>
      <c r="AT326" s="65" t="str">
        <f aca="false">IF($Y326="","",$Y326*1000+ROW())</f>
        <v/>
      </c>
      <c r="AU326" s="65" t="str">
        <f aca="false">IF(AND($A326&lt;&gt;"",$G326&gt;=WeekStart),$G326+ROW()/100000,"")</f>
        <v/>
      </c>
      <c r="AV326" s="65" t="str">
        <f aca="false">IF($A326="","",IF(OR(AND($S326&lt;&gt;"",$S326&gt;=WeekStart),AND($U326&lt;&gt;"",$U326&gt;=WeekStart)),MAX($S326,$U326)+ROW()/100000,""))</f>
        <v/>
      </c>
      <c r="AW326" s="65" t="str">
        <f aca="false">IF($AV326="","",IF($T326&lt;&gt;"",$T326,IF($X326="Closed","Closed","Accepted to "&amp;$X326)))</f>
        <v/>
      </c>
      <c r="AX326" s="65" t="str">
        <f aca="false">IF(AND($Y326&lt;&gt;"",$R326&lt;&gt;""),$AF326+ROW()/100000,"")</f>
        <v/>
      </c>
      <c r="AY326" s="65" t="str">
        <f aca="false">IF(AND($Y326&lt;&gt;"",OR($AB326="Overdue",AND($AH326="Critical",$R326&lt;&gt;""))),$AF326+ROW()/100000,"")</f>
        <v/>
      </c>
      <c r="AZ326" s="65" t="str">
        <f aca="false">IF($AH326="Critical",$AF326+ROW()/100000,"")</f>
        <v/>
      </c>
    </row>
    <row r="327" customFormat="false" ht="15" hidden="false" customHeight="false" outlineLevel="0" collapsed="false">
      <c r="A327" s="28"/>
      <c r="B327" s="28"/>
      <c r="C327" s="28"/>
      <c r="D327" s="28"/>
      <c r="E327" s="28"/>
      <c r="F327" s="28"/>
      <c r="G327" s="63"/>
      <c r="H327" s="63"/>
      <c r="I327" s="63"/>
      <c r="J327" s="28"/>
      <c r="K327" s="28"/>
      <c r="L327" s="28"/>
      <c r="M327" s="28"/>
      <c r="N327" s="28"/>
      <c r="O327" s="64"/>
      <c r="P327" s="64"/>
      <c r="Q327" s="64"/>
      <c r="R327" s="28"/>
      <c r="S327" s="63"/>
      <c r="T327" s="64"/>
      <c r="U327" s="63"/>
      <c r="V327" s="64"/>
      <c r="W327" s="28"/>
      <c r="X327" s="65" t="str">
        <f aca="false">IF($A327="","",IF(OR($T327&lt;&gt;"",$U327&lt;&gt;""),"Closed",IFERROR(INDEX(MapStage,MATCH($C327,MapStatus,0)),"Unmapped")))</f>
        <v/>
      </c>
      <c r="Y327" s="65" t="str">
        <f aca="false">IF(OR($X327="",$X327="Closed",$X327="Unmapped"),"",MATCH($X327,StageName,0))</f>
        <v/>
      </c>
      <c r="Z327" s="65" t="str">
        <f aca="false">IF(OR($Y327="",$I327=""),"",$I327-AsOf)</f>
        <v/>
      </c>
      <c r="AA327" s="65" t="str">
        <f aca="false">IF($A327="","",AsOf-$H327)</f>
        <v/>
      </c>
      <c r="AB327" s="65" t="str">
        <f aca="false">IF($A327="","",IF($X327="Closed","Closed",IF($X327="Unmapped","Unmapped",IF($I327="","No target",IF($Z327&lt;0,"Overdue",IF($Z327&lt;=INDEX(StageWindow,$Y327),"At risk","On track"))))))</f>
        <v/>
      </c>
      <c r="AC327" s="65" t="str">
        <f aca="false">IF($Y327="","",IF($AA327&gt;2*INDEX(StageStale,$Y327),"Stale",IF($AA327&gt;INDEX(StageStale,$Y327),"Aging","Fresh")))</f>
        <v/>
      </c>
      <c r="AD327" s="65" t="str">
        <f aca="false">IF($A327="","",IF(OR(ISNUMBER(SEARCH("Reg report",$J327)),ISNUMBER(SEARCH("No human review",$J327)),COUNTIF(TierFuncs,$D327)&gt;0),"High",IF(OR(TRIM($J327)&lt;&gt;"",ISNUMBER(SEARCH("revenue",$K327))),"Medium","Low")))</f>
        <v/>
      </c>
      <c r="AE327" s="65" t="str">
        <f aca="false">IF($A327="","",INDEX(TierDays,MATCH($AD327,TierName,0)))</f>
        <v/>
      </c>
      <c r="AF327" s="65" t="str">
        <f aca="false">IF($A327="","",AsOf-$G327)</f>
        <v/>
      </c>
      <c r="AG327" s="65" t="str">
        <f aca="false">IF($Y327="","",IF($Y327&lt;=5,IF($AF327&gt;$AE327,"Over","Inside"),"Past approval"))</f>
        <v/>
      </c>
      <c r="AH327" s="65" t="str">
        <f aca="false">IF($Y327="","",CHOOSE($Y327,IF(OR(TRIM($F327)="",ISNUMBER(SEARCH("not named",$F327))),"Critical","Good"),IF($O327&lt;&gt;"Y","Critical",IF($Q327&lt;&gt;"Y","Warning","Good")),IF($P327="","Critical",IF($P327="partial","Warning",IF($P327="ready","Good","Critical"))),IF($R327&lt;&gt;"","Critical","Warning"),IF($L327="","Critical",IF($N327="","Warning","Good")),IF($R327&lt;&gt;"","Critical","Warning"),IF($R327&lt;&gt;"","Critical","Warning"),IF($Q327="Y","Good","Critical")))</f>
        <v/>
      </c>
      <c r="AI327" s="65" t="str">
        <f aca="false">IF($Y327="","",CHOOSE($Y327,IF(OR(TRIM($F327)="",ISNUMBER(SEARCH("not named",$F327))),"Name a sponsor accountable for the value",""),IF($O327&lt;&gt;"Y","State the success metric and the stop condition",IF($Q327&lt;&gt;"Y","Set the baseline the benefit will be measured against","")),IF($P327="","Assess data readiness and regulatory impact",IF($P327="partial","Close the known data gaps",IF($P327="ready","","Data is not available; reshape or park"))),IF($R327&lt;&gt;"",IF(OR(ISNUMBER(SEARCH("mrm",$R327)),ISNUMBER(SEARCH("model",$R327)),ISNUMBER(SEARCH("risk",$R327)),ISNUMBER(SEARCH("legal",$R327)),ISNUMBER(SEARCH("complian",$R327))),"Awaiting ","Held at the design gate: ")&amp;$R327,"Map the governance framework for its tier"),IF($L327="","Size the annual benefit",IF($N327="","Score it so it can be ranked against capacity","")),IF($R327&lt;&gt;"","Build held: "&amp;$R327,"In build, not yet through test"),IF($R327&lt;&gt;"","Not ready to scale: "&amp;$R327,"Monitoring and third-party review not yet signed off"),IF($Q327="Y","","Live without a measured baseline to judge it against")))</f>
        <v/>
      </c>
      <c r="AJ327" s="65" t="str">
        <f aca="false">IF($Y327="","",INDEX(StageForum,$Y327))</f>
        <v/>
      </c>
      <c r="AK327" s="65" t="str">
        <f aca="false">IF($Y327="","",IF(OR($X327="Delivery",$X327="Value"),"Committed",IF($N327&lt;&gt;"","Candidate","")))</f>
        <v/>
      </c>
      <c r="AL327" s="65" t="str">
        <f aca="false">IF($AK327&lt;&gt;"Candidate","",COUNTIFS($AK$2:$AK$501,"Candidate",$N$2:$N$501,"&gt;"&amp;$N327)+COUNTIFS($AK$2:$AK$501,"Candidate",$N$2:$N$501,$N327,$A$2:$A$501,"&lt;"&amp;$A327)+1)</f>
        <v/>
      </c>
      <c r="AM327" s="65" t="str">
        <f aca="false">IF($AL327="","",SUMIFS($M$2:$M$501,$AK$2:$AK$501,"Candidate",$AL$2:$AL$501,"&lt;="&amp;$AL327))</f>
        <v/>
      </c>
      <c r="AN327" s="65" t="str">
        <f aca="false">IF($AL327="","",IF($AM327&lt;=CapacityOpen,"Fits","Below line"))</f>
        <v/>
      </c>
      <c r="AO327" s="65" t="str">
        <f aca="false">IF($A327="","",IF($X327="Closed","",IF($X327="Unmapped","Warning",IF(OR($AB327="Overdue",$V327="Y",$AH327="Critical"),"Critical",IF(OR($AB327="At risk",$AC327="Stale",$AG327="Over"),"Warning","")))))</f>
        <v/>
      </c>
      <c r="AP327" s="65" t="str">
        <f aca="false">IF($AO327="","",IF($AO327="Critical",3000,2000)-IF($Z327="",0,$Z327)+ROW()/100000)</f>
        <v/>
      </c>
      <c r="AQ327" s="65" t="str">
        <f aca="false">IF($AO327="","",IF($X327="Unmapped","Status '"&amp;$C327&amp;"' is not in the Config map",IF($V327="Y","Flagged in Jira",IF($AB327="Overdue",-$Z327&amp;" days past its "&amp;$X327&amp;" target",IF($AH327="Critical",$AI327,IF($AB327="At risk","Target in "&amp;$Z327&amp;" days",IF($AC327="Stale","No update in "&amp;$AA327&amp;" days","Past its "&amp;$AE327&amp;"-day tier window")))))))</f>
        <v/>
      </c>
      <c r="AR327" s="65" t="str">
        <f aca="false">IF($AO327="","","draft Jira update for "&amp;$A327)</f>
        <v/>
      </c>
      <c r="AS327" s="65" t="str">
        <f aca="false">IF($A327="","",HYPERLINK(JiraSite&amp;"/browse/"&amp;$A327,"open"))</f>
        <v/>
      </c>
      <c r="AT327" s="65" t="str">
        <f aca="false">IF($Y327="","",$Y327*1000+ROW())</f>
        <v/>
      </c>
      <c r="AU327" s="65" t="str">
        <f aca="false">IF(AND($A327&lt;&gt;"",$G327&gt;=WeekStart),$G327+ROW()/100000,"")</f>
        <v/>
      </c>
      <c r="AV327" s="65" t="str">
        <f aca="false">IF($A327="","",IF(OR(AND($S327&lt;&gt;"",$S327&gt;=WeekStart),AND($U327&lt;&gt;"",$U327&gt;=WeekStart)),MAX($S327,$U327)+ROW()/100000,""))</f>
        <v/>
      </c>
      <c r="AW327" s="65" t="str">
        <f aca="false">IF($AV327="","",IF($T327&lt;&gt;"",$T327,IF($X327="Closed","Closed","Accepted to "&amp;$X327)))</f>
        <v/>
      </c>
      <c r="AX327" s="65" t="str">
        <f aca="false">IF(AND($Y327&lt;&gt;"",$R327&lt;&gt;""),$AF327+ROW()/100000,"")</f>
        <v/>
      </c>
      <c r="AY327" s="65" t="str">
        <f aca="false">IF(AND($Y327&lt;&gt;"",OR($AB327="Overdue",AND($AH327="Critical",$R327&lt;&gt;""))),$AF327+ROW()/100000,"")</f>
        <v/>
      </c>
      <c r="AZ327" s="65" t="str">
        <f aca="false">IF($AH327="Critical",$AF327+ROW()/100000,"")</f>
        <v/>
      </c>
    </row>
    <row r="328" customFormat="false" ht="15" hidden="false" customHeight="false" outlineLevel="0" collapsed="false">
      <c r="A328" s="28"/>
      <c r="B328" s="28"/>
      <c r="C328" s="28"/>
      <c r="D328" s="28"/>
      <c r="E328" s="28"/>
      <c r="F328" s="28"/>
      <c r="G328" s="63"/>
      <c r="H328" s="63"/>
      <c r="I328" s="63"/>
      <c r="J328" s="28"/>
      <c r="K328" s="28"/>
      <c r="L328" s="28"/>
      <c r="M328" s="28"/>
      <c r="N328" s="28"/>
      <c r="O328" s="64"/>
      <c r="P328" s="64"/>
      <c r="Q328" s="64"/>
      <c r="R328" s="28"/>
      <c r="S328" s="63"/>
      <c r="T328" s="64"/>
      <c r="U328" s="63"/>
      <c r="V328" s="64"/>
      <c r="W328" s="28"/>
      <c r="X328" s="65" t="str">
        <f aca="false">IF($A328="","",IF(OR($T328&lt;&gt;"",$U328&lt;&gt;""),"Closed",IFERROR(INDEX(MapStage,MATCH($C328,MapStatus,0)),"Unmapped")))</f>
        <v/>
      </c>
      <c r="Y328" s="65" t="str">
        <f aca="false">IF(OR($X328="",$X328="Closed",$X328="Unmapped"),"",MATCH($X328,StageName,0))</f>
        <v/>
      </c>
      <c r="Z328" s="65" t="str">
        <f aca="false">IF(OR($Y328="",$I328=""),"",$I328-AsOf)</f>
        <v/>
      </c>
      <c r="AA328" s="65" t="str">
        <f aca="false">IF($A328="","",AsOf-$H328)</f>
        <v/>
      </c>
      <c r="AB328" s="65" t="str">
        <f aca="false">IF($A328="","",IF($X328="Closed","Closed",IF($X328="Unmapped","Unmapped",IF($I328="","No target",IF($Z328&lt;0,"Overdue",IF($Z328&lt;=INDEX(StageWindow,$Y328),"At risk","On track"))))))</f>
        <v/>
      </c>
      <c r="AC328" s="65" t="str">
        <f aca="false">IF($Y328="","",IF($AA328&gt;2*INDEX(StageStale,$Y328),"Stale",IF($AA328&gt;INDEX(StageStale,$Y328),"Aging","Fresh")))</f>
        <v/>
      </c>
      <c r="AD328" s="65" t="str">
        <f aca="false">IF($A328="","",IF(OR(ISNUMBER(SEARCH("Reg report",$J328)),ISNUMBER(SEARCH("No human review",$J328)),COUNTIF(TierFuncs,$D328)&gt;0),"High",IF(OR(TRIM($J328)&lt;&gt;"",ISNUMBER(SEARCH("revenue",$K328))),"Medium","Low")))</f>
        <v/>
      </c>
      <c r="AE328" s="65" t="str">
        <f aca="false">IF($A328="","",INDEX(TierDays,MATCH($AD328,TierName,0)))</f>
        <v/>
      </c>
      <c r="AF328" s="65" t="str">
        <f aca="false">IF($A328="","",AsOf-$G328)</f>
        <v/>
      </c>
      <c r="AG328" s="65" t="str">
        <f aca="false">IF($Y328="","",IF($Y328&lt;=5,IF($AF328&gt;$AE328,"Over","Inside"),"Past approval"))</f>
        <v/>
      </c>
      <c r="AH328" s="65" t="str">
        <f aca="false">IF($Y328="","",CHOOSE($Y328,IF(OR(TRIM($F328)="",ISNUMBER(SEARCH("not named",$F328))),"Critical","Good"),IF($O328&lt;&gt;"Y","Critical",IF($Q328&lt;&gt;"Y","Warning","Good")),IF($P328="","Critical",IF($P328="partial","Warning",IF($P328="ready","Good","Critical"))),IF($R328&lt;&gt;"","Critical","Warning"),IF($L328="","Critical",IF($N328="","Warning","Good")),IF($R328&lt;&gt;"","Critical","Warning"),IF($R328&lt;&gt;"","Critical","Warning"),IF($Q328="Y","Good","Critical")))</f>
        <v/>
      </c>
      <c r="AI328" s="65" t="str">
        <f aca="false">IF($Y328="","",CHOOSE($Y328,IF(OR(TRIM($F328)="",ISNUMBER(SEARCH("not named",$F328))),"Name a sponsor accountable for the value",""),IF($O328&lt;&gt;"Y","State the success metric and the stop condition",IF($Q328&lt;&gt;"Y","Set the baseline the benefit will be measured against","")),IF($P328="","Assess data readiness and regulatory impact",IF($P328="partial","Close the known data gaps",IF($P328="ready","","Data is not available; reshape or park"))),IF($R328&lt;&gt;"",IF(OR(ISNUMBER(SEARCH("mrm",$R328)),ISNUMBER(SEARCH("model",$R328)),ISNUMBER(SEARCH("risk",$R328)),ISNUMBER(SEARCH("legal",$R328)),ISNUMBER(SEARCH("complian",$R328))),"Awaiting ","Held at the design gate: ")&amp;$R328,"Map the governance framework for its tier"),IF($L328="","Size the annual benefit",IF($N328="","Score it so it can be ranked against capacity","")),IF($R328&lt;&gt;"","Build held: "&amp;$R328,"In build, not yet through test"),IF($R328&lt;&gt;"","Not ready to scale: "&amp;$R328,"Monitoring and third-party review not yet signed off"),IF($Q328="Y","","Live without a measured baseline to judge it against")))</f>
        <v/>
      </c>
      <c r="AJ328" s="65" t="str">
        <f aca="false">IF($Y328="","",INDEX(StageForum,$Y328))</f>
        <v/>
      </c>
      <c r="AK328" s="65" t="str">
        <f aca="false">IF($Y328="","",IF(OR($X328="Delivery",$X328="Value"),"Committed",IF($N328&lt;&gt;"","Candidate","")))</f>
        <v/>
      </c>
      <c r="AL328" s="65" t="str">
        <f aca="false">IF($AK328&lt;&gt;"Candidate","",COUNTIFS($AK$2:$AK$501,"Candidate",$N$2:$N$501,"&gt;"&amp;$N328)+COUNTIFS($AK$2:$AK$501,"Candidate",$N$2:$N$501,$N328,$A$2:$A$501,"&lt;"&amp;$A328)+1)</f>
        <v/>
      </c>
      <c r="AM328" s="65" t="str">
        <f aca="false">IF($AL328="","",SUMIFS($M$2:$M$501,$AK$2:$AK$501,"Candidate",$AL$2:$AL$501,"&lt;="&amp;$AL328))</f>
        <v/>
      </c>
      <c r="AN328" s="65" t="str">
        <f aca="false">IF($AL328="","",IF($AM328&lt;=CapacityOpen,"Fits","Below line"))</f>
        <v/>
      </c>
      <c r="AO328" s="65" t="str">
        <f aca="false">IF($A328="","",IF($X328="Closed","",IF($X328="Unmapped","Warning",IF(OR($AB328="Overdue",$V328="Y",$AH328="Critical"),"Critical",IF(OR($AB328="At risk",$AC328="Stale",$AG328="Over"),"Warning","")))))</f>
        <v/>
      </c>
      <c r="AP328" s="65" t="str">
        <f aca="false">IF($AO328="","",IF($AO328="Critical",3000,2000)-IF($Z328="",0,$Z328)+ROW()/100000)</f>
        <v/>
      </c>
      <c r="AQ328" s="65" t="str">
        <f aca="false">IF($AO328="","",IF($X328="Unmapped","Status '"&amp;$C328&amp;"' is not in the Config map",IF($V328="Y","Flagged in Jira",IF($AB328="Overdue",-$Z328&amp;" days past its "&amp;$X328&amp;" target",IF($AH328="Critical",$AI328,IF($AB328="At risk","Target in "&amp;$Z328&amp;" days",IF($AC328="Stale","No update in "&amp;$AA328&amp;" days","Past its "&amp;$AE328&amp;"-day tier window")))))))</f>
        <v/>
      </c>
      <c r="AR328" s="65" t="str">
        <f aca="false">IF($AO328="","","draft Jira update for "&amp;$A328)</f>
        <v/>
      </c>
      <c r="AS328" s="65" t="str">
        <f aca="false">IF($A328="","",HYPERLINK(JiraSite&amp;"/browse/"&amp;$A328,"open"))</f>
        <v/>
      </c>
      <c r="AT328" s="65" t="str">
        <f aca="false">IF($Y328="","",$Y328*1000+ROW())</f>
        <v/>
      </c>
      <c r="AU328" s="65" t="str">
        <f aca="false">IF(AND($A328&lt;&gt;"",$G328&gt;=WeekStart),$G328+ROW()/100000,"")</f>
        <v/>
      </c>
      <c r="AV328" s="65" t="str">
        <f aca="false">IF($A328="","",IF(OR(AND($S328&lt;&gt;"",$S328&gt;=WeekStart),AND($U328&lt;&gt;"",$U328&gt;=WeekStart)),MAX($S328,$U328)+ROW()/100000,""))</f>
        <v/>
      </c>
      <c r="AW328" s="65" t="str">
        <f aca="false">IF($AV328="","",IF($T328&lt;&gt;"",$T328,IF($X328="Closed","Closed","Accepted to "&amp;$X328)))</f>
        <v/>
      </c>
      <c r="AX328" s="65" t="str">
        <f aca="false">IF(AND($Y328&lt;&gt;"",$R328&lt;&gt;""),$AF328+ROW()/100000,"")</f>
        <v/>
      </c>
      <c r="AY328" s="65" t="str">
        <f aca="false">IF(AND($Y328&lt;&gt;"",OR($AB328="Overdue",AND($AH328="Critical",$R328&lt;&gt;""))),$AF328+ROW()/100000,"")</f>
        <v/>
      </c>
      <c r="AZ328" s="65" t="str">
        <f aca="false">IF($AH328="Critical",$AF328+ROW()/100000,"")</f>
        <v/>
      </c>
    </row>
    <row r="329" customFormat="false" ht="15" hidden="false" customHeight="false" outlineLevel="0" collapsed="false">
      <c r="A329" s="28"/>
      <c r="B329" s="28"/>
      <c r="C329" s="28"/>
      <c r="D329" s="28"/>
      <c r="E329" s="28"/>
      <c r="F329" s="28"/>
      <c r="G329" s="63"/>
      <c r="H329" s="63"/>
      <c r="I329" s="63"/>
      <c r="J329" s="28"/>
      <c r="K329" s="28"/>
      <c r="L329" s="28"/>
      <c r="M329" s="28"/>
      <c r="N329" s="28"/>
      <c r="O329" s="64"/>
      <c r="P329" s="64"/>
      <c r="Q329" s="64"/>
      <c r="R329" s="28"/>
      <c r="S329" s="63"/>
      <c r="T329" s="64"/>
      <c r="U329" s="63"/>
      <c r="V329" s="64"/>
      <c r="W329" s="28"/>
      <c r="X329" s="65" t="str">
        <f aca="false">IF($A329="","",IF(OR($T329&lt;&gt;"",$U329&lt;&gt;""),"Closed",IFERROR(INDEX(MapStage,MATCH($C329,MapStatus,0)),"Unmapped")))</f>
        <v/>
      </c>
      <c r="Y329" s="65" t="str">
        <f aca="false">IF(OR($X329="",$X329="Closed",$X329="Unmapped"),"",MATCH($X329,StageName,0))</f>
        <v/>
      </c>
      <c r="Z329" s="65" t="str">
        <f aca="false">IF(OR($Y329="",$I329=""),"",$I329-AsOf)</f>
        <v/>
      </c>
      <c r="AA329" s="65" t="str">
        <f aca="false">IF($A329="","",AsOf-$H329)</f>
        <v/>
      </c>
      <c r="AB329" s="65" t="str">
        <f aca="false">IF($A329="","",IF($X329="Closed","Closed",IF($X329="Unmapped","Unmapped",IF($I329="","No target",IF($Z329&lt;0,"Overdue",IF($Z329&lt;=INDEX(StageWindow,$Y329),"At risk","On track"))))))</f>
        <v/>
      </c>
      <c r="AC329" s="65" t="str">
        <f aca="false">IF($Y329="","",IF($AA329&gt;2*INDEX(StageStale,$Y329),"Stale",IF($AA329&gt;INDEX(StageStale,$Y329),"Aging","Fresh")))</f>
        <v/>
      </c>
      <c r="AD329" s="65" t="str">
        <f aca="false">IF($A329="","",IF(OR(ISNUMBER(SEARCH("Reg report",$J329)),ISNUMBER(SEARCH("No human review",$J329)),COUNTIF(TierFuncs,$D329)&gt;0),"High",IF(OR(TRIM($J329)&lt;&gt;"",ISNUMBER(SEARCH("revenue",$K329))),"Medium","Low")))</f>
        <v/>
      </c>
      <c r="AE329" s="65" t="str">
        <f aca="false">IF($A329="","",INDEX(TierDays,MATCH($AD329,TierName,0)))</f>
        <v/>
      </c>
      <c r="AF329" s="65" t="str">
        <f aca="false">IF($A329="","",AsOf-$G329)</f>
        <v/>
      </c>
      <c r="AG329" s="65" t="str">
        <f aca="false">IF($Y329="","",IF($Y329&lt;=5,IF($AF329&gt;$AE329,"Over","Inside"),"Past approval"))</f>
        <v/>
      </c>
      <c r="AH329" s="65" t="str">
        <f aca="false">IF($Y329="","",CHOOSE($Y329,IF(OR(TRIM($F329)="",ISNUMBER(SEARCH("not named",$F329))),"Critical","Good"),IF($O329&lt;&gt;"Y","Critical",IF($Q329&lt;&gt;"Y","Warning","Good")),IF($P329="","Critical",IF($P329="partial","Warning",IF($P329="ready","Good","Critical"))),IF($R329&lt;&gt;"","Critical","Warning"),IF($L329="","Critical",IF($N329="","Warning","Good")),IF($R329&lt;&gt;"","Critical","Warning"),IF($R329&lt;&gt;"","Critical","Warning"),IF($Q329="Y","Good","Critical")))</f>
        <v/>
      </c>
      <c r="AI329" s="65" t="str">
        <f aca="false">IF($Y329="","",CHOOSE($Y329,IF(OR(TRIM($F329)="",ISNUMBER(SEARCH("not named",$F329))),"Name a sponsor accountable for the value",""),IF($O329&lt;&gt;"Y","State the success metric and the stop condition",IF($Q329&lt;&gt;"Y","Set the baseline the benefit will be measured against","")),IF($P329="","Assess data readiness and regulatory impact",IF($P329="partial","Close the known data gaps",IF($P329="ready","","Data is not available; reshape or park"))),IF($R329&lt;&gt;"",IF(OR(ISNUMBER(SEARCH("mrm",$R329)),ISNUMBER(SEARCH("model",$R329)),ISNUMBER(SEARCH("risk",$R329)),ISNUMBER(SEARCH("legal",$R329)),ISNUMBER(SEARCH("complian",$R329))),"Awaiting ","Held at the design gate: ")&amp;$R329,"Map the governance framework for its tier"),IF($L329="","Size the annual benefit",IF($N329="","Score it so it can be ranked against capacity","")),IF($R329&lt;&gt;"","Build held: "&amp;$R329,"In build, not yet through test"),IF($R329&lt;&gt;"","Not ready to scale: "&amp;$R329,"Monitoring and third-party review not yet signed off"),IF($Q329="Y","","Live without a measured baseline to judge it against")))</f>
        <v/>
      </c>
      <c r="AJ329" s="65" t="str">
        <f aca="false">IF($Y329="","",INDEX(StageForum,$Y329))</f>
        <v/>
      </c>
      <c r="AK329" s="65" t="str">
        <f aca="false">IF($Y329="","",IF(OR($X329="Delivery",$X329="Value"),"Committed",IF($N329&lt;&gt;"","Candidate","")))</f>
        <v/>
      </c>
      <c r="AL329" s="65" t="str">
        <f aca="false">IF($AK329&lt;&gt;"Candidate","",COUNTIFS($AK$2:$AK$501,"Candidate",$N$2:$N$501,"&gt;"&amp;$N329)+COUNTIFS($AK$2:$AK$501,"Candidate",$N$2:$N$501,$N329,$A$2:$A$501,"&lt;"&amp;$A329)+1)</f>
        <v/>
      </c>
      <c r="AM329" s="65" t="str">
        <f aca="false">IF($AL329="","",SUMIFS($M$2:$M$501,$AK$2:$AK$501,"Candidate",$AL$2:$AL$501,"&lt;="&amp;$AL329))</f>
        <v/>
      </c>
      <c r="AN329" s="65" t="str">
        <f aca="false">IF($AL329="","",IF($AM329&lt;=CapacityOpen,"Fits","Below line"))</f>
        <v/>
      </c>
      <c r="AO329" s="65" t="str">
        <f aca="false">IF($A329="","",IF($X329="Closed","",IF($X329="Unmapped","Warning",IF(OR($AB329="Overdue",$V329="Y",$AH329="Critical"),"Critical",IF(OR($AB329="At risk",$AC329="Stale",$AG329="Over"),"Warning","")))))</f>
        <v/>
      </c>
      <c r="AP329" s="65" t="str">
        <f aca="false">IF($AO329="","",IF($AO329="Critical",3000,2000)-IF($Z329="",0,$Z329)+ROW()/100000)</f>
        <v/>
      </c>
      <c r="AQ329" s="65" t="str">
        <f aca="false">IF($AO329="","",IF($X329="Unmapped","Status '"&amp;$C329&amp;"' is not in the Config map",IF($V329="Y","Flagged in Jira",IF($AB329="Overdue",-$Z329&amp;" days past its "&amp;$X329&amp;" target",IF($AH329="Critical",$AI329,IF($AB329="At risk","Target in "&amp;$Z329&amp;" days",IF($AC329="Stale","No update in "&amp;$AA329&amp;" days","Past its "&amp;$AE329&amp;"-day tier window")))))))</f>
        <v/>
      </c>
      <c r="AR329" s="65" t="str">
        <f aca="false">IF($AO329="","","draft Jira update for "&amp;$A329)</f>
        <v/>
      </c>
      <c r="AS329" s="65" t="str">
        <f aca="false">IF($A329="","",HYPERLINK(JiraSite&amp;"/browse/"&amp;$A329,"open"))</f>
        <v/>
      </c>
      <c r="AT329" s="65" t="str">
        <f aca="false">IF($Y329="","",$Y329*1000+ROW())</f>
        <v/>
      </c>
      <c r="AU329" s="65" t="str">
        <f aca="false">IF(AND($A329&lt;&gt;"",$G329&gt;=WeekStart),$G329+ROW()/100000,"")</f>
        <v/>
      </c>
      <c r="AV329" s="65" t="str">
        <f aca="false">IF($A329="","",IF(OR(AND($S329&lt;&gt;"",$S329&gt;=WeekStart),AND($U329&lt;&gt;"",$U329&gt;=WeekStart)),MAX($S329,$U329)+ROW()/100000,""))</f>
        <v/>
      </c>
      <c r="AW329" s="65" t="str">
        <f aca="false">IF($AV329="","",IF($T329&lt;&gt;"",$T329,IF($X329="Closed","Closed","Accepted to "&amp;$X329)))</f>
        <v/>
      </c>
      <c r="AX329" s="65" t="str">
        <f aca="false">IF(AND($Y329&lt;&gt;"",$R329&lt;&gt;""),$AF329+ROW()/100000,"")</f>
        <v/>
      </c>
      <c r="AY329" s="65" t="str">
        <f aca="false">IF(AND($Y329&lt;&gt;"",OR($AB329="Overdue",AND($AH329="Critical",$R329&lt;&gt;""))),$AF329+ROW()/100000,"")</f>
        <v/>
      </c>
      <c r="AZ329" s="65" t="str">
        <f aca="false">IF($AH329="Critical",$AF329+ROW()/100000,"")</f>
        <v/>
      </c>
    </row>
    <row r="330" customFormat="false" ht="15" hidden="false" customHeight="false" outlineLevel="0" collapsed="false">
      <c r="A330" s="28"/>
      <c r="B330" s="28"/>
      <c r="C330" s="28"/>
      <c r="D330" s="28"/>
      <c r="E330" s="28"/>
      <c r="F330" s="28"/>
      <c r="G330" s="63"/>
      <c r="H330" s="63"/>
      <c r="I330" s="63"/>
      <c r="J330" s="28"/>
      <c r="K330" s="28"/>
      <c r="L330" s="28"/>
      <c r="M330" s="28"/>
      <c r="N330" s="28"/>
      <c r="O330" s="64"/>
      <c r="P330" s="64"/>
      <c r="Q330" s="64"/>
      <c r="R330" s="28"/>
      <c r="S330" s="63"/>
      <c r="T330" s="64"/>
      <c r="U330" s="63"/>
      <c r="V330" s="64"/>
      <c r="W330" s="28"/>
      <c r="X330" s="65" t="str">
        <f aca="false">IF($A330="","",IF(OR($T330&lt;&gt;"",$U330&lt;&gt;""),"Closed",IFERROR(INDEX(MapStage,MATCH($C330,MapStatus,0)),"Unmapped")))</f>
        <v/>
      </c>
      <c r="Y330" s="65" t="str">
        <f aca="false">IF(OR($X330="",$X330="Closed",$X330="Unmapped"),"",MATCH($X330,StageName,0))</f>
        <v/>
      </c>
      <c r="Z330" s="65" t="str">
        <f aca="false">IF(OR($Y330="",$I330=""),"",$I330-AsOf)</f>
        <v/>
      </c>
      <c r="AA330" s="65" t="str">
        <f aca="false">IF($A330="","",AsOf-$H330)</f>
        <v/>
      </c>
      <c r="AB330" s="65" t="str">
        <f aca="false">IF($A330="","",IF($X330="Closed","Closed",IF($X330="Unmapped","Unmapped",IF($I330="","No target",IF($Z330&lt;0,"Overdue",IF($Z330&lt;=INDEX(StageWindow,$Y330),"At risk","On track"))))))</f>
        <v/>
      </c>
      <c r="AC330" s="65" t="str">
        <f aca="false">IF($Y330="","",IF($AA330&gt;2*INDEX(StageStale,$Y330),"Stale",IF($AA330&gt;INDEX(StageStale,$Y330),"Aging","Fresh")))</f>
        <v/>
      </c>
      <c r="AD330" s="65" t="str">
        <f aca="false">IF($A330="","",IF(OR(ISNUMBER(SEARCH("Reg report",$J330)),ISNUMBER(SEARCH("No human review",$J330)),COUNTIF(TierFuncs,$D330)&gt;0),"High",IF(OR(TRIM($J330)&lt;&gt;"",ISNUMBER(SEARCH("revenue",$K330))),"Medium","Low")))</f>
        <v/>
      </c>
      <c r="AE330" s="65" t="str">
        <f aca="false">IF($A330="","",INDEX(TierDays,MATCH($AD330,TierName,0)))</f>
        <v/>
      </c>
      <c r="AF330" s="65" t="str">
        <f aca="false">IF($A330="","",AsOf-$G330)</f>
        <v/>
      </c>
      <c r="AG330" s="65" t="str">
        <f aca="false">IF($Y330="","",IF($Y330&lt;=5,IF($AF330&gt;$AE330,"Over","Inside"),"Past approval"))</f>
        <v/>
      </c>
      <c r="AH330" s="65" t="str">
        <f aca="false">IF($Y330="","",CHOOSE($Y330,IF(OR(TRIM($F330)="",ISNUMBER(SEARCH("not named",$F330))),"Critical","Good"),IF($O330&lt;&gt;"Y","Critical",IF($Q330&lt;&gt;"Y","Warning","Good")),IF($P330="","Critical",IF($P330="partial","Warning",IF($P330="ready","Good","Critical"))),IF($R330&lt;&gt;"","Critical","Warning"),IF($L330="","Critical",IF($N330="","Warning","Good")),IF($R330&lt;&gt;"","Critical","Warning"),IF($R330&lt;&gt;"","Critical","Warning"),IF($Q330="Y","Good","Critical")))</f>
        <v/>
      </c>
      <c r="AI330" s="65" t="str">
        <f aca="false">IF($Y330="","",CHOOSE($Y330,IF(OR(TRIM($F330)="",ISNUMBER(SEARCH("not named",$F330))),"Name a sponsor accountable for the value",""),IF($O330&lt;&gt;"Y","State the success metric and the stop condition",IF($Q330&lt;&gt;"Y","Set the baseline the benefit will be measured against","")),IF($P330="","Assess data readiness and regulatory impact",IF($P330="partial","Close the known data gaps",IF($P330="ready","","Data is not available; reshape or park"))),IF($R330&lt;&gt;"",IF(OR(ISNUMBER(SEARCH("mrm",$R330)),ISNUMBER(SEARCH("model",$R330)),ISNUMBER(SEARCH("risk",$R330)),ISNUMBER(SEARCH("legal",$R330)),ISNUMBER(SEARCH("complian",$R330))),"Awaiting ","Held at the design gate: ")&amp;$R330,"Map the governance framework for its tier"),IF($L330="","Size the annual benefit",IF($N330="","Score it so it can be ranked against capacity","")),IF($R330&lt;&gt;"","Build held: "&amp;$R330,"In build, not yet through test"),IF($R330&lt;&gt;"","Not ready to scale: "&amp;$R330,"Monitoring and third-party review not yet signed off"),IF($Q330="Y","","Live without a measured baseline to judge it against")))</f>
        <v/>
      </c>
      <c r="AJ330" s="65" t="str">
        <f aca="false">IF($Y330="","",INDEX(StageForum,$Y330))</f>
        <v/>
      </c>
      <c r="AK330" s="65" t="str">
        <f aca="false">IF($Y330="","",IF(OR($X330="Delivery",$X330="Value"),"Committed",IF($N330&lt;&gt;"","Candidate","")))</f>
        <v/>
      </c>
      <c r="AL330" s="65" t="str">
        <f aca="false">IF($AK330&lt;&gt;"Candidate","",COUNTIFS($AK$2:$AK$501,"Candidate",$N$2:$N$501,"&gt;"&amp;$N330)+COUNTIFS($AK$2:$AK$501,"Candidate",$N$2:$N$501,$N330,$A$2:$A$501,"&lt;"&amp;$A330)+1)</f>
        <v/>
      </c>
      <c r="AM330" s="65" t="str">
        <f aca="false">IF($AL330="","",SUMIFS($M$2:$M$501,$AK$2:$AK$501,"Candidate",$AL$2:$AL$501,"&lt;="&amp;$AL330))</f>
        <v/>
      </c>
      <c r="AN330" s="65" t="str">
        <f aca="false">IF($AL330="","",IF($AM330&lt;=CapacityOpen,"Fits","Below line"))</f>
        <v/>
      </c>
      <c r="AO330" s="65" t="str">
        <f aca="false">IF($A330="","",IF($X330="Closed","",IF($X330="Unmapped","Warning",IF(OR($AB330="Overdue",$V330="Y",$AH330="Critical"),"Critical",IF(OR($AB330="At risk",$AC330="Stale",$AG330="Over"),"Warning","")))))</f>
        <v/>
      </c>
      <c r="AP330" s="65" t="str">
        <f aca="false">IF($AO330="","",IF($AO330="Critical",3000,2000)-IF($Z330="",0,$Z330)+ROW()/100000)</f>
        <v/>
      </c>
      <c r="AQ330" s="65" t="str">
        <f aca="false">IF($AO330="","",IF($X330="Unmapped","Status '"&amp;$C330&amp;"' is not in the Config map",IF($V330="Y","Flagged in Jira",IF($AB330="Overdue",-$Z330&amp;" days past its "&amp;$X330&amp;" target",IF($AH330="Critical",$AI330,IF($AB330="At risk","Target in "&amp;$Z330&amp;" days",IF($AC330="Stale","No update in "&amp;$AA330&amp;" days","Past its "&amp;$AE330&amp;"-day tier window")))))))</f>
        <v/>
      </c>
      <c r="AR330" s="65" t="str">
        <f aca="false">IF($AO330="","","draft Jira update for "&amp;$A330)</f>
        <v/>
      </c>
      <c r="AS330" s="65" t="str">
        <f aca="false">IF($A330="","",HYPERLINK(JiraSite&amp;"/browse/"&amp;$A330,"open"))</f>
        <v/>
      </c>
      <c r="AT330" s="65" t="str">
        <f aca="false">IF($Y330="","",$Y330*1000+ROW())</f>
        <v/>
      </c>
      <c r="AU330" s="65" t="str">
        <f aca="false">IF(AND($A330&lt;&gt;"",$G330&gt;=WeekStart),$G330+ROW()/100000,"")</f>
        <v/>
      </c>
      <c r="AV330" s="65" t="str">
        <f aca="false">IF($A330="","",IF(OR(AND($S330&lt;&gt;"",$S330&gt;=WeekStart),AND($U330&lt;&gt;"",$U330&gt;=WeekStart)),MAX($S330,$U330)+ROW()/100000,""))</f>
        <v/>
      </c>
      <c r="AW330" s="65" t="str">
        <f aca="false">IF($AV330="","",IF($T330&lt;&gt;"",$T330,IF($X330="Closed","Closed","Accepted to "&amp;$X330)))</f>
        <v/>
      </c>
      <c r="AX330" s="65" t="str">
        <f aca="false">IF(AND($Y330&lt;&gt;"",$R330&lt;&gt;""),$AF330+ROW()/100000,"")</f>
        <v/>
      </c>
      <c r="AY330" s="65" t="str">
        <f aca="false">IF(AND($Y330&lt;&gt;"",OR($AB330="Overdue",AND($AH330="Critical",$R330&lt;&gt;""))),$AF330+ROW()/100000,"")</f>
        <v/>
      </c>
      <c r="AZ330" s="65" t="str">
        <f aca="false">IF($AH330="Critical",$AF330+ROW()/100000,"")</f>
        <v/>
      </c>
    </row>
    <row r="331" customFormat="false" ht="15" hidden="false" customHeight="false" outlineLevel="0" collapsed="false">
      <c r="A331" s="28"/>
      <c r="B331" s="28"/>
      <c r="C331" s="28"/>
      <c r="D331" s="28"/>
      <c r="E331" s="28"/>
      <c r="F331" s="28"/>
      <c r="G331" s="63"/>
      <c r="H331" s="63"/>
      <c r="I331" s="63"/>
      <c r="J331" s="28"/>
      <c r="K331" s="28"/>
      <c r="L331" s="28"/>
      <c r="M331" s="28"/>
      <c r="N331" s="28"/>
      <c r="O331" s="64"/>
      <c r="P331" s="64"/>
      <c r="Q331" s="64"/>
      <c r="R331" s="28"/>
      <c r="S331" s="63"/>
      <c r="T331" s="64"/>
      <c r="U331" s="63"/>
      <c r="V331" s="64"/>
      <c r="W331" s="28"/>
      <c r="X331" s="65" t="str">
        <f aca="false">IF($A331="","",IF(OR($T331&lt;&gt;"",$U331&lt;&gt;""),"Closed",IFERROR(INDEX(MapStage,MATCH($C331,MapStatus,0)),"Unmapped")))</f>
        <v/>
      </c>
      <c r="Y331" s="65" t="str">
        <f aca="false">IF(OR($X331="",$X331="Closed",$X331="Unmapped"),"",MATCH($X331,StageName,0))</f>
        <v/>
      </c>
      <c r="Z331" s="65" t="str">
        <f aca="false">IF(OR($Y331="",$I331=""),"",$I331-AsOf)</f>
        <v/>
      </c>
      <c r="AA331" s="65" t="str">
        <f aca="false">IF($A331="","",AsOf-$H331)</f>
        <v/>
      </c>
      <c r="AB331" s="65" t="str">
        <f aca="false">IF($A331="","",IF($X331="Closed","Closed",IF($X331="Unmapped","Unmapped",IF($I331="","No target",IF($Z331&lt;0,"Overdue",IF($Z331&lt;=INDEX(StageWindow,$Y331),"At risk","On track"))))))</f>
        <v/>
      </c>
      <c r="AC331" s="65" t="str">
        <f aca="false">IF($Y331="","",IF($AA331&gt;2*INDEX(StageStale,$Y331),"Stale",IF($AA331&gt;INDEX(StageStale,$Y331),"Aging","Fresh")))</f>
        <v/>
      </c>
      <c r="AD331" s="65" t="str">
        <f aca="false">IF($A331="","",IF(OR(ISNUMBER(SEARCH("Reg report",$J331)),ISNUMBER(SEARCH("No human review",$J331)),COUNTIF(TierFuncs,$D331)&gt;0),"High",IF(OR(TRIM($J331)&lt;&gt;"",ISNUMBER(SEARCH("revenue",$K331))),"Medium","Low")))</f>
        <v/>
      </c>
      <c r="AE331" s="65" t="str">
        <f aca="false">IF($A331="","",INDEX(TierDays,MATCH($AD331,TierName,0)))</f>
        <v/>
      </c>
      <c r="AF331" s="65" t="str">
        <f aca="false">IF($A331="","",AsOf-$G331)</f>
        <v/>
      </c>
      <c r="AG331" s="65" t="str">
        <f aca="false">IF($Y331="","",IF($Y331&lt;=5,IF($AF331&gt;$AE331,"Over","Inside"),"Past approval"))</f>
        <v/>
      </c>
      <c r="AH331" s="65" t="str">
        <f aca="false">IF($Y331="","",CHOOSE($Y331,IF(OR(TRIM($F331)="",ISNUMBER(SEARCH("not named",$F331))),"Critical","Good"),IF($O331&lt;&gt;"Y","Critical",IF($Q331&lt;&gt;"Y","Warning","Good")),IF($P331="","Critical",IF($P331="partial","Warning",IF($P331="ready","Good","Critical"))),IF($R331&lt;&gt;"","Critical","Warning"),IF($L331="","Critical",IF($N331="","Warning","Good")),IF($R331&lt;&gt;"","Critical","Warning"),IF($R331&lt;&gt;"","Critical","Warning"),IF($Q331="Y","Good","Critical")))</f>
        <v/>
      </c>
      <c r="AI331" s="65" t="str">
        <f aca="false">IF($Y331="","",CHOOSE($Y331,IF(OR(TRIM($F331)="",ISNUMBER(SEARCH("not named",$F331))),"Name a sponsor accountable for the value",""),IF($O331&lt;&gt;"Y","State the success metric and the stop condition",IF($Q331&lt;&gt;"Y","Set the baseline the benefit will be measured against","")),IF($P331="","Assess data readiness and regulatory impact",IF($P331="partial","Close the known data gaps",IF($P331="ready","","Data is not available; reshape or park"))),IF($R331&lt;&gt;"",IF(OR(ISNUMBER(SEARCH("mrm",$R331)),ISNUMBER(SEARCH("model",$R331)),ISNUMBER(SEARCH("risk",$R331)),ISNUMBER(SEARCH("legal",$R331)),ISNUMBER(SEARCH("complian",$R331))),"Awaiting ","Held at the design gate: ")&amp;$R331,"Map the governance framework for its tier"),IF($L331="","Size the annual benefit",IF($N331="","Score it so it can be ranked against capacity","")),IF($R331&lt;&gt;"","Build held: "&amp;$R331,"In build, not yet through test"),IF($R331&lt;&gt;"","Not ready to scale: "&amp;$R331,"Monitoring and third-party review not yet signed off"),IF($Q331="Y","","Live without a measured baseline to judge it against")))</f>
        <v/>
      </c>
      <c r="AJ331" s="65" t="str">
        <f aca="false">IF($Y331="","",INDEX(StageForum,$Y331))</f>
        <v/>
      </c>
      <c r="AK331" s="65" t="str">
        <f aca="false">IF($Y331="","",IF(OR($X331="Delivery",$X331="Value"),"Committed",IF($N331&lt;&gt;"","Candidate","")))</f>
        <v/>
      </c>
      <c r="AL331" s="65" t="str">
        <f aca="false">IF($AK331&lt;&gt;"Candidate","",COUNTIFS($AK$2:$AK$501,"Candidate",$N$2:$N$501,"&gt;"&amp;$N331)+COUNTIFS($AK$2:$AK$501,"Candidate",$N$2:$N$501,$N331,$A$2:$A$501,"&lt;"&amp;$A331)+1)</f>
        <v/>
      </c>
      <c r="AM331" s="65" t="str">
        <f aca="false">IF($AL331="","",SUMIFS($M$2:$M$501,$AK$2:$AK$501,"Candidate",$AL$2:$AL$501,"&lt;="&amp;$AL331))</f>
        <v/>
      </c>
      <c r="AN331" s="65" t="str">
        <f aca="false">IF($AL331="","",IF($AM331&lt;=CapacityOpen,"Fits","Below line"))</f>
        <v/>
      </c>
      <c r="AO331" s="65" t="str">
        <f aca="false">IF($A331="","",IF($X331="Closed","",IF($X331="Unmapped","Warning",IF(OR($AB331="Overdue",$V331="Y",$AH331="Critical"),"Critical",IF(OR($AB331="At risk",$AC331="Stale",$AG331="Over"),"Warning","")))))</f>
        <v/>
      </c>
      <c r="AP331" s="65" t="str">
        <f aca="false">IF($AO331="","",IF($AO331="Critical",3000,2000)-IF($Z331="",0,$Z331)+ROW()/100000)</f>
        <v/>
      </c>
      <c r="AQ331" s="65" t="str">
        <f aca="false">IF($AO331="","",IF($X331="Unmapped","Status '"&amp;$C331&amp;"' is not in the Config map",IF($V331="Y","Flagged in Jira",IF($AB331="Overdue",-$Z331&amp;" days past its "&amp;$X331&amp;" target",IF($AH331="Critical",$AI331,IF($AB331="At risk","Target in "&amp;$Z331&amp;" days",IF($AC331="Stale","No update in "&amp;$AA331&amp;" days","Past its "&amp;$AE331&amp;"-day tier window")))))))</f>
        <v/>
      </c>
      <c r="AR331" s="65" t="str">
        <f aca="false">IF($AO331="","","draft Jira update for "&amp;$A331)</f>
        <v/>
      </c>
      <c r="AS331" s="65" t="str">
        <f aca="false">IF($A331="","",HYPERLINK(JiraSite&amp;"/browse/"&amp;$A331,"open"))</f>
        <v/>
      </c>
      <c r="AT331" s="65" t="str">
        <f aca="false">IF($Y331="","",$Y331*1000+ROW())</f>
        <v/>
      </c>
      <c r="AU331" s="65" t="str">
        <f aca="false">IF(AND($A331&lt;&gt;"",$G331&gt;=WeekStart),$G331+ROW()/100000,"")</f>
        <v/>
      </c>
      <c r="AV331" s="65" t="str">
        <f aca="false">IF($A331="","",IF(OR(AND($S331&lt;&gt;"",$S331&gt;=WeekStart),AND($U331&lt;&gt;"",$U331&gt;=WeekStart)),MAX($S331,$U331)+ROW()/100000,""))</f>
        <v/>
      </c>
      <c r="AW331" s="65" t="str">
        <f aca="false">IF($AV331="","",IF($T331&lt;&gt;"",$T331,IF($X331="Closed","Closed","Accepted to "&amp;$X331)))</f>
        <v/>
      </c>
      <c r="AX331" s="65" t="str">
        <f aca="false">IF(AND($Y331&lt;&gt;"",$R331&lt;&gt;""),$AF331+ROW()/100000,"")</f>
        <v/>
      </c>
      <c r="AY331" s="65" t="str">
        <f aca="false">IF(AND($Y331&lt;&gt;"",OR($AB331="Overdue",AND($AH331="Critical",$R331&lt;&gt;""))),$AF331+ROW()/100000,"")</f>
        <v/>
      </c>
      <c r="AZ331" s="65" t="str">
        <f aca="false">IF($AH331="Critical",$AF331+ROW()/100000,"")</f>
        <v/>
      </c>
    </row>
    <row r="332" customFormat="false" ht="15" hidden="false" customHeight="false" outlineLevel="0" collapsed="false">
      <c r="A332" s="28"/>
      <c r="B332" s="28"/>
      <c r="C332" s="28"/>
      <c r="D332" s="28"/>
      <c r="E332" s="28"/>
      <c r="F332" s="28"/>
      <c r="G332" s="63"/>
      <c r="H332" s="63"/>
      <c r="I332" s="63"/>
      <c r="J332" s="28"/>
      <c r="K332" s="28"/>
      <c r="L332" s="28"/>
      <c r="M332" s="28"/>
      <c r="N332" s="28"/>
      <c r="O332" s="64"/>
      <c r="P332" s="64"/>
      <c r="Q332" s="64"/>
      <c r="R332" s="28"/>
      <c r="S332" s="63"/>
      <c r="T332" s="64"/>
      <c r="U332" s="63"/>
      <c r="V332" s="64"/>
      <c r="W332" s="28"/>
      <c r="X332" s="65" t="str">
        <f aca="false">IF($A332="","",IF(OR($T332&lt;&gt;"",$U332&lt;&gt;""),"Closed",IFERROR(INDEX(MapStage,MATCH($C332,MapStatus,0)),"Unmapped")))</f>
        <v/>
      </c>
      <c r="Y332" s="65" t="str">
        <f aca="false">IF(OR($X332="",$X332="Closed",$X332="Unmapped"),"",MATCH($X332,StageName,0))</f>
        <v/>
      </c>
      <c r="Z332" s="65" t="str">
        <f aca="false">IF(OR($Y332="",$I332=""),"",$I332-AsOf)</f>
        <v/>
      </c>
      <c r="AA332" s="65" t="str">
        <f aca="false">IF($A332="","",AsOf-$H332)</f>
        <v/>
      </c>
      <c r="AB332" s="65" t="str">
        <f aca="false">IF($A332="","",IF($X332="Closed","Closed",IF($X332="Unmapped","Unmapped",IF($I332="","No target",IF($Z332&lt;0,"Overdue",IF($Z332&lt;=INDEX(StageWindow,$Y332),"At risk","On track"))))))</f>
        <v/>
      </c>
      <c r="AC332" s="65" t="str">
        <f aca="false">IF($Y332="","",IF($AA332&gt;2*INDEX(StageStale,$Y332),"Stale",IF($AA332&gt;INDEX(StageStale,$Y332),"Aging","Fresh")))</f>
        <v/>
      </c>
      <c r="AD332" s="65" t="str">
        <f aca="false">IF($A332="","",IF(OR(ISNUMBER(SEARCH("Reg report",$J332)),ISNUMBER(SEARCH("No human review",$J332)),COUNTIF(TierFuncs,$D332)&gt;0),"High",IF(OR(TRIM($J332)&lt;&gt;"",ISNUMBER(SEARCH("revenue",$K332))),"Medium","Low")))</f>
        <v/>
      </c>
      <c r="AE332" s="65" t="str">
        <f aca="false">IF($A332="","",INDEX(TierDays,MATCH($AD332,TierName,0)))</f>
        <v/>
      </c>
      <c r="AF332" s="65" t="str">
        <f aca="false">IF($A332="","",AsOf-$G332)</f>
        <v/>
      </c>
      <c r="AG332" s="65" t="str">
        <f aca="false">IF($Y332="","",IF($Y332&lt;=5,IF($AF332&gt;$AE332,"Over","Inside"),"Past approval"))</f>
        <v/>
      </c>
      <c r="AH332" s="65" t="str">
        <f aca="false">IF($Y332="","",CHOOSE($Y332,IF(OR(TRIM($F332)="",ISNUMBER(SEARCH("not named",$F332))),"Critical","Good"),IF($O332&lt;&gt;"Y","Critical",IF($Q332&lt;&gt;"Y","Warning","Good")),IF($P332="","Critical",IF($P332="partial","Warning",IF($P332="ready","Good","Critical"))),IF($R332&lt;&gt;"","Critical","Warning"),IF($L332="","Critical",IF($N332="","Warning","Good")),IF($R332&lt;&gt;"","Critical","Warning"),IF($R332&lt;&gt;"","Critical","Warning"),IF($Q332="Y","Good","Critical")))</f>
        <v/>
      </c>
      <c r="AI332" s="65" t="str">
        <f aca="false">IF($Y332="","",CHOOSE($Y332,IF(OR(TRIM($F332)="",ISNUMBER(SEARCH("not named",$F332))),"Name a sponsor accountable for the value",""),IF($O332&lt;&gt;"Y","State the success metric and the stop condition",IF($Q332&lt;&gt;"Y","Set the baseline the benefit will be measured against","")),IF($P332="","Assess data readiness and regulatory impact",IF($P332="partial","Close the known data gaps",IF($P332="ready","","Data is not available; reshape or park"))),IF($R332&lt;&gt;"",IF(OR(ISNUMBER(SEARCH("mrm",$R332)),ISNUMBER(SEARCH("model",$R332)),ISNUMBER(SEARCH("risk",$R332)),ISNUMBER(SEARCH("legal",$R332)),ISNUMBER(SEARCH("complian",$R332))),"Awaiting ","Held at the design gate: ")&amp;$R332,"Map the governance framework for its tier"),IF($L332="","Size the annual benefit",IF($N332="","Score it so it can be ranked against capacity","")),IF($R332&lt;&gt;"","Build held: "&amp;$R332,"In build, not yet through test"),IF($R332&lt;&gt;"","Not ready to scale: "&amp;$R332,"Monitoring and third-party review not yet signed off"),IF($Q332="Y","","Live without a measured baseline to judge it against")))</f>
        <v/>
      </c>
      <c r="AJ332" s="65" t="str">
        <f aca="false">IF($Y332="","",INDEX(StageForum,$Y332))</f>
        <v/>
      </c>
      <c r="AK332" s="65" t="str">
        <f aca="false">IF($Y332="","",IF(OR($X332="Delivery",$X332="Value"),"Committed",IF($N332&lt;&gt;"","Candidate","")))</f>
        <v/>
      </c>
      <c r="AL332" s="65" t="str">
        <f aca="false">IF($AK332&lt;&gt;"Candidate","",COUNTIFS($AK$2:$AK$501,"Candidate",$N$2:$N$501,"&gt;"&amp;$N332)+COUNTIFS($AK$2:$AK$501,"Candidate",$N$2:$N$501,$N332,$A$2:$A$501,"&lt;"&amp;$A332)+1)</f>
        <v/>
      </c>
      <c r="AM332" s="65" t="str">
        <f aca="false">IF($AL332="","",SUMIFS($M$2:$M$501,$AK$2:$AK$501,"Candidate",$AL$2:$AL$501,"&lt;="&amp;$AL332))</f>
        <v/>
      </c>
      <c r="AN332" s="65" t="str">
        <f aca="false">IF($AL332="","",IF($AM332&lt;=CapacityOpen,"Fits","Below line"))</f>
        <v/>
      </c>
      <c r="AO332" s="65" t="str">
        <f aca="false">IF($A332="","",IF($X332="Closed","",IF($X332="Unmapped","Warning",IF(OR($AB332="Overdue",$V332="Y",$AH332="Critical"),"Critical",IF(OR($AB332="At risk",$AC332="Stale",$AG332="Over"),"Warning","")))))</f>
        <v/>
      </c>
      <c r="AP332" s="65" t="str">
        <f aca="false">IF($AO332="","",IF($AO332="Critical",3000,2000)-IF($Z332="",0,$Z332)+ROW()/100000)</f>
        <v/>
      </c>
      <c r="AQ332" s="65" t="str">
        <f aca="false">IF($AO332="","",IF($X332="Unmapped","Status '"&amp;$C332&amp;"' is not in the Config map",IF($V332="Y","Flagged in Jira",IF($AB332="Overdue",-$Z332&amp;" days past its "&amp;$X332&amp;" target",IF($AH332="Critical",$AI332,IF($AB332="At risk","Target in "&amp;$Z332&amp;" days",IF($AC332="Stale","No update in "&amp;$AA332&amp;" days","Past its "&amp;$AE332&amp;"-day tier window")))))))</f>
        <v/>
      </c>
      <c r="AR332" s="65" t="str">
        <f aca="false">IF($AO332="","","draft Jira update for "&amp;$A332)</f>
        <v/>
      </c>
      <c r="AS332" s="65" t="str">
        <f aca="false">IF($A332="","",HYPERLINK(JiraSite&amp;"/browse/"&amp;$A332,"open"))</f>
        <v/>
      </c>
      <c r="AT332" s="65" t="str">
        <f aca="false">IF($Y332="","",$Y332*1000+ROW())</f>
        <v/>
      </c>
      <c r="AU332" s="65" t="str">
        <f aca="false">IF(AND($A332&lt;&gt;"",$G332&gt;=WeekStart),$G332+ROW()/100000,"")</f>
        <v/>
      </c>
      <c r="AV332" s="65" t="str">
        <f aca="false">IF($A332="","",IF(OR(AND($S332&lt;&gt;"",$S332&gt;=WeekStart),AND($U332&lt;&gt;"",$U332&gt;=WeekStart)),MAX($S332,$U332)+ROW()/100000,""))</f>
        <v/>
      </c>
      <c r="AW332" s="65" t="str">
        <f aca="false">IF($AV332="","",IF($T332&lt;&gt;"",$T332,IF($X332="Closed","Closed","Accepted to "&amp;$X332)))</f>
        <v/>
      </c>
      <c r="AX332" s="65" t="str">
        <f aca="false">IF(AND($Y332&lt;&gt;"",$R332&lt;&gt;""),$AF332+ROW()/100000,"")</f>
        <v/>
      </c>
      <c r="AY332" s="65" t="str">
        <f aca="false">IF(AND($Y332&lt;&gt;"",OR($AB332="Overdue",AND($AH332="Critical",$R332&lt;&gt;""))),$AF332+ROW()/100000,"")</f>
        <v/>
      </c>
      <c r="AZ332" s="65" t="str">
        <f aca="false">IF($AH332="Critical",$AF332+ROW()/100000,"")</f>
        <v/>
      </c>
    </row>
    <row r="333" customFormat="false" ht="15" hidden="false" customHeight="false" outlineLevel="0" collapsed="false">
      <c r="A333" s="28"/>
      <c r="B333" s="28"/>
      <c r="C333" s="28"/>
      <c r="D333" s="28"/>
      <c r="E333" s="28"/>
      <c r="F333" s="28"/>
      <c r="G333" s="63"/>
      <c r="H333" s="63"/>
      <c r="I333" s="63"/>
      <c r="J333" s="28"/>
      <c r="K333" s="28"/>
      <c r="L333" s="28"/>
      <c r="M333" s="28"/>
      <c r="N333" s="28"/>
      <c r="O333" s="64"/>
      <c r="P333" s="64"/>
      <c r="Q333" s="64"/>
      <c r="R333" s="28"/>
      <c r="S333" s="63"/>
      <c r="T333" s="64"/>
      <c r="U333" s="63"/>
      <c r="V333" s="64"/>
      <c r="W333" s="28"/>
      <c r="X333" s="65" t="str">
        <f aca="false">IF($A333="","",IF(OR($T333&lt;&gt;"",$U333&lt;&gt;""),"Closed",IFERROR(INDEX(MapStage,MATCH($C333,MapStatus,0)),"Unmapped")))</f>
        <v/>
      </c>
      <c r="Y333" s="65" t="str">
        <f aca="false">IF(OR($X333="",$X333="Closed",$X333="Unmapped"),"",MATCH($X333,StageName,0))</f>
        <v/>
      </c>
      <c r="Z333" s="65" t="str">
        <f aca="false">IF(OR($Y333="",$I333=""),"",$I333-AsOf)</f>
        <v/>
      </c>
      <c r="AA333" s="65" t="str">
        <f aca="false">IF($A333="","",AsOf-$H333)</f>
        <v/>
      </c>
      <c r="AB333" s="65" t="str">
        <f aca="false">IF($A333="","",IF($X333="Closed","Closed",IF($X333="Unmapped","Unmapped",IF($I333="","No target",IF($Z333&lt;0,"Overdue",IF($Z333&lt;=INDEX(StageWindow,$Y333),"At risk","On track"))))))</f>
        <v/>
      </c>
      <c r="AC333" s="65" t="str">
        <f aca="false">IF($Y333="","",IF($AA333&gt;2*INDEX(StageStale,$Y333),"Stale",IF($AA333&gt;INDEX(StageStale,$Y333),"Aging","Fresh")))</f>
        <v/>
      </c>
      <c r="AD333" s="65" t="str">
        <f aca="false">IF($A333="","",IF(OR(ISNUMBER(SEARCH("Reg report",$J333)),ISNUMBER(SEARCH("No human review",$J333)),COUNTIF(TierFuncs,$D333)&gt;0),"High",IF(OR(TRIM($J333)&lt;&gt;"",ISNUMBER(SEARCH("revenue",$K333))),"Medium","Low")))</f>
        <v/>
      </c>
      <c r="AE333" s="65" t="str">
        <f aca="false">IF($A333="","",INDEX(TierDays,MATCH($AD333,TierName,0)))</f>
        <v/>
      </c>
      <c r="AF333" s="65" t="str">
        <f aca="false">IF($A333="","",AsOf-$G333)</f>
        <v/>
      </c>
      <c r="AG333" s="65" t="str">
        <f aca="false">IF($Y333="","",IF($Y333&lt;=5,IF($AF333&gt;$AE333,"Over","Inside"),"Past approval"))</f>
        <v/>
      </c>
      <c r="AH333" s="65" t="str">
        <f aca="false">IF($Y333="","",CHOOSE($Y333,IF(OR(TRIM($F333)="",ISNUMBER(SEARCH("not named",$F333))),"Critical","Good"),IF($O333&lt;&gt;"Y","Critical",IF($Q333&lt;&gt;"Y","Warning","Good")),IF($P333="","Critical",IF($P333="partial","Warning",IF($P333="ready","Good","Critical"))),IF($R333&lt;&gt;"","Critical","Warning"),IF($L333="","Critical",IF($N333="","Warning","Good")),IF($R333&lt;&gt;"","Critical","Warning"),IF($R333&lt;&gt;"","Critical","Warning"),IF($Q333="Y","Good","Critical")))</f>
        <v/>
      </c>
      <c r="AI333" s="65" t="str">
        <f aca="false">IF($Y333="","",CHOOSE($Y333,IF(OR(TRIM($F333)="",ISNUMBER(SEARCH("not named",$F333))),"Name a sponsor accountable for the value",""),IF($O333&lt;&gt;"Y","State the success metric and the stop condition",IF($Q333&lt;&gt;"Y","Set the baseline the benefit will be measured against","")),IF($P333="","Assess data readiness and regulatory impact",IF($P333="partial","Close the known data gaps",IF($P333="ready","","Data is not available; reshape or park"))),IF($R333&lt;&gt;"",IF(OR(ISNUMBER(SEARCH("mrm",$R333)),ISNUMBER(SEARCH("model",$R333)),ISNUMBER(SEARCH("risk",$R333)),ISNUMBER(SEARCH("legal",$R333)),ISNUMBER(SEARCH("complian",$R333))),"Awaiting ","Held at the design gate: ")&amp;$R333,"Map the governance framework for its tier"),IF($L333="","Size the annual benefit",IF($N333="","Score it so it can be ranked against capacity","")),IF($R333&lt;&gt;"","Build held: "&amp;$R333,"In build, not yet through test"),IF($R333&lt;&gt;"","Not ready to scale: "&amp;$R333,"Monitoring and third-party review not yet signed off"),IF($Q333="Y","","Live without a measured baseline to judge it against")))</f>
        <v/>
      </c>
      <c r="AJ333" s="65" t="str">
        <f aca="false">IF($Y333="","",INDEX(StageForum,$Y333))</f>
        <v/>
      </c>
      <c r="AK333" s="65" t="str">
        <f aca="false">IF($Y333="","",IF(OR($X333="Delivery",$X333="Value"),"Committed",IF($N333&lt;&gt;"","Candidate","")))</f>
        <v/>
      </c>
      <c r="AL333" s="65" t="str">
        <f aca="false">IF($AK333&lt;&gt;"Candidate","",COUNTIFS($AK$2:$AK$501,"Candidate",$N$2:$N$501,"&gt;"&amp;$N333)+COUNTIFS($AK$2:$AK$501,"Candidate",$N$2:$N$501,$N333,$A$2:$A$501,"&lt;"&amp;$A333)+1)</f>
        <v/>
      </c>
      <c r="AM333" s="65" t="str">
        <f aca="false">IF($AL333="","",SUMIFS($M$2:$M$501,$AK$2:$AK$501,"Candidate",$AL$2:$AL$501,"&lt;="&amp;$AL333))</f>
        <v/>
      </c>
      <c r="AN333" s="65" t="str">
        <f aca="false">IF($AL333="","",IF($AM333&lt;=CapacityOpen,"Fits","Below line"))</f>
        <v/>
      </c>
      <c r="AO333" s="65" t="str">
        <f aca="false">IF($A333="","",IF($X333="Closed","",IF($X333="Unmapped","Warning",IF(OR($AB333="Overdue",$V333="Y",$AH333="Critical"),"Critical",IF(OR($AB333="At risk",$AC333="Stale",$AG333="Over"),"Warning","")))))</f>
        <v/>
      </c>
      <c r="AP333" s="65" t="str">
        <f aca="false">IF($AO333="","",IF($AO333="Critical",3000,2000)-IF($Z333="",0,$Z333)+ROW()/100000)</f>
        <v/>
      </c>
      <c r="AQ333" s="65" t="str">
        <f aca="false">IF($AO333="","",IF($X333="Unmapped","Status '"&amp;$C333&amp;"' is not in the Config map",IF($V333="Y","Flagged in Jira",IF($AB333="Overdue",-$Z333&amp;" days past its "&amp;$X333&amp;" target",IF($AH333="Critical",$AI333,IF($AB333="At risk","Target in "&amp;$Z333&amp;" days",IF($AC333="Stale","No update in "&amp;$AA333&amp;" days","Past its "&amp;$AE333&amp;"-day tier window")))))))</f>
        <v/>
      </c>
      <c r="AR333" s="65" t="str">
        <f aca="false">IF($AO333="","","draft Jira update for "&amp;$A333)</f>
        <v/>
      </c>
      <c r="AS333" s="65" t="str">
        <f aca="false">IF($A333="","",HYPERLINK(JiraSite&amp;"/browse/"&amp;$A333,"open"))</f>
        <v/>
      </c>
      <c r="AT333" s="65" t="str">
        <f aca="false">IF($Y333="","",$Y333*1000+ROW())</f>
        <v/>
      </c>
      <c r="AU333" s="65" t="str">
        <f aca="false">IF(AND($A333&lt;&gt;"",$G333&gt;=WeekStart),$G333+ROW()/100000,"")</f>
        <v/>
      </c>
      <c r="AV333" s="65" t="str">
        <f aca="false">IF($A333="","",IF(OR(AND($S333&lt;&gt;"",$S333&gt;=WeekStart),AND($U333&lt;&gt;"",$U333&gt;=WeekStart)),MAX($S333,$U333)+ROW()/100000,""))</f>
        <v/>
      </c>
      <c r="AW333" s="65" t="str">
        <f aca="false">IF($AV333="","",IF($T333&lt;&gt;"",$T333,IF($X333="Closed","Closed","Accepted to "&amp;$X333)))</f>
        <v/>
      </c>
      <c r="AX333" s="65" t="str">
        <f aca="false">IF(AND($Y333&lt;&gt;"",$R333&lt;&gt;""),$AF333+ROW()/100000,"")</f>
        <v/>
      </c>
      <c r="AY333" s="65" t="str">
        <f aca="false">IF(AND($Y333&lt;&gt;"",OR($AB333="Overdue",AND($AH333="Critical",$R333&lt;&gt;""))),$AF333+ROW()/100000,"")</f>
        <v/>
      </c>
      <c r="AZ333" s="65" t="str">
        <f aca="false">IF($AH333="Critical",$AF333+ROW()/100000,"")</f>
        <v/>
      </c>
    </row>
    <row r="334" customFormat="false" ht="15" hidden="false" customHeight="false" outlineLevel="0" collapsed="false">
      <c r="A334" s="28"/>
      <c r="B334" s="28"/>
      <c r="C334" s="28"/>
      <c r="D334" s="28"/>
      <c r="E334" s="28"/>
      <c r="F334" s="28"/>
      <c r="G334" s="63"/>
      <c r="H334" s="63"/>
      <c r="I334" s="63"/>
      <c r="J334" s="28"/>
      <c r="K334" s="28"/>
      <c r="L334" s="28"/>
      <c r="M334" s="28"/>
      <c r="N334" s="28"/>
      <c r="O334" s="64"/>
      <c r="P334" s="64"/>
      <c r="Q334" s="64"/>
      <c r="R334" s="28"/>
      <c r="S334" s="63"/>
      <c r="T334" s="64"/>
      <c r="U334" s="63"/>
      <c r="V334" s="64"/>
      <c r="W334" s="28"/>
      <c r="X334" s="65" t="str">
        <f aca="false">IF($A334="","",IF(OR($T334&lt;&gt;"",$U334&lt;&gt;""),"Closed",IFERROR(INDEX(MapStage,MATCH($C334,MapStatus,0)),"Unmapped")))</f>
        <v/>
      </c>
      <c r="Y334" s="65" t="str">
        <f aca="false">IF(OR($X334="",$X334="Closed",$X334="Unmapped"),"",MATCH($X334,StageName,0))</f>
        <v/>
      </c>
      <c r="Z334" s="65" t="str">
        <f aca="false">IF(OR($Y334="",$I334=""),"",$I334-AsOf)</f>
        <v/>
      </c>
      <c r="AA334" s="65" t="str">
        <f aca="false">IF($A334="","",AsOf-$H334)</f>
        <v/>
      </c>
      <c r="AB334" s="65" t="str">
        <f aca="false">IF($A334="","",IF($X334="Closed","Closed",IF($X334="Unmapped","Unmapped",IF($I334="","No target",IF($Z334&lt;0,"Overdue",IF($Z334&lt;=INDEX(StageWindow,$Y334),"At risk","On track"))))))</f>
        <v/>
      </c>
      <c r="AC334" s="65" t="str">
        <f aca="false">IF($Y334="","",IF($AA334&gt;2*INDEX(StageStale,$Y334),"Stale",IF($AA334&gt;INDEX(StageStale,$Y334),"Aging","Fresh")))</f>
        <v/>
      </c>
      <c r="AD334" s="65" t="str">
        <f aca="false">IF($A334="","",IF(OR(ISNUMBER(SEARCH("Reg report",$J334)),ISNUMBER(SEARCH("No human review",$J334)),COUNTIF(TierFuncs,$D334)&gt;0),"High",IF(OR(TRIM($J334)&lt;&gt;"",ISNUMBER(SEARCH("revenue",$K334))),"Medium","Low")))</f>
        <v/>
      </c>
      <c r="AE334" s="65" t="str">
        <f aca="false">IF($A334="","",INDEX(TierDays,MATCH($AD334,TierName,0)))</f>
        <v/>
      </c>
      <c r="AF334" s="65" t="str">
        <f aca="false">IF($A334="","",AsOf-$G334)</f>
        <v/>
      </c>
      <c r="AG334" s="65" t="str">
        <f aca="false">IF($Y334="","",IF($Y334&lt;=5,IF($AF334&gt;$AE334,"Over","Inside"),"Past approval"))</f>
        <v/>
      </c>
      <c r="AH334" s="65" t="str">
        <f aca="false">IF($Y334="","",CHOOSE($Y334,IF(OR(TRIM($F334)="",ISNUMBER(SEARCH("not named",$F334))),"Critical","Good"),IF($O334&lt;&gt;"Y","Critical",IF($Q334&lt;&gt;"Y","Warning","Good")),IF($P334="","Critical",IF($P334="partial","Warning",IF($P334="ready","Good","Critical"))),IF($R334&lt;&gt;"","Critical","Warning"),IF($L334="","Critical",IF($N334="","Warning","Good")),IF($R334&lt;&gt;"","Critical","Warning"),IF($R334&lt;&gt;"","Critical","Warning"),IF($Q334="Y","Good","Critical")))</f>
        <v/>
      </c>
      <c r="AI334" s="65" t="str">
        <f aca="false">IF($Y334="","",CHOOSE($Y334,IF(OR(TRIM($F334)="",ISNUMBER(SEARCH("not named",$F334))),"Name a sponsor accountable for the value",""),IF($O334&lt;&gt;"Y","State the success metric and the stop condition",IF($Q334&lt;&gt;"Y","Set the baseline the benefit will be measured against","")),IF($P334="","Assess data readiness and regulatory impact",IF($P334="partial","Close the known data gaps",IF($P334="ready","","Data is not available; reshape or park"))),IF($R334&lt;&gt;"",IF(OR(ISNUMBER(SEARCH("mrm",$R334)),ISNUMBER(SEARCH("model",$R334)),ISNUMBER(SEARCH("risk",$R334)),ISNUMBER(SEARCH("legal",$R334)),ISNUMBER(SEARCH("complian",$R334))),"Awaiting ","Held at the design gate: ")&amp;$R334,"Map the governance framework for its tier"),IF($L334="","Size the annual benefit",IF($N334="","Score it so it can be ranked against capacity","")),IF($R334&lt;&gt;"","Build held: "&amp;$R334,"In build, not yet through test"),IF($R334&lt;&gt;"","Not ready to scale: "&amp;$R334,"Monitoring and third-party review not yet signed off"),IF($Q334="Y","","Live without a measured baseline to judge it against")))</f>
        <v/>
      </c>
      <c r="AJ334" s="65" t="str">
        <f aca="false">IF($Y334="","",INDEX(StageForum,$Y334))</f>
        <v/>
      </c>
      <c r="AK334" s="65" t="str">
        <f aca="false">IF($Y334="","",IF(OR($X334="Delivery",$X334="Value"),"Committed",IF($N334&lt;&gt;"","Candidate","")))</f>
        <v/>
      </c>
      <c r="AL334" s="65" t="str">
        <f aca="false">IF($AK334&lt;&gt;"Candidate","",COUNTIFS($AK$2:$AK$501,"Candidate",$N$2:$N$501,"&gt;"&amp;$N334)+COUNTIFS($AK$2:$AK$501,"Candidate",$N$2:$N$501,$N334,$A$2:$A$501,"&lt;"&amp;$A334)+1)</f>
        <v/>
      </c>
      <c r="AM334" s="65" t="str">
        <f aca="false">IF($AL334="","",SUMIFS($M$2:$M$501,$AK$2:$AK$501,"Candidate",$AL$2:$AL$501,"&lt;="&amp;$AL334))</f>
        <v/>
      </c>
      <c r="AN334" s="65" t="str">
        <f aca="false">IF($AL334="","",IF($AM334&lt;=CapacityOpen,"Fits","Below line"))</f>
        <v/>
      </c>
      <c r="AO334" s="65" t="str">
        <f aca="false">IF($A334="","",IF($X334="Closed","",IF($X334="Unmapped","Warning",IF(OR($AB334="Overdue",$V334="Y",$AH334="Critical"),"Critical",IF(OR($AB334="At risk",$AC334="Stale",$AG334="Over"),"Warning","")))))</f>
        <v/>
      </c>
      <c r="AP334" s="65" t="str">
        <f aca="false">IF($AO334="","",IF($AO334="Critical",3000,2000)-IF($Z334="",0,$Z334)+ROW()/100000)</f>
        <v/>
      </c>
      <c r="AQ334" s="65" t="str">
        <f aca="false">IF($AO334="","",IF($X334="Unmapped","Status '"&amp;$C334&amp;"' is not in the Config map",IF($V334="Y","Flagged in Jira",IF($AB334="Overdue",-$Z334&amp;" days past its "&amp;$X334&amp;" target",IF($AH334="Critical",$AI334,IF($AB334="At risk","Target in "&amp;$Z334&amp;" days",IF($AC334="Stale","No update in "&amp;$AA334&amp;" days","Past its "&amp;$AE334&amp;"-day tier window")))))))</f>
        <v/>
      </c>
      <c r="AR334" s="65" t="str">
        <f aca="false">IF($AO334="","","draft Jira update for "&amp;$A334)</f>
        <v/>
      </c>
      <c r="AS334" s="65" t="str">
        <f aca="false">IF($A334="","",HYPERLINK(JiraSite&amp;"/browse/"&amp;$A334,"open"))</f>
        <v/>
      </c>
      <c r="AT334" s="65" t="str">
        <f aca="false">IF($Y334="","",$Y334*1000+ROW())</f>
        <v/>
      </c>
      <c r="AU334" s="65" t="str">
        <f aca="false">IF(AND($A334&lt;&gt;"",$G334&gt;=WeekStart),$G334+ROW()/100000,"")</f>
        <v/>
      </c>
      <c r="AV334" s="65" t="str">
        <f aca="false">IF($A334="","",IF(OR(AND($S334&lt;&gt;"",$S334&gt;=WeekStart),AND($U334&lt;&gt;"",$U334&gt;=WeekStart)),MAX($S334,$U334)+ROW()/100000,""))</f>
        <v/>
      </c>
      <c r="AW334" s="65" t="str">
        <f aca="false">IF($AV334="","",IF($T334&lt;&gt;"",$T334,IF($X334="Closed","Closed","Accepted to "&amp;$X334)))</f>
        <v/>
      </c>
      <c r="AX334" s="65" t="str">
        <f aca="false">IF(AND($Y334&lt;&gt;"",$R334&lt;&gt;""),$AF334+ROW()/100000,"")</f>
        <v/>
      </c>
      <c r="AY334" s="65" t="str">
        <f aca="false">IF(AND($Y334&lt;&gt;"",OR($AB334="Overdue",AND($AH334="Critical",$R334&lt;&gt;""))),$AF334+ROW()/100000,"")</f>
        <v/>
      </c>
      <c r="AZ334" s="65" t="str">
        <f aca="false">IF($AH334="Critical",$AF334+ROW()/100000,"")</f>
        <v/>
      </c>
    </row>
    <row r="335" customFormat="false" ht="15" hidden="false" customHeight="false" outlineLevel="0" collapsed="false">
      <c r="A335" s="28"/>
      <c r="B335" s="28"/>
      <c r="C335" s="28"/>
      <c r="D335" s="28"/>
      <c r="E335" s="28"/>
      <c r="F335" s="28"/>
      <c r="G335" s="63"/>
      <c r="H335" s="63"/>
      <c r="I335" s="63"/>
      <c r="J335" s="28"/>
      <c r="K335" s="28"/>
      <c r="L335" s="28"/>
      <c r="M335" s="28"/>
      <c r="N335" s="28"/>
      <c r="O335" s="64"/>
      <c r="P335" s="64"/>
      <c r="Q335" s="64"/>
      <c r="R335" s="28"/>
      <c r="S335" s="63"/>
      <c r="T335" s="64"/>
      <c r="U335" s="63"/>
      <c r="V335" s="64"/>
      <c r="W335" s="28"/>
      <c r="X335" s="65" t="str">
        <f aca="false">IF($A335="","",IF(OR($T335&lt;&gt;"",$U335&lt;&gt;""),"Closed",IFERROR(INDEX(MapStage,MATCH($C335,MapStatus,0)),"Unmapped")))</f>
        <v/>
      </c>
      <c r="Y335" s="65" t="str">
        <f aca="false">IF(OR($X335="",$X335="Closed",$X335="Unmapped"),"",MATCH($X335,StageName,0))</f>
        <v/>
      </c>
      <c r="Z335" s="65" t="str">
        <f aca="false">IF(OR($Y335="",$I335=""),"",$I335-AsOf)</f>
        <v/>
      </c>
      <c r="AA335" s="65" t="str">
        <f aca="false">IF($A335="","",AsOf-$H335)</f>
        <v/>
      </c>
      <c r="AB335" s="65" t="str">
        <f aca="false">IF($A335="","",IF($X335="Closed","Closed",IF($X335="Unmapped","Unmapped",IF($I335="","No target",IF($Z335&lt;0,"Overdue",IF($Z335&lt;=INDEX(StageWindow,$Y335),"At risk","On track"))))))</f>
        <v/>
      </c>
      <c r="AC335" s="65" t="str">
        <f aca="false">IF($Y335="","",IF($AA335&gt;2*INDEX(StageStale,$Y335),"Stale",IF($AA335&gt;INDEX(StageStale,$Y335),"Aging","Fresh")))</f>
        <v/>
      </c>
      <c r="AD335" s="65" t="str">
        <f aca="false">IF($A335="","",IF(OR(ISNUMBER(SEARCH("Reg report",$J335)),ISNUMBER(SEARCH("No human review",$J335)),COUNTIF(TierFuncs,$D335)&gt;0),"High",IF(OR(TRIM($J335)&lt;&gt;"",ISNUMBER(SEARCH("revenue",$K335))),"Medium","Low")))</f>
        <v/>
      </c>
      <c r="AE335" s="65" t="str">
        <f aca="false">IF($A335="","",INDEX(TierDays,MATCH($AD335,TierName,0)))</f>
        <v/>
      </c>
      <c r="AF335" s="65" t="str">
        <f aca="false">IF($A335="","",AsOf-$G335)</f>
        <v/>
      </c>
      <c r="AG335" s="65" t="str">
        <f aca="false">IF($Y335="","",IF($Y335&lt;=5,IF($AF335&gt;$AE335,"Over","Inside"),"Past approval"))</f>
        <v/>
      </c>
      <c r="AH335" s="65" t="str">
        <f aca="false">IF($Y335="","",CHOOSE($Y335,IF(OR(TRIM($F335)="",ISNUMBER(SEARCH("not named",$F335))),"Critical","Good"),IF($O335&lt;&gt;"Y","Critical",IF($Q335&lt;&gt;"Y","Warning","Good")),IF($P335="","Critical",IF($P335="partial","Warning",IF($P335="ready","Good","Critical"))),IF($R335&lt;&gt;"","Critical","Warning"),IF($L335="","Critical",IF($N335="","Warning","Good")),IF($R335&lt;&gt;"","Critical","Warning"),IF($R335&lt;&gt;"","Critical","Warning"),IF($Q335="Y","Good","Critical")))</f>
        <v/>
      </c>
      <c r="AI335" s="65" t="str">
        <f aca="false">IF($Y335="","",CHOOSE($Y335,IF(OR(TRIM($F335)="",ISNUMBER(SEARCH("not named",$F335))),"Name a sponsor accountable for the value",""),IF($O335&lt;&gt;"Y","State the success metric and the stop condition",IF($Q335&lt;&gt;"Y","Set the baseline the benefit will be measured against","")),IF($P335="","Assess data readiness and regulatory impact",IF($P335="partial","Close the known data gaps",IF($P335="ready","","Data is not available; reshape or park"))),IF($R335&lt;&gt;"",IF(OR(ISNUMBER(SEARCH("mrm",$R335)),ISNUMBER(SEARCH("model",$R335)),ISNUMBER(SEARCH("risk",$R335)),ISNUMBER(SEARCH("legal",$R335)),ISNUMBER(SEARCH("complian",$R335))),"Awaiting ","Held at the design gate: ")&amp;$R335,"Map the governance framework for its tier"),IF($L335="","Size the annual benefit",IF($N335="","Score it so it can be ranked against capacity","")),IF($R335&lt;&gt;"","Build held: "&amp;$R335,"In build, not yet through test"),IF($R335&lt;&gt;"","Not ready to scale: "&amp;$R335,"Monitoring and third-party review not yet signed off"),IF($Q335="Y","","Live without a measured baseline to judge it against")))</f>
        <v/>
      </c>
      <c r="AJ335" s="65" t="str">
        <f aca="false">IF($Y335="","",INDEX(StageForum,$Y335))</f>
        <v/>
      </c>
      <c r="AK335" s="65" t="str">
        <f aca="false">IF($Y335="","",IF(OR($X335="Delivery",$X335="Value"),"Committed",IF($N335&lt;&gt;"","Candidate","")))</f>
        <v/>
      </c>
      <c r="AL335" s="65" t="str">
        <f aca="false">IF($AK335&lt;&gt;"Candidate","",COUNTIFS($AK$2:$AK$501,"Candidate",$N$2:$N$501,"&gt;"&amp;$N335)+COUNTIFS($AK$2:$AK$501,"Candidate",$N$2:$N$501,$N335,$A$2:$A$501,"&lt;"&amp;$A335)+1)</f>
        <v/>
      </c>
      <c r="AM335" s="65" t="str">
        <f aca="false">IF($AL335="","",SUMIFS($M$2:$M$501,$AK$2:$AK$501,"Candidate",$AL$2:$AL$501,"&lt;="&amp;$AL335))</f>
        <v/>
      </c>
      <c r="AN335" s="65" t="str">
        <f aca="false">IF($AL335="","",IF($AM335&lt;=CapacityOpen,"Fits","Below line"))</f>
        <v/>
      </c>
      <c r="AO335" s="65" t="str">
        <f aca="false">IF($A335="","",IF($X335="Closed","",IF($X335="Unmapped","Warning",IF(OR($AB335="Overdue",$V335="Y",$AH335="Critical"),"Critical",IF(OR($AB335="At risk",$AC335="Stale",$AG335="Over"),"Warning","")))))</f>
        <v/>
      </c>
      <c r="AP335" s="65" t="str">
        <f aca="false">IF($AO335="","",IF($AO335="Critical",3000,2000)-IF($Z335="",0,$Z335)+ROW()/100000)</f>
        <v/>
      </c>
      <c r="AQ335" s="65" t="str">
        <f aca="false">IF($AO335="","",IF($X335="Unmapped","Status '"&amp;$C335&amp;"' is not in the Config map",IF($V335="Y","Flagged in Jira",IF($AB335="Overdue",-$Z335&amp;" days past its "&amp;$X335&amp;" target",IF($AH335="Critical",$AI335,IF($AB335="At risk","Target in "&amp;$Z335&amp;" days",IF($AC335="Stale","No update in "&amp;$AA335&amp;" days","Past its "&amp;$AE335&amp;"-day tier window")))))))</f>
        <v/>
      </c>
      <c r="AR335" s="65" t="str">
        <f aca="false">IF($AO335="","","draft Jira update for "&amp;$A335)</f>
        <v/>
      </c>
      <c r="AS335" s="65" t="str">
        <f aca="false">IF($A335="","",HYPERLINK(JiraSite&amp;"/browse/"&amp;$A335,"open"))</f>
        <v/>
      </c>
      <c r="AT335" s="65" t="str">
        <f aca="false">IF($Y335="","",$Y335*1000+ROW())</f>
        <v/>
      </c>
      <c r="AU335" s="65" t="str">
        <f aca="false">IF(AND($A335&lt;&gt;"",$G335&gt;=WeekStart),$G335+ROW()/100000,"")</f>
        <v/>
      </c>
      <c r="AV335" s="65" t="str">
        <f aca="false">IF($A335="","",IF(OR(AND($S335&lt;&gt;"",$S335&gt;=WeekStart),AND($U335&lt;&gt;"",$U335&gt;=WeekStart)),MAX($S335,$U335)+ROW()/100000,""))</f>
        <v/>
      </c>
      <c r="AW335" s="65" t="str">
        <f aca="false">IF($AV335="","",IF($T335&lt;&gt;"",$T335,IF($X335="Closed","Closed","Accepted to "&amp;$X335)))</f>
        <v/>
      </c>
      <c r="AX335" s="65" t="str">
        <f aca="false">IF(AND($Y335&lt;&gt;"",$R335&lt;&gt;""),$AF335+ROW()/100000,"")</f>
        <v/>
      </c>
      <c r="AY335" s="65" t="str">
        <f aca="false">IF(AND($Y335&lt;&gt;"",OR($AB335="Overdue",AND($AH335="Critical",$R335&lt;&gt;""))),$AF335+ROW()/100000,"")</f>
        <v/>
      </c>
      <c r="AZ335" s="65" t="str">
        <f aca="false">IF($AH335="Critical",$AF335+ROW()/100000,"")</f>
        <v/>
      </c>
    </row>
    <row r="336" customFormat="false" ht="15" hidden="false" customHeight="false" outlineLevel="0" collapsed="false">
      <c r="A336" s="28"/>
      <c r="B336" s="28"/>
      <c r="C336" s="28"/>
      <c r="D336" s="28"/>
      <c r="E336" s="28"/>
      <c r="F336" s="28"/>
      <c r="G336" s="63"/>
      <c r="H336" s="63"/>
      <c r="I336" s="63"/>
      <c r="J336" s="28"/>
      <c r="K336" s="28"/>
      <c r="L336" s="28"/>
      <c r="M336" s="28"/>
      <c r="N336" s="28"/>
      <c r="O336" s="64"/>
      <c r="P336" s="64"/>
      <c r="Q336" s="64"/>
      <c r="R336" s="28"/>
      <c r="S336" s="63"/>
      <c r="T336" s="64"/>
      <c r="U336" s="63"/>
      <c r="V336" s="64"/>
      <c r="W336" s="28"/>
      <c r="X336" s="65" t="str">
        <f aca="false">IF($A336="","",IF(OR($T336&lt;&gt;"",$U336&lt;&gt;""),"Closed",IFERROR(INDEX(MapStage,MATCH($C336,MapStatus,0)),"Unmapped")))</f>
        <v/>
      </c>
      <c r="Y336" s="65" t="str">
        <f aca="false">IF(OR($X336="",$X336="Closed",$X336="Unmapped"),"",MATCH($X336,StageName,0))</f>
        <v/>
      </c>
      <c r="Z336" s="65" t="str">
        <f aca="false">IF(OR($Y336="",$I336=""),"",$I336-AsOf)</f>
        <v/>
      </c>
      <c r="AA336" s="65" t="str">
        <f aca="false">IF($A336="","",AsOf-$H336)</f>
        <v/>
      </c>
      <c r="AB336" s="65" t="str">
        <f aca="false">IF($A336="","",IF($X336="Closed","Closed",IF($X336="Unmapped","Unmapped",IF($I336="","No target",IF($Z336&lt;0,"Overdue",IF($Z336&lt;=INDEX(StageWindow,$Y336),"At risk","On track"))))))</f>
        <v/>
      </c>
      <c r="AC336" s="65" t="str">
        <f aca="false">IF($Y336="","",IF($AA336&gt;2*INDEX(StageStale,$Y336),"Stale",IF($AA336&gt;INDEX(StageStale,$Y336),"Aging","Fresh")))</f>
        <v/>
      </c>
      <c r="AD336" s="65" t="str">
        <f aca="false">IF($A336="","",IF(OR(ISNUMBER(SEARCH("Reg report",$J336)),ISNUMBER(SEARCH("No human review",$J336)),COUNTIF(TierFuncs,$D336)&gt;0),"High",IF(OR(TRIM($J336)&lt;&gt;"",ISNUMBER(SEARCH("revenue",$K336))),"Medium","Low")))</f>
        <v/>
      </c>
      <c r="AE336" s="65" t="str">
        <f aca="false">IF($A336="","",INDEX(TierDays,MATCH($AD336,TierName,0)))</f>
        <v/>
      </c>
      <c r="AF336" s="65" t="str">
        <f aca="false">IF($A336="","",AsOf-$G336)</f>
        <v/>
      </c>
      <c r="AG336" s="65" t="str">
        <f aca="false">IF($Y336="","",IF($Y336&lt;=5,IF($AF336&gt;$AE336,"Over","Inside"),"Past approval"))</f>
        <v/>
      </c>
      <c r="AH336" s="65" t="str">
        <f aca="false">IF($Y336="","",CHOOSE($Y336,IF(OR(TRIM($F336)="",ISNUMBER(SEARCH("not named",$F336))),"Critical","Good"),IF($O336&lt;&gt;"Y","Critical",IF($Q336&lt;&gt;"Y","Warning","Good")),IF($P336="","Critical",IF($P336="partial","Warning",IF($P336="ready","Good","Critical"))),IF($R336&lt;&gt;"","Critical","Warning"),IF($L336="","Critical",IF($N336="","Warning","Good")),IF($R336&lt;&gt;"","Critical","Warning"),IF($R336&lt;&gt;"","Critical","Warning"),IF($Q336="Y","Good","Critical")))</f>
        <v/>
      </c>
      <c r="AI336" s="65" t="str">
        <f aca="false">IF($Y336="","",CHOOSE($Y336,IF(OR(TRIM($F336)="",ISNUMBER(SEARCH("not named",$F336))),"Name a sponsor accountable for the value",""),IF($O336&lt;&gt;"Y","State the success metric and the stop condition",IF($Q336&lt;&gt;"Y","Set the baseline the benefit will be measured against","")),IF($P336="","Assess data readiness and regulatory impact",IF($P336="partial","Close the known data gaps",IF($P336="ready","","Data is not available; reshape or park"))),IF($R336&lt;&gt;"",IF(OR(ISNUMBER(SEARCH("mrm",$R336)),ISNUMBER(SEARCH("model",$R336)),ISNUMBER(SEARCH("risk",$R336)),ISNUMBER(SEARCH("legal",$R336)),ISNUMBER(SEARCH("complian",$R336))),"Awaiting ","Held at the design gate: ")&amp;$R336,"Map the governance framework for its tier"),IF($L336="","Size the annual benefit",IF($N336="","Score it so it can be ranked against capacity","")),IF($R336&lt;&gt;"","Build held: "&amp;$R336,"In build, not yet through test"),IF($R336&lt;&gt;"","Not ready to scale: "&amp;$R336,"Monitoring and third-party review not yet signed off"),IF($Q336="Y","","Live without a measured baseline to judge it against")))</f>
        <v/>
      </c>
      <c r="AJ336" s="65" t="str">
        <f aca="false">IF($Y336="","",INDEX(StageForum,$Y336))</f>
        <v/>
      </c>
      <c r="AK336" s="65" t="str">
        <f aca="false">IF($Y336="","",IF(OR($X336="Delivery",$X336="Value"),"Committed",IF($N336&lt;&gt;"","Candidate","")))</f>
        <v/>
      </c>
      <c r="AL336" s="65" t="str">
        <f aca="false">IF($AK336&lt;&gt;"Candidate","",COUNTIFS($AK$2:$AK$501,"Candidate",$N$2:$N$501,"&gt;"&amp;$N336)+COUNTIFS($AK$2:$AK$501,"Candidate",$N$2:$N$501,$N336,$A$2:$A$501,"&lt;"&amp;$A336)+1)</f>
        <v/>
      </c>
      <c r="AM336" s="65" t="str">
        <f aca="false">IF($AL336="","",SUMIFS($M$2:$M$501,$AK$2:$AK$501,"Candidate",$AL$2:$AL$501,"&lt;="&amp;$AL336))</f>
        <v/>
      </c>
      <c r="AN336" s="65" t="str">
        <f aca="false">IF($AL336="","",IF($AM336&lt;=CapacityOpen,"Fits","Below line"))</f>
        <v/>
      </c>
      <c r="AO336" s="65" t="str">
        <f aca="false">IF($A336="","",IF($X336="Closed","",IF($X336="Unmapped","Warning",IF(OR($AB336="Overdue",$V336="Y",$AH336="Critical"),"Critical",IF(OR($AB336="At risk",$AC336="Stale",$AG336="Over"),"Warning","")))))</f>
        <v/>
      </c>
      <c r="AP336" s="65" t="str">
        <f aca="false">IF($AO336="","",IF($AO336="Critical",3000,2000)-IF($Z336="",0,$Z336)+ROW()/100000)</f>
        <v/>
      </c>
      <c r="AQ336" s="65" t="str">
        <f aca="false">IF($AO336="","",IF($X336="Unmapped","Status '"&amp;$C336&amp;"' is not in the Config map",IF($V336="Y","Flagged in Jira",IF($AB336="Overdue",-$Z336&amp;" days past its "&amp;$X336&amp;" target",IF($AH336="Critical",$AI336,IF($AB336="At risk","Target in "&amp;$Z336&amp;" days",IF($AC336="Stale","No update in "&amp;$AA336&amp;" days","Past its "&amp;$AE336&amp;"-day tier window")))))))</f>
        <v/>
      </c>
      <c r="AR336" s="65" t="str">
        <f aca="false">IF($AO336="","","draft Jira update for "&amp;$A336)</f>
        <v/>
      </c>
      <c r="AS336" s="65" t="str">
        <f aca="false">IF($A336="","",HYPERLINK(JiraSite&amp;"/browse/"&amp;$A336,"open"))</f>
        <v/>
      </c>
      <c r="AT336" s="65" t="str">
        <f aca="false">IF($Y336="","",$Y336*1000+ROW())</f>
        <v/>
      </c>
      <c r="AU336" s="65" t="str">
        <f aca="false">IF(AND($A336&lt;&gt;"",$G336&gt;=WeekStart),$G336+ROW()/100000,"")</f>
        <v/>
      </c>
      <c r="AV336" s="65" t="str">
        <f aca="false">IF($A336="","",IF(OR(AND($S336&lt;&gt;"",$S336&gt;=WeekStart),AND($U336&lt;&gt;"",$U336&gt;=WeekStart)),MAX($S336,$U336)+ROW()/100000,""))</f>
        <v/>
      </c>
      <c r="AW336" s="65" t="str">
        <f aca="false">IF($AV336="","",IF($T336&lt;&gt;"",$T336,IF($X336="Closed","Closed","Accepted to "&amp;$X336)))</f>
        <v/>
      </c>
      <c r="AX336" s="65" t="str">
        <f aca="false">IF(AND($Y336&lt;&gt;"",$R336&lt;&gt;""),$AF336+ROW()/100000,"")</f>
        <v/>
      </c>
      <c r="AY336" s="65" t="str">
        <f aca="false">IF(AND($Y336&lt;&gt;"",OR($AB336="Overdue",AND($AH336="Critical",$R336&lt;&gt;""))),$AF336+ROW()/100000,"")</f>
        <v/>
      </c>
      <c r="AZ336" s="65" t="str">
        <f aca="false">IF($AH336="Critical",$AF336+ROW()/100000,"")</f>
        <v/>
      </c>
    </row>
    <row r="337" customFormat="false" ht="15" hidden="false" customHeight="false" outlineLevel="0" collapsed="false">
      <c r="A337" s="28"/>
      <c r="B337" s="28"/>
      <c r="C337" s="28"/>
      <c r="D337" s="28"/>
      <c r="E337" s="28"/>
      <c r="F337" s="28"/>
      <c r="G337" s="63"/>
      <c r="H337" s="63"/>
      <c r="I337" s="63"/>
      <c r="J337" s="28"/>
      <c r="K337" s="28"/>
      <c r="L337" s="28"/>
      <c r="M337" s="28"/>
      <c r="N337" s="28"/>
      <c r="O337" s="64"/>
      <c r="P337" s="64"/>
      <c r="Q337" s="64"/>
      <c r="R337" s="28"/>
      <c r="S337" s="63"/>
      <c r="T337" s="64"/>
      <c r="U337" s="63"/>
      <c r="V337" s="64"/>
      <c r="W337" s="28"/>
      <c r="X337" s="65" t="str">
        <f aca="false">IF($A337="","",IF(OR($T337&lt;&gt;"",$U337&lt;&gt;""),"Closed",IFERROR(INDEX(MapStage,MATCH($C337,MapStatus,0)),"Unmapped")))</f>
        <v/>
      </c>
      <c r="Y337" s="65" t="str">
        <f aca="false">IF(OR($X337="",$X337="Closed",$X337="Unmapped"),"",MATCH($X337,StageName,0))</f>
        <v/>
      </c>
      <c r="Z337" s="65" t="str">
        <f aca="false">IF(OR($Y337="",$I337=""),"",$I337-AsOf)</f>
        <v/>
      </c>
      <c r="AA337" s="65" t="str">
        <f aca="false">IF($A337="","",AsOf-$H337)</f>
        <v/>
      </c>
      <c r="AB337" s="65" t="str">
        <f aca="false">IF($A337="","",IF($X337="Closed","Closed",IF($X337="Unmapped","Unmapped",IF($I337="","No target",IF($Z337&lt;0,"Overdue",IF($Z337&lt;=INDEX(StageWindow,$Y337),"At risk","On track"))))))</f>
        <v/>
      </c>
      <c r="AC337" s="65" t="str">
        <f aca="false">IF($Y337="","",IF($AA337&gt;2*INDEX(StageStale,$Y337),"Stale",IF($AA337&gt;INDEX(StageStale,$Y337),"Aging","Fresh")))</f>
        <v/>
      </c>
      <c r="AD337" s="65" t="str">
        <f aca="false">IF($A337="","",IF(OR(ISNUMBER(SEARCH("Reg report",$J337)),ISNUMBER(SEARCH("No human review",$J337)),COUNTIF(TierFuncs,$D337)&gt;0),"High",IF(OR(TRIM($J337)&lt;&gt;"",ISNUMBER(SEARCH("revenue",$K337))),"Medium","Low")))</f>
        <v/>
      </c>
      <c r="AE337" s="65" t="str">
        <f aca="false">IF($A337="","",INDEX(TierDays,MATCH($AD337,TierName,0)))</f>
        <v/>
      </c>
      <c r="AF337" s="65" t="str">
        <f aca="false">IF($A337="","",AsOf-$G337)</f>
        <v/>
      </c>
      <c r="AG337" s="65" t="str">
        <f aca="false">IF($Y337="","",IF($Y337&lt;=5,IF($AF337&gt;$AE337,"Over","Inside"),"Past approval"))</f>
        <v/>
      </c>
      <c r="AH337" s="65" t="str">
        <f aca="false">IF($Y337="","",CHOOSE($Y337,IF(OR(TRIM($F337)="",ISNUMBER(SEARCH("not named",$F337))),"Critical","Good"),IF($O337&lt;&gt;"Y","Critical",IF($Q337&lt;&gt;"Y","Warning","Good")),IF($P337="","Critical",IF($P337="partial","Warning",IF($P337="ready","Good","Critical"))),IF($R337&lt;&gt;"","Critical","Warning"),IF($L337="","Critical",IF($N337="","Warning","Good")),IF($R337&lt;&gt;"","Critical","Warning"),IF($R337&lt;&gt;"","Critical","Warning"),IF($Q337="Y","Good","Critical")))</f>
        <v/>
      </c>
      <c r="AI337" s="65" t="str">
        <f aca="false">IF($Y337="","",CHOOSE($Y337,IF(OR(TRIM($F337)="",ISNUMBER(SEARCH("not named",$F337))),"Name a sponsor accountable for the value",""),IF($O337&lt;&gt;"Y","State the success metric and the stop condition",IF($Q337&lt;&gt;"Y","Set the baseline the benefit will be measured against","")),IF($P337="","Assess data readiness and regulatory impact",IF($P337="partial","Close the known data gaps",IF($P337="ready","","Data is not available; reshape or park"))),IF($R337&lt;&gt;"",IF(OR(ISNUMBER(SEARCH("mrm",$R337)),ISNUMBER(SEARCH("model",$R337)),ISNUMBER(SEARCH("risk",$R337)),ISNUMBER(SEARCH("legal",$R337)),ISNUMBER(SEARCH("complian",$R337))),"Awaiting ","Held at the design gate: ")&amp;$R337,"Map the governance framework for its tier"),IF($L337="","Size the annual benefit",IF($N337="","Score it so it can be ranked against capacity","")),IF($R337&lt;&gt;"","Build held: "&amp;$R337,"In build, not yet through test"),IF($R337&lt;&gt;"","Not ready to scale: "&amp;$R337,"Monitoring and third-party review not yet signed off"),IF($Q337="Y","","Live without a measured baseline to judge it against")))</f>
        <v/>
      </c>
      <c r="AJ337" s="65" t="str">
        <f aca="false">IF($Y337="","",INDEX(StageForum,$Y337))</f>
        <v/>
      </c>
      <c r="AK337" s="65" t="str">
        <f aca="false">IF($Y337="","",IF(OR($X337="Delivery",$X337="Value"),"Committed",IF($N337&lt;&gt;"","Candidate","")))</f>
        <v/>
      </c>
      <c r="AL337" s="65" t="str">
        <f aca="false">IF($AK337&lt;&gt;"Candidate","",COUNTIFS($AK$2:$AK$501,"Candidate",$N$2:$N$501,"&gt;"&amp;$N337)+COUNTIFS($AK$2:$AK$501,"Candidate",$N$2:$N$501,$N337,$A$2:$A$501,"&lt;"&amp;$A337)+1)</f>
        <v/>
      </c>
      <c r="AM337" s="65" t="str">
        <f aca="false">IF($AL337="","",SUMIFS($M$2:$M$501,$AK$2:$AK$501,"Candidate",$AL$2:$AL$501,"&lt;="&amp;$AL337))</f>
        <v/>
      </c>
      <c r="AN337" s="65" t="str">
        <f aca="false">IF($AL337="","",IF($AM337&lt;=CapacityOpen,"Fits","Below line"))</f>
        <v/>
      </c>
      <c r="AO337" s="65" t="str">
        <f aca="false">IF($A337="","",IF($X337="Closed","",IF($X337="Unmapped","Warning",IF(OR($AB337="Overdue",$V337="Y",$AH337="Critical"),"Critical",IF(OR($AB337="At risk",$AC337="Stale",$AG337="Over"),"Warning","")))))</f>
        <v/>
      </c>
      <c r="AP337" s="65" t="str">
        <f aca="false">IF($AO337="","",IF($AO337="Critical",3000,2000)-IF($Z337="",0,$Z337)+ROW()/100000)</f>
        <v/>
      </c>
      <c r="AQ337" s="65" t="str">
        <f aca="false">IF($AO337="","",IF($X337="Unmapped","Status '"&amp;$C337&amp;"' is not in the Config map",IF($V337="Y","Flagged in Jira",IF($AB337="Overdue",-$Z337&amp;" days past its "&amp;$X337&amp;" target",IF($AH337="Critical",$AI337,IF($AB337="At risk","Target in "&amp;$Z337&amp;" days",IF($AC337="Stale","No update in "&amp;$AA337&amp;" days","Past its "&amp;$AE337&amp;"-day tier window")))))))</f>
        <v/>
      </c>
      <c r="AR337" s="65" t="str">
        <f aca="false">IF($AO337="","","draft Jira update for "&amp;$A337)</f>
        <v/>
      </c>
      <c r="AS337" s="65" t="str">
        <f aca="false">IF($A337="","",HYPERLINK(JiraSite&amp;"/browse/"&amp;$A337,"open"))</f>
        <v/>
      </c>
      <c r="AT337" s="65" t="str">
        <f aca="false">IF($Y337="","",$Y337*1000+ROW())</f>
        <v/>
      </c>
      <c r="AU337" s="65" t="str">
        <f aca="false">IF(AND($A337&lt;&gt;"",$G337&gt;=WeekStart),$G337+ROW()/100000,"")</f>
        <v/>
      </c>
      <c r="AV337" s="65" t="str">
        <f aca="false">IF($A337="","",IF(OR(AND($S337&lt;&gt;"",$S337&gt;=WeekStart),AND($U337&lt;&gt;"",$U337&gt;=WeekStart)),MAX($S337,$U337)+ROW()/100000,""))</f>
        <v/>
      </c>
      <c r="AW337" s="65" t="str">
        <f aca="false">IF($AV337="","",IF($T337&lt;&gt;"",$T337,IF($X337="Closed","Closed","Accepted to "&amp;$X337)))</f>
        <v/>
      </c>
      <c r="AX337" s="65" t="str">
        <f aca="false">IF(AND($Y337&lt;&gt;"",$R337&lt;&gt;""),$AF337+ROW()/100000,"")</f>
        <v/>
      </c>
      <c r="AY337" s="65" t="str">
        <f aca="false">IF(AND($Y337&lt;&gt;"",OR($AB337="Overdue",AND($AH337="Critical",$R337&lt;&gt;""))),$AF337+ROW()/100000,"")</f>
        <v/>
      </c>
      <c r="AZ337" s="65" t="str">
        <f aca="false">IF($AH337="Critical",$AF337+ROW()/100000,"")</f>
        <v/>
      </c>
    </row>
    <row r="338" customFormat="false" ht="15" hidden="false" customHeight="false" outlineLevel="0" collapsed="false">
      <c r="A338" s="28"/>
      <c r="B338" s="28"/>
      <c r="C338" s="28"/>
      <c r="D338" s="28"/>
      <c r="E338" s="28"/>
      <c r="F338" s="28"/>
      <c r="G338" s="63"/>
      <c r="H338" s="63"/>
      <c r="I338" s="63"/>
      <c r="J338" s="28"/>
      <c r="K338" s="28"/>
      <c r="L338" s="28"/>
      <c r="M338" s="28"/>
      <c r="N338" s="28"/>
      <c r="O338" s="64"/>
      <c r="P338" s="64"/>
      <c r="Q338" s="64"/>
      <c r="R338" s="28"/>
      <c r="S338" s="63"/>
      <c r="T338" s="64"/>
      <c r="U338" s="63"/>
      <c r="V338" s="64"/>
      <c r="W338" s="28"/>
      <c r="X338" s="65" t="str">
        <f aca="false">IF($A338="","",IF(OR($T338&lt;&gt;"",$U338&lt;&gt;""),"Closed",IFERROR(INDEX(MapStage,MATCH($C338,MapStatus,0)),"Unmapped")))</f>
        <v/>
      </c>
      <c r="Y338" s="65" t="str">
        <f aca="false">IF(OR($X338="",$X338="Closed",$X338="Unmapped"),"",MATCH($X338,StageName,0))</f>
        <v/>
      </c>
      <c r="Z338" s="65" t="str">
        <f aca="false">IF(OR($Y338="",$I338=""),"",$I338-AsOf)</f>
        <v/>
      </c>
      <c r="AA338" s="65" t="str">
        <f aca="false">IF($A338="","",AsOf-$H338)</f>
        <v/>
      </c>
      <c r="AB338" s="65" t="str">
        <f aca="false">IF($A338="","",IF($X338="Closed","Closed",IF($X338="Unmapped","Unmapped",IF($I338="","No target",IF($Z338&lt;0,"Overdue",IF($Z338&lt;=INDEX(StageWindow,$Y338),"At risk","On track"))))))</f>
        <v/>
      </c>
      <c r="AC338" s="65" t="str">
        <f aca="false">IF($Y338="","",IF($AA338&gt;2*INDEX(StageStale,$Y338),"Stale",IF($AA338&gt;INDEX(StageStale,$Y338),"Aging","Fresh")))</f>
        <v/>
      </c>
      <c r="AD338" s="65" t="str">
        <f aca="false">IF($A338="","",IF(OR(ISNUMBER(SEARCH("Reg report",$J338)),ISNUMBER(SEARCH("No human review",$J338)),COUNTIF(TierFuncs,$D338)&gt;0),"High",IF(OR(TRIM($J338)&lt;&gt;"",ISNUMBER(SEARCH("revenue",$K338))),"Medium","Low")))</f>
        <v/>
      </c>
      <c r="AE338" s="65" t="str">
        <f aca="false">IF($A338="","",INDEX(TierDays,MATCH($AD338,TierName,0)))</f>
        <v/>
      </c>
      <c r="AF338" s="65" t="str">
        <f aca="false">IF($A338="","",AsOf-$G338)</f>
        <v/>
      </c>
      <c r="AG338" s="65" t="str">
        <f aca="false">IF($Y338="","",IF($Y338&lt;=5,IF($AF338&gt;$AE338,"Over","Inside"),"Past approval"))</f>
        <v/>
      </c>
      <c r="AH338" s="65" t="str">
        <f aca="false">IF($Y338="","",CHOOSE($Y338,IF(OR(TRIM($F338)="",ISNUMBER(SEARCH("not named",$F338))),"Critical","Good"),IF($O338&lt;&gt;"Y","Critical",IF($Q338&lt;&gt;"Y","Warning","Good")),IF($P338="","Critical",IF($P338="partial","Warning",IF($P338="ready","Good","Critical"))),IF($R338&lt;&gt;"","Critical","Warning"),IF($L338="","Critical",IF($N338="","Warning","Good")),IF($R338&lt;&gt;"","Critical","Warning"),IF($R338&lt;&gt;"","Critical","Warning"),IF($Q338="Y","Good","Critical")))</f>
        <v/>
      </c>
      <c r="AI338" s="65" t="str">
        <f aca="false">IF($Y338="","",CHOOSE($Y338,IF(OR(TRIM($F338)="",ISNUMBER(SEARCH("not named",$F338))),"Name a sponsor accountable for the value",""),IF($O338&lt;&gt;"Y","State the success metric and the stop condition",IF($Q338&lt;&gt;"Y","Set the baseline the benefit will be measured against","")),IF($P338="","Assess data readiness and regulatory impact",IF($P338="partial","Close the known data gaps",IF($P338="ready","","Data is not available; reshape or park"))),IF($R338&lt;&gt;"",IF(OR(ISNUMBER(SEARCH("mrm",$R338)),ISNUMBER(SEARCH("model",$R338)),ISNUMBER(SEARCH("risk",$R338)),ISNUMBER(SEARCH("legal",$R338)),ISNUMBER(SEARCH("complian",$R338))),"Awaiting ","Held at the design gate: ")&amp;$R338,"Map the governance framework for its tier"),IF($L338="","Size the annual benefit",IF($N338="","Score it so it can be ranked against capacity","")),IF($R338&lt;&gt;"","Build held: "&amp;$R338,"In build, not yet through test"),IF($R338&lt;&gt;"","Not ready to scale: "&amp;$R338,"Monitoring and third-party review not yet signed off"),IF($Q338="Y","","Live without a measured baseline to judge it against")))</f>
        <v/>
      </c>
      <c r="AJ338" s="65" t="str">
        <f aca="false">IF($Y338="","",INDEX(StageForum,$Y338))</f>
        <v/>
      </c>
      <c r="AK338" s="65" t="str">
        <f aca="false">IF($Y338="","",IF(OR($X338="Delivery",$X338="Value"),"Committed",IF($N338&lt;&gt;"","Candidate","")))</f>
        <v/>
      </c>
      <c r="AL338" s="65" t="str">
        <f aca="false">IF($AK338&lt;&gt;"Candidate","",COUNTIFS($AK$2:$AK$501,"Candidate",$N$2:$N$501,"&gt;"&amp;$N338)+COUNTIFS($AK$2:$AK$501,"Candidate",$N$2:$N$501,$N338,$A$2:$A$501,"&lt;"&amp;$A338)+1)</f>
        <v/>
      </c>
      <c r="AM338" s="65" t="str">
        <f aca="false">IF($AL338="","",SUMIFS($M$2:$M$501,$AK$2:$AK$501,"Candidate",$AL$2:$AL$501,"&lt;="&amp;$AL338))</f>
        <v/>
      </c>
      <c r="AN338" s="65" t="str">
        <f aca="false">IF($AL338="","",IF($AM338&lt;=CapacityOpen,"Fits","Below line"))</f>
        <v/>
      </c>
      <c r="AO338" s="65" t="str">
        <f aca="false">IF($A338="","",IF($X338="Closed","",IF($X338="Unmapped","Warning",IF(OR($AB338="Overdue",$V338="Y",$AH338="Critical"),"Critical",IF(OR($AB338="At risk",$AC338="Stale",$AG338="Over"),"Warning","")))))</f>
        <v/>
      </c>
      <c r="AP338" s="65" t="str">
        <f aca="false">IF($AO338="","",IF($AO338="Critical",3000,2000)-IF($Z338="",0,$Z338)+ROW()/100000)</f>
        <v/>
      </c>
      <c r="AQ338" s="65" t="str">
        <f aca="false">IF($AO338="","",IF($X338="Unmapped","Status '"&amp;$C338&amp;"' is not in the Config map",IF($V338="Y","Flagged in Jira",IF($AB338="Overdue",-$Z338&amp;" days past its "&amp;$X338&amp;" target",IF($AH338="Critical",$AI338,IF($AB338="At risk","Target in "&amp;$Z338&amp;" days",IF($AC338="Stale","No update in "&amp;$AA338&amp;" days","Past its "&amp;$AE338&amp;"-day tier window")))))))</f>
        <v/>
      </c>
      <c r="AR338" s="65" t="str">
        <f aca="false">IF($AO338="","","draft Jira update for "&amp;$A338)</f>
        <v/>
      </c>
      <c r="AS338" s="65" t="str">
        <f aca="false">IF($A338="","",HYPERLINK(JiraSite&amp;"/browse/"&amp;$A338,"open"))</f>
        <v/>
      </c>
      <c r="AT338" s="65" t="str">
        <f aca="false">IF($Y338="","",$Y338*1000+ROW())</f>
        <v/>
      </c>
      <c r="AU338" s="65" t="str">
        <f aca="false">IF(AND($A338&lt;&gt;"",$G338&gt;=WeekStart),$G338+ROW()/100000,"")</f>
        <v/>
      </c>
      <c r="AV338" s="65" t="str">
        <f aca="false">IF($A338="","",IF(OR(AND($S338&lt;&gt;"",$S338&gt;=WeekStart),AND($U338&lt;&gt;"",$U338&gt;=WeekStart)),MAX($S338,$U338)+ROW()/100000,""))</f>
        <v/>
      </c>
      <c r="AW338" s="65" t="str">
        <f aca="false">IF($AV338="","",IF($T338&lt;&gt;"",$T338,IF($X338="Closed","Closed","Accepted to "&amp;$X338)))</f>
        <v/>
      </c>
      <c r="AX338" s="65" t="str">
        <f aca="false">IF(AND($Y338&lt;&gt;"",$R338&lt;&gt;""),$AF338+ROW()/100000,"")</f>
        <v/>
      </c>
      <c r="AY338" s="65" t="str">
        <f aca="false">IF(AND($Y338&lt;&gt;"",OR($AB338="Overdue",AND($AH338="Critical",$R338&lt;&gt;""))),$AF338+ROW()/100000,"")</f>
        <v/>
      </c>
      <c r="AZ338" s="65" t="str">
        <f aca="false">IF($AH338="Critical",$AF338+ROW()/100000,"")</f>
        <v/>
      </c>
    </row>
    <row r="339" customFormat="false" ht="15" hidden="false" customHeight="false" outlineLevel="0" collapsed="false">
      <c r="A339" s="28"/>
      <c r="B339" s="28"/>
      <c r="C339" s="28"/>
      <c r="D339" s="28"/>
      <c r="E339" s="28"/>
      <c r="F339" s="28"/>
      <c r="G339" s="63"/>
      <c r="H339" s="63"/>
      <c r="I339" s="63"/>
      <c r="J339" s="28"/>
      <c r="K339" s="28"/>
      <c r="L339" s="28"/>
      <c r="M339" s="28"/>
      <c r="N339" s="28"/>
      <c r="O339" s="64"/>
      <c r="P339" s="64"/>
      <c r="Q339" s="64"/>
      <c r="R339" s="28"/>
      <c r="S339" s="63"/>
      <c r="T339" s="64"/>
      <c r="U339" s="63"/>
      <c r="V339" s="64"/>
      <c r="W339" s="28"/>
      <c r="X339" s="65" t="str">
        <f aca="false">IF($A339="","",IF(OR($T339&lt;&gt;"",$U339&lt;&gt;""),"Closed",IFERROR(INDEX(MapStage,MATCH($C339,MapStatus,0)),"Unmapped")))</f>
        <v/>
      </c>
      <c r="Y339" s="65" t="str">
        <f aca="false">IF(OR($X339="",$X339="Closed",$X339="Unmapped"),"",MATCH($X339,StageName,0))</f>
        <v/>
      </c>
      <c r="Z339" s="65" t="str">
        <f aca="false">IF(OR($Y339="",$I339=""),"",$I339-AsOf)</f>
        <v/>
      </c>
      <c r="AA339" s="65" t="str">
        <f aca="false">IF($A339="","",AsOf-$H339)</f>
        <v/>
      </c>
      <c r="AB339" s="65" t="str">
        <f aca="false">IF($A339="","",IF($X339="Closed","Closed",IF($X339="Unmapped","Unmapped",IF($I339="","No target",IF($Z339&lt;0,"Overdue",IF($Z339&lt;=INDEX(StageWindow,$Y339),"At risk","On track"))))))</f>
        <v/>
      </c>
      <c r="AC339" s="65" t="str">
        <f aca="false">IF($Y339="","",IF($AA339&gt;2*INDEX(StageStale,$Y339),"Stale",IF($AA339&gt;INDEX(StageStale,$Y339),"Aging","Fresh")))</f>
        <v/>
      </c>
      <c r="AD339" s="65" t="str">
        <f aca="false">IF($A339="","",IF(OR(ISNUMBER(SEARCH("Reg report",$J339)),ISNUMBER(SEARCH("No human review",$J339)),COUNTIF(TierFuncs,$D339)&gt;0),"High",IF(OR(TRIM($J339)&lt;&gt;"",ISNUMBER(SEARCH("revenue",$K339))),"Medium","Low")))</f>
        <v/>
      </c>
      <c r="AE339" s="65" t="str">
        <f aca="false">IF($A339="","",INDEX(TierDays,MATCH($AD339,TierName,0)))</f>
        <v/>
      </c>
      <c r="AF339" s="65" t="str">
        <f aca="false">IF($A339="","",AsOf-$G339)</f>
        <v/>
      </c>
      <c r="AG339" s="65" t="str">
        <f aca="false">IF($Y339="","",IF($Y339&lt;=5,IF($AF339&gt;$AE339,"Over","Inside"),"Past approval"))</f>
        <v/>
      </c>
      <c r="AH339" s="65" t="str">
        <f aca="false">IF($Y339="","",CHOOSE($Y339,IF(OR(TRIM($F339)="",ISNUMBER(SEARCH("not named",$F339))),"Critical","Good"),IF($O339&lt;&gt;"Y","Critical",IF($Q339&lt;&gt;"Y","Warning","Good")),IF($P339="","Critical",IF($P339="partial","Warning",IF($P339="ready","Good","Critical"))),IF($R339&lt;&gt;"","Critical","Warning"),IF($L339="","Critical",IF($N339="","Warning","Good")),IF($R339&lt;&gt;"","Critical","Warning"),IF($R339&lt;&gt;"","Critical","Warning"),IF($Q339="Y","Good","Critical")))</f>
        <v/>
      </c>
      <c r="AI339" s="65" t="str">
        <f aca="false">IF($Y339="","",CHOOSE($Y339,IF(OR(TRIM($F339)="",ISNUMBER(SEARCH("not named",$F339))),"Name a sponsor accountable for the value",""),IF($O339&lt;&gt;"Y","State the success metric and the stop condition",IF($Q339&lt;&gt;"Y","Set the baseline the benefit will be measured against","")),IF($P339="","Assess data readiness and regulatory impact",IF($P339="partial","Close the known data gaps",IF($P339="ready","","Data is not available; reshape or park"))),IF($R339&lt;&gt;"",IF(OR(ISNUMBER(SEARCH("mrm",$R339)),ISNUMBER(SEARCH("model",$R339)),ISNUMBER(SEARCH("risk",$R339)),ISNUMBER(SEARCH("legal",$R339)),ISNUMBER(SEARCH("complian",$R339))),"Awaiting ","Held at the design gate: ")&amp;$R339,"Map the governance framework for its tier"),IF($L339="","Size the annual benefit",IF($N339="","Score it so it can be ranked against capacity","")),IF($R339&lt;&gt;"","Build held: "&amp;$R339,"In build, not yet through test"),IF($R339&lt;&gt;"","Not ready to scale: "&amp;$R339,"Monitoring and third-party review not yet signed off"),IF($Q339="Y","","Live without a measured baseline to judge it against")))</f>
        <v/>
      </c>
      <c r="AJ339" s="65" t="str">
        <f aca="false">IF($Y339="","",INDEX(StageForum,$Y339))</f>
        <v/>
      </c>
      <c r="AK339" s="65" t="str">
        <f aca="false">IF($Y339="","",IF(OR($X339="Delivery",$X339="Value"),"Committed",IF($N339&lt;&gt;"","Candidate","")))</f>
        <v/>
      </c>
      <c r="AL339" s="65" t="str">
        <f aca="false">IF($AK339&lt;&gt;"Candidate","",COUNTIFS($AK$2:$AK$501,"Candidate",$N$2:$N$501,"&gt;"&amp;$N339)+COUNTIFS($AK$2:$AK$501,"Candidate",$N$2:$N$501,$N339,$A$2:$A$501,"&lt;"&amp;$A339)+1)</f>
        <v/>
      </c>
      <c r="AM339" s="65" t="str">
        <f aca="false">IF($AL339="","",SUMIFS($M$2:$M$501,$AK$2:$AK$501,"Candidate",$AL$2:$AL$501,"&lt;="&amp;$AL339))</f>
        <v/>
      </c>
      <c r="AN339" s="65" t="str">
        <f aca="false">IF($AL339="","",IF($AM339&lt;=CapacityOpen,"Fits","Below line"))</f>
        <v/>
      </c>
      <c r="AO339" s="65" t="str">
        <f aca="false">IF($A339="","",IF($X339="Closed","",IF($X339="Unmapped","Warning",IF(OR($AB339="Overdue",$V339="Y",$AH339="Critical"),"Critical",IF(OR($AB339="At risk",$AC339="Stale",$AG339="Over"),"Warning","")))))</f>
        <v/>
      </c>
      <c r="AP339" s="65" t="str">
        <f aca="false">IF($AO339="","",IF($AO339="Critical",3000,2000)-IF($Z339="",0,$Z339)+ROW()/100000)</f>
        <v/>
      </c>
      <c r="AQ339" s="65" t="str">
        <f aca="false">IF($AO339="","",IF($X339="Unmapped","Status '"&amp;$C339&amp;"' is not in the Config map",IF($V339="Y","Flagged in Jira",IF($AB339="Overdue",-$Z339&amp;" days past its "&amp;$X339&amp;" target",IF($AH339="Critical",$AI339,IF($AB339="At risk","Target in "&amp;$Z339&amp;" days",IF($AC339="Stale","No update in "&amp;$AA339&amp;" days","Past its "&amp;$AE339&amp;"-day tier window")))))))</f>
        <v/>
      </c>
      <c r="AR339" s="65" t="str">
        <f aca="false">IF($AO339="","","draft Jira update for "&amp;$A339)</f>
        <v/>
      </c>
      <c r="AS339" s="65" t="str">
        <f aca="false">IF($A339="","",HYPERLINK(JiraSite&amp;"/browse/"&amp;$A339,"open"))</f>
        <v/>
      </c>
      <c r="AT339" s="65" t="str">
        <f aca="false">IF($Y339="","",$Y339*1000+ROW())</f>
        <v/>
      </c>
      <c r="AU339" s="65" t="str">
        <f aca="false">IF(AND($A339&lt;&gt;"",$G339&gt;=WeekStart),$G339+ROW()/100000,"")</f>
        <v/>
      </c>
      <c r="AV339" s="65" t="str">
        <f aca="false">IF($A339="","",IF(OR(AND($S339&lt;&gt;"",$S339&gt;=WeekStart),AND($U339&lt;&gt;"",$U339&gt;=WeekStart)),MAX($S339,$U339)+ROW()/100000,""))</f>
        <v/>
      </c>
      <c r="AW339" s="65" t="str">
        <f aca="false">IF($AV339="","",IF($T339&lt;&gt;"",$T339,IF($X339="Closed","Closed","Accepted to "&amp;$X339)))</f>
        <v/>
      </c>
      <c r="AX339" s="65" t="str">
        <f aca="false">IF(AND($Y339&lt;&gt;"",$R339&lt;&gt;""),$AF339+ROW()/100000,"")</f>
        <v/>
      </c>
      <c r="AY339" s="65" t="str">
        <f aca="false">IF(AND($Y339&lt;&gt;"",OR($AB339="Overdue",AND($AH339="Critical",$R339&lt;&gt;""))),$AF339+ROW()/100000,"")</f>
        <v/>
      </c>
      <c r="AZ339" s="65" t="str">
        <f aca="false">IF($AH339="Critical",$AF339+ROW()/100000,"")</f>
        <v/>
      </c>
    </row>
    <row r="340" customFormat="false" ht="15" hidden="false" customHeight="false" outlineLevel="0" collapsed="false">
      <c r="A340" s="28"/>
      <c r="B340" s="28"/>
      <c r="C340" s="28"/>
      <c r="D340" s="28"/>
      <c r="E340" s="28"/>
      <c r="F340" s="28"/>
      <c r="G340" s="63"/>
      <c r="H340" s="63"/>
      <c r="I340" s="63"/>
      <c r="J340" s="28"/>
      <c r="K340" s="28"/>
      <c r="L340" s="28"/>
      <c r="M340" s="28"/>
      <c r="N340" s="28"/>
      <c r="O340" s="64"/>
      <c r="P340" s="64"/>
      <c r="Q340" s="64"/>
      <c r="R340" s="28"/>
      <c r="S340" s="63"/>
      <c r="T340" s="64"/>
      <c r="U340" s="63"/>
      <c r="V340" s="64"/>
      <c r="W340" s="28"/>
      <c r="X340" s="65" t="str">
        <f aca="false">IF($A340="","",IF(OR($T340&lt;&gt;"",$U340&lt;&gt;""),"Closed",IFERROR(INDEX(MapStage,MATCH($C340,MapStatus,0)),"Unmapped")))</f>
        <v/>
      </c>
      <c r="Y340" s="65" t="str">
        <f aca="false">IF(OR($X340="",$X340="Closed",$X340="Unmapped"),"",MATCH($X340,StageName,0))</f>
        <v/>
      </c>
      <c r="Z340" s="65" t="str">
        <f aca="false">IF(OR($Y340="",$I340=""),"",$I340-AsOf)</f>
        <v/>
      </c>
      <c r="AA340" s="65" t="str">
        <f aca="false">IF($A340="","",AsOf-$H340)</f>
        <v/>
      </c>
      <c r="AB340" s="65" t="str">
        <f aca="false">IF($A340="","",IF($X340="Closed","Closed",IF($X340="Unmapped","Unmapped",IF($I340="","No target",IF($Z340&lt;0,"Overdue",IF($Z340&lt;=INDEX(StageWindow,$Y340),"At risk","On track"))))))</f>
        <v/>
      </c>
      <c r="AC340" s="65" t="str">
        <f aca="false">IF($Y340="","",IF($AA340&gt;2*INDEX(StageStale,$Y340),"Stale",IF($AA340&gt;INDEX(StageStale,$Y340),"Aging","Fresh")))</f>
        <v/>
      </c>
      <c r="AD340" s="65" t="str">
        <f aca="false">IF($A340="","",IF(OR(ISNUMBER(SEARCH("Reg report",$J340)),ISNUMBER(SEARCH("No human review",$J340)),COUNTIF(TierFuncs,$D340)&gt;0),"High",IF(OR(TRIM($J340)&lt;&gt;"",ISNUMBER(SEARCH("revenue",$K340))),"Medium","Low")))</f>
        <v/>
      </c>
      <c r="AE340" s="65" t="str">
        <f aca="false">IF($A340="","",INDEX(TierDays,MATCH($AD340,TierName,0)))</f>
        <v/>
      </c>
      <c r="AF340" s="65" t="str">
        <f aca="false">IF($A340="","",AsOf-$G340)</f>
        <v/>
      </c>
      <c r="AG340" s="65" t="str">
        <f aca="false">IF($Y340="","",IF($Y340&lt;=5,IF($AF340&gt;$AE340,"Over","Inside"),"Past approval"))</f>
        <v/>
      </c>
      <c r="AH340" s="65" t="str">
        <f aca="false">IF($Y340="","",CHOOSE($Y340,IF(OR(TRIM($F340)="",ISNUMBER(SEARCH("not named",$F340))),"Critical","Good"),IF($O340&lt;&gt;"Y","Critical",IF($Q340&lt;&gt;"Y","Warning","Good")),IF($P340="","Critical",IF($P340="partial","Warning",IF($P340="ready","Good","Critical"))),IF($R340&lt;&gt;"","Critical","Warning"),IF($L340="","Critical",IF($N340="","Warning","Good")),IF($R340&lt;&gt;"","Critical","Warning"),IF($R340&lt;&gt;"","Critical","Warning"),IF($Q340="Y","Good","Critical")))</f>
        <v/>
      </c>
      <c r="AI340" s="65" t="str">
        <f aca="false">IF($Y340="","",CHOOSE($Y340,IF(OR(TRIM($F340)="",ISNUMBER(SEARCH("not named",$F340))),"Name a sponsor accountable for the value",""),IF($O340&lt;&gt;"Y","State the success metric and the stop condition",IF($Q340&lt;&gt;"Y","Set the baseline the benefit will be measured against","")),IF($P340="","Assess data readiness and regulatory impact",IF($P340="partial","Close the known data gaps",IF($P340="ready","","Data is not available; reshape or park"))),IF($R340&lt;&gt;"",IF(OR(ISNUMBER(SEARCH("mrm",$R340)),ISNUMBER(SEARCH("model",$R340)),ISNUMBER(SEARCH("risk",$R340)),ISNUMBER(SEARCH("legal",$R340)),ISNUMBER(SEARCH("complian",$R340))),"Awaiting ","Held at the design gate: ")&amp;$R340,"Map the governance framework for its tier"),IF($L340="","Size the annual benefit",IF($N340="","Score it so it can be ranked against capacity","")),IF($R340&lt;&gt;"","Build held: "&amp;$R340,"In build, not yet through test"),IF($R340&lt;&gt;"","Not ready to scale: "&amp;$R340,"Monitoring and third-party review not yet signed off"),IF($Q340="Y","","Live without a measured baseline to judge it against")))</f>
        <v/>
      </c>
      <c r="AJ340" s="65" t="str">
        <f aca="false">IF($Y340="","",INDEX(StageForum,$Y340))</f>
        <v/>
      </c>
      <c r="AK340" s="65" t="str">
        <f aca="false">IF($Y340="","",IF(OR($X340="Delivery",$X340="Value"),"Committed",IF($N340&lt;&gt;"","Candidate","")))</f>
        <v/>
      </c>
      <c r="AL340" s="65" t="str">
        <f aca="false">IF($AK340&lt;&gt;"Candidate","",COUNTIFS($AK$2:$AK$501,"Candidate",$N$2:$N$501,"&gt;"&amp;$N340)+COUNTIFS($AK$2:$AK$501,"Candidate",$N$2:$N$501,$N340,$A$2:$A$501,"&lt;"&amp;$A340)+1)</f>
        <v/>
      </c>
      <c r="AM340" s="65" t="str">
        <f aca="false">IF($AL340="","",SUMIFS($M$2:$M$501,$AK$2:$AK$501,"Candidate",$AL$2:$AL$501,"&lt;="&amp;$AL340))</f>
        <v/>
      </c>
      <c r="AN340" s="65" t="str">
        <f aca="false">IF($AL340="","",IF($AM340&lt;=CapacityOpen,"Fits","Below line"))</f>
        <v/>
      </c>
      <c r="AO340" s="65" t="str">
        <f aca="false">IF($A340="","",IF($X340="Closed","",IF($X340="Unmapped","Warning",IF(OR($AB340="Overdue",$V340="Y",$AH340="Critical"),"Critical",IF(OR($AB340="At risk",$AC340="Stale",$AG340="Over"),"Warning","")))))</f>
        <v/>
      </c>
      <c r="AP340" s="65" t="str">
        <f aca="false">IF($AO340="","",IF($AO340="Critical",3000,2000)-IF($Z340="",0,$Z340)+ROW()/100000)</f>
        <v/>
      </c>
      <c r="AQ340" s="65" t="str">
        <f aca="false">IF($AO340="","",IF($X340="Unmapped","Status '"&amp;$C340&amp;"' is not in the Config map",IF($V340="Y","Flagged in Jira",IF($AB340="Overdue",-$Z340&amp;" days past its "&amp;$X340&amp;" target",IF($AH340="Critical",$AI340,IF($AB340="At risk","Target in "&amp;$Z340&amp;" days",IF($AC340="Stale","No update in "&amp;$AA340&amp;" days","Past its "&amp;$AE340&amp;"-day tier window")))))))</f>
        <v/>
      </c>
      <c r="AR340" s="65" t="str">
        <f aca="false">IF($AO340="","","draft Jira update for "&amp;$A340)</f>
        <v/>
      </c>
      <c r="AS340" s="65" t="str">
        <f aca="false">IF($A340="","",HYPERLINK(JiraSite&amp;"/browse/"&amp;$A340,"open"))</f>
        <v/>
      </c>
      <c r="AT340" s="65" t="str">
        <f aca="false">IF($Y340="","",$Y340*1000+ROW())</f>
        <v/>
      </c>
      <c r="AU340" s="65" t="str">
        <f aca="false">IF(AND($A340&lt;&gt;"",$G340&gt;=WeekStart),$G340+ROW()/100000,"")</f>
        <v/>
      </c>
      <c r="AV340" s="65" t="str">
        <f aca="false">IF($A340="","",IF(OR(AND($S340&lt;&gt;"",$S340&gt;=WeekStart),AND($U340&lt;&gt;"",$U340&gt;=WeekStart)),MAX($S340,$U340)+ROW()/100000,""))</f>
        <v/>
      </c>
      <c r="AW340" s="65" t="str">
        <f aca="false">IF($AV340="","",IF($T340&lt;&gt;"",$T340,IF($X340="Closed","Closed","Accepted to "&amp;$X340)))</f>
        <v/>
      </c>
      <c r="AX340" s="65" t="str">
        <f aca="false">IF(AND($Y340&lt;&gt;"",$R340&lt;&gt;""),$AF340+ROW()/100000,"")</f>
        <v/>
      </c>
      <c r="AY340" s="65" t="str">
        <f aca="false">IF(AND($Y340&lt;&gt;"",OR($AB340="Overdue",AND($AH340="Critical",$R340&lt;&gt;""))),$AF340+ROW()/100000,"")</f>
        <v/>
      </c>
      <c r="AZ340" s="65" t="str">
        <f aca="false">IF($AH340="Critical",$AF340+ROW()/100000,"")</f>
        <v/>
      </c>
    </row>
    <row r="341" customFormat="false" ht="15" hidden="false" customHeight="false" outlineLevel="0" collapsed="false">
      <c r="A341" s="28"/>
      <c r="B341" s="28"/>
      <c r="C341" s="28"/>
      <c r="D341" s="28"/>
      <c r="E341" s="28"/>
      <c r="F341" s="28"/>
      <c r="G341" s="63"/>
      <c r="H341" s="63"/>
      <c r="I341" s="63"/>
      <c r="J341" s="28"/>
      <c r="K341" s="28"/>
      <c r="L341" s="28"/>
      <c r="M341" s="28"/>
      <c r="N341" s="28"/>
      <c r="O341" s="64"/>
      <c r="P341" s="64"/>
      <c r="Q341" s="64"/>
      <c r="R341" s="28"/>
      <c r="S341" s="63"/>
      <c r="T341" s="64"/>
      <c r="U341" s="63"/>
      <c r="V341" s="64"/>
      <c r="W341" s="28"/>
      <c r="X341" s="65" t="str">
        <f aca="false">IF($A341="","",IF(OR($T341&lt;&gt;"",$U341&lt;&gt;""),"Closed",IFERROR(INDEX(MapStage,MATCH($C341,MapStatus,0)),"Unmapped")))</f>
        <v/>
      </c>
      <c r="Y341" s="65" t="str">
        <f aca="false">IF(OR($X341="",$X341="Closed",$X341="Unmapped"),"",MATCH($X341,StageName,0))</f>
        <v/>
      </c>
      <c r="Z341" s="65" t="str">
        <f aca="false">IF(OR($Y341="",$I341=""),"",$I341-AsOf)</f>
        <v/>
      </c>
      <c r="AA341" s="65" t="str">
        <f aca="false">IF($A341="","",AsOf-$H341)</f>
        <v/>
      </c>
      <c r="AB341" s="65" t="str">
        <f aca="false">IF($A341="","",IF($X341="Closed","Closed",IF($X341="Unmapped","Unmapped",IF($I341="","No target",IF($Z341&lt;0,"Overdue",IF($Z341&lt;=INDEX(StageWindow,$Y341),"At risk","On track"))))))</f>
        <v/>
      </c>
      <c r="AC341" s="65" t="str">
        <f aca="false">IF($Y341="","",IF($AA341&gt;2*INDEX(StageStale,$Y341),"Stale",IF($AA341&gt;INDEX(StageStale,$Y341),"Aging","Fresh")))</f>
        <v/>
      </c>
      <c r="AD341" s="65" t="str">
        <f aca="false">IF($A341="","",IF(OR(ISNUMBER(SEARCH("Reg report",$J341)),ISNUMBER(SEARCH("No human review",$J341)),COUNTIF(TierFuncs,$D341)&gt;0),"High",IF(OR(TRIM($J341)&lt;&gt;"",ISNUMBER(SEARCH("revenue",$K341))),"Medium","Low")))</f>
        <v/>
      </c>
      <c r="AE341" s="65" t="str">
        <f aca="false">IF($A341="","",INDEX(TierDays,MATCH($AD341,TierName,0)))</f>
        <v/>
      </c>
      <c r="AF341" s="65" t="str">
        <f aca="false">IF($A341="","",AsOf-$G341)</f>
        <v/>
      </c>
      <c r="AG341" s="65" t="str">
        <f aca="false">IF($Y341="","",IF($Y341&lt;=5,IF($AF341&gt;$AE341,"Over","Inside"),"Past approval"))</f>
        <v/>
      </c>
      <c r="AH341" s="65" t="str">
        <f aca="false">IF($Y341="","",CHOOSE($Y341,IF(OR(TRIM($F341)="",ISNUMBER(SEARCH("not named",$F341))),"Critical","Good"),IF($O341&lt;&gt;"Y","Critical",IF($Q341&lt;&gt;"Y","Warning","Good")),IF($P341="","Critical",IF($P341="partial","Warning",IF($P341="ready","Good","Critical"))),IF($R341&lt;&gt;"","Critical","Warning"),IF($L341="","Critical",IF($N341="","Warning","Good")),IF($R341&lt;&gt;"","Critical","Warning"),IF($R341&lt;&gt;"","Critical","Warning"),IF($Q341="Y","Good","Critical")))</f>
        <v/>
      </c>
      <c r="AI341" s="65" t="str">
        <f aca="false">IF($Y341="","",CHOOSE($Y341,IF(OR(TRIM($F341)="",ISNUMBER(SEARCH("not named",$F341))),"Name a sponsor accountable for the value",""),IF($O341&lt;&gt;"Y","State the success metric and the stop condition",IF($Q341&lt;&gt;"Y","Set the baseline the benefit will be measured against","")),IF($P341="","Assess data readiness and regulatory impact",IF($P341="partial","Close the known data gaps",IF($P341="ready","","Data is not available; reshape or park"))),IF($R341&lt;&gt;"",IF(OR(ISNUMBER(SEARCH("mrm",$R341)),ISNUMBER(SEARCH("model",$R341)),ISNUMBER(SEARCH("risk",$R341)),ISNUMBER(SEARCH("legal",$R341)),ISNUMBER(SEARCH("complian",$R341))),"Awaiting ","Held at the design gate: ")&amp;$R341,"Map the governance framework for its tier"),IF($L341="","Size the annual benefit",IF($N341="","Score it so it can be ranked against capacity","")),IF($R341&lt;&gt;"","Build held: "&amp;$R341,"In build, not yet through test"),IF($R341&lt;&gt;"","Not ready to scale: "&amp;$R341,"Monitoring and third-party review not yet signed off"),IF($Q341="Y","","Live without a measured baseline to judge it against")))</f>
        <v/>
      </c>
      <c r="AJ341" s="65" t="str">
        <f aca="false">IF($Y341="","",INDEX(StageForum,$Y341))</f>
        <v/>
      </c>
      <c r="AK341" s="65" t="str">
        <f aca="false">IF($Y341="","",IF(OR($X341="Delivery",$X341="Value"),"Committed",IF($N341&lt;&gt;"","Candidate","")))</f>
        <v/>
      </c>
      <c r="AL341" s="65" t="str">
        <f aca="false">IF($AK341&lt;&gt;"Candidate","",COUNTIFS($AK$2:$AK$501,"Candidate",$N$2:$N$501,"&gt;"&amp;$N341)+COUNTIFS($AK$2:$AK$501,"Candidate",$N$2:$N$501,$N341,$A$2:$A$501,"&lt;"&amp;$A341)+1)</f>
        <v/>
      </c>
      <c r="AM341" s="65" t="str">
        <f aca="false">IF($AL341="","",SUMIFS($M$2:$M$501,$AK$2:$AK$501,"Candidate",$AL$2:$AL$501,"&lt;="&amp;$AL341))</f>
        <v/>
      </c>
      <c r="AN341" s="65" t="str">
        <f aca="false">IF($AL341="","",IF($AM341&lt;=CapacityOpen,"Fits","Below line"))</f>
        <v/>
      </c>
      <c r="AO341" s="65" t="str">
        <f aca="false">IF($A341="","",IF($X341="Closed","",IF($X341="Unmapped","Warning",IF(OR($AB341="Overdue",$V341="Y",$AH341="Critical"),"Critical",IF(OR($AB341="At risk",$AC341="Stale",$AG341="Over"),"Warning","")))))</f>
        <v/>
      </c>
      <c r="AP341" s="65" t="str">
        <f aca="false">IF($AO341="","",IF($AO341="Critical",3000,2000)-IF($Z341="",0,$Z341)+ROW()/100000)</f>
        <v/>
      </c>
      <c r="AQ341" s="65" t="str">
        <f aca="false">IF($AO341="","",IF($X341="Unmapped","Status '"&amp;$C341&amp;"' is not in the Config map",IF($V341="Y","Flagged in Jira",IF($AB341="Overdue",-$Z341&amp;" days past its "&amp;$X341&amp;" target",IF($AH341="Critical",$AI341,IF($AB341="At risk","Target in "&amp;$Z341&amp;" days",IF($AC341="Stale","No update in "&amp;$AA341&amp;" days","Past its "&amp;$AE341&amp;"-day tier window")))))))</f>
        <v/>
      </c>
      <c r="AR341" s="65" t="str">
        <f aca="false">IF($AO341="","","draft Jira update for "&amp;$A341)</f>
        <v/>
      </c>
      <c r="AS341" s="65" t="str">
        <f aca="false">IF($A341="","",HYPERLINK(JiraSite&amp;"/browse/"&amp;$A341,"open"))</f>
        <v/>
      </c>
      <c r="AT341" s="65" t="str">
        <f aca="false">IF($Y341="","",$Y341*1000+ROW())</f>
        <v/>
      </c>
      <c r="AU341" s="65" t="str">
        <f aca="false">IF(AND($A341&lt;&gt;"",$G341&gt;=WeekStart),$G341+ROW()/100000,"")</f>
        <v/>
      </c>
      <c r="AV341" s="65" t="str">
        <f aca="false">IF($A341="","",IF(OR(AND($S341&lt;&gt;"",$S341&gt;=WeekStart),AND($U341&lt;&gt;"",$U341&gt;=WeekStart)),MAX($S341,$U341)+ROW()/100000,""))</f>
        <v/>
      </c>
      <c r="AW341" s="65" t="str">
        <f aca="false">IF($AV341="","",IF($T341&lt;&gt;"",$T341,IF($X341="Closed","Closed","Accepted to "&amp;$X341)))</f>
        <v/>
      </c>
      <c r="AX341" s="65" t="str">
        <f aca="false">IF(AND($Y341&lt;&gt;"",$R341&lt;&gt;""),$AF341+ROW()/100000,"")</f>
        <v/>
      </c>
      <c r="AY341" s="65" t="str">
        <f aca="false">IF(AND($Y341&lt;&gt;"",OR($AB341="Overdue",AND($AH341="Critical",$R341&lt;&gt;""))),$AF341+ROW()/100000,"")</f>
        <v/>
      </c>
      <c r="AZ341" s="65" t="str">
        <f aca="false">IF($AH341="Critical",$AF341+ROW()/100000,"")</f>
        <v/>
      </c>
    </row>
    <row r="342" customFormat="false" ht="15" hidden="false" customHeight="false" outlineLevel="0" collapsed="false">
      <c r="A342" s="28"/>
      <c r="B342" s="28"/>
      <c r="C342" s="28"/>
      <c r="D342" s="28"/>
      <c r="E342" s="28"/>
      <c r="F342" s="28"/>
      <c r="G342" s="63"/>
      <c r="H342" s="63"/>
      <c r="I342" s="63"/>
      <c r="J342" s="28"/>
      <c r="K342" s="28"/>
      <c r="L342" s="28"/>
      <c r="M342" s="28"/>
      <c r="N342" s="28"/>
      <c r="O342" s="64"/>
      <c r="P342" s="64"/>
      <c r="Q342" s="64"/>
      <c r="R342" s="28"/>
      <c r="S342" s="63"/>
      <c r="T342" s="64"/>
      <c r="U342" s="63"/>
      <c r="V342" s="64"/>
      <c r="W342" s="28"/>
      <c r="X342" s="65" t="str">
        <f aca="false">IF($A342="","",IF(OR($T342&lt;&gt;"",$U342&lt;&gt;""),"Closed",IFERROR(INDEX(MapStage,MATCH($C342,MapStatus,0)),"Unmapped")))</f>
        <v/>
      </c>
      <c r="Y342" s="65" t="str">
        <f aca="false">IF(OR($X342="",$X342="Closed",$X342="Unmapped"),"",MATCH($X342,StageName,0))</f>
        <v/>
      </c>
      <c r="Z342" s="65" t="str">
        <f aca="false">IF(OR($Y342="",$I342=""),"",$I342-AsOf)</f>
        <v/>
      </c>
      <c r="AA342" s="65" t="str">
        <f aca="false">IF($A342="","",AsOf-$H342)</f>
        <v/>
      </c>
      <c r="AB342" s="65" t="str">
        <f aca="false">IF($A342="","",IF($X342="Closed","Closed",IF($X342="Unmapped","Unmapped",IF($I342="","No target",IF($Z342&lt;0,"Overdue",IF($Z342&lt;=INDEX(StageWindow,$Y342),"At risk","On track"))))))</f>
        <v/>
      </c>
      <c r="AC342" s="65" t="str">
        <f aca="false">IF($Y342="","",IF($AA342&gt;2*INDEX(StageStale,$Y342),"Stale",IF($AA342&gt;INDEX(StageStale,$Y342),"Aging","Fresh")))</f>
        <v/>
      </c>
      <c r="AD342" s="65" t="str">
        <f aca="false">IF($A342="","",IF(OR(ISNUMBER(SEARCH("Reg report",$J342)),ISNUMBER(SEARCH("No human review",$J342)),COUNTIF(TierFuncs,$D342)&gt;0),"High",IF(OR(TRIM($J342)&lt;&gt;"",ISNUMBER(SEARCH("revenue",$K342))),"Medium","Low")))</f>
        <v/>
      </c>
      <c r="AE342" s="65" t="str">
        <f aca="false">IF($A342="","",INDEX(TierDays,MATCH($AD342,TierName,0)))</f>
        <v/>
      </c>
      <c r="AF342" s="65" t="str">
        <f aca="false">IF($A342="","",AsOf-$G342)</f>
        <v/>
      </c>
      <c r="AG342" s="65" t="str">
        <f aca="false">IF($Y342="","",IF($Y342&lt;=5,IF($AF342&gt;$AE342,"Over","Inside"),"Past approval"))</f>
        <v/>
      </c>
      <c r="AH342" s="65" t="str">
        <f aca="false">IF($Y342="","",CHOOSE($Y342,IF(OR(TRIM($F342)="",ISNUMBER(SEARCH("not named",$F342))),"Critical","Good"),IF($O342&lt;&gt;"Y","Critical",IF($Q342&lt;&gt;"Y","Warning","Good")),IF($P342="","Critical",IF($P342="partial","Warning",IF($P342="ready","Good","Critical"))),IF($R342&lt;&gt;"","Critical","Warning"),IF($L342="","Critical",IF($N342="","Warning","Good")),IF($R342&lt;&gt;"","Critical","Warning"),IF($R342&lt;&gt;"","Critical","Warning"),IF($Q342="Y","Good","Critical")))</f>
        <v/>
      </c>
      <c r="AI342" s="65" t="str">
        <f aca="false">IF($Y342="","",CHOOSE($Y342,IF(OR(TRIM($F342)="",ISNUMBER(SEARCH("not named",$F342))),"Name a sponsor accountable for the value",""),IF($O342&lt;&gt;"Y","State the success metric and the stop condition",IF($Q342&lt;&gt;"Y","Set the baseline the benefit will be measured against","")),IF($P342="","Assess data readiness and regulatory impact",IF($P342="partial","Close the known data gaps",IF($P342="ready","","Data is not available; reshape or park"))),IF($R342&lt;&gt;"",IF(OR(ISNUMBER(SEARCH("mrm",$R342)),ISNUMBER(SEARCH("model",$R342)),ISNUMBER(SEARCH("risk",$R342)),ISNUMBER(SEARCH("legal",$R342)),ISNUMBER(SEARCH("complian",$R342))),"Awaiting ","Held at the design gate: ")&amp;$R342,"Map the governance framework for its tier"),IF($L342="","Size the annual benefit",IF($N342="","Score it so it can be ranked against capacity","")),IF($R342&lt;&gt;"","Build held: "&amp;$R342,"In build, not yet through test"),IF($R342&lt;&gt;"","Not ready to scale: "&amp;$R342,"Monitoring and third-party review not yet signed off"),IF($Q342="Y","","Live without a measured baseline to judge it against")))</f>
        <v/>
      </c>
      <c r="AJ342" s="65" t="str">
        <f aca="false">IF($Y342="","",INDEX(StageForum,$Y342))</f>
        <v/>
      </c>
      <c r="AK342" s="65" t="str">
        <f aca="false">IF($Y342="","",IF(OR($X342="Delivery",$X342="Value"),"Committed",IF($N342&lt;&gt;"","Candidate","")))</f>
        <v/>
      </c>
      <c r="AL342" s="65" t="str">
        <f aca="false">IF($AK342&lt;&gt;"Candidate","",COUNTIFS($AK$2:$AK$501,"Candidate",$N$2:$N$501,"&gt;"&amp;$N342)+COUNTIFS($AK$2:$AK$501,"Candidate",$N$2:$N$501,$N342,$A$2:$A$501,"&lt;"&amp;$A342)+1)</f>
        <v/>
      </c>
      <c r="AM342" s="65" t="str">
        <f aca="false">IF($AL342="","",SUMIFS($M$2:$M$501,$AK$2:$AK$501,"Candidate",$AL$2:$AL$501,"&lt;="&amp;$AL342))</f>
        <v/>
      </c>
      <c r="AN342" s="65" t="str">
        <f aca="false">IF($AL342="","",IF($AM342&lt;=CapacityOpen,"Fits","Below line"))</f>
        <v/>
      </c>
      <c r="AO342" s="65" t="str">
        <f aca="false">IF($A342="","",IF($X342="Closed","",IF($X342="Unmapped","Warning",IF(OR($AB342="Overdue",$V342="Y",$AH342="Critical"),"Critical",IF(OR($AB342="At risk",$AC342="Stale",$AG342="Over"),"Warning","")))))</f>
        <v/>
      </c>
      <c r="AP342" s="65" t="str">
        <f aca="false">IF($AO342="","",IF($AO342="Critical",3000,2000)-IF($Z342="",0,$Z342)+ROW()/100000)</f>
        <v/>
      </c>
      <c r="AQ342" s="65" t="str">
        <f aca="false">IF($AO342="","",IF($X342="Unmapped","Status '"&amp;$C342&amp;"' is not in the Config map",IF($V342="Y","Flagged in Jira",IF($AB342="Overdue",-$Z342&amp;" days past its "&amp;$X342&amp;" target",IF($AH342="Critical",$AI342,IF($AB342="At risk","Target in "&amp;$Z342&amp;" days",IF($AC342="Stale","No update in "&amp;$AA342&amp;" days","Past its "&amp;$AE342&amp;"-day tier window")))))))</f>
        <v/>
      </c>
      <c r="AR342" s="65" t="str">
        <f aca="false">IF($AO342="","","draft Jira update for "&amp;$A342)</f>
        <v/>
      </c>
      <c r="AS342" s="65" t="str">
        <f aca="false">IF($A342="","",HYPERLINK(JiraSite&amp;"/browse/"&amp;$A342,"open"))</f>
        <v/>
      </c>
      <c r="AT342" s="65" t="str">
        <f aca="false">IF($Y342="","",$Y342*1000+ROW())</f>
        <v/>
      </c>
      <c r="AU342" s="65" t="str">
        <f aca="false">IF(AND($A342&lt;&gt;"",$G342&gt;=WeekStart),$G342+ROW()/100000,"")</f>
        <v/>
      </c>
      <c r="AV342" s="65" t="str">
        <f aca="false">IF($A342="","",IF(OR(AND($S342&lt;&gt;"",$S342&gt;=WeekStart),AND($U342&lt;&gt;"",$U342&gt;=WeekStart)),MAX($S342,$U342)+ROW()/100000,""))</f>
        <v/>
      </c>
      <c r="AW342" s="65" t="str">
        <f aca="false">IF($AV342="","",IF($T342&lt;&gt;"",$T342,IF($X342="Closed","Closed","Accepted to "&amp;$X342)))</f>
        <v/>
      </c>
      <c r="AX342" s="65" t="str">
        <f aca="false">IF(AND($Y342&lt;&gt;"",$R342&lt;&gt;""),$AF342+ROW()/100000,"")</f>
        <v/>
      </c>
      <c r="AY342" s="65" t="str">
        <f aca="false">IF(AND($Y342&lt;&gt;"",OR($AB342="Overdue",AND($AH342="Critical",$R342&lt;&gt;""))),$AF342+ROW()/100000,"")</f>
        <v/>
      </c>
      <c r="AZ342" s="65" t="str">
        <f aca="false">IF($AH342="Critical",$AF342+ROW()/100000,"")</f>
        <v/>
      </c>
    </row>
    <row r="343" customFormat="false" ht="15" hidden="false" customHeight="false" outlineLevel="0" collapsed="false">
      <c r="A343" s="28"/>
      <c r="B343" s="28"/>
      <c r="C343" s="28"/>
      <c r="D343" s="28"/>
      <c r="E343" s="28"/>
      <c r="F343" s="28"/>
      <c r="G343" s="63"/>
      <c r="H343" s="63"/>
      <c r="I343" s="63"/>
      <c r="J343" s="28"/>
      <c r="K343" s="28"/>
      <c r="L343" s="28"/>
      <c r="M343" s="28"/>
      <c r="N343" s="28"/>
      <c r="O343" s="64"/>
      <c r="P343" s="64"/>
      <c r="Q343" s="64"/>
      <c r="R343" s="28"/>
      <c r="S343" s="63"/>
      <c r="T343" s="64"/>
      <c r="U343" s="63"/>
      <c r="V343" s="64"/>
      <c r="W343" s="28"/>
      <c r="X343" s="65" t="str">
        <f aca="false">IF($A343="","",IF(OR($T343&lt;&gt;"",$U343&lt;&gt;""),"Closed",IFERROR(INDEX(MapStage,MATCH($C343,MapStatus,0)),"Unmapped")))</f>
        <v/>
      </c>
      <c r="Y343" s="65" t="str">
        <f aca="false">IF(OR($X343="",$X343="Closed",$X343="Unmapped"),"",MATCH($X343,StageName,0))</f>
        <v/>
      </c>
      <c r="Z343" s="65" t="str">
        <f aca="false">IF(OR($Y343="",$I343=""),"",$I343-AsOf)</f>
        <v/>
      </c>
      <c r="AA343" s="65" t="str">
        <f aca="false">IF($A343="","",AsOf-$H343)</f>
        <v/>
      </c>
      <c r="AB343" s="65" t="str">
        <f aca="false">IF($A343="","",IF($X343="Closed","Closed",IF($X343="Unmapped","Unmapped",IF($I343="","No target",IF($Z343&lt;0,"Overdue",IF($Z343&lt;=INDEX(StageWindow,$Y343),"At risk","On track"))))))</f>
        <v/>
      </c>
      <c r="AC343" s="65" t="str">
        <f aca="false">IF($Y343="","",IF($AA343&gt;2*INDEX(StageStale,$Y343),"Stale",IF($AA343&gt;INDEX(StageStale,$Y343),"Aging","Fresh")))</f>
        <v/>
      </c>
      <c r="AD343" s="65" t="str">
        <f aca="false">IF($A343="","",IF(OR(ISNUMBER(SEARCH("Reg report",$J343)),ISNUMBER(SEARCH("No human review",$J343)),COUNTIF(TierFuncs,$D343)&gt;0),"High",IF(OR(TRIM($J343)&lt;&gt;"",ISNUMBER(SEARCH("revenue",$K343))),"Medium","Low")))</f>
        <v/>
      </c>
      <c r="AE343" s="65" t="str">
        <f aca="false">IF($A343="","",INDEX(TierDays,MATCH($AD343,TierName,0)))</f>
        <v/>
      </c>
      <c r="AF343" s="65" t="str">
        <f aca="false">IF($A343="","",AsOf-$G343)</f>
        <v/>
      </c>
      <c r="AG343" s="65" t="str">
        <f aca="false">IF($Y343="","",IF($Y343&lt;=5,IF($AF343&gt;$AE343,"Over","Inside"),"Past approval"))</f>
        <v/>
      </c>
      <c r="AH343" s="65" t="str">
        <f aca="false">IF($Y343="","",CHOOSE($Y343,IF(OR(TRIM($F343)="",ISNUMBER(SEARCH("not named",$F343))),"Critical","Good"),IF($O343&lt;&gt;"Y","Critical",IF($Q343&lt;&gt;"Y","Warning","Good")),IF($P343="","Critical",IF($P343="partial","Warning",IF($P343="ready","Good","Critical"))),IF($R343&lt;&gt;"","Critical","Warning"),IF($L343="","Critical",IF($N343="","Warning","Good")),IF($R343&lt;&gt;"","Critical","Warning"),IF($R343&lt;&gt;"","Critical","Warning"),IF($Q343="Y","Good","Critical")))</f>
        <v/>
      </c>
      <c r="AI343" s="65" t="str">
        <f aca="false">IF($Y343="","",CHOOSE($Y343,IF(OR(TRIM($F343)="",ISNUMBER(SEARCH("not named",$F343))),"Name a sponsor accountable for the value",""),IF($O343&lt;&gt;"Y","State the success metric and the stop condition",IF($Q343&lt;&gt;"Y","Set the baseline the benefit will be measured against","")),IF($P343="","Assess data readiness and regulatory impact",IF($P343="partial","Close the known data gaps",IF($P343="ready","","Data is not available; reshape or park"))),IF($R343&lt;&gt;"",IF(OR(ISNUMBER(SEARCH("mrm",$R343)),ISNUMBER(SEARCH("model",$R343)),ISNUMBER(SEARCH("risk",$R343)),ISNUMBER(SEARCH("legal",$R343)),ISNUMBER(SEARCH("complian",$R343))),"Awaiting ","Held at the design gate: ")&amp;$R343,"Map the governance framework for its tier"),IF($L343="","Size the annual benefit",IF($N343="","Score it so it can be ranked against capacity","")),IF($R343&lt;&gt;"","Build held: "&amp;$R343,"In build, not yet through test"),IF($R343&lt;&gt;"","Not ready to scale: "&amp;$R343,"Monitoring and third-party review not yet signed off"),IF($Q343="Y","","Live without a measured baseline to judge it against")))</f>
        <v/>
      </c>
      <c r="AJ343" s="65" t="str">
        <f aca="false">IF($Y343="","",INDEX(StageForum,$Y343))</f>
        <v/>
      </c>
      <c r="AK343" s="65" t="str">
        <f aca="false">IF($Y343="","",IF(OR($X343="Delivery",$X343="Value"),"Committed",IF($N343&lt;&gt;"","Candidate","")))</f>
        <v/>
      </c>
      <c r="AL343" s="65" t="str">
        <f aca="false">IF($AK343&lt;&gt;"Candidate","",COUNTIFS($AK$2:$AK$501,"Candidate",$N$2:$N$501,"&gt;"&amp;$N343)+COUNTIFS($AK$2:$AK$501,"Candidate",$N$2:$N$501,$N343,$A$2:$A$501,"&lt;"&amp;$A343)+1)</f>
        <v/>
      </c>
      <c r="AM343" s="65" t="str">
        <f aca="false">IF($AL343="","",SUMIFS($M$2:$M$501,$AK$2:$AK$501,"Candidate",$AL$2:$AL$501,"&lt;="&amp;$AL343))</f>
        <v/>
      </c>
      <c r="AN343" s="65" t="str">
        <f aca="false">IF($AL343="","",IF($AM343&lt;=CapacityOpen,"Fits","Below line"))</f>
        <v/>
      </c>
      <c r="AO343" s="65" t="str">
        <f aca="false">IF($A343="","",IF($X343="Closed","",IF($X343="Unmapped","Warning",IF(OR($AB343="Overdue",$V343="Y",$AH343="Critical"),"Critical",IF(OR($AB343="At risk",$AC343="Stale",$AG343="Over"),"Warning","")))))</f>
        <v/>
      </c>
      <c r="AP343" s="65" t="str">
        <f aca="false">IF($AO343="","",IF($AO343="Critical",3000,2000)-IF($Z343="",0,$Z343)+ROW()/100000)</f>
        <v/>
      </c>
      <c r="AQ343" s="65" t="str">
        <f aca="false">IF($AO343="","",IF($X343="Unmapped","Status '"&amp;$C343&amp;"' is not in the Config map",IF($V343="Y","Flagged in Jira",IF($AB343="Overdue",-$Z343&amp;" days past its "&amp;$X343&amp;" target",IF($AH343="Critical",$AI343,IF($AB343="At risk","Target in "&amp;$Z343&amp;" days",IF($AC343="Stale","No update in "&amp;$AA343&amp;" days","Past its "&amp;$AE343&amp;"-day tier window")))))))</f>
        <v/>
      </c>
      <c r="AR343" s="65" t="str">
        <f aca="false">IF($AO343="","","draft Jira update for "&amp;$A343)</f>
        <v/>
      </c>
      <c r="AS343" s="65" t="str">
        <f aca="false">IF($A343="","",HYPERLINK(JiraSite&amp;"/browse/"&amp;$A343,"open"))</f>
        <v/>
      </c>
      <c r="AT343" s="65" t="str">
        <f aca="false">IF($Y343="","",$Y343*1000+ROW())</f>
        <v/>
      </c>
      <c r="AU343" s="65" t="str">
        <f aca="false">IF(AND($A343&lt;&gt;"",$G343&gt;=WeekStart),$G343+ROW()/100000,"")</f>
        <v/>
      </c>
      <c r="AV343" s="65" t="str">
        <f aca="false">IF($A343="","",IF(OR(AND($S343&lt;&gt;"",$S343&gt;=WeekStart),AND($U343&lt;&gt;"",$U343&gt;=WeekStart)),MAX($S343,$U343)+ROW()/100000,""))</f>
        <v/>
      </c>
      <c r="AW343" s="65" t="str">
        <f aca="false">IF($AV343="","",IF($T343&lt;&gt;"",$T343,IF($X343="Closed","Closed","Accepted to "&amp;$X343)))</f>
        <v/>
      </c>
      <c r="AX343" s="65" t="str">
        <f aca="false">IF(AND($Y343&lt;&gt;"",$R343&lt;&gt;""),$AF343+ROW()/100000,"")</f>
        <v/>
      </c>
      <c r="AY343" s="65" t="str">
        <f aca="false">IF(AND($Y343&lt;&gt;"",OR($AB343="Overdue",AND($AH343="Critical",$R343&lt;&gt;""))),$AF343+ROW()/100000,"")</f>
        <v/>
      </c>
      <c r="AZ343" s="65" t="str">
        <f aca="false">IF($AH343="Critical",$AF343+ROW()/100000,"")</f>
        <v/>
      </c>
    </row>
    <row r="344" customFormat="false" ht="15" hidden="false" customHeight="false" outlineLevel="0" collapsed="false">
      <c r="A344" s="28"/>
      <c r="B344" s="28"/>
      <c r="C344" s="28"/>
      <c r="D344" s="28"/>
      <c r="E344" s="28"/>
      <c r="F344" s="28"/>
      <c r="G344" s="63"/>
      <c r="H344" s="63"/>
      <c r="I344" s="63"/>
      <c r="J344" s="28"/>
      <c r="K344" s="28"/>
      <c r="L344" s="28"/>
      <c r="M344" s="28"/>
      <c r="N344" s="28"/>
      <c r="O344" s="64"/>
      <c r="P344" s="64"/>
      <c r="Q344" s="64"/>
      <c r="R344" s="28"/>
      <c r="S344" s="63"/>
      <c r="T344" s="64"/>
      <c r="U344" s="63"/>
      <c r="V344" s="64"/>
      <c r="W344" s="28"/>
      <c r="X344" s="65" t="str">
        <f aca="false">IF($A344="","",IF(OR($T344&lt;&gt;"",$U344&lt;&gt;""),"Closed",IFERROR(INDEX(MapStage,MATCH($C344,MapStatus,0)),"Unmapped")))</f>
        <v/>
      </c>
      <c r="Y344" s="65" t="str">
        <f aca="false">IF(OR($X344="",$X344="Closed",$X344="Unmapped"),"",MATCH($X344,StageName,0))</f>
        <v/>
      </c>
      <c r="Z344" s="65" t="str">
        <f aca="false">IF(OR($Y344="",$I344=""),"",$I344-AsOf)</f>
        <v/>
      </c>
      <c r="AA344" s="65" t="str">
        <f aca="false">IF($A344="","",AsOf-$H344)</f>
        <v/>
      </c>
      <c r="AB344" s="65" t="str">
        <f aca="false">IF($A344="","",IF($X344="Closed","Closed",IF($X344="Unmapped","Unmapped",IF($I344="","No target",IF($Z344&lt;0,"Overdue",IF($Z344&lt;=INDEX(StageWindow,$Y344),"At risk","On track"))))))</f>
        <v/>
      </c>
      <c r="AC344" s="65" t="str">
        <f aca="false">IF($Y344="","",IF($AA344&gt;2*INDEX(StageStale,$Y344),"Stale",IF($AA344&gt;INDEX(StageStale,$Y344),"Aging","Fresh")))</f>
        <v/>
      </c>
      <c r="AD344" s="65" t="str">
        <f aca="false">IF($A344="","",IF(OR(ISNUMBER(SEARCH("Reg report",$J344)),ISNUMBER(SEARCH("No human review",$J344)),COUNTIF(TierFuncs,$D344)&gt;0),"High",IF(OR(TRIM($J344)&lt;&gt;"",ISNUMBER(SEARCH("revenue",$K344))),"Medium","Low")))</f>
        <v/>
      </c>
      <c r="AE344" s="65" t="str">
        <f aca="false">IF($A344="","",INDEX(TierDays,MATCH($AD344,TierName,0)))</f>
        <v/>
      </c>
      <c r="AF344" s="65" t="str">
        <f aca="false">IF($A344="","",AsOf-$G344)</f>
        <v/>
      </c>
      <c r="AG344" s="65" t="str">
        <f aca="false">IF($Y344="","",IF($Y344&lt;=5,IF($AF344&gt;$AE344,"Over","Inside"),"Past approval"))</f>
        <v/>
      </c>
      <c r="AH344" s="65" t="str">
        <f aca="false">IF($Y344="","",CHOOSE($Y344,IF(OR(TRIM($F344)="",ISNUMBER(SEARCH("not named",$F344))),"Critical","Good"),IF($O344&lt;&gt;"Y","Critical",IF($Q344&lt;&gt;"Y","Warning","Good")),IF($P344="","Critical",IF($P344="partial","Warning",IF($P344="ready","Good","Critical"))),IF($R344&lt;&gt;"","Critical","Warning"),IF($L344="","Critical",IF($N344="","Warning","Good")),IF($R344&lt;&gt;"","Critical","Warning"),IF($R344&lt;&gt;"","Critical","Warning"),IF($Q344="Y","Good","Critical")))</f>
        <v/>
      </c>
      <c r="AI344" s="65" t="str">
        <f aca="false">IF($Y344="","",CHOOSE($Y344,IF(OR(TRIM($F344)="",ISNUMBER(SEARCH("not named",$F344))),"Name a sponsor accountable for the value",""),IF($O344&lt;&gt;"Y","State the success metric and the stop condition",IF($Q344&lt;&gt;"Y","Set the baseline the benefit will be measured against","")),IF($P344="","Assess data readiness and regulatory impact",IF($P344="partial","Close the known data gaps",IF($P344="ready","","Data is not available; reshape or park"))),IF($R344&lt;&gt;"",IF(OR(ISNUMBER(SEARCH("mrm",$R344)),ISNUMBER(SEARCH("model",$R344)),ISNUMBER(SEARCH("risk",$R344)),ISNUMBER(SEARCH("legal",$R344)),ISNUMBER(SEARCH("complian",$R344))),"Awaiting ","Held at the design gate: ")&amp;$R344,"Map the governance framework for its tier"),IF($L344="","Size the annual benefit",IF($N344="","Score it so it can be ranked against capacity","")),IF($R344&lt;&gt;"","Build held: "&amp;$R344,"In build, not yet through test"),IF($R344&lt;&gt;"","Not ready to scale: "&amp;$R344,"Monitoring and third-party review not yet signed off"),IF($Q344="Y","","Live without a measured baseline to judge it against")))</f>
        <v/>
      </c>
      <c r="AJ344" s="65" t="str">
        <f aca="false">IF($Y344="","",INDEX(StageForum,$Y344))</f>
        <v/>
      </c>
      <c r="AK344" s="65" t="str">
        <f aca="false">IF($Y344="","",IF(OR($X344="Delivery",$X344="Value"),"Committed",IF($N344&lt;&gt;"","Candidate","")))</f>
        <v/>
      </c>
      <c r="AL344" s="65" t="str">
        <f aca="false">IF($AK344&lt;&gt;"Candidate","",COUNTIFS($AK$2:$AK$501,"Candidate",$N$2:$N$501,"&gt;"&amp;$N344)+COUNTIFS($AK$2:$AK$501,"Candidate",$N$2:$N$501,$N344,$A$2:$A$501,"&lt;"&amp;$A344)+1)</f>
        <v/>
      </c>
      <c r="AM344" s="65" t="str">
        <f aca="false">IF($AL344="","",SUMIFS($M$2:$M$501,$AK$2:$AK$501,"Candidate",$AL$2:$AL$501,"&lt;="&amp;$AL344))</f>
        <v/>
      </c>
      <c r="AN344" s="65" t="str">
        <f aca="false">IF($AL344="","",IF($AM344&lt;=CapacityOpen,"Fits","Below line"))</f>
        <v/>
      </c>
      <c r="AO344" s="65" t="str">
        <f aca="false">IF($A344="","",IF($X344="Closed","",IF($X344="Unmapped","Warning",IF(OR($AB344="Overdue",$V344="Y",$AH344="Critical"),"Critical",IF(OR($AB344="At risk",$AC344="Stale",$AG344="Over"),"Warning","")))))</f>
        <v/>
      </c>
      <c r="AP344" s="65" t="str">
        <f aca="false">IF($AO344="","",IF($AO344="Critical",3000,2000)-IF($Z344="",0,$Z344)+ROW()/100000)</f>
        <v/>
      </c>
      <c r="AQ344" s="65" t="str">
        <f aca="false">IF($AO344="","",IF($X344="Unmapped","Status '"&amp;$C344&amp;"' is not in the Config map",IF($V344="Y","Flagged in Jira",IF($AB344="Overdue",-$Z344&amp;" days past its "&amp;$X344&amp;" target",IF($AH344="Critical",$AI344,IF($AB344="At risk","Target in "&amp;$Z344&amp;" days",IF($AC344="Stale","No update in "&amp;$AA344&amp;" days","Past its "&amp;$AE344&amp;"-day tier window")))))))</f>
        <v/>
      </c>
      <c r="AR344" s="65" t="str">
        <f aca="false">IF($AO344="","","draft Jira update for "&amp;$A344)</f>
        <v/>
      </c>
      <c r="AS344" s="65" t="str">
        <f aca="false">IF($A344="","",HYPERLINK(JiraSite&amp;"/browse/"&amp;$A344,"open"))</f>
        <v/>
      </c>
      <c r="AT344" s="65" t="str">
        <f aca="false">IF($Y344="","",$Y344*1000+ROW())</f>
        <v/>
      </c>
      <c r="AU344" s="65" t="str">
        <f aca="false">IF(AND($A344&lt;&gt;"",$G344&gt;=WeekStart),$G344+ROW()/100000,"")</f>
        <v/>
      </c>
      <c r="AV344" s="65" t="str">
        <f aca="false">IF($A344="","",IF(OR(AND($S344&lt;&gt;"",$S344&gt;=WeekStart),AND($U344&lt;&gt;"",$U344&gt;=WeekStart)),MAX($S344,$U344)+ROW()/100000,""))</f>
        <v/>
      </c>
      <c r="AW344" s="65" t="str">
        <f aca="false">IF($AV344="","",IF($T344&lt;&gt;"",$T344,IF($X344="Closed","Closed","Accepted to "&amp;$X344)))</f>
        <v/>
      </c>
      <c r="AX344" s="65" t="str">
        <f aca="false">IF(AND($Y344&lt;&gt;"",$R344&lt;&gt;""),$AF344+ROW()/100000,"")</f>
        <v/>
      </c>
      <c r="AY344" s="65" t="str">
        <f aca="false">IF(AND($Y344&lt;&gt;"",OR($AB344="Overdue",AND($AH344="Critical",$R344&lt;&gt;""))),$AF344+ROW()/100000,"")</f>
        <v/>
      </c>
      <c r="AZ344" s="65" t="str">
        <f aca="false">IF($AH344="Critical",$AF344+ROW()/100000,"")</f>
        <v/>
      </c>
    </row>
    <row r="345" customFormat="false" ht="15" hidden="false" customHeight="false" outlineLevel="0" collapsed="false">
      <c r="A345" s="28"/>
      <c r="B345" s="28"/>
      <c r="C345" s="28"/>
      <c r="D345" s="28"/>
      <c r="E345" s="28"/>
      <c r="F345" s="28"/>
      <c r="G345" s="63"/>
      <c r="H345" s="63"/>
      <c r="I345" s="63"/>
      <c r="J345" s="28"/>
      <c r="K345" s="28"/>
      <c r="L345" s="28"/>
      <c r="M345" s="28"/>
      <c r="N345" s="28"/>
      <c r="O345" s="64"/>
      <c r="P345" s="64"/>
      <c r="Q345" s="64"/>
      <c r="R345" s="28"/>
      <c r="S345" s="63"/>
      <c r="T345" s="64"/>
      <c r="U345" s="63"/>
      <c r="V345" s="64"/>
      <c r="W345" s="28"/>
      <c r="X345" s="65" t="str">
        <f aca="false">IF($A345="","",IF(OR($T345&lt;&gt;"",$U345&lt;&gt;""),"Closed",IFERROR(INDEX(MapStage,MATCH($C345,MapStatus,0)),"Unmapped")))</f>
        <v/>
      </c>
      <c r="Y345" s="65" t="str">
        <f aca="false">IF(OR($X345="",$X345="Closed",$X345="Unmapped"),"",MATCH($X345,StageName,0))</f>
        <v/>
      </c>
      <c r="Z345" s="65" t="str">
        <f aca="false">IF(OR($Y345="",$I345=""),"",$I345-AsOf)</f>
        <v/>
      </c>
      <c r="AA345" s="65" t="str">
        <f aca="false">IF($A345="","",AsOf-$H345)</f>
        <v/>
      </c>
      <c r="AB345" s="65" t="str">
        <f aca="false">IF($A345="","",IF($X345="Closed","Closed",IF($X345="Unmapped","Unmapped",IF($I345="","No target",IF($Z345&lt;0,"Overdue",IF($Z345&lt;=INDEX(StageWindow,$Y345),"At risk","On track"))))))</f>
        <v/>
      </c>
      <c r="AC345" s="65" t="str">
        <f aca="false">IF($Y345="","",IF($AA345&gt;2*INDEX(StageStale,$Y345),"Stale",IF($AA345&gt;INDEX(StageStale,$Y345),"Aging","Fresh")))</f>
        <v/>
      </c>
      <c r="AD345" s="65" t="str">
        <f aca="false">IF($A345="","",IF(OR(ISNUMBER(SEARCH("Reg report",$J345)),ISNUMBER(SEARCH("No human review",$J345)),COUNTIF(TierFuncs,$D345)&gt;0),"High",IF(OR(TRIM($J345)&lt;&gt;"",ISNUMBER(SEARCH("revenue",$K345))),"Medium","Low")))</f>
        <v/>
      </c>
      <c r="AE345" s="65" t="str">
        <f aca="false">IF($A345="","",INDEX(TierDays,MATCH($AD345,TierName,0)))</f>
        <v/>
      </c>
      <c r="AF345" s="65" t="str">
        <f aca="false">IF($A345="","",AsOf-$G345)</f>
        <v/>
      </c>
      <c r="AG345" s="65" t="str">
        <f aca="false">IF($Y345="","",IF($Y345&lt;=5,IF($AF345&gt;$AE345,"Over","Inside"),"Past approval"))</f>
        <v/>
      </c>
      <c r="AH345" s="65" t="str">
        <f aca="false">IF($Y345="","",CHOOSE($Y345,IF(OR(TRIM($F345)="",ISNUMBER(SEARCH("not named",$F345))),"Critical","Good"),IF($O345&lt;&gt;"Y","Critical",IF($Q345&lt;&gt;"Y","Warning","Good")),IF($P345="","Critical",IF($P345="partial","Warning",IF($P345="ready","Good","Critical"))),IF($R345&lt;&gt;"","Critical","Warning"),IF($L345="","Critical",IF($N345="","Warning","Good")),IF($R345&lt;&gt;"","Critical","Warning"),IF($R345&lt;&gt;"","Critical","Warning"),IF($Q345="Y","Good","Critical")))</f>
        <v/>
      </c>
      <c r="AI345" s="65" t="str">
        <f aca="false">IF($Y345="","",CHOOSE($Y345,IF(OR(TRIM($F345)="",ISNUMBER(SEARCH("not named",$F345))),"Name a sponsor accountable for the value",""),IF($O345&lt;&gt;"Y","State the success metric and the stop condition",IF($Q345&lt;&gt;"Y","Set the baseline the benefit will be measured against","")),IF($P345="","Assess data readiness and regulatory impact",IF($P345="partial","Close the known data gaps",IF($P345="ready","","Data is not available; reshape or park"))),IF($R345&lt;&gt;"",IF(OR(ISNUMBER(SEARCH("mrm",$R345)),ISNUMBER(SEARCH("model",$R345)),ISNUMBER(SEARCH("risk",$R345)),ISNUMBER(SEARCH("legal",$R345)),ISNUMBER(SEARCH("complian",$R345))),"Awaiting ","Held at the design gate: ")&amp;$R345,"Map the governance framework for its tier"),IF($L345="","Size the annual benefit",IF($N345="","Score it so it can be ranked against capacity","")),IF($R345&lt;&gt;"","Build held: "&amp;$R345,"In build, not yet through test"),IF($R345&lt;&gt;"","Not ready to scale: "&amp;$R345,"Monitoring and third-party review not yet signed off"),IF($Q345="Y","","Live without a measured baseline to judge it against")))</f>
        <v/>
      </c>
      <c r="AJ345" s="65" t="str">
        <f aca="false">IF($Y345="","",INDEX(StageForum,$Y345))</f>
        <v/>
      </c>
      <c r="AK345" s="65" t="str">
        <f aca="false">IF($Y345="","",IF(OR($X345="Delivery",$X345="Value"),"Committed",IF($N345&lt;&gt;"","Candidate","")))</f>
        <v/>
      </c>
      <c r="AL345" s="65" t="str">
        <f aca="false">IF($AK345&lt;&gt;"Candidate","",COUNTIFS($AK$2:$AK$501,"Candidate",$N$2:$N$501,"&gt;"&amp;$N345)+COUNTIFS($AK$2:$AK$501,"Candidate",$N$2:$N$501,$N345,$A$2:$A$501,"&lt;"&amp;$A345)+1)</f>
        <v/>
      </c>
      <c r="AM345" s="65" t="str">
        <f aca="false">IF($AL345="","",SUMIFS($M$2:$M$501,$AK$2:$AK$501,"Candidate",$AL$2:$AL$501,"&lt;="&amp;$AL345))</f>
        <v/>
      </c>
      <c r="AN345" s="65" t="str">
        <f aca="false">IF($AL345="","",IF($AM345&lt;=CapacityOpen,"Fits","Below line"))</f>
        <v/>
      </c>
      <c r="AO345" s="65" t="str">
        <f aca="false">IF($A345="","",IF($X345="Closed","",IF($X345="Unmapped","Warning",IF(OR($AB345="Overdue",$V345="Y",$AH345="Critical"),"Critical",IF(OR($AB345="At risk",$AC345="Stale",$AG345="Over"),"Warning","")))))</f>
        <v/>
      </c>
      <c r="AP345" s="65" t="str">
        <f aca="false">IF($AO345="","",IF($AO345="Critical",3000,2000)-IF($Z345="",0,$Z345)+ROW()/100000)</f>
        <v/>
      </c>
      <c r="AQ345" s="65" t="str">
        <f aca="false">IF($AO345="","",IF($X345="Unmapped","Status '"&amp;$C345&amp;"' is not in the Config map",IF($V345="Y","Flagged in Jira",IF($AB345="Overdue",-$Z345&amp;" days past its "&amp;$X345&amp;" target",IF($AH345="Critical",$AI345,IF($AB345="At risk","Target in "&amp;$Z345&amp;" days",IF($AC345="Stale","No update in "&amp;$AA345&amp;" days","Past its "&amp;$AE345&amp;"-day tier window")))))))</f>
        <v/>
      </c>
      <c r="AR345" s="65" t="str">
        <f aca="false">IF($AO345="","","draft Jira update for "&amp;$A345)</f>
        <v/>
      </c>
      <c r="AS345" s="65" t="str">
        <f aca="false">IF($A345="","",HYPERLINK(JiraSite&amp;"/browse/"&amp;$A345,"open"))</f>
        <v/>
      </c>
      <c r="AT345" s="65" t="str">
        <f aca="false">IF($Y345="","",$Y345*1000+ROW())</f>
        <v/>
      </c>
      <c r="AU345" s="65" t="str">
        <f aca="false">IF(AND($A345&lt;&gt;"",$G345&gt;=WeekStart),$G345+ROW()/100000,"")</f>
        <v/>
      </c>
      <c r="AV345" s="65" t="str">
        <f aca="false">IF($A345="","",IF(OR(AND($S345&lt;&gt;"",$S345&gt;=WeekStart),AND($U345&lt;&gt;"",$U345&gt;=WeekStart)),MAX($S345,$U345)+ROW()/100000,""))</f>
        <v/>
      </c>
      <c r="AW345" s="65" t="str">
        <f aca="false">IF($AV345="","",IF($T345&lt;&gt;"",$T345,IF($X345="Closed","Closed","Accepted to "&amp;$X345)))</f>
        <v/>
      </c>
      <c r="AX345" s="65" t="str">
        <f aca="false">IF(AND($Y345&lt;&gt;"",$R345&lt;&gt;""),$AF345+ROW()/100000,"")</f>
        <v/>
      </c>
      <c r="AY345" s="65" t="str">
        <f aca="false">IF(AND($Y345&lt;&gt;"",OR($AB345="Overdue",AND($AH345="Critical",$R345&lt;&gt;""))),$AF345+ROW()/100000,"")</f>
        <v/>
      </c>
      <c r="AZ345" s="65" t="str">
        <f aca="false">IF($AH345="Critical",$AF345+ROW()/100000,"")</f>
        <v/>
      </c>
    </row>
    <row r="346" customFormat="false" ht="15" hidden="false" customHeight="false" outlineLevel="0" collapsed="false">
      <c r="A346" s="28"/>
      <c r="B346" s="28"/>
      <c r="C346" s="28"/>
      <c r="D346" s="28"/>
      <c r="E346" s="28"/>
      <c r="F346" s="28"/>
      <c r="G346" s="63"/>
      <c r="H346" s="63"/>
      <c r="I346" s="63"/>
      <c r="J346" s="28"/>
      <c r="K346" s="28"/>
      <c r="L346" s="28"/>
      <c r="M346" s="28"/>
      <c r="N346" s="28"/>
      <c r="O346" s="64"/>
      <c r="P346" s="64"/>
      <c r="Q346" s="64"/>
      <c r="R346" s="28"/>
      <c r="S346" s="63"/>
      <c r="T346" s="64"/>
      <c r="U346" s="63"/>
      <c r="V346" s="64"/>
      <c r="W346" s="28"/>
      <c r="X346" s="65" t="str">
        <f aca="false">IF($A346="","",IF(OR($T346&lt;&gt;"",$U346&lt;&gt;""),"Closed",IFERROR(INDEX(MapStage,MATCH($C346,MapStatus,0)),"Unmapped")))</f>
        <v/>
      </c>
      <c r="Y346" s="65" t="str">
        <f aca="false">IF(OR($X346="",$X346="Closed",$X346="Unmapped"),"",MATCH($X346,StageName,0))</f>
        <v/>
      </c>
      <c r="Z346" s="65" t="str">
        <f aca="false">IF(OR($Y346="",$I346=""),"",$I346-AsOf)</f>
        <v/>
      </c>
      <c r="AA346" s="65" t="str">
        <f aca="false">IF($A346="","",AsOf-$H346)</f>
        <v/>
      </c>
      <c r="AB346" s="65" t="str">
        <f aca="false">IF($A346="","",IF($X346="Closed","Closed",IF($X346="Unmapped","Unmapped",IF($I346="","No target",IF($Z346&lt;0,"Overdue",IF($Z346&lt;=INDEX(StageWindow,$Y346),"At risk","On track"))))))</f>
        <v/>
      </c>
      <c r="AC346" s="65" t="str">
        <f aca="false">IF($Y346="","",IF($AA346&gt;2*INDEX(StageStale,$Y346),"Stale",IF($AA346&gt;INDEX(StageStale,$Y346),"Aging","Fresh")))</f>
        <v/>
      </c>
      <c r="AD346" s="65" t="str">
        <f aca="false">IF($A346="","",IF(OR(ISNUMBER(SEARCH("Reg report",$J346)),ISNUMBER(SEARCH("No human review",$J346)),COUNTIF(TierFuncs,$D346)&gt;0),"High",IF(OR(TRIM($J346)&lt;&gt;"",ISNUMBER(SEARCH("revenue",$K346))),"Medium","Low")))</f>
        <v/>
      </c>
      <c r="AE346" s="65" t="str">
        <f aca="false">IF($A346="","",INDEX(TierDays,MATCH($AD346,TierName,0)))</f>
        <v/>
      </c>
      <c r="AF346" s="65" t="str">
        <f aca="false">IF($A346="","",AsOf-$G346)</f>
        <v/>
      </c>
      <c r="AG346" s="65" t="str">
        <f aca="false">IF($Y346="","",IF($Y346&lt;=5,IF($AF346&gt;$AE346,"Over","Inside"),"Past approval"))</f>
        <v/>
      </c>
      <c r="AH346" s="65" t="str">
        <f aca="false">IF($Y346="","",CHOOSE($Y346,IF(OR(TRIM($F346)="",ISNUMBER(SEARCH("not named",$F346))),"Critical","Good"),IF($O346&lt;&gt;"Y","Critical",IF($Q346&lt;&gt;"Y","Warning","Good")),IF($P346="","Critical",IF($P346="partial","Warning",IF($P346="ready","Good","Critical"))),IF($R346&lt;&gt;"","Critical","Warning"),IF($L346="","Critical",IF($N346="","Warning","Good")),IF($R346&lt;&gt;"","Critical","Warning"),IF($R346&lt;&gt;"","Critical","Warning"),IF($Q346="Y","Good","Critical")))</f>
        <v/>
      </c>
      <c r="AI346" s="65" t="str">
        <f aca="false">IF($Y346="","",CHOOSE($Y346,IF(OR(TRIM($F346)="",ISNUMBER(SEARCH("not named",$F346))),"Name a sponsor accountable for the value",""),IF($O346&lt;&gt;"Y","State the success metric and the stop condition",IF($Q346&lt;&gt;"Y","Set the baseline the benefit will be measured against","")),IF($P346="","Assess data readiness and regulatory impact",IF($P346="partial","Close the known data gaps",IF($P346="ready","","Data is not available; reshape or park"))),IF($R346&lt;&gt;"",IF(OR(ISNUMBER(SEARCH("mrm",$R346)),ISNUMBER(SEARCH("model",$R346)),ISNUMBER(SEARCH("risk",$R346)),ISNUMBER(SEARCH("legal",$R346)),ISNUMBER(SEARCH("complian",$R346))),"Awaiting ","Held at the design gate: ")&amp;$R346,"Map the governance framework for its tier"),IF($L346="","Size the annual benefit",IF($N346="","Score it so it can be ranked against capacity","")),IF($R346&lt;&gt;"","Build held: "&amp;$R346,"In build, not yet through test"),IF($R346&lt;&gt;"","Not ready to scale: "&amp;$R346,"Monitoring and third-party review not yet signed off"),IF($Q346="Y","","Live without a measured baseline to judge it against")))</f>
        <v/>
      </c>
      <c r="AJ346" s="65" t="str">
        <f aca="false">IF($Y346="","",INDEX(StageForum,$Y346))</f>
        <v/>
      </c>
      <c r="AK346" s="65" t="str">
        <f aca="false">IF($Y346="","",IF(OR($X346="Delivery",$X346="Value"),"Committed",IF($N346&lt;&gt;"","Candidate","")))</f>
        <v/>
      </c>
      <c r="AL346" s="65" t="str">
        <f aca="false">IF($AK346&lt;&gt;"Candidate","",COUNTIFS($AK$2:$AK$501,"Candidate",$N$2:$N$501,"&gt;"&amp;$N346)+COUNTIFS($AK$2:$AK$501,"Candidate",$N$2:$N$501,$N346,$A$2:$A$501,"&lt;"&amp;$A346)+1)</f>
        <v/>
      </c>
      <c r="AM346" s="65" t="str">
        <f aca="false">IF($AL346="","",SUMIFS($M$2:$M$501,$AK$2:$AK$501,"Candidate",$AL$2:$AL$501,"&lt;="&amp;$AL346))</f>
        <v/>
      </c>
      <c r="AN346" s="65" t="str">
        <f aca="false">IF($AL346="","",IF($AM346&lt;=CapacityOpen,"Fits","Below line"))</f>
        <v/>
      </c>
      <c r="AO346" s="65" t="str">
        <f aca="false">IF($A346="","",IF($X346="Closed","",IF($X346="Unmapped","Warning",IF(OR($AB346="Overdue",$V346="Y",$AH346="Critical"),"Critical",IF(OR($AB346="At risk",$AC346="Stale",$AG346="Over"),"Warning","")))))</f>
        <v/>
      </c>
      <c r="AP346" s="65" t="str">
        <f aca="false">IF($AO346="","",IF($AO346="Critical",3000,2000)-IF($Z346="",0,$Z346)+ROW()/100000)</f>
        <v/>
      </c>
      <c r="AQ346" s="65" t="str">
        <f aca="false">IF($AO346="","",IF($X346="Unmapped","Status '"&amp;$C346&amp;"' is not in the Config map",IF($V346="Y","Flagged in Jira",IF($AB346="Overdue",-$Z346&amp;" days past its "&amp;$X346&amp;" target",IF($AH346="Critical",$AI346,IF($AB346="At risk","Target in "&amp;$Z346&amp;" days",IF($AC346="Stale","No update in "&amp;$AA346&amp;" days","Past its "&amp;$AE346&amp;"-day tier window")))))))</f>
        <v/>
      </c>
      <c r="AR346" s="65" t="str">
        <f aca="false">IF($AO346="","","draft Jira update for "&amp;$A346)</f>
        <v/>
      </c>
      <c r="AS346" s="65" t="str">
        <f aca="false">IF($A346="","",HYPERLINK(JiraSite&amp;"/browse/"&amp;$A346,"open"))</f>
        <v/>
      </c>
      <c r="AT346" s="65" t="str">
        <f aca="false">IF($Y346="","",$Y346*1000+ROW())</f>
        <v/>
      </c>
      <c r="AU346" s="65" t="str">
        <f aca="false">IF(AND($A346&lt;&gt;"",$G346&gt;=WeekStart),$G346+ROW()/100000,"")</f>
        <v/>
      </c>
      <c r="AV346" s="65" t="str">
        <f aca="false">IF($A346="","",IF(OR(AND($S346&lt;&gt;"",$S346&gt;=WeekStart),AND($U346&lt;&gt;"",$U346&gt;=WeekStart)),MAX($S346,$U346)+ROW()/100000,""))</f>
        <v/>
      </c>
      <c r="AW346" s="65" t="str">
        <f aca="false">IF($AV346="","",IF($T346&lt;&gt;"",$T346,IF($X346="Closed","Closed","Accepted to "&amp;$X346)))</f>
        <v/>
      </c>
      <c r="AX346" s="65" t="str">
        <f aca="false">IF(AND($Y346&lt;&gt;"",$R346&lt;&gt;""),$AF346+ROW()/100000,"")</f>
        <v/>
      </c>
      <c r="AY346" s="65" t="str">
        <f aca="false">IF(AND($Y346&lt;&gt;"",OR($AB346="Overdue",AND($AH346="Critical",$R346&lt;&gt;""))),$AF346+ROW()/100000,"")</f>
        <v/>
      </c>
      <c r="AZ346" s="65" t="str">
        <f aca="false">IF($AH346="Critical",$AF346+ROW()/100000,"")</f>
        <v/>
      </c>
    </row>
    <row r="347" customFormat="false" ht="15" hidden="false" customHeight="false" outlineLevel="0" collapsed="false">
      <c r="A347" s="28"/>
      <c r="B347" s="28"/>
      <c r="C347" s="28"/>
      <c r="D347" s="28"/>
      <c r="E347" s="28"/>
      <c r="F347" s="28"/>
      <c r="G347" s="63"/>
      <c r="H347" s="63"/>
      <c r="I347" s="63"/>
      <c r="J347" s="28"/>
      <c r="K347" s="28"/>
      <c r="L347" s="28"/>
      <c r="M347" s="28"/>
      <c r="N347" s="28"/>
      <c r="O347" s="64"/>
      <c r="P347" s="64"/>
      <c r="Q347" s="64"/>
      <c r="R347" s="28"/>
      <c r="S347" s="63"/>
      <c r="T347" s="64"/>
      <c r="U347" s="63"/>
      <c r="V347" s="64"/>
      <c r="W347" s="28"/>
      <c r="X347" s="65" t="str">
        <f aca="false">IF($A347="","",IF(OR($T347&lt;&gt;"",$U347&lt;&gt;""),"Closed",IFERROR(INDEX(MapStage,MATCH($C347,MapStatus,0)),"Unmapped")))</f>
        <v/>
      </c>
      <c r="Y347" s="65" t="str">
        <f aca="false">IF(OR($X347="",$X347="Closed",$X347="Unmapped"),"",MATCH($X347,StageName,0))</f>
        <v/>
      </c>
      <c r="Z347" s="65" t="str">
        <f aca="false">IF(OR($Y347="",$I347=""),"",$I347-AsOf)</f>
        <v/>
      </c>
      <c r="AA347" s="65" t="str">
        <f aca="false">IF($A347="","",AsOf-$H347)</f>
        <v/>
      </c>
      <c r="AB347" s="65" t="str">
        <f aca="false">IF($A347="","",IF($X347="Closed","Closed",IF($X347="Unmapped","Unmapped",IF($I347="","No target",IF($Z347&lt;0,"Overdue",IF($Z347&lt;=INDEX(StageWindow,$Y347),"At risk","On track"))))))</f>
        <v/>
      </c>
      <c r="AC347" s="65" t="str">
        <f aca="false">IF($Y347="","",IF($AA347&gt;2*INDEX(StageStale,$Y347),"Stale",IF($AA347&gt;INDEX(StageStale,$Y347),"Aging","Fresh")))</f>
        <v/>
      </c>
      <c r="AD347" s="65" t="str">
        <f aca="false">IF($A347="","",IF(OR(ISNUMBER(SEARCH("Reg report",$J347)),ISNUMBER(SEARCH("No human review",$J347)),COUNTIF(TierFuncs,$D347)&gt;0),"High",IF(OR(TRIM($J347)&lt;&gt;"",ISNUMBER(SEARCH("revenue",$K347))),"Medium","Low")))</f>
        <v/>
      </c>
      <c r="AE347" s="65" t="str">
        <f aca="false">IF($A347="","",INDEX(TierDays,MATCH($AD347,TierName,0)))</f>
        <v/>
      </c>
      <c r="AF347" s="65" t="str">
        <f aca="false">IF($A347="","",AsOf-$G347)</f>
        <v/>
      </c>
      <c r="AG347" s="65" t="str">
        <f aca="false">IF($Y347="","",IF($Y347&lt;=5,IF($AF347&gt;$AE347,"Over","Inside"),"Past approval"))</f>
        <v/>
      </c>
      <c r="AH347" s="65" t="str">
        <f aca="false">IF($Y347="","",CHOOSE($Y347,IF(OR(TRIM($F347)="",ISNUMBER(SEARCH("not named",$F347))),"Critical","Good"),IF($O347&lt;&gt;"Y","Critical",IF($Q347&lt;&gt;"Y","Warning","Good")),IF($P347="","Critical",IF($P347="partial","Warning",IF($P347="ready","Good","Critical"))),IF($R347&lt;&gt;"","Critical","Warning"),IF($L347="","Critical",IF($N347="","Warning","Good")),IF($R347&lt;&gt;"","Critical","Warning"),IF($R347&lt;&gt;"","Critical","Warning"),IF($Q347="Y","Good","Critical")))</f>
        <v/>
      </c>
      <c r="AI347" s="65" t="str">
        <f aca="false">IF($Y347="","",CHOOSE($Y347,IF(OR(TRIM($F347)="",ISNUMBER(SEARCH("not named",$F347))),"Name a sponsor accountable for the value",""),IF($O347&lt;&gt;"Y","State the success metric and the stop condition",IF($Q347&lt;&gt;"Y","Set the baseline the benefit will be measured against","")),IF($P347="","Assess data readiness and regulatory impact",IF($P347="partial","Close the known data gaps",IF($P347="ready","","Data is not available; reshape or park"))),IF($R347&lt;&gt;"",IF(OR(ISNUMBER(SEARCH("mrm",$R347)),ISNUMBER(SEARCH("model",$R347)),ISNUMBER(SEARCH("risk",$R347)),ISNUMBER(SEARCH("legal",$R347)),ISNUMBER(SEARCH("complian",$R347))),"Awaiting ","Held at the design gate: ")&amp;$R347,"Map the governance framework for its tier"),IF($L347="","Size the annual benefit",IF($N347="","Score it so it can be ranked against capacity","")),IF($R347&lt;&gt;"","Build held: "&amp;$R347,"In build, not yet through test"),IF($R347&lt;&gt;"","Not ready to scale: "&amp;$R347,"Monitoring and third-party review not yet signed off"),IF($Q347="Y","","Live without a measured baseline to judge it against")))</f>
        <v/>
      </c>
      <c r="AJ347" s="65" t="str">
        <f aca="false">IF($Y347="","",INDEX(StageForum,$Y347))</f>
        <v/>
      </c>
      <c r="AK347" s="65" t="str">
        <f aca="false">IF($Y347="","",IF(OR($X347="Delivery",$X347="Value"),"Committed",IF($N347&lt;&gt;"","Candidate","")))</f>
        <v/>
      </c>
      <c r="AL347" s="65" t="str">
        <f aca="false">IF($AK347&lt;&gt;"Candidate","",COUNTIFS($AK$2:$AK$501,"Candidate",$N$2:$N$501,"&gt;"&amp;$N347)+COUNTIFS($AK$2:$AK$501,"Candidate",$N$2:$N$501,$N347,$A$2:$A$501,"&lt;"&amp;$A347)+1)</f>
        <v/>
      </c>
      <c r="AM347" s="65" t="str">
        <f aca="false">IF($AL347="","",SUMIFS($M$2:$M$501,$AK$2:$AK$501,"Candidate",$AL$2:$AL$501,"&lt;="&amp;$AL347))</f>
        <v/>
      </c>
      <c r="AN347" s="65" t="str">
        <f aca="false">IF($AL347="","",IF($AM347&lt;=CapacityOpen,"Fits","Below line"))</f>
        <v/>
      </c>
      <c r="AO347" s="65" t="str">
        <f aca="false">IF($A347="","",IF($X347="Closed","",IF($X347="Unmapped","Warning",IF(OR($AB347="Overdue",$V347="Y",$AH347="Critical"),"Critical",IF(OR($AB347="At risk",$AC347="Stale",$AG347="Over"),"Warning","")))))</f>
        <v/>
      </c>
      <c r="AP347" s="65" t="str">
        <f aca="false">IF($AO347="","",IF($AO347="Critical",3000,2000)-IF($Z347="",0,$Z347)+ROW()/100000)</f>
        <v/>
      </c>
      <c r="AQ347" s="65" t="str">
        <f aca="false">IF($AO347="","",IF($X347="Unmapped","Status '"&amp;$C347&amp;"' is not in the Config map",IF($V347="Y","Flagged in Jira",IF($AB347="Overdue",-$Z347&amp;" days past its "&amp;$X347&amp;" target",IF($AH347="Critical",$AI347,IF($AB347="At risk","Target in "&amp;$Z347&amp;" days",IF($AC347="Stale","No update in "&amp;$AA347&amp;" days","Past its "&amp;$AE347&amp;"-day tier window")))))))</f>
        <v/>
      </c>
      <c r="AR347" s="65" t="str">
        <f aca="false">IF($AO347="","","draft Jira update for "&amp;$A347)</f>
        <v/>
      </c>
      <c r="AS347" s="65" t="str">
        <f aca="false">IF($A347="","",HYPERLINK(JiraSite&amp;"/browse/"&amp;$A347,"open"))</f>
        <v/>
      </c>
      <c r="AT347" s="65" t="str">
        <f aca="false">IF($Y347="","",$Y347*1000+ROW())</f>
        <v/>
      </c>
      <c r="AU347" s="65" t="str">
        <f aca="false">IF(AND($A347&lt;&gt;"",$G347&gt;=WeekStart),$G347+ROW()/100000,"")</f>
        <v/>
      </c>
      <c r="AV347" s="65" t="str">
        <f aca="false">IF($A347="","",IF(OR(AND($S347&lt;&gt;"",$S347&gt;=WeekStart),AND($U347&lt;&gt;"",$U347&gt;=WeekStart)),MAX($S347,$U347)+ROW()/100000,""))</f>
        <v/>
      </c>
      <c r="AW347" s="65" t="str">
        <f aca="false">IF($AV347="","",IF($T347&lt;&gt;"",$T347,IF($X347="Closed","Closed","Accepted to "&amp;$X347)))</f>
        <v/>
      </c>
      <c r="AX347" s="65" t="str">
        <f aca="false">IF(AND($Y347&lt;&gt;"",$R347&lt;&gt;""),$AF347+ROW()/100000,"")</f>
        <v/>
      </c>
      <c r="AY347" s="65" t="str">
        <f aca="false">IF(AND($Y347&lt;&gt;"",OR($AB347="Overdue",AND($AH347="Critical",$R347&lt;&gt;""))),$AF347+ROW()/100000,"")</f>
        <v/>
      </c>
      <c r="AZ347" s="65" t="str">
        <f aca="false">IF($AH347="Critical",$AF347+ROW()/100000,"")</f>
        <v/>
      </c>
    </row>
    <row r="348" customFormat="false" ht="15" hidden="false" customHeight="false" outlineLevel="0" collapsed="false">
      <c r="A348" s="28"/>
      <c r="B348" s="28"/>
      <c r="C348" s="28"/>
      <c r="D348" s="28"/>
      <c r="E348" s="28"/>
      <c r="F348" s="28"/>
      <c r="G348" s="63"/>
      <c r="H348" s="63"/>
      <c r="I348" s="63"/>
      <c r="J348" s="28"/>
      <c r="K348" s="28"/>
      <c r="L348" s="28"/>
      <c r="M348" s="28"/>
      <c r="N348" s="28"/>
      <c r="O348" s="64"/>
      <c r="P348" s="64"/>
      <c r="Q348" s="64"/>
      <c r="R348" s="28"/>
      <c r="S348" s="63"/>
      <c r="T348" s="64"/>
      <c r="U348" s="63"/>
      <c r="V348" s="64"/>
      <c r="W348" s="28"/>
      <c r="X348" s="65" t="str">
        <f aca="false">IF($A348="","",IF(OR($T348&lt;&gt;"",$U348&lt;&gt;""),"Closed",IFERROR(INDEX(MapStage,MATCH($C348,MapStatus,0)),"Unmapped")))</f>
        <v/>
      </c>
      <c r="Y348" s="65" t="str">
        <f aca="false">IF(OR($X348="",$X348="Closed",$X348="Unmapped"),"",MATCH($X348,StageName,0))</f>
        <v/>
      </c>
      <c r="Z348" s="65" t="str">
        <f aca="false">IF(OR($Y348="",$I348=""),"",$I348-AsOf)</f>
        <v/>
      </c>
      <c r="AA348" s="65" t="str">
        <f aca="false">IF($A348="","",AsOf-$H348)</f>
        <v/>
      </c>
      <c r="AB348" s="65" t="str">
        <f aca="false">IF($A348="","",IF($X348="Closed","Closed",IF($X348="Unmapped","Unmapped",IF($I348="","No target",IF($Z348&lt;0,"Overdue",IF($Z348&lt;=INDEX(StageWindow,$Y348),"At risk","On track"))))))</f>
        <v/>
      </c>
      <c r="AC348" s="65" t="str">
        <f aca="false">IF($Y348="","",IF($AA348&gt;2*INDEX(StageStale,$Y348),"Stale",IF($AA348&gt;INDEX(StageStale,$Y348),"Aging","Fresh")))</f>
        <v/>
      </c>
      <c r="AD348" s="65" t="str">
        <f aca="false">IF($A348="","",IF(OR(ISNUMBER(SEARCH("Reg report",$J348)),ISNUMBER(SEARCH("No human review",$J348)),COUNTIF(TierFuncs,$D348)&gt;0),"High",IF(OR(TRIM($J348)&lt;&gt;"",ISNUMBER(SEARCH("revenue",$K348))),"Medium","Low")))</f>
        <v/>
      </c>
      <c r="AE348" s="65" t="str">
        <f aca="false">IF($A348="","",INDEX(TierDays,MATCH($AD348,TierName,0)))</f>
        <v/>
      </c>
      <c r="AF348" s="65" t="str">
        <f aca="false">IF($A348="","",AsOf-$G348)</f>
        <v/>
      </c>
      <c r="AG348" s="65" t="str">
        <f aca="false">IF($Y348="","",IF($Y348&lt;=5,IF($AF348&gt;$AE348,"Over","Inside"),"Past approval"))</f>
        <v/>
      </c>
      <c r="AH348" s="65" t="str">
        <f aca="false">IF($Y348="","",CHOOSE($Y348,IF(OR(TRIM($F348)="",ISNUMBER(SEARCH("not named",$F348))),"Critical","Good"),IF($O348&lt;&gt;"Y","Critical",IF($Q348&lt;&gt;"Y","Warning","Good")),IF($P348="","Critical",IF($P348="partial","Warning",IF($P348="ready","Good","Critical"))),IF($R348&lt;&gt;"","Critical","Warning"),IF($L348="","Critical",IF($N348="","Warning","Good")),IF($R348&lt;&gt;"","Critical","Warning"),IF($R348&lt;&gt;"","Critical","Warning"),IF($Q348="Y","Good","Critical")))</f>
        <v/>
      </c>
      <c r="AI348" s="65" t="str">
        <f aca="false">IF($Y348="","",CHOOSE($Y348,IF(OR(TRIM($F348)="",ISNUMBER(SEARCH("not named",$F348))),"Name a sponsor accountable for the value",""),IF($O348&lt;&gt;"Y","State the success metric and the stop condition",IF($Q348&lt;&gt;"Y","Set the baseline the benefit will be measured against","")),IF($P348="","Assess data readiness and regulatory impact",IF($P348="partial","Close the known data gaps",IF($P348="ready","","Data is not available; reshape or park"))),IF($R348&lt;&gt;"",IF(OR(ISNUMBER(SEARCH("mrm",$R348)),ISNUMBER(SEARCH("model",$R348)),ISNUMBER(SEARCH("risk",$R348)),ISNUMBER(SEARCH("legal",$R348)),ISNUMBER(SEARCH("complian",$R348))),"Awaiting ","Held at the design gate: ")&amp;$R348,"Map the governance framework for its tier"),IF($L348="","Size the annual benefit",IF($N348="","Score it so it can be ranked against capacity","")),IF($R348&lt;&gt;"","Build held: "&amp;$R348,"In build, not yet through test"),IF($R348&lt;&gt;"","Not ready to scale: "&amp;$R348,"Monitoring and third-party review not yet signed off"),IF($Q348="Y","","Live without a measured baseline to judge it against")))</f>
        <v/>
      </c>
      <c r="AJ348" s="65" t="str">
        <f aca="false">IF($Y348="","",INDEX(StageForum,$Y348))</f>
        <v/>
      </c>
      <c r="AK348" s="65" t="str">
        <f aca="false">IF($Y348="","",IF(OR($X348="Delivery",$X348="Value"),"Committed",IF($N348&lt;&gt;"","Candidate","")))</f>
        <v/>
      </c>
      <c r="AL348" s="65" t="str">
        <f aca="false">IF($AK348&lt;&gt;"Candidate","",COUNTIFS($AK$2:$AK$501,"Candidate",$N$2:$N$501,"&gt;"&amp;$N348)+COUNTIFS($AK$2:$AK$501,"Candidate",$N$2:$N$501,$N348,$A$2:$A$501,"&lt;"&amp;$A348)+1)</f>
        <v/>
      </c>
      <c r="AM348" s="65" t="str">
        <f aca="false">IF($AL348="","",SUMIFS($M$2:$M$501,$AK$2:$AK$501,"Candidate",$AL$2:$AL$501,"&lt;="&amp;$AL348))</f>
        <v/>
      </c>
      <c r="AN348" s="65" t="str">
        <f aca="false">IF($AL348="","",IF($AM348&lt;=CapacityOpen,"Fits","Below line"))</f>
        <v/>
      </c>
      <c r="AO348" s="65" t="str">
        <f aca="false">IF($A348="","",IF($X348="Closed","",IF($X348="Unmapped","Warning",IF(OR($AB348="Overdue",$V348="Y",$AH348="Critical"),"Critical",IF(OR($AB348="At risk",$AC348="Stale",$AG348="Over"),"Warning","")))))</f>
        <v/>
      </c>
      <c r="AP348" s="65" t="str">
        <f aca="false">IF($AO348="","",IF($AO348="Critical",3000,2000)-IF($Z348="",0,$Z348)+ROW()/100000)</f>
        <v/>
      </c>
      <c r="AQ348" s="65" t="str">
        <f aca="false">IF($AO348="","",IF($X348="Unmapped","Status '"&amp;$C348&amp;"' is not in the Config map",IF($V348="Y","Flagged in Jira",IF($AB348="Overdue",-$Z348&amp;" days past its "&amp;$X348&amp;" target",IF($AH348="Critical",$AI348,IF($AB348="At risk","Target in "&amp;$Z348&amp;" days",IF($AC348="Stale","No update in "&amp;$AA348&amp;" days","Past its "&amp;$AE348&amp;"-day tier window")))))))</f>
        <v/>
      </c>
      <c r="AR348" s="65" t="str">
        <f aca="false">IF($AO348="","","draft Jira update for "&amp;$A348)</f>
        <v/>
      </c>
      <c r="AS348" s="65" t="str">
        <f aca="false">IF($A348="","",HYPERLINK(JiraSite&amp;"/browse/"&amp;$A348,"open"))</f>
        <v/>
      </c>
      <c r="AT348" s="65" t="str">
        <f aca="false">IF($Y348="","",$Y348*1000+ROW())</f>
        <v/>
      </c>
      <c r="AU348" s="65" t="str">
        <f aca="false">IF(AND($A348&lt;&gt;"",$G348&gt;=WeekStart),$G348+ROW()/100000,"")</f>
        <v/>
      </c>
      <c r="AV348" s="65" t="str">
        <f aca="false">IF($A348="","",IF(OR(AND($S348&lt;&gt;"",$S348&gt;=WeekStart),AND($U348&lt;&gt;"",$U348&gt;=WeekStart)),MAX($S348,$U348)+ROW()/100000,""))</f>
        <v/>
      </c>
      <c r="AW348" s="65" t="str">
        <f aca="false">IF($AV348="","",IF($T348&lt;&gt;"",$T348,IF($X348="Closed","Closed","Accepted to "&amp;$X348)))</f>
        <v/>
      </c>
      <c r="AX348" s="65" t="str">
        <f aca="false">IF(AND($Y348&lt;&gt;"",$R348&lt;&gt;""),$AF348+ROW()/100000,"")</f>
        <v/>
      </c>
      <c r="AY348" s="65" t="str">
        <f aca="false">IF(AND($Y348&lt;&gt;"",OR($AB348="Overdue",AND($AH348="Critical",$R348&lt;&gt;""))),$AF348+ROW()/100000,"")</f>
        <v/>
      </c>
      <c r="AZ348" s="65" t="str">
        <f aca="false">IF($AH348="Critical",$AF348+ROW()/100000,"")</f>
        <v/>
      </c>
    </row>
    <row r="349" customFormat="false" ht="15" hidden="false" customHeight="false" outlineLevel="0" collapsed="false">
      <c r="A349" s="28"/>
      <c r="B349" s="28"/>
      <c r="C349" s="28"/>
      <c r="D349" s="28"/>
      <c r="E349" s="28"/>
      <c r="F349" s="28"/>
      <c r="G349" s="63"/>
      <c r="H349" s="63"/>
      <c r="I349" s="63"/>
      <c r="J349" s="28"/>
      <c r="K349" s="28"/>
      <c r="L349" s="28"/>
      <c r="M349" s="28"/>
      <c r="N349" s="28"/>
      <c r="O349" s="64"/>
      <c r="P349" s="64"/>
      <c r="Q349" s="64"/>
      <c r="R349" s="28"/>
      <c r="S349" s="63"/>
      <c r="T349" s="64"/>
      <c r="U349" s="63"/>
      <c r="V349" s="64"/>
      <c r="W349" s="28"/>
      <c r="X349" s="65" t="str">
        <f aca="false">IF($A349="","",IF(OR($T349&lt;&gt;"",$U349&lt;&gt;""),"Closed",IFERROR(INDEX(MapStage,MATCH($C349,MapStatus,0)),"Unmapped")))</f>
        <v/>
      </c>
      <c r="Y349" s="65" t="str">
        <f aca="false">IF(OR($X349="",$X349="Closed",$X349="Unmapped"),"",MATCH($X349,StageName,0))</f>
        <v/>
      </c>
      <c r="Z349" s="65" t="str">
        <f aca="false">IF(OR($Y349="",$I349=""),"",$I349-AsOf)</f>
        <v/>
      </c>
      <c r="AA349" s="65" t="str">
        <f aca="false">IF($A349="","",AsOf-$H349)</f>
        <v/>
      </c>
      <c r="AB349" s="65" t="str">
        <f aca="false">IF($A349="","",IF($X349="Closed","Closed",IF($X349="Unmapped","Unmapped",IF($I349="","No target",IF($Z349&lt;0,"Overdue",IF($Z349&lt;=INDEX(StageWindow,$Y349),"At risk","On track"))))))</f>
        <v/>
      </c>
      <c r="AC349" s="65" t="str">
        <f aca="false">IF($Y349="","",IF($AA349&gt;2*INDEX(StageStale,$Y349),"Stale",IF($AA349&gt;INDEX(StageStale,$Y349),"Aging","Fresh")))</f>
        <v/>
      </c>
      <c r="AD349" s="65" t="str">
        <f aca="false">IF($A349="","",IF(OR(ISNUMBER(SEARCH("Reg report",$J349)),ISNUMBER(SEARCH("No human review",$J349)),COUNTIF(TierFuncs,$D349)&gt;0),"High",IF(OR(TRIM($J349)&lt;&gt;"",ISNUMBER(SEARCH("revenue",$K349))),"Medium","Low")))</f>
        <v/>
      </c>
      <c r="AE349" s="65" t="str">
        <f aca="false">IF($A349="","",INDEX(TierDays,MATCH($AD349,TierName,0)))</f>
        <v/>
      </c>
      <c r="AF349" s="65" t="str">
        <f aca="false">IF($A349="","",AsOf-$G349)</f>
        <v/>
      </c>
      <c r="AG349" s="65" t="str">
        <f aca="false">IF($Y349="","",IF($Y349&lt;=5,IF($AF349&gt;$AE349,"Over","Inside"),"Past approval"))</f>
        <v/>
      </c>
      <c r="AH349" s="65" t="str">
        <f aca="false">IF($Y349="","",CHOOSE($Y349,IF(OR(TRIM($F349)="",ISNUMBER(SEARCH("not named",$F349))),"Critical","Good"),IF($O349&lt;&gt;"Y","Critical",IF($Q349&lt;&gt;"Y","Warning","Good")),IF($P349="","Critical",IF($P349="partial","Warning",IF($P349="ready","Good","Critical"))),IF($R349&lt;&gt;"","Critical","Warning"),IF($L349="","Critical",IF($N349="","Warning","Good")),IF($R349&lt;&gt;"","Critical","Warning"),IF($R349&lt;&gt;"","Critical","Warning"),IF($Q349="Y","Good","Critical")))</f>
        <v/>
      </c>
      <c r="AI349" s="65" t="str">
        <f aca="false">IF($Y349="","",CHOOSE($Y349,IF(OR(TRIM($F349)="",ISNUMBER(SEARCH("not named",$F349))),"Name a sponsor accountable for the value",""),IF($O349&lt;&gt;"Y","State the success metric and the stop condition",IF($Q349&lt;&gt;"Y","Set the baseline the benefit will be measured against","")),IF($P349="","Assess data readiness and regulatory impact",IF($P349="partial","Close the known data gaps",IF($P349="ready","","Data is not available; reshape or park"))),IF($R349&lt;&gt;"",IF(OR(ISNUMBER(SEARCH("mrm",$R349)),ISNUMBER(SEARCH("model",$R349)),ISNUMBER(SEARCH("risk",$R349)),ISNUMBER(SEARCH("legal",$R349)),ISNUMBER(SEARCH("complian",$R349))),"Awaiting ","Held at the design gate: ")&amp;$R349,"Map the governance framework for its tier"),IF($L349="","Size the annual benefit",IF($N349="","Score it so it can be ranked against capacity","")),IF($R349&lt;&gt;"","Build held: "&amp;$R349,"In build, not yet through test"),IF($R349&lt;&gt;"","Not ready to scale: "&amp;$R349,"Monitoring and third-party review not yet signed off"),IF($Q349="Y","","Live without a measured baseline to judge it against")))</f>
        <v/>
      </c>
      <c r="AJ349" s="65" t="str">
        <f aca="false">IF($Y349="","",INDEX(StageForum,$Y349))</f>
        <v/>
      </c>
      <c r="AK349" s="65" t="str">
        <f aca="false">IF($Y349="","",IF(OR($X349="Delivery",$X349="Value"),"Committed",IF($N349&lt;&gt;"","Candidate","")))</f>
        <v/>
      </c>
      <c r="AL349" s="65" t="str">
        <f aca="false">IF($AK349&lt;&gt;"Candidate","",COUNTIFS($AK$2:$AK$501,"Candidate",$N$2:$N$501,"&gt;"&amp;$N349)+COUNTIFS($AK$2:$AK$501,"Candidate",$N$2:$N$501,$N349,$A$2:$A$501,"&lt;"&amp;$A349)+1)</f>
        <v/>
      </c>
      <c r="AM349" s="65" t="str">
        <f aca="false">IF($AL349="","",SUMIFS($M$2:$M$501,$AK$2:$AK$501,"Candidate",$AL$2:$AL$501,"&lt;="&amp;$AL349))</f>
        <v/>
      </c>
      <c r="AN349" s="65" t="str">
        <f aca="false">IF($AL349="","",IF($AM349&lt;=CapacityOpen,"Fits","Below line"))</f>
        <v/>
      </c>
      <c r="AO349" s="65" t="str">
        <f aca="false">IF($A349="","",IF($X349="Closed","",IF($X349="Unmapped","Warning",IF(OR($AB349="Overdue",$V349="Y",$AH349="Critical"),"Critical",IF(OR($AB349="At risk",$AC349="Stale",$AG349="Over"),"Warning","")))))</f>
        <v/>
      </c>
      <c r="AP349" s="65" t="str">
        <f aca="false">IF($AO349="","",IF($AO349="Critical",3000,2000)-IF($Z349="",0,$Z349)+ROW()/100000)</f>
        <v/>
      </c>
      <c r="AQ349" s="65" t="str">
        <f aca="false">IF($AO349="","",IF($X349="Unmapped","Status '"&amp;$C349&amp;"' is not in the Config map",IF($V349="Y","Flagged in Jira",IF($AB349="Overdue",-$Z349&amp;" days past its "&amp;$X349&amp;" target",IF($AH349="Critical",$AI349,IF($AB349="At risk","Target in "&amp;$Z349&amp;" days",IF($AC349="Stale","No update in "&amp;$AA349&amp;" days","Past its "&amp;$AE349&amp;"-day tier window")))))))</f>
        <v/>
      </c>
      <c r="AR349" s="65" t="str">
        <f aca="false">IF($AO349="","","draft Jira update for "&amp;$A349)</f>
        <v/>
      </c>
      <c r="AS349" s="65" t="str">
        <f aca="false">IF($A349="","",HYPERLINK(JiraSite&amp;"/browse/"&amp;$A349,"open"))</f>
        <v/>
      </c>
      <c r="AT349" s="65" t="str">
        <f aca="false">IF($Y349="","",$Y349*1000+ROW())</f>
        <v/>
      </c>
      <c r="AU349" s="65" t="str">
        <f aca="false">IF(AND($A349&lt;&gt;"",$G349&gt;=WeekStart),$G349+ROW()/100000,"")</f>
        <v/>
      </c>
      <c r="AV349" s="65" t="str">
        <f aca="false">IF($A349="","",IF(OR(AND($S349&lt;&gt;"",$S349&gt;=WeekStart),AND($U349&lt;&gt;"",$U349&gt;=WeekStart)),MAX($S349,$U349)+ROW()/100000,""))</f>
        <v/>
      </c>
      <c r="AW349" s="65" t="str">
        <f aca="false">IF($AV349="","",IF($T349&lt;&gt;"",$T349,IF($X349="Closed","Closed","Accepted to "&amp;$X349)))</f>
        <v/>
      </c>
      <c r="AX349" s="65" t="str">
        <f aca="false">IF(AND($Y349&lt;&gt;"",$R349&lt;&gt;""),$AF349+ROW()/100000,"")</f>
        <v/>
      </c>
      <c r="AY349" s="65" t="str">
        <f aca="false">IF(AND($Y349&lt;&gt;"",OR($AB349="Overdue",AND($AH349="Critical",$R349&lt;&gt;""))),$AF349+ROW()/100000,"")</f>
        <v/>
      </c>
      <c r="AZ349" s="65" t="str">
        <f aca="false">IF($AH349="Critical",$AF349+ROW()/100000,"")</f>
        <v/>
      </c>
    </row>
    <row r="350" customFormat="false" ht="15" hidden="false" customHeight="false" outlineLevel="0" collapsed="false">
      <c r="A350" s="28"/>
      <c r="B350" s="28"/>
      <c r="C350" s="28"/>
      <c r="D350" s="28"/>
      <c r="E350" s="28"/>
      <c r="F350" s="28"/>
      <c r="G350" s="63"/>
      <c r="H350" s="63"/>
      <c r="I350" s="63"/>
      <c r="J350" s="28"/>
      <c r="K350" s="28"/>
      <c r="L350" s="28"/>
      <c r="M350" s="28"/>
      <c r="N350" s="28"/>
      <c r="O350" s="64"/>
      <c r="P350" s="64"/>
      <c r="Q350" s="64"/>
      <c r="R350" s="28"/>
      <c r="S350" s="63"/>
      <c r="T350" s="64"/>
      <c r="U350" s="63"/>
      <c r="V350" s="64"/>
      <c r="W350" s="28"/>
      <c r="X350" s="65" t="str">
        <f aca="false">IF($A350="","",IF(OR($T350&lt;&gt;"",$U350&lt;&gt;""),"Closed",IFERROR(INDEX(MapStage,MATCH($C350,MapStatus,0)),"Unmapped")))</f>
        <v/>
      </c>
      <c r="Y350" s="65" t="str">
        <f aca="false">IF(OR($X350="",$X350="Closed",$X350="Unmapped"),"",MATCH($X350,StageName,0))</f>
        <v/>
      </c>
      <c r="Z350" s="65" t="str">
        <f aca="false">IF(OR($Y350="",$I350=""),"",$I350-AsOf)</f>
        <v/>
      </c>
      <c r="AA350" s="65" t="str">
        <f aca="false">IF($A350="","",AsOf-$H350)</f>
        <v/>
      </c>
      <c r="AB350" s="65" t="str">
        <f aca="false">IF($A350="","",IF($X350="Closed","Closed",IF($X350="Unmapped","Unmapped",IF($I350="","No target",IF($Z350&lt;0,"Overdue",IF($Z350&lt;=INDEX(StageWindow,$Y350),"At risk","On track"))))))</f>
        <v/>
      </c>
      <c r="AC350" s="65" t="str">
        <f aca="false">IF($Y350="","",IF($AA350&gt;2*INDEX(StageStale,$Y350),"Stale",IF($AA350&gt;INDEX(StageStale,$Y350),"Aging","Fresh")))</f>
        <v/>
      </c>
      <c r="AD350" s="65" t="str">
        <f aca="false">IF($A350="","",IF(OR(ISNUMBER(SEARCH("Reg report",$J350)),ISNUMBER(SEARCH("No human review",$J350)),COUNTIF(TierFuncs,$D350)&gt;0),"High",IF(OR(TRIM($J350)&lt;&gt;"",ISNUMBER(SEARCH("revenue",$K350))),"Medium","Low")))</f>
        <v/>
      </c>
      <c r="AE350" s="65" t="str">
        <f aca="false">IF($A350="","",INDEX(TierDays,MATCH($AD350,TierName,0)))</f>
        <v/>
      </c>
      <c r="AF350" s="65" t="str">
        <f aca="false">IF($A350="","",AsOf-$G350)</f>
        <v/>
      </c>
      <c r="AG350" s="65" t="str">
        <f aca="false">IF($Y350="","",IF($Y350&lt;=5,IF($AF350&gt;$AE350,"Over","Inside"),"Past approval"))</f>
        <v/>
      </c>
      <c r="AH350" s="65" t="str">
        <f aca="false">IF($Y350="","",CHOOSE($Y350,IF(OR(TRIM($F350)="",ISNUMBER(SEARCH("not named",$F350))),"Critical","Good"),IF($O350&lt;&gt;"Y","Critical",IF($Q350&lt;&gt;"Y","Warning","Good")),IF($P350="","Critical",IF($P350="partial","Warning",IF($P350="ready","Good","Critical"))),IF($R350&lt;&gt;"","Critical","Warning"),IF($L350="","Critical",IF($N350="","Warning","Good")),IF($R350&lt;&gt;"","Critical","Warning"),IF($R350&lt;&gt;"","Critical","Warning"),IF($Q350="Y","Good","Critical")))</f>
        <v/>
      </c>
      <c r="AI350" s="65" t="str">
        <f aca="false">IF($Y350="","",CHOOSE($Y350,IF(OR(TRIM($F350)="",ISNUMBER(SEARCH("not named",$F350))),"Name a sponsor accountable for the value",""),IF($O350&lt;&gt;"Y","State the success metric and the stop condition",IF($Q350&lt;&gt;"Y","Set the baseline the benefit will be measured against","")),IF($P350="","Assess data readiness and regulatory impact",IF($P350="partial","Close the known data gaps",IF($P350="ready","","Data is not available; reshape or park"))),IF($R350&lt;&gt;"",IF(OR(ISNUMBER(SEARCH("mrm",$R350)),ISNUMBER(SEARCH("model",$R350)),ISNUMBER(SEARCH("risk",$R350)),ISNUMBER(SEARCH("legal",$R350)),ISNUMBER(SEARCH("complian",$R350))),"Awaiting ","Held at the design gate: ")&amp;$R350,"Map the governance framework for its tier"),IF($L350="","Size the annual benefit",IF($N350="","Score it so it can be ranked against capacity","")),IF($R350&lt;&gt;"","Build held: "&amp;$R350,"In build, not yet through test"),IF($R350&lt;&gt;"","Not ready to scale: "&amp;$R350,"Monitoring and third-party review not yet signed off"),IF($Q350="Y","","Live without a measured baseline to judge it against")))</f>
        <v/>
      </c>
      <c r="AJ350" s="65" t="str">
        <f aca="false">IF($Y350="","",INDEX(StageForum,$Y350))</f>
        <v/>
      </c>
      <c r="AK350" s="65" t="str">
        <f aca="false">IF($Y350="","",IF(OR($X350="Delivery",$X350="Value"),"Committed",IF($N350&lt;&gt;"","Candidate","")))</f>
        <v/>
      </c>
      <c r="AL350" s="65" t="str">
        <f aca="false">IF($AK350&lt;&gt;"Candidate","",COUNTIFS($AK$2:$AK$501,"Candidate",$N$2:$N$501,"&gt;"&amp;$N350)+COUNTIFS($AK$2:$AK$501,"Candidate",$N$2:$N$501,$N350,$A$2:$A$501,"&lt;"&amp;$A350)+1)</f>
        <v/>
      </c>
      <c r="AM350" s="65" t="str">
        <f aca="false">IF($AL350="","",SUMIFS($M$2:$M$501,$AK$2:$AK$501,"Candidate",$AL$2:$AL$501,"&lt;="&amp;$AL350))</f>
        <v/>
      </c>
      <c r="AN350" s="65" t="str">
        <f aca="false">IF($AL350="","",IF($AM350&lt;=CapacityOpen,"Fits","Below line"))</f>
        <v/>
      </c>
      <c r="AO350" s="65" t="str">
        <f aca="false">IF($A350="","",IF($X350="Closed","",IF($X350="Unmapped","Warning",IF(OR($AB350="Overdue",$V350="Y",$AH350="Critical"),"Critical",IF(OR($AB350="At risk",$AC350="Stale",$AG350="Over"),"Warning","")))))</f>
        <v/>
      </c>
      <c r="AP350" s="65" t="str">
        <f aca="false">IF($AO350="","",IF($AO350="Critical",3000,2000)-IF($Z350="",0,$Z350)+ROW()/100000)</f>
        <v/>
      </c>
      <c r="AQ350" s="65" t="str">
        <f aca="false">IF($AO350="","",IF($X350="Unmapped","Status '"&amp;$C350&amp;"' is not in the Config map",IF($V350="Y","Flagged in Jira",IF($AB350="Overdue",-$Z350&amp;" days past its "&amp;$X350&amp;" target",IF($AH350="Critical",$AI350,IF($AB350="At risk","Target in "&amp;$Z350&amp;" days",IF($AC350="Stale","No update in "&amp;$AA350&amp;" days","Past its "&amp;$AE350&amp;"-day tier window")))))))</f>
        <v/>
      </c>
      <c r="AR350" s="65" t="str">
        <f aca="false">IF($AO350="","","draft Jira update for "&amp;$A350)</f>
        <v/>
      </c>
      <c r="AS350" s="65" t="str">
        <f aca="false">IF($A350="","",HYPERLINK(JiraSite&amp;"/browse/"&amp;$A350,"open"))</f>
        <v/>
      </c>
      <c r="AT350" s="65" t="str">
        <f aca="false">IF($Y350="","",$Y350*1000+ROW())</f>
        <v/>
      </c>
      <c r="AU350" s="65" t="str">
        <f aca="false">IF(AND($A350&lt;&gt;"",$G350&gt;=WeekStart),$G350+ROW()/100000,"")</f>
        <v/>
      </c>
      <c r="AV350" s="65" t="str">
        <f aca="false">IF($A350="","",IF(OR(AND($S350&lt;&gt;"",$S350&gt;=WeekStart),AND($U350&lt;&gt;"",$U350&gt;=WeekStart)),MAX($S350,$U350)+ROW()/100000,""))</f>
        <v/>
      </c>
      <c r="AW350" s="65" t="str">
        <f aca="false">IF($AV350="","",IF($T350&lt;&gt;"",$T350,IF($X350="Closed","Closed","Accepted to "&amp;$X350)))</f>
        <v/>
      </c>
      <c r="AX350" s="65" t="str">
        <f aca="false">IF(AND($Y350&lt;&gt;"",$R350&lt;&gt;""),$AF350+ROW()/100000,"")</f>
        <v/>
      </c>
      <c r="AY350" s="65" t="str">
        <f aca="false">IF(AND($Y350&lt;&gt;"",OR($AB350="Overdue",AND($AH350="Critical",$R350&lt;&gt;""))),$AF350+ROW()/100000,"")</f>
        <v/>
      </c>
      <c r="AZ350" s="65" t="str">
        <f aca="false">IF($AH350="Critical",$AF350+ROW()/100000,"")</f>
        <v/>
      </c>
    </row>
    <row r="351" customFormat="false" ht="15" hidden="false" customHeight="false" outlineLevel="0" collapsed="false">
      <c r="A351" s="28"/>
      <c r="B351" s="28"/>
      <c r="C351" s="28"/>
      <c r="D351" s="28"/>
      <c r="E351" s="28"/>
      <c r="F351" s="28"/>
      <c r="G351" s="63"/>
      <c r="H351" s="63"/>
      <c r="I351" s="63"/>
      <c r="J351" s="28"/>
      <c r="K351" s="28"/>
      <c r="L351" s="28"/>
      <c r="M351" s="28"/>
      <c r="N351" s="28"/>
      <c r="O351" s="64"/>
      <c r="P351" s="64"/>
      <c r="Q351" s="64"/>
      <c r="R351" s="28"/>
      <c r="S351" s="63"/>
      <c r="T351" s="64"/>
      <c r="U351" s="63"/>
      <c r="V351" s="64"/>
      <c r="W351" s="28"/>
      <c r="X351" s="65" t="str">
        <f aca="false">IF($A351="","",IF(OR($T351&lt;&gt;"",$U351&lt;&gt;""),"Closed",IFERROR(INDEX(MapStage,MATCH($C351,MapStatus,0)),"Unmapped")))</f>
        <v/>
      </c>
      <c r="Y351" s="65" t="str">
        <f aca="false">IF(OR($X351="",$X351="Closed",$X351="Unmapped"),"",MATCH($X351,StageName,0))</f>
        <v/>
      </c>
      <c r="Z351" s="65" t="str">
        <f aca="false">IF(OR($Y351="",$I351=""),"",$I351-AsOf)</f>
        <v/>
      </c>
      <c r="AA351" s="65" t="str">
        <f aca="false">IF($A351="","",AsOf-$H351)</f>
        <v/>
      </c>
      <c r="AB351" s="65" t="str">
        <f aca="false">IF($A351="","",IF($X351="Closed","Closed",IF($X351="Unmapped","Unmapped",IF($I351="","No target",IF($Z351&lt;0,"Overdue",IF($Z351&lt;=INDEX(StageWindow,$Y351),"At risk","On track"))))))</f>
        <v/>
      </c>
      <c r="AC351" s="65" t="str">
        <f aca="false">IF($Y351="","",IF($AA351&gt;2*INDEX(StageStale,$Y351),"Stale",IF($AA351&gt;INDEX(StageStale,$Y351),"Aging","Fresh")))</f>
        <v/>
      </c>
      <c r="AD351" s="65" t="str">
        <f aca="false">IF($A351="","",IF(OR(ISNUMBER(SEARCH("Reg report",$J351)),ISNUMBER(SEARCH("No human review",$J351)),COUNTIF(TierFuncs,$D351)&gt;0),"High",IF(OR(TRIM($J351)&lt;&gt;"",ISNUMBER(SEARCH("revenue",$K351))),"Medium","Low")))</f>
        <v/>
      </c>
      <c r="AE351" s="65" t="str">
        <f aca="false">IF($A351="","",INDEX(TierDays,MATCH($AD351,TierName,0)))</f>
        <v/>
      </c>
      <c r="AF351" s="65" t="str">
        <f aca="false">IF($A351="","",AsOf-$G351)</f>
        <v/>
      </c>
      <c r="AG351" s="65" t="str">
        <f aca="false">IF($Y351="","",IF($Y351&lt;=5,IF($AF351&gt;$AE351,"Over","Inside"),"Past approval"))</f>
        <v/>
      </c>
      <c r="AH351" s="65" t="str">
        <f aca="false">IF($Y351="","",CHOOSE($Y351,IF(OR(TRIM($F351)="",ISNUMBER(SEARCH("not named",$F351))),"Critical","Good"),IF($O351&lt;&gt;"Y","Critical",IF($Q351&lt;&gt;"Y","Warning","Good")),IF($P351="","Critical",IF($P351="partial","Warning",IF($P351="ready","Good","Critical"))),IF($R351&lt;&gt;"","Critical","Warning"),IF($L351="","Critical",IF($N351="","Warning","Good")),IF($R351&lt;&gt;"","Critical","Warning"),IF($R351&lt;&gt;"","Critical","Warning"),IF($Q351="Y","Good","Critical")))</f>
        <v/>
      </c>
      <c r="AI351" s="65" t="str">
        <f aca="false">IF($Y351="","",CHOOSE($Y351,IF(OR(TRIM($F351)="",ISNUMBER(SEARCH("not named",$F351))),"Name a sponsor accountable for the value",""),IF($O351&lt;&gt;"Y","State the success metric and the stop condition",IF($Q351&lt;&gt;"Y","Set the baseline the benefit will be measured against","")),IF($P351="","Assess data readiness and regulatory impact",IF($P351="partial","Close the known data gaps",IF($P351="ready","","Data is not available; reshape or park"))),IF($R351&lt;&gt;"",IF(OR(ISNUMBER(SEARCH("mrm",$R351)),ISNUMBER(SEARCH("model",$R351)),ISNUMBER(SEARCH("risk",$R351)),ISNUMBER(SEARCH("legal",$R351)),ISNUMBER(SEARCH("complian",$R351))),"Awaiting ","Held at the design gate: ")&amp;$R351,"Map the governance framework for its tier"),IF($L351="","Size the annual benefit",IF($N351="","Score it so it can be ranked against capacity","")),IF($R351&lt;&gt;"","Build held: "&amp;$R351,"In build, not yet through test"),IF($R351&lt;&gt;"","Not ready to scale: "&amp;$R351,"Monitoring and third-party review not yet signed off"),IF($Q351="Y","","Live without a measured baseline to judge it against")))</f>
        <v/>
      </c>
      <c r="AJ351" s="65" t="str">
        <f aca="false">IF($Y351="","",INDEX(StageForum,$Y351))</f>
        <v/>
      </c>
      <c r="AK351" s="65" t="str">
        <f aca="false">IF($Y351="","",IF(OR($X351="Delivery",$X351="Value"),"Committed",IF($N351&lt;&gt;"","Candidate","")))</f>
        <v/>
      </c>
      <c r="AL351" s="65" t="str">
        <f aca="false">IF($AK351&lt;&gt;"Candidate","",COUNTIFS($AK$2:$AK$501,"Candidate",$N$2:$N$501,"&gt;"&amp;$N351)+COUNTIFS($AK$2:$AK$501,"Candidate",$N$2:$N$501,$N351,$A$2:$A$501,"&lt;"&amp;$A351)+1)</f>
        <v/>
      </c>
      <c r="AM351" s="65" t="str">
        <f aca="false">IF($AL351="","",SUMIFS($M$2:$M$501,$AK$2:$AK$501,"Candidate",$AL$2:$AL$501,"&lt;="&amp;$AL351))</f>
        <v/>
      </c>
      <c r="AN351" s="65" t="str">
        <f aca="false">IF($AL351="","",IF($AM351&lt;=CapacityOpen,"Fits","Below line"))</f>
        <v/>
      </c>
      <c r="AO351" s="65" t="str">
        <f aca="false">IF($A351="","",IF($X351="Closed","",IF($X351="Unmapped","Warning",IF(OR($AB351="Overdue",$V351="Y",$AH351="Critical"),"Critical",IF(OR($AB351="At risk",$AC351="Stale",$AG351="Over"),"Warning","")))))</f>
        <v/>
      </c>
      <c r="AP351" s="65" t="str">
        <f aca="false">IF($AO351="","",IF($AO351="Critical",3000,2000)-IF($Z351="",0,$Z351)+ROW()/100000)</f>
        <v/>
      </c>
      <c r="AQ351" s="65" t="str">
        <f aca="false">IF($AO351="","",IF($X351="Unmapped","Status '"&amp;$C351&amp;"' is not in the Config map",IF($V351="Y","Flagged in Jira",IF($AB351="Overdue",-$Z351&amp;" days past its "&amp;$X351&amp;" target",IF($AH351="Critical",$AI351,IF($AB351="At risk","Target in "&amp;$Z351&amp;" days",IF($AC351="Stale","No update in "&amp;$AA351&amp;" days","Past its "&amp;$AE351&amp;"-day tier window")))))))</f>
        <v/>
      </c>
      <c r="AR351" s="65" t="str">
        <f aca="false">IF($AO351="","","draft Jira update for "&amp;$A351)</f>
        <v/>
      </c>
      <c r="AS351" s="65" t="str">
        <f aca="false">IF($A351="","",HYPERLINK(JiraSite&amp;"/browse/"&amp;$A351,"open"))</f>
        <v/>
      </c>
      <c r="AT351" s="65" t="str">
        <f aca="false">IF($Y351="","",$Y351*1000+ROW())</f>
        <v/>
      </c>
      <c r="AU351" s="65" t="str">
        <f aca="false">IF(AND($A351&lt;&gt;"",$G351&gt;=WeekStart),$G351+ROW()/100000,"")</f>
        <v/>
      </c>
      <c r="AV351" s="65" t="str">
        <f aca="false">IF($A351="","",IF(OR(AND($S351&lt;&gt;"",$S351&gt;=WeekStart),AND($U351&lt;&gt;"",$U351&gt;=WeekStart)),MAX($S351,$U351)+ROW()/100000,""))</f>
        <v/>
      </c>
      <c r="AW351" s="65" t="str">
        <f aca="false">IF($AV351="","",IF($T351&lt;&gt;"",$T351,IF($X351="Closed","Closed","Accepted to "&amp;$X351)))</f>
        <v/>
      </c>
      <c r="AX351" s="65" t="str">
        <f aca="false">IF(AND($Y351&lt;&gt;"",$R351&lt;&gt;""),$AF351+ROW()/100000,"")</f>
        <v/>
      </c>
      <c r="AY351" s="65" t="str">
        <f aca="false">IF(AND($Y351&lt;&gt;"",OR($AB351="Overdue",AND($AH351="Critical",$R351&lt;&gt;""))),$AF351+ROW()/100000,"")</f>
        <v/>
      </c>
      <c r="AZ351" s="65" t="str">
        <f aca="false">IF($AH351="Critical",$AF351+ROW()/100000,"")</f>
        <v/>
      </c>
    </row>
    <row r="352" customFormat="false" ht="15" hidden="false" customHeight="false" outlineLevel="0" collapsed="false">
      <c r="A352" s="28"/>
      <c r="B352" s="28"/>
      <c r="C352" s="28"/>
      <c r="D352" s="28"/>
      <c r="E352" s="28"/>
      <c r="F352" s="28"/>
      <c r="G352" s="63"/>
      <c r="H352" s="63"/>
      <c r="I352" s="63"/>
      <c r="J352" s="28"/>
      <c r="K352" s="28"/>
      <c r="L352" s="28"/>
      <c r="M352" s="28"/>
      <c r="N352" s="28"/>
      <c r="O352" s="64"/>
      <c r="P352" s="64"/>
      <c r="Q352" s="64"/>
      <c r="R352" s="28"/>
      <c r="S352" s="63"/>
      <c r="T352" s="64"/>
      <c r="U352" s="63"/>
      <c r="V352" s="64"/>
      <c r="W352" s="28"/>
      <c r="X352" s="65" t="str">
        <f aca="false">IF($A352="","",IF(OR($T352&lt;&gt;"",$U352&lt;&gt;""),"Closed",IFERROR(INDEX(MapStage,MATCH($C352,MapStatus,0)),"Unmapped")))</f>
        <v/>
      </c>
      <c r="Y352" s="65" t="str">
        <f aca="false">IF(OR($X352="",$X352="Closed",$X352="Unmapped"),"",MATCH($X352,StageName,0))</f>
        <v/>
      </c>
      <c r="Z352" s="65" t="str">
        <f aca="false">IF(OR($Y352="",$I352=""),"",$I352-AsOf)</f>
        <v/>
      </c>
      <c r="AA352" s="65" t="str">
        <f aca="false">IF($A352="","",AsOf-$H352)</f>
        <v/>
      </c>
      <c r="AB352" s="65" t="str">
        <f aca="false">IF($A352="","",IF($X352="Closed","Closed",IF($X352="Unmapped","Unmapped",IF($I352="","No target",IF($Z352&lt;0,"Overdue",IF($Z352&lt;=INDEX(StageWindow,$Y352),"At risk","On track"))))))</f>
        <v/>
      </c>
      <c r="AC352" s="65" t="str">
        <f aca="false">IF($Y352="","",IF($AA352&gt;2*INDEX(StageStale,$Y352),"Stale",IF($AA352&gt;INDEX(StageStale,$Y352),"Aging","Fresh")))</f>
        <v/>
      </c>
      <c r="AD352" s="65" t="str">
        <f aca="false">IF($A352="","",IF(OR(ISNUMBER(SEARCH("Reg report",$J352)),ISNUMBER(SEARCH("No human review",$J352)),COUNTIF(TierFuncs,$D352)&gt;0),"High",IF(OR(TRIM($J352)&lt;&gt;"",ISNUMBER(SEARCH("revenue",$K352))),"Medium","Low")))</f>
        <v/>
      </c>
      <c r="AE352" s="65" t="str">
        <f aca="false">IF($A352="","",INDEX(TierDays,MATCH($AD352,TierName,0)))</f>
        <v/>
      </c>
      <c r="AF352" s="65" t="str">
        <f aca="false">IF($A352="","",AsOf-$G352)</f>
        <v/>
      </c>
      <c r="AG352" s="65" t="str">
        <f aca="false">IF($Y352="","",IF($Y352&lt;=5,IF($AF352&gt;$AE352,"Over","Inside"),"Past approval"))</f>
        <v/>
      </c>
      <c r="AH352" s="65" t="str">
        <f aca="false">IF($Y352="","",CHOOSE($Y352,IF(OR(TRIM($F352)="",ISNUMBER(SEARCH("not named",$F352))),"Critical","Good"),IF($O352&lt;&gt;"Y","Critical",IF($Q352&lt;&gt;"Y","Warning","Good")),IF($P352="","Critical",IF($P352="partial","Warning",IF($P352="ready","Good","Critical"))),IF($R352&lt;&gt;"","Critical","Warning"),IF($L352="","Critical",IF($N352="","Warning","Good")),IF($R352&lt;&gt;"","Critical","Warning"),IF($R352&lt;&gt;"","Critical","Warning"),IF($Q352="Y","Good","Critical")))</f>
        <v/>
      </c>
      <c r="AI352" s="65" t="str">
        <f aca="false">IF($Y352="","",CHOOSE($Y352,IF(OR(TRIM($F352)="",ISNUMBER(SEARCH("not named",$F352))),"Name a sponsor accountable for the value",""),IF($O352&lt;&gt;"Y","State the success metric and the stop condition",IF($Q352&lt;&gt;"Y","Set the baseline the benefit will be measured against","")),IF($P352="","Assess data readiness and regulatory impact",IF($P352="partial","Close the known data gaps",IF($P352="ready","","Data is not available; reshape or park"))),IF($R352&lt;&gt;"",IF(OR(ISNUMBER(SEARCH("mrm",$R352)),ISNUMBER(SEARCH("model",$R352)),ISNUMBER(SEARCH("risk",$R352)),ISNUMBER(SEARCH("legal",$R352)),ISNUMBER(SEARCH("complian",$R352))),"Awaiting ","Held at the design gate: ")&amp;$R352,"Map the governance framework for its tier"),IF($L352="","Size the annual benefit",IF($N352="","Score it so it can be ranked against capacity","")),IF($R352&lt;&gt;"","Build held: "&amp;$R352,"In build, not yet through test"),IF($R352&lt;&gt;"","Not ready to scale: "&amp;$R352,"Monitoring and third-party review not yet signed off"),IF($Q352="Y","","Live without a measured baseline to judge it against")))</f>
        <v/>
      </c>
      <c r="AJ352" s="65" t="str">
        <f aca="false">IF($Y352="","",INDEX(StageForum,$Y352))</f>
        <v/>
      </c>
      <c r="AK352" s="65" t="str">
        <f aca="false">IF($Y352="","",IF(OR($X352="Delivery",$X352="Value"),"Committed",IF($N352&lt;&gt;"","Candidate","")))</f>
        <v/>
      </c>
      <c r="AL352" s="65" t="str">
        <f aca="false">IF($AK352&lt;&gt;"Candidate","",COUNTIFS($AK$2:$AK$501,"Candidate",$N$2:$N$501,"&gt;"&amp;$N352)+COUNTIFS($AK$2:$AK$501,"Candidate",$N$2:$N$501,$N352,$A$2:$A$501,"&lt;"&amp;$A352)+1)</f>
        <v/>
      </c>
      <c r="AM352" s="65" t="str">
        <f aca="false">IF($AL352="","",SUMIFS($M$2:$M$501,$AK$2:$AK$501,"Candidate",$AL$2:$AL$501,"&lt;="&amp;$AL352))</f>
        <v/>
      </c>
      <c r="AN352" s="65" t="str">
        <f aca="false">IF($AL352="","",IF($AM352&lt;=CapacityOpen,"Fits","Below line"))</f>
        <v/>
      </c>
      <c r="AO352" s="65" t="str">
        <f aca="false">IF($A352="","",IF($X352="Closed","",IF($X352="Unmapped","Warning",IF(OR($AB352="Overdue",$V352="Y",$AH352="Critical"),"Critical",IF(OR($AB352="At risk",$AC352="Stale",$AG352="Over"),"Warning","")))))</f>
        <v/>
      </c>
      <c r="AP352" s="65" t="str">
        <f aca="false">IF($AO352="","",IF($AO352="Critical",3000,2000)-IF($Z352="",0,$Z352)+ROW()/100000)</f>
        <v/>
      </c>
      <c r="AQ352" s="65" t="str">
        <f aca="false">IF($AO352="","",IF($X352="Unmapped","Status '"&amp;$C352&amp;"' is not in the Config map",IF($V352="Y","Flagged in Jira",IF($AB352="Overdue",-$Z352&amp;" days past its "&amp;$X352&amp;" target",IF($AH352="Critical",$AI352,IF($AB352="At risk","Target in "&amp;$Z352&amp;" days",IF($AC352="Stale","No update in "&amp;$AA352&amp;" days","Past its "&amp;$AE352&amp;"-day tier window")))))))</f>
        <v/>
      </c>
      <c r="AR352" s="65" t="str">
        <f aca="false">IF($AO352="","","draft Jira update for "&amp;$A352)</f>
        <v/>
      </c>
      <c r="AS352" s="65" t="str">
        <f aca="false">IF($A352="","",HYPERLINK(JiraSite&amp;"/browse/"&amp;$A352,"open"))</f>
        <v/>
      </c>
      <c r="AT352" s="65" t="str">
        <f aca="false">IF($Y352="","",$Y352*1000+ROW())</f>
        <v/>
      </c>
      <c r="AU352" s="65" t="str">
        <f aca="false">IF(AND($A352&lt;&gt;"",$G352&gt;=WeekStart),$G352+ROW()/100000,"")</f>
        <v/>
      </c>
      <c r="AV352" s="65" t="str">
        <f aca="false">IF($A352="","",IF(OR(AND($S352&lt;&gt;"",$S352&gt;=WeekStart),AND($U352&lt;&gt;"",$U352&gt;=WeekStart)),MAX($S352,$U352)+ROW()/100000,""))</f>
        <v/>
      </c>
      <c r="AW352" s="65" t="str">
        <f aca="false">IF($AV352="","",IF($T352&lt;&gt;"",$T352,IF($X352="Closed","Closed","Accepted to "&amp;$X352)))</f>
        <v/>
      </c>
      <c r="AX352" s="65" t="str">
        <f aca="false">IF(AND($Y352&lt;&gt;"",$R352&lt;&gt;""),$AF352+ROW()/100000,"")</f>
        <v/>
      </c>
      <c r="AY352" s="65" t="str">
        <f aca="false">IF(AND($Y352&lt;&gt;"",OR($AB352="Overdue",AND($AH352="Critical",$R352&lt;&gt;""))),$AF352+ROW()/100000,"")</f>
        <v/>
      </c>
      <c r="AZ352" s="65" t="str">
        <f aca="false">IF($AH352="Critical",$AF352+ROW()/100000,"")</f>
        <v/>
      </c>
    </row>
    <row r="353" customFormat="false" ht="15" hidden="false" customHeight="false" outlineLevel="0" collapsed="false">
      <c r="A353" s="28"/>
      <c r="B353" s="28"/>
      <c r="C353" s="28"/>
      <c r="D353" s="28"/>
      <c r="E353" s="28"/>
      <c r="F353" s="28"/>
      <c r="G353" s="63"/>
      <c r="H353" s="63"/>
      <c r="I353" s="63"/>
      <c r="J353" s="28"/>
      <c r="K353" s="28"/>
      <c r="L353" s="28"/>
      <c r="M353" s="28"/>
      <c r="N353" s="28"/>
      <c r="O353" s="64"/>
      <c r="P353" s="64"/>
      <c r="Q353" s="64"/>
      <c r="R353" s="28"/>
      <c r="S353" s="63"/>
      <c r="T353" s="64"/>
      <c r="U353" s="63"/>
      <c r="V353" s="64"/>
      <c r="W353" s="28"/>
      <c r="X353" s="65" t="str">
        <f aca="false">IF($A353="","",IF(OR($T353&lt;&gt;"",$U353&lt;&gt;""),"Closed",IFERROR(INDEX(MapStage,MATCH($C353,MapStatus,0)),"Unmapped")))</f>
        <v/>
      </c>
      <c r="Y353" s="65" t="str">
        <f aca="false">IF(OR($X353="",$X353="Closed",$X353="Unmapped"),"",MATCH($X353,StageName,0))</f>
        <v/>
      </c>
      <c r="Z353" s="65" t="str">
        <f aca="false">IF(OR($Y353="",$I353=""),"",$I353-AsOf)</f>
        <v/>
      </c>
      <c r="AA353" s="65" t="str">
        <f aca="false">IF($A353="","",AsOf-$H353)</f>
        <v/>
      </c>
      <c r="AB353" s="65" t="str">
        <f aca="false">IF($A353="","",IF($X353="Closed","Closed",IF($X353="Unmapped","Unmapped",IF($I353="","No target",IF($Z353&lt;0,"Overdue",IF($Z353&lt;=INDEX(StageWindow,$Y353),"At risk","On track"))))))</f>
        <v/>
      </c>
      <c r="AC353" s="65" t="str">
        <f aca="false">IF($Y353="","",IF($AA353&gt;2*INDEX(StageStale,$Y353),"Stale",IF($AA353&gt;INDEX(StageStale,$Y353),"Aging","Fresh")))</f>
        <v/>
      </c>
      <c r="AD353" s="65" t="str">
        <f aca="false">IF($A353="","",IF(OR(ISNUMBER(SEARCH("Reg report",$J353)),ISNUMBER(SEARCH("No human review",$J353)),COUNTIF(TierFuncs,$D353)&gt;0),"High",IF(OR(TRIM($J353)&lt;&gt;"",ISNUMBER(SEARCH("revenue",$K353))),"Medium","Low")))</f>
        <v/>
      </c>
      <c r="AE353" s="65" t="str">
        <f aca="false">IF($A353="","",INDEX(TierDays,MATCH($AD353,TierName,0)))</f>
        <v/>
      </c>
      <c r="AF353" s="65" t="str">
        <f aca="false">IF($A353="","",AsOf-$G353)</f>
        <v/>
      </c>
      <c r="AG353" s="65" t="str">
        <f aca="false">IF($Y353="","",IF($Y353&lt;=5,IF($AF353&gt;$AE353,"Over","Inside"),"Past approval"))</f>
        <v/>
      </c>
      <c r="AH353" s="65" t="str">
        <f aca="false">IF($Y353="","",CHOOSE($Y353,IF(OR(TRIM($F353)="",ISNUMBER(SEARCH("not named",$F353))),"Critical","Good"),IF($O353&lt;&gt;"Y","Critical",IF($Q353&lt;&gt;"Y","Warning","Good")),IF($P353="","Critical",IF($P353="partial","Warning",IF($P353="ready","Good","Critical"))),IF($R353&lt;&gt;"","Critical","Warning"),IF($L353="","Critical",IF($N353="","Warning","Good")),IF($R353&lt;&gt;"","Critical","Warning"),IF($R353&lt;&gt;"","Critical","Warning"),IF($Q353="Y","Good","Critical")))</f>
        <v/>
      </c>
      <c r="AI353" s="65" t="str">
        <f aca="false">IF($Y353="","",CHOOSE($Y353,IF(OR(TRIM($F353)="",ISNUMBER(SEARCH("not named",$F353))),"Name a sponsor accountable for the value",""),IF($O353&lt;&gt;"Y","State the success metric and the stop condition",IF($Q353&lt;&gt;"Y","Set the baseline the benefit will be measured against","")),IF($P353="","Assess data readiness and regulatory impact",IF($P353="partial","Close the known data gaps",IF($P353="ready","","Data is not available; reshape or park"))),IF($R353&lt;&gt;"",IF(OR(ISNUMBER(SEARCH("mrm",$R353)),ISNUMBER(SEARCH("model",$R353)),ISNUMBER(SEARCH("risk",$R353)),ISNUMBER(SEARCH("legal",$R353)),ISNUMBER(SEARCH("complian",$R353))),"Awaiting ","Held at the design gate: ")&amp;$R353,"Map the governance framework for its tier"),IF($L353="","Size the annual benefit",IF($N353="","Score it so it can be ranked against capacity","")),IF($R353&lt;&gt;"","Build held: "&amp;$R353,"In build, not yet through test"),IF($R353&lt;&gt;"","Not ready to scale: "&amp;$R353,"Monitoring and third-party review not yet signed off"),IF($Q353="Y","","Live without a measured baseline to judge it against")))</f>
        <v/>
      </c>
      <c r="AJ353" s="65" t="str">
        <f aca="false">IF($Y353="","",INDEX(StageForum,$Y353))</f>
        <v/>
      </c>
      <c r="AK353" s="65" t="str">
        <f aca="false">IF($Y353="","",IF(OR($X353="Delivery",$X353="Value"),"Committed",IF($N353&lt;&gt;"","Candidate","")))</f>
        <v/>
      </c>
      <c r="AL353" s="65" t="str">
        <f aca="false">IF($AK353&lt;&gt;"Candidate","",COUNTIFS($AK$2:$AK$501,"Candidate",$N$2:$N$501,"&gt;"&amp;$N353)+COUNTIFS($AK$2:$AK$501,"Candidate",$N$2:$N$501,$N353,$A$2:$A$501,"&lt;"&amp;$A353)+1)</f>
        <v/>
      </c>
      <c r="AM353" s="65" t="str">
        <f aca="false">IF($AL353="","",SUMIFS($M$2:$M$501,$AK$2:$AK$501,"Candidate",$AL$2:$AL$501,"&lt;="&amp;$AL353))</f>
        <v/>
      </c>
      <c r="AN353" s="65" t="str">
        <f aca="false">IF($AL353="","",IF($AM353&lt;=CapacityOpen,"Fits","Below line"))</f>
        <v/>
      </c>
      <c r="AO353" s="65" t="str">
        <f aca="false">IF($A353="","",IF($X353="Closed","",IF($X353="Unmapped","Warning",IF(OR($AB353="Overdue",$V353="Y",$AH353="Critical"),"Critical",IF(OR($AB353="At risk",$AC353="Stale",$AG353="Over"),"Warning","")))))</f>
        <v/>
      </c>
      <c r="AP353" s="65" t="str">
        <f aca="false">IF($AO353="","",IF($AO353="Critical",3000,2000)-IF($Z353="",0,$Z353)+ROW()/100000)</f>
        <v/>
      </c>
      <c r="AQ353" s="65" t="str">
        <f aca="false">IF($AO353="","",IF($X353="Unmapped","Status '"&amp;$C353&amp;"' is not in the Config map",IF($V353="Y","Flagged in Jira",IF($AB353="Overdue",-$Z353&amp;" days past its "&amp;$X353&amp;" target",IF($AH353="Critical",$AI353,IF($AB353="At risk","Target in "&amp;$Z353&amp;" days",IF($AC353="Stale","No update in "&amp;$AA353&amp;" days","Past its "&amp;$AE353&amp;"-day tier window")))))))</f>
        <v/>
      </c>
      <c r="AR353" s="65" t="str">
        <f aca="false">IF($AO353="","","draft Jira update for "&amp;$A353)</f>
        <v/>
      </c>
      <c r="AS353" s="65" t="str">
        <f aca="false">IF($A353="","",HYPERLINK(JiraSite&amp;"/browse/"&amp;$A353,"open"))</f>
        <v/>
      </c>
      <c r="AT353" s="65" t="str">
        <f aca="false">IF($Y353="","",$Y353*1000+ROW())</f>
        <v/>
      </c>
      <c r="AU353" s="65" t="str">
        <f aca="false">IF(AND($A353&lt;&gt;"",$G353&gt;=WeekStart),$G353+ROW()/100000,"")</f>
        <v/>
      </c>
      <c r="AV353" s="65" t="str">
        <f aca="false">IF($A353="","",IF(OR(AND($S353&lt;&gt;"",$S353&gt;=WeekStart),AND($U353&lt;&gt;"",$U353&gt;=WeekStart)),MAX($S353,$U353)+ROW()/100000,""))</f>
        <v/>
      </c>
      <c r="AW353" s="65" t="str">
        <f aca="false">IF($AV353="","",IF($T353&lt;&gt;"",$T353,IF($X353="Closed","Closed","Accepted to "&amp;$X353)))</f>
        <v/>
      </c>
      <c r="AX353" s="65" t="str">
        <f aca="false">IF(AND($Y353&lt;&gt;"",$R353&lt;&gt;""),$AF353+ROW()/100000,"")</f>
        <v/>
      </c>
      <c r="AY353" s="65" t="str">
        <f aca="false">IF(AND($Y353&lt;&gt;"",OR($AB353="Overdue",AND($AH353="Critical",$R353&lt;&gt;""))),$AF353+ROW()/100000,"")</f>
        <v/>
      </c>
      <c r="AZ353" s="65" t="str">
        <f aca="false">IF($AH353="Critical",$AF353+ROW()/100000,"")</f>
        <v/>
      </c>
    </row>
    <row r="354" customFormat="false" ht="15" hidden="false" customHeight="false" outlineLevel="0" collapsed="false">
      <c r="A354" s="28"/>
      <c r="B354" s="28"/>
      <c r="C354" s="28"/>
      <c r="D354" s="28"/>
      <c r="E354" s="28"/>
      <c r="F354" s="28"/>
      <c r="G354" s="63"/>
      <c r="H354" s="63"/>
      <c r="I354" s="63"/>
      <c r="J354" s="28"/>
      <c r="K354" s="28"/>
      <c r="L354" s="28"/>
      <c r="M354" s="28"/>
      <c r="N354" s="28"/>
      <c r="O354" s="64"/>
      <c r="P354" s="64"/>
      <c r="Q354" s="64"/>
      <c r="R354" s="28"/>
      <c r="S354" s="63"/>
      <c r="T354" s="64"/>
      <c r="U354" s="63"/>
      <c r="V354" s="64"/>
      <c r="W354" s="28"/>
      <c r="X354" s="65" t="str">
        <f aca="false">IF($A354="","",IF(OR($T354&lt;&gt;"",$U354&lt;&gt;""),"Closed",IFERROR(INDEX(MapStage,MATCH($C354,MapStatus,0)),"Unmapped")))</f>
        <v/>
      </c>
      <c r="Y354" s="65" t="str">
        <f aca="false">IF(OR($X354="",$X354="Closed",$X354="Unmapped"),"",MATCH($X354,StageName,0))</f>
        <v/>
      </c>
      <c r="Z354" s="65" t="str">
        <f aca="false">IF(OR($Y354="",$I354=""),"",$I354-AsOf)</f>
        <v/>
      </c>
      <c r="AA354" s="65" t="str">
        <f aca="false">IF($A354="","",AsOf-$H354)</f>
        <v/>
      </c>
      <c r="AB354" s="65" t="str">
        <f aca="false">IF($A354="","",IF($X354="Closed","Closed",IF($X354="Unmapped","Unmapped",IF($I354="","No target",IF($Z354&lt;0,"Overdue",IF($Z354&lt;=INDEX(StageWindow,$Y354),"At risk","On track"))))))</f>
        <v/>
      </c>
      <c r="AC354" s="65" t="str">
        <f aca="false">IF($Y354="","",IF($AA354&gt;2*INDEX(StageStale,$Y354),"Stale",IF($AA354&gt;INDEX(StageStale,$Y354),"Aging","Fresh")))</f>
        <v/>
      </c>
      <c r="AD354" s="65" t="str">
        <f aca="false">IF($A354="","",IF(OR(ISNUMBER(SEARCH("Reg report",$J354)),ISNUMBER(SEARCH("No human review",$J354)),COUNTIF(TierFuncs,$D354)&gt;0),"High",IF(OR(TRIM($J354)&lt;&gt;"",ISNUMBER(SEARCH("revenue",$K354))),"Medium","Low")))</f>
        <v/>
      </c>
      <c r="AE354" s="65" t="str">
        <f aca="false">IF($A354="","",INDEX(TierDays,MATCH($AD354,TierName,0)))</f>
        <v/>
      </c>
      <c r="AF354" s="65" t="str">
        <f aca="false">IF($A354="","",AsOf-$G354)</f>
        <v/>
      </c>
      <c r="AG354" s="65" t="str">
        <f aca="false">IF($Y354="","",IF($Y354&lt;=5,IF($AF354&gt;$AE354,"Over","Inside"),"Past approval"))</f>
        <v/>
      </c>
      <c r="AH354" s="65" t="str">
        <f aca="false">IF($Y354="","",CHOOSE($Y354,IF(OR(TRIM($F354)="",ISNUMBER(SEARCH("not named",$F354))),"Critical","Good"),IF($O354&lt;&gt;"Y","Critical",IF($Q354&lt;&gt;"Y","Warning","Good")),IF($P354="","Critical",IF($P354="partial","Warning",IF($P354="ready","Good","Critical"))),IF($R354&lt;&gt;"","Critical","Warning"),IF($L354="","Critical",IF($N354="","Warning","Good")),IF($R354&lt;&gt;"","Critical","Warning"),IF($R354&lt;&gt;"","Critical","Warning"),IF($Q354="Y","Good","Critical")))</f>
        <v/>
      </c>
      <c r="AI354" s="65" t="str">
        <f aca="false">IF($Y354="","",CHOOSE($Y354,IF(OR(TRIM($F354)="",ISNUMBER(SEARCH("not named",$F354))),"Name a sponsor accountable for the value",""),IF($O354&lt;&gt;"Y","State the success metric and the stop condition",IF($Q354&lt;&gt;"Y","Set the baseline the benefit will be measured against","")),IF($P354="","Assess data readiness and regulatory impact",IF($P354="partial","Close the known data gaps",IF($P354="ready","","Data is not available; reshape or park"))),IF($R354&lt;&gt;"",IF(OR(ISNUMBER(SEARCH("mrm",$R354)),ISNUMBER(SEARCH("model",$R354)),ISNUMBER(SEARCH("risk",$R354)),ISNUMBER(SEARCH("legal",$R354)),ISNUMBER(SEARCH("complian",$R354))),"Awaiting ","Held at the design gate: ")&amp;$R354,"Map the governance framework for its tier"),IF($L354="","Size the annual benefit",IF($N354="","Score it so it can be ranked against capacity","")),IF($R354&lt;&gt;"","Build held: "&amp;$R354,"In build, not yet through test"),IF($R354&lt;&gt;"","Not ready to scale: "&amp;$R354,"Monitoring and third-party review not yet signed off"),IF($Q354="Y","","Live without a measured baseline to judge it against")))</f>
        <v/>
      </c>
      <c r="AJ354" s="65" t="str">
        <f aca="false">IF($Y354="","",INDEX(StageForum,$Y354))</f>
        <v/>
      </c>
      <c r="AK354" s="65" t="str">
        <f aca="false">IF($Y354="","",IF(OR($X354="Delivery",$X354="Value"),"Committed",IF($N354&lt;&gt;"","Candidate","")))</f>
        <v/>
      </c>
      <c r="AL354" s="65" t="str">
        <f aca="false">IF($AK354&lt;&gt;"Candidate","",COUNTIFS($AK$2:$AK$501,"Candidate",$N$2:$N$501,"&gt;"&amp;$N354)+COUNTIFS($AK$2:$AK$501,"Candidate",$N$2:$N$501,$N354,$A$2:$A$501,"&lt;"&amp;$A354)+1)</f>
        <v/>
      </c>
      <c r="AM354" s="65" t="str">
        <f aca="false">IF($AL354="","",SUMIFS($M$2:$M$501,$AK$2:$AK$501,"Candidate",$AL$2:$AL$501,"&lt;="&amp;$AL354))</f>
        <v/>
      </c>
      <c r="AN354" s="65" t="str">
        <f aca="false">IF($AL354="","",IF($AM354&lt;=CapacityOpen,"Fits","Below line"))</f>
        <v/>
      </c>
      <c r="AO354" s="65" t="str">
        <f aca="false">IF($A354="","",IF($X354="Closed","",IF($X354="Unmapped","Warning",IF(OR($AB354="Overdue",$V354="Y",$AH354="Critical"),"Critical",IF(OR($AB354="At risk",$AC354="Stale",$AG354="Over"),"Warning","")))))</f>
        <v/>
      </c>
      <c r="AP354" s="65" t="str">
        <f aca="false">IF($AO354="","",IF($AO354="Critical",3000,2000)-IF($Z354="",0,$Z354)+ROW()/100000)</f>
        <v/>
      </c>
      <c r="AQ354" s="65" t="str">
        <f aca="false">IF($AO354="","",IF($X354="Unmapped","Status '"&amp;$C354&amp;"' is not in the Config map",IF($V354="Y","Flagged in Jira",IF($AB354="Overdue",-$Z354&amp;" days past its "&amp;$X354&amp;" target",IF($AH354="Critical",$AI354,IF($AB354="At risk","Target in "&amp;$Z354&amp;" days",IF($AC354="Stale","No update in "&amp;$AA354&amp;" days","Past its "&amp;$AE354&amp;"-day tier window")))))))</f>
        <v/>
      </c>
      <c r="AR354" s="65" t="str">
        <f aca="false">IF($AO354="","","draft Jira update for "&amp;$A354)</f>
        <v/>
      </c>
      <c r="AS354" s="65" t="str">
        <f aca="false">IF($A354="","",HYPERLINK(JiraSite&amp;"/browse/"&amp;$A354,"open"))</f>
        <v/>
      </c>
      <c r="AT354" s="65" t="str">
        <f aca="false">IF($Y354="","",$Y354*1000+ROW())</f>
        <v/>
      </c>
      <c r="AU354" s="65" t="str">
        <f aca="false">IF(AND($A354&lt;&gt;"",$G354&gt;=WeekStart),$G354+ROW()/100000,"")</f>
        <v/>
      </c>
      <c r="AV354" s="65" t="str">
        <f aca="false">IF($A354="","",IF(OR(AND($S354&lt;&gt;"",$S354&gt;=WeekStart),AND($U354&lt;&gt;"",$U354&gt;=WeekStart)),MAX($S354,$U354)+ROW()/100000,""))</f>
        <v/>
      </c>
      <c r="AW354" s="65" t="str">
        <f aca="false">IF($AV354="","",IF($T354&lt;&gt;"",$T354,IF($X354="Closed","Closed","Accepted to "&amp;$X354)))</f>
        <v/>
      </c>
      <c r="AX354" s="65" t="str">
        <f aca="false">IF(AND($Y354&lt;&gt;"",$R354&lt;&gt;""),$AF354+ROW()/100000,"")</f>
        <v/>
      </c>
      <c r="AY354" s="65" t="str">
        <f aca="false">IF(AND($Y354&lt;&gt;"",OR($AB354="Overdue",AND($AH354="Critical",$R354&lt;&gt;""))),$AF354+ROW()/100000,"")</f>
        <v/>
      </c>
      <c r="AZ354" s="65" t="str">
        <f aca="false">IF($AH354="Critical",$AF354+ROW()/100000,"")</f>
        <v/>
      </c>
    </row>
    <row r="355" customFormat="false" ht="15" hidden="false" customHeight="false" outlineLevel="0" collapsed="false">
      <c r="A355" s="28"/>
      <c r="B355" s="28"/>
      <c r="C355" s="28"/>
      <c r="D355" s="28"/>
      <c r="E355" s="28"/>
      <c r="F355" s="28"/>
      <c r="G355" s="63"/>
      <c r="H355" s="63"/>
      <c r="I355" s="63"/>
      <c r="J355" s="28"/>
      <c r="K355" s="28"/>
      <c r="L355" s="28"/>
      <c r="M355" s="28"/>
      <c r="N355" s="28"/>
      <c r="O355" s="64"/>
      <c r="P355" s="64"/>
      <c r="Q355" s="64"/>
      <c r="R355" s="28"/>
      <c r="S355" s="63"/>
      <c r="T355" s="64"/>
      <c r="U355" s="63"/>
      <c r="V355" s="64"/>
      <c r="W355" s="28"/>
      <c r="X355" s="65" t="str">
        <f aca="false">IF($A355="","",IF(OR($T355&lt;&gt;"",$U355&lt;&gt;""),"Closed",IFERROR(INDEX(MapStage,MATCH($C355,MapStatus,0)),"Unmapped")))</f>
        <v/>
      </c>
      <c r="Y355" s="65" t="str">
        <f aca="false">IF(OR($X355="",$X355="Closed",$X355="Unmapped"),"",MATCH($X355,StageName,0))</f>
        <v/>
      </c>
      <c r="Z355" s="65" t="str">
        <f aca="false">IF(OR($Y355="",$I355=""),"",$I355-AsOf)</f>
        <v/>
      </c>
      <c r="AA355" s="65" t="str">
        <f aca="false">IF($A355="","",AsOf-$H355)</f>
        <v/>
      </c>
      <c r="AB355" s="65" t="str">
        <f aca="false">IF($A355="","",IF($X355="Closed","Closed",IF($X355="Unmapped","Unmapped",IF($I355="","No target",IF($Z355&lt;0,"Overdue",IF($Z355&lt;=INDEX(StageWindow,$Y355),"At risk","On track"))))))</f>
        <v/>
      </c>
      <c r="AC355" s="65" t="str">
        <f aca="false">IF($Y355="","",IF($AA355&gt;2*INDEX(StageStale,$Y355),"Stale",IF($AA355&gt;INDEX(StageStale,$Y355),"Aging","Fresh")))</f>
        <v/>
      </c>
      <c r="AD355" s="65" t="str">
        <f aca="false">IF($A355="","",IF(OR(ISNUMBER(SEARCH("Reg report",$J355)),ISNUMBER(SEARCH("No human review",$J355)),COUNTIF(TierFuncs,$D355)&gt;0),"High",IF(OR(TRIM($J355)&lt;&gt;"",ISNUMBER(SEARCH("revenue",$K355))),"Medium","Low")))</f>
        <v/>
      </c>
      <c r="AE355" s="65" t="str">
        <f aca="false">IF($A355="","",INDEX(TierDays,MATCH($AD355,TierName,0)))</f>
        <v/>
      </c>
      <c r="AF355" s="65" t="str">
        <f aca="false">IF($A355="","",AsOf-$G355)</f>
        <v/>
      </c>
      <c r="AG355" s="65" t="str">
        <f aca="false">IF($Y355="","",IF($Y355&lt;=5,IF($AF355&gt;$AE355,"Over","Inside"),"Past approval"))</f>
        <v/>
      </c>
      <c r="AH355" s="65" t="str">
        <f aca="false">IF($Y355="","",CHOOSE($Y355,IF(OR(TRIM($F355)="",ISNUMBER(SEARCH("not named",$F355))),"Critical","Good"),IF($O355&lt;&gt;"Y","Critical",IF($Q355&lt;&gt;"Y","Warning","Good")),IF($P355="","Critical",IF($P355="partial","Warning",IF($P355="ready","Good","Critical"))),IF($R355&lt;&gt;"","Critical","Warning"),IF($L355="","Critical",IF($N355="","Warning","Good")),IF($R355&lt;&gt;"","Critical","Warning"),IF($R355&lt;&gt;"","Critical","Warning"),IF($Q355="Y","Good","Critical")))</f>
        <v/>
      </c>
      <c r="AI355" s="65" t="str">
        <f aca="false">IF($Y355="","",CHOOSE($Y355,IF(OR(TRIM($F355)="",ISNUMBER(SEARCH("not named",$F355))),"Name a sponsor accountable for the value",""),IF($O355&lt;&gt;"Y","State the success metric and the stop condition",IF($Q355&lt;&gt;"Y","Set the baseline the benefit will be measured against","")),IF($P355="","Assess data readiness and regulatory impact",IF($P355="partial","Close the known data gaps",IF($P355="ready","","Data is not available; reshape or park"))),IF($R355&lt;&gt;"",IF(OR(ISNUMBER(SEARCH("mrm",$R355)),ISNUMBER(SEARCH("model",$R355)),ISNUMBER(SEARCH("risk",$R355)),ISNUMBER(SEARCH("legal",$R355)),ISNUMBER(SEARCH("complian",$R355))),"Awaiting ","Held at the design gate: ")&amp;$R355,"Map the governance framework for its tier"),IF($L355="","Size the annual benefit",IF($N355="","Score it so it can be ranked against capacity","")),IF($R355&lt;&gt;"","Build held: "&amp;$R355,"In build, not yet through test"),IF($R355&lt;&gt;"","Not ready to scale: "&amp;$R355,"Monitoring and third-party review not yet signed off"),IF($Q355="Y","","Live without a measured baseline to judge it against")))</f>
        <v/>
      </c>
      <c r="AJ355" s="65" t="str">
        <f aca="false">IF($Y355="","",INDEX(StageForum,$Y355))</f>
        <v/>
      </c>
      <c r="AK355" s="65" t="str">
        <f aca="false">IF($Y355="","",IF(OR($X355="Delivery",$X355="Value"),"Committed",IF($N355&lt;&gt;"","Candidate","")))</f>
        <v/>
      </c>
      <c r="AL355" s="65" t="str">
        <f aca="false">IF($AK355&lt;&gt;"Candidate","",COUNTIFS($AK$2:$AK$501,"Candidate",$N$2:$N$501,"&gt;"&amp;$N355)+COUNTIFS($AK$2:$AK$501,"Candidate",$N$2:$N$501,$N355,$A$2:$A$501,"&lt;"&amp;$A355)+1)</f>
        <v/>
      </c>
      <c r="AM355" s="65" t="str">
        <f aca="false">IF($AL355="","",SUMIFS($M$2:$M$501,$AK$2:$AK$501,"Candidate",$AL$2:$AL$501,"&lt;="&amp;$AL355))</f>
        <v/>
      </c>
      <c r="AN355" s="65" t="str">
        <f aca="false">IF($AL355="","",IF($AM355&lt;=CapacityOpen,"Fits","Below line"))</f>
        <v/>
      </c>
      <c r="AO355" s="65" t="str">
        <f aca="false">IF($A355="","",IF($X355="Closed","",IF($X355="Unmapped","Warning",IF(OR($AB355="Overdue",$V355="Y",$AH355="Critical"),"Critical",IF(OR($AB355="At risk",$AC355="Stale",$AG355="Over"),"Warning","")))))</f>
        <v/>
      </c>
      <c r="AP355" s="65" t="str">
        <f aca="false">IF($AO355="","",IF($AO355="Critical",3000,2000)-IF($Z355="",0,$Z355)+ROW()/100000)</f>
        <v/>
      </c>
      <c r="AQ355" s="65" t="str">
        <f aca="false">IF($AO355="","",IF($X355="Unmapped","Status '"&amp;$C355&amp;"' is not in the Config map",IF($V355="Y","Flagged in Jira",IF($AB355="Overdue",-$Z355&amp;" days past its "&amp;$X355&amp;" target",IF($AH355="Critical",$AI355,IF($AB355="At risk","Target in "&amp;$Z355&amp;" days",IF($AC355="Stale","No update in "&amp;$AA355&amp;" days","Past its "&amp;$AE355&amp;"-day tier window")))))))</f>
        <v/>
      </c>
      <c r="AR355" s="65" t="str">
        <f aca="false">IF($AO355="","","draft Jira update for "&amp;$A355)</f>
        <v/>
      </c>
      <c r="AS355" s="65" t="str">
        <f aca="false">IF($A355="","",HYPERLINK(JiraSite&amp;"/browse/"&amp;$A355,"open"))</f>
        <v/>
      </c>
      <c r="AT355" s="65" t="str">
        <f aca="false">IF($Y355="","",$Y355*1000+ROW())</f>
        <v/>
      </c>
      <c r="AU355" s="65" t="str">
        <f aca="false">IF(AND($A355&lt;&gt;"",$G355&gt;=WeekStart),$G355+ROW()/100000,"")</f>
        <v/>
      </c>
      <c r="AV355" s="65" t="str">
        <f aca="false">IF($A355="","",IF(OR(AND($S355&lt;&gt;"",$S355&gt;=WeekStart),AND($U355&lt;&gt;"",$U355&gt;=WeekStart)),MAX($S355,$U355)+ROW()/100000,""))</f>
        <v/>
      </c>
      <c r="AW355" s="65" t="str">
        <f aca="false">IF($AV355="","",IF($T355&lt;&gt;"",$T355,IF($X355="Closed","Closed","Accepted to "&amp;$X355)))</f>
        <v/>
      </c>
      <c r="AX355" s="65" t="str">
        <f aca="false">IF(AND($Y355&lt;&gt;"",$R355&lt;&gt;""),$AF355+ROW()/100000,"")</f>
        <v/>
      </c>
      <c r="AY355" s="65" t="str">
        <f aca="false">IF(AND($Y355&lt;&gt;"",OR($AB355="Overdue",AND($AH355="Critical",$R355&lt;&gt;""))),$AF355+ROW()/100000,"")</f>
        <v/>
      </c>
      <c r="AZ355" s="65" t="str">
        <f aca="false">IF($AH355="Critical",$AF355+ROW()/100000,"")</f>
        <v/>
      </c>
    </row>
    <row r="356" customFormat="false" ht="15" hidden="false" customHeight="false" outlineLevel="0" collapsed="false">
      <c r="A356" s="28"/>
      <c r="B356" s="28"/>
      <c r="C356" s="28"/>
      <c r="D356" s="28"/>
      <c r="E356" s="28"/>
      <c r="F356" s="28"/>
      <c r="G356" s="63"/>
      <c r="H356" s="63"/>
      <c r="I356" s="63"/>
      <c r="J356" s="28"/>
      <c r="K356" s="28"/>
      <c r="L356" s="28"/>
      <c r="M356" s="28"/>
      <c r="N356" s="28"/>
      <c r="O356" s="64"/>
      <c r="P356" s="64"/>
      <c r="Q356" s="64"/>
      <c r="R356" s="28"/>
      <c r="S356" s="63"/>
      <c r="T356" s="64"/>
      <c r="U356" s="63"/>
      <c r="V356" s="64"/>
      <c r="W356" s="28"/>
      <c r="X356" s="65" t="str">
        <f aca="false">IF($A356="","",IF(OR($T356&lt;&gt;"",$U356&lt;&gt;""),"Closed",IFERROR(INDEX(MapStage,MATCH($C356,MapStatus,0)),"Unmapped")))</f>
        <v/>
      </c>
      <c r="Y356" s="65" t="str">
        <f aca="false">IF(OR($X356="",$X356="Closed",$X356="Unmapped"),"",MATCH($X356,StageName,0))</f>
        <v/>
      </c>
      <c r="Z356" s="65" t="str">
        <f aca="false">IF(OR($Y356="",$I356=""),"",$I356-AsOf)</f>
        <v/>
      </c>
      <c r="AA356" s="65" t="str">
        <f aca="false">IF($A356="","",AsOf-$H356)</f>
        <v/>
      </c>
      <c r="AB356" s="65" t="str">
        <f aca="false">IF($A356="","",IF($X356="Closed","Closed",IF($X356="Unmapped","Unmapped",IF($I356="","No target",IF($Z356&lt;0,"Overdue",IF($Z356&lt;=INDEX(StageWindow,$Y356),"At risk","On track"))))))</f>
        <v/>
      </c>
      <c r="AC356" s="65" t="str">
        <f aca="false">IF($Y356="","",IF($AA356&gt;2*INDEX(StageStale,$Y356),"Stale",IF($AA356&gt;INDEX(StageStale,$Y356),"Aging","Fresh")))</f>
        <v/>
      </c>
      <c r="AD356" s="65" t="str">
        <f aca="false">IF($A356="","",IF(OR(ISNUMBER(SEARCH("Reg report",$J356)),ISNUMBER(SEARCH("No human review",$J356)),COUNTIF(TierFuncs,$D356)&gt;0),"High",IF(OR(TRIM($J356)&lt;&gt;"",ISNUMBER(SEARCH("revenue",$K356))),"Medium","Low")))</f>
        <v/>
      </c>
      <c r="AE356" s="65" t="str">
        <f aca="false">IF($A356="","",INDEX(TierDays,MATCH($AD356,TierName,0)))</f>
        <v/>
      </c>
      <c r="AF356" s="65" t="str">
        <f aca="false">IF($A356="","",AsOf-$G356)</f>
        <v/>
      </c>
      <c r="AG356" s="65" t="str">
        <f aca="false">IF($Y356="","",IF($Y356&lt;=5,IF($AF356&gt;$AE356,"Over","Inside"),"Past approval"))</f>
        <v/>
      </c>
      <c r="AH356" s="65" t="str">
        <f aca="false">IF($Y356="","",CHOOSE($Y356,IF(OR(TRIM($F356)="",ISNUMBER(SEARCH("not named",$F356))),"Critical","Good"),IF($O356&lt;&gt;"Y","Critical",IF($Q356&lt;&gt;"Y","Warning","Good")),IF($P356="","Critical",IF($P356="partial","Warning",IF($P356="ready","Good","Critical"))),IF($R356&lt;&gt;"","Critical","Warning"),IF($L356="","Critical",IF($N356="","Warning","Good")),IF($R356&lt;&gt;"","Critical","Warning"),IF($R356&lt;&gt;"","Critical","Warning"),IF($Q356="Y","Good","Critical")))</f>
        <v/>
      </c>
      <c r="AI356" s="65" t="str">
        <f aca="false">IF($Y356="","",CHOOSE($Y356,IF(OR(TRIM($F356)="",ISNUMBER(SEARCH("not named",$F356))),"Name a sponsor accountable for the value",""),IF($O356&lt;&gt;"Y","State the success metric and the stop condition",IF($Q356&lt;&gt;"Y","Set the baseline the benefit will be measured against","")),IF($P356="","Assess data readiness and regulatory impact",IF($P356="partial","Close the known data gaps",IF($P356="ready","","Data is not available; reshape or park"))),IF($R356&lt;&gt;"",IF(OR(ISNUMBER(SEARCH("mrm",$R356)),ISNUMBER(SEARCH("model",$R356)),ISNUMBER(SEARCH("risk",$R356)),ISNUMBER(SEARCH("legal",$R356)),ISNUMBER(SEARCH("complian",$R356))),"Awaiting ","Held at the design gate: ")&amp;$R356,"Map the governance framework for its tier"),IF($L356="","Size the annual benefit",IF($N356="","Score it so it can be ranked against capacity","")),IF($R356&lt;&gt;"","Build held: "&amp;$R356,"In build, not yet through test"),IF($R356&lt;&gt;"","Not ready to scale: "&amp;$R356,"Monitoring and third-party review not yet signed off"),IF($Q356="Y","","Live without a measured baseline to judge it against")))</f>
        <v/>
      </c>
      <c r="AJ356" s="65" t="str">
        <f aca="false">IF($Y356="","",INDEX(StageForum,$Y356))</f>
        <v/>
      </c>
      <c r="AK356" s="65" t="str">
        <f aca="false">IF($Y356="","",IF(OR($X356="Delivery",$X356="Value"),"Committed",IF($N356&lt;&gt;"","Candidate","")))</f>
        <v/>
      </c>
      <c r="AL356" s="65" t="str">
        <f aca="false">IF($AK356&lt;&gt;"Candidate","",COUNTIFS($AK$2:$AK$501,"Candidate",$N$2:$N$501,"&gt;"&amp;$N356)+COUNTIFS($AK$2:$AK$501,"Candidate",$N$2:$N$501,$N356,$A$2:$A$501,"&lt;"&amp;$A356)+1)</f>
        <v/>
      </c>
      <c r="AM356" s="65" t="str">
        <f aca="false">IF($AL356="","",SUMIFS($M$2:$M$501,$AK$2:$AK$501,"Candidate",$AL$2:$AL$501,"&lt;="&amp;$AL356))</f>
        <v/>
      </c>
      <c r="AN356" s="65" t="str">
        <f aca="false">IF($AL356="","",IF($AM356&lt;=CapacityOpen,"Fits","Below line"))</f>
        <v/>
      </c>
      <c r="AO356" s="65" t="str">
        <f aca="false">IF($A356="","",IF($X356="Closed","",IF($X356="Unmapped","Warning",IF(OR($AB356="Overdue",$V356="Y",$AH356="Critical"),"Critical",IF(OR($AB356="At risk",$AC356="Stale",$AG356="Over"),"Warning","")))))</f>
        <v/>
      </c>
      <c r="AP356" s="65" t="str">
        <f aca="false">IF($AO356="","",IF($AO356="Critical",3000,2000)-IF($Z356="",0,$Z356)+ROW()/100000)</f>
        <v/>
      </c>
      <c r="AQ356" s="65" t="str">
        <f aca="false">IF($AO356="","",IF($X356="Unmapped","Status '"&amp;$C356&amp;"' is not in the Config map",IF($V356="Y","Flagged in Jira",IF($AB356="Overdue",-$Z356&amp;" days past its "&amp;$X356&amp;" target",IF($AH356="Critical",$AI356,IF($AB356="At risk","Target in "&amp;$Z356&amp;" days",IF($AC356="Stale","No update in "&amp;$AA356&amp;" days","Past its "&amp;$AE356&amp;"-day tier window")))))))</f>
        <v/>
      </c>
      <c r="AR356" s="65" t="str">
        <f aca="false">IF($AO356="","","draft Jira update for "&amp;$A356)</f>
        <v/>
      </c>
      <c r="AS356" s="65" t="str">
        <f aca="false">IF($A356="","",HYPERLINK(JiraSite&amp;"/browse/"&amp;$A356,"open"))</f>
        <v/>
      </c>
      <c r="AT356" s="65" t="str">
        <f aca="false">IF($Y356="","",$Y356*1000+ROW())</f>
        <v/>
      </c>
      <c r="AU356" s="65" t="str">
        <f aca="false">IF(AND($A356&lt;&gt;"",$G356&gt;=WeekStart),$G356+ROW()/100000,"")</f>
        <v/>
      </c>
      <c r="AV356" s="65" t="str">
        <f aca="false">IF($A356="","",IF(OR(AND($S356&lt;&gt;"",$S356&gt;=WeekStart),AND($U356&lt;&gt;"",$U356&gt;=WeekStart)),MAX($S356,$U356)+ROW()/100000,""))</f>
        <v/>
      </c>
      <c r="AW356" s="65" t="str">
        <f aca="false">IF($AV356="","",IF($T356&lt;&gt;"",$T356,IF($X356="Closed","Closed","Accepted to "&amp;$X356)))</f>
        <v/>
      </c>
      <c r="AX356" s="65" t="str">
        <f aca="false">IF(AND($Y356&lt;&gt;"",$R356&lt;&gt;""),$AF356+ROW()/100000,"")</f>
        <v/>
      </c>
      <c r="AY356" s="65" t="str">
        <f aca="false">IF(AND($Y356&lt;&gt;"",OR($AB356="Overdue",AND($AH356="Critical",$R356&lt;&gt;""))),$AF356+ROW()/100000,"")</f>
        <v/>
      </c>
      <c r="AZ356" s="65" t="str">
        <f aca="false">IF($AH356="Critical",$AF356+ROW()/100000,"")</f>
        <v/>
      </c>
    </row>
    <row r="357" customFormat="false" ht="15" hidden="false" customHeight="false" outlineLevel="0" collapsed="false">
      <c r="A357" s="28"/>
      <c r="B357" s="28"/>
      <c r="C357" s="28"/>
      <c r="D357" s="28"/>
      <c r="E357" s="28"/>
      <c r="F357" s="28"/>
      <c r="G357" s="63"/>
      <c r="H357" s="63"/>
      <c r="I357" s="63"/>
      <c r="J357" s="28"/>
      <c r="K357" s="28"/>
      <c r="L357" s="28"/>
      <c r="M357" s="28"/>
      <c r="N357" s="28"/>
      <c r="O357" s="64"/>
      <c r="P357" s="64"/>
      <c r="Q357" s="64"/>
      <c r="R357" s="28"/>
      <c r="S357" s="63"/>
      <c r="T357" s="64"/>
      <c r="U357" s="63"/>
      <c r="V357" s="64"/>
      <c r="W357" s="28"/>
      <c r="X357" s="65" t="str">
        <f aca="false">IF($A357="","",IF(OR($T357&lt;&gt;"",$U357&lt;&gt;""),"Closed",IFERROR(INDEX(MapStage,MATCH($C357,MapStatus,0)),"Unmapped")))</f>
        <v/>
      </c>
      <c r="Y357" s="65" t="str">
        <f aca="false">IF(OR($X357="",$X357="Closed",$X357="Unmapped"),"",MATCH($X357,StageName,0))</f>
        <v/>
      </c>
      <c r="Z357" s="65" t="str">
        <f aca="false">IF(OR($Y357="",$I357=""),"",$I357-AsOf)</f>
        <v/>
      </c>
      <c r="AA357" s="65" t="str">
        <f aca="false">IF($A357="","",AsOf-$H357)</f>
        <v/>
      </c>
      <c r="AB357" s="65" t="str">
        <f aca="false">IF($A357="","",IF($X357="Closed","Closed",IF($X357="Unmapped","Unmapped",IF($I357="","No target",IF($Z357&lt;0,"Overdue",IF($Z357&lt;=INDEX(StageWindow,$Y357),"At risk","On track"))))))</f>
        <v/>
      </c>
      <c r="AC357" s="65" t="str">
        <f aca="false">IF($Y357="","",IF($AA357&gt;2*INDEX(StageStale,$Y357),"Stale",IF($AA357&gt;INDEX(StageStale,$Y357),"Aging","Fresh")))</f>
        <v/>
      </c>
      <c r="AD357" s="65" t="str">
        <f aca="false">IF($A357="","",IF(OR(ISNUMBER(SEARCH("Reg report",$J357)),ISNUMBER(SEARCH("No human review",$J357)),COUNTIF(TierFuncs,$D357)&gt;0),"High",IF(OR(TRIM($J357)&lt;&gt;"",ISNUMBER(SEARCH("revenue",$K357))),"Medium","Low")))</f>
        <v/>
      </c>
      <c r="AE357" s="65" t="str">
        <f aca="false">IF($A357="","",INDEX(TierDays,MATCH($AD357,TierName,0)))</f>
        <v/>
      </c>
      <c r="AF357" s="65" t="str">
        <f aca="false">IF($A357="","",AsOf-$G357)</f>
        <v/>
      </c>
      <c r="AG357" s="65" t="str">
        <f aca="false">IF($Y357="","",IF($Y357&lt;=5,IF($AF357&gt;$AE357,"Over","Inside"),"Past approval"))</f>
        <v/>
      </c>
      <c r="AH357" s="65" t="str">
        <f aca="false">IF($Y357="","",CHOOSE($Y357,IF(OR(TRIM($F357)="",ISNUMBER(SEARCH("not named",$F357))),"Critical","Good"),IF($O357&lt;&gt;"Y","Critical",IF($Q357&lt;&gt;"Y","Warning","Good")),IF($P357="","Critical",IF($P357="partial","Warning",IF($P357="ready","Good","Critical"))),IF($R357&lt;&gt;"","Critical","Warning"),IF($L357="","Critical",IF($N357="","Warning","Good")),IF($R357&lt;&gt;"","Critical","Warning"),IF($R357&lt;&gt;"","Critical","Warning"),IF($Q357="Y","Good","Critical")))</f>
        <v/>
      </c>
      <c r="AI357" s="65" t="str">
        <f aca="false">IF($Y357="","",CHOOSE($Y357,IF(OR(TRIM($F357)="",ISNUMBER(SEARCH("not named",$F357))),"Name a sponsor accountable for the value",""),IF($O357&lt;&gt;"Y","State the success metric and the stop condition",IF($Q357&lt;&gt;"Y","Set the baseline the benefit will be measured against","")),IF($P357="","Assess data readiness and regulatory impact",IF($P357="partial","Close the known data gaps",IF($P357="ready","","Data is not available; reshape or park"))),IF($R357&lt;&gt;"",IF(OR(ISNUMBER(SEARCH("mrm",$R357)),ISNUMBER(SEARCH("model",$R357)),ISNUMBER(SEARCH("risk",$R357)),ISNUMBER(SEARCH("legal",$R357)),ISNUMBER(SEARCH("complian",$R357))),"Awaiting ","Held at the design gate: ")&amp;$R357,"Map the governance framework for its tier"),IF($L357="","Size the annual benefit",IF($N357="","Score it so it can be ranked against capacity","")),IF($R357&lt;&gt;"","Build held: "&amp;$R357,"In build, not yet through test"),IF($R357&lt;&gt;"","Not ready to scale: "&amp;$R357,"Monitoring and third-party review not yet signed off"),IF($Q357="Y","","Live without a measured baseline to judge it against")))</f>
        <v/>
      </c>
      <c r="AJ357" s="65" t="str">
        <f aca="false">IF($Y357="","",INDEX(StageForum,$Y357))</f>
        <v/>
      </c>
      <c r="AK357" s="65" t="str">
        <f aca="false">IF($Y357="","",IF(OR($X357="Delivery",$X357="Value"),"Committed",IF($N357&lt;&gt;"","Candidate","")))</f>
        <v/>
      </c>
      <c r="AL357" s="65" t="str">
        <f aca="false">IF($AK357&lt;&gt;"Candidate","",COUNTIFS($AK$2:$AK$501,"Candidate",$N$2:$N$501,"&gt;"&amp;$N357)+COUNTIFS($AK$2:$AK$501,"Candidate",$N$2:$N$501,$N357,$A$2:$A$501,"&lt;"&amp;$A357)+1)</f>
        <v/>
      </c>
      <c r="AM357" s="65" t="str">
        <f aca="false">IF($AL357="","",SUMIFS($M$2:$M$501,$AK$2:$AK$501,"Candidate",$AL$2:$AL$501,"&lt;="&amp;$AL357))</f>
        <v/>
      </c>
      <c r="AN357" s="65" t="str">
        <f aca="false">IF($AL357="","",IF($AM357&lt;=CapacityOpen,"Fits","Below line"))</f>
        <v/>
      </c>
      <c r="AO357" s="65" t="str">
        <f aca="false">IF($A357="","",IF($X357="Closed","",IF($X357="Unmapped","Warning",IF(OR($AB357="Overdue",$V357="Y",$AH357="Critical"),"Critical",IF(OR($AB357="At risk",$AC357="Stale",$AG357="Over"),"Warning","")))))</f>
        <v/>
      </c>
      <c r="AP357" s="65" t="str">
        <f aca="false">IF($AO357="","",IF($AO357="Critical",3000,2000)-IF($Z357="",0,$Z357)+ROW()/100000)</f>
        <v/>
      </c>
      <c r="AQ357" s="65" t="str">
        <f aca="false">IF($AO357="","",IF($X357="Unmapped","Status '"&amp;$C357&amp;"' is not in the Config map",IF($V357="Y","Flagged in Jira",IF($AB357="Overdue",-$Z357&amp;" days past its "&amp;$X357&amp;" target",IF($AH357="Critical",$AI357,IF($AB357="At risk","Target in "&amp;$Z357&amp;" days",IF($AC357="Stale","No update in "&amp;$AA357&amp;" days","Past its "&amp;$AE357&amp;"-day tier window")))))))</f>
        <v/>
      </c>
      <c r="AR357" s="65" t="str">
        <f aca="false">IF($AO357="","","draft Jira update for "&amp;$A357)</f>
        <v/>
      </c>
      <c r="AS357" s="65" t="str">
        <f aca="false">IF($A357="","",HYPERLINK(JiraSite&amp;"/browse/"&amp;$A357,"open"))</f>
        <v/>
      </c>
      <c r="AT357" s="65" t="str">
        <f aca="false">IF($Y357="","",$Y357*1000+ROW())</f>
        <v/>
      </c>
      <c r="AU357" s="65" t="str">
        <f aca="false">IF(AND($A357&lt;&gt;"",$G357&gt;=WeekStart),$G357+ROW()/100000,"")</f>
        <v/>
      </c>
      <c r="AV357" s="65" t="str">
        <f aca="false">IF($A357="","",IF(OR(AND($S357&lt;&gt;"",$S357&gt;=WeekStart),AND($U357&lt;&gt;"",$U357&gt;=WeekStart)),MAX($S357,$U357)+ROW()/100000,""))</f>
        <v/>
      </c>
      <c r="AW357" s="65" t="str">
        <f aca="false">IF($AV357="","",IF($T357&lt;&gt;"",$T357,IF($X357="Closed","Closed","Accepted to "&amp;$X357)))</f>
        <v/>
      </c>
      <c r="AX357" s="65" t="str">
        <f aca="false">IF(AND($Y357&lt;&gt;"",$R357&lt;&gt;""),$AF357+ROW()/100000,"")</f>
        <v/>
      </c>
      <c r="AY357" s="65" t="str">
        <f aca="false">IF(AND($Y357&lt;&gt;"",OR($AB357="Overdue",AND($AH357="Critical",$R357&lt;&gt;""))),$AF357+ROW()/100000,"")</f>
        <v/>
      </c>
      <c r="AZ357" s="65" t="str">
        <f aca="false">IF($AH357="Critical",$AF357+ROW()/100000,"")</f>
        <v/>
      </c>
    </row>
    <row r="358" customFormat="false" ht="15" hidden="false" customHeight="false" outlineLevel="0" collapsed="false">
      <c r="A358" s="28"/>
      <c r="B358" s="28"/>
      <c r="C358" s="28"/>
      <c r="D358" s="28"/>
      <c r="E358" s="28"/>
      <c r="F358" s="28"/>
      <c r="G358" s="63"/>
      <c r="H358" s="63"/>
      <c r="I358" s="63"/>
      <c r="J358" s="28"/>
      <c r="K358" s="28"/>
      <c r="L358" s="28"/>
      <c r="M358" s="28"/>
      <c r="N358" s="28"/>
      <c r="O358" s="64"/>
      <c r="P358" s="64"/>
      <c r="Q358" s="64"/>
      <c r="R358" s="28"/>
      <c r="S358" s="63"/>
      <c r="T358" s="64"/>
      <c r="U358" s="63"/>
      <c r="V358" s="64"/>
      <c r="W358" s="28"/>
      <c r="X358" s="65" t="str">
        <f aca="false">IF($A358="","",IF(OR($T358&lt;&gt;"",$U358&lt;&gt;""),"Closed",IFERROR(INDEX(MapStage,MATCH($C358,MapStatus,0)),"Unmapped")))</f>
        <v/>
      </c>
      <c r="Y358" s="65" t="str">
        <f aca="false">IF(OR($X358="",$X358="Closed",$X358="Unmapped"),"",MATCH($X358,StageName,0))</f>
        <v/>
      </c>
      <c r="Z358" s="65" t="str">
        <f aca="false">IF(OR($Y358="",$I358=""),"",$I358-AsOf)</f>
        <v/>
      </c>
      <c r="AA358" s="65" t="str">
        <f aca="false">IF($A358="","",AsOf-$H358)</f>
        <v/>
      </c>
      <c r="AB358" s="65" t="str">
        <f aca="false">IF($A358="","",IF($X358="Closed","Closed",IF($X358="Unmapped","Unmapped",IF($I358="","No target",IF($Z358&lt;0,"Overdue",IF($Z358&lt;=INDEX(StageWindow,$Y358),"At risk","On track"))))))</f>
        <v/>
      </c>
      <c r="AC358" s="65" t="str">
        <f aca="false">IF($Y358="","",IF($AA358&gt;2*INDEX(StageStale,$Y358),"Stale",IF($AA358&gt;INDEX(StageStale,$Y358),"Aging","Fresh")))</f>
        <v/>
      </c>
      <c r="AD358" s="65" t="str">
        <f aca="false">IF($A358="","",IF(OR(ISNUMBER(SEARCH("Reg report",$J358)),ISNUMBER(SEARCH("No human review",$J358)),COUNTIF(TierFuncs,$D358)&gt;0),"High",IF(OR(TRIM($J358)&lt;&gt;"",ISNUMBER(SEARCH("revenue",$K358))),"Medium","Low")))</f>
        <v/>
      </c>
      <c r="AE358" s="65" t="str">
        <f aca="false">IF($A358="","",INDEX(TierDays,MATCH($AD358,TierName,0)))</f>
        <v/>
      </c>
      <c r="AF358" s="65" t="str">
        <f aca="false">IF($A358="","",AsOf-$G358)</f>
        <v/>
      </c>
      <c r="AG358" s="65" t="str">
        <f aca="false">IF($Y358="","",IF($Y358&lt;=5,IF($AF358&gt;$AE358,"Over","Inside"),"Past approval"))</f>
        <v/>
      </c>
      <c r="AH358" s="65" t="str">
        <f aca="false">IF($Y358="","",CHOOSE($Y358,IF(OR(TRIM($F358)="",ISNUMBER(SEARCH("not named",$F358))),"Critical","Good"),IF($O358&lt;&gt;"Y","Critical",IF($Q358&lt;&gt;"Y","Warning","Good")),IF($P358="","Critical",IF($P358="partial","Warning",IF($P358="ready","Good","Critical"))),IF($R358&lt;&gt;"","Critical","Warning"),IF($L358="","Critical",IF($N358="","Warning","Good")),IF($R358&lt;&gt;"","Critical","Warning"),IF($R358&lt;&gt;"","Critical","Warning"),IF($Q358="Y","Good","Critical")))</f>
        <v/>
      </c>
      <c r="AI358" s="65" t="str">
        <f aca="false">IF($Y358="","",CHOOSE($Y358,IF(OR(TRIM($F358)="",ISNUMBER(SEARCH("not named",$F358))),"Name a sponsor accountable for the value",""),IF($O358&lt;&gt;"Y","State the success metric and the stop condition",IF($Q358&lt;&gt;"Y","Set the baseline the benefit will be measured against","")),IF($P358="","Assess data readiness and regulatory impact",IF($P358="partial","Close the known data gaps",IF($P358="ready","","Data is not available; reshape or park"))),IF($R358&lt;&gt;"",IF(OR(ISNUMBER(SEARCH("mrm",$R358)),ISNUMBER(SEARCH("model",$R358)),ISNUMBER(SEARCH("risk",$R358)),ISNUMBER(SEARCH("legal",$R358)),ISNUMBER(SEARCH("complian",$R358))),"Awaiting ","Held at the design gate: ")&amp;$R358,"Map the governance framework for its tier"),IF($L358="","Size the annual benefit",IF($N358="","Score it so it can be ranked against capacity","")),IF($R358&lt;&gt;"","Build held: "&amp;$R358,"In build, not yet through test"),IF($R358&lt;&gt;"","Not ready to scale: "&amp;$R358,"Monitoring and third-party review not yet signed off"),IF($Q358="Y","","Live without a measured baseline to judge it against")))</f>
        <v/>
      </c>
      <c r="AJ358" s="65" t="str">
        <f aca="false">IF($Y358="","",INDEX(StageForum,$Y358))</f>
        <v/>
      </c>
      <c r="AK358" s="65" t="str">
        <f aca="false">IF($Y358="","",IF(OR($X358="Delivery",$X358="Value"),"Committed",IF($N358&lt;&gt;"","Candidate","")))</f>
        <v/>
      </c>
      <c r="AL358" s="65" t="str">
        <f aca="false">IF($AK358&lt;&gt;"Candidate","",COUNTIFS($AK$2:$AK$501,"Candidate",$N$2:$N$501,"&gt;"&amp;$N358)+COUNTIFS($AK$2:$AK$501,"Candidate",$N$2:$N$501,$N358,$A$2:$A$501,"&lt;"&amp;$A358)+1)</f>
        <v/>
      </c>
      <c r="AM358" s="65" t="str">
        <f aca="false">IF($AL358="","",SUMIFS($M$2:$M$501,$AK$2:$AK$501,"Candidate",$AL$2:$AL$501,"&lt;="&amp;$AL358))</f>
        <v/>
      </c>
      <c r="AN358" s="65" t="str">
        <f aca="false">IF($AL358="","",IF($AM358&lt;=CapacityOpen,"Fits","Below line"))</f>
        <v/>
      </c>
      <c r="AO358" s="65" t="str">
        <f aca="false">IF($A358="","",IF($X358="Closed","",IF($X358="Unmapped","Warning",IF(OR($AB358="Overdue",$V358="Y",$AH358="Critical"),"Critical",IF(OR($AB358="At risk",$AC358="Stale",$AG358="Over"),"Warning","")))))</f>
        <v/>
      </c>
      <c r="AP358" s="65" t="str">
        <f aca="false">IF($AO358="","",IF($AO358="Critical",3000,2000)-IF($Z358="",0,$Z358)+ROW()/100000)</f>
        <v/>
      </c>
      <c r="AQ358" s="65" t="str">
        <f aca="false">IF($AO358="","",IF($X358="Unmapped","Status '"&amp;$C358&amp;"' is not in the Config map",IF($V358="Y","Flagged in Jira",IF($AB358="Overdue",-$Z358&amp;" days past its "&amp;$X358&amp;" target",IF($AH358="Critical",$AI358,IF($AB358="At risk","Target in "&amp;$Z358&amp;" days",IF($AC358="Stale","No update in "&amp;$AA358&amp;" days","Past its "&amp;$AE358&amp;"-day tier window")))))))</f>
        <v/>
      </c>
      <c r="AR358" s="65" t="str">
        <f aca="false">IF($AO358="","","draft Jira update for "&amp;$A358)</f>
        <v/>
      </c>
      <c r="AS358" s="65" t="str">
        <f aca="false">IF($A358="","",HYPERLINK(JiraSite&amp;"/browse/"&amp;$A358,"open"))</f>
        <v/>
      </c>
      <c r="AT358" s="65" t="str">
        <f aca="false">IF($Y358="","",$Y358*1000+ROW())</f>
        <v/>
      </c>
      <c r="AU358" s="65" t="str">
        <f aca="false">IF(AND($A358&lt;&gt;"",$G358&gt;=WeekStart),$G358+ROW()/100000,"")</f>
        <v/>
      </c>
      <c r="AV358" s="65" t="str">
        <f aca="false">IF($A358="","",IF(OR(AND($S358&lt;&gt;"",$S358&gt;=WeekStart),AND($U358&lt;&gt;"",$U358&gt;=WeekStart)),MAX($S358,$U358)+ROW()/100000,""))</f>
        <v/>
      </c>
      <c r="AW358" s="65" t="str">
        <f aca="false">IF($AV358="","",IF($T358&lt;&gt;"",$T358,IF($X358="Closed","Closed","Accepted to "&amp;$X358)))</f>
        <v/>
      </c>
      <c r="AX358" s="65" t="str">
        <f aca="false">IF(AND($Y358&lt;&gt;"",$R358&lt;&gt;""),$AF358+ROW()/100000,"")</f>
        <v/>
      </c>
      <c r="AY358" s="65" t="str">
        <f aca="false">IF(AND($Y358&lt;&gt;"",OR($AB358="Overdue",AND($AH358="Critical",$R358&lt;&gt;""))),$AF358+ROW()/100000,"")</f>
        <v/>
      </c>
      <c r="AZ358" s="65" t="str">
        <f aca="false">IF($AH358="Critical",$AF358+ROW()/100000,"")</f>
        <v/>
      </c>
    </row>
    <row r="359" customFormat="false" ht="15" hidden="false" customHeight="false" outlineLevel="0" collapsed="false">
      <c r="A359" s="28"/>
      <c r="B359" s="28"/>
      <c r="C359" s="28"/>
      <c r="D359" s="28"/>
      <c r="E359" s="28"/>
      <c r="F359" s="28"/>
      <c r="G359" s="63"/>
      <c r="H359" s="63"/>
      <c r="I359" s="63"/>
      <c r="J359" s="28"/>
      <c r="K359" s="28"/>
      <c r="L359" s="28"/>
      <c r="M359" s="28"/>
      <c r="N359" s="28"/>
      <c r="O359" s="64"/>
      <c r="P359" s="64"/>
      <c r="Q359" s="64"/>
      <c r="R359" s="28"/>
      <c r="S359" s="63"/>
      <c r="T359" s="64"/>
      <c r="U359" s="63"/>
      <c r="V359" s="64"/>
      <c r="W359" s="28"/>
      <c r="X359" s="65" t="str">
        <f aca="false">IF($A359="","",IF(OR($T359&lt;&gt;"",$U359&lt;&gt;""),"Closed",IFERROR(INDEX(MapStage,MATCH($C359,MapStatus,0)),"Unmapped")))</f>
        <v/>
      </c>
      <c r="Y359" s="65" t="str">
        <f aca="false">IF(OR($X359="",$X359="Closed",$X359="Unmapped"),"",MATCH($X359,StageName,0))</f>
        <v/>
      </c>
      <c r="Z359" s="65" t="str">
        <f aca="false">IF(OR($Y359="",$I359=""),"",$I359-AsOf)</f>
        <v/>
      </c>
      <c r="AA359" s="65" t="str">
        <f aca="false">IF($A359="","",AsOf-$H359)</f>
        <v/>
      </c>
      <c r="AB359" s="65" t="str">
        <f aca="false">IF($A359="","",IF($X359="Closed","Closed",IF($X359="Unmapped","Unmapped",IF($I359="","No target",IF($Z359&lt;0,"Overdue",IF($Z359&lt;=INDEX(StageWindow,$Y359),"At risk","On track"))))))</f>
        <v/>
      </c>
      <c r="AC359" s="65" t="str">
        <f aca="false">IF($Y359="","",IF($AA359&gt;2*INDEX(StageStale,$Y359),"Stale",IF($AA359&gt;INDEX(StageStale,$Y359),"Aging","Fresh")))</f>
        <v/>
      </c>
      <c r="AD359" s="65" t="str">
        <f aca="false">IF($A359="","",IF(OR(ISNUMBER(SEARCH("Reg report",$J359)),ISNUMBER(SEARCH("No human review",$J359)),COUNTIF(TierFuncs,$D359)&gt;0),"High",IF(OR(TRIM($J359)&lt;&gt;"",ISNUMBER(SEARCH("revenue",$K359))),"Medium","Low")))</f>
        <v/>
      </c>
      <c r="AE359" s="65" t="str">
        <f aca="false">IF($A359="","",INDEX(TierDays,MATCH($AD359,TierName,0)))</f>
        <v/>
      </c>
      <c r="AF359" s="65" t="str">
        <f aca="false">IF($A359="","",AsOf-$G359)</f>
        <v/>
      </c>
      <c r="AG359" s="65" t="str">
        <f aca="false">IF($Y359="","",IF($Y359&lt;=5,IF($AF359&gt;$AE359,"Over","Inside"),"Past approval"))</f>
        <v/>
      </c>
      <c r="AH359" s="65" t="str">
        <f aca="false">IF($Y359="","",CHOOSE($Y359,IF(OR(TRIM($F359)="",ISNUMBER(SEARCH("not named",$F359))),"Critical","Good"),IF($O359&lt;&gt;"Y","Critical",IF($Q359&lt;&gt;"Y","Warning","Good")),IF($P359="","Critical",IF($P359="partial","Warning",IF($P359="ready","Good","Critical"))),IF($R359&lt;&gt;"","Critical","Warning"),IF($L359="","Critical",IF($N359="","Warning","Good")),IF($R359&lt;&gt;"","Critical","Warning"),IF($R359&lt;&gt;"","Critical","Warning"),IF($Q359="Y","Good","Critical")))</f>
        <v/>
      </c>
      <c r="AI359" s="65" t="str">
        <f aca="false">IF($Y359="","",CHOOSE($Y359,IF(OR(TRIM($F359)="",ISNUMBER(SEARCH("not named",$F359))),"Name a sponsor accountable for the value",""),IF($O359&lt;&gt;"Y","State the success metric and the stop condition",IF($Q359&lt;&gt;"Y","Set the baseline the benefit will be measured against","")),IF($P359="","Assess data readiness and regulatory impact",IF($P359="partial","Close the known data gaps",IF($P359="ready","","Data is not available; reshape or park"))),IF($R359&lt;&gt;"",IF(OR(ISNUMBER(SEARCH("mrm",$R359)),ISNUMBER(SEARCH("model",$R359)),ISNUMBER(SEARCH("risk",$R359)),ISNUMBER(SEARCH("legal",$R359)),ISNUMBER(SEARCH("complian",$R359))),"Awaiting ","Held at the design gate: ")&amp;$R359,"Map the governance framework for its tier"),IF($L359="","Size the annual benefit",IF($N359="","Score it so it can be ranked against capacity","")),IF($R359&lt;&gt;"","Build held: "&amp;$R359,"In build, not yet through test"),IF($R359&lt;&gt;"","Not ready to scale: "&amp;$R359,"Monitoring and third-party review not yet signed off"),IF($Q359="Y","","Live without a measured baseline to judge it against")))</f>
        <v/>
      </c>
      <c r="AJ359" s="65" t="str">
        <f aca="false">IF($Y359="","",INDEX(StageForum,$Y359))</f>
        <v/>
      </c>
      <c r="AK359" s="65" t="str">
        <f aca="false">IF($Y359="","",IF(OR($X359="Delivery",$X359="Value"),"Committed",IF($N359&lt;&gt;"","Candidate","")))</f>
        <v/>
      </c>
      <c r="AL359" s="65" t="str">
        <f aca="false">IF($AK359&lt;&gt;"Candidate","",COUNTIFS($AK$2:$AK$501,"Candidate",$N$2:$N$501,"&gt;"&amp;$N359)+COUNTIFS($AK$2:$AK$501,"Candidate",$N$2:$N$501,$N359,$A$2:$A$501,"&lt;"&amp;$A359)+1)</f>
        <v/>
      </c>
      <c r="AM359" s="65" t="str">
        <f aca="false">IF($AL359="","",SUMIFS($M$2:$M$501,$AK$2:$AK$501,"Candidate",$AL$2:$AL$501,"&lt;="&amp;$AL359))</f>
        <v/>
      </c>
      <c r="AN359" s="65" t="str">
        <f aca="false">IF($AL359="","",IF($AM359&lt;=CapacityOpen,"Fits","Below line"))</f>
        <v/>
      </c>
      <c r="AO359" s="65" t="str">
        <f aca="false">IF($A359="","",IF($X359="Closed","",IF($X359="Unmapped","Warning",IF(OR($AB359="Overdue",$V359="Y",$AH359="Critical"),"Critical",IF(OR($AB359="At risk",$AC359="Stale",$AG359="Over"),"Warning","")))))</f>
        <v/>
      </c>
      <c r="AP359" s="65" t="str">
        <f aca="false">IF($AO359="","",IF($AO359="Critical",3000,2000)-IF($Z359="",0,$Z359)+ROW()/100000)</f>
        <v/>
      </c>
      <c r="AQ359" s="65" t="str">
        <f aca="false">IF($AO359="","",IF($X359="Unmapped","Status '"&amp;$C359&amp;"' is not in the Config map",IF($V359="Y","Flagged in Jira",IF($AB359="Overdue",-$Z359&amp;" days past its "&amp;$X359&amp;" target",IF($AH359="Critical",$AI359,IF($AB359="At risk","Target in "&amp;$Z359&amp;" days",IF($AC359="Stale","No update in "&amp;$AA359&amp;" days","Past its "&amp;$AE359&amp;"-day tier window")))))))</f>
        <v/>
      </c>
      <c r="AR359" s="65" t="str">
        <f aca="false">IF($AO359="","","draft Jira update for "&amp;$A359)</f>
        <v/>
      </c>
      <c r="AS359" s="65" t="str">
        <f aca="false">IF($A359="","",HYPERLINK(JiraSite&amp;"/browse/"&amp;$A359,"open"))</f>
        <v/>
      </c>
      <c r="AT359" s="65" t="str">
        <f aca="false">IF($Y359="","",$Y359*1000+ROW())</f>
        <v/>
      </c>
      <c r="AU359" s="65" t="str">
        <f aca="false">IF(AND($A359&lt;&gt;"",$G359&gt;=WeekStart),$G359+ROW()/100000,"")</f>
        <v/>
      </c>
      <c r="AV359" s="65" t="str">
        <f aca="false">IF($A359="","",IF(OR(AND($S359&lt;&gt;"",$S359&gt;=WeekStart),AND($U359&lt;&gt;"",$U359&gt;=WeekStart)),MAX($S359,$U359)+ROW()/100000,""))</f>
        <v/>
      </c>
      <c r="AW359" s="65" t="str">
        <f aca="false">IF($AV359="","",IF($T359&lt;&gt;"",$T359,IF($X359="Closed","Closed","Accepted to "&amp;$X359)))</f>
        <v/>
      </c>
      <c r="AX359" s="65" t="str">
        <f aca="false">IF(AND($Y359&lt;&gt;"",$R359&lt;&gt;""),$AF359+ROW()/100000,"")</f>
        <v/>
      </c>
      <c r="AY359" s="65" t="str">
        <f aca="false">IF(AND($Y359&lt;&gt;"",OR($AB359="Overdue",AND($AH359="Critical",$R359&lt;&gt;""))),$AF359+ROW()/100000,"")</f>
        <v/>
      </c>
      <c r="AZ359" s="65" t="str">
        <f aca="false">IF($AH359="Critical",$AF359+ROW()/100000,"")</f>
        <v/>
      </c>
    </row>
    <row r="360" customFormat="false" ht="15" hidden="false" customHeight="false" outlineLevel="0" collapsed="false">
      <c r="A360" s="28"/>
      <c r="B360" s="28"/>
      <c r="C360" s="28"/>
      <c r="D360" s="28"/>
      <c r="E360" s="28"/>
      <c r="F360" s="28"/>
      <c r="G360" s="63"/>
      <c r="H360" s="63"/>
      <c r="I360" s="63"/>
      <c r="J360" s="28"/>
      <c r="K360" s="28"/>
      <c r="L360" s="28"/>
      <c r="M360" s="28"/>
      <c r="N360" s="28"/>
      <c r="O360" s="64"/>
      <c r="P360" s="64"/>
      <c r="Q360" s="64"/>
      <c r="R360" s="28"/>
      <c r="S360" s="63"/>
      <c r="T360" s="64"/>
      <c r="U360" s="63"/>
      <c r="V360" s="64"/>
      <c r="W360" s="28"/>
      <c r="X360" s="65" t="str">
        <f aca="false">IF($A360="","",IF(OR($T360&lt;&gt;"",$U360&lt;&gt;""),"Closed",IFERROR(INDEX(MapStage,MATCH($C360,MapStatus,0)),"Unmapped")))</f>
        <v/>
      </c>
      <c r="Y360" s="65" t="str">
        <f aca="false">IF(OR($X360="",$X360="Closed",$X360="Unmapped"),"",MATCH($X360,StageName,0))</f>
        <v/>
      </c>
      <c r="Z360" s="65" t="str">
        <f aca="false">IF(OR($Y360="",$I360=""),"",$I360-AsOf)</f>
        <v/>
      </c>
      <c r="AA360" s="65" t="str">
        <f aca="false">IF($A360="","",AsOf-$H360)</f>
        <v/>
      </c>
      <c r="AB360" s="65" t="str">
        <f aca="false">IF($A360="","",IF($X360="Closed","Closed",IF($X360="Unmapped","Unmapped",IF($I360="","No target",IF($Z360&lt;0,"Overdue",IF($Z360&lt;=INDEX(StageWindow,$Y360),"At risk","On track"))))))</f>
        <v/>
      </c>
      <c r="AC360" s="65" t="str">
        <f aca="false">IF($Y360="","",IF($AA360&gt;2*INDEX(StageStale,$Y360),"Stale",IF($AA360&gt;INDEX(StageStale,$Y360),"Aging","Fresh")))</f>
        <v/>
      </c>
      <c r="AD360" s="65" t="str">
        <f aca="false">IF($A360="","",IF(OR(ISNUMBER(SEARCH("Reg report",$J360)),ISNUMBER(SEARCH("No human review",$J360)),COUNTIF(TierFuncs,$D360)&gt;0),"High",IF(OR(TRIM($J360)&lt;&gt;"",ISNUMBER(SEARCH("revenue",$K360))),"Medium","Low")))</f>
        <v/>
      </c>
      <c r="AE360" s="65" t="str">
        <f aca="false">IF($A360="","",INDEX(TierDays,MATCH($AD360,TierName,0)))</f>
        <v/>
      </c>
      <c r="AF360" s="65" t="str">
        <f aca="false">IF($A360="","",AsOf-$G360)</f>
        <v/>
      </c>
      <c r="AG360" s="65" t="str">
        <f aca="false">IF($Y360="","",IF($Y360&lt;=5,IF($AF360&gt;$AE360,"Over","Inside"),"Past approval"))</f>
        <v/>
      </c>
      <c r="AH360" s="65" t="str">
        <f aca="false">IF($Y360="","",CHOOSE($Y360,IF(OR(TRIM($F360)="",ISNUMBER(SEARCH("not named",$F360))),"Critical","Good"),IF($O360&lt;&gt;"Y","Critical",IF($Q360&lt;&gt;"Y","Warning","Good")),IF($P360="","Critical",IF($P360="partial","Warning",IF($P360="ready","Good","Critical"))),IF($R360&lt;&gt;"","Critical","Warning"),IF($L360="","Critical",IF($N360="","Warning","Good")),IF($R360&lt;&gt;"","Critical","Warning"),IF($R360&lt;&gt;"","Critical","Warning"),IF($Q360="Y","Good","Critical")))</f>
        <v/>
      </c>
      <c r="AI360" s="65" t="str">
        <f aca="false">IF($Y360="","",CHOOSE($Y360,IF(OR(TRIM($F360)="",ISNUMBER(SEARCH("not named",$F360))),"Name a sponsor accountable for the value",""),IF($O360&lt;&gt;"Y","State the success metric and the stop condition",IF($Q360&lt;&gt;"Y","Set the baseline the benefit will be measured against","")),IF($P360="","Assess data readiness and regulatory impact",IF($P360="partial","Close the known data gaps",IF($P360="ready","","Data is not available; reshape or park"))),IF($R360&lt;&gt;"",IF(OR(ISNUMBER(SEARCH("mrm",$R360)),ISNUMBER(SEARCH("model",$R360)),ISNUMBER(SEARCH("risk",$R360)),ISNUMBER(SEARCH("legal",$R360)),ISNUMBER(SEARCH("complian",$R360))),"Awaiting ","Held at the design gate: ")&amp;$R360,"Map the governance framework for its tier"),IF($L360="","Size the annual benefit",IF($N360="","Score it so it can be ranked against capacity","")),IF($R360&lt;&gt;"","Build held: "&amp;$R360,"In build, not yet through test"),IF($R360&lt;&gt;"","Not ready to scale: "&amp;$R360,"Monitoring and third-party review not yet signed off"),IF($Q360="Y","","Live without a measured baseline to judge it against")))</f>
        <v/>
      </c>
      <c r="AJ360" s="65" t="str">
        <f aca="false">IF($Y360="","",INDEX(StageForum,$Y360))</f>
        <v/>
      </c>
      <c r="AK360" s="65" t="str">
        <f aca="false">IF($Y360="","",IF(OR($X360="Delivery",$X360="Value"),"Committed",IF($N360&lt;&gt;"","Candidate","")))</f>
        <v/>
      </c>
      <c r="AL360" s="65" t="str">
        <f aca="false">IF($AK360&lt;&gt;"Candidate","",COUNTIFS($AK$2:$AK$501,"Candidate",$N$2:$N$501,"&gt;"&amp;$N360)+COUNTIFS($AK$2:$AK$501,"Candidate",$N$2:$N$501,$N360,$A$2:$A$501,"&lt;"&amp;$A360)+1)</f>
        <v/>
      </c>
      <c r="AM360" s="65" t="str">
        <f aca="false">IF($AL360="","",SUMIFS($M$2:$M$501,$AK$2:$AK$501,"Candidate",$AL$2:$AL$501,"&lt;="&amp;$AL360))</f>
        <v/>
      </c>
      <c r="AN360" s="65" t="str">
        <f aca="false">IF($AL360="","",IF($AM360&lt;=CapacityOpen,"Fits","Below line"))</f>
        <v/>
      </c>
      <c r="AO360" s="65" t="str">
        <f aca="false">IF($A360="","",IF($X360="Closed","",IF($X360="Unmapped","Warning",IF(OR($AB360="Overdue",$V360="Y",$AH360="Critical"),"Critical",IF(OR($AB360="At risk",$AC360="Stale",$AG360="Over"),"Warning","")))))</f>
        <v/>
      </c>
      <c r="AP360" s="65" t="str">
        <f aca="false">IF($AO360="","",IF($AO360="Critical",3000,2000)-IF($Z360="",0,$Z360)+ROW()/100000)</f>
        <v/>
      </c>
      <c r="AQ360" s="65" t="str">
        <f aca="false">IF($AO360="","",IF($X360="Unmapped","Status '"&amp;$C360&amp;"' is not in the Config map",IF($V360="Y","Flagged in Jira",IF($AB360="Overdue",-$Z360&amp;" days past its "&amp;$X360&amp;" target",IF($AH360="Critical",$AI360,IF($AB360="At risk","Target in "&amp;$Z360&amp;" days",IF($AC360="Stale","No update in "&amp;$AA360&amp;" days","Past its "&amp;$AE360&amp;"-day tier window")))))))</f>
        <v/>
      </c>
      <c r="AR360" s="65" t="str">
        <f aca="false">IF($AO360="","","draft Jira update for "&amp;$A360)</f>
        <v/>
      </c>
      <c r="AS360" s="65" t="str">
        <f aca="false">IF($A360="","",HYPERLINK(JiraSite&amp;"/browse/"&amp;$A360,"open"))</f>
        <v/>
      </c>
      <c r="AT360" s="65" t="str">
        <f aca="false">IF($Y360="","",$Y360*1000+ROW())</f>
        <v/>
      </c>
      <c r="AU360" s="65" t="str">
        <f aca="false">IF(AND($A360&lt;&gt;"",$G360&gt;=WeekStart),$G360+ROW()/100000,"")</f>
        <v/>
      </c>
      <c r="AV360" s="65" t="str">
        <f aca="false">IF($A360="","",IF(OR(AND($S360&lt;&gt;"",$S360&gt;=WeekStart),AND($U360&lt;&gt;"",$U360&gt;=WeekStart)),MAX($S360,$U360)+ROW()/100000,""))</f>
        <v/>
      </c>
      <c r="AW360" s="65" t="str">
        <f aca="false">IF($AV360="","",IF($T360&lt;&gt;"",$T360,IF($X360="Closed","Closed","Accepted to "&amp;$X360)))</f>
        <v/>
      </c>
      <c r="AX360" s="65" t="str">
        <f aca="false">IF(AND($Y360&lt;&gt;"",$R360&lt;&gt;""),$AF360+ROW()/100000,"")</f>
        <v/>
      </c>
      <c r="AY360" s="65" t="str">
        <f aca="false">IF(AND($Y360&lt;&gt;"",OR($AB360="Overdue",AND($AH360="Critical",$R360&lt;&gt;""))),$AF360+ROW()/100000,"")</f>
        <v/>
      </c>
      <c r="AZ360" s="65" t="str">
        <f aca="false">IF($AH360="Critical",$AF360+ROW()/100000,"")</f>
        <v/>
      </c>
    </row>
    <row r="361" customFormat="false" ht="15" hidden="false" customHeight="false" outlineLevel="0" collapsed="false">
      <c r="A361" s="28"/>
      <c r="B361" s="28"/>
      <c r="C361" s="28"/>
      <c r="D361" s="28"/>
      <c r="E361" s="28"/>
      <c r="F361" s="28"/>
      <c r="G361" s="63"/>
      <c r="H361" s="63"/>
      <c r="I361" s="63"/>
      <c r="J361" s="28"/>
      <c r="K361" s="28"/>
      <c r="L361" s="28"/>
      <c r="M361" s="28"/>
      <c r="N361" s="28"/>
      <c r="O361" s="64"/>
      <c r="P361" s="64"/>
      <c r="Q361" s="64"/>
      <c r="R361" s="28"/>
      <c r="S361" s="63"/>
      <c r="T361" s="64"/>
      <c r="U361" s="63"/>
      <c r="V361" s="64"/>
      <c r="W361" s="28"/>
      <c r="X361" s="65" t="str">
        <f aca="false">IF($A361="","",IF(OR($T361&lt;&gt;"",$U361&lt;&gt;""),"Closed",IFERROR(INDEX(MapStage,MATCH($C361,MapStatus,0)),"Unmapped")))</f>
        <v/>
      </c>
      <c r="Y361" s="65" t="str">
        <f aca="false">IF(OR($X361="",$X361="Closed",$X361="Unmapped"),"",MATCH($X361,StageName,0))</f>
        <v/>
      </c>
      <c r="Z361" s="65" t="str">
        <f aca="false">IF(OR($Y361="",$I361=""),"",$I361-AsOf)</f>
        <v/>
      </c>
      <c r="AA361" s="65" t="str">
        <f aca="false">IF($A361="","",AsOf-$H361)</f>
        <v/>
      </c>
      <c r="AB361" s="65" t="str">
        <f aca="false">IF($A361="","",IF($X361="Closed","Closed",IF($X361="Unmapped","Unmapped",IF($I361="","No target",IF($Z361&lt;0,"Overdue",IF($Z361&lt;=INDEX(StageWindow,$Y361),"At risk","On track"))))))</f>
        <v/>
      </c>
      <c r="AC361" s="65" t="str">
        <f aca="false">IF($Y361="","",IF($AA361&gt;2*INDEX(StageStale,$Y361),"Stale",IF($AA361&gt;INDEX(StageStale,$Y361),"Aging","Fresh")))</f>
        <v/>
      </c>
      <c r="AD361" s="65" t="str">
        <f aca="false">IF($A361="","",IF(OR(ISNUMBER(SEARCH("Reg report",$J361)),ISNUMBER(SEARCH("No human review",$J361)),COUNTIF(TierFuncs,$D361)&gt;0),"High",IF(OR(TRIM($J361)&lt;&gt;"",ISNUMBER(SEARCH("revenue",$K361))),"Medium","Low")))</f>
        <v/>
      </c>
      <c r="AE361" s="65" t="str">
        <f aca="false">IF($A361="","",INDEX(TierDays,MATCH($AD361,TierName,0)))</f>
        <v/>
      </c>
      <c r="AF361" s="65" t="str">
        <f aca="false">IF($A361="","",AsOf-$G361)</f>
        <v/>
      </c>
      <c r="AG361" s="65" t="str">
        <f aca="false">IF($Y361="","",IF($Y361&lt;=5,IF($AF361&gt;$AE361,"Over","Inside"),"Past approval"))</f>
        <v/>
      </c>
      <c r="AH361" s="65" t="str">
        <f aca="false">IF($Y361="","",CHOOSE($Y361,IF(OR(TRIM($F361)="",ISNUMBER(SEARCH("not named",$F361))),"Critical","Good"),IF($O361&lt;&gt;"Y","Critical",IF($Q361&lt;&gt;"Y","Warning","Good")),IF($P361="","Critical",IF($P361="partial","Warning",IF($P361="ready","Good","Critical"))),IF($R361&lt;&gt;"","Critical","Warning"),IF($L361="","Critical",IF($N361="","Warning","Good")),IF($R361&lt;&gt;"","Critical","Warning"),IF($R361&lt;&gt;"","Critical","Warning"),IF($Q361="Y","Good","Critical")))</f>
        <v/>
      </c>
      <c r="AI361" s="65" t="str">
        <f aca="false">IF($Y361="","",CHOOSE($Y361,IF(OR(TRIM($F361)="",ISNUMBER(SEARCH("not named",$F361))),"Name a sponsor accountable for the value",""),IF($O361&lt;&gt;"Y","State the success metric and the stop condition",IF($Q361&lt;&gt;"Y","Set the baseline the benefit will be measured against","")),IF($P361="","Assess data readiness and regulatory impact",IF($P361="partial","Close the known data gaps",IF($P361="ready","","Data is not available; reshape or park"))),IF($R361&lt;&gt;"",IF(OR(ISNUMBER(SEARCH("mrm",$R361)),ISNUMBER(SEARCH("model",$R361)),ISNUMBER(SEARCH("risk",$R361)),ISNUMBER(SEARCH("legal",$R361)),ISNUMBER(SEARCH("complian",$R361))),"Awaiting ","Held at the design gate: ")&amp;$R361,"Map the governance framework for its tier"),IF($L361="","Size the annual benefit",IF($N361="","Score it so it can be ranked against capacity","")),IF($R361&lt;&gt;"","Build held: "&amp;$R361,"In build, not yet through test"),IF($R361&lt;&gt;"","Not ready to scale: "&amp;$R361,"Monitoring and third-party review not yet signed off"),IF($Q361="Y","","Live without a measured baseline to judge it against")))</f>
        <v/>
      </c>
      <c r="AJ361" s="65" t="str">
        <f aca="false">IF($Y361="","",INDEX(StageForum,$Y361))</f>
        <v/>
      </c>
      <c r="AK361" s="65" t="str">
        <f aca="false">IF($Y361="","",IF(OR($X361="Delivery",$X361="Value"),"Committed",IF($N361&lt;&gt;"","Candidate","")))</f>
        <v/>
      </c>
      <c r="AL361" s="65" t="str">
        <f aca="false">IF($AK361&lt;&gt;"Candidate","",COUNTIFS($AK$2:$AK$501,"Candidate",$N$2:$N$501,"&gt;"&amp;$N361)+COUNTIFS($AK$2:$AK$501,"Candidate",$N$2:$N$501,$N361,$A$2:$A$501,"&lt;"&amp;$A361)+1)</f>
        <v/>
      </c>
      <c r="AM361" s="65" t="str">
        <f aca="false">IF($AL361="","",SUMIFS($M$2:$M$501,$AK$2:$AK$501,"Candidate",$AL$2:$AL$501,"&lt;="&amp;$AL361))</f>
        <v/>
      </c>
      <c r="AN361" s="65" t="str">
        <f aca="false">IF($AL361="","",IF($AM361&lt;=CapacityOpen,"Fits","Below line"))</f>
        <v/>
      </c>
      <c r="AO361" s="65" t="str">
        <f aca="false">IF($A361="","",IF($X361="Closed","",IF($X361="Unmapped","Warning",IF(OR($AB361="Overdue",$V361="Y",$AH361="Critical"),"Critical",IF(OR($AB361="At risk",$AC361="Stale",$AG361="Over"),"Warning","")))))</f>
        <v/>
      </c>
      <c r="AP361" s="65" t="str">
        <f aca="false">IF($AO361="","",IF($AO361="Critical",3000,2000)-IF($Z361="",0,$Z361)+ROW()/100000)</f>
        <v/>
      </c>
      <c r="AQ361" s="65" t="str">
        <f aca="false">IF($AO361="","",IF($X361="Unmapped","Status '"&amp;$C361&amp;"' is not in the Config map",IF($V361="Y","Flagged in Jira",IF($AB361="Overdue",-$Z361&amp;" days past its "&amp;$X361&amp;" target",IF($AH361="Critical",$AI361,IF($AB361="At risk","Target in "&amp;$Z361&amp;" days",IF($AC361="Stale","No update in "&amp;$AA361&amp;" days","Past its "&amp;$AE361&amp;"-day tier window")))))))</f>
        <v/>
      </c>
      <c r="AR361" s="65" t="str">
        <f aca="false">IF($AO361="","","draft Jira update for "&amp;$A361)</f>
        <v/>
      </c>
      <c r="AS361" s="65" t="str">
        <f aca="false">IF($A361="","",HYPERLINK(JiraSite&amp;"/browse/"&amp;$A361,"open"))</f>
        <v/>
      </c>
      <c r="AT361" s="65" t="str">
        <f aca="false">IF($Y361="","",$Y361*1000+ROW())</f>
        <v/>
      </c>
      <c r="AU361" s="65" t="str">
        <f aca="false">IF(AND($A361&lt;&gt;"",$G361&gt;=WeekStart),$G361+ROW()/100000,"")</f>
        <v/>
      </c>
      <c r="AV361" s="65" t="str">
        <f aca="false">IF($A361="","",IF(OR(AND($S361&lt;&gt;"",$S361&gt;=WeekStart),AND($U361&lt;&gt;"",$U361&gt;=WeekStart)),MAX($S361,$U361)+ROW()/100000,""))</f>
        <v/>
      </c>
      <c r="AW361" s="65" t="str">
        <f aca="false">IF($AV361="","",IF($T361&lt;&gt;"",$T361,IF($X361="Closed","Closed","Accepted to "&amp;$X361)))</f>
        <v/>
      </c>
      <c r="AX361" s="65" t="str">
        <f aca="false">IF(AND($Y361&lt;&gt;"",$R361&lt;&gt;""),$AF361+ROW()/100000,"")</f>
        <v/>
      </c>
      <c r="AY361" s="65" t="str">
        <f aca="false">IF(AND($Y361&lt;&gt;"",OR($AB361="Overdue",AND($AH361="Critical",$R361&lt;&gt;""))),$AF361+ROW()/100000,"")</f>
        <v/>
      </c>
      <c r="AZ361" s="65" t="str">
        <f aca="false">IF($AH361="Critical",$AF361+ROW()/100000,"")</f>
        <v/>
      </c>
    </row>
    <row r="362" customFormat="false" ht="15" hidden="false" customHeight="false" outlineLevel="0" collapsed="false">
      <c r="A362" s="28"/>
      <c r="B362" s="28"/>
      <c r="C362" s="28"/>
      <c r="D362" s="28"/>
      <c r="E362" s="28"/>
      <c r="F362" s="28"/>
      <c r="G362" s="63"/>
      <c r="H362" s="63"/>
      <c r="I362" s="63"/>
      <c r="J362" s="28"/>
      <c r="K362" s="28"/>
      <c r="L362" s="28"/>
      <c r="M362" s="28"/>
      <c r="N362" s="28"/>
      <c r="O362" s="64"/>
      <c r="P362" s="64"/>
      <c r="Q362" s="64"/>
      <c r="R362" s="28"/>
      <c r="S362" s="63"/>
      <c r="T362" s="64"/>
      <c r="U362" s="63"/>
      <c r="V362" s="64"/>
      <c r="W362" s="28"/>
      <c r="X362" s="65" t="str">
        <f aca="false">IF($A362="","",IF(OR($T362&lt;&gt;"",$U362&lt;&gt;""),"Closed",IFERROR(INDEX(MapStage,MATCH($C362,MapStatus,0)),"Unmapped")))</f>
        <v/>
      </c>
      <c r="Y362" s="65" t="str">
        <f aca="false">IF(OR($X362="",$X362="Closed",$X362="Unmapped"),"",MATCH($X362,StageName,0))</f>
        <v/>
      </c>
      <c r="Z362" s="65" t="str">
        <f aca="false">IF(OR($Y362="",$I362=""),"",$I362-AsOf)</f>
        <v/>
      </c>
      <c r="AA362" s="65" t="str">
        <f aca="false">IF($A362="","",AsOf-$H362)</f>
        <v/>
      </c>
      <c r="AB362" s="65" t="str">
        <f aca="false">IF($A362="","",IF($X362="Closed","Closed",IF($X362="Unmapped","Unmapped",IF($I362="","No target",IF($Z362&lt;0,"Overdue",IF($Z362&lt;=INDEX(StageWindow,$Y362),"At risk","On track"))))))</f>
        <v/>
      </c>
      <c r="AC362" s="65" t="str">
        <f aca="false">IF($Y362="","",IF($AA362&gt;2*INDEX(StageStale,$Y362),"Stale",IF($AA362&gt;INDEX(StageStale,$Y362),"Aging","Fresh")))</f>
        <v/>
      </c>
      <c r="AD362" s="65" t="str">
        <f aca="false">IF($A362="","",IF(OR(ISNUMBER(SEARCH("Reg report",$J362)),ISNUMBER(SEARCH("No human review",$J362)),COUNTIF(TierFuncs,$D362)&gt;0),"High",IF(OR(TRIM($J362)&lt;&gt;"",ISNUMBER(SEARCH("revenue",$K362))),"Medium","Low")))</f>
        <v/>
      </c>
      <c r="AE362" s="65" t="str">
        <f aca="false">IF($A362="","",INDEX(TierDays,MATCH($AD362,TierName,0)))</f>
        <v/>
      </c>
      <c r="AF362" s="65" t="str">
        <f aca="false">IF($A362="","",AsOf-$G362)</f>
        <v/>
      </c>
      <c r="AG362" s="65" t="str">
        <f aca="false">IF($Y362="","",IF($Y362&lt;=5,IF($AF362&gt;$AE362,"Over","Inside"),"Past approval"))</f>
        <v/>
      </c>
      <c r="AH362" s="65" t="str">
        <f aca="false">IF($Y362="","",CHOOSE($Y362,IF(OR(TRIM($F362)="",ISNUMBER(SEARCH("not named",$F362))),"Critical","Good"),IF($O362&lt;&gt;"Y","Critical",IF($Q362&lt;&gt;"Y","Warning","Good")),IF($P362="","Critical",IF($P362="partial","Warning",IF($P362="ready","Good","Critical"))),IF($R362&lt;&gt;"","Critical","Warning"),IF($L362="","Critical",IF($N362="","Warning","Good")),IF($R362&lt;&gt;"","Critical","Warning"),IF($R362&lt;&gt;"","Critical","Warning"),IF($Q362="Y","Good","Critical")))</f>
        <v/>
      </c>
      <c r="AI362" s="65" t="str">
        <f aca="false">IF($Y362="","",CHOOSE($Y362,IF(OR(TRIM($F362)="",ISNUMBER(SEARCH("not named",$F362))),"Name a sponsor accountable for the value",""),IF($O362&lt;&gt;"Y","State the success metric and the stop condition",IF($Q362&lt;&gt;"Y","Set the baseline the benefit will be measured against","")),IF($P362="","Assess data readiness and regulatory impact",IF($P362="partial","Close the known data gaps",IF($P362="ready","","Data is not available; reshape or park"))),IF($R362&lt;&gt;"",IF(OR(ISNUMBER(SEARCH("mrm",$R362)),ISNUMBER(SEARCH("model",$R362)),ISNUMBER(SEARCH("risk",$R362)),ISNUMBER(SEARCH("legal",$R362)),ISNUMBER(SEARCH("complian",$R362))),"Awaiting ","Held at the design gate: ")&amp;$R362,"Map the governance framework for its tier"),IF($L362="","Size the annual benefit",IF($N362="","Score it so it can be ranked against capacity","")),IF($R362&lt;&gt;"","Build held: "&amp;$R362,"In build, not yet through test"),IF($R362&lt;&gt;"","Not ready to scale: "&amp;$R362,"Monitoring and third-party review not yet signed off"),IF($Q362="Y","","Live without a measured baseline to judge it against")))</f>
        <v/>
      </c>
      <c r="AJ362" s="65" t="str">
        <f aca="false">IF($Y362="","",INDEX(StageForum,$Y362))</f>
        <v/>
      </c>
      <c r="AK362" s="65" t="str">
        <f aca="false">IF($Y362="","",IF(OR($X362="Delivery",$X362="Value"),"Committed",IF($N362&lt;&gt;"","Candidate","")))</f>
        <v/>
      </c>
      <c r="AL362" s="65" t="str">
        <f aca="false">IF($AK362&lt;&gt;"Candidate","",COUNTIFS($AK$2:$AK$501,"Candidate",$N$2:$N$501,"&gt;"&amp;$N362)+COUNTIFS($AK$2:$AK$501,"Candidate",$N$2:$N$501,$N362,$A$2:$A$501,"&lt;"&amp;$A362)+1)</f>
        <v/>
      </c>
      <c r="AM362" s="65" t="str">
        <f aca="false">IF($AL362="","",SUMIFS($M$2:$M$501,$AK$2:$AK$501,"Candidate",$AL$2:$AL$501,"&lt;="&amp;$AL362))</f>
        <v/>
      </c>
      <c r="AN362" s="65" t="str">
        <f aca="false">IF($AL362="","",IF($AM362&lt;=CapacityOpen,"Fits","Below line"))</f>
        <v/>
      </c>
      <c r="AO362" s="65" t="str">
        <f aca="false">IF($A362="","",IF($X362="Closed","",IF($X362="Unmapped","Warning",IF(OR($AB362="Overdue",$V362="Y",$AH362="Critical"),"Critical",IF(OR($AB362="At risk",$AC362="Stale",$AG362="Over"),"Warning","")))))</f>
        <v/>
      </c>
      <c r="AP362" s="65" t="str">
        <f aca="false">IF($AO362="","",IF($AO362="Critical",3000,2000)-IF($Z362="",0,$Z362)+ROW()/100000)</f>
        <v/>
      </c>
      <c r="AQ362" s="65" t="str">
        <f aca="false">IF($AO362="","",IF($X362="Unmapped","Status '"&amp;$C362&amp;"' is not in the Config map",IF($V362="Y","Flagged in Jira",IF($AB362="Overdue",-$Z362&amp;" days past its "&amp;$X362&amp;" target",IF($AH362="Critical",$AI362,IF($AB362="At risk","Target in "&amp;$Z362&amp;" days",IF($AC362="Stale","No update in "&amp;$AA362&amp;" days","Past its "&amp;$AE362&amp;"-day tier window")))))))</f>
        <v/>
      </c>
      <c r="AR362" s="65" t="str">
        <f aca="false">IF($AO362="","","draft Jira update for "&amp;$A362)</f>
        <v/>
      </c>
      <c r="AS362" s="65" t="str">
        <f aca="false">IF($A362="","",HYPERLINK(JiraSite&amp;"/browse/"&amp;$A362,"open"))</f>
        <v/>
      </c>
      <c r="AT362" s="65" t="str">
        <f aca="false">IF($Y362="","",$Y362*1000+ROW())</f>
        <v/>
      </c>
      <c r="AU362" s="65" t="str">
        <f aca="false">IF(AND($A362&lt;&gt;"",$G362&gt;=WeekStart),$G362+ROW()/100000,"")</f>
        <v/>
      </c>
      <c r="AV362" s="65" t="str">
        <f aca="false">IF($A362="","",IF(OR(AND($S362&lt;&gt;"",$S362&gt;=WeekStart),AND($U362&lt;&gt;"",$U362&gt;=WeekStart)),MAX($S362,$U362)+ROW()/100000,""))</f>
        <v/>
      </c>
      <c r="AW362" s="65" t="str">
        <f aca="false">IF($AV362="","",IF($T362&lt;&gt;"",$T362,IF($X362="Closed","Closed","Accepted to "&amp;$X362)))</f>
        <v/>
      </c>
      <c r="AX362" s="65" t="str">
        <f aca="false">IF(AND($Y362&lt;&gt;"",$R362&lt;&gt;""),$AF362+ROW()/100000,"")</f>
        <v/>
      </c>
      <c r="AY362" s="65" t="str">
        <f aca="false">IF(AND($Y362&lt;&gt;"",OR($AB362="Overdue",AND($AH362="Critical",$R362&lt;&gt;""))),$AF362+ROW()/100000,"")</f>
        <v/>
      </c>
      <c r="AZ362" s="65" t="str">
        <f aca="false">IF($AH362="Critical",$AF362+ROW()/100000,"")</f>
        <v/>
      </c>
    </row>
    <row r="363" customFormat="false" ht="15" hidden="false" customHeight="false" outlineLevel="0" collapsed="false">
      <c r="A363" s="28"/>
      <c r="B363" s="28"/>
      <c r="C363" s="28"/>
      <c r="D363" s="28"/>
      <c r="E363" s="28"/>
      <c r="F363" s="28"/>
      <c r="G363" s="63"/>
      <c r="H363" s="63"/>
      <c r="I363" s="63"/>
      <c r="J363" s="28"/>
      <c r="K363" s="28"/>
      <c r="L363" s="28"/>
      <c r="M363" s="28"/>
      <c r="N363" s="28"/>
      <c r="O363" s="64"/>
      <c r="P363" s="64"/>
      <c r="Q363" s="64"/>
      <c r="R363" s="28"/>
      <c r="S363" s="63"/>
      <c r="T363" s="64"/>
      <c r="U363" s="63"/>
      <c r="V363" s="64"/>
      <c r="W363" s="28"/>
      <c r="X363" s="65" t="str">
        <f aca="false">IF($A363="","",IF(OR($T363&lt;&gt;"",$U363&lt;&gt;""),"Closed",IFERROR(INDEX(MapStage,MATCH($C363,MapStatus,0)),"Unmapped")))</f>
        <v/>
      </c>
      <c r="Y363" s="65" t="str">
        <f aca="false">IF(OR($X363="",$X363="Closed",$X363="Unmapped"),"",MATCH($X363,StageName,0))</f>
        <v/>
      </c>
      <c r="Z363" s="65" t="str">
        <f aca="false">IF(OR($Y363="",$I363=""),"",$I363-AsOf)</f>
        <v/>
      </c>
      <c r="AA363" s="65" t="str">
        <f aca="false">IF($A363="","",AsOf-$H363)</f>
        <v/>
      </c>
      <c r="AB363" s="65" t="str">
        <f aca="false">IF($A363="","",IF($X363="Closed","Closed",IF($X363="Unmapped","Unmapped",IF($I363="","No target",IF($Z363&lt;0,"Overdue",IF($Z363&lt;=INDEX(StageWindow,$Y363),"At risk","On track"))))))</f>
        <v/>
      </c>
      <c r="AC363" s="65" t="str">
        <f aca="false">IF($Y363="","",IF($AA363&gt;2*INDEX(StageStale,$Y363),"Stale",IF($AA363&gt;INDEX(StageStale,$Y363),"Aging","Fresh")))</f>
        <v/>
      </c>
      <c r="AD363" s="65" t="str">
        <f aca="false">IF($A363="","",IF(OR(ISNUMBER(SEARCH("Reg report",$J363)),ISNUMBER(SEARCH("No human review",$J363)),COUNTIF(TierFuncs,$D363)&gt;0),"High",IF(OR(TRIM($J363)&lt;&gt;"",ISNUMBER(SEARCH("revenue",$K363))),"Medium","Low")))</f>
        <v/>
      </c>
      <c r="AE363" s="65" t="str">
        <f aca="false">IF($A363="","",INDEX(TierDays,MATCH($AD363,TierName,0)))</f>
        <v/>
      </c>
      <c r="AF363" s="65" t="str">
        <f aca="false">IF($A363="","",AsOf-$G363)</f>
        <v/>
      </c>
      <c r="AG363" s="65" t="str">
        <f aca="false">IF($Y363="","",IF($Y363&lt;=5,IF($AF363&gt;$AE363,"Over","Inside"),"Past approval"))</f>
        <v/>
      </c>
      <c r="AH363" s="65" t="str">
        <f aca="false">IF($Y363="","",CHOOSE($Y363,IF(OR(TRIM($F363)="",ISNUMBER(SEARCH("not named",$F363))),"Critical","Good"),IF($O363&lt;&gt;"Y","Critical",IF($Q363&lt;&gt;"Y","Warning","Good")),IF($P363="","Critical",IF($P363="partial","Warning",IF($P363="ready","Good","Critical"))),IF($R363&lt;&gt;"","Critical","Warning"),IF($L363="","Critical",IF($N363="","Warning","Good")),IF($R363&lt;&gt;"","Critical","Warning"),IF($R363&lt;&gt;"","Critical","Warning"),IF($Q363="Y","Good","Critical")))</f>
        <v/>
      </c>
      <c r="AI363" s="65" t="str">
        <f aca="false">IF($Y363="","",CHOOSE($Y363,IF(OR(TRIM($F363)="",ISNUMBER(SEARCH("not named",$F363))),"Name a sponsor accountable for the value",""),IF($O363&lt;&gt;"Y","State the success metric and the stop condition",IF($Q363&lt;&gt;"Y","Set the baseline the benefit will be measured against","")),IF($P363="","Assess data readiness and regulatory impact",IF($P363="partial","Close the known data gaps",IF($P363="ready","","Data is not available; reshape or park"))),IF($R363&lt;&gt;"",IF(OR(ISNUMBER(SEARCH("mrm",$R363)),ISNUMBER(SEARCH("model",$R363)),ISNUMBER(SEARCH("risk",$R363)),ISNUMBER(SEARCH("legal",$R363)),ISNUMBER(SEARCH("complian",$R363))),"Awaiting ","Held at the design gate: ")&amp;$R363,"Map the governance framework for its tier"),IF($L363="","Size the annual benefit",IF($N363="","Score it so it can be ranked against capacity","")),IF($R363&lt;&gt;"","Build held: "&amp;$R363,"In build, not yet through test"),IF($R363&lt;&gt;"","Not ready to scale: "&amp;$R363,"Monitoring and third-party review not yet signed off"),IF($Q363="Y","","Live without a measured baseline to judge it against")))</f>
        <v/>
      </c>
      <c r="AJ363" s="65" t="str">
        <f aca="false">IF($Y363="","",INDEX(StageForum,$Y363))</f>
        <v/>
      </c>
      <c r="AK363" s="65" t="str">
        <f aca="false">IF($Y363="","",IF(OR($X363="Delivery",$X363="Value"),"Committed",IF($N363&lt;&gt;"","Candidate","")))</f>
        <v/>
      </c>
      <c r="AL363" s="65" t="str">
        <f aca="false">IF($AK363&lt;&gt;"Candidate","",COUNTIFS($AK$2:$AK$501,"Candidate",$N$2:$N$501,"&gt;"&amp;$N363)+COUNTIFS($AK$2:$AK$501,"Candidate",$N$2:$N$501,$N363,$A$2:$A$501,"&lt;"&amp;$A363)+1)</f>
        <v/>
      </c>
      <c r="AM363" s="65" t="str">
        <f aca="false">IF($AL363="","",SUMIFS($M$2:$M$501,$AK$2:$AK$501,"Candidate",$AL$2:$AL$501,"&lt;="&amp;$AL363))</f>
        <v/>
      </c>
      <c r="AN363" s="65" t="str">
        <f aca="false">IF($AL363="","",IF($AM363&lt;=CapacityOpen,"Fits","Below line"))</f>
        <v/>
      </c>
      <c r="AO363" s="65" t="str">
        <f aca="false">IF($A363="","",IF($X363="Closed","",IF($X363="Unmapped","Warning",IF(OR($AB363="Overdue",$V363="Y",$AH363="Critical"),"Critical",IF(OR($AB363="At risk",$AC363="Stale",$AG363="Over"),"Warning","")))))</f>
        <v/>
      </c>
      <c r="AP363" s="65" t="str">
        <f aca="false">IF($AO363="","",IF($AO363="Critical",3000,2000)-IF($Z363="",0,$Z363)+ROW()/100000)</f>
        <v/>
      </c>
      <c r="AQ363" s="65" t="str">
        <f aca="false">IF($AO363="","",IF($X363="Unmapped","Status '"&amp;$C363&amp;"' is not in the Config map",IF($V363="Y","Flagged in Jira",IF($AB363="Overdue",-$Z363&amp;" days past its "&amp;$X363&amp;" target",IF($AH363="Critical",$AI363,IF($AB363="At risk","Target in "&amp;$Z363&amp;" days",IF($AC363="Stale","No update in "&amp;$AA363&amp;" days","Past its "&amp;$AE363&amp;"-day tier window")))))))</f>
        <v/>
      </c>
      <c r="AR363" s="65" t="str">
        <f aca="false">IF($AO363="","","draft Jira update for "&amp;$A363)</f>
        <v/>
      </c>
      <c r="AS363" s="65" t="str">
        <f aca="false">IF($A363="","",HYPERLINK(JiraSite&amp;"/browse/"&amp;$A363,"open"))</f>
        <v/>
      </c>
      <c r="AT363" s="65" t="str">
        <f aca="false">IF($Y363="","",$Y363*1000+ROW())</f>
        <v/>
      </c>
      <c r="AU363" s="65" t="str">
        <f aca="false">IF(AND($A363&lt;&gt;"",$G363&gt;=WeekStart),$G363+ROW()/100000,"")</f>
        <v/>
      </c>
      <c r="AV363" s="65" t="str">
        <f aca="false">IF($A363="","",IF(OR(AND($S363&lt;&gt;"",$S363&gt;=WeekStart),AND($U363&lt;&gt;"",$U363&gt;=WeekStart)),MAX($S363,$U363)+ROW()/100000,""))</f>
        <v/>
      </c>
      <c r="AW363" s="65" t="str">
        <f aca="false">IF($AV363="","",IF($T363&lt;&gt;"",$T363,IF($X363="Closed","Closed","Accepted to "&amp;$X363)))</f>
        <v/>
      </c>
      <c r="AX363" s="65" t="str">
        <f aca="false">IF(AND($Y363&lt;&gt;"",$R363&lt;&gt;""),$AF363+ROW()/100000,"")</f>
        <v/>
      </c>
      <c r="AY363" s="65" t="str">
        <f aca="false">IF(AND($Y363&lt;&gt;"",OR($AB363="Overdue",AND($AH363="Critical",$R363&lt;&gt;""))),$AF363+ROW()/100000,"")</f>
        <v/>
      </c>
      <c r="AZ363" s="65" t="str">
        <f aca="false">IF($AH363="Critical",$AF363+ROW()/100000,"")</f>
        <v/>
      </c>
    </row>
    <row r="364" customFormat="false" ht="15" hidden="false" customHeight="false" outlineLevel="0" collapsed="false">
      <c r="A364" s="28"/>
      <c r="B364" s="28"/>
      <c r="C364" s="28"/>
      <c r="D364" s="28"/>
      <c r="E364" s="28"/>
      <c r="F364" s="28"/>
      <c r="G364" s="63"/>
      <c r="H364" s="63"/>
      <c r="I364" s="63"/>
      <c r="J364" s="28"/>
      <c r="K364" s="28"/>
      <c r="L364" s="28"/>
      <c r="M364" s="28"/>
      <c r="N364" s="28"/>
      <c r="O364" s="64"/>
      <c r="P364" s="64"/>
      <c r="Q364" s="64"/>
      <c r="R364" s="28"/>
      <c r="S364" s="63"/>
      <c r="T364" s="64"/>
      <c r="U364" s="63"/>
      <c r="V364" s="64"/>
      <c r="W364" s="28"/>
      <c r="X364" s="65" t="str">
        <f aca="false">IF($A364="","",IF(OR($T364&lt;&gt;"",$U364&lt;&gt;""),"Closed",IFERROR(INDEX(MapStage,MATCH($C364,MapStatus,0)),"Unmapped")))</f>
        <v/>
      </c>
      <c r="Y364" s="65" t="str">
        <f aca="false">IF(OR($X364="",$X364="Closed",$X364="Unmapped"),"",MATCH($X364,StageName,0))</f>
        <v/>
      </c>
      <c r="Z364" s="65" t="str">
        <f aca="false">IF(OR($Y364="",$I364=""),"",$I364-AsOf)</f>
        <v/>
      </c>
      <c r="AA364" s="65" t="str">
        <f aca="false">IF($A364="","",AsOf-$H364)</f>
        <v/>
      </c>
      <c r="AB364" s="65" t="str">
        <f aca="false">IF($A364="","",IF($X364="Closed","Closed",IF($X364="Unmapped","Unmapped",IF($I364="","No target",IF($Z364&lt;0,"Overdue",IF($Z364&lt;=INDEX(StageWindow,$Y364),"At risk","On track"))))))</f>
        <v/>
      </c>
      <c r="AC364" s="65" t="str">
        <f aca="false">IF($Y364="","",IF($AA364&gt;2*INDEX(StageStale,$Y364),"Stale",IF($AA364&gt;INDEX(StageStale,$Y364),"Aging","Fresh")))</f>
        <v/>
      </c>
      <c r="AD364" s="65" t="str">
        <f aca="false">IF($A364="","",IF(OR(ISNUMBER(SEARCH("Reg report",$J364)),ISNUMBER(SEARCH("No human review",$J364)),COUNTIF(TierFuncs,$D364)&gt;0),"High",IF(OR(TRIM($J364)&lt;&gt;"",ISNUMBER(SEARCH("revenue",$K364))),"Medium","Low")))</f>
        <v/>
      </c>
      <c r="AE364" s="65" t="str">
        <f aca="false">IF($A364="","",INDEX(TierDays,MATCH($AD364,TierName,0)))</f>
        <v/>
      </c>
      <c r="AF364" s="65" t="str">
        <f aca="false">IF($A364="","",AsOf-$G364)</f>
        <v/>
      </c>
      <c r="AG364" s="65" t="str">
        <f aca="false">IF($Y364="","",IF($Y364&lt;=5,IF($AF364&gt;$AE364,"Over","Inside"),"Past approval"))</f>
        <v/>
      </c>
      <c r="AH364" s="65" t="str">
        <f aca="false">IF($Y364="","",CHOOSE($Y364,IF(OR(TRIM($F364)="",ISNUMBER(SEARCH("not named",$F364))),"Critical","Good"),IF($O364&lt;&gt;"Y","Critical",IF($Q364&lt;&gt;"Y","Warning","Good")),IF($P364="","Critical",IF($P364="partial","Warning",IF($P364="ready","Good","Critical"))),IF($R364&lt;&gt;"","Critical","Warning"),IF($L364="","Critical",IF($N364="","Warning","Good")),IF($R364&lt;&gt;"","Critical","Warning"),IF($R364&lt;&gt;"","Critical","Warning"),IF($Q364="Y","Good","Critical")))</f>
        <v/>
      </c>
      <c r="AI364" s="65" t="str">
        <f aca="false">IF($Y364="","",CHOOSE($Y364,IF(OR(TRIM($F364)="",ISNUMBER(SEARCH("not named",$F364))),"Name a sponsor accountable for the value",""),IF($O364&lt;&gt;"Y","State the success metric and the stop condition",IF($Q364&lt;&gt;"Y","Set the baseline the benefit will be measured against","")),IF($P364="","Assess data readiness and regulatory impact",IF($P364="partial","Close the known data gaps",IF($P364="ready","","Data is not available; reshape or park"))),IF($R364&lt;&gt;"",IF(OR(ISNUMBER(SEARCH("mrm",$R364)),ISNUMBER(SEARCH("model",$R364)),ISNUMBER(SEARCH("risk",$R364)),ISNUMBER(SEARCH("legal",$R364)),ISNUMBER(SEARCH("complian",$R364))),"Awaiting ","Held at the design gate: ")&amp;$R364,"Map the governance framework for its tier"),IF($L364="","Size the annual benefit",IF($N364="","Score it so it can be ranked against capacity","")),IF($R364&lt;&gt;"","Build held: "&amp;$R364,"In build, not yet through test"),IF($R364&lt;&gt;"","Not ready to scale: "&amp;$R364,"Monitoring and third-party review not yet signed off"),IF($Q364="Y","","Live without a measured baseline to judge it against")))</f>
        <v/>
      </c>
      <c r="AJ364" s="65" t="str">
        <f aca="false">IF($Y364="","",INDEX(StageForum,$Y364))</f>
        <v/>
      </c>
      <c r="AK364" s="65" t="str">
        <f aca="false">IF($Y364="","",IF(OR($X364="Delivery",$X364="Value"),"Committed",IF($N364&lt;&gt;"","Candidate","")))</f>
        <v/>
      </c>
      <c r="AL364" s="65" t="str">
        <f aca="false">IF($AK364&lt;&gt;"Candidate","",COUNTIFS($AK$2:$AK$501,"Candidate",$N$2:$N$501,"&gt;"&amp;$N364)+COUNTIFS($AK$2:$AK$501,"Candidate",$N$2:$N$501,$N364,$A$2:$A$501,"&lt;"&amp;$A364)+1)</f>
        <v/>
      </c>
      <c r="AM364" s="65" t="str">
        <f aca="false">IF($AL364="","",SUMIFS($M$2:$M$501,$AK$2:$AK$501,"Candidate",$AL$2:$AL$501,"&lt;="&amp;$AL364))</f>
        <v/>
      </c>
      <c r="AN364" s="65" t="str">
        <f aca="false">IF($AL364="","",IF($AM364&lt;=CapacityOpen,"Fits","Below line"))</f>
        <v/>
      </c>
      <c r="AO364" s="65" t="str">
        <f aca="false">IF($A364="","",IF($X364="Closed","",IF($X364="Unmapped","Warning",IF(OR($AB364="Overdue",$V364="Y",$AH364="Critical"),"Critical",IF(OR($AB364="At risk",$AC364="Stale",$AG364="Over"),"Warning","")))))</f>
        <v/>
      </c>
      <c r="AP364" s="65" t="str">
        <f aca="false">IF($AO364="","",IF($AO364="Critical",3000,2000)-IF($Z364="",0,$Z364)+ROW()/100000)</f>
        <v/>
      </c>
      <c r="AQ364" s="65" t="str">
        <f aca="false">IF($AO364="","",IF($X364="Unmapped","Status '"&amp;$C364&amp;"' is not in the Config map",IF($V364="Y","Flagged in Jira",IF($AB364="Overdue",-$Z364&amp;" days past its "&amp;$X364&amp;" target",IF($AH364="Critical",$AI364,IF($AB364="At risk","Target in "&amp;$Z364&amp;" days",IF($AC364="Stale","No update in "&amp;$AA364&amp;" days","Past its "&amp;$AE364&amp;"-day tier window")))))))</f>
        <v/>
      </c>
      <c r="AR364" s="65" t="str">
        <f aca="false">IF($AO364="","","draft Jira update for "&amp;$A364)</f>
        <v/>
      </c>
      <c r="AS364" s="65" t="str">
        <f aca="false">IF($A364="","",HYPERLINK(JiraSite&amp;"/browse/"&amp;$A364,"open"))</f>
        <v/>
      </c>
      <c r="AT364" s="65" t="str">
        <f aca="false">IF($Y364="","",$Y364*1000+ROW())</f>
        <v/>
      </c>
      <c r="AU364" s="65" t="str">
        <f aca="false">IF(AND($A364&lt;&gt;"",$G364&gt;=WeekStart),$G364+ROW()/100000,"")</f>
        <v/>
      </c>
      <c r="AV364" s="65" t="str">
        <f aca="false">IF($A364="","",IF(OR(AND($S364&lt;&gt;"",$S364&gt;=WeekStart),AND($U364&lt;&gt;"",$U364&gt;=WeekStart)),MAX($S364,$U364)+ROW()/100000,""))</f>
        <v/>
      </c>
      <c r="AW364" s="65" t="str">
        <f aca="false">IF($AV364="","",IF($T364&lt;&gt;"",$T364,IF($X364="Closed","Closed","Accepted to "&amp;$X364)))</f>
        <v/>
      </c>
      <c r="AX364" s="65" t="str">
        <f aca="false">IF(AND($Y364&lt;&gt;"",$R364&lt;&gt;""),$AF364+ROW()/100000,"")</f>
        <v/>
      </c>
      <c r="AY364" s="65" t="str">
        <f aca="false">IF(AND($Y364&lt;&gt;"",OR($AB364="Overdue",AND($AH364="Critical",$R364&lt;&gt;""))),$AF364+ROW()/100000,"")</f>
        <v/>
      </c>
      <c r="AZ364" s="65" t="str">
        <f aca="false">IF($AH364="Critical",$AF364+ROW()/100000,"")</f>
        <v/>
      </c>
    </row>
    <row r="365" customFormat="false" ht="15" hidden="false" customHeight="false" outlineLevel="0" collapsed="false">
      <c r="A365" s="28"/>
      <c r="B365" s="28"/>
      <c r="C365" s="28"/>
      <c r="D365" s="28"/>
      <c r="E365" s="28"/>
      <c r="F365" s="28"/>
      <c r="G365" s="63"/>
      <c r="H365" s="63"/>
      <c r="I365" s="63"/>
      <c r="J365" s="28"/>
      <c r="K365" s="28"/>
      <c r="L365" s="28"/>
      <c r="M365" s="28"/>
      <c r="N365" s="28"/>
      <c r="O365" s="64"/>
      <c r="P365" s="64"/>
      <c r="Q365" s="64"/>
      <c r="R365" s="28"/>
      <c r="S365" s="63"/>
      <c r="T365" s="64"/>
      <c r="U365" s="63"/>
      <c r="V365" s="64"/>
      <c r="W365" s="28"/>
      <c r="X365" s="65" t="str">
        <f aca="false">IF($A365="","",IF(OR($T365&lt;&gt;"",$U365&lt;&gt;""),"Closed",IFERROR(INDEX(MapStage,MATCH($C365,MapStatus,0)),"Unmapped")))</f>
        <v/>
      </c>
      <c r="Y365" s="65" t="str">
        <f aca="false">IF(OR($X365="",$X365="Closed",$X365="Unmapped"),"",MATCH($X365,StageName,0))</f>
        <v/>
      </c>
      <c r="Z365" s="65" t="str">
        <f aca="false">IF(OR($Y365="",$I365=""),"",$I365-AsOf)</f>
        <v/>
      </c>
      <c r="AA365" s="65" t="str">
        <f aca="false">IF($A365="","",AsOf-$H365)</f>
        <v/>
      </c>
      <c r="AB365" s="65" t="str">
        <f aca="false">IF($A365="","",IF($X365="Closed","Closed",IF($X365="Unmapped","Unmapped",IF($I365="","No target",IF($Z365&lt;0,"Overdue",IF($Z365&lt;=INDEX(StageWindow,$Y365),"At risk","On track"))))))</f>
        <v/>
      </c>
      <c r="AC365" s="65" t="str">
        <f aca="false">IF($Y365="","",IF($AA365&gt;2*INDEX(StageStale,$Y365),"Stale",IF($AA365&gt;INDEX(StageStale,$Y365),"Aging","Fresh")))</f>
        <v/>
      </c>
      <c r="AD365" s="65" t="str">
        <f aca="false">IF($A365="","",IF(OR(ISNUMBER(SEARCH("Reg report",$J365)),ISNUMBER(SEARCH("No human review",$J365)),COUNTIF(TierFuncs,$D365)&gt;0),"High",IF(OR(TRIM($J365)&lt;&gt;"",ISNUMBER(SEARCH("revenue",$K365))),"Medium","Low")))</f>
        <v/>
      </c>
      <c r="AE365" s="65" t="str">
        <f aca="false">IF($A365="","",INDEX(TierDays,MATCH($AD365,TierName,0)))</f>
        <v/>
      </c>
      <c r="AF365" s="65" t="str">
        <f aca="false">IF($A365="","",AsOf-$G365)</f>
        <v/>
      </c>
      <c r="AG365" s="65" t="str">
        <f aca="false">IF($Y365="","",IF($Y365&lt;=5,IF($AF365&gt;$AE365,"Over","Inside"),"Past approval"))</f>
        <v/>
      </c>
      <c r="AH365" s="65" t="str">
        <f aca="false">IF($Y365="","",CHOOSE($Y365,IF(OR(TRIM($F365)="",ISNUMBER(SEARCH("not named",$F365))),"Critical","Good"),IF($O365&lt;&gt;"Y","Critical",IF($Q365&lt;&gt;"Y","Warning","Good")),IF($P365="","Critical",IF($P365="partial","Warning",IF($P365="ready","Good","Critical"))),IF($R365&lt;&gt;"","Critical","Warning"),IF($L365="","Critical",IF($N365="","Warning","Good")),IF($R365&lt;&gt;"","Critical","Warning"),IF($R365&lt;&gt;"","Critical","Warning"),IF($Q365="Y","Good","Critical")))</f>
        <v/>
      </c>
      <c r="AI365" s="65" t="str">
        <f aca="false">IF($Y365="","",CHOOSE($Y365,IF(OR(TRIM($F365)="",ISNUMBER(SEARCH("not named",$F365))),"Name a sponsor accountable for the value",""),IF($O365&lt;&gt;"Y","State the success metric and the stop condition",IF($Q365&lt;&gt;"Y","Set the baseline the benefit will be measured against","")),IF($P365="","Assess data readiness and regulatory impact",IF($P365="partial","Close the known data gaps",IF($P365="ready","","Data is not available; reshape or park"))),IF($R365&lt;&gt;"",IF(OR(ISNUMBER(SEARCH("mrm",$R365)),ISNUMBER(SEARCH("model",$R365)),ISNUMBER(SEARCH("risk",$R365)),ISNUMBER(SEARCH("legal",$R365)),ISNUMBER(SEARCH("complian",$R365))),"Awaiting ","Held at the design gate: ")&amp;$R365,"Map the governance framework for its tier"),IF($L365="","Size the annual benefit",IF($N365="","Score it so it can be ranked against capacity","")),IF($R365&lt;&gt;"","Build held: "&amp;$R365,"In build, not yet through test"),IF($R365&lt;&gt;"","Not ready to scale: "&amp;$R365,"Monitoring and third-party review not yet signed off"),IF($Q365="Y","","Live without a measured baseline to judge it against")))</f>
        <v/>
      </c>
      <c r="AJ365" s="65" t="str">
        <f aca="false">IF($Y365="","",INDEX(StageForum,$Y365))</f>
        <v/>
      </c>
      <c r="AK365" s="65" t="str">
        <f aca="false">IF($Y365="","",IF(OR($X365="Delivery",$X365="Value"),"Committed",IF($N365&lt;&gt;"","Candidate","")))</f>
        <v/>
      </c>
      <c r="AL365" s="65" t="str">
        <f aca="false">IF($AK365&lt;&gt;"Candidate","",COUNTIFS($AK$2:$AK$501,"Candidate",$N$2:$N$501,"&gt;"&amp;$N365)+COUNTIFS($AK$2:$AK$501,"Candidate",$N$2:$N$501,$N365,$A$2:$A$501,"&lt;"&amp;$A365)+1)</f>
        <v/>
      </c>
      <c r="AM365" s="65" t="str">
        <f aca="false">IF($AL365="","",SUMIFS($M$2:$M$501,$AK$2:$AK$501,"Candidate",$AL$2:$AL$501,"&lt;="&amp;$AL365))</f>
        <v/>
      </c>
      <c r="AN365" s="65" t="str">
        <f aca="false">IF($AL365="","",IF($AM365&lt;=CapacityOpen,"Fits","Below line"))</f>
        <v/>
      </c>
      <c r="AO365" s="65" t="str">
        <f aca="false">IF($A365="","",IF($X365="Closed","",IF($X365="Unmapped","Warning",IF(OR($AB365="Overdue",$V365="Y",$AH365="Critical"),"Critical",IF(OR($AB365="At risk",$AC365="Stale",$AG365="Over"),"Warning","")))))</f>
        <v/>
      </c>
      <c r="AP365" s="65" t="str">
        <f aca="false">IF($AO365="","",IF($AO365="Critical",3000,2000)-IF($Z365="",0,$Z365)+ROW()/100000)</f>
        <v/>
      </c>
      <c r="AQ365" s="65" t="str">
        <f aca="false">IF($AO365="","",IF($X365="Unmapped","Status '"&amp;$C365&amp;"' is not in the Config map",IF($V365="Y","Flagged in Jira",IF($AB365="Overdue",-$Z365&amp;" days past its "&amp;$X365&amp;" target",IF($AH365="Critical",$AI365,IF($AB365="At risk","Target in "&amp;$Z365&amp;" days",IF($AC365="Stale","No update in "&amp;$AA365&amp;" days","Past its "&amp;$AE365&amp;"-day tier window")))))))</f>
        <v/>
      </c>
      <c r="AR365" s="65" t="str">
        <f aca="false">IF($AO365="","","draft Jira update for "&amp;$A365)</f>
        <v/>
      </c>
      <c r="AS365" s="65" t="str">
        <f aca="false">IF($A365="","",HYPERLINK(JiraSite&amp;"/browse/"&amp;$A365,"open"))</f>
        <v/>
      </c>
      <c r="AT365" s="65" t="str">
        <f aca="false">IF($Y365="","",$Y365*1000+ROW())</f>
        <v/>
      </c>
      <c r="AU365" s="65" t="str">
        <f aca="false">IF(AND($A365&lt;&gt;"",$G365&gt;=WeekStart),$G365+ROW()/100000,"")</f>
        <v/>
      </c>
      <c r="AV365" s="65" t="str">
        <f aca="false">IF($A365="","",IF(OR(AND($S365&lt;&gt;"",$S365&gt;=WeekStart),AND($U365&lt;&gt;"",$U365&gt;=WeekStart)),MAX($S365,$U365)+ROW()/100000,""))</f>
        <v/>
      </c>
      <c r="AW365" s="65" t="str">
        <f aca="false">IF($AV365="","",IF($T365&lt;&gt;"",$T365,IF($X365="Closed","Closed","Accepted to "&amp;$X365)))</f>
        <v/>
      </c>
      <c r="AX365" s="65" t="str">
        <f aca="false">IF(AND($Y365&lt;&gt;"",$R365&lt;&gt;""),$AF365+ROW()/100000,"")</f>
        <v/>
      </c>
      <c r="AY365" s="65" t="str">
        <f aca="false">IF(AND($Y365&lt;&gt;"",OR($AB365="Overdue",AND($AH365="Critical",$R365&lt;&gt;""))),$AF365+ROW()/100000,"")</f>
        <v/>
      </c>
      <c r="AZ365" s="65" t="str">
        <f aca="false">IF($AH365="Critical",$AF365+ROW()/100000,"")</f>
        <v/>
      </c>
    </row>
    <row r="366" customFormat="false" ht="15" hidden="false" customHeight="false" outlineLevel="0" collapsed="false">
      <c r="A366" s="28"/>
      <c r="B366" s="28"/>
      <c r="C366" s="28"/>
      <c r="D366" s="28"/>
      <c r="E366" s="28"/>
      <c r="F366" s="28"/>
      <c r="G366" s="63"/>
      <c r="H366" s="63"/>
      <c r="I366" s="63"/>
      <c r="J366" s="28"/>
      <c r="K366" s="28"/>
      <c r="L366" s="28"/>
      <c r="M366" s="28"/>
      <c r="N366" s="28"/>
      <c r="O366" s="64"/>
      <c r="P366" s="64"/>
      <c r="Q366" s="64"/>
      <c r="R366" s="28"/>
      <c r="S366" s="63"/>
      <c r="T366" s="64"/>
      <c r="U366" s="63"/>
      <c r="V366" s="64"/>
      <c r="W366" s="28"/>
      <c r="X366" s="65" t="str">
        <f aca="false">IF($A366="","",IF(OR($T366&lt;&gt;"",$U366&lt;&gt;""),"Closed",IFERROR(INDEX(MapStage,MATCH($C366,MapStatus,0)),"Unmapped")))</f>
        <v/>
      </c>
      <c r="Y366" s="65" t="str">
        <f aca="false">IF(OR($X366="",$X366="Closed",$X366="Unmapped"),"",MATCH($X366,StageName,0))</f>
        <v/>
      </c>
      <c r="Z366" s="65" t="str">
        <f aca="false">IF(OR($Y366="",$I366=""),"",$I366-AsOf)</f>
        <v/>
      </c>
      <c r="AA366" s="65" t="str">
        <f aca="false">IF($A366="","",AsOf-$H366)</f>
        <v/>
      </c>
      <c r="AB366" s="65" t="str">
        <f aca="false">IF($A366="","",IF($X366="Closed","Closed",IF($X366="Unmapped","Unmapped",IF($I366="","No target",IF($Z366&lt;0,"Overdue",IF($Z366&lt;=INDEX(StageWindow,$Y366),"At risk","On track"))))))</f>
        <v/>
      </c>
      <c r="AC366" s="65" t="str">
        <f aca="false">IF($Y366="","",IF($AA366&gt;2*INDEX(StageStale,$Y366),"Stale",IF($AA366&gt;INDEX(StageStale,$Y366),"Aging","Fresh")))</f>
        <v/>
      </c>
      <c r="AD366" s="65" t="str">
        <f aca="false">IF($A366="","",IF(OR(ISNUMBER(SEARCH("Reg report",$J366)),ISNUMBER(SEARCH("No human review",$J366)),COUNTIF(TierFuncs,$D366)&gt;0),"High",IF(OR(TRIM($J366)&lt;&gt;"",ISNUMBER(SEARCH("revenue",$K366))),"Medium","Low")))</f>
        <v/>
      </c>
      <c r="AE366" s="65" t="str">
        <f aca="false">IF($A366="","",INDEX(TierDays,MATCH($AD366,TierName,0)))</f>
        <v/>
      </c>
      <c r="AF366" s="65" t="str">
        <f aca="false">IF($A366="","",AsOf-$G366)</f>
        <v/>
      </c>
      <c r="AG366" s="65" t="str">
        <f aca="false">IF($Y366="","",IF($Y366&lt;=5,IF($AF366&gt;$AE366,"Over","Inside"),"Past approval"))</f>
        <v/>
      </c>
      <c r="AH366" s="65" t="str">
        <f aca="false">IF($Y366="","",CHOOSE($Y366,IF(OR(TRIM($F366)="",ISNUMBER(SEARCH("not named",$F366))),"Critical","Good"),IF($O366&lt;&gt;"Y","Critical",IF($Q366&lt;&gt;"Y","Warning","Good")),IF($P366="","Critical",IF($P366="partial","Warning",IF($P366="ready","Good","Critical"))),IF($R366&lt;&gt;"","Critical","Warning"),IF($L366="","Critical",IF($N366="","Warning","Good")),IF($R366&lt;&gt;"","Critical","Warning"),IF($R366&lt;&gt;"","Critical","Warning"),IF($Q366="Y","Good","Critical")))</f>
        <v/>
      </c>
      <c r="AI366" s="65" t="str">
        <f aca="false">IF($Y366="","",CHOOSE($Y366,IF(OR(TRIM($F366)="",ISNUMBER(SEARCH("not named",$F366))),"Name a sponsor accountable for the value",""),IF($O366&lt;&gt;"Y","State the success metric and the stop condition",IF($Q366&lt;&gt;"Y","Set the baseline the benefit will be measured against","")),IF($P366="","Assess data readiness and regulatory impact",IF($P366="partial","Close the known data gaps",IF($P366="ready","","Data is not available; reshape or park"))),IF($R366&lt;&gt;"",IF(OR(ISNUMBER(SEARCH("mrm",$R366)),ISNUMBER(SEARCH("model",$R366)),ISNUMBER(SEARCH("risk",$R366)),ISNUMBER(SEARCH("legal",$R366)),ISNUMBER(SEARCH("complian",$R366))),"Awaiting ","Held at the design gate: ")&amp;$R366,"Map the governance framework for its tier"),IF($L366="","Size the annual benefit",IF($N366="","Score it so it can be ranked against capacity","")),IF($R366&lt;&gt;"","Build held: "&amp;$R366,"In build, not yet through test"),IF($R366&lt;&gt;"","Not ready to scale: "&amp;$R366,"Monitoring and third-party review not yet signed off"),IF($Q366="Y","","Live without a measured baseline to judge it against")))</f>
        <v/>
      </c>
      <c r="AJ366" s="65" t="str">
        <f aca="false">IF($Y366="","",INDEX(StageForum,$Y366))</f>
        <v/>
      </c>
      <c r="AK366" s="65" t="str">
        <f aca="false">IF($Y366="","",IF(OR($X366="Delivery",$X366="Value"),"Committed",IF($N366&lt;&gt;"","Candidate","")))</f>
        <v/>
      </c>
      <c r="AL366" s="65" t="str">
        <f aca="false">IF($AK366&lt;&gt;"Candidate","",COUNTIFS($AK$2:$AK$501,"Candidate",$N$2:$N$501,"&gt;"&amp;$N366)+COUNTIFS($AK$2:$AK$501,"Candidate",$N$2:$N$501,$N366,$A$2:$A$501,"&lt;"&amp;$A366)+1)</f>
        <v/>
      </c>
      <c r="AM366" s="65" t="str">
        <f aca="false">IF($AL366="","",SUMIFS($M$2:$M$501,$AK$2:$AK$501,"Candidate",$AL$2:$AL$501,"&lt;="&amp;$AL366))</f>
        <v/>
      </c>
      <c r="AN366" s="65" t="str">
        <f aca="false">IF($AL366="","",IF($AM366&lt;=CapacityOpen,"Fits","Below line"))</f>
        <v/>
      </c>
      <c r="AO366" s="65" t="str">
        <f aca="false">IF($A366="","",IF($X366="Closed","",IF($X366="Unmapped","Warning",IF(OR($AB366="Overdue",$V366="Y",$AH366="Critical"),"Critical",IF(OR($AB366="At risk",$AC366="Stale",$AG366="Over"),"Warning","")))))</f>
        <v/>
      </c>
      <c r="AP366" s="65" t="str">
        <f aca="false">IF($AO366="","",IF($AO366="Critical",3000,2000)-IF($Z366="",0,$Z366)+ROW()/100000)</f>
        <v/>
      </c>
      <c r="AQ366" s="65" t="str">
        <f aca="false">IF($AO366="","",IF($X366="Unmapped","Status '"&amp;$C366&amp;"' is not in the Config map",IF($V366="Y","Flagged in Jira",IF($AB366="Overdue",-$Z366&amp;" days past its "&amp;$X366&amp;" target",IF($AH366="Critical",$AI366,IF($AB366="At risk","Target in "&amp;$Z366&amp;" days",IF($AC366="Stale","No update in "&amp;$AA366&amp;" days","Past its "&amp;$AE366&amp;"-day tier window")))))))</f>
        <v/>
      </c>
      <c r="AR366" s="65" t="str">
        <f aca="false">IF($AO366="","","draft Jira update for "&amp;$A366)</f>
        <v/>
      </c>
      <c r="AS366" s="65" t="str">
        <f aca="false">IF($A366="","",HYPERLINK(JiraSite&amp;"/browse/"&amp;$A366,"open"))</f>
        <v/>
      </c>
      <c r="AT366" s="65" t="str">
        <f aca="false">IF($Y366="","",$Y366*1000+ROW())</f>
        <v/>
      </c>
      <c r="AU366" s="65" t="str">
        <f aca="false">IF(AND($A366&lt;&gt;"",$G366&gt;=WeekStart),$G366+ROW()/100000,"")</f>
        <v/>
      </c>
      <c r="AV366" s="65" t="str">
        <f aca="false">IF($A366="","",IF(OR(AND($S366&lt;&gt;"",$S366&gt;=WeekStart),AND($U366&lt;&gt;"",$U366&gt;=WeekStart)),MAX($S366,$U366)+ROW()/100000,""))</f>
        <v/>
      </c>
      <c r="AW366" s="65" t="str">
        <f aca="false">IF($AV366="","",IF($T366&lt;&gt;"",$T366,IF($X366="Closed","Closed","Accepted to "&amp;$X366)))</f>
        <v/>
      </c>
      <c r="AX366" s="65" t="str">
        <f aca="false">IF(AND($Y366&lt;&gt;"",$R366&lt;&gt;""),$AF366+ROW()/100000,"")</f>
        <v/>
      </c>
      <c r="AY366" s="65" t="str">
        <f aca="false">IF(AND($Y366&lt;&gt;"",OR($AB366="Overdue",AND($AH366="Critical",$R366&lt;&gt;""))),$AF366+ROW()/100000,"")</f>
        <v/>
      </c>
      <c r="AZ366" s="65" t="str">
        <f aca="false">IF($AH366="Critical",$AF366+ROW()/100000,"")</f>
        <v/>
      </c>
    </row>
    <row r="367" customFormat="false" ht="15" hidden="false" customHeight="false" outlineLevel="0" collapsed="false">
      <c r="A367" s="28"/>
      <c r="B367" s="28"/>
      <c r="C367" s="28"/>
      <c r="D367" s="28"/>
      <c r="E367" s="28"/>
      <c r="F367" s="28"/>
      <c r="G367" s="63"/>
      <c r="H367" s="63"/>
      <c r="I367" s="63"/>
      <c r="J367" s="28"/>
      <c r="K367" s="28"/>
      <c r="L367" s="28"/>
      <c r="M367" s="28"/>
      <c r="N367" s="28"/>
      <c r="O367" s="64"/>
      <c r="P367" s="64"/>
      <c r="Q367" s="64"/>
      <c r="R367" s="28"/>
      <c r="S367" s="63"/>
      <c r="T367" s="64"/>
      <c r="U367" s="63"/>
      <c r="V367" s="64"/>
      <c r="W367" s="28"/>
      <c r="X367" s="65" t="str">
        <f aca="false">IF($A367="","",IF(OR($T367&lt;&gt;"",$U367&lt;&gt;""),"Closed",IFERROR(INDEX(MapStage,MATCH($C367,MapStatus,0)),"Unmapped")))</f>
        <v/>
      </c>
      <c r="Y367" s="65" t="str">
        <f aca="false">IF(OR($X367="",$X367="Closed",$X367="Unmapped"),"",MATCH($X367,StageName,0))</f>
        <v/>
      </c>
      <c r="Z367" s="65" t="str">
        <f aca="false">IF(OR($Y367="",$I367=""),"",$I367-AsOf)</f>
        <v/>
      </c>
      <c r="AA367" s="65" t="str">
        <f aca="false">IF($A367="","",AsOf-$H367)</f>
        <v/>
      </c>
      <c r="AB367" s="65" t="str">
        <f aca="false">IF($A367="","",IF($X367="Closed","Closed",IF($X367="Unmapped","Unmapped",IF($I367="","No target",IF($Z367&lt;0,"Overdue",IF($Z367&lt;=INDEX(StageWindow,$Y367),"At risk","On track"))))))</f>
        <v/>
      </c>
      <c r="AC367" s="65" t="str">
        <f aca="false">IF($Y367="","",IF($AA367&gt;2*INDEX(StageStale,$Y367),"Stale",IF($AA367&gt;INDEX(StageStale,$Y367),"Aging","Fresh")))</f>
        <v/>
      </c>
      <c r="AD367" s="65" t="str">
        <f aca="false">IF($A367="","",IF(OR(ISNUMBER(SEARCH("Reg report",$J367)),ISNUMBER(SEARCH("No human review",$J367)),COUNTIF(TierFuncs,$D367)&gt;0),"High",IF(OR(TRIM($J367)&lt;&gt;"",ISNUMBER(SEARCH("revenue",$K367))),"Medium","Low")))</f>
        <v/>
      </c>
      <c r="AE367" s="65" t="str">
        <f aca="false">IF($A367="","",INDEX(TierDays,MATCH($AD367,TierName,0)))</f>
        <v/>
      </c>
      <c r="AF367" s="65" t="str">
        <f aca="false">IF($A367="","",AsOf-$G367)</f>
        <v/>
      </c>
      <c r="AG367" s="65" t="str">
        <f aca="false">IF($Y367="","",IF($Y367&lt;=5,IF($AF367&gt;$AE367,"Over","Inside"),"Past approval"))</f>
        <v/>
      </c>
      <c r="AH367" s="65" t="str">
        <f aca="false">IF($Y367="","",CHOOSE($Y367,IF(OR(TRIM($F367)="",ISNUMBER(SEARCH("not named",$F367))),"Critical","Good"),IF($O367&lt;&gt;"Y","Critical",IF($Q367&lt;&gt;"Y","Warning","Good")),IF($P367="","Critical",IF($P367="partial","Warning",IF($P367="ready","Good","Critical"))),IF($R367&lt;&gt;"","Critical","Warning"),IF($L367="","Critical",IF($N367="","Warning","Good")),IF($R367&lt;&gt;"","Critical","Warning"),IF($R367&lt;&gt;"","Critical","Warning"),IF($Q367="Y","Good","Critical")))</f>
        <v/>
      </c>
      <c r="AI367" s="65" t="str">
        <f aca="false">IF($Y367="","",CHOOSE($Y367,IF(OR(TRIM($F367)="",ISNUMBER(SEARCH("not named",$F367))),"Name a sponsor accountable for the value",""),IF($O367&lt;&gt;"Y","State the success metric and the stop condition",IF($Q367&lt;&gt;"Y","Set the baseline the benefit will be measured against","")),IF($P367="","Assess data readiness and regulatory impact",IF($P367="partial","Close the known data gaps",IF($P367="ready","","Data is not available; reshape or park"))),IF($R367&lt;&gt;"",IF(OR(ISNUMBER(SEARCH("mrm",$R367)),ISNUMBER(SEARCH("model",$R367)),ISNUMBER(SEARCH("risk",$R367)),ISNUMBER(SEARCH("legal",$R367)),ISNUMBER(SEARCH("complian",$R367))),"Awaiting ","Held at the design gate: ")&amp;$R367,"Map the governance framework for its tier"),IF($L367="","Size the annual benefit",IF($N367="","Score it so it can be ranked against capacity","")),IF($R367&lt;&gt;"","Build held: "&amp;$R367,"In build, not yet through test"),IF($R367&lt;&gt;"","Not ready to scale: "&amp;$R367,"Monitoring and third-party review not yet signed off"),IF($Q367="Y","","Live without a measured baseline to judge it against")))</f>
        <v/>
      </c>
      <c r="AJ367" s="65" t="str">
        <f aca="false">IF($Y367="","",INDEX(StageForum,$Y367))</f>
        <v/>
      </c>
      <c r="AK367" s="65" t="str">
        <f aca="false">IF($Y367="","",IF(OR($X367="Delivery",$X367="Value"),"Committed",IF($N367&lt;&gt;"","Candidate","")))</f>
        <v/>
      </c>
      <c r="AL367" s="65" t="str">
        <f aca="false">IF($AK367&lt;&gt;"Candidate","",COUNTIFS($AK$2:$AK$501,"Candidate",$N$2:$N$501,"&gt;"&amp;$N367)+COUNTIFS($AK$2:$AK$501,"Candidate",$N$2:$N$501,$N367,$A$2:$A$501,"&lt;"&amp;$A367)+1)</f>
        <v/>
      </c>
      <c r="AM367" s="65" t="str">
        <f aca="false">IF($AL367="","",SUMIFS($M$2:$M$501,$AK$2:$AK$501,"Candidate",$AL$2:$AL$501,"&lt;="&amp;$AL367))</f>
        <v/>
      </c>
      <c r="AN367" s="65" t="str">
        <f aca="false">IF($AL367="","",IF($AM367&lt;=CapacityOpen,"Fits","Below line"))</f>
        <v/>
      </c>
      <c r="AO367" s="65" t="str">
        <f aca="false">IF($A367="","",IF($X367="Closed","",IF($X367="Unmapped","Warning",IF(OR($AB367="Overdue",$V367="Y",$AH367="Critical"),"Critical",IF(OR($AB367="At risk",$AC367="Stale",$AG367="Over"),"Warning","")))))</f>
        <v/>
      </c>
      <c r="AP367" s="65" t="str">
        <f aca="false">IF($AO367="","",IF($AO367="Critical",3000,2000)-IF($Z367="",0,$Z367)+ROW()/100000)</f>
        <v/>
      </c>
      <c r="AQ367" s="65" t="str">
        <f aca="false">IF($AO367="","",IF($X367="Unmapped","Status '"&amp;$C367&amp;"' is not in the Config map",IF($V367="Y","Flagged in Jira",IF($AB367="Overdue",-$Z367&amp;" days past its "&amp;$X367&amp;" target",IF($AH367="Critical",$AI367,IF($AB367="At risk","Target in "&amp;$Z367&amp;" days",IF($AC367="Stale","No update in "&amp;$AA367&amp;" days","Past its "&amp;$AE367&amp;"-day tier window")))))))</f>
        <v/>
      </c>
      <c r="AR367" s="65" t="str">
        <f aca="false">IF($AO367="","","draft Jira update for "&amp;$A367)</f>
        <v/>
      </c>
      <c r="AS367" s="65" t="str">
        <f aca="false">IF($A367="","",HYPERLINK(JiraSite&amp;"/browse/"&amp;$A367,"open"))</f>
        <v/>
      </c>
      <c r="AT367" s="65" t="str">
        <f aca="false">IF($Y367="","",$Y367*1000+ROW())</f>
        <v/>
      </c>
      <c r="AU367" s="65" t="str">
        <f aca="false">IF(AND($A367&lt;&gt;"",$G367&gt;=WeekStart),$G367+ROW()/100000,"")</f>
        <v/>
      </c>
      <c r="AV367" s="65" t="str">
        <f aca="false">IF($A367="","",IF(OR(AND($S367&lt;&gt;"",$S367&gt;=WeekStart),AND($U367&lt;&gt;"",$U367&gt;=WeekStart)),MAX($S367,$U367)+ROW()/100000,""))</f>
        <v/>
      </c>
      <c r="AW367" s="65" t="str">
        <f aca="false">IF($AV367="","",IF($T367&lt;&gt;"",$T367,IF($X367="Closed","Closed","Accepted to "&amp;$X367)))</f>
        <v/>
      </c>
      <c r="AX367" s="65" t="str">
        <f aca="false">IF(AND($Y367&lt;&gt;"",$R367&lt;&gt;""),$AF367+ROW()/100000,"")</f>
        <v/>
      </c>
      <c r="AY367" s="65" t="str">
        <f aca="false">IF(AND($Y367&lt;&gt;"",OR($AB367="Overdue",AND($AH367="Critical",$R367&lt;&gt;""))),$AF367+ROW()/100000,"")</f>
        <v/>
      </c>
      <c r="AZ367" s="65" t="str">
        <f aca="false">IF($AH367="Critical",$AF367+ROW()/100000,"")</f>
        <v/>
      </c>
    </row>
    <row r="368" customFormat="false" ht="15" hidden="false" customHeight="false" outlineLevel="0" collapsed="false">
      <c r="A368" s="28"/>
      <c r="B368" s="28"/>
      <c r="C368" s="28"/>
      <c r="D368" s="28"/>
      <c r="E368" s="28"/>
      <c r="F368" s="28"/>
      <c r="G368" s="63"/>
      <c r="H368" s="63"/>
      <c r="I368" s="63"/>
      <c r="J368" s="28"/>
      <c r="K368" s="28"/>
      <c r="L368" s="28"/>
      <c r="M368" s="28"/>
      <c r="N368" s="28"/>
      <c r="O368" s="64"/>
      <c r="P368" s="64"/>
      <c r="Q368" s="64"/>
      <c r="R368" s="28"/>
      <c r="S368" s="63"/>
      <c r="T368" s="64"/>
      <c r="U368" s="63"/>
      <c r="V368" s="64"/>
      <c r="W368" s="28"/>
      <c r="X368" s="65" t="str">
        <f aca="false">IF($A368="","",IF(OR($T368&lt;&gt;"",$U368&lt;&gt;""),"Closed",IFERROR(INDEX(MapStage,MATCH($C368,MapStatus,0)),"Unmapped")))</f>
        <v/>
      </c>
      <c r="Y368" s="65" t="str">
        <f aca="false">IF(OR($X368="",$X368="Closed",$X368="Unmapped"),"",MATCH($X368,StageName,0))</f>
        <v/>
      </c>
      <c r="Z368" s="65" t="str">
        <f aca="false">IF(OR($Y368="",$I368=""),"",$I368-AsOf)</f>
        <v/>
      </c>
      <c r="AA368" s="65" t="str">
        <f aca="false">IF($A368="","",AsOf-$H368)</f>
        <v/>
      </c>
      <c r="AB368" s="65" t="str">
        <f aca="false">IF($A368="","",IF($X368="Closed","Closed",IF($X368="Unmapped","Unmapped",IF($I368="","No target",IF($Z368&lt;0,"Overdue",IF($Z368&lt;=INDEX(StageWindow,$Y368),"At risk","On track"))))))</f>
        <v/>
      </c>
      <c r="AC368" s="65" t="str">
        <f aca="false">IF($Y368="","",IF($AA368&gt;2*INDEX(StageStale,$Y368),"Stale",IF($AA368&gt;INDEX(StageStale,$Y368),"Aging","Fresh")))</f>
        <v/>
      </c>
      <c r="AD368" s="65" t="str">
        <f aca="false">IF($A368="","",IF(OR(ISNUMBER(SEARCH("Reg report",$J368)),ISNUMBER(SEARCH("No human review",$J368)),COUNTIF(TierFuncs,$D368)&gt;0),"High",IF(OR(TRIM($J368)&lt;&gt;"",ISNUMBER(SEARCH("revenue",$K368))),"Medium","Low")))</f>
        <v/>
      </c>
      <c r="AE368" s="65" t="str">
        <f aca="false">IF($A368="","",INDEX(TierDays,MATCH($AD368,TierName,0)))</f>
        <v/>
      </c>
      <c r="AF368" s="65" t="str">
        <f aca="false">IF($A368="","",AsOf-$G368)</f>
        <v/>
      </c>
      <c r="AG368" s="65" t="str">
        <f aca="false">IF($Y368="","",IF($Y368&lt;=5,IF($AF368&gt;$AE368,"Over","Inside"),"Past approval"))</f>
        <v/>
      </c>
      <c r="AH368" s="65" t="str">
        <f aca="false">IF($Y368="","",CHOOSE($Y368,IF(OR(TRIM($F368)="",ISNUMBER(SEARCH("not named",$F368))),"Critical","Good"),IF($O368&lt;&gt;"Y","Critical",IF($Q368&lt;&gt;"Y","Warning","Good")),IF($P368="","Critical",IF($P368="partial","Warning",IF($P368="ready","Good","Critical"))),IF($R368&lt;&gt;"","Critical","Warning"),IF($L368="","Critical",IF($N368="","Warning","Good")),IF($R368&lt;&gt;"","Critical","Warning"),IF($R368&lt;&gt;"","Critical","Warning"),IF($Q368="Y","Good","Critical")))</f>
        <v/>
      </c>
      <c r="AI368" s="65" t="str">
        <f aca="false">IF($Y368="","",CHOOSE($Y368,IF(OR(TRIM($F368)="",ISNUMBER(SEARCH("not named",$F368))),"Name a sponsor accountable for the value",""),IF($O368&lt;&gt;"Y","State the success metric and the stop condition",IF($Q368&lt;&gt;"Y","Set the baseline the benefit will be measured against","")),IF($P368="","Assess data readiness and regulatory impact",IF($P368="partial","Close the known data gaps",IF($P368="ready","","Data is not available; reshape or park"))),IF($R368&lt;&gt;"",IF(OR(ISNUMBER(SEARCH("mrm",$R368)),ISNUMBER(SEARCH("model",$R368)),ISNUMBER(SEARCH("risk",$R368)),ISNUMBER(SEARCH("legal",$R368)),ISNUMBER(SEARCH("complian",$R368))),"Awaiting ","Held at the design gate: ")&amp;$R368,"Map the governance framework for its tier"),IF($L368="","Size the annual benefit",IF($N368="","Score it so it can be ranked against capacity","")),IF($R368&lt;&gt;"","Build held: "&amp;$R368,"In build, not yet through test"),IF($R368&lt;&gt;"","Not ready to scale: "&amp;$R368,"Monitoring and third-party review not yet signed off"),IF($Q368="Y","","Live without a measured baseline to judge it against")))</f>
        <v/>
      </c>
      <c r="AJ368" s="65" t="str">
        <f aca="false">IF($Y368="","",INDEX(StageForum,$Y368))</f>
        <v/>
      </c>
      <c r="AK368" s="65" t="str">
        <f aca="false">IF($Y368="","",IF(OR($X368="Delivery",$X368="Value"),"Committed",IF($N368&lt;&gt;"","Candidate","")))</f>
        <v/>
      </c>
      <c r="AL368" s="65" t="str">
        <f aca="false">IF($AK368&lt;&gt;"Candidate","",COUNTIFS($AK$2:$AK$501,"Candidate",$N$2:$N$501,"&gt;"&amp;$N368)+COUNTIFS($AK$2:$AK$501,"Candidate",$N$2:$N$501,$N368,$A$2:$A$501,"&lt;"&amp;$A368)+1)</f>
        <v/>
      </c>
      <c r="AM368" s="65" t="str">
        <f aca="false">IF($AL368="","",SUMIFS($M$2:$M$501,$AK$2:$AK$501,"Candidate",$AL$2:$AL$501,"&lt;="&amp;$AL368))</f>
        <v/>
      </c>
      <c r="AN368" s="65" t="str">
        <f aca="false">IF($AL368="","",IF($AM368&lt;=CapacityOpen,"Fits","Below line"))</f>
        <v/>
      </c>
      <c r="AO368" s="65" t="str">
        <f aca="false">IF($A368="","",IF($X368="Closed","",IF($X368="Unmapped","Warning",IF(OR($AB368="Overdue",$V368="Y",$AH368="Critical"),"Critical",IF(OR($AB368="At risk",$AC368="Stale",$AG368="Over"),"Warning","")))))</f>
        <v/>
      </c>
      <c r="AP368" s="65" t="str">
        <f aca="false">IF($AO368="","",IF($AO368="Critical",3000,2000)-IF($Z368="",0,$Z368)+ROW()/100000)</f>
        <v/>
      </c>
      <c r="AQ368" s="65" t="str">
        <f aca="false">IF($AO368="","",IF($X368="Unmapped","Status '"&amp;$C368&amp;"' is not in the Config map",IF($V368="Y","Flagged in Jira",IF($AB368="Overdue",-$Z368&amp;" days past its "&amp;$X368&amp;" target",IF($AH368="Critical",$AI368,IF($AB368="At risk","Target in "&amp;$Z368&amp;" days",IF($AC368="Stale","No update in "&amp;$AA368&amp;" days","Past its "&amp;$AE368&amp;"-day tier window")))))))</f>
        <v/>
      </c>
      <c r="AR368" s="65" t="str">
        <f aca="false">IF($AO368="","","draft Jira update for "&amp;$A368)</f>
        <v/>
      </c>
      <c r="AS368" s="65" t="str">
        <f aca="false">IF($A368="","",HYPERLINK(JiraSite&amp;"/browse/"&amp;$A368,"open"))</f>
        <v/>
      </c>
      <c r="AT368" s="65" t="str">
        <f aca="false">IF($Y368="","",$Y368*1000+ROW())</f>
        <v/>
      </c>
      <c r="AU368" s="65" t="str">
        <f aca="false">IF(AND($A368&lt;&gt;"",$G368&gt;=WeekStart),$G368+ROW()/100000,"")</f>
        <v/>
      </c>
      <c r="AV368" s="65" t="str">
        <f aca="false">IF($A368="","",IF(OR(AND($S368&lt;&gt;"",$S368&gt;=WeekStart),AND($U368&lt;&gt;"",$U368&gt;=WeekStart)),MAX($S368,$U368)+ROW()/100000,""))</f>
        <v/>
      </c>
      <c r="AW368" s="65" t="str">
        <f aca="false">IF($AV368="","",IF($T368&lt;&gt;"",$T368,IF($X368="Closed","Closed","Accepted to "&amp;$X368)))</f>
        <v/>
      </c>
      <c r="AX368" s="65" t="str">
        <f aca="false">IF(AND($Y368&lt;&gt;"",$R368&lt;&gt;""),$AF368+ROW()/100000,"")</f>
        <v/>
      </c>
      <c r="AY368" s="65" t="str">
        <f aca="false">IF(AND($Y368&lt;&gt;"",OR($AB368="Overdue",AND($AH368="Critical",$R368&lt;&gt;""))),$AF368+ROW()/100000,"")</f>
        <v/>
      </c>
      <c r="AZ368" s="65" t="str">
        <f aca="false">IF($AH368="Critical",$AF368+ROW()/100000,"")</f>
        <v/>
      </c>
    </row>
    <row r="369" customFormat="false" ht="15" hidden="false" customHeight="false" outlineLevel="0" collapsed="false">
      <c r="A369" s="28"/>
      <c r="B369" s="28"/>
      <c r="C369" s="28"/>
      <c r="D369" s="28"/>
      <c r="E369" s="28"/>
      <c r="F369" s="28"/>
      <c r="G369" s="63"/>
      <c r="H369" s="63"/>
      <c r="I369" s="63"/>
      <c r="J369" s="28"/>
      <c r="K369" s="28"/>
      <c r="L369" s="28"/>
      <c r="M369" s="28"/>
      <c r="N369" s="28"/>
      <c r="O369" s="64"/>
      <c r="P369" s="64"/>
      <c r="Q369" s="64"/>
      <c r="R369" s="28"/>
      <c r="S369" s="63"/>
      <c r="T369" s="64"/>
      <c r="U369" s="63"/>
      <c r="V369" s="64"/>
      <c r="W369" s="28"/>
      <c r="X369" s="65" t="str">
        <f aca="false">IF($A369="","",IF(OR($T369&lt;&gt;"",$U369&lt;&gt;""),"Closed",IFERROR(INDEX(MapStage,MATCH($C369,MapStatus,0)),"Unmapped")))</f>
        <v/>
      </c>
      <c r="Y369" s="65" t="str">
        <f aca="false">IF(OR($X369="",$X369="Closed",$X369="Unmapped"),"",MATCH($X369,StageName,0))</f>
        <v/>
      </c>
      <c r="Z369" s="65" t="str">
        <f aca="false">IF(OR($Y369="",$I369=""),"",$I369-AsOf)</f>
        <v/>
      </c>
      <c r="AA369" s="65" t="str">
        <f aca="false">IF($A369="","",AsOf-$H369)</f>
        <v/>
      </c>
      <c r="AB369" s="65" t="str">
        <f aca="false">IF($A369="","",IF($X369="Closed","Closed",IF($X369="Unmapped","Unmapped",IF($I369="","No target",IF($Z369&lt;0,"Overdue",IF($Z369&lt;=INDEX(StageWindow,$Y369),"At risk","On track"))))))</f>
        <v/>
      </c>
      <c r="AC369" s="65" t="str">
        <f aca="false">IF($Y369="","",IF($AA369&gt;2*INDEX(StageStale,$Y369),"Stale",IF($AA369&gt;INDEX(StageStale,$Y369),"Aging","Fresh")))</f>
        <v/>
      </c>
      <c r="AD369" s="65" t="str">
        <f aca="false">IF($A369="","",IF(OR(ISNUMBER(SEARCH("Reg report",$J369)),ISNUMBER(SEARCH("No human review",$J369)),COUNTIF(TierFuncs,$D369)&gt;0),"High",IF(OR(TRIM($J369)&lt;&gt;"",ISNUMBER(SEARCH("revenue",$K369))),"Medium","Low")))</f>
        <v/>
      </c>
      <c r="AE369" s="65" t="str">
        <f aca="false">IF($A369="","",INDEX(TierDays,MATCH($AD369,TierName,0)))</f>
        <v/>
      </c>
      <c r="AF369" s="65" t="str">
        <f aca="false">IF($A369="","",AsOf-$G369)</f>
        <v/>
      </c>
      <c r="AG369" s="65" t="str">
        <f aca="false">IF($Y369="","",IF($Y369&lt;=5,IF($AF369&gt;$AE369,"Over","Inside"),"Past approval"))</f>
        <v/>
      </c>
      <c r="AH369" s="65" t="str">
        <f aca="false">IF($Y369="","",CHOOSE($Y369,IF(OR(TRIM($F369)="",ISNUMBER(SEARCH("not named",$F369))),"Critical","Good"),IF($O369&lt;&gt;"Y","Critical",IF($Q369&lt;&gt;"Y","Warning","Good")),IF($P369="","Critical",IF($P369="partial","Warning",IF($P369="ready","Good","Critical"))),IF($R369&lt;&gt;"","Critical","Warning"),IF($L369="","Critical",IF($N369="","Warning","Good")),IF($R369&lt;&gt;"","Critical","Warning"),IF($R369&lt;&gt;"","Critical","Warning"),IF($Q369="Y","Good","Critical")))</f>
        <v/>
      </c>
      <c r="AI369" s="65" t="str">
        <f aca="false">IF($Y369="","",CHOOSE($Y369,IF(OR(TRIM($F369)="",ISNUMBER(SEARCH("not named",$F369))),"Name a sponsor accountable for the value",""),IF($O369&lt;&gt;"Y","State the success metric and the stop condition",IF($Q369&lt;&gt;"Y","Set the baseline the benefit will be measured against","")),IF($P369="","Assess data readiness and regulatory impact",IF($P369="partial","Close the known data gaps",IF($P369="ready","","Data is not available; reshape or park"))),IF($R369&lt;&gt;"",IF(OR(ISNUMBER(SEARCH("mrm",$R369)),ISNUMBER(SEARCH("model",$R369)),ISNUMBER(SEARCH("risk",$R369)),ISNUMBER(SEARCH("legal",$R369)),ISNUMBER(SEARCH("complian",$R369))),"Awaiting ","Held at the design gate: ")&amp;$R369,"Map the governance framework for its tier"),IF($L369="","Size the annual benefit",IF($N369="","Score it so it can be ranked against capacity","")),IF($R369&lt;&gt;"","Build held: "&amp;$R369,"In build, not yet through test"),IF($R369&lt;&gt;"","Not ready to scale: "&amp;$R369,"Monitoring and third-party review not yet signed off"),IF($Q369="Y","","Live without a measured baseline to judge it against")))</f>
        <v/>
      </c>
      <c r="AJ369" s="65" t="str">
        <f aca="false">IF($Y369="","",INDEX(StageForum,$Y369))</f>
        <v/>
      </c>
      <c r="AK369" s="65" t="str">
        <f aca="false">IF($Y369="","",IF(OR($X369="Delivery",$X369="Value"),"Committed",IF($N369&lt;&gt;"","Candidate","")))</f>
        <v/>
      </c>
      <c r="AL369" s="65" t="str">
        <f aca="false">IF($AK369&lt;&gt;"Candidate","",COUNTIFS($AK$2:$AK$501,"Candidate",$N$2:$N$501,"&gt;"&amp;$N369)+COUNTIFS($AK$2:$AK$501,"Candidate",$N$2:$N$501,$N369,$A$2:$A$501,"&lt;"&amp;$A369)+1)</f>
        <v/>
      </c>
      <c r="AM369" s="65" t="str">
        <f aca="false">IF($AL369="","",SUMIFS($M$2:$M$501,$AK$2:$AK$501,"Candidate",$AL$2:$AL$501,"&lt;="&amp;$AL369))</f>
        <v/>
      </c>
      <c r="AN369" s="65" t="str">
        <f aca="false">IF($AL369="","",IF($AM369&lt;=CapacityOpen,"Fits","Below line"))</f>
        <v/>
      </c>
      <c r="AO369" s="65" t="str">
        <f aca="false">IF($A369="","",IF($X369="Closed","",IF($X369="Unmapped","Warning",IF(OR($AB369="Overdue",$V369="Y",$AH369="Critical"),"Critical",IF(OR($AB369="At risk",$AC369="Stale",$AG369="Over"),"Warning","")))))</f>
        <v/>
      </c>
      <c r="AP369" s="65" t="str">
        <f aca="false">IF($AO369="","",IF($AO369="Critical",3000,2000)-IF($Z369="",0,$Z369)+ROW()/100000)</f>
        <v/>
      </c>
      <c r="AQ369" s="65" t="str">
        <f aca="false">IF($AO369="","",IF($X369="Unmapped","Status '"&amp;$C369&amp;"' is not in the Config map",IF($V369="Y","Flagged in Jira",IF($AB369="Overdue",-$Z369&amp;" days past its "&amp;$X369&amp;" target",IF($AH369="Critical",$AI369,IF($AB369="At risk","Target in "&amp;$Z369&amp;" days",IF($AC369="Stale","No update in "&amp;$AA369&amp;" days","Past its "&amp;$AE369&amp;"-day tier window")))))))</f>
        <v/>
      </c>
      <c r="AR369" s="65" t="str">
        <f aca="false">IF($AO369="","","draft Jira update for "&amp;$A369)</f>
        <v/>
      </c>
      <c r="AS369" s="65" t="str">
        <f aca="false">IF($A369="","",HYPERLINK(JiraSite&amp;"/browse/"&amp;$A369,"open"))</f>
        <v/>
      </c>
      <c r="AT369" s="65" t="str">
        <f aca="false">IF($Y369="","",$Y369*1000+ROW())</f>
        <v/>
      </c>
      <c r="AU369" s="65" t="str">
        <f aca="false">IF(AND($A369&lt;&gt;"",$G369&gt;=WeekStart),$G369+ROW()/100000,"")</f>
        <v/>
      </c>
      <c r="AV369" s="65" t="str">
        <f aca="false">IF($A369="","",IF(OR(AND($S369&lt;&gt;"",$S369&gt;=WeekStart),AND($U369&lt;&gt;"",$U369&gt;=WeekStart)),MAX($S369,$U369)+ROW()/100000,""))</f>
        <v/>
      </c>
      <c r="AW369" s="65" t="str">
        <f aca="false">IF($AV369="","",IF($T369&lt;&gt;"",$T369,IF($X369="Closed","Closed","Accepted to "&amp;$X369)))</f>
        <v/>
      </c>
      <c r="AX369" s="65" t="str">
        <f aca="false">IF(AND($Y369&lt;&gt;"",$R369&lt;&gt;""),$AF369+ROW()/100000,"")</f>
        <v/>
      </c>
      <c r="AY369" s="65" t="str">
        <f aca="false">IF(AND($Y369&lt;&gt;"",OR($AB369="Overdue",AND($AH369="Critical",$R369&lt;&gt;""))),$AF369+ROW()/100000,"")</f>
        <v/>
      </c>
      <c r="AZ369" s="65" t="str">
        <f aca="false">IF($AH369="Critical",$AF369+ROW()/100000,"")</f>
        <v/>
      </c>
    </row>
    <row r="370" customFormat="false" ht="15" hidden="false" customHeight="false" outlineLevel="0" collapsed="false">
      <c r="A370" s="28"/>
      <c r="B370" s="28"/>
      <c r="C370" s="28"/>
      <c r="D370" s="28"/>
      <c r="E370" s="28"/>
      <c r="F370" s="28"/>
      <c r="G370" s="63"/>
      <c r="H370" s="63"/>
      <c r="I370" s="63"/>
      <c r="J370" s="28"/>
      <c r="K370" s="28"/>
      <c r="L370" s="28"/>
      <c r="M370" s="28"/>
      <c r="N370" s="28"/>
      <c r="O370" s="64"/>
      <c r="P370" s="64"/>
      <c r="Q370" s="64"/>
      <c r="R370" s="28"/>
      <c r="S370" s="63"/>
      <c r="T370" s="64"/>
      <c r="U370" s="63"/>
      <c r="V370" s="64"/>
      <c r="W370" s="28"/>
      <c r="X370" s="65" t="str">
        <f aca="false">IF($A370="","",IF(OR($T370&lt;&gt;"",$U370&lt;&gt;""),"Closed",IFERROR(INDEX(MapStage,MATCH($C370,MapStatus,0)),"Unmapped")))</f>
        <v/>
      </c>
      <c r="Y370" s="65" t="str">
        <f aca="false">IF(OR($X370="",$X370="Closed",$X370="Unmapped"),"",MATCH($X370,StageName,0))</f>
        <v/>
      </c>
      <c r="Z370" s="65" t="str">
        <f aca="false">IF(OR($Y370="",$I370=""),"",$I370-AsOf)</f>
        <v/>
      </c>
      <c r="AA370" s="65" t="str">
        <f aca="false">IF($A370="","",AsOf-$H370)</f>
        <v/>
      </c>
      <c r="AB370" s="65" t="str">
        <f aca="false">IF($A370="","",IF($X370="Closed","Closed",IF($X370="Unmapped","Unmapped",IF($I370="","No target",IF($Z370&lt;0,"Overdue",IF($Z370&lt;=INDEX(StageWindow,$Y370),"At risk","On track"))))))</f>
        <v/>
      </c>
      <c r="AC370" s="65" t="str">
        <f aca="false">IF($Y370="","",IF($AA370&gt;2*INDEX(StageStale,$Y370),"Stale",IF($AA370&gt;INDEX(StageStale,$Y370),"Aging","Fresh")))</f>
        <v/>
      </c>
      <c r="AD370" s="65" t="str">
        <f aca="false">IF($A370="","",IF(OR(ISNUMBER(SEARCH("Reg report",$J370)),ISNUMBER(SEARCH("No human review",$J370)),COUNTIF(TierFuncs,$D370)&gt;0),"High",IF(OR(TRIM($J370)&lt;&gt;"",ISNUMBER(SEARCH("revenue",$K370))),"Medium","Low")))</f>
        <v/>
      </c>
      <c r="AE370" s="65" t="str">
        <f aca="false">IF($A370="","",INDEX(TierDays,MATCH($AD370,TierName,0)))</f>
        <v/>
      </c>
      <c r="AF370" s="65" t="str">
        <f aca="false">IF($A370="","",AsOf-$G370)</f>
        <v/>
      </c>
      <c r="AG370" s="65" t="str">
        <f aca="false">IF($Y370="","",IF($Y370&lt;=5,IF($AF370&gt;$AE370,"Over","Inside"),"Past approval"))</f>
        <v/>
      </c>
      <c r="AH370" s="65" t="str">
        <f aca="false">IF($Y370="","",CHOOSE($Y370,IF(OR(TRIM($F370)="",ISNUMBER(SEARCH("not named",$F370))),"Critical","Good"),IF($O370&lt;&gt;"Y","Critical",IF($Q370&lt;&gt;"Y","Warning","Good")),IF($P370="","Critical",IF($P370="partial","Warning",IF($P370="ready","Good","Critical"))),IF($R370&lt;&gt;"","Critical","Warning"),IF($L370="","Critical",IF($N370="","Warning","Good")),IF($R370&lt;&gt;"","Critical","Warning"),IF($R370&lt;&gt;"","Critical","Warning"),IF($Q370="Y","Good","Critical")))</f>
        <v/>
      </c>
      <c r="AI370" s="65" t="str">
        <f aca="false">IF($Y370="","",CHOOSE($Y370,IF(OR(TRIM($F370)="",ISNUMBER(SEARCH("not named",$F370))),"Name a sponsor accountable for the value",""),IF($O370&lt;&gt;"Y","State the success metric and the stop condition",IF($Q370&lt;&gt;"Y","Set the baseline the benefit will be measured against","")),IF($P370="","Assess data readiness and regulatory impact",IF($P370="partial","Close the known data gaps",IF($P370="ready","","Data is not available; reshape or park"))),IF($R370&lt;&gt;"",IF(OR(ISNUMBER(SEARCH("mrm",$R370)),ISNUMBER(SEARCH("model",$R370)),ISNUMBER(SEARCH("risk",$R370)),ISNUMBER(SEARCH("legal",$R370)),ISNUMBER(SEARCH("complian",$R370))),"Awaiting ","Held at the design gate: ")&amp;$R370,"Map the governance framework for its tier"),IF($L370="","Size the annual benefit",IF($N370="","Score it so it can be ranked against capacity","")),IF($R370&lt;&gt;"","Build held: "&amp;$R370,"In build, not yet through test"),IF($R370&lt;&gt;"","Not ready to scale: "&amp;$R370,"Monitoring and third-party review not yet signed off"),IF($Q370="Y","","Live without a measured baseline to judge it against")))</f>
        <v/>
      </c>
      <c r="AJ370" s="65" t="str">
        <f aca="false">IF($Y370="","",INDEX(StageForum,$Y370))</f>
        <v/>
      </c>
      <c r="AK370" s="65" t="str">
        <f aca="false">IF($Y370="","",IF(OR($X370="Delivery",$X370="Value"),"Committed",IF($N370&lt;&gt;"","Candidate","")))</f>
        <v/>
      </c>
      <c r="AL370" s="65" t="str">
        <f aca="false">IF($AK370&lt;&gt;"Candidate","",COUNTIFS($AK$2:$AK$501,"Candidate",$N$2:$N$501,"&gt;"&amp;$N370)+COUNTIFS($AK$2:$AK$501,"Candidate",$N$2:$N$501,$N370,$A$2:$A$501,"&lt;"&amp;$A370)+1)</f>
        <v/>
      </c>
      <c r="AM370" s="65" t="str">
        <f aca="false">IF($AL370="","",SUMIFS($M$2:$M$501,$AK$2:$AK$501,"Candidate",$AL$2:$AL$501,"&lt;="&amp;$AL370))</f>
        <v/>
      </c>
      <c r="AN370" s="65" t="str">
        <f aca="false">IF($AL370="","",IF($AM370&lt;=CapacityOpen,"Fits","Below line"))</f>
        <v/>
      </c>
      <c r="AO370" s="65" t="str">
        <f aca="false">IF($A370="","",IF($X370="Closed","",IF($X370="Unmapped","Warning",IF(OR($AB370="Overdue",$V370="Y",$AH370="Critical"),"Critical",IF(OR($AB370="At risk",$AC370="Stale",$AG370="Over"),"Warning","")))))</f>
        <v/>
      </c>
      <c r="AP370" s="65" t="str">
        <f aca="false">IF($AO370="","",IF($AO370="Critical",3000,2000)-IF($Z370="",0,$Z370)+ROW()/100000)</f>
        <v/>
      </c>
      <c r="AQ370" s="65" t="str">
        <f aca="false">IF($AO370="","",IF($X370="Unmapped","Status '"&amp;$C370&amp;"' is not in the Config map",IF($V370="Y","Flagged in Jira",IF($AB370="Overdue",-$Z370&amp;" days past its "&amp;$X370&amp;" target",IF($AH370="Critical",$AI370,IF($AB370="At risk","Target in "&amp;$Z370&amp;" days",IF($AC370="Stale","No update in "&amp;$AA370&amp;" days","Past its "&amp;$AE370&amp;"-day tier window")))))))</f>
        <v/>
      </c>
      <c r="AR370" s="65" t="str">
        <f aca="false">IF($AO370="","","draft Jira update for "&amp;$A370)</f>
        <v/>
      </c>
      <c r="AS370" s="65" t="str">
        <f aca="false">IF($A370="","",HYPERLINK(JiraSite&amp;"/browse/"&amp;$A370,"open"))</f>
        <v/>
      </c>
      <c r="AT370" s="65" t="str">
        <f aca="false">IF($Y370="","",$Y370*1000+ROW())</f>
        <v/>
      </c>
      <c r="AU370" s="65" t="str">
        <f aca="false">IF(AND($A370&lt;&gt;"",$G370&gt;=WeekStart),$G370+ROW()/100000,"")</f>
        <v/>
      </c>
      <c r="AV370" s="65" t="str">
        <f aca="false">IF($A370="","",IF(OR(AND($S370&lt;&gt;"",$S370&gt;=WeekStart),AND($U370&lt;&gt;"",$U370&gt;=WeekStart)),MAX($S370,$U370)+ROW()/100000,""))</f>
        <v/>
      </c>
      <c r="AW370" s="65" t="str">
        <f aca="false">IF($AV370="","",IF($T370&lt;&gt;"",$T370,IF($X370="Closed","Closed","Accepted to "&amp;$X370)))</f>
        <v/>
      </c>
      <c r="AX370" s="65" t="str">
        <f aca="false">IF(AND($Y370&lt;&gt;"",$R370&lt;&gt;""),$AF370+ROW()/100000,"")</f>
        <v/>
      </c>
      <c r="AY370" s="65" t="str">
        <f aca="false">IF(AND($Y370&lt;&gt;"",OR($AB370="Overdue",AND($AH370="Critical",$R370&lt;&gt;""))),$AF370+ROW()/100000,"")</f>
        <v/>
      </c>
      <c r="AZ370" s="65" t="str">
        <f aca="false">IF($AH370="Critical",$AF370+ROW()/100000,"")</f>
        <v/>
      </c>
    </row>
    <row r="371" customFormat="false" ht="15" hidden="false" customHeight="false" outlineLevel="0" collapsed="false">
      <c r="A371" s="28"/>
      <c r="B371" s="28"/>
      <c r="C371" s="28"/>
      <c r="D371" s="28"/>
      <c r="E371" s="28"/>
      <c r="F371" s="28"/>
      <c r="G371" s="63"/>
      <c r="H371" s="63"/>
      <c r="I371" s="63"/>
      <c r="J371" s="28"/>
      <c r="K371" s="28"/>
      <c r="L371" s="28"/>
      <c r="M371" s="28"/>
      <c r="N371" s="28"/>
      <c r="O371" s="64"/>
      <c r="P371" s="64"/>
      <c r="Q371" s="64"/>
      <c r="R371" s="28"/>
      <c r="S371" s="63"/>
      <c r="T371" s="64"/>
      <c r="U371" s="63"/>
      <c r="V371" s="64"/>
      <c r="W371" s="28"/>
      <c r="X371" s="65" t="str">
        <f aca="false">IF($A371="","",IF(OR($T371&lt;&gt;"",$U371&lt;&gt;""),"Closed",IFERROR(INDEX(MapStage,MATCH($C371,MapStatus,0)),"Unmapped")))</f>
        <v/>
      </c>
      <c r="Y371" s="65" t="str">
        <f aca="false">IF(OR($X371="",$X371="Closed",$X371="Unmapped"),"",MATCH($X371,StageName,0))</f>
        <v/>
      </c>
      <c r="Z371" s="65" t="str">
        <f aca="false">IF(OR($Y371="",$I371=""),"",$I371-AsOf)</f>
        <v/>
      </c>
      <c r="AA371" s="65" t="str">
        <f aca="false">IF($A371="","",AsOf-$H371)</f>
        <v/>
      </c>
      <c r="AB371" s="65" t="str">
        <f aca="false">IF($A371="","",IF($X371="Closed","Closed",IF($X371="Unmapped","Unmapped",IF($I371="","No target",IF($Z371&lt;0,"Overdue",IF($Z371&lt;=INDEX(StageWindow,$Y371),"At risk","On track"))))))</f>
        <v/>
      </c>
      <c r="AC371" s="65" t="str">
        <f aca="false">IF($Y371="","",IF($AA371&gt;2*INDEX(StageStale,$Y371),"Stale",IF($AA371&gt;INDEX(StageStale,$Y371),"Aging","Fresh")))</f>
        <v/>
      </c>
      <c r="AD371" s="65" t="str">
        <f aca="false">IF($A371="","",IF(OR(ISNUMBER(SEARCH("Reg report",$J371)),ISNUMBER(SEARCH("No human review",$J371)),COUNTIF(TierFuncs,$D371)&gt;0),"High",IF(OR(TRIM($J371)&lt;&gt;"",ISNUMBER(SEARCH("revenue",$K371))),"Medium","Low")))</f>
        <v/>
      </c>
      <c r="AE371" s="65" t="str">
        <f aca="false">IF($A371="","",INDEX(TierDays,MATCH($AD371,TierName,0)))</f>
        <v/>
      </c>
      <c r="AF371" s="65" t="str">
        <f aca="false">IF($A371="","",AsOf-$G371)</f>
        <v/>
      </c>
      <c r="AG371" s="65" t="str">
        <f aca="false">IF($Y371="","",IF($Y371&lt;=5,IF($AF371&gt;$AE371,"Over","Inside"),"Past approval"))</f>
        <v/>
      </c>
      <c r="AH371" s="65" t="str">
        <f aca="false">IF($Y371="","",CHOOSE($Y371,IF(OR(TRIM($F371)="",ISNUMBER(SEARCH("not named",$F371))),"Critical","Good"),IF($O371&lt;&gt;"Y","Critical",IF($Q371&lt;&gt;"Y","Warning","Good")),IF($P371="","Critical",IF($P371="partial","Warning",IF($P371="ready","Good","Critical"))),IF($R371&lt;&gt;"","Critical","Warning"),IF($L371="","Critical",IF($N371="","Warning","Good")),IF($R371&lt;&gt;"","Critical","Warning"),IF($R371&lt;&gt;"","Critical","Warning"),IF($Q371="Y","Good","Critical")))</f>
        <v/>
      </c>
      <c r="AI371" s="65" t="str">
        <f aca="false">IF($Y371="","",CHOOSE($Y371,IF(OR(TRIM($F371)="",ISNUMBER(SEARCH("not named",$F371))),"Name a sponsor accountable for the value",""),IF($O371&lt;&gt;"Y","State the success metric and the stop condition",IF($Q371&lt;&gt;"Y","Set the baseline the benefit will be measured against","")),IF($P371="","Assess data readiness and regulatory impact",IF($P371="partial","Close the known data gaps",IF($P371="ready","","Data is not available; reshape or park"))),IF($R371&lt;&gt;"",IF(OR(ISNUMBER(SEARCH("mrm",$R371)),ISNUMBER(SEARCH("model",$R371)),ISNUMBER(SEARCH("risk",$R371)),ISNUMBER(SEARCH("legal",$R371)),ISNUMBER(SEARCH("complian",$R371))),"Awaiting ","Held at the design gate: ")&amp;$R371,"Map the governance framework for its tier"),IF($L371="","Size the annual benefit",IF($N371="","Score it so it can be ranked against capacity","")),IF($R371&lt;&gt;"","Build held: "&amp;$R371,"In build, not yet through test"),IF($R371&lt;&gt;"","Not ready to scale: "&amp;$R371,"Monitoring and third-party review not yet signed off"),IF($Q371="Y","","Live without a measured baseline to judge it against")))</f>
        <v/>
      </c>
      <c r="AJ371" s="65" t="str">
        <f aca="false">IF($Y371="","",INDEX(StageForum,$Y371))</f>
        <v/>
      </c>
      <c r="AK371" s="65" t="str">
        <f aca="false">IF($Y371="","",IF(OR($X371="Delivery",$X371="Value"),"Committed",IF($N371&lt;&gt;"","Candidate","")))</f>
        <v/>
      </c>
      <c r="AL371" s="65" t="str">
        <f aca="false">IF($AK371&lt;&gt;"Candidate","",COUNTIFS($AK$2:$AK$501,"Candidate",$N$2:$N$501,"&gt;"&amp;$N371)+COUNTIFS($AK$2:$AK$501,"Candidate",$N$2:$N$501,$N371,$A$2:$A$501,"&lt;"&amp;$A371)+1)</f>
        <v/>
      </c>
      <c r="AM371" s="65" t="str">
        <f aca="false">IF($AL371="","",SUMIFS($M$2:$M$501,$AK$2:$AK$501,"Candidate",$AL$2:$AL$501,"&lt;="&amp;$AL371))</f>
        <v/>
      </c>
      <c r="AN371" s="65" t="str">
        <f aca="false">IF($AL371="","",IF($AM371&lt;=CapacityOpen,"Fits","Below line"))</f>
        <v/>
      </c>
      <c r="AO371" s="65" t="str">
        <f aca="false">IF($A371="","",IF($X371="Closed","",IF($X371="Unmapped","Warning",IF(OR($AB371="Overdue",$V371="Y",$AH371="Critical"),"Critical",IF(OR($AB371="At risk",$AC371="Stale",$AG371="Over"),"Warning","")))))</f>
        <v/>
      </c>
      <c r="AP371" s="65" t="str">
        <f aca="false">IF($AO371="","",IF($AO371="Critical",3000,2000)-IF($Z371="",0,$Z371)+ROW()/100000)</f>
        <v/>
      </c>
      <c r="AQ371" s="65" t="str">
        <f aca="false">IF($AO371="","",IF($X371="Unmapped","Status '"&amp;$C371&amp;"' is not in the Config map",IF($V371="Y","Flagged in Jira",IF($AB371="Overdue",-$Z371&amp;" days past its "&amp;$X371&amp;" target",IF($AH371="Critical",$AI371,IF($AB371="At risk","Target in "&amp;$Z371&amp;" days",IF($AC371="Stale","No update in "&amp;$AA371&amp;" days","Past its "&amp;$AE371&amp;"-day tier window")))))))</f>
        <v/>
      </c>
      <c r="AR371" s="65" t="str">
        <f aca="false">IF($AO371="","","draft Jira update for "&amp;$A371)</f>
        <v/>
      </c>
      <c r="AS371" s="65" t="str">
        <f aca="false">IF($A371="","",HYPERLINK(JiraSite&amp;"/browse/"&amp;$A371,"open"))</f>
        <v/>
      </c>
      <c r="AT371" s="65" t="str">
        <f aca="false">IF($Y371="","",$Y371*1000+ROW())</f>
        <v/>
      </c>
      <c r="AU371" s="65" t="str">
        <f aca="false">IF(AND($A371&lt;&gt;"",$G371&gt;=WeekStart),$G371+ROW()/100000,"")</f>
        <v/>
      </c>
      <c r="AV371" s="65" t="str">
        <f aca="false">IF($A371="","",IF(OR(AND($S371&lt;&gt;"",$S371&gt;=WeekStart),AND($U371&lt;&gt;"",$U371&gt;=WeekStart)),MAX($S371,$U371)+ROW()/100000,""))</f>
        <v/>
      </c>
      <c r="AW371" s="65" t="str">
        <f aca="false">IF($AV371="","",IF($T371&lt;&gt;"",$T371,IF($X371="Closed","Closed","Accepted to "&amp;$X371)))</f>
        <v/>
      </c>
      <c r="AX371" s="65" t="str">
        <f aca="false">IF(AND($Y371&lt;&gt;"",$R371&lt;&gt;""),$AF371+ROW()/100000,"")</f>
        <v/>
      </c>
      <c r="AY371" s="65" t="str">
        <f aca="false">IF(AND($Y371&lt;&gt;"",OR($AB371="Overdue",AND($AH371="Critical",$R371&lt;&gt;""))),$AF371+ROW()/100000,"")</f>
        <v/>
      </c>
      <c r="AZ371" s="65" t="str">
        <f aca="false">IF($AH371="Critical",$AF371+ROW()/100000,"")</f>
        <v/>
      </c>
    </row>
    <row r="372" customFormat="false" ht="15" hidden="false" customHeight="false" outlineLevel="0" collapsed="false">
      <c r="A372" s="28"/>
      <c r="B372" s="28"/>
      <c r="C372" s="28"/>
      <c r="D372" s="28"/>
      <c r="E372" s="28"/>
      <c r="F372" s="28"/>
      <c r="G372" s="63"/>
      <c r="H372" s="63"/>
      <c r="I372" s="63"/>
      <c r="J372" s="28"/>
      <c r="K372" s="28"/>
      <c r="L372" s="28"/>
      <c r="M372" s="28"/>
      <c r="N372" s="28"/>
      <c r="O372" s="64"/>
      <c r="P372" s="64"/>
      <c r="Q372" s="64"/>
      <c r="R372" s="28"/>
      <c r="S372" s="63"/>
      <c r="T372" s="64"/>
      <c r="U372" s="63"/>
      <c r="V372" s="64"/>
      <c r="W372" s="28"/>
      <c r="X372" s="65" t="str">
        <f aca="false">IF($A372="","",IF(OR($T372&lt;&gt;"",$U372&lt;&gt;""),"Closed",IFERROR(INDEX(MapStage,MATCH($C372,MapStatus,0)),"Unmapped")))</f>
        <v/>
      </c>
      <c r="Y372" s="65" t="str">
        <f aca="false">IF(OR($X372="",$X372="Closed",$X372="Unmapped"),"",MATCH($X372,StageName,0))</f>
        <v/>
      </c>
      <c r="Z372" s="65" t="str">
        <f aca="false">IF(OR($Y372="",$I372=""),"",$I372-AsOf)</f>
        <v/>
      </c>
      <c r="AA372" s="65" t="str">
        <f aca="false">IF($A372="","",AsOf-$H372)</f>
        <v/>
      </c>
      <c r="AB372" s="65" t="str">
        <f aca="false">IF($A372="","",IF($X372="Closed","Closed",IF($X372="Unmapped","Unmapped",IF($I372="","No target",IF($Z372&lt;0,"Overdue",IF($Z372&lt;=INDEX(StageWindow,$Y372),"At risk","On track"))))))</f>
        <v/>
      </c>
      <c r="AC372" s="65" t="str">
        <f aca="false">IF($Y372="","",IF($AA372&gt;2*INDEX(StageStale,$Y372),"Stale",IF($AA372&gt;INDEX(StageStale,$Y372),"Aging","Fresh")))</f>
        <v/>
      </c>
      <c r="AD372" s="65" t="str">
        <f aca="false">IF($A372="","",IF(OR(ISNUMBER(SEARCH("Reg report",$J372)),ISNUMBER(SEARCH("No human review",$J372)),COUNTIF(TierFuncs,$D372)&gt;0),"High",IF(OR(TRIM($J372)&lt;&gt;"",ISNUMBER(SEARCH("revenue",$K372))),"Medium","Low")))</f>
        <v/>
      </c>
      <c r="AE372" s="65" t="str">
        <f aca="false">IF($A372="","",INDEX(TierDays,MATCH($AD372,TierName,0)))</f>
        <v/>
      </c>
      <c r="AF372" s="65" t="str">
        <f aca="false">IF($A372="","",AsOf-$G372)</f>
        <v/>
      </c>
      <c r="AG372" s="65" t="str">
        <f aca="false">IF($Y372="","",IF($Y372&lt;=5,IF($AF372&gt;$AE372,"Over","Inside"),"Past approval"))</f>
        <v/>
      </c>
      <c r="AH372" s="65" t="str">
        <f aca="false">IF($Y372="","",CHOOSE($Y372,IF(OR(TRIM($F372)="",ISNUMBER(SEARCH("not named",$F372))),"Critical","Good"),IF($O372&lt;&gt;"Y","Critical",IF($Q372&lt;&gt;"Y","Warning","Good")),IF($P372="","Critical",IF($P372="partial","Warning",IF($P372="ready","Good","Critical"))),IF($R372&lt;&gt;"","Critical","Warning"),IF($L372="","Critical",IF($N372="","Warning","Good")),IF($R372&lt;&gt;"","Critical","Warning"),IF($R372&lt;&gt;"","Critical","Warning"),IF($Q372="Y","Good","Critical")))</f>
        <v/>
      </c>
      <c r="AI372" s="65" t="str">
        <f aca="false">IF($Y372="","",CHOOSE($Y372,IF(OR(TRIM($F372)="",ISNUMBER(SEARCH("not named",$F372))),"Name a sponsor accountable for the value",""),IF($O372&lt;&gt;"Y","State the success metric and the stop condition",IF($Q372&lt;&gt;"Y","Set the baseline the benefit will be measured against","")),IF($P372="","Assess data readiness and regulatory impact",IF($P372="partial","Close the known data gaps",IF($P372="ready","","Data is not available; reshape or park"))),IF($R372&lt;&gt;"",IF(OR(ISNUMBER(SEARCH("mrm",$R372)),ISNUMBER(SEARCH("model",$R372)),ISNUMBER(SEARCH("risk",$R372)),ISNUMBER(SEARCH("legal",$R372)),ISNUMBER(SEARCH("complian",$R372))),"Awaiting ","Held at the design gate: ")&amp;$R372,"Map the governance framework for its tier"),IF($L372="","Size the annual benefit",IF($N372="","Score it so it can be ranked against capacity","")),IF($R372&lt;&gt;"","Build held: "&amp;$R372,"In build, not yet through test"),IF($R372&lt;&gt;"","Not ready to scale: "&amp;$R372,"Monitoring and third-party review not yet signed off"),IF($Q372="Y","","Live without a measured baseline to judge it against")))</f>
        <v/>
      </c>
      <c r="AJ372" s="65" t="str">
        <f aca="false">IF($Y372="","",INDEX(StageForum,$Y372))</f>
        <v/>
      </c>
      <c r="AK372" s="65" t="str">
        <f aca="false">IF($Y372="","",IF(OR($X372="Delivery",$X372="Value"),"Committed",IF($N372&lt;&gt;"","Candidate","")))</f>
        <v/>
      </c>
      <c r="AL372" s="65" t="str">
        <f aca="false">IF($AK372&lt;&gt;"Candidate","",COUNTIFS($AK$2:$AK$501,"Candidate",$N$2:$N$501,"&gt;"&amp;$N372)+COUNTIFS($AK$2:$AK$501,"Candidate",$N$2:$N$501,$N372,$A$2:$A$501,"&lt;"&amp;$A372)+1)</f>
        <v/>
      </c>
      <c r="AM372" s="65" t="str">
        <f aca="false">IF($AL372="","",SUMIFS($M$2:$M$501,$AK$2:$AK$501,"Candidate",$AL$2:$AL$501,"&lt;="&amp;$AL372))</f>
        <v/>
      </c>
      <c r="AN372" s="65" t="str">
        <f aca="false">IF($AL372="","",IF($AM372&lt;=CapacityOpen,"Fits","Below line"))</f>
        <v/>
      </c>
      <c r="AO372" s="65" t="str">
        <f aca="false">IF($A372="","",IF($X372="Closed","",IF($X372="Unmapped","Warning",IF(OR($AB372="Overdue",$V372="Y",$AH372="Critical"),"Critical",IF(OR($AB372="At risk",$AC372="Stale",$AG372="Over"),"Warning","")))))</f>
        <v/>
      </c>
      <c r="AP372" s="65" t="str">
        <f aca="false">IF($AO372="","",IF($AO372="Critical",3000,2000)-IF($Z372="",0,$Z372)+ROW()/100000)</f>
        <v/>
      </c>
      <c r="AQ372" s="65" t="str">
        <f aca="false">IF($AO372="","",IF($X372="Unmapped","Status '"&amp;$C372&amp;"' is not in the Config map",IF($V372="Y","Flagged in Jira",IF($AB372="Overdue",-$Z372&amp;" days past its "&amp;$X372&amp;" target",IF($AH372="Critical",$AI372,IF($AB372="At risk","Target in "&amp;$Z372&amp;" days",IF($AC372="Stale","No update in "&amp;$AA372&amp;" days","Past its "&amp;$AE372&amp;"-day tier window")))))))</f>
        <v/>
      </c>
      <c r="AR372" s="65" t="str">
        <f aca="false">IF($AO372="","","draft Jira update for "&amp;$A372)</f>
        <v/>
      </c>
      <c r="AS372" s="65" t="str">
        <f aca="false">IF($A372="","",HYPERLINK(JiraSite&amp;"/browse/"&amp;$A372,"open"))</f>
        <v/>
      </c>
      <c r="AT372" s="65" t="str">
        <f aca="false">IF($Y372="","",$Y372*1000+ROW())</f>
        <v/>
      </c>
      <c r="AU372" s="65" t="str">
        <f aca="false">IF(AND($A372&lt;&gt;"",$G372&gt;=WeekStart),$G372+ROW()/100000,"")</f>
        <v/>
      </c>
      <c r="AV372" s="65" t="str">
        <f aca="false">IF($A372="","",IF(OR(AND($S372&lt;&gt;"",$S372&gt;=WeekStart),AND($U372&lt;&gt;"",$U372&gt;=WeekStart)),MAX($S372,$U372)+ROW()/100000,""))</f>
        <v/>
      </c>
      <c r="AW372" s="65" t="str">
        <f aca="false">IF($AV372="","",IF($T372&lt;&gt;"",$T372,IF($X372="Closed","Closed","Accepted to "&amp;$X372)))</f>
        <v/>
      </c>
      <c r="AX372" s="65" t="str">
        <f aca="false">IF(AND($Y372&lt;&gt;"",$R372&lt;&gt;""),$AF372+ROW()/100000,"")</f>
        <v/>
      </c>
      <c r="AY372" s="65" t="str">
        <f aca="false">IF(AND($Y372&lt;&gt;"",OR($AB372="Overdue",AND($AH372="Critical",$R372&lt;&gt;""))),$AF372+ROW()/100000,"")</f>
        <v/>
      </c>
      <c r="AZ372" s="65" t="str">
        <f aca="false">IF($AH372="Critical",$AF372+ROW()/100000,"")</f>
        <v/>
      </c>
    </row>
    <row r="373" customFormat="false" ht="15" hidden="false" customHeight="false" outlineLevel="0" collapsed="false">
      <c r="A373" s="28"/>
      <c r="B373" s="28"/>
      <c r="C373" s="28"/>
      <c r="D373" s="28"/>
      <c r="E373" s="28"/>
      <c r="F373" s="28"/>
      <c r="G373" s="63"/>
      <c r="H373" s="63"/>
      <c r="I373" s="63"/>
      <c r="J373" s="28"/>
      <c r="K373" s="28"/>
      <c r="L373" s="28"/>
      <c r="M373" s="28"/>
      <c r="N373" s="28"/>
      <c r="O373" s="64"/>
      <c r="P373" s="64"/>
      <c r="Q373" s="64"/>
      <c r="R373" s="28"/>
      <c r="S373" s="63"/>
      <c r="T373" s="64"/>
      <c r="U373" s="63"/>
      <c r="V373" s="64"/>
      <c r="W373" s="28"/>
      <c r="X373" s="65" t="str">
        <f aca="false">IF($A373="","",IF(OR($T373&lt;&gt;"",$U373&lt;&gt;""),"Closed",IFERROR(INDEX(MapStage,MATCH($C373,MapStatus,0)),"Unmapped")))</f>
        <v/>
      </c>
      <c r="Y373" s="65" t="str">
        <f aca="false">IF(OR($X373="",$X373="Closed",$X373="Unmapped"),"",MATCH($X373,StageName,0))</f>
        <v/>
      </c>
      <c r="Z373" s="65" t="str">
        <f aca="false">IF(OR($Y373="",$I373=""),"",$I373-AsOf)</f>
        <v/>
      </c>
      <c r="AA373" s="65" t="str">
        <f aca="false">IF($A373="","",AsOf-$H373)</f>
        <v/>
      </c>
      <c r="AB373" s="65" t="str">
        <f aca="false">IF($A373="","",IF($X373="Closed","Closed",IF($X373="Unmapped","Unmapped",IF($I373="","No target",IF($Z373&lt;0,"Overdue",IF($Z373&lt;=INDEX(StageWindow,$Y373),"At risk","On track"))))))</f>
        <v/>
      </c>
      <c r="AC373" s="65" t="str">
        <f aca="false">IF($Y373="","",IF($AA373&gt;2*INDEX(StageStale,$Y373),"Stale",IF($AA373&gt;INDEX(StageStale,$Y373),"Aging","Fresh")))</f>
        <v/>
      </c>
      <c r="AD373" s="65" t="str">
        <f aca="false">IF($A373="","",IF(OR(ISNUMBER(SEARCH("Reg report",$J373)),ISNUMBER(SEARCH("No human review",$J373)),COUNTIF(TierFuncs,$D373)&gt;0),"High",IF(OR(TRIM($J373)&lt;&gt;"",ISNUMBER(SEARCH("revenue",$K373))),"Medium","Low")))</f>
        <v/>
      </c>
      <c r="AE373" s="65" t="str">
        <f aca="false">IF($A373="","",INDEX(TierDays,MATCH($AD373,TierName,0)))</f>
        <v/>
      </c>
      <c r="AF373" s="65" t="str">
        <f aca="false">IF($A373="","",AsOf-$G373)</f>
        <v/>
      </c>
      <c r="AG373" s="65" t="str">
        <f aca="false">IF($Y373="","",IF($Y373&lt;=5,IF($AF373&gt;$AE373,"Over","Inside"),"Past approval"))</f>
        <v/>
      </c>
      <c r="AH373" s="65" t="str">
        <f aca="false">IF($Y373="","",CHOOSE($Y373,IF(OR(TRIM($F373)="",ISNUMBER(SEARCH("not named",$F373))),"Critical","Good"),IF($O373&lt;&gt;"Y","Critical",IF($Q373&lt;&gt;"Y","Warning","Good")),IF($P373="","Critical",IF($P373="partial","Warning",IF($P373="ready","Good","Critical"))),IF($R373&lt;&gt;"","Critical","Warning"),IF($L373="","Critical",IF($N373="","Warning","Good")),IF($R373&lt;&gt;"","Critical","Warning"),IF($R373&lt;&gt;"","Critical","Warning"),IF($Q373="Y","Good","Critical")))</f>
        <v/>
      </c>
      <c r="AI373" s="65" t="str">
        <f aca="false">IF($Y373="","",CHOOSE($Y373,IF(OR(TRIM($F373)="",ISNUMBER(SEARCH("not named",$F373))),"Name a sponsor accountable for the value",""),IF($O373&lt;&gt;"Y","State the success metric and the stop condition",IF($Q373&lt;&gt;"Y","Set the baseline the benefit will be measured against","")),IF($P373="","Assess data readiness and regulatory impact",IF($P373="partial","Close the known data gaps",IF($P373="ready","","Data is not available; reshape or park"))),IF($R373&lt;&gt;"",IF(OR(ISNUMBER(SEARCH("mrm",$R373)),ISNUMBER(SEARCH("model",$R373)),ISNUMBER(SEARCH("risk",$R373)),ISNUMBER(SEARCH("legal",$R373)),ISNUMBER(SEARCH("complian",$R373))),"Awaiting ","Held at the design gate: ")&amp;$R373,"Map the governance framework for its tier"),IF($L373="","Size the annual benefit",IF($N373="","Score it so it can be ranked against capacity","")),IF($R373&lt;&gt;"","Build held: "&amp;$R373,"In build, not yet through test"),IF($R373&lt;&gt;"","Not ready to scale: "&amp;$R373,"Monitoring and third-party review not yet signed off"),IF($Q373="Y","","Live without a measured baseline to judge it against")))</f>
        <v/>
      </c>
      <c r="AJ373" s="65" t="str">
        <f aca="false">IF($Y373="","",INDEX(StageForum,$Y373))</f>
        <v/>
      </c>
      <c r="AK373" s="65" t="str">
        <f aca="false">IF($Y373="","",IF(OR($X373="Delivery",$X373="Value"),"Committed",IF($N373&lt;&gt;"","Candidate","")))</f>
        <v/>
      </c>
      <c r="AL373" s="65" t="str">
        <f aca="false">IF($AK373&lt;&gt;"Candidate","",COUNTIFS($AK$2:$AK$501,"Candidate",$N$2:$N$501,"&gt;"&amp;$N373)+COUNTIFS($AK$2:$AK$501,"Candidate",$N$2:$N$501,$N373,$A$2:$A$501,"&lt;"&amp;$A373)+1)</f>
        <v/>
      </c>
      <c r="AM373" s="65" t="str">
        <f aca="false">IF($AL373="","",SUMIFS($M$2:$M$501,$AK$2:$AK$501,"Candidate",$AL$2:$AL$501,"&lt;="&amp;$AL373))</f>
        <v/>
      </c>
      <c r="AN373" s="65" t="str">
        <f aca="false">IF($AL373="","",IF($AM373&lt;=CapacityOpen,"Fits","Below line"))</f>
        <v/>
      </c>
      <c r="AO373" s="65" t="str">
        <f aca="false">IF($A373="","",IF($X373="Closed","",IF($X373="Unmapped","Warning",IF(OR($AB373="Overdue",$V373="Y",$AH373="Critical"),"Critical",IF(OR($AB373="At risk",$AC373="Stale",$AG373="Over"),"Warning","")))))</f>
        <v/>
      </c>
      <c r="AP373" s="65" t="str">
        <f aca="false">IF($AO373="","",IF($AO373="Critical",3000,2000)-IF($Z373="",0,$Z373)+ROW()/100000)</f>
        <v/>
      </c>
      <c r="AQ373" s="65" t="str">
        <f aca="false">IF($AO373="","",IF($X373="Unmapped","Status '"&amp;$C373&amp;"' is not in the Config map",IF($V373="Y","Flagged in Jira",IF($AB373="Overdue",-$Z373&amp;" days past its "&amp;$X373&amp;" target",IF($AH373="Critical",$AI373,IF($AB373="At risk","Target in "&amp;$Z373&amp;" days",IF($AC373="Stale","No update in "&amp;$AA373&amp;" days","Past its "&amp;$AE373&amp;"-day tier window")))))))</f>
        <v/>
      </c>
      <c r="AR373" s="65" t="str">
        <f aca="false">IF($AO373="","","draft Jira update for "&amp;$A373)</f>
        <v/>
      </c>
      <c r="AS373" s="65" t="str">
        <f aca="false">IF($A373="","",HYPERLINK(JiraSite&amp;"/browse/"&amp;$A373,"open"))</f>
        <v/>
      </c>
      <c r="AT373" s="65" t="str">
        <f aca="false">IF($Y373="","",$Y373*1000+ROW())</f>
        <v/>
      </c>
      <c r="AU373" s="65" t="str">
        <f aca="false">IF(AND($A373&lt;&gt;"",$G373&gt;=WeekStart),$G373+ROW()/100000,"")</f>
        <v/>
      </c>
      <c r="AV373" s="65" t="str">
        <f aca="false">IF($A373="","",IF(OR(AND($S373&lt;&gt;"",$S373&gt;=WeekStart),AND($U373&lt;&gt;"",$U373&gt;=WeekStart)),MAX($S373,$U373)+ROW()/100000,""))</f>
        <v/>
      </c>
      <c r="AW373" s="65" t="str">
        <f aca="false">IF($AV373="","",IF($T373&lt;&gt;"",$T373,IF($X373="Closed","Closed","Accepted to "&amp;$X373)))</f>
        <v/>
      </c>
      <c r="AX373" s="65" t="str">
        <f aca="false">IF(AND($Y373&lt;&gt;"",$R373&lt;&gt;""),$AF373+ROW()/100000,"")</f>
        <v/>
      </c>
      <c r="AY373" s="65" t="str">
        <f aca="false">IF(AND($Y373&lt;&gt;"",OR($AB373="Overdue",AND($AH373="Critical",$R373&lt;&gt;""))),$AF373+ROW()/100000,"")</f>
        <v/>
      </c>
      <c r="AZ373" s="65" t="str">
        <f aca="false">IF($AH373="Critical",$AF373+ROW()/100000,"")</f>
        <v/>
      </c>
    </row>
    <row r="374" customFormat="false" ht="15" hidden="false" customHeight="false" outlineLevel="0" collapsed="false">
      <c r="A374" s="28"/>
      <c r="B374" s="28"/>
      <c r="C374" s="28"/>
      <c r="D374" s="28"/>
      <c r="E374" s="28"/>
      <c r="F374" s="28"/>
      <c r="G374" s="63"/>
      <c r="H374" s="63"/>
      <c r="I374" s="63"/>
      <c r="J374" s="28"/>
      <c r="K374" s="28"/>
      <c r="L374" s="28"/>
      <c r="M374" s="28"/>
      <c r="N374" s="28"/>
      <c r="O374" s="64"/>
      <c r="P374" s="64"/>
      <c r="Q374" s="64"/>
      <c r="R374" s="28"/>
      <c r="S374" s="63"/>
      <c r="T374" s="64"/>
      <c r="U374" s="63"/>
      <c r="V374" s="64"/>
      <c r="W374" s="28"/>
      <c r="X374" s="65" t="str">
        <f aca="false">IF($A374="","",IF(OR($T374&lt;&gt;"",$U374&lt;&gt;""),"Closed",IFERROR(INDEX(MapStage,MATCH($C374,MapStatus,0)),"Unmapped")))</f>
        <v/>
      </c>
      <c r="Y374" s="65" t="str">
        <f aca="false">IF(OR($X374="",$X374="Closed",$X374="Unmapped"),"",MATCH($X374,StageName,0))</f>
        <v/>
      </c>
      <c r="Z374" s="65" t="str">
        <f aca="false">IF(OR($Y374="",$I374=""),"",$I374-AsOf)</f>
        <v/>
      </c>
      <c r="AA374" s="65" t="str">
        <f aca="false">IF($A374="","",AsOf-$H374)</f>
        <v/>
      </c>
      <c r="AB374" s="65" t="str">
        <f aca="false">IF($A374="","",IF($X374="Closed","Closed",IF($X374="Unmapped","Unmapped",IF($I374="","No target",IF($Z374&lt;0,"Overdue",IF($Z374&lt;=INDEX(StageWindow,$Y374),"At risk","On track"))))))</f>
        <v/>
      </c>
      <c r="AC374" s="65" t="str">
        <f aca="false">IF($Y374="","",IF($AA374&gt;2*INDEX(StageStale,$Y374),"Stale",IF($AA374&gt;INDEX(StageStale,$Y374),"Aging","Fresh")))</f>
        <v/>
      </c>
      <c r="AD374" s="65" t="str">
        <f aca="false">IF($A374="","",IF(OR(ISNUMBER(SEARCH("Reg report",$J374)),ISNUMBER(SEARCH("No human review",$J374)),COUNTIF(TierFuncs,$D374)&gt;0),"High",IF(OR(TRIM($J374)&lt;&gt;"",ISNUMBER(SEARCH("revenue",$K374))),"Medium","Low")))</f>
        <v/>
      </c>
      <c r="AE374" s="65" t="str">
        <f aca="false">IF($A374="","",INDEX(TierDays,MATCH($AD374,TierName,0)))</f>
        <v/>
      </c>
      <c r="AF374" s="65" t="str">
        <f aca="false">IF($A374="","",AsOf-$G374)</f>
        <v/>
      </c>
      <c r="AG374" s="65" t="str">
        <f aca="false">IF($Y374="","",IF($Y374&lt;=5,IF($AF374&gt;$AE374,"Over","Inside"),"Past approval"))</f>
        <v/>
      </c>
      <c r="AH374" s="65" t="str">
        <f aca="false">IF($Y374="","",CHOOSE($Y374,IF(OR(TRIM($F374)="",ISNUMBER(SEARCH("not named",$F374))),"Critical","Good"),IF($O374&lt;&gt;"Y","Critical",IF($Q374&lt;&gt;"Y","Warning","Good")),IF($P374="","Critical",IF($P374="partial","Warning",IF($P374="ready","Good","Critical"))),IF($R374&lt;&gt;"","Critical","Warning"),IF($L374="","Critical",IF($N374="","Warning","Good")),IF($R374&lt;&gt;"","Critical","Warning"),IF($R374&lt;&gt;"","Critical","Warning"),IF($Q374="Y","Good","Critical")))</f>
        <v/>
      </c>
      <c r="AI374" s="65" t="str">
        <f aca="false">IF($Y374="","",CHOOSE($Y374,IF(OR(TRIM($F374)="",ISNUMBER(SEARCH("not named",$F374))),"Name a sponsor accountable for the value",""),IF($O374&lt;&gt;"Y","State the success metric and the stop condition",IF($Q374&lt;&gt;"Y","Set the baseline the benefit will be measured against","")),IF($P374="","Assess data readiness and regulatory impact",IF($P374="partial","Close the known data gaps",IF($P374="ready","","Data is not available; reshape or park"))),IF($R374&lt;&gt;"",IF(OR(ISNUMBER(SEARCH("mrm",$R374)),ISNUMBER(SEARCH("model",$R374)),ISNUMBER(SEARCH("risk",$R374)),ISNUMBER(SEARCH("legal",$R374)),ISNUMBER(SEARCH("complian",$R374))),"Awaiting ","Held at the design gate: ")&amp;$R374,"Map the governance framework for its tier"),IF($L374="","Size the annual benefit",IF($N374="","Score it so it can be ranked against capacity","")),IF($R374&lt;&gt;"","Build held: "&amp;$R374,"In build, not yet through test"),IF($R374&lt;&gt;"","Not ready to scale: "&amp;$R374,"Monitoring and third-party review not yet signed off"),IF($Q374="Y","","Live without a measured baseline to judge it against")))</f>
        <v/>
      </c>
      <c r="AJ374" s="65" t="str">
        <f aca="false">IF($Y374="","",INDEX(StageForum,$Y374))</f>
        <v/>
      </c>
      <c r="AK374" s="65" t="str">
        <f aca="false">IF($Y374="","",IF(OR($X374="Delivery",$X374="Value"),"Committed",IF($N374&lt;&gt;"","Candidate","")))</f>
        <v/>
      </c>
      <c r="AL374" s="65" t="str">
        <f aca="false">IF($AK374&lt;&gt;"Candidate","",COUNTIFS($AK$2:$AK$501,"Candidate",$N$2:$N$501,"&gt;"&amp;$N374)+COUNTIFS($AK$2:$AK$501,"Candidate",$N$2:$N$501,$N374,$A$2:$A$501,"&lt;"&amp;$A374)+1)</f>
        <v/>
      </c>
      <c r="AM374" s="65" t="str">
        <f aca="false">IF($AL374="","",SUMIFS($M$2:$M$501,$AK$2:$AK$501,"Candidate",$AL$2:$AL$501,"&lt;="&amp;$AL374))</f>
        <v/>
      </c>
      <c r="AN374" s="65" t="str">
        <f aca="false">IF($AL374="","",IF($AM374&lt;=CapacityOpen,"Fits","Below line"))</f>
        <v/>
      </c>
      <c r="AO374" s="65" t="str">
        <f aca="false">IF($A374="","",IF($X374="Closed","",IF($X374="Unmapped","Warning",IF(OR($AB374="Overdue",$V374="Y",$AH374="Critical"),"Critical",IF(OR($AB374="At risk",$AC374="Stale",$AG374="Over"),"Warning","")))))</f>
        <v/>
      </c>
      <c r="AP374" s="65" t="str">
        <f aca="false">IF($AO374="","",IF($AO374="Critical",3000,2000)-IF($Z374="",0,$Z374)+ROW()/100000)</f>
        <v/>
      </c>
      <c r="AQ374" s="65" t="str">
        <f aca="false">IF($AO374="","",IF($X374="Unmapped","Status '"&amp;$C374&amp;"' is not in the Config map",IF($V374="Y","Flagged in Jira",IF($AB374="Overdue",-$Z374&amp;" days past its "&amp;$X374&amp;" target",IF($AH374="Critical",$AI374,IF($AB374="At risk","Target in "&amp;$Z374&amp;" days",IF($AC374="Stale","No update in "&amp;$AA374&amp;" days","Past its "&amp;$AE374&amp;"-day tier window")))))))</f>
        <v/>
      </c>
      <c r="AR374" s="65" t="str">
        <f aca="false">IF($AO374="","","draft Jira update for "&amp;$A374)</f>
        <v/>
      </c>
      <c r="AS374" s="65" t="str">
        <f aca="false">IF($A374="","",HYPERLINK(JiraSite&amp;"/browse/"&amp;$A374,"open"))</f>
        <v/>
      </c>
      <c r="AT374" s="65" t="str">
        <f aca="false">IF($Y374="","",$Y374*1000+ROW())</f>
        <v/>
      </c>
      <c r="AU374" s="65" t="str">
        <f aca="false">IF(AND($A374&lt;&gt;"",$G374&gt;=WeekStart),$G374+ROW()/100000,"")</f>
        <v/>
      </c>
      <c r="AV374" s="65" t="str">
        <f aca="false">IF($A374="","",IF(OR(AND($S374&lt;&gt;"",$S374&gt;=WeekStart),AND($U374&lt;&gt;"",$U374&gt;=WeekStart)),MAX($S374,$U374)+ROW()/100000,""))</f>
        <v/>
      </c>
      <c r="AW374" s="65" t="str">
        <f aca="false">IF($AV374="","",IF($T374&lt;&gt;"",$T374,IF($X374="Closed","Closed","Accepted to "&amp;$X374)))</f>
        <v/>
      </c>
      <c r="AX374" s="65" t="str">
        <f aca="false">IF(AND($Y374&lt;&gt;"",$R374&lt;&gt;""),$AF374+ROW()/100000,"")</f>
        <v/>
      </c>
      <c r="AY374" s="65" t="str">
        <f aca="false">IF(AND($Y374&lt;&gt;"",OR($AB374="Overdue",AND($AH374="Critical",$R374&lt;&gt;""))),$AF374+ROW()/100000,"")</f>
        <v/>
      </c>
      <c r="AZ374" s="65" t="str">
        <f aca="false">IF($AH374="Critical",$AF374+ROW()/100000,"")</f>
        <v/>
      </c>
    </row>
    <row r="375" customFormat="false" ht="15" hidden="false" customHeight="false" outlineLevel="0" collapsed="false">
      <c r="A375" s="28"/>
      <c r="B375" s="28"/>
      <c r="C375" s="28"/>
      <c r="D375" s="28"/>
      <c r="E375" s="28"/>
      <c r="F375" s="28"/>
      <c r="G375" s="63"/>
      <c r="H375" s="63"/>
      <c r="I375" s="63"/>
      <c r="J375" s="28"/>
      <c r="K375" s="28"/>
      <c r="L375" s="28"/>
      <c r="M375" s="28"/>
      <c r="N375" s="28"/>
      <c r="O375" s="64"/>
      <c r="P375" s="64"/>
      <c r="Q375" s="64"/>
      <c r="R375" s="28"/>
      <c r="S375" s="63"/>
      <c r="T375" s="64"/>
      <c r="U375" s="63"/>
      <c r="V375" s="64"/>
      <c r="W375" s="28"/>
      <c r="X375" s="65" t="str">
        <f aca="false">IF($A375="","",IF(OR($T375&lt;&gt;"",$U375&lt;&gt;""),"Closed",IFERROR(INDEX(MapStage,MATCH($C375,MapStatus,0)),"Unmapped")))</f>
        <v/>
      </c>
      <c r="Y375" s="65" t="str">
        <f aca="false">IF(OR($X375="",$X375="Closed",$X375="Unmapped"),"",MATCH($X375,StageName,0))</f>
        <v/>
      </c>
      <c r="Z375" s="65" t="str">
        <f aca="false">IF(OR($Y375="",$I375=""),"",$I375-AsOf)</f>
        <v/>
      </c>
      <c r="AA375" s="65" t="str">
        <f aca="false">IF($A375="","",AsOf-$H375)</f>
        <v/>
      </c>
      <c r="AB375" s="65" t="str">
        <f aca="false">IF($A375="","",IF($X375="Closed","Closed",IF($X375="Unmapped","Unmapped",IF($I375="","No target",IF($Z375&lt;0,"Overdue",IF($Z375&lt;=INDEX(StageWindow,$Y375),"At risk","On track"))))))</f>
        <v/>
      </c>
      <c r="AC375" s="65" t="str">
        <f aca="false">IF($Y375="","",IF($AA375&gt;2*INDEX(StageStale,$Y375),"Stale",IF($AA375&gt;INDEX(StageStale,$Y375),"Aging","Fresh")))</f>
        <v/>
      </c>
      <c r="AD375" s="65" t="str">
        <f aca="false">IF($A375="","",IF(OR(ISNUMBER(SEARCH("Reg report",$J375)),ISNUMBER(SEARCH("No human review",$J375)),COUNTIF(TierFuncs,$D375)&gt;0),"High",IF(OR(TRIM($J375)&lt;&gt;"",ISNUMBER(SEARCH("revenue",$K375))),"Medium","Low")))</f>
        <v/>
      </c>
      <c r="AE375" s="65" t="str">
        <f aca="false">IF($A375="","",INDEX(TierDays,MATCH($AD375,TierName,0)))</f>
        <v/>
      </c>
      <c r="AF375" s="65" t="str">
        <f aca="false">IF($A375="","",AsOf-$G375)</f>
        <v/>
      </c>
      <c r="AG375" s="65" t="str">
        <f aca="false">IF($Y375="","",IF($Y375&lt;=5,IF($AF375&gt;$AE375,"Over","Inside"),"Past approval"))</f>
        <v/>
      </c>
      <c r="AH375" s="65" t="str">
        <f aca="false">IF($Y375="","",CHOOSE($Y375,IF(OR(TRIM($F375)="",ISNUMBER(SEARCH("not named",$F375))),"Critical","Good"),IF($O375&lt;&gt;"Y","Critical",IF($Q375&lt;&gt;"Y","Warning","Good")),IF($P375="","Critical",IF($P375="partial","Warning",IF($P375="ready","Good","Critical"))),IF($R375&lt;&gt;"","Critical","Warning"),IF($L375="","Critical",IF($N375="","Warning","Good")),IF($R375&lt;&gt;"","Critical","Warning"),IF($R375&lt;&gt;"","Critical","Warning"),IF($Q375="Y","Good","Critical")))</f>
        <v/>
      </c>
      <c r="AI375" s="65" t="str">
        <f aca="false">IF($Y375="","",CHOOSE($Y375,IF(OR(TRIM($F375)="",ISNUMBER(SEARCH("not named",$F375))),"Name a sponsor accountable for the value",""),IF($O375&lt;&gt;"Y","State the success metric and the stop condition",IF($Q375&lt;&gt;"Y","Set the baseline the benefit will be measured against","")),IF($P375="","Assess data readiness and regulatory impact",IF($P375="partial","Close the known data gaps",IF($P375="ready","","Data is not available; reshape or park"))),IF($R375&lt;&gt;"",IF(OR(ISNUMBER(SEARCH("mrm",$R375)),ISNUMBER(SEARCH("model",$R375)),ISNUMBER(SEARCH("risk",$R375)),ISNUMBER(SEARCH("legal",$R375)),ISNUMBER(SEARCH("complian",$R375))),"Awaiting ","Held at the design gate: ")&amp;$R375,"Map the governance framework for its tier"),IF($L375="","Size the annual benefit",IF($N375="","Score it so it can be ranked against capacity","")),IF($R375&lt;&gt;"","Build held: "&amp;$R375,"In build, not yet through test"),IF($R375&lt;&gt;"","Not ready to scale: "&amp;$R375,"Monitoring and third-party review not yet signed off"),IF($Q375="Y","","Live without a measured baseline to judge it against")))</f>
        <v/>
      </c>
      <c r="AJ375" s="65" t="str">
        <f aca="false">IF($Y375="","",INDEX(StageForum,$Y375))</f>
        <v/>
      </c>
      <c r="AK375" s="65" t="str">
        <f aca="false">IF($Y375="","",IF(OR($X375="Delivery",$X375="Value"),"Committed",IF($N375&lt;&gt;"","Candidate","")))</f>
        <v/>
      </c>
      <c r="AL375" s="65" t="str">
        <f aca="false">IF($AK375&lt;&gt;"Candidate","",COUNTIFS($AK$2:$AK$501,"Candidate",$N$2:$N$501,"&gt;"&amp;$N375)+COUNTIFS($AK$2:$AK$501,"Candidate",$N$2:$N$501,$N375,$A$2:$A$501,"&lt;"&amp;$A375)+1)</f>
        <v/>
      </c>
      <c r="AM375" s="65" t="str">
        <f aca="false">IF($AL375="","",SUMIFS($M$2:$M$501,$AK$2:$AK$501,"Candidate",$AL$2:$AL$501,"&lt;="&amp;$AL375))</f>
        <v/>
      </c>
      <c r="AN375" s="65" t="str">
        <f aca="false">IF($AL375="","",IF($AM375&lt;=CapacityOpen,"Fits","Below line"))</f>
        <v/>
      </c>
      <c r="AO375" s="65" t="str">
        <f aca="false">IF($A375="","",IF($X375="Closed","",IF($X375="Unmapped","Warning",IF(OR($AB375="Overdue",$V375="Y",$AH375="Critical"),"Critical",IF(OR($AB375="At risk",$AC375="Stale",$AG375="Over"),"Warning","")))))</f>
        <v/>
      </c>
      <c r="AP375" s="65" t="str">
        <f aca="false">IF($AO375="","",IF($AO375="Critical",3000,2000)-IF($Z375="",0,$Z375)+ROW()/100000)</f>
        <v/>
      </c>
      <c r="AQ375" s="65" t="str">
        <f aca="false">IF($AO375="","",IF($X375="Unmapped","Status '"&amp;$C375&amp;"' is not in the Config map",IF($V375="Y","Flagged in Jira",IF($AB375="Overdue",-$Z375&amp;" days past its "&amp;$X375&amp;" target",IF($AH375="Critical",$AI375,IF($AB375="At risk","Target in "&amp;$Z375&amp;" days",IF($AC375="Stale","No update in "&amp;$AA375&amp;" days","Past its "&amp;$AE375&amp;"-day tier window")))))))</f>
        <v/>
      </c>
      <c r="AR375" s="65" t="str">
        <f aca="false">IF($AO375="","","draft Jira update for "&amp;$A375)</f>
        <v/>
      </c>
      <c r="AS375" s="65" t="str">
        <f aca="false">IF($A375="","",HYPERLINK(JiraSite&amp;"/browse/"&amp;$A375,"open"))</f>
        <v/>
      </c>
      <c r="AT375" s="65" t="str">
        <f aca="false">IF($Y375="","",$Y375*1000+ROW())</f>
        <v/>
      </c>
      <c r="AU375" s="65" t="str">
        <f aca="false">IF(AND($A375&lt;&gt;"",$G375&gt;=WeekStart),$G375+ROW()/100000,"")</f>
        <v/>
      </c>
      <c r="AV375" s="65" t="str">
        <f aca="false">IF($A375="","",IF(OR(AND($S375&lt;&gt;"",$S375&gt;=WeekStart),AND($U375&lt;&gt;"",$U375&gt;=WeekStart)),MAX($S375,$U375)+ROW()/100000,""))</f>
        <v/>
      </c>
      <c r="AW375" s="65" t="str">
        <f aca="false">IF($AV375="","",IF($T375&lt;&gt;"",$T375,IF($X375="Closed","Closed","Accepted to "&amp;$X375)))</f>
        <v/>
      </c>
      <c r="AX375" s="65" t="str">
        <f aca="false">IF(AND($Y375&lt;&gt;"",$R375&lt;&gt;""),$AF375+ROW()/100000,"")</f>
        <v/>
      </c>
      <c r="AY375" s="65" t="str">
        <f aca="false">IF(AND($Y375&lt;&gt;"",OR($AB375="Overdue",AND($AH375="Critical",$R375&lt;&gt;""))),$AF375+ROW()/100000,"")</f>
        <v/>
      </c>
      <c r="AZ375" s="65" t="str">
        <f aca="false">IF($AH375="Critical",$AF375+ROW()/100000,"")</f>
        <v/>
      </c>
    </row>
    <row r="376" customFormat="false" ht="15" hidden="false" customHeight="false" outlineLevel="0" collapsed="false">
      <c r="A376" s="28"/>
      <c r="B376" s="28"/>
      <c r="C376" s="28"/>
      <c r="D376" s="28"/>
      <c r="E376" s="28"/>
      <c r="F376" s="28"/>
      <c r="G376" s="63"/>
      <c r="H376" s="63"/>
      <c r="I376" s="63"/>
      <c r="J376" s="28"/>
      <c r="K376" s="28"/>
      <c r="L376" s="28"/>
      <c r="M376" s="28"/>
      <c r="N376" s="28"/>
      <c r="O376" s="64"/>
      <c r="P376" s="64"/>
      <c r="Q376" s="64"/>
      <c r="R376" s="28"/>
      <c r="S376" s="63"/>
      <c r="T376" s="64"/>
      <c r="U376" s="63"/>
      <c r="V376" s="64"/>
      <c r="W376" s="28"/>
      <c r="X376" s="65" t="str">
        <f aca="false">IF($A376="","",IF(OR($T376&lt;&gt;"",$U376&lt;&gt;""),"Closed",IFERROR(INDEX(MapStage,MATCH($C376,MapStatus,0)),"Unmapped")))</f>
        <v/>
      </c>
      <c r="Y376" s="65" t="str">
        <f aca="false">IF(OR($X376="",$X376="Closed",$X376="Unmapped"),"",MATCH($X376,StageName,0))</f>
        <v/>
      </c>
      <c r="Z376" s="65" t="str">
        <f aca="false">IF(OR($Y376="",$I376=""),"",$I376-AsOf)</f>
        <v/>
      </c>
      <c r="AA376" s="65" t="str">
        <f aca="false">IF($A376="","",AsOf-$H376)</f>
        <v/>
      </c>
      <c r="AB376" s="65" t="str">
        <f aca="false">IF($A376="","",IF($X376="Closed","Closed",IF($X376="Unmapped","Unmapped",IF($I376="","No target",IF($Z376&lt;0,"Overdue",IF($Z376&lt;=INDEX(StageWindow,$Y376),"At risk","On track"))))))</f>
        <v/>
      </c>
      <c r="AC376" s="65" t="str">
        <f aca="false">IF($Y376="","",IF($AA376&gt;2*INDEX(StageStale,$Y376),"Stale",IF($AA376&gt;INDEX(StageStale,$Y376),"Aging","Fresh")))</f>
        <v/>
      </c>
      <c r="AD376" s="65" t="str">
        <f aca="false">IF($A376="","",IF(OR(ISNUMBER(SEARCH("Reg report",$J376)),ISNUMBER(SEARCH("No human review",$J376)),COUNTIF(TierFuncs,$D376)&gt;0),"High",IF(OR(TRIM($J376)&lt;&gt;"",ISNUMBER(SEARCH("revenue",$K376))),"Medium","Low")))</f>
        <v/>
      </c>
      <c r="AE376" s="65" t="str">
        <f aca="false">IF($A376="","",INDEX(TierDays,MATCH($AD376,TierName,0)))</f>
        <v/>
      </c>
      <c r="AF376" s="65" t="str">
        <f aca="false">IF($A376="","",AsOf-$G376)</f>
        <v/>
      </c>
      <c r="AG376" s="65" t="str">
        <f aca="false">IF($Y376="","",IF($Y376&lt;=5,IF($AF376&gt;$AE376,"Over","Inside"),"Past approval"))</f>
        <v/>
      </c>
      <c r="AH376" s="65" t="str">
        <f aca="false">IF($Y376="","",CHOOSE($Y376,IF(OR(TRIM($F376)="",ISNUMBER(SEARCH("not named",$F376))),"Critical","Good"),IF($O376&lt;&gt;"Y","Critical",IF($Q376&lt;&gt;"Y","Warning","Good")),IF($P376="","Critical",IF($P376="partial","Warning",IF($P376="ready","Good","Critical"))),IF($R376&lt;&gt;"","Critical","Warning"),IF($L376="","Critical",IF($N376="","Warning","Good")),IF($R376&lt;&gt;"","Critical","Warning"),IF($R376&lt;&gt;"","Critical","Warning"),IF($Q376="Y","Good","Critical")))</f>
        <v/>
      </c>
      <c r="AI376" s="65" t="str">
        <f aca="false">IF($Y376="","",CHOOSE($Y376,IF(OR(TRIM($F376)="",ISNUMBER(SEARCH("not named",$F376))),"Name a sponsor accountable for the value",""),IF($O376&lt;&gt;"Y","State the success metric and the stop condition",IF($Q376&lt;&gt;"Y","Set the baseline the benefit will be measured against","")),IF($P376="","Assess data readiness and regulatory impact",IF($P376="partial","Close the known data gaps",IF($P376="ready","","Data is not available; reshape or park"))),IF($R376&lt;&gt;"",IF(OR(ISNUMBER(SEARCH("mrm",$R376)),ISNUMBER(SEARCH("model",$R376)),ISNUMBER(SEARCH("risk",$R376)),ISNUMBER(SEARCH("legal",$R376)),ISNUMBER(SEARCH("complian",$R376))),"Awaiting ","Held at the design gate: ")&amp;$R376,"Map the governance framework for its tier"),IF($L376="","Size the annual benefit",IF($N376="","Score it so it can be ranked against capacity","")),IF($R376&lt;&gt;"","Build held: "&amp;$R376,"In build, not yet through test"),IF($R376&lt;&gt;"","Not ready to scale: "&amp;$R376,"Monitoring and third-party review not yet signed off"),IF($Q376="Y","","Live without a measured baseline to judge it against")))</f>
        <v/>
      </c>
      <c r="AJ376" s="65" t="str">
        <f aca="false">IF($Y376="","",INDEX(StageForum,$Y376))</f>
        <v/>
      </c>
      <c r="AK376" s="65" t="str">
        <f aca="false">IF($Y376="","",IF(OR($X376="Delivery",$X376="Value"),"Committed",IF($N376&lt;&gt;"","Candidate","")))</f>
        <v/>
      </c>
      <c r="AL376" s="65" t="str">
        <f aca="false">IF($AK376&lt;&gt;"Candidate","",COUNTIFS($AK$2:$AK$501,"Candidate",$N$2:$N$501,"&gt;"&amp;$N376)+COUNTIFS($AK$2:$AK$501,"Candidate",$N$2:$N$501,$N376,$A$2:$A$501,"&lt;"&amp;$A376)+1)</f>
        <v/>
      </c>
      <c r="AM376" s="65" t="str">
        <f aca="false">IF($AL376="","",SUMIFS($M$2:$M$501,$AK$2:$AK$501,"Candidate",$AL$2:$AL$501,"&lt;="&amp;$AL376))</f>
        <v/>
      </c>
      <c r="AN376" s="65" t="str">
        <f aca="false">IF($AL376="","",IF($AM376&lt;=CapacityOpen,"Fits","Below line"))</f>
        <v/>
      </c>
      <c r="AO376" s="65" t="str">
        <f aca="false">IF($A376="","",IF($X376="Closed","",IF($X376="Unmapped","Warning",IF(OR($AB376="Overdue",$V376="Y",$AH376="Critical"),"Critical",IF(OR($AB376="At risk",$AC376="Stale",$AG376="Over"),"Warning","")))))</f>
        <v/>
      </c>
      <c r="AP376" s="65" t="str">
        <f aca="false">IF($AO376="","",IF($AO376="Critical",3000,2000)-IF($Z376="",0,$Z376)+ROW()/100000)</f>
        <v/>
      </c>
      <c r="AQ376" s="65" t="str">
        <f aca="false">IF($AO376="","",IF($X376="Unmapped","Status '"&amp;$C376&amp;"' is not in the Config map",IF($V376="Y","Flagged in Jira",IF($AB376="Overdue",-$Z376&amp;" days past its "&amp;$X376&amp;" target",IF($AH376="Critical",$AI376,IF($AB376="At risk","Target in "&amp;$Z376&amp;" days",IF($AC376="Stale","No update in "&amp;$AA376&amp;" days","Past its "&amp;$AE376&amp;"-day tier window")))))))</f>
        <v/>
      </c>
      <c r="AR376" s="65" t="str">
        <f aca="false">IF($AO376="","","draft Jira update for "&amp;$A376)</f>
        <v/>
      </c>
      <c r="AS376" s="65" t="str">
        <f aca="false">IF($A376="","",HYPERLINK(JiraSite&amp;"/browse/"&amp;$A376,"open"))</f>
        <v/>
      </c>
      <c r="AT376" s="65" t="str">
        <f aca="false">IF($Y376="","",$Y376*1000+ROW())</f>
        <v/>
      </c>
      <c r="AU376" s="65" t="str">
        <f aca="false">IF(AND($A376&lt;&gt;"",$G376&gt;=WeekStart),$G376+ROW()/100000,"")</f>
        <v/>
      </c>
      <c r="AV376" s="65" t="str">
        <f aca="false">IF($A376="","",IF(OR(AND($S376&lt;&gt;"",$S376&gt;=WeekStart),AND($U376&lt;&gt;"",$U376&gt;=WeekStart)),MAX($S376,$U376)+ROW()/100000,""))</f>
        <v/>
      </c>
      <c r="AW376" s="65" t="str">
        <f aca="false">IF($AV376="","",IF($T376&lt;&gt;"",$T376,IF($X376="Closed","Closed","Accepted to "&amp;$X376)))</f>
        <v/>
      </c>
      <c r="AX376" s="65" t="str">
        <f aca="false">IF(AND($Y376&lt;&gt;"",$R376&lt;&gt;""),$AF376+ROW()/100000,"")</f>
        <v/>
      </c>
      <c r="AY376" s="65" t="str">
        <f aca="false">IF(AND($Y376&lt;&gt;"",OR($AB376="Overdue",AND($AH376="Critical",$R376&lt;&gt;""))),$AF376+ROW()/100000,"")</f>
        <v/>
      </c>
      <c r="AZ376" s="65" t="str">
        <f aca="false">IF($AH376="Critical",$AF376+ROW()/100000,"")</f>
        <v/>
      </c>
    </row>
    <row r="377" customFormat="false" ht="15" hidden="false" customHeight="false" outlineLevel="0" collapsed="false">
      <c r="A377" s="28"/>
      <c r="B377" s="28"/>
      <c r="C377" s="28"/>
      <c r="D377" s="28"/>
      <c r="E377" s="28"/>
      <c r="F377" s="28"/>
      <c r="G377" s="63"/>
      <c r="H377" s="63"/>
      <c r="I377" s="63"/>
      <c r="J377" s="28"/>
      <c r="K377" s="28"/>
      <c r="L377" s="28"/>
      <c r="M377" s="28"/>
      <c r="N377" s="28"/>
      <c r="O377" s="64"/>
      <c r="P377" s="64"/>
      <c r="Q377" s="64"/>
      <c r="R377" s="28"/>
      <c r="S377" s="63"/>
      <c r="T377" s="64"/>
      <c r="U377" s="63"/>
      <c r="V377" s="64"/>
      <c r="W377" s="28"/>
      <c r="X377" s="65" t="str">
        <f aca="false">IF($A377="","",IF(OR($T377&lt;&gt;"",$U377&lt;&gt;""),"Closed",IFERROR(INDEX(MapStage,MATCH($C377,MapStatus,0)),"Unmapped")))</f>
        <v/>
      </c>
      <c r="Y377" s="65" t="str">
        <f aca="false">IF(OR($X377="",$X377="Closed",$X377="Unmapped"),"",MATCH($X377,StageName,0))</f>
        <v/>
      </c>
      <c r="Z377" s="65" t="str">
        <f aca="false">IF(OR($Y377="",$I377=""),"",$I377-AsOf)</f>
        <v/>
      </c>
      <c r="AA377" s="65" t="str">
        <f aca="false">IF($A377="","",AsOf-$H377)</f>
        <v/>
      </c>
      <c r="AB377" s="65" t="str">
        <f aca="false">IF($A377="","",IF($X377="Closed","Closed",IF($X377="Unmapped","Unmapped",IF($I377="","No target",IF($Z377&lt;0,"Overdue",IF($Z377&lt;=INDEX(StageWindow,$Y377),"At risk","On track"))))))</f>
        <v/>
      </c>
      <c r="AC377" s="65" t="str">
        <f aca="false">IF($Y377="","",IF($AA377&gt;2*INDEX(StageStale,$Y377),"Stale",IF($AA377&gt;INDEX(StageStale,$Y377),"Aging","Fresh")))</f>
        <v/>
      </c>
      <c r="AD377" s="65" t="str">
        <f aca="false">IF($A377="","",IF(OR(ISNUMBER(SEARCH("Reg report",$J377)),ISNUMBER(SEARCH("No human review",$J377)),COUNTIF(TierFuncs,$D377)&gt;0),"High",IF(OR(TRIM($J377)&lt;&gt;"",ISNUMBER(SEARCH("revenue",$K377))),"Medium","Low")))</f>
        <v/>
      </c>
      <c r="AE377" s="65" t="str">
        <f aca="false">IF($A377="","",INDEX(TierDays,MATCH($AD377,TierName,0)))</f>
        <v/>
      </c>
      <c r="AF377" s="65" t="str">
        <f aca="false">IF($A377="","",AsOf-$G377)</f>
        <v/>
      </c>
      <c r="AG377" s="65" t="str">
        <f aca="false">IF($Y377="","",IF($Y377&lt;=5,IF($AF377&gt;$AE377,"Over","Inside"),"Past approval"))</f>
        <v/>
      </c>
      <c r="AH377" s="65" t="str">
        <f aca="false">IF($Y377="","",CHOOSE($Y377,IF(OR(TRIM($F377)="",ISNUMBER(SEARCH("not named",$F377))),"Critical","Good"),IF($O377&lt;&gt;"Y","Critical",IF($Q377&lt;&gt;"Y","Warning","Good")),IF($P377="","Critical",IF($P377="partial","Warning",IF($P377="ready","Good","Critical"))),IF($R377&lt;&gt;"","Critical","Warning"),IF($L377="","Critical",IF($N377="","Warning","Good")),IF($R377&lt;&gt;"","Critical","Warning"),IF($R377&lt;&gt;"","Critical","Warning"),IF($Q377="Y","Good","Critical")))</f>
        <v/>
      </c>
      <c r="AI377" s="65" t="str">
        <f aca="false">IF($Y377="","",CHOOSE($Y377,IF(OR(TRIM($F377)="",ISNUMBER(SEARCH("not named",$F377))),"Name a sponsor accountable for the value",""),IF($O377&lt;&gt;"Y","State the success metric and the stop condition",IF($Q377&lt;&gt;"Y","Set the baseline the benefit will be measured against","")),IF($P377="","Assess data readiness and regulatory impact",IF($P377="partial","Close the known data gaps",IF($P377="ready","","Data is not available; reshape or park"))),IF($R377&lt;&gt;"",IF(OR(ISNUMBER(SEARCH("mrm",$R377)),ISNUMBER(SEARCH("model",$R377)),ISNUMBER(SEARCH("risk",$R377)),ISNUMBER(SEARCH("legal",$R377)),ISNUMBER(SEARCH("complian",$R377))),"Awaiting ","Held at the design gate: ")&amp;$R377,"Map the governance framework for its tier"),IF($L377="","Size the annual benefit",IF($N377="","Score it so it can be ranked against capacity","")),IF($R377&lt;&gt;"","Build held: "&amp;$R377,"In build, not yet through test"),IF($R377&lt;&gt;"","Not ready to scale: "&amp;$R377,"Monitoring and third-party review not yet signed off"),IF($Q377="Y","","Live without a measured baseline to judge it against")))</f>
        <v/>
      </c>
      <c r="AJ377" s="65" t="str">
        <f aca="false">IF($Y377="","",INDEX(StageForum,$Y377))</f>
        <v/>
      </c>
      <c r="AK377" s="65" t="str">
        <f aca="false">IF($Y377="","",IF(OR($X377="Delivery",$X377="Value"),"Committed",IF($N377&lt;&gt;"","Candidate","")))</f>
        <v/>
      </c>
      <c r="AL377" s="65" t="str">
        <f aca="false">IF($AK377&lt;&gt;"Candidate","",COUNTIFS($AK$2:$AK$501,"Candidate",$N$2:$N$501,"&gt;"&amp;$N377)+COUNTIFS($AK$2:$AK$501,"Candidate",$N$2:$N$501,$N377,$A$2:$A$501,"&lt;"&amp;$A377)+1)</f>
        <v/>
      </c>
      <c r="AM377" s="65" t="str">
        <f aca="false">IF($AL377="","",SUMIFS($M$2:$M$501,$AK$2:$AK$501,"Candidate",$AL$2:$AL$501,"&lt;="&amp;$AL377))</f>
        <v/>
      </c>
      <c r="AN377" s="65" t="str">
        <f aca="false">IF($AL377="","",IF($AM377&lt;=CapacityOpen,"Fits","Below line"))</f>
        <v/>
      </c>
      <c r="AO377" s="65" t="str">
        <f aca="false">IF($A377="","",IF($X377="Closed","",IF($X377="Unmapped","Warning",IF(OR($AB377="Overdue",$V377="Y",$AH377="Critical"),"Critical",IF(OR($AB377="At risk",$AC377="Stale",$AG377="Over"),"Warning","")))))</f>
        <v/>
      </c>
      <c r="AP377" s="65" t="str">
        <f aca="false">IF($AO377="","",IF($AO377="Critical",3000,2000)-IF($Z377="",0,$Z377)+ROW()/100000)</f>
        <v/>
      </c>
      <c r="AQ377" s="65" t="str">
        <f aca="false">IF($AO377="","",IF($X377="Unmapped","Status '"&amp;$C377&amp;"' is not in the Config map",IF($V377="Y","Flagged in Jira",IF($AB377="Overdue",-$Z377&amp;" days past its "&amp;$X377&amp;" target",IF($AH377="Critical",$AI377,IF($AB377="At risk","Target in "&amp;$Z377&amp;" days",IF($AC377="Stale","No update in "&amp;$AA377&amp;" days","Past its "&amp;$AE377&amp;"-day tier window")))))))</f>
        <v/>
      </c>
      <c r="AR377" s="65" t="str">
        <f aca="false">IF($AO377="","","draft Jira update for "&amp;$A377)</f>
        <v/>
      </c>
      <c r="AS377" s="65" t="str">
        <f aca="false">IF($A377="","",HYPERLINK(JiraSite&amp;"/browse/"&amp;$A377,"open"))</f>
        <v/>
      </c>
      <c r="AT377" s="65" t="str">
        <f aca="false">IF($Y377="","",$Y377*1000+ROW())</f>
        <v/>
      </c>
      <c r="AU377" s="65" t="str">
        <f aca="false">IF(AND($A377&lt;&gt;"",$G377&gt;=WeekStart),$G377+ROW()/100000,"")</f>
        <v/>
      </c>
      <c r="AV377" s="65" t="str">
        <f aca="false">IF($A377="","",IF(OR(AND($S377&lt;&gt;"",$S377&gt;=WeekStart),AND($U377&lt;&gt;"",$U377&gt;=WeekStart)),MAX($S377,$U377)+ROW()/100000,""))</f>
        <v/>
      </c>
      <c r="AW377" s="65" t="str">
        <f aca="false">IF($AV377="","",IF($T377&lt;&gt;"",$T377,IF($X377="Closed","Closed","Accepted to "&amp;$X377)))</f>
        <v/>
      </c>
      <c r="AX377" s="65" t="str">
        <f aca="false">IF(AND($Y377&lt;&gt;"",$R377&lt;&gt;""),$AF377+ROW()/100000,"")</f>
        <v/>
      </c>
      <c r="AY377" s="65" t="str">
        <f aca="false">IF(AND($Y377&lt;&gt;"",OR($AB377="Overdue",AND($AH377="Critical",$R377&lt;&gt;""))),$AF377+ROW()/100000,"")</f>
        <v/>
      </c>
      <c r="AZ377" s="65" t="str">
        <f aca="false">IF($AH377="Critical",$AF377+ROW()/100000,"")</f>
        <v/>
      </c>
    </row>
    <row r="378" customFormat="false" ht="15" hidden="false" customHeight="false" outlineLevel="0" collapsed="false">
      <c r="A378" s="28"/>
      <c r="B378" s="28"/>
      <c r="C378" s="28"/>
      <c r="D378" s="28"/>
      <c r="E378" s="28"/>
      <c r="F378" s="28"/>
      <c r="G378" s="63"/>
      <c r="H378" s="63"/>
      <c r="I378" s="63"/>
      <c r="J378" s="28"/>
      <c r="K378" s="28"/>
      <c r="L378" s="28"/>
      <c r="M378" s="28"/>
      <c r="N378" s="28"/>
      <c r="O378" s="64"/>
      <c r="P378" s="64"/>
      <c r="Q378" s="64"/>
      <c r="R378" s="28"/>
      <c r="S378" s="63"/>
      <c r="T378" s="64"/>
      <c r="U378" s="63"/>
      <c r="V378" s="64"/>
      <c r="W378" s="28"/>
      <c r="X378" s="65" t="str">
        <f aca="false">IF($A378="","",IF(OR($T378&lt;&gt;"",$U378&lt;&gt;""),"Closed",IFERROR(INDEX(MapStage,MATCH($C378,MapStatus,0)),"Unmapped")))</f>
        <v/>
      </c>
      <c r="Y378" s="65" t="str">
        <f aca="false">IF(OR($X378="",$X378="Closed",$X378="Unmapped"),"",MATCH($X378,StageName,0))</f>
        <v/>
      </c>
      <c r="Z378" s="65" t="str">
        <f aca="false">IF(OR($Y378="",$I378=""),"",$I378-AsOf)</f>
        <v/>
      </c>
      <c r="AA378" s="65" t="str">
        <f aca="false">IF($A378="","",AsOf-$H378)</f>
        <v/>
      </c>
      <c r="AB378" s="65" t="str">
        <f aca="false">IF($A378="","",IF($X378="Closed","Closed",IF($X378="Unmapped","Unmapped",IF($I378="","No target",IF($Z378&lt;0,"Overdue",IF($Z378&lt;=INDEX(StageWindow,$Y378),"At risk","On track"))))))</f>
        <v/>
      </c>
      <c r="AC378" s="65" t="str">
        <f aca="false">IF($Y378="","",IF($AA378&gt;2*INDEX(StageStale,$Y378),"Stale",IF($AA378&gt;INDEX(StageStale,$Y378),"Aging","Fresh")))</f>
        <v/>
      </c>
      <c r="AD378" s="65" t="str">
        <f aca="false">IF($A378="","",IF(OR(ISNUMBER(SEARCH("Reg report",$J378)),ISNUMBER(SEARCH("No human review",$J378)),COUNTIF(TierFuncs,$D378)&gt;0),"High",IF(OR(TRIM($J378)&lt;&gt;"",ISNUMBER(SEARCH("revenue",$K378))),"Medium","Low")))</f>
        <v/>
      </c>
      <c r="AE378" s="65" t="str">
        <f aca="false">IF($A378="","",INDEX(TierDays,MATCH($AD378,TierName,0)))</f>
        <v/>
      </c>
      <c r="AF378" s="65" t="str">
        <f aca="false">IF($A378="","",AsOf-$G378)</f>
        <v/>
      </c>
      <c r="AG378" s="65" t="str">
        <f aca="false">IF($Y378="","",IF($Y378&lt;=5,IF($AF378&gt;$AE378,"Over","Inside"),"Past approval"))</f>
        <v/>
      </c>
      <c r="AH378" s="65" t="str">
        <f aca="false">IF($Y378="","",CHOOSE($Y378,IF(OR(TRIM($F378)="",ISNUMBER(SEARCH("not named",$F378))),"Critical","Good"),IF($O378&lt;&gt;"Y","Critical",IF($Q378&lt;&gt;"Y","Warning","Good")),IF($P378="","Critical",IF($P378="partial","Warning",IF($P378="ready","Good","Critical"))),IF($R378&lt;&gt;"","Critical","Warning"),IF($L378="","Critical",IF($N378="","Warning","Good")),IF($R378&lt;&gt;"","Critical","Warning"),IF($R378&lt;&gt;"","Critical","Warning"),IF($Q378="Y","Good","Critical")))</f>
        <v/>
      </c>
      <c r="AI378" s="65" t="str">
        <f aca="false">IF($Y378="","",CHOOSE($Y378,IF(OR(TRIM($F378)="",ISNUMBER(SEARCH("not named",$F378))),"Name a sponsor accountable for the value",""),IF($O378&lt;&gt;"Y","State the success metric and the stop condition",IF($Q378&lt;&gt;"Y","Set the baseline the benefit will be measured against","")),IF($P378="","Assess data readiness and regulatory impact",IF($P378="partial","Close the known data gaps",IF($P378="ready","","Data is not available; reshape or park"))),IF($R378&lt;&gt;"",IF(OR(ISNUMBER(SEARCH("mrm",$R378)),ISNUMBER(SEARCH("model",$R378)),ISNUMBER(SEARCH("risk",$R378)),ISNUMBER(SEARCH("legal",$R378)),ISNUMBER(SEARCH("complian",$R378))),"Awaiting ","Held at the design gate: ")&amp;$R378,"Map the governance framework for its tier"),IF($L378="","Size the annual benefit",IF($N378="","Score it so it can be ranked against capacity","")),IF($R378&lt;&gt;"","Build held: "&amp;$R378,"In build, not yet through test"),IF($R378&lt;&gt;"","Not ready to scale: "&amp;$R378,"Monitoring and third-party review not yet signed off"),IF($Q378="Y","","Live without a measured baseline to judge it against")))</f>
        <v/>
      </c>
      <c r="AJ378" s="65" t="str">
        <f aca="false">IF($Y378="","",INDEX(StageForum,$Y378))</f>
        <v/>
      </c>
      <c r="AK378" s="65" t="str">
        <f aca="false">IF($Y378="","",IF(OR($X378="Delivery",$X378="Value"),"Committed",IF($N378&lt;&gt;"","Candidate","")))</f>
        <v/>
      </c>
      <c r="AL378" s="65" t="str">
        <f aca="false">IF($AK378&lt;&gt;"Candidate","",COUNTIFS($AK$2:$AK$501,"Candidate",$N$2:$N$501,"&gt;"&amp;$N378)+COUNTIFS($AK$2:$AK$501,"Candidate",$N$2:$N$501,$N378,$A$2:$A$501,"&lt;"&amp;$A378)+1)</f>
        <v/>
      </c>
      <c r="AM378" s="65" t="str">
        <f aca="false">IF($AL378="","",SUMIFS($M$2:$M$501,$AK$2:$AK$501,"Candidate",$AL$2:$AL$501,"&lt;="&amp;$AL378))</f>
        <v/>
      </c>
      <c r="AN378" s="65" t="str">
        <f aca="false">IF($AL378="","",IF($AM378&lt;=CapacityOpen,"Fits","Below line"))</f>
        <v/>
      </c>
      <c r="AO378" s="65" t="str">
        <f aca="false">IF($A378="","",IF($X378="Closed","",IF($X378="Unmapped","Warning",IF(OR($AB378="Overdue",$V378="Y",$AH378="Critical"),"Critical",IF(OR($AB378="At risk",$AC378="Stale",$AG378="Over"),"Warning","")))))</f>
        <v/>
      </c>
      <c r="AP378" s="65" t="str">
        <f aca="false">IF($AO378="","",IF($AO378="Critical",3000,2000)-IF($Z378="",0,$Z378)+ROW()/100000)</f>
        <v/>
      </c>
      <c r="AQ378" s="65" t="str">
        <f aca="false">IF($AO378="","",IF($X378="Unmapped","Status '"&amp;$C378&amp;"' is not in the Config map",IF($V378="Y","Flagged in Jira",IF($AB378="Overdue",-$Z378&amp;" days past its "&amp;$X378&amp;" target",IF($AH378="Critical",$AI378,IF($AB378="At risk","Target in "&amp;$Z378&amp;" days",IF($AC378="Stale","No update in "&amp;$AA378&amp;" days","Past its "&amp;$AE378&amp;"-day tier window")))))))</f>
        <v/>
      </c>
      <c r="AR378" s="65" t="str">
        <f aca="false">IF($AO378="","","draft Jira update for "&amp;$A378)</f>
        <v/>
      </c>
      <c r="AS378" s="65" t="str">
        <f aca="false">IF($A378="","",HYPERLINK(JiraSite&amp;"/browse/"&amp;$A378,"open"))</f>
        <v/>
      </c>
      <c r="AT378" s="65" t="str">
        <f aca="false">IF($Y378="","",$Y378*1000+ROW())</f>
        <v/>
      </c>
      <c r="AU378" s="65" t="str">
        <f aca="false">IF(AND($A378&lt;&gt;"",$G378&gt;=WeekStart),$G378+ROW()/100000,"")</f>
        <v/>
      </c>
      <c r="AV378" s="65" t="str">
        <f aca="false">IF($A378="","",IF(OR(AND($S378&lt;&gt;"",$S378&gt;=WeekStart),AND($U378&lt;&gt;"",$U378&gt;=WeekStart)),MAX($S378,$U378)+ROW()/100000,""))</f>
        <v/>
      </c>
      <c r="AW378" s="65" t="str">
        <f aca="false">IF($AV378="","",IF($T378&lt;&gt;"",$T378,IF($X378="Closed","Closed","Accepted to "&amp;$X378)))</f>
        <v/>
      </c>
      <c r="AX378" s="65" t="str">
        <f aca="false">IF(AND($Y378&lt;&gt;"",$R378&lt;&gt;""),$AF378+ROW()/100000,"")</f>
        <v/>
      </c>
      <c r="AY378" s="65" t="str">
        <f aca="false">IF(AND($Y378&lt;&gt;"",OR($AB378="Overdue",AND($AH378="Critical",$R378&lt;&gt;""))),$AF378+ROW()/100000,"")</f>
        <v/>
      </c>
      <c r="AZ378" s="65" t="str">
        <f aca="false">IF($AH378="Critical",$AF378+ROW()/100000,"")</f>
        <v/>
      </c>
    </row>
    <row r="379" customFormat="false" ht="15" hidden="false" customHeight="false" outlineLevel="0" collapsed="false">
      <c r="A379" s="28"/>
      <c r="B379" s="28"/>
      <c r="C379" s="28"/>
      <c r="D379" s="28"/>
      <c r="E379" s="28"/>
      <c r="F379" s="28"/>
      <c r="G379" s="63"/>
      <c r="H379" s="63"/>
      <c r="I379" s="63"/>
      <c r="J379" s="28"/>
      <c r="K379" s="28"/>
      <c r="L379" s="28"/>
      <c r="M379" s="28"/>
      <c r="N379" s="28"/>
      <c r="O379" s="64"/>
      <c r="P379" s="64"/>
      <c r="Q379" s="64"/>
      <c r="R379" s="28"/>
      <c r="S379" s="63"/>
      <c r="T379" s="64"/>
      <c r="U379" s="63"/>
      <c r="V379" s="64"/>
      <c r="W379" s="28"/>
      <c r="X379" s="65" t="str">
        <f aca="false">IF($A379="","",IF(OR($T379&lt;&gt;"",$U379&lt;&gt;""),"Closed",IFERROR(INDEX(MapStage,MATCH($C379,MapStatus,0)),"Unmapped")))</f>
        <v/>
      </c>
      <c r="Y379" s="65" t="str">
        <f aca="false">IF(OR($X379="",$X379="Closed",$X379="Unmapped"),"",MATCH($X379,StageName,0))</f>
        <v/>
      </c>
      <c r="Z379" s="65" t="str">
        <f aca="false">IF(OR($Y379="",$I379=""),"",$I379-AsOf)</f>
        <v/>
      </c>
      <c r="AA379" s="65" t="str">
        <f aca="false">IF($A379="","",AsOf-$H379)</f>
        <v/>
      </c>
      <c r="AB379" s="65" t="str">
        <f aca="false">IF($A379="","",IF($X379="Closed","Closed",IF($X379="Unmapped","Unmapped",IF($I379="","No target",IF($Z379&lt;0,"Overdue",IF($Z379&lt;=INDEX(StageWindow,$Y379),"At risk","On track"))))))</f>
        <v/>
      </c>
      <c r="AC379" s="65" t="str">
        <f aca="false">IF($Y379="","",IF($AA379&gt;2*INDEX(StageStale,$Y379),"Stale",IF($AA379&gt;INDEX(StageStale,$Y379),"Aging","Fresh")))</f>
        <v/>
      </c>
      <c r="AD379" s="65" t="str">
        <f aca="false">IF($A379="","",IF(OR(ISNUMBER(SEARCH("Reg report",$J379)),ISNUMBER(SEARCH("No human review",$J379)),COUNTIF(TierFuncs,$D379)&gt;0),"High",IF(OR(TRIM($J379)&lt;&gt;"",ISNUMBER(SEARCH("revenue",$K379))),"Medium","Low")))</f>
        <v/>
      </c>
      <c r="AE379" s="65" t="str">
        <f aca="false">IF($A379="","",INDEX(TierDays,MATCH($AD379,TierName,0)))</f>
        <v/>
      </c>
      <c r="AF379" s="65" t="str">
        <f aca="false">IF($A379="","",AsOf-$G379)</f>
        <v/>
      </c>
      <c r="AG379" s="65" t="str">
        <f aca="false">IF($Y379="","",IF($Y379&lt;=5,IF($AF379&gt;$AE379,"Over","Inside"),"Past approval"))</f>
        <v/>
      </c>
      <c r="AH379" s="65" t="str">
        <f aca="false">IF($Y379="","",CHOOSE($Y379,IF(OR(TRIM($F379)="",ISNUMBER(SEARCH("not named",$F379))),"Critical","Good"),IF($O379&lt;&gt;"Y","Critical",IF($Q379&lt;&gt;"Y","Warning","Good")),IF($P379="","Critical",IF($P379="partial","Warning",IF($P379="ready","Good","Critical"))),IF($R379&lt;&gt;"","Critical","Warning"),IF($L379="","Critical",IF($N379="","Warning","Good")),IF($R379&lt;&gt;"","Critical","Warning"),IF($R379&lt;&gt;"","Critical","Warning"),IF($Q379="Y","Good","Critical")))</f>
        <v/>
      </c>
      <c r="AI379" s="65" t="str">
        <f aca="false">IF($Y379="","",CHOOSE($Y379,IF(OR(TRIM($F379)="",ISNUMBER(SEARCH("not named",$F379))),"Name a sponsor accountable for the value",""),IF($O379&lt;&gt;"Y","State the success metric and the stop condition",IF($Q379&lt;&gt;"Y","Set the baseline the benefit will be measured against","")),IF($P379="","Assess data readiness and regulatory impact",IF($P379="partial","Close the known data gaps",IF($P379="ready","","Data is not available; reshape or park"))),IF($R379&lt;&gt;"",IF(OR(ISNUMBER(SEARCH("mrm",$R379)),ISNUMBER(SEARCH("model",$R379)),ISNUMBER(SEARCH("risk",$R379)),ISNUMBER(SEARCH("legal",$R379)),ISNUMBER(SEARCH("complian",$R379))),"Awaiting ","Held at the design gate: ")&amp;$R379,"Map the governance framework for its tier"),IF($L379="","Size the annual benefit",IF($N379="","Score it so it can be ranked against capacity","")),IF($R379&lt;&gt;"","Build held: "&amp;$R379,"In build, not yet through test"),IF($R379&lt;&gt;"","Not ready to scale: "&amp;$R379,"Monitoring and third-party review not yet signed off"),IF($Q379="Y","","Live without a measured baseline to judge it against")))</f>
        <v/>
      </c>
      <c r="AJ379" s="65" t="str">
        <f aca="false">IF($Y379="","",INDEX(StageForum,$Y379))</f>
        <v/>
      </c>
      <c r="AK379" s="65" t="str">
        <f aca="false">IF($Y379="","",IF(OR($X379="Delivery",$X379="Value"),"Committed",IF($N379&lt;&gt;"","Candidate","")))</f>
        <v/>
      </c>
      <c r="AL379" s="65" t="str">
        <f aca="false">IF($AK379&lt;&gt;"Candidate","",COUNTIFS($AK$2:$AK$501,"Candidate",$N$2:$N$501,"&gt;"&amp;$N379)+COUNTIFS($AK$2:$AK$501,"Candidate",$N$2:$N$501,$N379,$A$2:$A$501,"&lt;"&amp;$A379)+1)</f>
        <v/>
      </c>
      <c r="AM379" s="65" t="str">
        <f aca="false">IF($AL379="","",SUMIFS($M$2:$M$501,$AK$2:$AK$501,"Candidate",$AL$2:$AL$501,"&lt;="&amp;$AL379))</f>
        <v/>
      </c>
      <c r="AN379" s="65" t="str">
        <f aca="false">IF($AL379="","",IF($AM379&lt;=CapacityOpen,"Fits","Below line"))</f>
        <v/>
      </c>
      <c r="AO379" s="65" t="str">
        <f aca="false">IF($A379="","",IF($X379="Closed","",IF($X379="Unmapped","Warning",IF(OR($AB379="Overdue",$V379="Y",$AH379="Critical"),"Critical",IF(OR($AB379="At risk",$AC379="Stale",$AG379="Over"),"Warning","")))))</f>
        <v/>
      </c>
      <c r="AP379" s="65" t="str">
        <f aca="false">IF($AO379="","",IF($AO379="Critical",3000,2000)-IF($Z379="",0,$Z379)+ROW()/100000)</f>
        <v/>
      </c>
      <c r="AQ379" s="65" t="str">
        <f aca="false">IF($AO379="","",IF($X379="Unmapped","Status '"&amp;$C379&amp;"' is not in the Config map",IF($V379="Y","Flagged in Jira",IF($AB379="Overdue",-$Z379&amp;" days past its "&amp;$X379&amp;" target",IF($AH379="Critical",$AI379,IF($AB379="At risk","Target in "&amp;$Z379&amp;" days",IF($AC379="Stale","No update in "&amp;$AA379&amp;" days","Past its "&amp;$AE379&amp;"-day tier window")))))))</f>
        <v/>
      </c>
      <c r="AR379" s="65" t="str">
        <f aca="false">IF($AO379="","","draft Jira update for "&amp;$A379)</f>
        <v/>
      </c>
      <c r="AS379" s="65" t="str">
        <f aca="false">IF($A379="","",HYPERLINK(JiraSite&amp;"/browse/"&amp;$A379,"open"))</f>
        <v/>
      </c>
      <c r="AT379" s="65" t="str">
        <f aca="false">IF($Y379="","",$Y379*1000+ROW())</f>
        <v/>
      </c>
      <c r="AU379" s="65" t="str">
        <f aca="false">IF(AND($A379&lt;&gt;"",$G379&gt;=WeekStart),$G379+ROW()/100000,"")</f>
        <v/>
      </c>
      <c r="AV379" s="65" t="str">
        <f aca="false">IF($A379="","",IF(OR(AND($S379&lt;&gt;"",$S379&gt;=WeekStart),AND($U379&lt;&gt;"",$U379&gt;=WeekStart)),MAX($S379,$U379)+ROW()/100000,""))</f>
        <v/>
      </c>
      <c r="AW379" s="65" t="str">
        <f aca="false">IF($AV379="","",IF($T379&lt;&gt;"",$T379,IF($X379="Closed","Closed","Accepted to "&amp;$X379)))</f>
        <v/>
      </c>
      <c r="AX379" s="65" t="str">
        <f aca="false">IF(AND($Y379&lt;&gt;"",$R379&lt;&gt;""),$AF379+ROW()/100000,"")</f>
        <v/>
      </c>
      <c r="AY379" s="65" t="str">
        <f aca="false">IF(AND($Y379&lt;&gt;"",OR($AB379="Overdue",AND($AH379="Critical",$R379&lt;&gt;""))),$AF379+ROW()/100000,"")</f>
        <v/>
      </c>
      <c r="AZ379" s="65" t="str">
        <f aca="false">IF($AH379="Critical",$AF379+ROW()/100000,"")</f>
        <v/>
      </c>
    </row>
    <row r="380" customFormat="false" ht="15" hidden="false" customHeight="false" outlineLevel="0" collapsed="false">
      <c r="A380" s="28"/>
      <c r="B380" s="28"/>
      <c r="C380" s="28"/>
      <c r="D380" s="28"/>
      <c r="E380" s="28"/>
      <c r="F380" s="28"/>
      <c r="G380" s="63"/>
      <c r="H380" s="63"/>
      <c r="I380" s="63"/>
      <c r="J380" s="28"/>
      <c r="K380" s="28"/>
      <c r="L380" s="28"/>
      <c r="M380" s="28"/>
      <c r="N380" s="28"/>
      <c r="O380" s="64"/>
      <c r="P380" s="64"/>
      <c r="Q380" s="64"/>
      <c r="R380" s="28"/>
      <c r="S380" s="63"/>
      <c r="T380" s="64"/>
      <c r="U380" s="63"/>
      <c r="V380" s="64"/>
      <c r="W380" s="28"/>
      <c r="X380" s="65" t="str">
        <f aca="false">IF($A380="","",IF(OR($T380&lt;&gt;"",$U380&lt;&gt;""),"Closed",IFERROR(INDEX(MapStage,MATCH($C380,MapStatus,0)),"Unmapped")))</f>
        <v/>
      </c>
      <c r="Y380" s="65" t="str">
        <f aca="false">IF(OR($X380="",$X380="Closed",$X380="Unmapped"),"",MATCH($X380,StageName,0))</f>
        <v/>
      </c>
      <c r="Z380" s="65" t="str">
        <f aca="false">IF(OR($Y380="",$I380=""),"",$I380-AsOf)</f>
        <v/>
      </c>
      <c r="AA380" s="65" t="str">
        <f aca="false">IF($A380="","",AsOf-$H380)</f>
        <v/>
      </c>
      <c r="AB380" s="65" t="str">
        <f aca="false">IF($A380="","",IF($X380="Closed","Closed",IF($X380="Unmapped","Unmapped",IF($I380="","No target",IF($Z380&lt;0,"Overdue",IF($Z380&lt;=INDEX(StageWindow,$Y380),"At risk","On track"))))))</f>
        <v/>
      </c>
      <c r="AC380" s="65" t="str">
        <f aca="false">IF($Y380="","",IF($AA380&gt;2*INDEX(StageStale,$Y380),"Stale",IF($AA380&gt;INDEX(StageStale,$Y380),"Aging","Fresh")))</f>
        <v/>
      </c>
      <c r="AD380" s="65" t="str">
        <f aca="false">IF($A380="","",IF(OR(ISNUMBER(SEARCH("Reg report",$J380)),ISNUMBER(SEARCH("No human review",$J380)),COUNTIF(TierFuncs,$D380)&gt;0),"High",IF(OR(TRIM($J380)&lt;&gt;"",ISNUMBER(SEARCH("revenue",$K380))),"Medium","Low")))</f>
        <v/>
      </c>
      <c r="AE380" s="65" t="str">
        <f aca="false">IF($A380="","",INDEX(TierDays,MATCH($AD380,TierName,0)))</f>
        <v/>
      </c>
      <c r="AF380" s="65" t="str">
        <f aca="false">IF($A380="","",AsOf-$G380)</f>
        <v/>
      </c>
      <c r="AG380" s="65" t="str">
        <f aca="false">IF($Y380="","",IF($Y380&lt;=5,IF($AF380&gt;$AE380,"Over","Inside"),"Past approval"))</f>
        <v/>
      </c>
      <c r="AH380" s="65" t="str">
        <f aca="false">IF($Y380="","",CHOOSE($Y380,IF(OR(TRIM($F380)="",ISNUMBER(SEARCH("not named",$F380))),"Critical","Good"),IF($O380&lt;&gt;"Y","Critical",IF($Q380&lt;&gt;"Y","Warning","Good")),IF($P380="","Critical",IF($P380="partial","Warning",IF($P380="ready","Good","Critical"))),IF($R380&lt;&gt;"","Critical","Warning"),IF($L380="","Critical",IF($N380="","Warning","Good")),IF($R380&lt;&gt;"","Critical","Warning"),IF($R380&lt;&gt;"","Critical","Warning"),IF($Q380="Y","Good","Critical")))</f>
        <v/>
      </c>
      <c r="AI380" s="65" t="str">
        <f aca="false">IF($Y380="","",CHOOSE($Y380,IF(OR(TRIM($F380)="",ISNUMBER(SEARCH("not named",$F380))),"Name a sponsor accountable for the value",""),IF($O380&lt;&gt;"Y","State the success metric and the stop condition",IF($Q380&lt;&gt;"Y","Set the baseline the benefit will be measured against","")),IF($P380="","Assess data readiness and regulatory impact",IF($P380="partial","Close the known data gaps",IF($P380="ready","","Data is not available; reshape or park"))),IF($R380&lt;&gt;"",IF(OR(ISNUMBER(SEARCH("mrm",$R380)),ISNUMBER(SEARCH("model",$R380)),ISNUMBER(SEARCH("risk",$R380)),ISNUMBER(SEARCH("legal",$R380)),ISNUMBER(SEARCH("complian",$R380))),"Awaiting ","Held at the design gate: ")&amp;$R380,"Map the governance framework for its tier"),IF($L380="","Size the annual benefit",IF($N380="","Score it so it can be ranked against capacity","")),IF($R380&lt;&gt;"","Build held: "&amp;$R380,"In build, not yet through test"),IF($R380&lt;&gt;"","Not ready to scale: "&amp;$R380,"Monitoring and third-party review not yet signed off"),IF($Q380="Y","","Live without a measured baseline to judge it against")))</f>
        <v/>
      </c>
      <c r="AJ380" s="65" t="str">
        <f aca="false">IF($Y380="","",INDEX(StageForum,$Y380))</f>
        <v/>
      </c>
      <c r="AK380" s="65" t="str">
        <f aca="false">IF($Y380="","",IF(OR($X380="Delivery",$X380="Value"),"Committed",IF($N380&lt;&gt;"","Candidate","")))</f>
        <v/>
      </c>
      <c r="AL380" s="65" t="str">
        <f aca="false">IF($AK380&lt;&gt;"Candidate","",COUNTIFS($AK$2:$AK$501,"Candidate",$N$2:$N$501,"&gt;"&amp;$N380)+COUNTIFS($AK$2:$AK$501,"Candidate",$N$2:$N$501,$N380,$A$2:$A$501,"&lt;"&amp;$A380)+1)</f>
        <v/>
      </c>
      <c r="AM380" s="65" t="str">
        <f aca="false">IF($AL380="","",SUMIFS($M$2:$M$501,$AK$2:$AK$501,"Candidate",$AL$2:$AL$501,"&lt;="&amp;$AL380))</f>
        <v/>
      </c>
      <c r="AN380" s="65" t="str">
        <f aca="false">IF($AL380="","",IF($AM380&lt;=CapacityOpen,"Fits","Below line"))</f>
        <v/>
      </c>
      <c r="AO380" s="65" t="str">
        <f aca="false">IF($A380="","",IF($X380="Closed","",IF($X380="Unmapped","Warning",IF(OR($AB380="Overdue",$V380="Y",$AH380="Critical"),"Critical",IF(OR($AB380="At risk",$AC380="Stale",$AG380="Over"),"Warning","")))))</f>
        <v/>
      </c>
      <c r="AP380" s="65" t="str">
        <f aca="false">IF($AO380="","",IF($AO380="Critical",3000,2000)-IF($Z380="",0,$Z380)+ROW()/100000)</f>
        <v/>
      </c>
      <c r="AQ380" s="65" t="str">
        <f aca="false">IF($AO380="","",IF($X380="Unmapped","Status '"&amp;$C380&amp;"' is not in the Config map",IF($V380="Y","Flagged in Jira",IF($AB380="Overdue",-$Z380&amp;" days past its "&amp;$X380&amp;" target",IF($AH380="Critical",$AI380,IF($AB380="At risk","Target in "&amp;$Z380&amp;" days",IF($AC380="Stale","No update in "&amp;$AA380&amp;" days","Past its "&amp;$AE380&amp;"-day tier window")))))))</f>
        <v/>
      </c>
      <c r="AR380" s="65" t="str">
        <f aca="false">IF($AO380="","","draft Jira update for "&amp;$A380)</f>
        <v/>
      </c>
      <c r="AS380" s="65" t="str">
        <f aca="false">IF($A380="","",HYPERLINK(JiraSite&amp;"/browse/"&amp;$A380,"open"))</f>
        <v/>
      </c>
      <c r="AT380" s="65" t="str">
        <f aca="false">IF($Y380="","",$Y380*1000+ROW())</f>
        <v/>
      </c>
      <c r="AU380" s="65" t="str">
        <f aca="false">IF(AND($A380&lt;&gt;"",$G380&gt;=WeekStart),$G380+ROW()/100000,"")</f>
        <v/>
      </c>
      <c r="AV380" s="65" t="str">
        <f aca="false">IF($A380="","",IF(OR(AND($S380&lt;&gt;"",$S380&gt;=WeekStart),AND($U380&lt;&gt;"",$U380&gt;=WeekStart)),MAX($S380,$U380)+ROW()/100000,""))</f>
        <v/>
      </c>
      <c r="AW380" s="65" t="str">
        <f aca="false">IF($AV380="","",IF($T380&lt;&gt;"",$T380,IF($X380="Closed","Closed","Accepted to "&amp;$X380)))</f>
        <v/>
      </c>
      <c r="AX380" s="65" t="str">
        <f aca="false">IF(AND($Y380&lt;&gt;"",$R380&lt;&gt;""),$AF380+ROW()/100000,"")</f>
        <v/>
      </c>
      <c r="AY380" s="65" t="str">
        <f aca="false">IF(AND($Y380&lt;&gt;"",OR($AB380="Overdue",AND($AH380="Critical",$R380&lt;&gt;""))),$AF380+ROW()/100000,"")</f>
        <v/>
      </c>
      <c r="AZ380" s="65" t="str">
        <f aca="false">IF($AH380="Critical",$AF380+ROW()/100000,"")</f>
        <v/>
      </c>
    </row>
    <row r="381" customFormat="false" ht="15" hidden="false" customHeight="false" outlineLevel="0" collapsed="false">
      <c r="A381" s="28"/>
      <c r="B381" s="28"/>
      <c r="C381" s="28"/>
      <c r="D381" s="28"/>
      <c r="E381" s="28"/>
      <c r="F381" s="28"/>
      <c r="G381" s="63"/>
      <c r="H381" s="63"/>
      <c r="I381" s="63"/>
      <c r="J381" s="28"/>
      <c r="K381" s="28"/>
      <c r="L381" s="28"/>
      <c r="M381" s="28"/>
      <c r="N381" s="28"/>
      <c r="O381" s="64"/>
      <c r="P381" s="64"/>
      <c r="Q381" s="64"/>
      <c r="R381" s="28"/>
      <c r="S381" s="63"/>
      <c r="T381" s="64"/>
      <c r="U381" s="63"/>
      <c r="V381" s="64"/>
      <c r="W381" s="28"/>
      <c r="X381" s="65" t="str">
        <f aca="false">IF($A381="","",IF(OR($T381&lt;&gt;"",$U381&lt;&gt;""),"Closed",IFERROR(INDEX(MapStage,MATCH($C381,MapStatus,0)),"Unmapped")))</f>
        <v/>
      </c>
      <c r="Y381" s="65" t="str">
        <f aca="false">IF(OR($X381="",$X381="Closed",$X381="Unmapped"),"",MATCH($X381,StageName,0))</f>
        <v/>
      </c>
      <c r="Z381" s="65" t="str">
        <f aca="false">IF(OR($Y381="",$I381=""),"",$I381-AsOf)</f>
        <v/>
      </c>
      <c r="AA381" s="65" t="str">
        <f aca="false">IF($A381="","",AsOf-$H381)</f>
        <v/>
      </c>
      <c r="AB381" s="65" t="str">
        <f aca="false">IF($A381="","",IF($X381="Closed","Closed",IF($X381="Unmapped","Unmapped",IF($I381="","No target",IF($Z381&lt;0,"Overdue",IF($Z381&lt;=INDEX(StageWindow,$Y381),"At risk","On track"))))))</f>
        <v/>
      </c>
      <c r="AC381" s="65" t="str">
        <f aca="false">IF($Y381="","",IF($AA381&gt;2*INDEX(StageStale,$Y381),"Stale",IF($AA381&gt;INDEX(StageStale,$Y381),"Aging","Fresh")))</f>
        <v/>
      </c>
      <c r="AD381" s="65" t="str">
        <f aca="false">IF($A381="","",IF(OR(ISNUMBER(SEARCH("Reg report",$J381)),ISNUMBER(SEARCH("No human review",$J381)),COUNTIF(TierFuncs,$D381)&gt;0),"High",IF(OR(TRIM($J381)&lt;&gt;"",ISNUMBER(SEARCH("revenue",$K381))),"Medium","Low")))</f>
        <v/>
      </c>
      <c r="AE381" s="65" t="str">
        <f aca="false">IF($A381="","",INDEX(TierDays,MATCH($AD381,TierName,0)))</f>
        <v/>
      </c>
      <c r="AF381" s="65" t="str">
        <f aca="false">IF($A381="","",AsOf-$G381)</f>
        <v/>
      </c>
      <c r="AG381" s="65" t="str">
        <f aca="false">IF($Y381="","",IF($Y381&lt;=5,IF($AF381&gt;$AE381,"Over","Inside"),"Past approval"))</f>
        <v/>
      </c>
      <c r="AH381" s="65" t="str">
        <f aca="false">IF($Y381="","",CHOOSE($Y381,IF(OR(TRIM($F381)="",ISNUMBER(SEARCH("not named",$F381))),"Critical","Good"),IF($O381&lt;&gt;"Y","Critical",IF($Q381&lt;&gt;"Y","Warning","Good")),IF($P381="","Critical",IF($P381="partial","Warning",IF($P381="ready","Good","Critical"))),IF($R381&lt;&gt;"","Critical","Warning"),IF($L381="","Critical",IF($N381="","Warning","Good")),IF($R381&lt;&gt;"","Critical","Warning"),IF($R381&lt;&gt;"","Critical","Warning"),IF($Q381="Y","Good","Critical")))</f>
        <v/>
      </c>
      <c r="AI381" s="65" t="str">
        <f aca="false">IF($Y381="","",CHOOSE($Y381,IF(OR(TRIM($F381)="",ISNUMBER(SEARCH("not named",$F381))),"Name a sponsor accountable for the value",""),IF($O381&lt;&gt;"Y","State the success metric and the stop condition",IF($Q381&lt;&gt;"Y","Set the baseline the benefit will be measured against","")),IF($P381="","Assess data readiness and regulatory impact",IF($P381="partial","Close the known data gaps",IF($P381="ready","","Data is not available; reshape or park"))),IF($R381&lt;&gt;"",IF(OR(ISNUMBER(SEARCH("mrm",$R381)),ISNUMBER(SEARCH("model",$R381)),ISNUMBER(SEARCH("risk",$R381)),ISNUMBER(SEARCH("legal",$R381)),ISNUMBER(SEARCH("complian",$R381))),"Awaiting ","Held at the design gate: ")&amp;$R381,"Map the governance framework for its tier"),IF($L381="","Size the annual benefit",IF($N381="","Score it so it can be ranked against capacity","")),IF($R381&lt;&gt;"","Build held: "&amp;$R381,"In build, not yet through test"),IF($R381&lt;&gt;"","Not ready to scale: "&amp;$R381,"Monitoring and third-party review not yet signed off"),IF($Q381="Y","","Live without a measured baseline to judge it against")))</f>
        <v/>
      </c>
      <c r="AJ381" s="65" t="str">
        <f aca="false">IF($Y381="","",INDEX(StageForum,$Y381))</f>
        <v/>
      </c>
      <c r="AK381" s="65" t="str">
        <f aca="false">IF($Y381="","",IF(OR($X381="Delivery",$X381="Value"),"Committed",IF($N381&lt;&gt;"","Candidate","")))</f>
        <v/>
      </c>
      <c r="AL381" s="65" t="str">
        <f aca="false">IF($AK381&lt;&gt;"Candidate","",COUNTIFS($AK$2:$AK$501,"Candidate",$N$2:$N$501,"&gt;"&amp;$N381)+COUNTIFS($AK$2:$AK$501,"Candidate",$N$2:$N$501,$N381,$A$2:$A$501,"&lt;"&amp;$A381)+1)</f>
        <v/>
      </c>
      <c r="AM381" s="65" t="str">
        <f aca="false">IF($AL381="","",SUMIFS($M$2:$M$501,$AK$2:$AK$501,"Candidate",$AL$2:$AL$501,"&lt;="&amp;$AL381))</f>
        <v/>
      </c>
      <c r="AN381" s="65" t="str">
        <f aca="false">IF($AL381="","",IF($AM381&lt;=CapacityOpen,"Fits","Below line"))</f>
        <v/>
      </c>
      <c r="AO381" s="65" t="str">
        <f aca="false">IF($A381="","",IF($X381="Closed","",IF($X381="Unmapped","Warning",IF(OR($AB381="Overdue",$V381="Y",$AH381="Critical"),"Critical",IF(OR($AB381="At risk",$AC381="Stale",$AG381="Over"),"Warning","")))))</f>
        <v/>
      </c>
      <c r="AP381" s="65" t="str">
        <f aca="false">IF($AO381="","",IF($AO381="Critical",3000,2000)-IF($Z381="",0,$Z381)+ROW()/100000)</f>
        <v/>
      </c>
      <c r="AQ381" s="65" t="str">
        <f aca="false">IF($AO381="","",IF($X381="Unmapped","Status '"&amp;$C381&amp;"' is not in the Config map",IF($V381="Y","Flagged in Jira",IF($AB381="Overdue",-$Z381&amp;" days past its "&amp;$X381&amp;" target",IF($AH381="Critical",$AI381,IF($AB381="At risk","Target in "&amp;$Z381&amp;" days",IF($AC381="Stale","No update in "&amp;$AA381&amp;" days","Past its "&amp;$AE381&amp;"-day tier window")))))))</f>
        <v/>
      </c>
      <c r="AR381" s="65" t="str">
        <f aca="false">IF($AO381="","","draft Jira update for "&amp;$A381)</f>
        <v/>
      </c>
      <c r="AS381" s="65" t="str">
        <f aca="false">IF($A381="","",HYPERLINK(JiraSite&amp;"/browse/"&amp;$A381,"open"))</f>
        <v/>
      </c>
      <c r="AT381" s="65" t="str">
        <f aca="false">IF($Y381="","",$Y381*1000+ROW())</f>
        <v/>
      </c>
      <c r="AU381" s="65" t="str">
        <f aca="false">IF(AND($A381&lt;&gt;"",$G381&gt;=WeekStart),$G381+ROW()/100000,"")</f>
        <v/>
      </c>
      <c r="AV381" s="65" t="str">
        <f aca="false">IF($A381="","",IF(OR(AND($S381&lt;&gt;"",$S381&gt;=WeekStart),AND($U381&lt;&gt;"",$U381&gt;=WeekStart)),MAX($S381,$U381)+ROW()/100000,""))</f>
        <v/>
      </c>
      <c r="AW381" s="65" t="str">
        <f aca="false">IF($AV381="","",IF($T381&lt;&gt;"",$T381,IF($X381="Closed","Closed","Accepted to "&amp;$X381)))</f>
        <v/>
      </c>
      <c r="AX381" s="65" t="str">
        <f aca="false">IF(AND($Y381&lt;&gt;"",$R381&lt;&gt;""),$AF381+ROW()/100000,"")</f>
        <v/>
      </c>
      <c r="AY381" s="65" t="str">
        <f aca="false">IF(AND($Y381&lt;&gt;"",OR($AB381="Overdue",AND($AH381="Critical",$R381&lt;&gt;""))),$AF381+ROW()/100000,"")</f>
        <v/>
      </c>
      <c r="AZ381" s="65" t="str">
        <f aca="false">IF($AH381="Critical",$AF381+ROW()/100000,"")</f>
        <v/>
      </c>
    </row>
    <row r="382" customFormat="false" ht="15" hidden="false" customHeight="false" outlineLevel="0" collapsed="false">
      <c r="A382" s="28"/>
      <c r="B382" s="28"/>
      <c r="C382" s="28"/>
      <c r="D382" s="28"/>
      <c r="E382" s="28"/>
      <c r="F382" s="28"/>
      <c r="G382" s="63"/>
      <c r="H382" s="63"/>
      <c r="I382" s="63"/>
      <c r="J382" s="28"/>
      <c r="K382" s="28"/>
      <c r="L382" s="28"/>
      <c r="M382" s="28"/>
      <c r="N382" s="28"/>
      <c r="O382" s="64"/>
      <c r="P382" s="64"/>
      <c r="Q382" s="64"/>
      <c r="R382" s="28"/>
      <c r="S382" s="63"/>
      <c r="T382" s="64"/>
      <c r="U382" s="63"/>
      <c r="V382" s="64"/>
      <c r="W382" s="28"/>
      <c r="X382" s="65" t="str">
        <f aca="false">IF($A382="","",IF(OR($T382&lt;&gt;"",$U382&lt;&gt;""),"Closed",IFERROR(INDEX(MapStage,MATCH($C382,MapStatus,0)),"Unmapped")))</f>
        <v/>
      </c>
      <c r="Y382" s="65" t="str">
        <f aca="false">IF(OR($X382="",$X382="Closed",$X382="Unmapped"),"",MATCH($X382,StageName,0))</f>
        <v/>
      </c>
      <c r="Z382" s="65" t="str">
        <f aca="false">IF(OR($Y382="",$I382=""),"",$I382-AsOf)</f>
        <v/>
      </c>
      <c r="AA382" s="65" t="str">
        <f aca="false">IF($A382="","",AsOf-$H382)</f>
        <v/>
      </c>
      <c r="AB382" s="65" t="str">
        <f aca="false">IF($A382="","",IF($X382="Closed","Closed",IF($X382="Unmapped","Unmapped",IF($I382="","No target",IF($Z382&lt;0,"Overdue",IF($Z382&lt;=INDEX(StageWindow,$Y382),"At risk","On track"))))))</f>
        <v/>
      </c>
      <c r="AC382" s="65" t="str">
        <f aca="false">IF($Y382="","",IF($AA382&gt;2*INDEX(StageStale,$Y382),"Stale",IF($AA382&gt;INDEX(StageStale,$Y382),"Aging","Fresh")))</f>
        <v/>
      </c>
      <c r="AD382" s="65" t="str">
        <f aca="false">IF($A382="","",IF(OR(ISNUMBER(SEARCH("Reg report",$J382)),ISNUMBER(SEARCH("No human review",$J382)),COUNTIF(TierFuncs,$D382)&gt;0),"High",IF(OR(TRIM($J382)&lt;&gt;"",ISNUMBER(SEARCH("revenue",$K382))),"Medium","Low")))</f>
        <v/>
      </c>
      <c r="AE382" s="65" t="str">
        <f aca="false">IF($A382="","",INDEX(TierDays,MATCH($AD382,TierName,0)))</f>
        <v/>
      </c>
      <c r="AF382" s="65" t="str">
        <f aca="false">IF($A382="","",AsOf-$G382)</f>
        <v/>
      </c>
      <c r="AG382" s="65" t="str">
        <f aca="false">IF($Y382="","",IF($Y382&lt;=5,IF($AF382&gt;$AE382,"Over","Inside"),"Past approval"))</f>
        <v/>
      </c>
      <c r="AH382" s="65" t="str">
        <f aca="false">IF($Y382="","",CHOOSE($Y382,IF(OR(TRIM($F382)="",ISNUMBER(SEARCH("not named",$F382))),"Critical","Good"),IF($O382&lt;&gt;"Y","Critical",IF($Q382&lt;&gt;"Y","Warning","Good")),IF($P382="","Critical",IF($P382="partial","Warning",IF($P382="ready","Good","Critical"))),IF($R382&lt;&gt;"","Critical","Warning"),IF($L382="","Critical",IF($N382="","Warning","Good")),IF($R382&lt;&gt;"","Critical","Warning"),IF($R382&lt;&gt;"","Critical","Warning"),IF($Q382="Y","Good","Critical")))</f>
        <v/>
      </c>
      <c r="AI382" s="65" t="str">
        <f aca="false">IF($Y382="","",CHOOSE($Y382,IF(OR(TRIM($F382)="",ISNUMBER(SEARCH("not named",$F382))),"Name a sponsor accountable for the value",""),IF($O382&lt;&gt;"Y","State the success metric and the stop condition",IF($Q382&lt;&gt;"Y","Set the baseline the benefit will be measured against","")),IF($P382="","Assess data readiness and regulatory impact",IF($P382="partial","Close the known data gaps",IF($P382="ready","","Data is not available; reshape or park"))),IF($R382&lt;&gt;"",IF(OR(ISNUMBER(SEARCH("mrm",$R382)),ISNUMBER(SEARCH("model",$R382)),ISNUMBER(SEARCH("risk",$R382)),ISNUMBER(SEARCH("legal",$R382)),ISNUMBER(SEARCH("complian",$R382))),"Awaiting ","Held at the design gate: ")&amp;$R382,"Map the governance framework for its tier"),IF($L382="","Size the annual benefit",IF($N382="","Score it so it can be ranked against capacity","")),IF($R382&lt;&gt;"","Build held: "&amp;$R382,"In build, not yet through test"),IF($R382&lt;&gt;"","Not ready to scale: "&amp;$R382,"Monitoring and third-party review not yet signed off"),IF($Q382="Y","","Live without a measured baseline to judge it against")))</f>
        <v/>
      </c>
      <c r="AJ382" s="65" t="str">
        <f aca="false">IF($Y382="","",INDEX(StageForum,$Y382))</f>
        <v/>
      </c>
      <c r="AK382" s="65" t="str">
        <f aca="false">IF($Y382="","",IF(OR($X382="Delivery",$X382="Value"),"Committed",IF($N382&lt;&gt;"","Candidate","")))</f>
        <v/>
      </c>
      <c r="AL382" s="65" t="str">
        <f aca="false">IF($AK382&lt;&gt;"Candidate","",COUNTIFS($AK$2:$AK$501,"Candidate",$N$2:$N$501,"&gt;"&amp;$N382)+COUNTIFS($AK$2:$AK$501,"Candidate",$N$2:$N$501,$N382,$A$2:$A$501,"&lt;"&amp;$A382)+1)</f>
        <v/>
      </c>
      <c r="AM382" s="65" t="str">
        <f aca="false">IF($AL382="","",SUMIFS($M$2:$M$501,$AK$2:$AK$501,"Candidate",$AL$2:$AL$501,"&lt;="&amp;$AL382))</f>
        <v/>
      </c>
      <c r="AN382" s="65" t="str">
        <f aca="false">IF($AL382="","",IF($AM382&lt;=CapacityOpen,"Fits","Below line"))</f>
        <v/>
      </c>
      <c r="AO382" s="65" t="str">
        <f aca="false">IF($A382="","",IF($X382="Closed","",IF($X382="Unmapped","Warning",IF(OR($AB382="Overdue",$V382="Y",$AH382="Critical"),"Critical",IF(OR($AB382="At risk",$AC382="Stale",$AG382="Over"),"Warning","")))))</f>
        <v/>
      </c>
      <c r="AP382" s="65" t="str">
        <f aca="false">IF($AO382="","",IF($AO382="Critical",3000,2000)-IF($Z382="",0,$Z382)+ROW()/100000)</f>
        <v/>
      </c>
      <c r="AQ382" s="65" t="str">
        <f aca="false">IF($AO382="","",IF($X382="Unmapped","Status '"&amp;$C382&amp;"' is not in the Config map",IF($V382="Y","Flagged in Jira",IF($AB382="Overdue",-$Z382&amp;" days past its "&amp;$X382&amp;" target",IF($AH382="Critical",$AI382,IF($AB382="At risk","Target in "&amp;$Z382&amp;" days",IF($AC382="Stale","No update in "&amp;$AA382&amp;" days","Past its "&amp;$AE382&amp;"-day tier window")))))))</f>
        <v/>
      </c>
      <c r="AR382" s="65" t="str">
        <f aca="false">IF($AO382="","","draft Jira update for "&amp;$A382)</f>
        <v/>
      </c>
      <c r="AS382" s="65" t="str">
        <f aca="false">IF($A382="","",HYPERLINK(JiraSite&amp;"/browse/"&amp;$A382,"open"))</f>
        <v/>
      </c>
      <c r="AT382" s="65" t="str">
        <f aca="false">IF($Y382="","",$Y382*1000+ROW())</f>
        <v/>
      </c>
      <c r="AU382" s="65" t="str">
        <f aca="false">IF(AND($A382&lt;&gt;"",$G382&gt;=WeekStart),$G382+ROW()/100000,"")</f>
        <v/>
      </c>
      <c r="AV382" s="65" t="str">
        <f aca="false">IF($A382="","",IF(OR(AND($S382&lt;&gt;"",$S382&gt;=WeekStart),AND($U382&lt;&gt;"",$U382&gt;=WeekStart)),MAX($S382,$U382)+ROW()/100000,""))</f>
        <v/>
      </c>
      <c r="AW382" s="65" t="str">
        <f aca="false">IF($AV382="","",IF($T382&lt;&gt;"",$T382,IF($X382="Closed","Closed","Accepted to "&amp;$X382)))</f>
        <v/>
      </c>
      <c r="AX382" s="65" t="str">
        <f aca="false">IF(AND($Y382&lt;&gt;"",$R382&lt;&gt;""),$AF382+ROW()/100000,"")</f>
        <v/>
      </c>
      <c r="AY382" s="65" t="str">
        <f aca="false">IF(AND($Y382&lt;&gt;"",OR($AB382="Overdue",AND($AH382="Critical",$R382&lt;&gt;""))),$AF382+ROW()/100000,"")</f>
        <v/>
      </c>
      <c r="AZ382" s="65" t="str">
        <f aca="false">IF($AH382="Critical",$AF382+ROW()/100000,"")</f>
        <v/>
      </c>
    </row>
    <row r="383" customFormat="false" ht="15" hidden="false" customHeight="false" outlineLevel="0" collapsed="false">
      <c r="A383" s="28"/>
      <c r="B383" s="28"/>
      <c r="C383" s="28"/>
      <c r="D383" s="28"/>
      <c r="E383" s="28"/>
      <c r="F383" s="28"/>
      <c r="G383" s="63"/>
      <c r="H383" s="63"/>
      <c r="I383" s="63"/>
      <c r="J383" s="28"/>
      <c r="K383" s="28"/>
      <c r="L383" s="28"/>
      <c r="M383" s="28"/>
      <c r="N383" s="28"/>
      <c r="O383" s="64"/>
      <c r="P383" s="64"/>
      <c r="Q383" s="64"/>
      <c r="R383" s="28"/>
      <c r="S383" s="63"/>
      <c r="T383" s="64"/>
      <c r="U383" s="63"/>
      <c r="V383" s="64"/>
      <c r="W383" s="28"/>
      <c r="X383" s="65" t="str">
        <f aca="false">IF($A383="","",IF(OR($T383&lt;&gt;"",$U383&lt;&gt;""),"Closed",IFERROR(INDEX(MapStage,MATCH($C383,MapStatus,0)),"Unmapped")))</f>
        <v/>
      </c>
      <c r="Y383" s="65" t="str">
        <f aca="false">IF(OR($X383="",$X383="Closed",$X383="Unmapped"),"",MATCH($X383,StageName,0))</f>
        <v/>
      </c>
      <c r="Z383" s="65" t="str">
        <f aca="false">IF(OR($Y383="",$I383=""),"",$I383-AsOf)</f>
        <v/>
      </c>
      <c r="AA383" s="65" t="str">
        <f aca="false">IF($A383="","",AsOf-$H383)</f>
        <v/>
      </c>
      <c r="AB383" s="65" t="str">
        <f aca="false">IF($A383="","",IF($X383="Closed","Closed",IF($X383="Unmapped","Unmapped",IF($I383="","No target",IF($Z383&lt;0,"Overdue",IF($Z383&lt;=INDEX(StageWindow,$Y383),"At risk","On track"))))))</f>
        <v/>
      </c>
      <c r="AC383" s="65" t="str">
        <f aca="false">IF($Y383="","",IF($AA383&gt;2*INDEX(StageStale,$Y383),"Stale",IF($AA383&gt;INDEX(StageStale,$Y383),"Aging","Fresh")))</f>
        <v/>
      </c>
      <c r="AD383" s="65" t="str">
        <f aca="false">IF($A383="","",IF(OR(ISNUMBER(SEARCH("Reg report",$J383)),ISNUMBER(SEARCH("No human review",$J383)),COUNTIF(TierFuncs,$D383)&gt;0),"High",IF(OR(TRIM($J383)&lt;&gt;"",ISNUMBER(SEARCH("revenue",$K383))),"Medium","Low")))</f>
        <v/>
      </c>
      <c r="AE383" s="65" t="str">
        <f aca="false">IF($A383="","",INDEX(TierDays,MATCH($AD383,TierName,0)))</f>
        <v/>
      </c>
      <c r="AF383" s="65" t="str">
        <f aca="false">IF($A383="","",AsOf-$G383)</f>
        <v/>
      </c>
      <c r="AG383" s="65" t="str">
        <f aca="false">IF($Y383="","",IF($Y383&lt;=5,IF($AF383&gt;$AE383,"Over","Inside"),"Past approval"))</f>
        <v/>
      </c>
      <c r="AH383" s="65" t="str">
        <f aca="false">IF($Y383="","",CHOOSE($Y383,IF(OR(TRIM($F383)="",ISNUMBER(SEARCH("not named",$F383))),"Critical","Good"),IF($O383&lt;&gt;"Y","Critical",IF($Q383&lt;&gt;"Y","Warning","Good")),IF($P383="","Critical",IF($P383="partial","Warning",IF($P383="ready","Good","Critical"))),IF($R383&lt;&gt;"","Critical","Warning"),IF($L383="","Critical",IF($N383="","Warning","Good")),IF($R383&lt;&gt;"","Critical","Warning"),IF($R383&lt;&gt;"","Critical","Warning"),IF($Q383="Y","Good","Critical")))</f>
        <v/>
      </c>
      <c r="AI383" s="65" t="str">
        <f aca="false">IF($Y383="","",CHOOSE($Y383,IF(OR(TRIM($F383)="",ISNUMBER(SEARCH("not named",$F383))),"Name a sponsor accountable for the value",""),IF($O383&lt;&gt;"Y","State the success metric and the stop condition",IF($Q383&lt;&gt;"Y","Set the baseline the benefit will be measured against","")),IF($P383="","Assess data readiness and regulatory impact",IF($P383="partial","Close the known data gaps",IF($P383="ready","","Data is not available; reshape or park"))),IF($R383&lt;&gt;"",IF(OR(ISNUMBER(SEARCH("mrm",$R383)),ISNUMBER(SEARCH("model",$R383)),ISNUMBER(SEARCH("risk",$R383)),ISNUMBER(SEARCH("legal",$R383)),ISNUMBER(SEARCH("complian",$R383))),"Awaiting ","Held at the design gate: ")&amp;$R383,"Map the governance framework for its tier"),IF($L383="","Size the annual benefit",IF($N383="","Score it so it can be ranked against capacity","")),IF($R383&lt;&gt;"","Build held: "&amp;$R383,"In build, not yet through test"),IF($R383&lt;&gt;"","Not ready to scale: "&amp;$R383,"Monitoring and third-party review not yet signed off"),IF($Q383="Y","","Live without a measured baseline to judge it against")))</f>
        <v/>
      </c>
      <c r="AJ383" s="65" t="str">
        <f aca="false">IF($Y383="","",INDEX(StageForum,$Y383))</f>
        <v/>
      </c>
      <c r="AK383" s="65" t="str">
        <f aca="false">IF($Y383="","",IF(OR($X383="Delivery",$X383="Value"),"Committed",IF($N383&lt;&gt;"","Candidate","")))</f>
        <v/>
      </c>
      <c r="AL383" s="65" t="str">
        <f aca="false">IF($AK383&lt;&gt;"Candidate","",COUNTIFS($AK$2:$AK$501,"Candidate",$N$2:$N$501,"&gt;"&amp;$N383)+COUNTIFS($AK$2:$AK$501,"Candidate",$N$2:$N$501,$N383,$A$2:$A$501,"&lt;"&amp;$A383)+1)</f>
        <v/>
      </c>
      <c r="AM383" s="65" t="str">
        <f aca="false">IF($AL383="","",SUMIFS($M$2:$M$501,$AK$2:$AK$501,"Candidate",$AL$2:$AL$501,"&lt;="&amp;$AL383))</f>
        <v/>
      </c>
      <c r="AN383" s="65" t="str">
        <f aca="false">IF($AL383="","",IF($AM383&lt;=CapacityOpen,"Fits","Below line"))</f>
        <v/>
      </c>
      <c r="AO383" s="65" t="str">
        <f aca="false">IF($A383="","",IF($X383="Closed","",IF($X383="Unmapped","Warning",IF(OR($AB383="Overdue",$V383="Y",$AH383="Critical"),"Critical",IF(OR($AB383="At risk",$AC383="Stale",$AG383="Over"),"Warning","")))))</f>
        <v/>
      </c>
      <c r="AP383" s="65" t="str">
        <f aca="false">IF($AO383="","",IF($AO383="Critical",3000,2000)-IF($Z383="",0,$Z383)+ROW()/100000)</f>
        <v/>
      </c>
      <c r="AQ383" s="65" t="str">
        <f aca="false">IF($AO383="","",IF($X383="Unmapped","Status '"&amp;$C383&amp;"' is not in the Config map",IF($V383="Y","Flagged in Jira",IF($AB383="Overdue",-$Z383&amp;" days past its "&amp;$X383&amp;" target",IF($AH383="Critical",$AI383,IF($AB383="At risk","Target in "&amp;$Z383&amp;" days",IF($AC383="Stale","No update in "&amp;$AA383&amp;" days","Past its "&amp;$AE383&amp;"-day tier window")))))))</f>
        <v/>
      </c>
      <c r="AR383" s="65" t="str">
        <f aca="false">IF($AO383="","","draft Jira update for "&amp;$A383)</f>
        <v/>
      </c>
      <c r="AS383" s="65" t="str">
        <f aca="false">IF($A383="","",HYPERLINK(JiraSite&amp;"/browse/"&amp;$A383,"open"))</f>
        <v/>
      </c>
      <c r="AT383" s="65" t="str">
        <f aca="false">IF($Y383="","",$Y383*1000+ROW())</f>
        <v/>
      </c>
      <c r="AU383" s="65" t="str">
        <f aca="false">IF(AND($A383&lt;&gt;"",$G383&gt;=WeekStart),$G383+ROW()/100000,"")</f>
        <v/>
      </c>
      <c r="AV383" s="65" t="str">
        <f aca="false">IF($A383="","",IF(OR(AND($S383&lt;&gt;"",$S383&gt;=WeekStart),AND($U383&lt;&gt;"",$U383&gt;=WeekStart)),MAX($S383,$U383)+ROW()/100000,""))</f>
        <v/>
      </c>
      <c r="AW383" s="65" t="str">
        <f aca="false">IF($AV383="","",IF($T383&lt;&gt;"",$T383,IF($X383="Closed","Closed","Accepted to "&amp;$X383)))</f>
        <v/>
      </c>
      <c r="AX383" s="65" t="str">
        <f aca="false">IF(AND($Y383&lt;&gt;"",$R383&lt;&gt;""),$AF383+ROW()/100000,"")</f>
        <v/>
      </c>
      <c r="AY383" s="65" t="str">
        <f aca="false">IF(AND($Y383&lt;&gt;"",OR($AB383="Overdue",AND($AH383="Critical",$R383&lt;&gt;""))),$AF383+ROW()/100000,"")</f>
        <v/>
      </c>
      <c r="AZ383" s="65" t="str">
        <f aca="false">IF($AH383="Critical",$AF383+ROW()/100000,"")</f>
        <v/>
      </c>
    </row>
    <row r="384" customFormat="false" ht="15" hidden="false" customHeight="false" outlineLevel="0" collapsed="false">
      <c r="A384" s="28"/>
      <c r="B384" s="28"/>
      <c r="C384" s="28"/>
      <c r="D384" s="28"/>
      <c r="E384" s="28"/>
      <c r="F384" s="28"/>
      <c r="G384" s="63"/>
      <c r="H384" s="63"/>
      <c r="I384" s="63"/>
      <c r="J384" s="28"/>
      <c r="K384" s="28"/>
      <c r="L384" s="28"/>
      <c r="M384" s="28"/>
      <c r="N384" s="28"/>
      <c r="O384" s="64"/>
      <c r="P384" s="64"/>
      <c r="Q384" s="64"/>
      <c r="R384" s="28"/>
      <c r="S384" s="63"/>
      <c r="T384" s="64"/>
      <c r="U384" s="63"/>
      <c r="V384" s="64"/>
      <c r="W384" s="28"/>
      <c r="X384" s="65" t="str">
        <f aca="false">IF($A384="","",IF(OR($T384&lt;&gt;"",$U384&lt;&gt;""),"Closed",IFERROR(INDEX(MapStage,MATCH($C384,MapStatus,0)),"Unmapped")))</f>
        <v/>
      </c>
      <c r="Y384" s="65" t="str">
        <f aca="false">IF(OR($X384="",$X384="Closed",$X384="Unmapped"),"",MATCH($X384,StageName,0))</f>
        <v/>
      </c>
      <c r="Z384" s="65" t="str">
        <f aca="false">IF(OR($Y384="",$I384=""),"",$I384-AsOf)</f>
        <v/>
      </c>
      <c r="AA384" s="65" t="str">
        <f aca="false">IF($A384="","",AsOf-$H384)</f>
        <v/>
      </c>
      <c r="AB384" s="65" t="str">
        <f aca="false">IF($A384="","",IF($X384="Closed","Closed",IF($X384="Unmapped","Unmapped",IF($I384="","No target",IF($Z384&lt;0,"Overdue",IF($Z384&lt;=INDEX(StageWindow,$Y384),"At risk","On track"))))))</f>
        <v/>
      </c>
      <c r="AC384" s="65" t="str">
        <f aca="false">IF($Y384="","",IF($AA384&gt;2*INDEX(StageStale,$Y384),"Stale",IF($AA384&gt;INDEX(StageStale,$Y384),"Aging","Fresh")))</f>
        <v/>
      </c>
      <c r="AD384" s="65" t="str">
        <f aca="false">IF($A384="","",IF(OR(ISNUMBER(SEARCH("Reg report",$J384)),ISNUMBER(SEARCH("No human review",$J384)),COUNTIF(TierFuncs,$D384)&gt;0),"High",IF(OR(TRIM($J384)&lt;&gt;"",ISNUMBER(SEARCH("revenue",$K384))),"Medium","Low")))</f>
        <v/>
      </c>
      <c r="AE384" s="65" t="str">
        <f aca="false">IF($A384="","",INDEX(TierDays,MATCH($AD384,TierName,0)))</f>
        <v/>
      </c>
      <c r="AF384" s="65" t="str">
        <f aca="false">IF($A384="","",AsOf-$G384)</f>
        <v/>
      </c>
      <c r="AG384" s="65" t="str">
        <f aca="false">IF($Y384="","",IF($Y384&lt;=5,IF($AF384&gt;$AE384,"Over","Inside"),"Past approval"))</f>
        <v/>
      </c>
      <c r="AH384" s="65" t="str">
        <f aca="false">IF($Y384="","",CHOOSE($Y384,IF(OR(TRIM($F384)="",ISNUMBER(SEARCH("not named",$F384))),"Critical","Good"),IF($O384&lt;&gt;"Y","Critical",IF($Q384&lt;&gt;"Y","Warning","Good")),IF($P384="","Critical",IF($P384="partial","Warning",IF($P384="ready","Good","Critical"))),IF($R384&lt;&gt;"","Critical","Warning"),IF($L384="","Critical",IF($N384="","Warning","Good")),IF($R384&lt;&gt;"","Critical","Warning"),IF($R384&lt;&gt;"","Critical","Warning"),IF($Q384="Y","Good","Critical")))</f>
        <v/>
      </c>
      <c r="AI384" s="65" t="str">
        <f aca="false">IF($Y384="","",CHOOSE($Y384,IF(OR(TRIM($F384)="",ISNUMBER(SEARCH("not named",$F384))),"Name a sponsor accountable for the value",""),IF($O384&lt;&gt;"Y","State the success metric and the stop condition",IF($Q384&lt;&gt;"Y","Set the baseline the benefit will be measured against","")),IF($P384="","Assess data readiness and regulatory impact",IF($P384="partial","Close the known data gaps",IF($P384="ready","","Data is not available; reshape or park"))),IF($R384&lt;&gt;"",IF(OR(ISNUMBER(SEARCH("mrm",$R384)),ISNUMBER(SEARCH("model",$R384)),ISNUMBER(SEARCH("risk",$R384)),ISNUMBER(SEARCH("legal",$R384)),ISNUMBER(SEARCH("complian",$R384))),"Awaiting ","Held at the design gate: ")&amp;$R384,"Map the governance framework for its tier"),IF($L384="","Size the annual benefit",IF($N384="","Score it so it can be ranked against capacity","")),IF($R384&lt;&gt;"","Build held: "&amp;$R384,"In build, not yet through test"),IF($R384&lt;&gt;"","Not ready to scale: "&amp;$R384,"Monitoring and third-party review not yet signed off"),IF($Q384="Y","","Live without a measured baseline to judge it against")))</f>
        <v/>
      </c>
      <c r="AJ384" s="65" t="str">
        <f aca="false">IF($Y384="","",INDEX(StageForum,$Y384))</f>
        <v/>
      </c>
      <c r="AK384" s="65" t="str">
        <f aca="false">IF($Y384="","",IF(OR($X384="Delivery",$X384="Value"),"Committed",IF($N384&lt;&gt;"","Candidate","")))</f>
        <v/>
      </c>
      <c r="AL384" s="65" t="str">
        <f aca="false">IF($AK384&lt;&gt;"Candidate","",COUNTIFS($AK$2:$AK$501,"Candidate",$N$2:$N$501,"&gt;"&amp;$N384)+COUNTIFS($AK$2:$AK$501,"Candidate",$N$2:$N$501,$N384,$A$2:$A$501,"&lt;"&amp;$A384)+1)</f>
        <v/>
      </c>
      <c r="AM384" s="65" t="str">
        <f aca="false">IF($AL384="","",SUMIFS($M$2:$M$501,$AK$2:$AK$501,"Candidate",$AL$2:$AL$501,"&lt;="&amp;$AL384))</f>
        <v/>
      </c>
      <c r="AN384" s="65" t="str">
        <f aca="false">IF($AL384="","",IF($AM384&lt;=CapacityOpen,"Fits","Below line"))</f>
        <v/>
      </c>
      <c r="AO384" s="65" t="str">
        <f aca="false">IF($A384="","",IF($X384="Closed","",IF($X384="Unmapped","Warning",IF(OR($AB384="Overdue",$V384="Y",$AH384="Critical"),"Critical",IF(OR($AB384="At risk",$AC384="Stale",$AG384="Over"),"Warning","")))))</f>
        <v/>
      </c>
      <c r="AP384" s="65" t="str">
        <f aca="false">IF($AO384="","",IF($AO384="Critical",3000,2000)-IF($Z384="",0,$Z384)+ROW()/100000)</f>
        <v/>
      </c>
      <c r="AQ384" s="65" t="str">
        <f aca="false">IF($AO384="","",IF($X384="Unmapped","Status '"&amp;$C384&amp;"' is not in the Config map",IF($V384="Y","Flagged in Jira",IF($AB384="Overdue",-$Z384&amp;" days past its "&amp;$X384&amp;" target",IF($AH384="Critical",$AI384,IF($AB384="At risk","Target in "&amp;$Z384&amp;" days",IF($AC384="Stale","No update in "&amp;$AA384&amp;" days","Past its "&amp;$AE384&amp;"-day tier window")))))))</f>
        <v/>
      </c>
      <c r="AR384" s="65" t="str">
        <f aca="false">IF($AO384="","","draft Jira update for "&amp;$A384)</f>
        <v/>
      </c>
      <c r="AS384" s="65" t="str">
        <f aca="false">IF($A384="","",HYPERLINK(JiraSite&amp;"/browse/"&amp;$A384,"open"))</f>
        <v/>
      </c>
      <c r="AT384" s="65" t="str">
        <f aca="false">IF($Y384="","",$Y384*1000+ROW())</f>
        <v/>
      </c>
      <c r="AU384" s="65" t="str">
        <f aca="false">IF(AND($A384&lt;&gt;"",$G384&gt;=WeekStart),$G384+ROW()/100000,"")</f>
        <v/>
      </c>
      <c r="AV384" s="65" t="str">
        <f aca="false">IF($A384="","",IF(OR(AND($S384&lt;&gt;"",$S384&gt;=WeekStart),AND($U384&lt;&gt;"",$U384&gt;=WeekStart)),MAX($S384,$U384)+ROW()/100000,""))</f>
        <v/>
      </c>
      <c r="AW384" s="65" t="str">
        <f aca="false">IF($AV384="","",IF($T384&lt;&gt;"",$T384,IF($X384="Closed","Closed","Accepted to "&amp;$X384)))</f>
        <v/>
      </c>
      <c r="AX384" s="65" t="str">
        <f aca="false">IF(AND($Y384&lt;&gt;"",$R384&lt;&gt;""),$AF384+ROW()/100000,"")</f>
        <v/>
      </c>
      <c r="AY384" s="65" t="str">
        <f aca="false">IF(AND($Y384&lt;&gt;"",OR($AB384="Overdue",AND($AH384="Critical",$R384&lt;&gt;""))),$AF384+ROW()/100000,"")</f>
        <v/>
      </c>
      <c r="AZ384" s="65" t="str">
        <f aca="false">IF($AH384="Critical",$AF384+ROW()/100000,"")</f>
        <v/>
      </c>
    </row>
    <row r="385" customFormat="false" ht="15" hidden="false" customHeight="false" outlineLevel="0" collapsed="false">
      <c r="A385" s="28"/>
      <c r="B385" s="28"/>
      <c r="C385" s="28"/>
      <c r="D385" s="28"/>
      <c r="E385" s="28"/>
      <c r="F385" s="28"/>
      <c r="G385" s="63"/>
      <c r="H385" s="63"/>
      <c r="I385" s="63"/>
      <c r="J385" s="28"/>
      <c r="K385" s="28"/>
      <c r="L385" s="28"/>
      <c r="M385" s="28"/>
      <c r="N385" s="28"/>
      <c r="O385" s="64"/>
      <c r="P385" s="64"/>
      <c r="Q385" s="64"/>
      <c r="R385" s="28"/>
      <c r="S385" s="63"/>
      <c r="T385" s="64"/>
      <c r="U385" s="63"/>
      <c r="V385" s="64"/>
      <c r="W385" s="28"/>
      <c r="X385" s="65" t="str">
        <f aca="false">IF($A385="","",IF(OR($T385&lt;&gt;"",$U385&lt;&gt;""),"Closed",IFERROR(INDEX(MapStage,MATCH($C385,MapStatus,0)),"Unmapped")))</f>
        <v/>
      </c>
      <c r="Y385" s="65" t="str">
        <f aca="false">IF(OR($X385="",$X385="Closed",$X385="Unmapped"),"",MATCH($X385,StageName,0))</f>
        <v/>
      </c>
      <c r="Z385" s="65" t="str">
        <f aca="false">IF(OR($Y385="",$I385=""),"",$I385-AsOf)</f>
        <v/>
      </c>
      <c r="AA385" s="65" t="str">
        <f aca="false">IF($A385="","",AsOf-$H385)</f>
        <v/>
      </c>
      <c r="AB385" s="65" t="str">
        <f aca="false">IF($A385="","",IF($X385="Closed","Closed",IF($X385="Unmapped","Unmapped",IF($I385="","No target",IF($Z385&lt;0,"Overdue",IF($Z385&lt;=INDEX(StageWindow,$Y385),"At risk","On track"))))))</f>
        <v/>
      </c>
      <c r="AC385" s="65" t="str">
        <f aca="false">IF($Y385="","",IF($AA385&gt;2*INDEX(StageStale,$Y385),"Stale",IF($AA385&gt;INDEX(StageStale,$Y385),"Aging","Fresh")))</f>
        <v/>
      </c>
      <c r="AD385" s="65" t="str">
        <f aca="false">IF($A385="","",IF(OR(ISNUMBER(SEARCH("Reg report",$J385)),ISNUMBER(SEARCH("No human review",$J385)),COUNTIF(TierFuncs,$D385)&gt;0),"High",IF(OR(TRIM($J385)&lt;&gt;"",ISNUMBER(SEARCH("revenue",$K385))),"Medium","Low")))</f>
        <v/>
      </c>
      <c r="AE385" s="65" t="str">
        <f aca="false">IF($A385="","",INDEX(TierDays,MATCH($AD385,TierName,0)))</f>
        <v/>
      </c>
      <c r="AF385" s="65" t="str">
        <f aca="false">IF($A385="","",AsOf-$G385)</f>
        <v/>
      </c>
      <c r="AG385" s="65" t="str">
        <f aca="false">IF($Y385="","",IF($Y385&lt;=5,IF($AF385&gt;$AE385,"Over","Inside"),"Past approval"))</f>
        <v/>
      </c>
      <c r="AH385" s="65" t="str">
        <f aca="false">IF($Y385="","",CHOOSE($Y385,IF(OR(TRIM($F385)="",ISNUMBER(SEARCH("not named",$F385))),"Critical","Good"),IF($O385&lt;&gt;"Y","Critical",IF($Q385&lt;&gt;"Y","Warning","Good")),IF($P385="","Critical",IF($P385="partial","Warning",IF($P385="ready","Good","Critical"))),IF($R385&lt;&gt;"","Critical","Warning"),IF($L385="","Critical",IF($N385="","Warning","Good")),IF($R385&lt;&gt;"","Critical","Warning"),IF($R385&lt;&gt;"","Critical","Warning"),IF($Q385="Y","Good","Critical")))</f>
        <v/>
      </c>
      <c r="AI385" s="65" t="str">
        <f aca="false">IF($Y385="","",CHOOSE($Y385,IF(OR(TRIM($F385)="",ISNUMBER(SEARCH("not named",$F385))),"Name a sponsor accountable for the value",""),IF($O385&lt;&gt;"Y","State the success metric and the stop condition",IF($Q385&lt;&gt;"Y","Set the baseline the benefit will be measured against","")),IF($P385="","Assess data readiness and regulatory impact",IF($P385="partial","Close the known data gaps",IF($P385="ready","","Data is not available; reshape or park"))),IF($R385&lt;&gt;"",IF(OR(ISNUMBER(SEARCH("mrm",$R385)),ISNUMBER(SEARCH("model",$R385)),ISNUMBER(SEARCH("risk",$R385)),ISNUMBER(SEARCH("legal",$R385)),ISNUMBER(SEARCH("complian",$R385))),"Awaiting ","Held at the design gate: ")&amp;$R385,"Map the governance framework for its tier"),IF($L385="","Size the annual benefit",IF($N385="","Score it so it can be ranked against capacity","")),IF($R385&lt;&gt;"","Build held: "&amp;$R385,"In build, not yet through test"),IF($R385&lt;&gt;"","Not ready to scale: "&amp;$R385,"Monitoring and third-party review not yet signed off"),IF($Q385="Y","","Live without a measured baseline to judge it against")))</f>
        <v/>
      </c>
      <c r="AJ385" s="65" t="str">
        <f aca="false">IF($Y385="","",INDEX(StageForum,$Y385))</f>
        <v/>
      </c>
      <c r="AK385" s="65" t="str">
        <f aca="false">IF($Y385="","",IF(OR($X385="Delivery",$X385="Value"),"Committed",IF($N385&lt;&gt;"","Candidate","")))</f>
        <v/>
      </c>
      <c r="AL385" s="65" t="str">
        <f aca="false">IF($AK385&lt;&gt;"Candidate","",COUNTIFS($AK$2:$AK$501,"Candidate",$N$2:$N$501,"&gt;"&amp;$N385)+COUNTIFS($AK$2:$AK$501,"Candidate",$N$2:$N$501,$N385,$A$2:$A$501,"&lt;"&amp;$A385)+1)</f>
        <v/>
      </c>
      <c r="AM385" s="65" t="str">
        <f aca="false">IF($AL385="","",SUMIFS($M$2:$M$501,$AK$2:$AK$501,"Candidate",$AL$2:$AL$501,"&lt;="&amp;$AL385))</f>
        <v/>
      </c>
      <c r="AN385" s="65" t="str">
        <f aca="false">IF($AL385="","",IF($AM385&lt;=CapacityOpen,"Fits","Below line"))</f>
        <v/>
      </c>
      <c r="AO385" s="65" t="str">
        <f aca="false">IF($A385="","",IF($X385="Closed","",IF($X385="Unmapped","Warning",IF(OR($AB385="Overdue",$V385="Y",$AH385="Critical"),"Critical",IF(OR($AB385="At risk",$AC385="Stale",$AG385="Over"),"Warning","")))))</f>
        <v/>
      </c>
      <c r="AP385" s="65" t="str">
        <f aca="false">IF($AO385="","",IF($AO385="Critical",3000,2000)-IF($Z385="",0,$Z385)+ROW()/100000)</f>
        <v/>
      </c>
      <c r="AQ385" s="65" t="str">
        <f aca="false">IF($AO385="","",IF($X385="Unmapped","Status '"&amp;$C385&amp;"' is not in the Config map",IF($V385="Y","Flagged in Jira",IF($AB385="Overdue",-$Z385&amp;" days past its "&amp;$X385&amp;" target",IF($AH385="Critical",$AI385,IF($AB385="At risk","Target in "&amp;$Z385&amp;" days",IF($AC385="Stale","No update in "&amp;$AA385&amp;" days","Past its "&amp;$AE385&amp;"-day tier window")))))))</f>
        <v/>
      </c>
      <c r="AR385" s="65" t="str">
        <f aca="false">IF($AO385="","","draft Jira update for "&amp;$A385)</f>
        <v/>
      </c>
      <c r="AS385" s="65" t="str">
        <f aca="false">IF($A385="","",HYPERLINK(JiraSite&amp;"/browse/"&amp;$A385,"open"))</f>
        <v/>
      </c>
      <c r="AT385" s="65" t="str">
        <f aca="false">IF($Y385="","",$Y385*1000+ROW())</f>
        <v/>
      </c>
      <c r="AU385" s="65" t="str">
        <f aca="false">IF(AND($A385&lt;&gt;"",$G385&gt;=WeekStart),$G385+ROW()/100000,"")</f>
        <v/>
      </c>
      <c r="AV385" s="65" t="str">
        <f aca="false">IF($A385="","",IF(OR(AND($S385&lt;&gt;"",$S385&gt;=WeekStart),AND($U385&lt;&gt;"",$U385&gt;=WeekStart)),MAX($S385,$U385)+ROW()/100000,""))</f>
        <v/>
      </c>
      <c r="AW385" s="65" t="str">
        <f aca="false">IF($AV385="","",IF($T385&lt;&gt;"",$T385,IF($X385="Closed","Closed","Accepted to "&amp;$X385)))</f>
        <v/>
      </c>
      <c r="AX385" s="65" t="str">
        <f aca="false">IF(AND($Y385&lt;&gt;"",$R385&lt;&gt;""),$AF385+ROW()/100000,"")</f>
        <v/>
      </c>
      <c r="AY385" s="65" t="str">
        <f aca="false">IF(AND($Y385&lt;&gt;"",OR($AB385="Overdue",AND($AH385="Critical",$R385&lt;&gt;""))),$AF385+ROW()/100000,"")</f>
        <v/>
      </c>
      <c r="AZ385" s="65" t="str">
        <f aca="false">IF($AH385="Critical",$AF385+ROW()/100000,"")</f>
        <v/>
      </c>
    </row>
    <row r="386" customFormat="false" ht="15" hidden="false" customHeight="false" outlineLevel="0" collapsed="false">
      <c r="A386" s="28"/>
      <c r="B386" s="28"/>
      <c r="C386" s="28"/>
      <c r="D386" s="28"/>
      <c r="E386" s="28"/>
      <c r="F386" s="28"/>
      <c r="G386" s="63"/>
      <c r="H386" s="63"/>
      <c r="I386" s="63"/>
      <c r="J386" s="28"/>
      <c r="K386" s="28"/>
      <c r="L386" s="28"/>
      <c r="M386" s="28"/>
      <c r="N386" s="28"/>
      <c r="O386" s="64"/>
      <c r="P386" s="64"/>
      <c r="Q386" s="64"/>
      <c r="R386" s="28"/>
      <c r="S386" s="63"/>
      <c r="T386" s="64"/>
      <c r="U386" s="63"/>
      <c r="V386" s="64"/>
      <c r="W386" s="28"/>
      <c r="X386" s="65" t="str">
        <f aca="false">IF($A386="","",IF(OR($T386&lt;&gt;"",$U386&lt;&gt;""),"Closed",IFERROR(INDEX(MapStage,MATCH($C386,MapStatus,0)),"Unmapped")))</f>
        <v/>
      </c>
      <c r="Y386" s="65" t="str">
        <f aca="false">IF(OR($X386="",$X386="Closed",$X386="Unmapped"),"",MATCH($X386,StageName,0))</f>
        <v/>
      </c>
      <c r="Z386" s="65" t="str">
        <f aca="false">IF(OR($Y386="",$I386=""),"",$I386-AsOf)</f>
        <v/>
      </c>
      <c r="AA386" s="65" t="str">
        <f aca="false">IF($A386="","",AsOf-$H386)</f>
        <v/>
      </c>
      <c r="AB386" s="65" t="str">
        <f aca="false">IF($A386="","",IF($X386="Closed","Closed",IF($X386="Unmapped","Unmapped",IF($I386="","No target",IF($Z386&lt;0,"Overdue",IF($Z386&lt;=INDEX(StageWindow,$Y386),"At risk","On track"))))))</f>
        <v/>
      </c>
      <c r="AC386" s="65" t="str">
        <f aca="false">IF($Y386="","",IF($AA386&gt;2*INDEX(StageStale,$Y386),"Stale",IF($AA386&gt;INDEX(StageStale,$Y386),"Aging","Fresh")))</f>
        <v/>
      </c>
      <c r="AD386" s="65" t="str">
        <f aca="false">IF($A386="","",IF(OR(ISNUMBER(SEARCH("Reg report",$J386)),ISNUMBER(SEARCH("No human review",$J386)),COUNTIF(TierFuncs,$D386)&gt;0),"High",IF(OR(TRIM($J386)&lt;&gt;"",ISNUMBER(SEARCH("revenue",$K386))),"Medium","Low")))</f>
        <v/>
      </c>
      <c r="AE386" s="65" t="str">
        <f aca="false">IF($A386="","",INDEX(TierDays,MATCH($AD386,TierName,0)))</f>
        <v/>
      </c>
      <c r="AF386" s="65" t="str">
        <f aca="false">IF($A386="","",AsOf-$G386)</f>
        <v/>
      </c>
      <c r="AG386" s="65" t="str">
        <f aca="false">IF($Y386="","",IF($Y386&lt;=5,IF($AF386&gt;$AE386,"Over","Inside"),"Past approval"))</f>
        <v/>
      </c>
      <c r="AH386" s="65" t="str">
        <f aca="false">IF($Y386="","",CHOOSE($Y386,IF(OR(TRIM($F386)="",ISNUMBER(SEARCH("not named",$F386))),"Critical","Good"),IF($O386&lt;&gt;"Y","Critical",IF($Q386&lt;&gt;"Y","Warning","Good")),IF($P386="","Critical",IF($P386="partial","Warning",IF($P386="ready","Good","Critical"))),IF($R386&lt;&gt;"","Critical","Warning"),IF($L386="","Critical",IF($N386="","Warning","Good")),IF($R386&lt;&gt;"","Critical","Warning"),IF($R386&lt;&gt;"","Critical","Warning"),IF($Q386="Y","Good","Critical")))</f>
        <v/>
      </c>
      <c r="AI386" s="65" t="str">
        <f aca="false">IF($Y386="","",CHOOSE($Y386,IF(OR(TRIM($F386)="",ISNUMBER(SEARCH("not named",$F386))),"Name a sponsor accountable for the value",""),IF($O386&lt;&gt;"Y","State the success metric and the stop condition",IF($Q386&lt;&gt;"Y","Set the baseline the benefit will be measured against","")),IF($P386="","Assess data readiness and regulatory impact",IF($P386="partial","Close the known data gaps",IF($P386="ready","","Data is not available; reshape or park"))),IF($R386&lt;&gt;"",IF(OR(ISNUMBER(SEARCH("mrm",$R386)),ISNUMBER(SEARCH("model",$R386)),ISNUMBER(SEARCH("risk",$R386)),ISNUMBER(SEARCH("legal",$R386)),ISNUMBER(SEARCH("complian",$R386))),"Awaiting ","Held at the design gate: ")&amp;$R386,"Map the governance framework for its tier"),IF($L386="","Size the annual benefit",IF($N386="","Score it so it can be ranked against capacity","")),IF($R386&lt;&gt;"","Build held: "&amp;$R386,"In build, not yet through test"),IF($R386&lt;&gt;"","Not ready to scale: "&amp;$R386,"Monitoring and third-party review not yet signed off"),IF($Q386="Y","","Live without a measured baseline to judge it against")))</f>
        <v/>
      </c>
      <c r="AJ386" s="65" t="str">
        <f aca="false">IF($Y386="","",INDEX(StageForum,$Y386))</f>
        <v/>
      </c>
      <c r="AK386" s="65" t="str">
        <f aca="false">IF($Y386="","",IF(OR($X386="Delivery",$X386="Value"),"Committed",IF($N386&lt;&gt;"","Candidate","")))</f>
        <v/>
      </c>
      <c r="AL386" s="65" t="str">
        <f aca="false">IF($AK386&lt;&gt;"Candidate","",COUNTIFS($AK$2:$AK$501,"Candidate",$N$2:$N$501,"&gt;"&amp;$N386)+COUNTIFS($AK$2:$AK$501,"Candidate",$N$2:$N$501,$N386,$A$2:$A$501,"&lt;"&amp;$A386)+1)</f>
        <v/>
      </c>
      <c r="AM386" s="65" t="str">
        <f aca="false">IF($AL386="","",SUMIFS($M$2:$M$501,$AK$2:$AK$501,"Candidate",$AL$2:$AL$501,"&lt;="&amp;$AL386))</f>
        <v/>
      </c>
      <c r="AN386" s="65" t="str">
        <f aca="false">IF($AL386="","",IF($AM386&lt;=CapacityOpen,"Fits","Below line"))</f>
        <v/>
      </c>
      <c r="AO386" s="65" t="str">
        <f aca="false">IF($A386="","",IF($X386="Closed","",IF($X386="Unmapped","Warning",IF(OR($AB386="Overdue",$V386="Y",$AH386="Critical"),"Critical",IF(OR($AB386="At risk",$AC386="Stale",$AG386="Over"),"Warning","")))))</f>
        <v/>
      </c>
      <c r="AP386" s="65" t="str">
        <f aca="false">IF($AO386="","",IF($AO386="Critical",3000,2000)-IF($Z386="",0,$Z386)+ROW()/100000)</f>
        <v/>
      </c>
      <c r="AQ386" s="65" t="str">
        <f aca="false">IF($AO386="","",IF($X386="Unmapped","Status '"&amp;$C386&amp;"' is not in the Config map",IF($V386="Y","Flagged in Jira",IF($AB386="Overdue",-$Z386&amp;" days past its "&amp;$X386&amp;" target",IF($AH386="Critical",$AI386,IF($AB386="At risk","Target in "&amp;$Z386&amp;" days",IF($AC386="Stale","No update in "&amp;$AA386&amp;" days","Past its "&amp;$AE386&amp;"-day tier window")))))))</f>
        <v/>
      </c>
      <c r="AR386" s="65" t="str">
        <f aca="false">IF($AO386="","","draft Jira update for "&amp;$A386)</f>
        <v/>
      </c>
      <c r="AS386" s="65" t="str">
        <f aca="false">IF($A386="","",HYPERLINK(JiraSite&amp;"/browse/"&amp;$A386,"open"))</f>
        <v/>
      </c>
      <c r="AT386" s="65" t="str">
        <f aca="false">IF($Y386="","",$Y386*1000+ROW())</f>
        <v/>
      </c>
      <c r="AU386" s="65" t="str">
        <f aca="false">IF(AND($A386&lt;&gt;"",$G386&gt;=WeekStart),$G386+ROW()/100000,"")</f>
        <v/>
      </c>
      <c r="AV386" s="65" t="str">
        <f aca="false">IF($A386="","",IF(OR(AND($S386&lt;&gt;"",$S386&gt;=WeekStart),AND($U386&lt;&gt;"",$U386&gt;=WeekStart)),MAX($S386,$U386)+ROW()/100000,""))</f>
        <v/>
      </c>
      <c r="AW386" s="65" t="str">
        <f aca="false">IF($AV386="","",IF($T386&lt;&gt;"",$T386,IF($X386="Closed","Closed","Accepted to "&amp;$X386)))</f>
        <v/>
      </c>
      <c r="AX386" s="65" t="str">
        <f aca="false">IF(AND($Y386&lt;&gt;"",$R386&lt;&gt;""),$AF386+ROW()/100000,"")</f>
        <v/>
      </c>
      <c r="AY386" s="65" t="str">
        <f aca="false">IF(AND($Y386&lt;&gt;"",OR($AB386="Overdue",AND($AH386="Critical",$R386&lt;&gt;""))),$AF386+ROW()/100000,"")</f>
        <v/>
      </c>
      <c r="AZ386" s="65" t="str">
        <f aca="false">IF($AH386="Critical",$AF386+ROW()/100000,"")</f>
        <v/>
      </c>
    </row>
    <row r="387" customFormat="false" ht="15" hidden="false" customHeight="false" outlineLevel="0" collapsed="false">
      <c r="A387" s="28"/>
      <c r="B387" s="28"/>
      <c r="C387" s="28"/>
      <c r="D387" s="28"/>
      <c r="E387" s="28"/>
      <c r="F387" s="28"/>
      <c r="G387" s="63"/>
      <c r="H387" s="63"/>
      <c r="I387" s="63"/>
      <c r="J387" s="28"/>
      <c r="K387" s="28"/>
      <c r="L387" s="28"/>
      <c r="M387" s="28"/>
      <c r="N387" s="28"/>
      <c r="O387" s="64"/>
      <c r="P387" s="64"/>
      <c r="Q387" s="64"/>
      <c r="R387" s="28"/>
      <c r="S387" s="63"/>
      <c r="T387" s="64"/>
      <c r="U387" s="63"/>
      <c r="V387" s="64"/>
      <c r="W387" s="28"/>
      <c r="X387" s="65" t="str">
        <f aca="false">IF($A387="","",IF(OR($T387&lt;&gt;"",$U387&lt;&gt;""),"Closed",IFERROR(INDEX(MapStage,MATCH($C387,MapStatus,0)),"Unmapped")))</f>
        <v/>
      </c>
      <c r="Y387" s="65" t="str">
        <f aca="false">IF(OR($X387="",$X387="Closed",$X387="Unmapped"),"",MATCH($X387,StageName,0))</f>
        <v/>
      </c>
      <c r="Z387" s="65" t="str">
        <f aca="false">IF(OR($Y387="",$I387=""),"",$I387-AsOf)</f>
        <v/>
      </c>
      <c r="AA387" s="65" t="str">
        <f aca="false">IF($A387="","",AsOf-$H387)</f>
        <v/>
      </c>
      <c r="AB387" s="65" t="str">
        <f aca="false">IF($A387="","",IF($X387="Closed","Closed",IF($X387="Unmapped","Unmapped",IF($I387="","No target",IF($Z387&lt;0,"Overdue",IF($Z387&lt;=INDEX(StageWindow,$Y387),"At risk","On track"))))))</f>
        <v/>
      </c>
      <c r="AC387" s="65" t="str">
        <f aca="false">IF($Y387="","",IF($AA387&gt;2*INDEX(StageStale,$Y387),"Stale",IF($AA387&gt;INDEX(StageStale,$Y387),"Aging","Fresh")))</f>
        <v/>
      </c>
      <c r="AD387" s="65" t="str">
        <f aca="false">IF($A387="","",IF(OR(ISNUMBER(SEARCH("Reg report",$J387)),ISNUMBER(SEARCH("No human review",$J387)),COUNTIF(TierFuncs,$D387)&gt;0),"High",IF(OR(TRIM($J387)&lt;&gt;"",ISNUMBER(SEARCH("revenue",$K387))),"Medium","Low")))</f>
        <v/>
      </c>
      <c r="AE387" s="65" t="str">
        <f aca="false">IF($A387="","",INDEX(TierDays,MATCH($AD387,TierName,0)))</f>
        <v/>
      </c>
      <c r="AF387" s="65" t="str">
        <f aca="false">IF($A387="","",AsOf-$G387)</f>
        <v/>
      </c>
      <c r="AG387" s="65" t="str">
        <f aca="false">IF($Y387="","",IF($Y387&lt;=5,IF($AF387&gt;$AE387,"Over","Inside"),"Past approval"))</f>
        <v/>
      </c>
      <c r="AH387" s="65" t="str">
        <f aca="false">IF($Y387="","",CHOOSE($Y387,IF(OR(TRIM($F387)="",ISNUMBER(SEARCH("not named",$F387))),"Critical","Good"),IF($O387&lt;&gt;"Y","Critical",IF($Q387&lt;&gt;"Y","Warning","Good")),IF($P387="","Critical",IF($P387="partial","Warning",IF($P387="ready","Good","Critical"))),IF($R387&lt;&gt;"","Critical","Warning"),IF($L387="","Critical",IF($N387="","Warning","Good")),IF($R387&lt;&gt;"","Critical","Warning"),IF($R387&lt;&gt;"","Critical","Warning"),IF($Q387="Y","Good","Critical")))</f>
        <v/>
      </c>
      <c r="AI387" s="65" t="str">
        <f aca="false">IF($Y387="","",CHOOSE($Y387,IF(OR(TRIM($F387)="",ISNUMBER(SEARCH("not named",$F387))),"Name a sponsor accountable for the value",""),IF($O387&lt;&gt;"Y","State the success metric and the stop condition",IF($Q387&lt;&gt;"Y","Set the baseline the benefit will be measured against","")),IF($P387="","Assess data readiness and regulatory impact",IF($P387="partial","Close the known data gaps",IF($P387="ready","","Data is not available; reshape or park"))),IF($R387&lt;&gt;"",IF(OR(ISNUMBER(SEARCH("mrm",$R387)),ISNUMBER(SEARCH("model",$R387)),ISNUMBER(SEARCH("risk",$R387)),ISNUMBER(SEARCH("legal",$R387)),ISNUMBER(SEARCH("complian",$R387))),"Awaiting ","Held at the design gate: ")&amp;$R387,"Map the governance framework for its tier"),IF($L387="","Size the annual benefit",IF($N387="","Score it so it can be ranked against capacity","")),IF($R387&lt;&gt;"","Build held: "&amp;$R387,"In build, not yet through test"),IF($R387&lt;&gt;"","Not ready to scale: "&amp;$R387,"Monitoring and third-party review not yet signed off"),IF($Q387="Y","","Live without a measured baseline to judge it against")))</f>
        <v/>
      </c>
      <c r="AJ387" s="65" t="str">
        <f aca="false">IF($Y387="","",INDEX(StageForum,$Y387))</f>
        <v/>
      </c>
      <c r="AK387" s="65" t="str">
        <f aca="false">IF($Y387="","",IF(OR($X387="Delivery",$X387="Value"),"Committed",IF($N387&lt;&gt;"","Candidate","")))</f>
        <v/>
      </c>
      <c r="AL387" s="65" t="str">
        <f aca="false">IF($AK387&lt;&gt;"Candidate","",COUNTIFS($AK$2:$AK$501,"Candidate",$N$2:$N$501,"&gt;"&amp;$N387)+COUNTIFS($AK$2:$AK$501,"Candidate",$N$2:$N$501,$N387,$A$2:$A$501,"&lt;"&amp;$A387)+1)</f>
        <v/>
      </c>
      <c r="AM387" s="65" t="str">
        <f aca="false">IF($AL387="","",SUMIFS($M$2:$M$501,$AK$2:$AK$501,"Candidate",$AL$2:$AL$501,"&lt;="&amp;$AL387))</f>
        <v/>
      </c>
      <c r="AN387" s="65" t="str">
        <f aca="false">IF($AL387="","",IF($AM387&lt;=CapacityOpen,"Fits","Below line"))</f>
        <v/>
      </c>
      <c r="AO387" s="65" t="str">
        <f aca="false">IF($A387="","",IF($X387="Closed","",IF($X387="Unmapped","Warning",IF(OR($AB387="Overdue",$V387="Y",$AH387="Critical"),"Critical",IF(OR($AB387="At risk",$AC387="Stale",$AG387="Over"),"Warning","")))))</f>
        <v/>
      </c>
      <c r="AP387" s="65" t="str">
        <f aca="false">IF($AO387="","",IF($AO387="Critical",3000,2000)-IF($Z387="",0,$Z387)+ROW()/100000)</f>
        <v/>
      </c>
      <c r="AQ387" s="65" t="str">
        <f aca="false">IF($AO387="","",IF($X387="Unmapped","Status '"&amp;$C387&amp;"' is not in the Config map",IF($V387="Y","Flagged in Jira",IF($AB387="Overdue",-$Z387&amp;" days past its "&amp;$X387&amp;" target",IF($AH387="Critical",$AI387,IF($AB387="At risk","Target in "&amp;$Z387&amp;" days",IF($AC387="Stale","No update in "&amp;$AA387&amp;" days","Past its "&amp;$AE387&amp;"-day tier window")))))))</f>
        <v/>
      </c>
      <c r="AR387" s="65" t="str">
        <f aca="false">IF($AO387="","","draft Jira update for "&amp;$A387)</f>
        <v/>
      </c>
      <c r="AS387" s="65" t="str">
        <f aca="false">IF($A387="","",HYPERLINK(JiraSite&amp;"/browse/"&amp;$A387,"open"))</f>
        <v/>
      </c>
      <c r="AT387" s="65" t="str">
        <f aca="false">IF($Y387="","",$Y387*1000+ROW())</f>
        <v/>
      </c>
      <c r="AU387" s="65" t="str">
        <f aca="false">IF(AND($A387&lt;&gt;"",$G387&gt;=WeekStart),$G387+ROW()/100000,"")</f>
        <v/>
      </c>
      <c r="AV387" s="65" t="str">
        <f aca="false">IF($A387="","",IF(OR(AND($S387&lt;&gt;"",$S387&gt;=WeekStart),AND($U387&lt;&gt;"",$U387&gt;=WeekStart)),MAX($S387,$U387)+ROW()/100000,""))</f>
        <v/>
      </c>
      <c r="AW387" s="65" t="str">
        <f aca="false">IF($AV387="","",IF($T387&lt;&gt;"",$T387,IF($X387="Closed","Closed","Accepted to "&amp;$X387)))</f>
        <v/>
      </c>
      <c r="AX387" s="65" t="str">
        <f aca="false">IF(AND($Y387&lt;&gt;"",$R387&lt;&gt;""),$AF387+ROW()/100000,"")</f>
        <v/>
      </c>
      <c r="AY387" s="65" t="str">
        <f aca="false">IF(AND($Y387&lt;&gt;"",OR($AB387="Overdue",AND($AH387="Critical",$R387&lt;&gt;""))),$AF387+ROW()/100000,"")</f>
        <v/>
      </c>
      <c r="AZ387" s="65" t="str">
        <f aca="false">IF($AH387="Critical",$AF387+ROW()/100000,"")</f>
        <v/>
      </c>
    </row>
    <row r="388" customFormat="false" ht="15" hidden="false" customHeight="false" outlineLevel="0" collapsed="false">
      <c r="A388" s="28"/>
      <c r="B388" s="28"/>
      <c r="C388" s="28"/>
      <c r="D388" s="28"/>
      <c r="E388" s="28"/>
      <c r="F388" s="28"/>
      <c r="G388" s="63"/>
      <c r="H388" s="63"/>
      <c r="I388" s="63"/>
      <c r="J388" s="28"/>
      <c r="K388" s="28"/>
      <c r="L388" s="28"/>
      <c r="M388" s="28"/>
      <c r="N388" s="28"/>
      <c r="O388" s="64"/>
      <c r="P388" s="64"/>
      <c r="Q388" s="64"/>
      <c r="R388" s="28"/>
      <c r="S388" s="63"/>
      <c r="T388" s="64"/>
      <c r="U388" s="63"/>
      <c r="V388" s="64"/>
      <c r="W388" s="28"/>
      <c r="X388" s="65" t="str">
        <f aca="false">IF($A388="","",IF(OR($T388&lt;&gt;"",$U388&lt;&gt;""),"Closed",IFERROR(INDEX(MapStage,MATCH($C388,MapStatus,0)),"Unmapped")))</f>
        <v/>
      </c>
      <c r="Y388" s="65" t="str">
        <f aca="false">IF(OR($X388="",$X388="Closed",$X388="Unmapped"),"",MATCH($X388,StageName,0))</f>
        <v/>
      </c>
      <c r="Z388" s="65" t="str">
        <f aca="false">IF(OR($Y388="",$I388=""),"",$I388-AsOf)</f>
        <v/>
      </c>
      <c r="AA388" s="65" t="str">
        <f aca="false">IF($A388="","",AsOf-$H388)</f>
        <v/>
      </c>
      <c r="AB388" s="65" t="str">
        <f aca="false">IF($A388="","",IF($X388="Closed","Closed",IF($X388="Unmapped","Unmapped",IF($I388="","No target",IF($Z388&lt;0,"Overdue",IF($Z388&lt;=INDEX(StageWindow,$Y388),"At risk","On track"))))))</f>
        <v/>
      </c>
      <c r="AC388" s="65" t="str">
        <f aca="false">IF($Y388="","",IF($AA388&gt;2*INDEX(StageStale,$Y388),"Stale",IF($AA388&gt;INDEX(StageStale,$Y388),"Aging","Fresh")))</f>
        <v/>
      </c>
      <c r="AD388" s="65" t="str">
        <f aca="false">IF($A388="","",IF(OR(ISNUMBER(SEARCH("Reg report",$J388)),ISNUMBER(SEARCH("No human review",$J388)),COUNTIF(TierFuncs,$D388)&gt;0),"High",IF(OR(TRIM($J388)&lt;&gt;"",ISNUMBER(SEARCH("revenue",$K388))),"Medium","Low")))</f>
        <v/>
      </c>
      <c r="AE388" s="65" t="str">
        <f aca="false">IF($A388="","",INDEX(TierDays,MATCH($AD388,TierName,0)))</f>
        <v/>
      </c>
      <c r="AF388" s="65" t="str">
        <f aca="false">IF($A388="","",AsOf-$G388)</f>
        <v/>
      </c>
      <c r="AG388" s="65" t="str">
        <f aca="false">IF($Y388="","",IF($Y388&lt;=5,IF($AF388&gt;$AE388,"Over","Inside"),"Past approval"))</f>
        <v/>
      </c>
      <c r="AH388" s="65" t="str">
        <f aca="false">IF($Y388="","",CHOOSE($Y388,IF(OR(TRIM($F388)="",ISNUMBER(SEARCH("not named",$F388))),"Critical","Good"),IF($O388&lt;&gt;"Y","Critical",IF($Q388&lt;&gt;"Y","Warning","Good")),IF($P388="","Critical",IF($P388="partial","Warning",IF($P388="ready","Good","Critical"))),IF($R388&lt;&gt;"","Critical","Warning"),IF($L388="","Critical",IF($N388="","Warning","Good")),IF($R388&lt;&gt;"","Critical","Warning"),IF($R388&lt;&gt;"","Critical","Warning"),IF($Q388="Y","Good","Critical")))</f>
        <v/>
      </c>
      <c r="AI388" s="65" t="str">
        <f aca="false">IF($Y388="","",CHOOSE($Y388,IF(OR(TRIM($F388)="",ISNUMBER(SEARCH("not named",$F388))),"Name a sponsor accountable for the value",""),IF($O388&lt;&gt;"Y","State the success metric and the stop condition",IF($Q388&lt;&gt;"Y","Set the baseline the benefit will be measured against","")),IF($P388="","Assess data readiness and regulatory impact",IF($P388="partial","Close the known data gaps",IF($P388="ready","","Data is not available; reshape or park"))),IF($R388&lt;&gt;"",IF(OR(ISNUMBER(SEARCH("mrm",$R388)),ISNUMBER(SEARCH("model",$R388)),ISNUMBER(SEARCH("risk",$R388)),ISNUMBER(SEARCH("legal",$R388)),ISNUMBER(SEARCH("complian",$R388))),"Awaiting ","Held at the design gate: ")&amp;$R388,"Map the governance framework for its tier"),IF($L388="","Size the annual benefit",IF($N388="","Score it so it can be ranked against capacity","")),IF($R388&lt;&gt;"","Build held: "&amp;$R388,"In build, not yet through test"),IF($R388&lt;&gt;"","Not ready to scale: "&amp;$R388,"Monitoring and third-party review not yet signed off"),IF($Q388="Y","","Live without a measured baseline to judge it against")))</f>
        <v/>
      </c>
      <c r="AJ388" s="65" t="str">
        <f aca="false">IF($Y388="","",INDEX(StageForum,$Y388))</f>
        <v/>
      </c>
      <c r="AK388" s="65" t="str">
        <f aca="false">IF($Y388="","",IF(OR($X388="Delivery",$X388="Value"),"Committed",IF($N388&lt;&gt;"","Candidate","")))</f>
        <v/>
      </c>
      <c r="AL388" s="65" t="str">
        <f aca="false">IF($AK388&lt;&gt;"Candidate","",COUNTIFS($AK$2:$AK$501,"Candidate",$N$2:$N$501,"&gt;"&amp;$N388)+COUNTIFS($AK$2:$AK$501,"Candidate",$N$2:$N$501,$N388,$A$2:$A$501,"&lt;"&amp;$A388)+1)</f>
        <v/>
      </c>
      <c r="AM388" s="65" t="str">
        <f aca="false">IF($AL388="","",SUMIFS($M$2:$M$501,$AK$2:$AK$501,"Candidate",$AL$2:$AL$501,"&lt;="&amp;$AL388))</f>
        <v/>
      </c>
      <c r="AN388" s="65" t="str">
        <f aca="false">IF($AL388="","",IF($AM388&lt;=CapacityOpen,"Fits","Below line"))</f>
        <v/>
      </c>
      <c r="AO388" s="65" t="str">
        <f aca="false">IF($A388="","",IF($X388="Closed","",IF($X388="Unmapped","Warning",IF(OR($AB388="Overdue",$V388="Y",$AH388="Critical"),"Critical",IF(OR($AB388="At risk",$AC388="Stale",$AG388="Over"),"Warning","")))))</f>
        <v/>
      </c>
      <c r="AP388" s="65" t="str">
        <f aca="false">IF($AO388="","",IF($AO388="Critical",3000,2000)-IF($Z388="",0,$Z388)+ROW()/100000)</f>
        <v/>
      </c>
      <c r="AQ388" s="65" t="str">
        <f aca="false">IF($AO388="","",IF($X388="Unmapped","Status '"&amp;$C388&amp;"' is not in the Config map",IF($V388="Y","Flagged in Jira",IF($AB388="Overdue",-$Z388&amp;" days past its "&amp;$X388&amp;" target",IF($AH388="Critical",$AI388,IF($AB388="At risk","Target in "&amp;$Z388&amp;" days",IF($AC388="Stale","No update in "&amp;$AA388&amp;" days","Past its "&amp;$AE388&amp;"-day tier window")))))))</f>
        <v/>
      </c>
      <c r="AR388" s="65" t="str">
        <f aca="false">IF($AO388="","","draft Jira update for "&amp;$A388)</f>
        <v/>
      </c>
      <c r="AS388" s="65" t="str">
        <f aca="false">IF($A388="","",HYPERLINK(JiraSite&amp;"/browse/"&amp;$A388,"open"))</f>
        <v/>
      </c>
      <c r="AT388" s="65" t="str">
        <f aca="false">IF($Y388="","",$Y388*1000+ROW())</f>
        <v/>
      </c>
      <c r="AU388" s="65" t="str">
        <f aca="false">IF(AND($A388&lt;&gt;"",$G388&gt;=WeekStart),$G388+ROW()/100000,"")</f>
        <v/>
      </c>
      <c r="AV388" s="65" t="str">
        <f aca="false">IF($A388="","",IF(OR(AND($S388&lt;&gt;"",$S388&gt;=WeekStart),AND($U388&lt;&gt;"",$U388&gt;=WeekStart)),MAX($S388,$U388)+ROW()/100000,""))</f>
        <v/>
      </c>
      <c r="AW388" s="65" t="str">
        <f aca="false">IF($AV388="","",IF($T388&lt;&gt;"",$T388,IF($X388="Closed","Closed","Accepted to "&amp;$X388)))</f>
        <v/>
      </c>
      <c r="AX388" s="65" t="str">
        <f aca="false">IF(AND($Y388&lt;&gt;"",$R388&lt;&gt;""),$AF388+ROW()/100000,"")</f>
        <v/>
      </c>
      <c r="AY388" s="65" t="str">
        <f aca="false">IF(AND($Y388&lt;&gt;"",OR($AB388="Overdue",AND($AH388="Critical",$R388&lt;&gt;""))),$AF388+ROW()/100000,"")</f>
        <v/>
      </c>
      <c r="AZ388" s="65" t="str">
        <f aca="false">IF($AH388="Critical",$AF388+ROW()/100000,"")</f>
        <v/>
      </c>
    </row>
    <row r="389" customFormat="false" ht="15" hidden="false" customHeight="false" outlineLevel="0" collapsed="false">
      <c r="A389" s="28"/>
      <c r="B389" s="28"/>
      <c r="C389" s="28"/>
      <c r="D389" s="28"/>
      <c r="E389" s="28"/>
      <c r="F389" s="28"/>
      <c r="G389" s="63"/>
      <c r="H389" s="63"/>
      <c r="I389" s="63"/>
      <c r="J389" s="28"/>
      <c r="K389" s="28"/>
      <c r="L389" s="28"/>
      <c r="M389" s="28"/>
      <c r="N389" s="28"/>
      <c r="O389" s="64"/>
      <c r="P389" s="64"/>
      <c r="Q389" s="64"/>
      <c r="R389" s="28"/>
      <c r="S389" s="63"/>
      <c r="T389" s="64"/>
      <c r="U389" s="63"/>
      <c r="V389" s="64"/>
      <c r="W389" s="28"/>
      <c r="X389" s="65" t="str">
        <f aca="false">IF($A389="","",IF(OR($T389&lt;&gt;"",$U389&lt;&gt;""),"Closed",IFERROR(INDEX(MapStage,MATCH($C389,MapStatus,0)),"Unmapped")))</f>
        <v/>
      </c>
      <c r="Y389" s="65" t="str">
        <f aca="false">IF(OR($X389="",$X389="Closed",$X389="Unmapped"),"",MATCH($X389,StageName,0))</f>
        <v/>
      </c>
      <c r="Z389" s="65" t="str">
        <f aca="false">IF(OR($Y389="",$I389=""),"",$I389-AsOf)</f>
        <v/>
      </c>
      <c r="AA389" s="65" t="str">
        <f aca="false">IF($A389="","",AsOf-$H389)</f>
        <v/>
      </c>
      <c r="AB389" s="65" t="str">
        <f aca="false">IF($A389="","",IF($X389="Closed","Closed",IF($X389="Unmapped","Unmapped",IF($I389="","No target",IF($Z389&lt;0,"Overdue",IF($Z389&lt;=INDEX(StageWindow,$Y389),"At risk","On track"))))))</f>
        <v/>
      </c>
      <c r="AC389" s="65" t="str">
        <f aca="false">IF($Y389="","",IF($AA389&gt;2*INDEX(StageStale,$Y389),"Stale",IF($AA389&gt;INDEX(StageStale,$Y389),"Aging","Fresh")))</f>
        <v/>
      </c>
      <c r="AD389" s="65" t="str">
        <f aca="false">IF($A389="","",IF(OR(ISNUMBER(SEARCH("Reg report",$J389)),ISNUMBER(SEARCH("No human review",$J389)),COUNTIF(TierFuncs,$D389)&gt;0),"High",IF(OR(TRIM($J389)&lt;&gt;"",ISNUMBER(SEARCH("revenue",$K389))),"Medium","Low")))</f>
        <v/>
      </c>
      <c r="AE389" s="65" t="str">
        <f aca="false">IF($A389="","",INDEX(TierDays,MATCH($AD389,TierName,0)))</f>
        <v/>
      </c>
      <c r="AF389" s="65" t="str">
        <f aca="false">IF($A389="","",AsOf-$G389)</f>
        <v/>
      </c>
      <c r="AG389" s="65" t="str">
        <f aca="false">IF($Y389="","",IF($Y389&lt;=5,IF($AF389&gt;$AE389,"Over","Inside"),"Past approval"))</f>
        <v/>
      </c>
      <c r="AH389" s="65" t="str">
        <f aca="false">IF($Y389="","",CHOOSE($Y389,IF(OR(TRIM($F389)="",ISNUMBER(SEARCH("not named",$F389))),"Critical","Good"),IF($O389&lt;&gt;"Y","Critical",IF($Q389&lt;&gt;"Y","Warning","Good")),IF($P389="","Critical",IF($P389="partial","Warning",IF($P389="ready","Good","Critical"))),IF($R389&lt;&gt;"","Critical","Warning"),IF($L389="","Critical",IF($N389="","Warning","Good")),IF($R389&lt;&gt;"","Critical","Warning"),IF($R389&lt;&gt;"","Critical","Warning"),IF($Q389="Y","Good","Critical")))</f>
        <v/>
      </c>
      <c r="AI389" s="65" t="str">
        <f aca="false">IF($Y389="","",CHOOSE($Y389,IF(OR(TRIM($F389)="",ISNUMBER(SEARCH("not named",$F389))),"Name a sponsor accountable for the value",""),IF($O389&lt;&gt;"Y","State the success metric and the stop condition",IF($Q389&lt;&gt;"Y","Set the baseline the benefit will be measured against","")),IF($P389="","Assess data readiness and regulatory impact",IF($P389="partial","Close the known data gaps",IF($P389="ready","","Data is not available; reshape or park"))),IF($R389&lt;&gt;"",IF(OR(ISNUMBER(SEARCH("mrm",$R389)),ISNUMBER(SEARCH("model",$R389)),ISNUMBER(SEARCH("risk",$R389)),ISNUMBER(SEARCH("legal",$R389)),ISNUMBER(SEARCH("complian",$R389))),"Awaiting ","Held at the design gate: ")&amp;$R389,"Map the governance framework for its tier"),IF($L389="","Size the annual benefit",IF($N389="","Score it so it can be ranked against capacity","")),IF($R389&lt;&gt;"","Build held: "&amp;$R389,"In build, not yet through test"),IF($R389&lt;&gt;"","Not ready to scale: "&amp;$R389,"Monitoring and third-party review not yet signed off"),IF($Q389="Y","","Live without a measured baseline to judge it against")))</f>
        <v/>
      </c>
      <c r="AJ389" s="65" t="str">
        <f aca="false">IF($Y389="","",INDEX(StageForum,$Y389))</f>
        <v/>
      </c>
      <c r="AK389" s="65" t="str">
        <f aca="false">IF($Y389="","",IF(OR($X389="Delivery",$X389="Value"),"Committed",IF($N389&lt;&gt;"","Candidate","")))</f>
        <v/>
      </c>
      <c r="AL389" s="65" t="str">
        <f aca="false">IF($AK389&lt;&gt;"Candidate","",COUNTIFS($AK$2:$AK$501,"Candidate",$N$2:$N$501,"&gt;"&amp;$N389)+COUNTIFS($AK$2:$AK$501,"Candidate",$N$2:$N$501,$N389,$A$2:$A$501,"&lt;"&amp;$A389)+1)</f>
        <v/>
      </c>
      <c r="AM389" s="65" t="str">
        <f aca="false">IF($AL389="","",SUMIFS($M$2:$M$501,$AK$2:$AK$501,"Candidate",$AL$2:$AL$501,"&lt;="&amp;$AL389))</f>
        <v/>
      </c>
      <c r="AN389" s="65" t="str">
        <f aca="false">IF($AL389="","",IF($AM389&lt;=CapacityOpen,"Fits","Below line"))</f>
        <v/>
      </c>
      <c r="AO389" s="65" t="str">
        <f aca="false">IF($A389="","",IF($X389="Closed","",IF($X389="Unmapped","Warning",IF(OR($AB389="Overdue",$V389="Y",$AH389="Critical"),"Critical",IF(OR($AB389="At risk",$AC389="Stale",$AG389="Over"),"Warning","")))))</f>
        <v/>
      </c>
      <c r="AP389" s="65" t="str">
        <f aca="false">IF($AO389="","",IF($AO389="Critical",3000,2000)-IF($Z389="",0,$Z389)+ROW()/100000)</f>
        <v/>
      </c>
      <c r="AQ389" s="65" t="str">
        <f aca="false">IF($AO389="","",IF($X389="Unmapped","Status '"&amp;$C389&amp;"' is not in the Config map",IF($V389="Y","Flagged in Jira",IF($AB389="Overdue",-$Z389&amp;" days past its "&amp;$X389&amp;" target",IF($AH389="Critical",$AI389,IF($AB389="At risk","Target in "&amp;$Z389&amp;" days",IF($AC389="Stale","No update in "&amp;$AA389&amp;" days","Past its "&amp;$AE389&amp;"-day tier window")))))))</f>
        <v/>
      </c>
      <c r="AR389" s="65" t="str">
        <f aca="false">IF($AO389="","","draft Jira update for "&amp;$A389)</f>
        <v/>
      </c>
      <c r="AS389" s="65" t="str">
        <f aca="false">IF($A389="","",HYPERLINK(JiraSite&amp;"/browse/"&amp;$A389,"open"))</f>
        <v/>
      </c>
      <c r="AT389" s="65" t="str">
        <f aca="false">IF($Y389="","",$Y389*1000+ROW())</f>
        <v/>
      </c>
      <c r="AU389" s="65" t="str">
        <f aca="false">IF(AND($A389&lt;&gt;"",$G389&gt;=WeekStart),$G389+ROW()/100000,"")</f>
        <v/>
      </c>
      <c r="AV389" s="65" t="str">
        <f aca="false">IF($A389="","",IF(OR(AND($S389&lt;&gt;"",$S389&gt;=WeekStart),AND($U389&lt;&gt;"",$U389&gt;=WeekStart)),MAX($S389,$U389)+ROW()/100000,""))</f>
        <v/>
      </c>
      <c r="AW389" s="65" t="str">
        <f aca="false">IF($AV389="","",IF($T389&lt;&gt;"",$T389,IF($X389="Closed","Closed","Accepted to "&amp;$X389)))</f>
        <v/>
      </c>
      <c r="AX389" s="65" t="str">
        <f aca="false">IF(AND($Y389&lt;&gt;"",$R389&lt;&gt;""),$AF389+ROW()/100000,"")</f>
        <v/>
      </c>
      <c r="AY389" s="65" t="str">
        <f aca="false">IF(AND($Y389&lt;&gt;"",OR($AB389="Overdue",AND($AH389="Critical",$R389&lt;&gt;""))),$AF389+ROW()/100000,"")</f>
        <v/>
      </c>
      <c r="AZ389" s="65" t="str">
        <f aca="false">IF($AH389="Critical",$AF389+ROW()/100000,"")</f>
        <v/>
      </c>
    </row>
    <row r="390" customFormat="false" ht="15" hidden="false" customHeight="false" outlineLevel="0" collapsed="false">
      <c r="A390" s="28"/>
      <c r="B390" s="28"/>
      <c r="C390" s="28"/>
      <c r="D390" s="28"/>
      <c r="E390" s="28"/>
      <c r="F390" s="28"/>
      <c r="G390" s="63"/>
      <c r="H390" s="63"/>
      <c r="I390" s="63"/>
      <c r="J390" s="28"/>
      <c r="K390" s="28"/>
      <c r="L390" s="28"/>
      <c r="M390" s="28"/>
      <c r="N390" s="28"/>
      <c r="O390" s="64"/>
      <c r="P390" s="64"/>
      <c r="Q390" s="64"/>
      <c r="R390" s="28"/>
      <c r="S390" s="63"/>
      <c r="T390" s="64"/>
      <c r="U390" s="63"/>
      <c r="V390" s="64"/>
      <c r="W390" s="28"/>
      <c r="X390" s="65" t="str">
        <f aca="false">IF($A390="","",IF(OR($T390&lt;&gt;"",$U390&lt;&gt;""),"Closed",IFERROR(INDEX(MapStage,MATCH($C390,MapStatus,0)),"Unmapped")))</f>
        <v/>
      </c>
      <c r="Y390" s="65" t="str">
        <f aca="false">IF(OR($X390="",$X390="Closed",$X390="Unmapped"),"",MATCH($X390,StageName,0))</f>
        <v/>
      </c>
      <c r="Z390" s="65" t="str">
        <f aca="false">IF(OR($Y390="",$I390=""),"",$I390-AsOf)</f>
        <v/>
      </c>
      <c r="AA390" s="65" t="str">
        <f aca="false">IF($A390="","",AsOf-$H390)</f>
        <v/>
      </c>
      <c r="AB390" s="65" t="str">
        <f aca="false">IF($A390="","",IF($X390="Closed","Closed",IF($X390="Unmapped","Unmapped",IF($I390="","No target",IF($Z390&lt;0,"Overdue",IF($Z390&lt;=INDEX(StageWindow,$Y390),"At risk","On track"))))))</f>
        <v/>
      </c>
      <c r="AC390" s="65" t="str">
        <f aca="false">IF($Y390="","",IF($AA390&gt;2*INDEX(StageStale,$Y390),"Stale",IF($AA390&gt;INDEX(StageStale,$Y390),"Aging","Fresh")))</f>
        <v/>
      </c>
      <c r="AD390" s="65" t="str">
        <f aca="false">IF($A390="","",IF(OR(ISNUMBER(SEARCH("Reg report",$J390)),ISNUMBER(SEARCH("No human review",$J390)),COUNTIF(TierFuncs,$D390)&gt;0),"High",IF(OR(TRIM($J390)&lt;&gt;"",ISNUMBER(SEARCH("revenue",$K390))),"Medium","Low")))</f>
        <v/>
      </c>
      <c r="AE390" s="65" t="str">
        <f aca="false">IF($A390="","",INDEX(TierDays,MATCH($AD390,TierName,0)))</f>
        <v/>
      </c>
      <c r="AF390" s="65" t="str">
        <f aca="false">IF($A390="","",AsOf-$G390)</f>
        <v/>
      </c>
      <c r="AG390" s="65" t="str">
        <f aca="false">IF($Y390="","",IF($Y390&lt;=5,IF($AF390&gt;$AE390,"Over","Inside"),"Past approval"))</f>
        <v/>
      </c>
      <c r="AH390" s="65" t="str">
        <f aca="false">IF($Y390="","",CHOOSE($Y390,IF(OR(TRIM($F390)="",ISNUMBER(SEARCH("not named",$F390))),"Critical","Good"),IF($O390&lt;&gt;"Y","Critical",IF($Q390&lt;&gt;"Y","Warning","Good")),IF($P390="","Critical",IF($P390="partial","Warning",IF($P390="ready","Good","Critical"))),IF($R390&lt;&gt;"","Critical","Warning"),IF($L390="","Critical",IF($N390="","Warning","Good")),IF($R390&lt;&gt;"","Critical","Warning"),IF($R390&lt;&gt;"","Critical","Warning"),IF($Q390="Y","Good","Critical")))</f>
        <v/>
      </c>
      <c r="AI390" s="65" t="str">
        <f aca="false">IF($Y390="","",CHOOSE($Y390,IF(OR(TRIM($F390)="",ISNUMBER(SEARCH("not named",$F390))),"Name a sponsor accountable for the value",""),IF($O390&lt;&gt;"Y","State the success metric and the stop condition",IF($Q390&lt;&gt;"Y","Set the baseline the benefit will be measured against","")),IF($P390="","Assess data readiness and regulatory impact",IF($P390="partial","Close the known data gaps",IF($P390="ready","","Data is not available; reshape or park"))),IF($R390&lt;&gt;"",IF(OR(ISNUMBER(SEARCH("mrm",$R390)),ISNUMBER(SEARCH("model",$R390)),ISNUMBER(SEARCH("risk",$R390)),ISNUMBER(SEARCH("legal",$R390)),ISNUMBER(SEARCH("complian",$R390))),"Awaiting ","Held at the design gate: ")&amp;$R390,"Map the governance framework for its tier"),IF($L390="","Size the annual benefit",IF($N390="","Score it so it can be ranked against capacity","")),IF($R390&lt;&gt;"","Build held: "&amp;$R390,"In build, not yet through test"),IF($R390&lt;&gt;"","Not ready to scale: "&amp;$R390,"Monitoring and third-party review not yet signed off"),IF($Q390="Y","","Live without a measured baseline to judge it against")))</f>
        <v/>
      </c>
      <c r="AJ390" s="65" t="str">
        <f aca="false">IF($Y390="","",INDEX(StageForum,$Y390))</f>
        <v/>
      </c>
      <c r="AK390" s="65" t="str">
        <f aca="false">IF($Y390="","",IF(OR($X390="Delivery",$X390="Value"),"Committed",IF($N390&lt;&gt;"","Candidate","")))</f>
        <v/>
      </c>
      <c r="AL390" s="65" t="str">
        <f aca="false">IF($AK390&lt;&gt;"Candidate","",COUNTIFS($AK$2:$AK$501,"Candidate",$N$2:$N$501,"&gt;"&amp;$N390)+COUNTIFS($AK$2:$AK$501,"Candidate",$N$2:$N$501,$N390,$A$2:$A$501,"&lt;"&amp;$A390)+1)</f>
        <v/>
      </c>
      <c r="AM390" s="65" t="str">
        <f aca="false">IF($AL390="","",SUMIFS($M$2:$M$501,$AK$2:$AK$501,"Candidate",$AL$2:$AL$501,"&lt;="&amp;$AL390))</f>
        <v/>
      </c>
      <c r="AN390" s="65" t="str">
        <f aca="false">IF($AL390="","",IF($AM390&lt;=CapacityOpen,"Fits","Below line"))</f>
        <v/>
      </c>
      <c r="AO390" s="65" t="str">
        <f aca="false">IF($A390="","",IF($X390="Closed","",IF($X390="Unmapped","Warning",IF(OR($AB390="Overdue",$V390="Y",$AH390="Critical"),"Critical",IF(OR($AB390="At risk",$AC390="Stale",$AG390="Over"),"Warning","")))))</f>
        <v/>
      </c>
      <c r="AP390" s="65" t="str">
        <f aca="false">IF($AO390="","",IF($AO390="Critical",3000,2000)-IF($Z390="",0,$Z390)+ROW()/100000)</f>
        <v/>
      </c>
      <c r="AQ390" s="65" t="str">
        <f aca="false">IF($AO390="","",IF($X390="Unmapped","Status '"&amp;$C390&amp;"' is not in the Config map",IF($V390="Y","Flagged in Jira",IF($AB390="Overdue",-$Z390&amp;" days past its "&amp;$X390&amp;" target",IF($AH390="Critical",$AI390,IF($AB390="At risk","Target in "&amp;$Z390&amp;" days",IF($AC390="Stale","No update in "&amp;$AA390&amp;" days","Past its "&amp;$AE390&amp;"-day tier window")))))))</f>
        <v/>
      </c>
      <c r="AR390" s="65" t="str">
        <f aca="false">IF($AO390="","","draft Jira update for "&amp;$A390)</f>
        <v/>
      </c>
      <c r="AS390" s="65" t="str">
        <f aca="false">IF($A390="","",HYPERLINK(JiraSite&amp;"/browse/"&amp;$A390,"open"))</f>
        <v/>
      </c>
      <c r="AT390" s="65" t="str">
        <f aca="false">IF($Y390="","",$Y390*1000+ROW())</f>
        <v/>
      </c>
      <c r="AU390" s="65" t="str">
        <f aca="false">IF(AND($A390&lt;&gt;"",$G390&gt;=WeekStart),$G390+ROW()/100000,"")</f>
        <v/>
      </c>
      <c r="AV390" s="65" t="str">
        <f aca="false">IF($A390="","",IF(OR(AND($S390&lt;&gt;"",$S390&gt;=WeekStart),AND($U390&lt;&gt;"",$U390&gt;=WeekStart)),MAX($S390,$U390)+ROW()/100000,""))</f>
        <v/>
      </c>
      <c r="AW390" s="65" t="str">
        <f aca="false">IF($AV390="","",IF($T390&lt;&gt;"",$T390,IF($X390="Closed","Closed","Accepted to "&amp;$X390)))</f>
        <v/>
      </c>
      <c r="AX390" s="65" t="str">
        <f aca="false">IF(AND($Y390&lt;&gt;"",$R390&lt;&gt;""),$AF390+ROW()/100000,"")</f>
        <v/>
      </c>
      <c r="AY390" s="65" t="str">
        <f aca="false">IF(AND($Y390&lt;&gt;"",OR($AB390="Overdue",AND($AH390="Critical",$R390&lt;&gt;""))),$AF390+ROW()/100000,"")</f>
        <v/>
      </c>
      <c r="AZ390" s="65" t="str">
        <f aca="false">IF($AH390="Critical",$AF390+ROW()/100000,"")</f>
        <v/>
      </c>
    </row>
    <row r="391" customFormat="false" ht="15" hidden="false" customHeight="false" outlineLevel="0" collapsed="false">
      <c r="A391" s="28"/>
      <c r="B391" s="28"/>
      <c r="C391" s="28"/>
      <c r="D391" s="28"/>
      <c r="E391" s="28"/>
      <c r="F391" s="28"/>
      <c r="G391" s="63"/>
      <c r="H391" s="63"/>
      <c r="I391" s="63"/>
      <c r="J391" s="28"/>
      <c r="K391" s="28"/>
      <c r="L391" s="28"/>
      <c r="M391" s="28"/>
      <c r="N391" s="28"/>
      <c r="O391" s="64"/>
      <c r="P391" s="64"/>
      <c r="Q391" s="64"/>
      <c r="R391" s="28"/>
      <c r="S391" s="63"/>
      <c r="T391" s="64"/>
      <c r="U391" s="63"/>
      <c r="V391" s="64"/>
      <c r="W391" s="28"/>
      <c r="X391" s="65" t="str">
        <f aca="false">IF($A391="","",IF(OR($T391&lt;&gt;"",$U391&lt;&gt;""),"Closed",IFERROR(INDEX(MapStage,MATCH($C391,MapStatus,0)),"Unmapped")))</f>
        <v/>
      </c>
      <c r="Y391" s="65" t="str">
        <f aca="false">IF(OR($X391="",$X391="Closed",$X391="Unmapped"),"",MATCH($X391,StageName,0))</f>
        <v/>
      </c>
      <c r="Z391" s="65" t="str">
        <f aca="false">IF(OR($Y391="",$I391=""),"",$I391-AsOf)</f>
        <v/>
      </c>
      <c r="AA391" s="65" t="str">
        <f aca="false">IF($A391="","",AsOf-$H391)</f>
        <v/>
      </c>
      <c r="AB391" s="65" t="str">
        <f aca="false">IF($A391="","",IF($X391="Closed","Closed",IF($X391="Unmapped","Unmapped",IF($I391="","No target",IF($Z391&lt;0,"Overdue",IF($Z391&lt;=INDEX(StageWindow,$Y391),"At risk","On track"))))))</f>
        <v/>
      </c>
      <c r="AC391" s="65" t="str">
        <f aca="false">IF($Y391="","",IF($AA391&gt;2*INDEX(StageStale,$Y391),"Stale",IF($AA391&gt;INDEX(StageStale,$Y391),"Aging","Fresh")))</f>
        <v/>
      </c>
      <c r="AD391" s="65" t="str">
        <f aca="false">IF($A391="","",IF(OR(ISNUMBER(SEARCH("Reg report",$J391)),ISNUMBER(SEARCH("No human review",$J391)),COUNTIF(TierFuncs,$D391)&gt;0),"High",IF(OR(TRIM($J391)&lt;&gt;"",ISNUMBER(SEARCH("revenue",$K391))),"Medium","Low")))</f>
        <v/>
      </c>
      <c r="AE391" s="65" t="str">
        <f aca="false">IF($A391="","",INDEX(TierDays,MATCH($AD391,TierName,0)))</f>
        <v/>
      </c>
      <c r="AF391" s="65" t="str">
        <f aca="false">IF($A391="","",AsOf-$G391)</f>
        <v/>
      </c>
      <c r="AG391" s="65" t="str">
        <f aca="false">IF($Y391="","",IF($Y391&lt;=5,IF($AF391&gt;$AE391,"Over","Inside"),"Past approval"))</f>
        <v/>
      </c>
      <c r="AH391" s="65" t="str">
        <f aca="false">IF($Y391="","",CHOOSE($Y391,IF(OR(TRIM($F391)="",ISNUMBER(SEARCH("not named",$F391))),"Critical","Good"),IF($O391&lt;&gt;"Y","Critical",IF($Q391&lt;&gt;"Y","Warning","Good")),IF($P391="","Critical",IF($P391="partial","Warning",IF($P391="ready","Good","Critical"))),IF($R391&lt;&gt;"","Critical","Warning"),IF($L391="","Critical",IF($N391="","Warning","Good")),IF($R391&lt;&gt;"","Critical","Warning"),IF($R391&lt;&gt;"","Critical","Warning"),IF($Q391="Y","Good","Critical")))</f>
        <v/>
      </c>
      <c r="AI391" s="65" t="str">
        <f aca="false">IF($Y391="","",CHOOSE($Y391,IF(OR(TRIM($F391)="",ISNUMBER(SEARCH("not named",$F391))),"Name a sponsor accountable for the value",""),IF($O391&lt;&gt;"Y","State the success metric and the stop condition",IF($Q391&lt;&gt;"Y","Set the baseline the benefit will be measured against","")),IF($P391="","Assess data readiness and regulatory impact",IF($P391="partial","Close the known data gaps",IF($P391="ready","","Data is not available; reshape or park"))),IF($R391&lt;&gt;"",IF(OR(ISNUMBER(SEARCH("mrm",$R391)),ISNUMBER(SEARCH("model",$R391)),ISNUMBER(SEARCH("risk",$R391)),ISNUMBER(SEARCH("legal",$R391)),ISNUMBER(SEARCH("complian",$R391))),"Awaiting ","Held at the design gate: ")&amp;$R391,"Map the governance framework for its tier"),IF($L391="","Size the annual benefit",IF($N391="","Score it so it can be ranked against capacity","")),IF($R391&lt;&gt;"","Build held: "&amp;$R391,"In build, not yet through test"),IF($R391&lt;&gt;"","Not ready to scale: "&amp;$R391,"Monitoring and third-party review not yet signed off"),IF($Q391="Y","","Live without a measured baseline to judge it against")))</f>
        <v/>
      </c>
      <c r="AJ391" s="65" t="str">
        <f aca="false">IF($Y391="","",INDEX(StageForum,$Y391))</f>
        <v/>
      </c>
      <c r="AK391" s="65" t="str">
        <f aca="false">IF($Y391="","",IF(OR($X391="Delivery",$X391="Value"),"Committed",IF($N391&lt;&gt;"","Candidate","")))</f>
        <v/>
      </c>
      <c r="AL391" s="65" t="str">
        <f aca="false">IF($AK391&lt;&gt;"Candidate","",COUNTIFS($AK$2:$AK$501,"Candidate",$N$2:$N$501,"&gt;"&amp;$N391)+COUNTIFS($AK$2:$AK$501,"Candidate",$N$2:$N$501,$N391,$A$2:$A$501,"&lt;"&amp;$A391)+1)</f>
        <v/>
      </c>
      <c r="AM391" s="65" t="str">
        <f aca="false">IF($AL391="","",SUMIFS($M$2:$M$501,$AK$2:$AK$501,"Candidate",$AL$2:$AL$501,"&lt;="&amp;$AL391))</f>
        <v/>
      </c>
      <c r="AN391" s="65" t="str">
        <f aca="false">IF($AL391="","",IF($AM391&lt;=CapacityOpen,"Fits","Below line"))</f>
        <v/>
      </c>
      <c r="AO391" s="65" t="str">
        <f aca="false">IF($A391="","",IF($X391="Closed","",IF($X391="Unmapped","Warning",IF(OR($AB391="Overdue",$V391="Y",$AH391="Critical"),"Critical",IF(OR($AB391="At risk",$AC391="Stale",$AG391="Over"),"Warning","")))))</f>
        <v/>
      </c>
      <c r="AP391" s="65" t="str">
        <f aca="false">IF($AO391="","",IF($AO391="Critical",3000,2000)-IF($Z391="",0,$Z391)+ROW()/100000)</f>
        <v/>
      </c>
      <c r="AQ391" s="65" t="str">
        <f aca="false">IF($AO391="","",IF($X391="Unmapped","Status '"&amp;$C391&amp;"' is not in the Config map",IF($V391="Y","Flagged in Jira",IF($AB391="Overdue",-$Z391&amp;" days past its "&amp;$X391&amp;" target",IF($AH391="Critical",$AI391,IF($AB391="At risk","Target in "&amp;$Z391&amp;" days",IF($AC391="Stale","No update in "&amp;$AA391&amp;" days","Past its "&amp;$AE391&amp;"-day tier window")))))))</f>
        <v/>
      </c>
      <c r="AR391" s="65" t="str">
        <f aca="false">IF($AO391="","","draft Jira update for "&amp;$A391)</f>
        <v/>
      </c>
      <c r="AS391" s="65" t="str">
        <f aca="false">IF($A391="","",HYPERLINK(JiraSite&amp;"/browse/"&amp;$A391,"open"))</f>
        <v/>
      </c>
      <c r="AT391" s="65" t="str">
        <f aca="false">IF($Y391="","",$Y391*1000+ROW())</f>
        <v/>
      </c>
      <c r="AU391" s="65" t="str">
        <f aca="false">IF(AND($A391&lt;&gt;"",$G391&gt;=WeekStart),$G391+ROW()/100000,"")</f>
        <v/>
      </c>
      <c r="AV391" s="65" t="str">
        <f aca="false">IF($A391="","",IF(OR(AND($S391&lt;&gt;"",$S391&gt;=WeekStart),AND($U391&lt;&gt;"",$U391&gt;=WeekStart)),MAX($S391,$U391)+ROW()/100000,""))</f>
        <v/>
      </c>
      <c r="AW391" s="65" t="str">
        <f aca="false">IF($AV391="","",IF($T391&lt;&gt;"",$T391,IF($X391="Closed","Closed","Accepted to "&amp;$X391)))</f>
        <v/>
      </c>
      <c r="AX391" s="65" t="str">
        <f aca="false">IF(AND($Y391&lt;&gt;"",$R391&lt;&gt;""),$AF391+ROW()/100000,"")</f>
        <v/>
      </c>
      <c r="AY391" s="65" t="str">
        <f aca="false">IF(AND($Y391&lt;&gt;"",OR($AB391="Overdue",AND($AH391="Critical",$R391&lt;&gt;""))),$AF391+ROW()/100000,"")</f>
        <v/>
      </c>
      <c r="AZ391" s="65" t="str">
        <f aca="false">IF($AH391="Critical",$AF391+ROW()/100000,"")</f>
        <v/>
      </c>
    </row>
    <row r="392" customFormat="false" ht="15" hidden="false" customHeight="false" outlineLevel="0" collapsed="false">
      <c r="A392" s="28"/>
      <c r="B392" s="28"/>
      <c r="C392" s="28"/>
      <c r="D392" s="28"/>
      <c r="E392" s="28"/>
      <c r="F392" s="28"/>
      <c r="G392" s="63"/>
      <c r="H392" s="63"/>
      <c r="I392" s="63"/>
      <c r="J392" s="28"/>
      <c r="K392" s="28"/>
      <c r="L392" s="28"/>
      <c r="M392" s="28"/>
      <c r="N392" s="28"/>
      <c r="O392" s="64"/>
      <c r="P392" s="64"/>
      <c r="Q392" s="64"/>
      <c r="R392" s="28"/>
      <c r="S392" s="63"/>
      <c r="T392" s="64"/>
      <c r="U392" s="63"/>
      <c r="V392" s="64"/>
      <c r="W392" s="28"/>
      <c r="X392" s="65" t="str">
        <f aca="false">IF($A392="","",IF(OR($T392&lt;&gt;"",$U392&lt;&gt;""),"Closed",IFERROR(INDEX(MapStage,MATCH($C392,MapStatus,0)),"Unmapped")))</f>
        <v/>
      </c>
      <c r="Y392" s="65" t="str">
        <f aca="false">IF(OR($X392="",$X392="Closed",$X392="Unmapped"),"",MATCH($X392,StageName,0))</f>
        <v/>
      </c>
      <c r="Z392" s="65" t="str">
        <f aca="false">IF(OR($Y392="",$I392=""),"",$I392-AsOf)</f>
        <v/>
      </c>
      <c r="AA392" s="65" t="str">
        <f aca="false">IF($A392="","",AsOf-$H392)</f>
        <v/>
      </c>
      <c r="AB392" s="65" t="str">
        <f aca="false">IF($A392="","",IF($X392="Closed","Closed",IF($X392="Unmapped","Unmapped",IF($I392="","No target",IF($Z392&lt;0,"Overdue",IF($Z392&lt;=INDEX(StageWindow,$Y392),"At risk","On track"))))))</f>
        <v/>
      </c>
      <c r="AC392" s="65" t="str">
        <f aca="false">IF($Y392="","",IF($AA392&gt;2*INDEX(StageStale,$Y392),"Stale",IF($AA392&gt;INDEX(StageStale,$Y392),"Aging","Fresh")))</f>
        <v/>
      </c>
      <c r="AD392" s="65" t="str">
        <f aca="false">IF($A392="","",IF(OR(ISNUMBER(SEARCH("Reg report",$J392)),ISNUMBER(SEARCH("No human review",$J392)),COUNTIF(TierFuncs,$D392)&gt;0),"High",IF(OR(TRIM($J392)&lt;&gt;"",ISNUMBER(SEARCH("revenue",$K392))),"Medium","Low")))</f>
        <v/>
      </c>
      <c r="AE392" s="65" t="str">
        <f aca="false">IF($A392="","",INDEX(TierDays,MATCH($AD392,TierName,0)))</f>
        <v/>
      </c>
      <c r="AF392" s="65" t="str">
        <f aca="false">IF($A392="","",AsOf-$G392)</f>
        <v/>
      </c>
      <c r="AG392" s="65" t="str">
        <f aca="false">IF($Y392="","",IF($Y392&lt;=5,IF($AF392&gt;$AE392,"Over","Inside"),"Past approval"))</f>
        <v/>
      </c>
      <c r="AH392" s="65" t="str">
        <f aca="false">IF($Y392="","",CHOOSE($Y392,IF(OR(TRIM($F392)="",ISNUMBER(SEARCH("not named",$F392))),"Critical","Good"),IF($O392&lt;&gt;"Y","Critical",IF($Q392&lt;&gt;"Y","Warning","Good")),IF($P392="","Critical",IF($P392="partial","Warning",IF($P392="ready","Good","Critical"))),IF($R392&lt;&gt;"","Critical","Warning"),IF($L392="","Critical",IF($N392="","Warning","Good")),IF($R392&lt;&gt;"","Critical","Warning"),IF($R392&lt;&gt;"","Critical","Warning"),IF($Q392="Y","Good","Critical")))</f>
        <v/>
      </c>
      <c r="AI392" s="65" t="str">
        <f aca="false">IF($Y392="","",CHOOSE($Y392,IF(OR(TRIM($F392)="",ISNUMBER(SEARCH("not named",$F392))),"Name a sponsor accountable for the value",""),IF($O392&lt;&gt;"Y","State the success metric and the stop condition",IF($Q392&lt;&gt;"Y","Set the baseline the benefit will be measured against","")),IF($P392="","Assess data readiness and regulatory impact",IF($P392="partial","Close the known data gaps",IF($P392="ready","","Data is not available; reshape or park"))),IF($R392&lt;&gt;"",IF(OR(ISNUMBER(SEARCH("mrm",$R392)),ISNUMBER(SEARCH("model",$R392)),ISNUMBER(SEARCH("risk",$R392)),ISNUMBER(SEARCH("legal",$R392)),ISNUMBER(SEARCH("complian",$R392))),"Awaiting ","Held at the design gate: ")&amp;$R392,"Map the governance framework for its tier"),IF($L392="","Size the annual benefit",IF($N392="","Score it so it can be ranked against capacity","")),IF($R392&lt;&gt;"","Build held: "&amp;$R392,"In build, not yet through test"),IF($R392&lt;&gt;"","Not ready to scale: "&amp;$R392,"Monitoring and third-party review not yet signed off"),IF($Q392="Y","","Live without a measured baseline to judge it against")))</f>
        <v/>
      </c>
      <c r="AJ392" s="65" t="str">
        <f aca="false">IF($Y392="","",INDEX(StageForum,$Y392))</f>
        <v/>
      </c>
      <c r="AK392" s="65" t="str">
        <f aca="false">IF($Y392="","",IF(OR($X392="Delivery",$X392="Value"),"Committed",IF($N392&lt;&gt;"","Candidate","")))</f>
        <v/>
      </c>
      <c r="AL392" s="65" t="str">
        <f aca="false">IF($AK392&lt;&gt;"Candidate","",COUNTIFS($AK$2:$AK$501,"Candidate",$N$2:$N$501,"&gt;"&amp;$N392)+COUNTIFS($AK$2:$AK$501,"Candidate",$N$2:$N$501,$N392,$A$2:$A$501,"&lt;"&amp;$A392)+1)</f>
        <v/>
      </c>
      <c r="AM392" s="65" t="str">
        <f aca="false">IF($AL392="","",SUMIFS($M$2:$M$501,$AK$2:$AK$501,"Candidate",$AL$2:$AL$501,"&lt;="&amp;$AL392))</f>
        <v/>
      </c>
      <c r="AN392" s="65" t="str">
        <f aca="false">IF($AL392="","",IF($AM392&lt;=CapacityOpen,"Fits","Below line"))</f>
        <v/>
      </c>
      <c r="AO392" s="65" t="str">
        <f aca="false">IF($A392="","",IF($X392="Closed","",IF($X392="Unmapped","Warning",IF(OR($AB392="Overdue",$V392="Y",$AH392="Critical"),"Critical",IF(OR($AB392="At risk",$AC392="Stale",$AG392="Over"),"Warning","")))))</f>
        <v/>
      </c>
      <c r="AP392" s="65" t="str">
        <f aca="false">IF($AO392="","",IF($AO392="Critical",3000,2000)-IF($Z392="",0,$Z392)+ROW()/100000)</f>
        <v/>
      </c>
      <c r="AQ392" s="65" t="str">
        <f aca="false">IF($AO392="","",IF($X392="Unmapped","Status '"&amp;$C392&amp;"' is not in the Config map",IF($V392="Y","Flagged in Jira",IF($AB392="Overdue",-$Z392&amp;" days past its "&amp;$X392&amp;" target",IF($AH392="Critical",$AI392,IF($AB392="At risk","Target in "&amp;$Z392&amp;" days",IF($AC392="Stale","No update in "&amp;$AA392&amp;" days","Past its "&amp;$AE392&amp;"-day tier window")))))))</f>
        <v/>
      </c>
      <c r="AR392" s="65" t="str">
        <f aca="false">IF($AO392="","","draft Jira update for "&amp;$A392)</f>
        <v/>
      </c>
      <c r="AS392" s="65" t="str">
        <f aca="false">IF($A392="","",HYPERLINK(JiraSite&amp;"/browse/"&amp;$A392,"open"))</f>
        <v/>
      </c>
      <c r="AT392" s="65" t="str">
        <f aca="false">IF($Y392="","",$Y392*1000+ROW())</f>
        <v/>
      </c>
      <c r="AU392" s="65" t="str">
        <f aca="false">IF(AND($A392&lt;&gt;"",$G392&gt;=WeekStart),$G392+ROW()/100000,"")</f>
        <v/>
      </c>
      <c r="AV392" s="65" t="str">
        <f aca="false">IF($A392="","",IF(OR(AND($S392&lt;&gt;"",$S392&gt;=WeekStart),AND($U392&lt;&gt;"",$U392&gt;=WeekStart)),MAX($S392,$U392)+ROW()/100000,""))</f>
        <v/>
      </c>
      <c r="AW392" s="65" t="str">
        <f aca="false">IF($AV392="","",IF($T392&lt;&gt;"",$T392,IF($X392="Closed","Closed","Accepted to "&amp;$X392)))</f>
        <v/>
      </c>
      <c r="AX392" s="65" t="str">
        <f aca="false">IF(AND($Y392&lt;&gt;"",$R392&lt;&gt;""),$AF392+ROW()/100000,"")</f>
        <v/>
      </c>
      <c r="AY392" s="65" t="str">
        <f aca="false">IF(AND($Y392&lt;&gt;"",OR($AB392="Overdue",AND($AH392="Critical",$R392&lt;&gt;""))),$AF392+ROW()/100000,"")</f>
        <v/>
      </c>
      <c r="AZ392" s="65" t="str">
        <f aca="false">IF($AH392="Critical",$AF392+ROW()/100000,"")</f>
        <v/>
      </c>
    </row>
    <row r="393" customFormat="false" ht="15" hidden="false" customHeight="false" outlineLevel="0" collapsed="false">
      <c r="A393" s="28"/>
      <c r="B393" s="28"/>
      <c r="C393" s="28"/>
      <c r="D393" s="28"/>
      <c r="E393" s="28"/>
      <c r="F393" s="28"/>
      <c r="G393" s="63"/>
      <c r="H393" s="63"/>
      <c r="I393" s="63"/>
      <c r="J393" s="28"/>
      <c r="K393" s="28"/>
      <c r="L393" s="28"/>
      <c r="M393" s="28"/>
      <c r="N393" s="28"/>
      <c r="O393" s="64"/>
      <c r="P393" s="64"/>
      <c r="Q393" s="64"/>
      <c r="R393" s="28"/>
      <c r="S393" s="63"/>
      <c r="T393" s="64"/>
      <c r="U393" s="63"/>
      <c r="V393" s="64"/>
      <c r="W393" s="28"/>
      <c r="X393" s="65" t="str">
        <f aca="false">IF($A393="","",IF(OR($T393&lt;&gt;"",$U393&lt;&gt;""),"Closed",IFERROR(INDEX(MapStage,MATCH($C393,MapStatus,0)),"Unmapped")))</f>
        <v/>
      </c>
      <c r="Y393" s="65" t="str">
        <f aca="false">IF(OR($X393="",$X393="Closed",$X393="Unmapped"),"",MATCH($X393,StageName,0))</f>
        <v/>
      </c>
      <c r="Z393" s="65" t="str">
        <f aca="false">IF(OR($Y393="",$I393=""),"",$I393-AsOf)</f>
        <v/>
      </c>
      <c r="AA393" s="65" t="str">
        <f aca="false">IF($A393="","",AsOf-$H393)</f>
        <v/>
      </c>
      <c r="AB393" s="65" t="str">
        <f aca="false">IF($A393="","",IF($X393="Closed","Closed",IF($X393="Unmapped","Unmapped",IF($I393="","No target",IF($Z393&lt;0,"Overdue",IF($Z393&lt;=INDEX(StageWindow,$Y393),"At risk","On track"))))))</f>
        <v/>
      </c>
      <c r="AC393" s="65" t="str">
        <f aca="false">IF($Y393="","",IF($AA393&gt;2*INDEX(StageStale,$Y393),"Stale",IF($AA393&gt;INDEX(StageStale,$Y393),"Aging","Fresh")))</f>
        <v/>
      </c>
      <c r="AD393" s="65" t="str">
        <f aca="false">IF($A393="","",IF(OR(ISNUMBER(SEARCH("Reg report",$J393)),ISNUMBER(SEARCH("No human review",$J393)),COUNTIF(TierFuncs,$D393)&gt;0),"High",IF(OR(TRIM($J393)&lt;&gt;"",ISNUMBER(SEARCH("revenue",$K393))),"Medium","Low")))</f>
        <v/>
      </c>
      <c r="AE393" s="65" t="str">
        <f aca="false">IF($A393="","",INDEX(TierDays,MATCH($AD393,TierName,0)))</f>
        <v/>
      </c>
      <c r="AF393" s="65" t="str">
        <f aca="false">IF($A393="","",AsOf-$G393)</f>
        <v/>
      </c>
      <c r="AG393" s="65" t="str">
        <f aca="false">IF($Y393="","",IF($Y393&lt;=5,IF($AF393&gt;$AE393,"Over","Inside"),"Past approval"))</f>
        <v/>
      </c>
      <c r="AH393" s="65" t="str">
        <f aca="false">IF($Y393="","",CHOOSE($Y393,IF(OR(TRIM($F393)="",ISNUMBER(SEARCH("not named",$F393))),"Critical","Good"),IF($O393&lt;&gt;"Y","Critical",IF($Q393&lt;&gt;"Y","Warning","Good")),IF($P393="","Critical",IF($P393="partial","Warning",IF($P393="ready","Good","Critical"))),IF($R393&lt;&gt;"","Critical","Warning"),IF($L393="","Critical",IF($N393="","Warning","Good")),IF($R393&lt;&gt;"","Critical","Warning"),IF($R393&lt;&gt;"","Critical","Warning"),IF($Q393="Y","Good","Critical")))</f>
        <v/>
      </c>
      <c r="AI393" s="65" t="str">
        <f aca="false">IF($Y393="","",CHOOSE($Y393,IF(OR(TRIM($F393)="",ISNUMBER(SEARCH("not named",$F393))),"Name a sponsor accountable for the value",""),IF($O393&lt;&gt;"Y","State the success metric and the stop condition",IF($Q393&lt;&gt;"Y","Set the baseline the benefit will be measured against","")),IF($P393="","Assess data readiness and regulatory impact",IF($P393="partial","Close the known data gaps",IF($P393="ready","","Data is not available; reshape or park"))),IF($R393&lt;&gt;"",IF(OR(ISNUMBER(SEARCH("mrm",$R393)),ISNUMBER(SEARCH("model",$R393)),ISNUMBER(SEARCH("risk",$R393)),ISNUMBER(SEARCH("legal",$R393)),ISNUMBER(SEARCH("complian",$R393))),"Awaiting ","Held at the design gate: ")&amp;$R393,"Map the governance framework for its tier"),IF($L393="","Size the annual benefit",IF($N393="","Score it so it can be ranked against capacity","")),IF($R393&lt;&gt;"","Build held: "&amp;$R393,"In build, not yet through test"),IF($R393&lt;&gt;"","Not ready to scale: "&amp;$R393,"Monitoring and third-party review not yet signed off"),IF($Q393="Y","","Live without a measured baseline to judge it against")))</f>
        <v/>
      </c>
      <c r="AJ393" s="65" t="str">
        <f aca="false">IF($Y393="","",INDEX(StageForum,$Y393))</f>
        <v/>
      </c>
      <c r="AK393" s="65" t="str">
        <f aca="false">IF($Y393="","",IF(OR($X393="Delivery",$X393="Value"),"Committed",IF($N393&lt;&gt;"","Candidate","")))</f>
        <v/>
      </c>
      <c r="AL393" s="65" t="str">
        <f aca="false">IF($AK393&lt;&gt;"Candidate","",COUNTIFS($AK$2:$AK$501,"Candidate",$N$2:$N$501,"&gt;"&amp;$N393)+COUNTIFS($AK$2:$AK$501,"Candidate",$N$2:$N$501,$N393,$A$2:$A$501,"&lt;"&amp;$A393)+1)</f>
        <v/>
      </c>
      <c r="AM393" s="65" t="str">
        <f aca="false">IF($AL393="","",SUMIFS($M$2:$M$501,$AK$2:$AK$501,"Candidate",$AL$2:$AL$501,"&lt;="&amp;$AL393))</f>
        <v/>
      </c>
      <c r="AN393" s="65" t="str">
        <f aca="false">IF($AL393="","",IF($AM393&lt;=CapacityOpen,"Fits","Below line"))</f>
        <v/>
      </c>
      <c r="AO393" s="65" t="str">
        <f aca="false">IF($A393="","",IF($X393="Closed","",IF($X393="Unmapped","Warning",IF(OR($AB393="Overdue",$V393="Y",$AH393="Critical"),"Critical",IF(OR($AB393="At risk",$AC393="Stale",$AG393="Over"),"Warning","")))))</f>
        <v/>
      </c>
      <c r="AP393" s="65" t="str">
        <f aca="false">IF($AO393="","",IF($AO393="Critical",3000,2000)-IF($Z393="",0,$Z393)+ROW()/100000)</f>
        <v/>
      </c>
      <c r="AQ393" s="65" t="str">
        <f aca="false">IF($AO393="","",IF($X393="Unmapped","Status '"&amp;$C393&amp;"' is not in the Config map",IF($V393="Y","Flagged in Jira",IF($AB393="Overdue",-$Z393&amp;" days past its "&amp;$X393&amp;" target",IF($AH393="Critical",$AI393,IF($AB393="At risk","Target in "&amp;$Z393&amp;" days",IF($AC393="Stale","No update in "&amp;$AA393&amp;" days","Past its "&amp;$AE393&amp;"-day tier window")))))))</f>
        <v/>
      </c>
      <c r="AR393" s="65" t="str">
        <f aca="false">IF($AO393="","","draft Jira update for "&amp;$A393)</f>
        <v/>
      </c>
      <c r="AS393" s="65" t="str">
        <f aca="false">IF($A393="","",HYPERLINK(JiraSite&amp;"/browse/"&amp;$A393,"open"))</f>
        <v/>
      </c>
      <c r="AT393" s="65" t="str">
        <f aca="false">IF($Y393="","",$Y393*1000+ROW())</f>
        <v/>
      </c>
      <c r="AU393" s="65" t="str">
        <f aca="false">IF(AND($A393&lt;&gt;"",$G393&gt;=WeekStart),$G393+ROW()/100000,"")</f>
        <v/>
      </c>
      <c r="AV393" s="65" t="str">
        <f aca="false">IF($A393="","",IF(OR(AND($S393&lt;&gt;"",$S393&gt;=WeekStart),AND($U393&lt;&gt;"",$U393&gt;=WeekStart)),MAX($S393,$U393)+ROW()/100000,""))</f>
        <v/>
      </c>
      <c r="AW393" s="65" t="str">
        <f aca="false">IF($AV393="","",IF($T393&lt;&gt;"",$T393,IF($X393="Closed","Closed","Accepted to "&amp;$X393)))</f>
        <v/>
      </c>
      <c r="AX393" s="65" t="str">
        <f aca="false">IF(AND($Y393&lt;&gt;"",$R393&lt;&gt;""),$AF393+ROW()/100000,"")</f>
        <v/>
      </c>
      <c r="AY393" s="65" t="str">
        <f aca="false">IF(AND($Y393&lt;&gt;"",OR($AB393="Overdue",AND($AH393="Critical",$R393&lt;&gt;""))),$AF393+ROW()/100000,"")</f>
        <v/>
      </c>
      <c r="AZ393" s="65" t="str">
        <f aca="false">IF($AH393="Critical",$AF393+ROW()/100000,"")</f>
        <v/>
      </c>
    </row>
    <row r="394" customFormat="false" ht="15" hidden="false" customHeight="false" outlineLevel="0" collapsed="false">
      <c r="A394" s="28"/>
      <c r="B394" s="28"/>
      <c r="C394" s="28"/>
      <c r="D394" s="28"/>
      <c r="E394" s="28"/>
      <c r="F394" s="28"/>
      <c r="G394" s="63"/>
      <c r="H394" s="63"/>
      <c r="I394" s="63"/>
      <c r="J394" s="28"/>
      <c r="K394" s="28"/>
      <c r="L394" s="28"/>
      <c r="M394" s="28"/>
      <c r="N394" s="28"/>
      <c r="O394" s="64"/>
      <c r="P394" s="64"/>
      <c r="Q394" s="64"/>
      <c r="R394" s="28"/>
      <c r="S394" s="63"/>
      <c r="T394" s="64"/>
      <c r="U394" s="63"/>
      <c r="V394" s="64"/>
      <c r="W394" s="28"/>
      <c r="X394" s="65" t="str">
        <f aca="false">IF($A394="","",IF(OR($T394&lt;&gt;"",$U394&lt;&gt;""),"Closed",IFERROR(INDEX(MapStage,MATCH($C394,MapStatus,0)),"Unmapped")))</f>
        <v/>
      </c>
      <c r="Y394" s="65" t="str">
        <f aca="false">IF(OR($X394="",$X394="Closed",$X394="Unmapped"),"",MATCH($X394,StageName,0))</f>
        <v/>
      </c>
      <c r="Z394" s="65" t="str">
        <f aca="false">IF(OR($Y394="",$I394=""),"",$I394-AsOf)</f>
        <v/>
      </c>
      <c r="AA394" s="65" t="str">
        <f aca="false">IF($A394="","",AsOf-$H394)</f>
        <v/>
      </c>
      <c r="AB394" s="65" t="str">
        <f aca="false">IF($A394="","",IF($X394="Closed","Closed",IF($X394="Unmapped","Unmapped",IF($I394="","No target",IF($Z394&lt;0,"Overdue",IF($Z394&lt;=INDEX(StageWindow,$Y394),"At risk","On track"))))))</f>
        <v/>
      </c>
      <c r="AC394" s="65" t="str">
        <f aca="false">IF($Y394="","",IF($AA394&gt;2*INDEX(StageStale,$Y394),"Stale",IF($AA394&gt;INDEX(StageStale,$Y394),"Aging","Fresh")))</f>
        <v/>
      </c>
      <c r="AD394" s="65" t="str">
        <f aca="false">IF($A394="","",IF(OR(ISNUMBER(SEARCH("Reg report",$J394)),ISNUMBER(SEARCH("No human review",$J394)),COUNTIF(TierFuncs,$D394)&gt;0),"High",IF(OR(TRIM($J394)&lt;&gt;"",ISNUMBER(SEARCH("revenue",$K394))),"Medium","Low")))</f>
        <v/>
      </c>
      <c r="AE394" s="65" t="str">
        <f aca="false">IF($A394="","",INDEX(TierDays,MATCH($AD394,TierName,0)))</f>
        <v/>
      </c>
      <c r="AF394" s="65" t="str">
        <f aca="false">IF($A394="","",AsOf-$G394)</f>
        <v/>
      </c>
      <c r="AG394" s="65" t="str">
        <f aca="false">IF($Y394="","",IF($Y394&lt;=5,IF($AF394&gt;$AE394,"Over","Inside"),"Past approval"))</f>
        <v/>
      </c>
      <c r="AH394" s="65" t="str">
        <f aca="false">IF($Y394="","",CHOOSE($Y394,IF(OR(TRIM($F394)="",ISNUMBER(SEARCH("not named",$F394))),"Critical","Good"),IF($O394&lt;&gt;"Y","Critical",IF($Q394&lt;&gt;"Y","Warning","Good")),IF($P394="","Critical",IF($P394="partial","Warning",IF($P394="ready","Good","Critical"))),IF($R394&lt;&gt;"","Critical","Warning"),IF($L394="","Critical",IF($N394="","Warning","Good")),IF($R394&lt;&gt;"","Critical","Warning"),IF($R394&lt;&gt;"","Critical","Warning"),IF($Q394="Y","Good","Critical")))</f>
        <v/>
      </c>
      <c r="AI394" s="65" t="str">
        <f aca="false">IF($Y394="","",CHOOSE($Y394,IF(OR(TRIM($F394)="",ISNUMBER(SEARCH("not named",$F394))),"Name a sponsor accountable for the value",""),IF($O394&lt;&gt;"Y","State the success metric and the stop condition",IF($Q394&lt;&gt;"Y","Set the baseline the benefit will be measured against","")),IF($P394="","Assess data readiness and regulatory impact",IF($P394="partial","Close the known data gaps",IF($P394="ready","","Data is not available; reshape or park"))),IF($R394&lt;&gt;"",IF(OR(ISNUMBER(SEARCH("mrm",$R394)),ISNUMBER(SEARCH("model",$R394)),ISNUMBER(SEARCH("risk",$R394)),ISNUMBER(SEARCH("legal",$R394)),ISNUMBER(SEARCH("complian",$R394))),"Awaiting ","Held at the design gate: ")&amp;$R394,"Map the governance framework for its tier"),IF($L394="","Size the annual benefit",IF($N394="","Score it so it can be ranked against capacity","")),IF($R394&lt;&gt;"","Build held: "&amp;$R394,"In build, not yet through test"),IF($R394&lt;&gt;"","Not ready to scale: "&amp;$R394,"Monitoring and third-party review not yet signed off"),IF($Q394="Y","","Live without a measured baseline to judge it against")))</f>
        <v/>
      </c>
      <c r="AJ394" s="65" t="str">
        <f aca="false">IF($Y394="","",INDEX(StageForum,$Y394))</f>
        <v/>
      </c>
      <c r="AK394" s="65" t="str">
        <f aca="false">IF($Y394="","",IF(OR($X394="Delivery",$X394="Value"),"Committed",IF($N394&lt;&gt;"","Candidate","")))</f>
        <v/>
      </c>
      <c r="AL394" s="65" t="str">
        <f aca="false">IF($AK394&lt;&gt;"Candidate","",COUNTIFS($AK$2:$AK$501,"Candidate",$N$2:$N$501,"&gt;"&amp;$N394)+COUNTIFS($AK$2:$AK$501,"Candidate",$N$2:$N$501,$N394,$A$2:$A$501,"&lt;"&amp;$A394)+1)</f>
        <v/>
      </c>
      <c r="AM394" s="65" t="str">
        <f aca="false">IF($AL394="","",SUMIFS($M$2:$M$501,$AK$2:$AK$501,"Candidate",$AL$2:$AL$501,"&lt;="&amp;$AL394))</f>
        <v/>
      </c>
      <c r="AN394" s="65" t="str">
        <f aca="false">IF($AL394="","",IF($AM394&lt;=CapacityOpen,"Fits","Below line"))</f>
        <v/>
      </c>
      <c r="AO394" s="65" t="str">
        <f aca="false">IF($A394="","",IF($X394="Closed","",IF($X394="Unmapped","Warning",IF(OR($AB394="Overdue",$V394="Y",$AH394="Critical"),"Critical",IF(OR($AB394="At risk",$AC394="Stale",$AG394="Over"),"Warning","")))))</f>
        <v/>
      </c>
      <c r="AP394" s="65" t="str">
        <f aca="false">IF($AO394="","",IF($AO394="Critical",3000,2000)-IF($Z394="",0,$Z394)+ROW()/100000)</f>
        <v/>
      </c>
      <c r="AQ394" s="65" t="str">
        <f aca="false">IF($AO394="","",IF($X394="Unmapped","Status '"&amp;$C394&amp;"' is not in the Config map",IF($V394="Y","Flagged in Jira",IF($AB394="Overdue",-$Z394&amp;" days past its "&amp;$X394&amp;" target",IF($AH394="Critical",$AI394,IF($AB394="At risk","Target in "&amp;$Z394&amp;" days",IF($AC394="Stale","No update in "&amp;$AA394&amp;" days","Past its "&amp;$AE394&amp;"-day tier window")))))))</f>
        <v/>
      </c>
      <c r="AR394" s="65" t="str">
        <f aca="false">IF($AO394="","","draft Jira update for "&amp;$A394)</f>
        <v/>
      </c>
      <c r="AS394" s="65" t="str">
        <f aca="false">IF($A394="","",HYPERLINK(JiraSite&amp;"/browse/"&amp;$A394,"open"))</f>
        <v/>
      </c>
      <c r="AT394" s="65" t="str">
        <f aca="false">IF($Y394="","",$Y394*1000+ROW())</f>
        <v/>
      </c>
      <c r="AU394" s="65" t="str">
        <f aca="false">IF(AND($A394&lt;&gt;"",$G394&gt;=WeekStart),$G394+ROW()/100000,"")</f>
        <v/>
      </c>
      <c r="AV394" s="65" t="str">
        <f aca="false">IF($A394="","",IF(OR(AND($S394&lt;&gt;"",$S394&gt;=WeekStart),AND($U394&lt;&gt;"",$U394&gt;=WeekStart)),MAX($S394,$U394)+ROW()/100000,""))</f>
        <v/>
      </c>
      <c r="AW394" s="65" t="str">
        <f aca="false">IF($AV394="","",IF($T394&lt;&gt;"",$T394,IF($X394="Closed","Closed","Accepted to "&amp;$X394)))</f>
        <v/>
      </c>
      <c r="AX394" s="65" t="str">
        <f aca="false">IF(AND($Y394&lt;&gt;"",$R394&lt;&gt;""),$AF394+ROW()/100000,"")</f>
        <v/>
      </c>
      <c r="AY394" s="65" t="str">
        <f aca="false">IF(AND($Y394&lt;&gt;"",OR($AB394="Overdue",AND($AH394="Critical",$R394&lt;&gt;""))),$AF394+ROW()/100000,"")</f>
        <v/>
      </c>
      <c r="AZ394" s="65" t="str">
        <f aca="false">IF($AH394="Critical",$AF394+ROW()/100000,"")</f>
        <v/>
      </c>
    </row>
    <row r="395" customFormat="false" ht="15" hidden="false" customHeight="false" outlineLevel="0" collapsed="false">
      <c r="A395" s="28"/>
      <c r="B395" s="28"/>
      <c r="C395" s="28"/>
      <c r="D395" s="28"/>
      <c r="E395" s="28"/>
      <c r="F395" s="28"/>
      <c r="G395" s="63"/>
      <c r="H395" s="63"/>
      <c r="I395" s="63"/>
      <c r="J395" s="28"/>
      <c r="K395" s="28"/>
      <c r="L395" s="28"/>
      <c r="M395" s="28"/>
      <c r="N395" s="28"/>
      <c r="O395" s="64"/>
      <c r="P395" s="64"/>
      <c r="Q395" s="64"/>
      <c r="R395" s="28"/>
      <c r="S395" s="63"/>
      <c r="T395" s="64"/>
      <c r="U395" s="63"/>
      <c r="V395" s="64"/>
      <c r="W395" s="28"/>
      <c r="X395" s="65" t="str">
        <f aca="false">IF($A395="","",IF(OR($T395&lt;&gt;"",$U395&lt;&gt;""),"Closed",IFERROR(INDEX(MapStage,MATCH($C395,MapStatus,0)),"Unmapped")))</f>
        <v/>
      </c>
      <c r="Y395" s="65" t="str">
        <f aca="false">IF(OR($X395="",$X395="Closed",$X395="Unmapped"),"",MATCH($X395,StageName,0))</f>
        <v/>
      </c>
      <c r="Z395" s="65" t="str">
        <f aca="false">IF(OR($Y395="",$I395=""),"",$I395-AsOf)</f>
        <v/>
      </c>
      <c r="AA395" s="65" t="str">
        <f aca="false">IF($A395="","",AsOf-$H395)</f>
        <v/>
      </c>
      <c r="AB395" s="65" t="str">
        <f aca="false">IF($A395="","",IF($X395="Closed","Closed",IF($X395="Unmapped","Unmapped",IF($I395="","No target",IF($Z395&lt;0,"Overdue",IF($Z395&lt;=INDEX(StageWindow,$Y395),"At risk","On track"))))))</f>
        <v/>
      </c>
      <c r="AC395" s="65" t="str">
        <f aca="false">IF($Y395="","",IF($AA395&gt;2*INDEX(StageStale,$Y395),"Stale",IF($AA395&gt;INDEX(StageStale,$Y395),"Aging","Fresh")))</f>
        <v/>
      </c>
      <c r="AD395" s="65" t="str">
        <f aca="false">IF($A395="","",IF(OR(ISNUMBER(SEARCH("Reg report",$J395)),ISNUMBER(SEARCH("No human review",$J395)),COUNTIF(TierFuncs,$D395)&gt;0),"High",IF(OR(TRIM($J395)&lt;&gt;"",ISNUMBER(SEARCH("revenue",$K395))),"Medium","Low")))</f>
        <v/>
      </c>
      <c r="AE395" s="65" t="str">
        <f aca="false">IF($A395="","",INDEX(TierDays,MATCH($AD395,TierName,0)))</f>
        <v/>
      </c>
      <c r="AF395" s="65" t="str">
        <f aca="false">IF($A395="","",AsOf-$G395)</f>
        <v/>
      </c>
      <c r="AG395" s="65" t="str">
        <f aca="false">IF($Y395="","",IF($Y395&lt;=5,IF($AF395&gt;$AE395,"Over","Inside"),"Past approval"))</f>
        <v/>
      </c>
      <c r="AH395" s="65" t="str">
        <f aca="false">IF($Y395="","",CHOOSE($Y395,IF(OR(TRIM($F395)="",ISNUMBER(SEARCH("not named",$F395))),"Critical","Good"),IF($O395&lt;&gt;"Y","Critical",IF($Q395&lt;&gt;"Y","Warning","Good")),IF($P395="","Critical",IF($P395="partial","Warning",IF($P395="ready","Good","Critical"))),IF($R395&lt;&gt;"","Critical","Warning"),IF($L395="","Critical",IF($N395="","Warning","Good")),IF($R395&lt;&gt;"","Critical","Warning"),IF($R395&lt;&gt;"","Critical","Warning"),IF($Q395="Y","Good","Critical")))</f>
        <v/>
      </c>
      <c r="AI395" s="65" t="str">
        <f aca="false">IF($Y395="","",CHOOSE($Y395,IF(OR(TRIM($F395)="",ISNUMBER(SEARCH("not named",$F395))),"Name a sponsor accountable for the value",""),IF($O395&lt;&gt;"Y","State the success metric and the stop condition",IF($Q395&lt;&gt;"Y","Set the baseline the benefit will be measured against","")),IF($P395="","Assess data readiness and regulatory impact",IF($P395="partial","Close the known data gaps",IF($P395="ready","","Data is not available; reshape or park"))),IF($R395&lt;&gt;"",IF(OR(ISNUMBER(SEARCH("mrm",$R395)),ISNUMBER(SEARCH("model",$R395)),ISNUMBER(SEARCH("risk",$R395)),ISNUMBER(SEARCH("legal",$R395)),ISNUMBER(SEARCH("complian",$R395))),"Awaiting ","Held at the design gate: ")&amp;$R395,"Map the governance framework for its tier"),IF($L395="","Size the annual benefit",IF($N395="","Score it so it can be ranked against capacity","")),IF($R395&lt;&gt;"","Build held: "&amp;$R395,"In build, not yet through test"),IF($R395&lt;&gt;"","Not ready to scale: "&amp;$R395,"Monitoring and third-party review not yet signed off"),IF($Q395="Y","","Live without a measured baseline to judge it against")))</f>
        <v/>
      </c>
      <c r="AJ395" s="65" t="str">
        <f aca="false">IF($Y395="","",INDEX(StageForum,$Y395))</f>
        <v/>
      </c>
      <c r="AK395" s="65" t="str">
        <f aca="false">IF($Y395="","",IF(OR($X395="Delivery",$X395="Value"),"Committed",IF($N395&lt;&gt;"","Candidate","")))</f>
        <v/>
      </c>
      <c r="AL395" s="65" t="str">
        <f aca="false">IF($AK395&lt;&gt;"Candidate","",COUNTIFS($AK$2:$AK$501,"Candidate",$N$2:$N$501,"&gt;"&amp;$N395)+COUNTIFS($AK$2:$AK$501,"Candidate",$N$2:$N$501,$N395,$A$2:$A$501,"&lt;"&amp;$A395)+1)</f>
        <v/>
      </c>
      <c r="AM395" s="65" t="str">
        <f aca="false">IF($AL395="","",SUMIFS($M$2:$M$501,$AK$2:$AK$501,"Candidate",$AL$2:$AL$501,"&lt;="&amp;$AL395))</f>
        <v/>
      </c>
      <c r="AN395" s="65" t="str">
        <f aca="false">IF($AL395="","",IF($AM395&lt;=CapacityOpen,"Fits","Below line"))</f>
        <v/>
      </c>
      <c r="AO395" s="65" t="str">
        <f aca="false">IF($A395="","",IF($X395="Closed","",IF($X395="Unmapped","Warning",IF(OR($AB395="Overdue",$V395="Y",$AH395="Critical"),"Critical",IF(OR($AB395="At risk",$AC395="Stale",$AG395="Over"),"Warning","")))))</f>
        <v/>
      </c>
      <c r="AP395" s="65" t="str">
        <f aca="false">IF($AO395="","",IF($AO395="Critical",3000,2000)-IF($Z395="",0,$Z395)+ROW()/100000)</f>
        <v/>
      </c>
      <c r="AQ395" s="65" t="str">
        <f aca="false">IF($AO395="","",IF($X395="Unmapped","Status '"&amp;$C395&amp;"' is not in the Config map",IF($V395="Y","Flagged in Jira",IF($AB395="Overdue",-$Z395&amp;" days past its "&amp;$X395&amp;" target",IF($AH395="Critical",$AI395,IF($AB395="At risk","Target in "&amp;$Z395&amp;" days",IF($AC395="Stale","No update in "&amp;$AA395&amp;" days","Past its "&amp;$AE395&amp;"-day tier window")))))))</f>
        <v/>
      </c>
      <c r="AR395" s="65" t="str">
        <f aca="false">IF($AO395="","","draft Jira update for "&amp;$A395)</f>
        <v/>
      </c>
      <c r="AS395" s="65" t="str">
        <f aca="false">IF($A395="","",HYPERLINK(JiraSite&amp;"/browse/"&amp;$A395,"open"))</f>
        <v/>
      </c>
      <c r="AT395" s="65" t="str">
        <f aca="false">IF($Y395="","",$Y395*1000+ROW())</f>
        <v/>
      </c>
      <c r="AU395" s="65" t="str">
        <f aca="false">IF(AND($A395&lt;&gt;"",$G395&gt;=WeekStart),$G395+ROW()/100000,"")</f>
        <v/>
      </c>
      <c r="AV395" s="65" t="str">
        <f aca="false">IF($A395="","",IF(OR(AND($S395&lt;&gt;"",$S395&gt;=WeekStart),AND($U395&lt;&gt;"",$U395&gt;=WeekStart)),MAX($S395,$U395)+ROW()/100000,""))</f>
        <v/>
      </c>
      <c r="AW395" s="65" t="str">
        <f aca="false">IF($AV395="","",IF($T395&lt;&gt;"",$T395,IF($X395="Closed","Closed","Accepted to "&amp;$X395)))</f>
        <v/>
      </c>
      <c r="AX395" s="65" t="str">
        <f aca="false">IF(AND($Y395&lt;&gt;"",$R395&lt;&gt;""),$AF395+ROW()/100000,"")</f>
        <v/>
      </c>
      <c r="AY395" s="65" t="str">
        <f aca="false">IF(AND($Y395&lt;&gt;"",OR($AB395="Overdue",AND($AH395="Critical",$R395&lt;&gt;""))),$AF395+ROW()/100000,"")</f>
        <v/>
      </c>
      <c r="AZ395" s="65" t="str">
        <f aca="false">IF($AH395="Critical",$AF395+ROW()/100000,"")</f>
        <v/>
      </c>
    </row>
    <row r="396" customFormat="false" ht="15" hidden="false" customHeight="false" outlineLevel="0" collapsed="false">
      <c r="A396" s="28"/>
      <c r="B396" s="28"/>
      <c r="C396" s="28"/>
      <c r="D396" s="28"/>
      <c r="E396" s="28"/>
      <c r="F396" s="28"/>
      <c r="G396" s="63"/>
      <c r="H396" s="63"/>
      <c r="I396" s="63"/>
      <c r="J396" s="28"/>
      <c r="K396" s="28"/>
      <c r="L396" s="28"/>
      <c r="M396" s="28"/>
      <c r="N396" s="28"/>
      <c r="O396" s="64"/>
      <c r="P396" s="64"/>
      <c r="Q396" s="64"/>
      <c r="R396" s="28"/>
      <c r="S396" s="63"/>
      <c r="T396" s="64"/>
      <c r="U396" s="63"/>
      <c r="V396" s="64"/>
      <c r="W396" s="28"/>
      <c r="X396" s="65" t="str">
        <f aca="false">IF($A396="","",IF(OR($T396&lt;&gt;"",$U396&lt;&gt;""),"Closed",IFERROR(INDEX(MapStage,MATCH($C396,MapStatus,0)),"Unmapped")))</f>
        <v/>
      </c>
      <c r="Y396" s="65" t="str">
        <f aca="false">IF(OR($X396="",$X396="Closed",$X396="Unmapped"),"",MATCH($X396,StageName,0))</f>
        <v/>
      </c>
      <c r="Z396" s="65" t="str">
        <f aca="false">IF(OR($Y396="",$I396=""),"",$I396-AsOf)</f>
        <v/>
      </c>
      <c r="AA396" s="65" t="str">
        <f aca="false">IF($A396="","",AsOf-$H396)</f>
        <v/>
      </c>
      <c r="AB396" s="65" t="str">
        <f aca="false">IF($A396="","",IF($X396="Closed","Closed",IF($X396="Unmapped","Unmapped",IF($I396="","No target",IF($Z396&lt;0,"Overdue",IF($Z396&lt;=INDEX(StageWindow,$Y396),"At risk","On track"))))))</f>
        <v/>
      </c>
      <c r="AC396" s="65" t="str">
        <f aca="false">IF($Y396="","",IF($AA396&gt;2*INDEX(StageStale,$Y396),"Stale",IF($AA396&gt;INDEX(StageStale,$Y396),"Aging","Fresh")))</f>
        <v/>
      </c>
      <c r="AD396" s="65" t="str">
        <f aca="false">IF($A396="","",IF(OR(ISNUMBER(SEARCH("Reg report",$J396)),ISNUMBER(SEARCH("No human review",$J396)),COUNTIF(TierFuncs,$D396)&gt;0),"High",IF(OR(TRIM($J396)&lt;&gt;"",ISNUMBER(SEARCH("revenue",$K396))),"Medium","Low")))</f>
        <v/>
      </c>
      <c r="AE396" s="65" t="str">
        <f aca="false">IF($A396="","",INDEX(TierDays,MATCH($AD396,TierName,0)))</f>
        <v/>
      </c>
      <c r="AF396" s="65" t="str">
        <f aca="false">IF($A396="","",AsOf-$G396)</f>
        <v/>
      </c>
      <c r="AG396" s="65" t="str">
        <f aca="false">IF($Y396="","",IF($Y396&lt;=5,IF($AF396&gt;$AE396,"Over","Inside"),"Past approval"))</f>
        <v/>
      </c>
      <c r="AH396" s="65" t="str">
        <f aca="false">IF($Y396="","",CHOOSE($Y396,IF(OR(TRIM($F396)="",ISNUMBER(SEARCH("not named",$F396))),"Critical","Good"),IF($O396&lt;&gt;"Y","Critical",IF($Q396&lt;&gt;"Y","Warning","Good")),IF($P396="","Critical",IF($P396="partial","Warning",IF($P396="ready","Good","Critical"))),IF($R396&lt;&gt;"","Critical","Warning"),IF($L396="","Critical",IF($N396="","Warning","Good")),IF($R396&lt;&gt;"","Critical","Warning"),IF($R396&lt;&gt;"","Critical","Warning"),IF($Q396="Y","Good","Critical")))</f>
        <v/>
      </c>
      <c r="AI396" s="65" t="str">
        <f aca="false">IF($Y396="","",CHOOSE($Y396,IF(OR(TRIM($F396)="",ISNUMBER(SEARCH("not named",$F396))),"Name a sponsor accountable for the value",""),IF($O396&lt;&gt;"Y","State the success metric and the stop condition",IF($Q396&lt;&gt;"Y","Set the baseline the benefit will be measured against","")),IF($P396="","Assess data readiness and regulatory impact",IF($P396="partial","Close the known data gaps",IF($P396="ready","","Data is not available; reshape or park"))),IF($R396&lt;&gt;"",IF(OR(ISNUMBER(SEARCH("mrm",$R396)),ISNUMBER(SEARCH("model",$R396)),ISNUMBER(SEARCH("risk",$R396)),ISNUMBER(SEARCH("legal",$R396)),ISNUMBER(SEARCH("complian",$R396))),"Awaiting ","Held at the design gate: ")&amp;$R396,"Map the governance framework for its tier"),IF($L396="","Size the annual benefit",IF($N396="","Score it so it can be ranked against capacity","")),IF($R396&lt;&gt;"","Build held: "&amp;$R396,"In build, not yet through test"),IF($R396&lt;&gt;"","Not ready to scale: "&amp;$R396,"Monitoring and third-party review not yet signed off"),IF($Q396="Y","","Live without a measured baseline to judge it against")))</f>
        <v/>
      </c>
      <c r="AJ396" s="65" t="str">
        <f aca="false">IF($Y396="","",INDEX(StageForum,$Y396))</f>
        <v/>
      </c>
      <c r="AK396" s="65" t="str">
        <f aca="false">IF($Y396="","",IF(OR($X396="Delivery",$X396="Value"),"Committed",IF($N396&lt;&gt;"","Candidate","")))</f>
        <v/>
      </c>
      <c r="AL396" s="65" t="str">
        <f aca="false">IF($AK396&lt;&gt;"Candidate","",COUNTIFS($AK$2:$AK$501,"Candidate",$N$2:$N$501,"&gt;"&amp;$N396)+COUNTIFS($AK$2:$AK$501,"Candidate",$N$2:$N$501,$N396,$A$2:$A$501,"&lt;"&amp;$A396)+1)</f>
        <v/>
      </c>
      <c r="AM396" s="65" t="str">
        <f aca="false">IF($AL396="","",SUMIFS($M$2:$M$501,$AK$2:$AK$501,"Candidate",$AL$2:$AL$501,"&lt;="&amp;$AL396))</f>
        <v/>
      </c>
      <c r="AN396" s="65" t="str">
        <f aca="false">IF($AL396="","",IF($AM396&lt;=CapacityOpen,"Fits","Below line"))</f>
        <v/>
      </c>
      <c r="AO396" s="65" t="str">
        <f aca="false">IF($A396="","",IF($X396="Closed","",IF($X396="Unmapped","Warning",IF(OR($AB396="Overdue",$V396="Y",$AH396="Critical"),"Critical",IF(OR($AB396="At risk",$AC396="Stale",$AG396="Over"),"Warning","")))))</f>
        <v/>
      </c>
      <c r="AP396" s="65" t="str">
        <f aca="false">IF($AO396="","",IF($AO396="Critical",3000,2000)-IF($Z396="",0,$Z396)+ROW()/100000)</f>
        <v/>
      </c>
      <c r="AQ396" s="65" t="str">
        <f aca="false">IF($AO396="","",IF($X396="Unmapped","Status '"&amp;$C396&amp;"' is not in the Config map",IF($V396="Y","Flagged in Jira",IF($AB396="Overdue",-$Z396&amp;" days past its "&amp;$X396&amp;" target",IF($AH396="Critical",$AI396,IF($AB396="At risk","Target in "&amp;$Z396&amp;" days",IF($AC396="Stale","No update in "&amp;$AA396&amp;" days","Past its "&amp;$AE396&amp;"-day tier window")))))))</f>
        <v/>
      </c>
      <c r="AR396" s="65" t="str">
        <f aca="false">IF($AO396="","","draft Jira update for "&amp;$A396)</f>
        <v/>
      </c>
      <c r="AS396" s="65" t="str">
        <f aca="false">IF($A396="","",HYPERLINK(JiraSite&amp;"/browse/"&amp;$A396,"open"))</f>
        <v/>
      </c>
      <c r="AT396" s="65" t="str">
        <f aca="false">IF($Y396="","",$Y396*1000+ROW())</f>
        <v/>
      </c>
      <c r="AU396" s="65" t="str">
        <f aca="false">IF(AND($A396&lt;&gt;"",$G396&gt;=WeekStart),$G396+ROW()/100000,"")</f>
        <v/>
      </c>
      <c r="AV396" s="65" t="str">
        <f aca="false">IF($A396="","",IF(OR(AND($S396&lt;&gt;"",$S396&gt;=WeekStart),AND($U396&lt;&gt;"",$U396&gt;=WeekStart)),MAX($S396,$U396)+ROW()/100000,""))</f>
        <v/>
      </c>
      <c r="AW396" s="65" t="str">
        <f aca="false">IF($AV396="","",IF($T396&lt;&gt;"",$T396,IF($X396="Closed","Closed","Accepted to "&amp;$X396)))</f>
        <v/>
      </c>
      <c r="AX396" s="65" t="str">
        <f aca="false">IF(AND($Y396&lt;&gt;"",$R396&lt;&gt;""),$AF396+ROW()/100000,"")</f>
        <v/>
      </c>
      <c r="AY396" s="65" t="str">
        <f aca="false">IF(AND($Y396&lt;&gt;"",OR($AB396="Overdue",AND($AH396="Critical",$R396&lt;&gt;""))),$AF396+ROW()/100000,"")</f>
        <v/>
      </c>
      <c r="AZ396" s="65" t="str">
        <f aca="false">IF($AH396="Critical",$AF396+ROW()/100000,"")</f>
        <v/>
      </c>
    </row>
    <row r="397" customFormat="false" ht="15" hidden="false" customHeight="false" outlineLevel="0" collapsed="false">
      <c r="A397" s="28"/>
      <c r="B397" s="28"/>
      <c r="C397" s="28"/>
      <c r="D397" s="28"/>
      <c r="E397" s="28"/>
      <c r="F397" s="28"/>
      <c r="G397" s="63"/>
      <c r="H397" s="63"/>
      <c r="I397" s="63"/>
      <c r="J397" s="28"/>
      <c r="K397" s="28"/>
      <c r="L397" s="28"/>
      <c r="M397" s="28"/>
      <c r="N397" s="28"/>
      <c r="O397" s="64"/>
      <c r="P397" s="64"/>
      <c r="Q397" s="64"/>
      <c r="R397" s="28"/>
      <c r="S397" s="63"/>
      <c r="T397" s="64"/>
      <c r="U397" s="63"/>
      <c r="V397" s="64"/>
      <c r="W397" s="28"/>
      <c r="X397" s="65" t="str">
        <f aca="false">IF($A397="","",IF(OR($T397&lt;&gt;"",$U397&lt;&gt;""),"Closed",IFERROR(INDEX(MapStage,MATCH($C397,MapStatus,0)),"Unmapped")))</f>
        <v/>
      </c>
      <c r="Y397" s="65" t="str">
        <f aca="false">IF(OR($X397="",$X397="Closed",$X397="Unmapped"),"",MATCH($X397,StageName,0))</f>
        <v/>
      </c>
      <c r="Z397" s="65" t="str">
        <f aca="false">IF(OR($Y397="",$I397=""),"",$I397-AsOf)</f>
        <v/>
      </c>
      <c r="AA397" s="65" t="str">
        <f aca="false">IF($A397="","",AsOf-$H397)</f>
        <v/>
      </c>
      <c r="AB397" s="65" t="str">
        <f aca="false">IF($A397="","",IF($X397="Closed","Closed",IF($X397="Unmapped","Unmapped",IF($I397="","No target",IF($Z397&lt;0,"Overdue",IF($Z397&lt;=INDEX(StageWindow,$Y397),"At risk","On track"))))))</f>
        <v/>
      </c>
      <c r="AC397" s="65" t="str">
        <f aca="false">IF($Y397="","",IF($AA397&gt;2*INDEX(StageStale,$Y397),"Stale",IF($AA397&gt;INDEX(StageStale,$Y397),"Aging","Fresh")))</f>
        <v/>
      </c>
      <c r="AD397" s="65" t="str">
        <f aca="false">IF($A397="","",IF(OR(ISNUMBER(SEARCH("Reg report",$J397)),ISNUMBER(SEARCH("No human review",$J397)),COUNTIF(TierFuncs,$D397)&gt;0),"High",IF(OR(TRIM($J397)&lt;&gt;"",ISNUMBER(SEARCH("revenue",$K397))),"Medium","Low")))</f>
        <v/>
      </c>
      <c r="AE397" s="65" t="str">
        <f aca="false">IF($A397="","",INDEX(TierDays,MATCH($AD397,TierName,0)))</f>
        <v/>
      </c>
      <c r="AF397" s="65" t="str">
        <f aca="false">IF($A397="","",AsOf-$G397)</f>
        <v/>
      </c>
      <c r="AG397" s="65" t="str">
        <f aca="false">IF($Y397="","",IF($Y397&lt;=5,IF($AF397&gt;$AE397,"Over","Inside"),"Past approval"))</f>
        <v/>
      </c>
      <c r="AH397" s="65" t="str">
        <f aca="false">IF($Y397="","",CHOOSE($Y397,IF(OR(TRIM($F397)="",ISNUMBER(SEARCH("not named",$F397))),"Critical","Good"),IF($O397&lt;&gt;"Y","Critical",IF($Q397&lt;&gt;"Y","Warning","Good")),IF($P397="","Critical",IF($P397="partial","Warning",IF($P397="ready","Good","Critical"))),IF($R397&lt;&gt;"","Critical","Warning"),IF($L397="","Critical",IF($N397="","Warning","Good")),IF($R397&lt;&gt;"","Critical","Warning"),IF($R397&lt;&gt;"","Critical","Warning"),IF($Q397="Y","Good","Critical")))</f>
        <v/>
      </c>
      <c r="AI397" s="65" t="str">
        <f aca="false">IF($Y397="","",CHOOSE($Y397,IF(OR(TRIM($F397)="",ISNUMBER(SEARCH("not named",$F397))),"Name a sponsor accountable for the value",""),IF($O397&lt;&gt;"Y","State the success metric and the stop condition",IF($Q397&lt;&gt;"Y","Set the baseline the benefit will be measured against","")),IF($P397="","Assess data readiness and regulatory impact",IF($P397="partial","Close the known data gaps",IF($P397="ready","","Data is not available; reshape or park"))),IF($R397&lt;&gt;"",IF(OR(ISNUMBER(SEARCH("mrm",$R397)),ISNUMBER(SEARCH("model",$R397)),ISNUMBER(SEARCH("risk",$R397)),ISNUMBER(SEARCH("legal",$R397)),ISNUMBER(SEARCH("complian",$R397))),"Awaiting ","Held at the design gate: ")&amp;$R397,"Map the governance framework for its tier"),IF($L397="","Size the annual benefit",IF($N397="","Score it so it can be ranked against capacity","")),IF($R397&lt;&gt;"","Build held: "&amp;$R397,"In build, not yet through test"),IF($R397&lt;&gt;"","Not ready to scale: "&amp;$R397,"Monitoring and third-party review not yet signed off"),IF($Q397="Y","","Live without a measured baseline to judge it against")))</f>
        <v/>
      </c>
      <c r="AJ397" s="65" t="str">
        <f aca="false">IF($Y397="","",INDEX(StageForum,$Y397))</f>
        <v/>
      </c>
      <c r="AK397" s="65" t="str">
        <f aca="false">IF($Y397="","",IF(OR($X397="Delivery",$X397="Value"),"Committed",IF($N397&lt;&gt;"","Candidate","")))</f>
        <v/>
      </c>
      <c r="AL397" s="65" t="str">
        <f aca="false">IF($AK397&lt;&gt;"Candidate","",COUNTIFS($AK$2:$AK$501,"Candidate",$N$2:$N$501,"&gt;"&amp;$N397)+COUNTIFS($AK$2:$AK$501,"Candidate",$N$2:$N$501,$N397,$A$2:$A$501,"&lt;"&amp;$A397)+1)</f>
        <v/>
      </c>
      <c r="AM397" s="65" t="str">
        <f aca="false">IF($AL397="","",SUMIFS($M$2:$M$501,$AK$2:$AK$501,"Candidate",$AL$2:$AL$501,"&lt;="&amp;$AL397))</f>
        <v/>
      </c>
      <c r="AN397" s="65" t="str">
        <f aca="false">IF($AL397="","",IF($AM397&lt;=CapacityOpen,"Fits","Below line"))</f>
        <v/>
      </c>
      <c r="AO397" s="65" t="str">
        <f aca="false">IF($A397="","",IF($X397="Closed","",IF($X397="Unmapped","Warning",IF(OR($AB397="Overdue",$V397="Y",$AH397="Critical"),"Critical",IF(OR($AB397="At risk",$AC397="Stale",$AG397="Over"),"Warning","")))))</f>
        <v/>
      </c>
      <c r="AP397" s="65" t="str">
        <f aca="false">IF($AO397="","",IF($AO397="Critical",3000,2000)-IF($Z397="",0,$Z397)+ROW()/100000)</f>
        <v/>
      </c>
      <c r="AQ397" s="65" t="str">
        <f aca="false">IF($AO397="","",IF($X397="Unmapped","Status '"&amp;$C397&amp;"' is not in the Config map",IF($V397="Y","Flagged in Jira",IF($AB397="Overdue",-$Z397&amp;" days past its "&amp;$X397&amp;" target",IF($AH397="Critical",$AI397,IF($AB397="At risk","Target in "&amp;$Z397&amp;" days",IF($AC397="Stale","No update in "&amp;$AA397&amp;" days","Past its "&amp;$AE397&amp;"-day tier window")))))))</f>
        <v/>
      </c>
      <c r="AR397" s="65" t="str">
        <f aca="false">IF($AO397="","","draft Jira update for "&amp;$A397)</f>
        <v/>
      </c>
      <c r="AS397" s="65" t="str">
        <f aca="false">IF($A397="","",HYPERLINK(JiraSite&amp;"/browse/"&amp;$A397,"open"))</f>
        <v/>
      </c>
      <c r="AT397" s="65" t="str">
        <f aca="false">IF($Y397="","",$Y397*1000+ROW())</f>
        <v/>
      </c>
      <c r="AU397" s="65" t="str">
        <f aca="false">IF(AND($A397&lt;&gt;"",$G397&gt;=WeekStart),$G397+ROW()/100000,"")</f>
        <v/>
      </c>
      <c r="AV397" s="65" t="str">
        <f aca="false">IF($A397="","",IF(OR(AND($S397&lt;&gt;"",$S397&gt;=WeekStart),AND($U397&lt;&gt;"",$U397&gt;=WeekStart)),MAX($S397,$U397)+ROW()/100000,""))</f>
        <v/>
      </c>
      <c r="AW397" s="65" t="str">
        <f aca="false">IF($AV397="","",IF($T397&lt;&gt;"",$T397,IF($X397="Closed","Closed","Accepted to "&amp;$X397)))</f>
        <v/>
      </c>
      <c r="AX397" s="65" t="str">
        <f aca="false">IF(AND($Y397&lt;&gt;"",$R397&lt;&gt;""),$AF397+ROW()/100000,"")</f>
        <v/>
      </c>
      <c r="AY397" s="65" t="str">
        <f aca="false">IF(AND($Y397&lt;&gt;"",OR($AB397="Overdue",AND($AH397="Critical",$R397&lt;&gt;""))),$AF397+ROW()/100000,"")</f>
        <v/>
      </c>
      <c r="AZ397" s="65" t="str">
        <f aca="false">IF($AH397="Critical",$AF397+ROW()/100000,"")</f>
        <v/>
      </c>
    </row>
    <row r="398" customFormat="false" ht="15" hidden="false" customHeight="false" outlineLevel="0" collapsed="false">
      <c r="A398" s="28"/>
      <c r="B398" s="28"/>
      <c r="C398" s="28"/>
      <c r="D398" s="28"/>
      <c r="E398" s="28"/>
      <c r="F398" s="28"/>
      <c r="G398" s="63"/>
      <c r="H398" s="63"/>
      <c r="I398" s="63"/>
      <c r="J398" s="28"/>
      <c r="K398" s="28"/>
      <c r="L398" s="28"/>
      <c r="M398" s="28"/>
      <c r="N398" s="28"/>
      <c r="O398" s="64"/>
      <c r="P398" s="64"/>
      <c r="Q398" s="64"/>
      <c r="R398" s="28"/>
      <c r="S398" s="63"/>
      <c r="T398" s="64"/>
      <c r="U398" s="63"/>
      <c r="V398" s="64"/>
      <c r="W398" s="28"/>
      <c r="X398" s="65" t="str">
        <f aca="false">IF($A398="","",IF(OR($T398&lt;&gt;"",$U398&lt;&gt;""),"Closed",IFERROR(INDEX(MapStage,MATCH($C398,MapStatus,0)),"Unmapped")))</f>
        <v/>
      </c>
      <c r="Y398" s="65" t="str">
        <f aca="false">IF(OR($X398="",$X398="Closed",$X398="Unmapped"),"",MATCH($X398,StageName,0))</f>
        <v/>
      </c>
      <c r="Z398" s="65" t="str">
        <f aca="false">IF(OR($Y398="",$I398=""),"",$I398-AsOf)</f>
        <v/>
      </c>
      <c r="AA398" s="65" t="str">
        <f aca="false">IF($A398="","",AsOf-$H398)</f>
        <v/>
      </c>
      <c r="AB398" s="65" t="str">
        <f aca="false">IF($A398="","",IF($X398="Closed","Closed",IF($X398="Unmapped","Unmapped",IF($I398="","No target",IF($Z398&lt;0,"Overdue",IF($Z398&lt;=INDEX(StageWindow,$Y398),"At risk","On track"))))))</f>
        <v/>
      </c>
      <c r="AC398" s="65" t="str">
        <f aca="false">IF($Y398="","",IF($AA398&gt;2*INDEX(StageStale,$Y398),"Stale",IF($AA398&gt;INDEX(StageStale,$Y398),"Aging","Fresh")))</f>
        <v/>
      </c>
      <c r="AD398" s="65" t="str">
        <f aca="false">IF($A398="","",IF(OR(ISNUMBER(SEARCH("Reg report",$J398)),ISNUMBER(SEARCH("No human review",$J398)),COUNTIF(TierFuncs,$D398)&gt;0),"High",IF(OR(TRIM($J398)&lt;&gt;"",ISNUMBER(SEARCH("revenue",$K398))),"Medium","Low")))</f>
        <v/>
      </c>
      <c r="AE398" s="65" t="str">
        <f aca="false">IF($A398="","",INDEX(TierDays,MATCH($AD398,TierName,0)))</f>
        <v/>
      </c>
      <c r="AF398" s="65" t="str">
        <f aca="false">IF($A398="","",AsOf-$G398)</f>
        <v/>
      </c>
      <c r="AG398" s="65" t="str">
        <f aca="false">IF($Y398="","",IF($Y398&lt;=5,IF($AF398&gt;$AE398,"Over","Inside"),"Past approval"))</f>
        <v/>
      </c>
      <c r="AH398" s="65" t="str">
        <f aca="false">IF($Y398="","",CHOOSE($Y398,IF(OR(TRIM($F398)="",ISNUMBER(SEARCH("not named",$F398))),"Critical","Good"),IF($O398&lt;&gt;"Y","Critical",IF($Q398&lt;&gt;"Y","Warning","Good")),IF($P398="","Critical",IF($P398="partial","Warning",IF($P398="ready","Good","Critical"))),IF($R398&lt;&gt;"","Critical","Warning"),IF($L398="","Critical",IF($N398="","Warning","Good")),IF($R398&lt;&gt;"","Critical","Warning"),IF($R398&lt;&gt;"","Critical","Warning"),IF($Q398="Y","Good","Critical")))</f>
        <v/>
      </c>
      <c r="AI398" s="65" t="str">
        <f aca="false">IF($Y398="","",CHOOSE($Y398,IF(OR(TRIM($F398)="",ISNUMBER(SEARCH("not named",$F398))),"Name a sponsor accountable for the value",""),IF($O398&lt;&gt;"Y","State the success metric and the stop condition",IF($Q398&lt;&gt;"Y","Set the baseline the benefit will be measured against","")),IF($P398="","Assess data readiness and regulatory impact",IF($P398="partial","Close the known data gaps",IF($P398="ready","","Data is not available; reshape or park"))),IF($R398&lt;&gt;"",IF(OR(ISNUMBER(SEARCH("mrm",$R398)),ISNUMBER(SEARCH("model",$R398)),ISNUMBER(SEARCH("risk",$R398)),ISNUMBER(SEARCH("legal",$R398)),ISNUMBER(SEARCH("complian",$R398))),"Awaiting ","Held at the design gate: ")&amp;$R398,"Map the governance framework for its tier"),IF($L398="","Size the annual benefit",IF($N398="","Score it so it can be ranked against capacity","")),IF($R398&lt;&gt;"","Build held: "&amp;$R398,"In build, not yet through test"),IF($R398&lt;&gt;"","Not ready to scale: "&amp;$R398,"Monitoring and third-party review not yet signed off"),IF($Q398="Y","","Live without a measured baseline to judge it against")))</f>
        <v/>
      </c>
      <c r="AJ398" s="65" t="str">
        <f aca="false">IF($Y398="","",INDEX(StageForum,$Y398))</f>
        <v/>
      </c>
      <c r="AK398" s="65" t="str">
        <f aca="false">IF($Y398="","",IF(OR($X398="Delivery",$X398="Value"),"Committed",IF($N398&lt;&gt;"","Candidate","")))</f>
        <v/>
      </c>
      <c r="AL398" s="65" t="str">
        <f aca="false">IF($AK398&lt;&gt;"Candidate","",COUNTIFS($AK$2:$AK$501,"Candidate",$N$2:$N$501,"&gt;"&amp;$N398)+COUNTIFS($AK$2:$AK$501,"Candidate",$N$2:$N$501,$N398,$A$2:$A$501,"&lt;"&amp;$A398)+1)</f>
        <v/>
      </c>
      <c r="AM398" s="65" t="str">
        <f aca="false">IF($AL398="","",SUMIFS($M$2:$M$501,$AK$2:$AK$501,"Candidate",$AL$2:$AL$501,"&lt;="&amp;$AL398))</f>
        <v/>
      </c>
      <c r="AN398" s="65" t="str">
        <f aca="false">IF($AL398="","",IF($AM398&lt;=CapacityOpen,"Fits","Below line"))</f>
        <v/>
      </c>
      <c r="AO398" s="65" t="str">
        <f aca="false">IF($A398="","",IF($X398="Closed","",IF($X398="Unmapped","Warning",IF(OR($AB398="Overdue",$V398="Y",$AH398="Critical"),"Critical",IF(OR($AB398="At risk",$AC398="Stale",$AG398="Over"),"Warning","")))))</f>
        <v/>
      </c>
      <c r="AP398" s="65" t="str">
        <f aca="false">IF($AO398="","",IF($AO398="Critical",3000,2000)-IF($Z398="",0,$Z398)+ROW()/100000)</f>
        <v/>
      </c>
      <c r="AQ398" s="65" t="str">
        <f aca="false">IF($AO398="","",IF($X398="Unmapped","Status '"&amp;$C398&amp;"' is not in the Config map",IF($V398="Y","Flagged in Jira",IF($AB398="Overdue",-$Z398&amp;" days past its "&amp;$X398&amp;" target",IF($AH398="Critical",$AI398,IF($AB398="At risk","Target in "&amp;$Z398&amp;" days",IF($AC398="Stale","No update in "&amp;$AA398&amp;" days","Past its "&amp;$AE398&amp;"-day tier window")))))))</f>
        <v/>
      </c>
      <c r="AR398" s="65" t="str">
        <f aca="false">IF($AO398="","","draft Jira update for "&amp;$A398)</f>
        <v/>
      </c>
      <c r="AS398" s="65" t="str">
        <f aca="false">IF($A398="","",HYPERLINK(JiraSite&amp;"/browse/"&amp;$A398,"open"))</f>
        <v/>
      </c>
      <c r="AT398" s="65" t="str">
        <f aca="false">IF($Y398="","",$Y398*1000+ROW())</f>
        <v/>
      </c>
      <c r="AU398" s="65" t="str">
        <f aca="false">IF(AND($A398&lt;&gt;"",$G398&gt;=WeekStart),$G398+ROW()/100000,"")</f>
        <v/>
      </c>
      <c r="AV398" s="65" t="str">
        <f aca="false">IF($A398="","",IF(OR(AND($S398&lt;&gt;"",$S398&gt;=WeekStart),AND($U398&lt;&gt;"",$U398&gt;=WeekStart)),MAX($S398,$U398)+ROW()/100000,""))</f>
        <v/>
      </c>
      <c r="AW398" s="65" t="str">
        <f aca="false">IF($AV398="","",IF($T398&lt;&gt;"",$T398,IF($X398="Closed","Closed","Accepted to "&amp;$X398)))</f>
        <v/>
      </c>
      <c r="AX398" s="65" t="str">
        <f aca="false">IF(AND($Y398&lt;&gt;"",$R398&lt;&gt;""),$AF398+ROW()/100000,"")</f>
        <v/>
      </c>
      <c r="AY398" s="65" t="str">
        <f aca="false">IF(AND($Y398&lt;&gt;"",OR($AB398="Overdue",AND($AH398="Critical",$R398&lt;&gt;""))),$AF398+ROW()/100000,"")</f>
        <v/>
      </c>
      <c r="AZ398" s="65" t="str">
        <f aca="false">IF($AH398="Critical",$AF398+ROW()/100000,"")</f>
        <v/>
      </c>
    </row>
    <row r="399" customFormat="false" ht="15" hidden="false" customHeight="false" outlineLevel="0" collapsed="false">
      <c r="A399" s="28"/>
      <c r="B399" s="28"/>
      <c r="C399" s="28"/>
      <c r="D399" s="28"/>
      <c r="E399" s="28"/>
      <c r="F399" s="28"/>
      <c r="G399" s="63"/>
      <c r="H399" s="63"/>
      <c r="I399" s="63"/>
      <c r="J399" s="28"/>
      <c r="K399" s="28"/>
      <c r="L399" s="28"/>
      <c r="M399" s="28"/>
      <c r="N399" s="28"/>
      <c r="O399" s="64"/>
      <c r="P399" s="64"/>
      <c r="Q399" s="64"/>
      <c r="R399" s="28"/>
      <c r="S399" s="63"/>
      <c r="T399" s="64"/>
      <c r="U399" s="63"/>
      <c r="V399" s="64"/>
      <c r="W399" s="28"/>
      <c r="X399" s="65" t="str">
        <f aca="false">IF($A399="","",IF(OR($T399&lt;&gt;"",$U399&lt;&gt;""),"Closed",IFERROR(INDEX(MapStage,MATCH($C399,MapStatus,0)),"Unmapped")))</f>
        <v/>
      </c>
      <c r="Y399" s="65" t="str">
        <f aca="false">IF(OR($X399="",$X399="Closed",$X399="Unmapped"),"",MATCH($X399,StageName,0))</f>
        <v/>
      </c>
      <c r="Z399" s="65" t="str">
        <f aca="false">IF(OR($Y399="",$I399=""),"",$I399-AsOf)</f>
        <v/>
      </c>
      <c r="AA399" s="65" t="str">
        <f aca="false">IF($A399="","",AsOf-$H399)</f>
        <v/>
      </c>
      <c r="AB399" s="65" t="str">
        <f aca="false">IF($A399="","",IF($X399="Closed","Closed",IF($X399="Unmapped","Unmapped",IF($I399="","No target",IF($Z399&lt;0,"Overdue",IF($Z399&lt;=INDEX(StageWindow,$Y399),"At risk","On track"))))))</f>
        <v/>
      </c>
      <c r="AC399" s="65" t="str">
        <f aca="false">IF($Y399="","",IF($AA399&gt;2*INDEX(StageStale,$Y399),"Stale",IF($AA399&gt;INDEX(StageStale,$Y399),"Aging","Fresh")))</f>
        <v/>
      </c>
      <c r="AD399" s="65" t="str">
        <f aca="false">IF($A399="","",IF(OR(ISNUMBER(SEARCH("Reg report",$J399)),ISNUMBER(SEARCH("No human review",$J399)),COUNTIF(TierFuncs,$D399)&gt;0),"High",IF(OR(TRIM($J399)&lt;&gt;"",ISNUMBER(SEARCH("revenue",$K399))),"Medium","Low")))</f>
        <v/>
      </c>
      <c r="AE399" s="65" t="str">
        <f aca="false">IF($A399="","",INDEX(TierDays,MATCH($AD399,TierName,0)))</f>
        <v/>
      </c>
      <c r="AF399" s="65" t="str">
        <f aca="false">IF($A399="","",AsOf-$G399)</f>
        <v/>
      </c>
      <c r="AG399" s="65" t="str">
        <f aca="false">IF($Y399="","",IF($Y399&lt;=5,IF($AF399&gt;$AE399,"Over","Inside"),"Past approval"))</f>
        <v/>
      </c>
      <c r="AH399" s="65" t="str">
        <f aca="false">IF($Y399="","",CHOOSE($Y399,IF(OR(TRIM($F399)="",ISNUMBER(SEARCH("not named",$F399))),"Critical","Good"),IF($O399&lt;&gt;"Y","Critical",IF($Q399&lt;&gt;"Y","Warning","Good")),IF($P399="","Critical",IF($P399="partial","Warning",IF($P399="ready","Good","Critical"))),IF($R399&lt;&gt;"","Critical","Warning"),IF($L399="","Critical",IF($N399="","Warning","Good")),IF($R399&lt;&gt;"","Critical","Warning"),IF($R399&lt;&gt;"","Critical","Warning"),IF($Q399="Y","Good","Critical")))</f>
        <v/>
      </c>
      <c r="AI399" s="65" t="str">
        <f aca="false">IF($Y399="","",CHOOSE($Y399,IF(OR(TRIM($F399)="",ISNUMBER(SEARCH("not named",$F399))),"Name a sponsor accountable for the value",""),IF($O399&lt;&gt;"Y","State the success metric and the stop condition",IF($Q399&lt;&gt;"Y","Set the baseline the benefit will be measured against","")),IF($P399="","Assess data readiness and regulatory impact",IF($P399="partial","Close the known data gaps",IF($P399="ready","","Data is not available; reshape or park"))),IF($R399&lt;&gt;"",IF(OR(ISNUMBER(SEARCH("mrm",$R399)),ISNUMBER(SEARCH("model",$R399)),ISNUMBER(SEARCH("risk",$R399)),ISNUMBER(SEARCH("legal",$R399)),ISNUMBER(SEARCH("complian",$R399))),"Awaiting ","Held at the design gate: ")&amp;$R399,"Map the governance framework for its tier"),IF($L399="","Size the annual benefit",IF($N399="","Score it so it can be ranked against capacity","")),IF($R399&lt;&gt;"","Build held: "&amp;$R399,"In build, not yet through test"),IF($R399&lt;&gt;"","Not ready to scale: "&amp;$R399,"Monitoring and third-party review not yet signed off"),IF($Q399="Y","","Live without a measured baseline to judge it against")))</f>
        <v/>
      </c>
      <c r="AJ399" s="65" t="str">
        <f aca="false">IF($Y399="","",INDEX(StageForum,$Y399))</f>
        <v/>
      </c>
      <c r="AK399" s="65" t="str">
        <f aca="false">IF($Y399="","",IF(OR($X399="Delivery",$X399="Value"),"Committed",IF($N399&lt;&gt;"","Candidate","")))</f>
        <v/>
      </c>
      <c r="AL399" s="65" t="str">
        <f aca="false">IF($AK399&lt;&gt;"Candidate","",COUNTIFS($AK$2:$AK$501,"Candidate",$N$2:$N$501,"&gt;"&amp;$N399)+COUNTIFS($AK$2:$AK$501,"Candidate",$N$2:$N$501,$N399,$A$2:$A$501,"&lt;"&amp;$A399)+1)</f>
        <v/>
      </c>
      <c r="AM399" s="65" t="str">
        <f aca="false">IF($AL399="","",SUMIFS($M$2:$M$501,$AK$2:$AK$501,"Candidate",$AL$2:$AL$501,"&lt;="&amp;$AL399))</f>
        <v/>
      </c>
      <c r="AN399" s="65" t="str">
        <f aca="false">IF($AL399="","",IF($AM399&lt;=CapacityOpen,"Fits","Below line"))</f>
        <v/>
      </c>
      <c r="AO399" s="65" t="str">
        <f aca="false">IF($A399="","",IF($X399="Closed","",IF($X399="Unmapped","Warning",IF(OR($AB399="Overdue",$V399="Y",$AH399="Critical"),"Critical",IF(OR($AB399="At risk",$AC399="Stale",$AG399="Over"),"Warning","")))))</f>
        <v/>
      </c>
      <c r="AP399" s="65" t="str">
        <f aca="false">IF($AO399="","",IF($AO399="Critical",3000,2000)-IF($Z399="",0,$Z399)+ROW()/100000)</f>
        <v/>
      </c>
      <c r="AQ399" s="65" t="str">
        <f aca="false">IF($AO399="","",IF($X399="Unmapped","Status '"&amp;$C399&amp;"' is not in the Config map",IF($V399="Y","Flagged in Jira",IF($AB399="Overdue",-$Z399&amp;" days past its "&amp;$X399&amp;" target",IF($AH399="Critical",$AI399,IF($AB399="At risk","Target in "&amp;$Z399&amp;" days",IF($AC399="Stale","No update in "&amp;$AA399&amp;" days","Past its "&amp;$AE399&amp;"-day tier window")))))))</f>
        <v/>
      </c>
      <c r="AR399" s="65" t="str">
        <f aca="false">IF($AO399="","","draft Jira update for "&amp;$A399)</f>
        <v/>
      </c>
      <c r="AS399" s="65" t="str">
        <f aca="false">IF($A399="","",HYPERLINK(JiraSite&amp;"/browse/"&amp;$A399,"open"))</f>
        <v/>
      </c>
      <c r="AT399" s="65" t="str">
        <f aca="false">IF($Y399="","",$Y399*1000+ROW())</f>
        <v/>
      </c>
      <c r="AU399" s="65" t="str">
        <f aca="false">IF(AND($A399&lt;&gt;"",$G399&gt;=WeekStart),$G399+ROW()/100000,"")</f>
        <v/>
      </c>
      <c r="AV399" s="65" t="str">
        <f aca="false">IF($A399="","",IF(OR(AND($S399&lt;&gt;"",$S399&gt;=WeekStart),AND($U399&lt;&gt;"",$U399&gt;=WeekStart)),MAX($S399,$U399)+ROW()/100000,""))</f>
        <v/>
      </c>
      <c r="AW399" s="65" t="str">
        <f aca="false">IF($AV399="","",IF($T399&lt;&gt;"",$T399,IF($X399="Closed","Closed","Accepted to "&amp;$X399)))</f>
        <v/>
      </c>
      <c r="AX399" s="65" t="str">
        <f aca="false">IF(AND($Y399&lt;&gt;"",$R399&lt;&gt;""),$AF399+ROW()/100000,"")</f>
        <v/>
      </c>
      <c r="AY399" s="65" t="str">
        <f aca="false">IF(AND($Y399&lt;&gt;"",OR($AB399="Overdue",AND($AH399="Critical",$R399&lt;&gt;""))),$AF399+ROW()/100000,"")</f>
        <v/>
      </c>
      <c r="AZ399" s="65" t="str">
        <f aca="false">IF($AH399="Critical",$AF399+ROW()/100000,"")</f>
        <v/>
      </c>
    </row>
    <row r="400" customFormat="false" ht="15" hidden="false" customHeight="false" outlineLevel="0" collapsed="false">
      <c r="A400" s="28"/>
      <c r="B400" s="28"/>
      <c r="C400" s="28"/>
      <c r="D400" s="28"/>
      <c r="E400" s="28"/>
      <c r="F400" s="28"/>
      <c r="G400" s="63"/>
      <c r="H400" s="63"/>
      <c r="I400" s="63"/>
      <c r="J400" s="28"/>
      <c r="K400" s="28"/>
      <c r="L400" s="28"/>
      <c r="M400" s="28"/>
      <c r="N400" s="28"/>
      <c r="O400" s="64"/>
      <c r="P400" s="64"/>
      <c r="Q400" s="64"/>
      <c r="R400" s="28"/>
      <c r="S400" s="63"/>
      <c r="T400" s="64"/>
      <c r="U400" s="63"/>
      <c r="V400" s="64"/>
      <c r="W400" s="28"/>
      <c r="X400" s="65" t="str">
        <f aca="false">IF($A400="","",IF(OR($T400&lt;&gt;"",$U400&lt;&gt;""),"Closed",IFERROR(INDEX(MapStage,MATCH($C400,MapStatus,0)),"Unmapped")))</f>
        <v/>
      </c>
      <c r="Y400" s="65" t="str">
        <f aca="false">IF(OR($X400="",$X400="Closed",$X400="Unmapped"),"",MATCH($X400,StageName,0))</f>
        <v/>
      </c>
      <c r="Z400" s="65" t="str">
        <f aca="false">IF(OR($Y400="",$I400=""),"",$I400-AsOf)</f>
        <v/>
      </c>
      <c r="AA400" s="65" t="str">
        <f aca="false">IF($A400="","",AsOf-$H400)</f>
        <v/>
      </c>
      <c r="AB400" s="65" t="str">
        <f aca="false">IF($A400="","",IF($X400="Closed","Closed",IF($X400="Unmapped","Unmapped",IF($I400="","No target",IF($Z400&lt;0,"Overdue",IF($Z400&lt;=INDEX(StageWindow,$Y400),"At risk","On track"))))))</f>
        <v/>
      </c>
      <c r="AC400" s="65" t="str">
        <f aca="false">IF($Y400="","",IF($AA400&gt;2*INDEX(StageStale,$Y400),"Stale",IF($AA400&gt;INDEX(StageStale,$Y400),"Aging","Fresh")))</f>
        <v/>
      </c>
      <c r="AD400" s="65" t="str">
        <f aca="false">IF($A400="","",IF(OR(ISNUMBER(SEARCH("Reg report",$J400)),ISNUMBER(SEARCH("No human review",$J400)),COUNTIF(TierFuncs,$D400)&gt;0),"High",IF(OR(TRIM($J400)&lt;&gt;"",ISNUMBER(SEARCH("revenue",$K400))),"Medium","Low")))</f>
        <v/>
      </c>
      <c r="AE400" s="65" t="str">
        <f aca="false">IF($A400="","",INDEX(TierDays,MATCH($AD400,TierName,0)))</f>
        <v/>
      </c>
      <c r="AF400" s="65" t="str">
        <f aca="false">IF($A400="","",AsOf-$G400)</f>
        <v/>
      </c>
      <c r="AG400" s="65" t="str">
        <f aca="false">IF($Y400="","",IF($Y400&lt;=5,IF($AF400&gt;$AE400,"Over","Inside"),"Past approval"))</f>
        <v/>
      </c>
      <c r="AH400" s="65" t="str">
        <f aca="false">IF($Y400="","",CHOOSE($Y400,IF(OR(TRIM($F400)="",ISNUMBER(SEARCH("not named",$F400))),"Critical","Good"),IF($O400&lt;&gt;"Y","Critical",IF($Q400&lt;&gt;"Y","Warning","Good")),IF($P400="","Critical",IF($P400="partial","Warning",IF($P400="ready","Good","Critical"))),IF($R400&lt;&gt;"","Critical","Warning"),IF($L400="","Critical",IF($N400="","Warning","Good")),IF($R400&lt;&gt;"","Critical","Warning"),IF($R400&lt;&gt;"","Critical","Warning"),IF($Q400="Y","Good","Critical")))</f>
        <v/>
      </c>
      <c r="AI400" s="65" t="str">
        <f aca="false">IF($Y400="","",CHOOSE($Y400,IF(OR(TRIM($F400)="",ISNUMBER(SEARCH("not named",$F400))),"Name a sponsor accountable for the value",""),IF($O400&lt;&gt;"Y","State the success metric and the stop condition",IF($Q400&lt;&gt;"Y","Set the baseline the benefit will be measured against","")),IF($P400="","Assess data readiness and regulatory impact",IF($P400="partial","Close the known data gaps",IF($P400="ready","","Data is not available; reshape or park"))),IF($R400&lt;&gt;"",IF(OR(ISNUMBER(SEARCH("mrm",$R400)),ISNUMBER(SEARCH("model",$R400)),ISNUMBER(SEARCH("risk",$R400)),ISNUMBER(SEARCH("legal",$R400)),ISNUMBER(SEARCH("complian",$R400))),"Awaiting ","Held at the design gate: ")&amp;$R400,"Map the governance framework for its tier"),IF($L400="","Size the annual benefit",IF($N400="","Score it so it can be ranked against capacity","")),IF($R400&lt;&gt;"","Build held: "&amp;$R400,"In build, not yet through test"),IF($R400&lt;&gt;"","Not ready to scale: "&amp;$R400,"Monitoring and third-party review not yet signed off"),IF($Q400="Y","","Live without a measured baseline to judge it against")))</f>
        <v/>
      </c>
      <c r="AJ400" s="65" t="str">
        <f aca="false">IF($Y400="","",INDEX(StageForum,$Y400))</f>
        <v/>
      </c>
      <c r="AK400" s="65" t="str">
        <f aca="false">IF($Y400="","",IF(OR($X400="Delivery",$X400="Value"),"Committed",IF($N400&lt;&gt;"","Candidate","")))</f>
        <v/>
      </c>
      <c r="AL400" s="65" t="str">
        <f aca="false">IF($AK400&lt;&gt;"Candidate","",COUNTIFS($AK$2:$AK$501,"Candidate",$N$2:$N$501,"&gt;"&amp;$N400)+COUNTIFS($AK$2:$AK$501,"Candidate",$N$2:$N$501,$N400,$A$2:$A$501,"&lt;"&amp;$A400)+1)</f>
        <v/>
      </c>
      <c r="AM400" s="65" t="str">
        <f aca="false">IF($AL400="","",SUMIFS($M$2:$M$501,$AK$2:$AK$501,"Candidate",$AL$2:$AL$501,"&lt;="&amp;$AL400))</f>
        <v/>
      </c>
      <c r="AN400" s="65" t="str">
        <f aca="false">IF($AL400="","",IF($AM400&lt;=CapacityOpen,"Fits","Below line"))</f>
        <v/>
      </c>
      <c r="AO400" s="65" t="str">
        <f aca="false">IF($A400="","",IF($X400="Closed","",IF($X400="Unmapped","Warning",IF(OR($AB400="Overdue",$V400="Y",$AH400="Critical"),"Critical",IF(OR($AB400="At risk",$AC400="Stale",$AG400="Over"),"Warning","")))))</f>
        <v/>
      </c>
      <c r="AP400" s="65" t="str">
        <f aca="false">IF($AO400="","",IF($AO400="Critical",3000,2000)-IF($Z400="",0,$Z400)+ROW()/100000)</f>
        <v/>
      </c>
      <c r="AQ400" s="65" t="str">
        <f aca="false">IF($AO400="","",IF($X400="Unmapped","Status '"&amp;$C400&amp;"' is not in the Config map",IF($V400="Y","Flagged in Jira",IF($AB400="Overdue",-$Z400&amp;" days past its "&amp;$X400&amp;" target",IF($AH400="Critical",$AI400,IF($AB400="At risk","Target in "&amp;$Z400&amp;" days",IF($AC400="Stale","No update in "&amp;$AA400&amp;" days","Past its "&amp;$AE400&amp;"-day tier window")))))))</f>
        <v/>
      </c>
      <c r="AR400" s="65" t="str">
        <f aca="false">IF($AO400="","","draft Jira update for "&amp;$A400)</f>
        <v/>
      </c>
      <c r="AS400" s="65" t="str">
        <f aca="false">IF($A400="","",HYPERLINK(JiraSite&amp;"/browse/"&amp;$A400,"open"))</f>
        <v/>
      </c>
      <c r="AT400" s="65" t="str">
        <f aca="false">IF($Y400="","",$Y400*1000+ROW())</f>
        <v/>
      </c>
      <c r="AU400" s="65" t="str">
        <f aca="false">IF(AND($A400&lt;&gt;"",$G400&gt;=WeekStart),$G400+ROW()/100000,"")</f>
        <v/>
      </c>
      <c r="AV400" s="65" t="str">
        <f aca="false">IF($A400="","",IF(OR(AND($S400&lt;&gt;"",$S400&gt;=WeekStart),AND($U400&lt;&gt;"",$U400&gt;=WeekStart)),MAX($S400,$U400)+ROW()/100000,""))</f>
        <v/>
      </c>
      <c r="AW400" s="65" t="str">
        <f aca="false">IF($AV400="","",IF($T400&lt;&gt;"",$T400,IF($X400="Closed","Closed","Accepted to "&amp;$X400)))</f>
        <v/>
      </c>
      <c r="AX400" s="65" t="str">
        <f aca="false">IF(AND($Y400&lt;&gt;"",$R400&lt;&gt;""),$AF400+ROW()/100000,"")</f>
        <v/>
      </c>
      <c r="AY400" s="65" t="str">
        <f aca="false">IF(AND($Y400&lt;&gt;"",OR($AB400="Overdue",AND($AH400="Critical",$R400&lt;&gt;""))),$AF400+ROW()/100000,"")</f>
        <v/>
      </c>
      <c r="AZ400" s="65" t="str">
        <f aca="false">IF($AH400="Critical",$AF400+ROW()/100000,"")</f>
        <v/>
      </c>
    </row>
    <row r="401" customFormat="false" ht="15" hidden="false" customHeight="false" outlineLevel="0" collapsed="false">
      <c r="A401" s="28"/>
      <c r="B401" s="28"/>
      <c r="C401" s="28"/>
      <c r="D401" s="28"/>
      <c r="E401" s="28"/>
      <c r="F401" s="28"/>
      <c r="G401" s="63"/>
      <c r="H401" s="63"/>
      <c r="I401" s="63"/>
      <c r="J401" s="28"/>
      <c r="K401" s="28"/>
      <c r="L401" s="28"/>
      <c r="M401" s="28"/>
      <c r="N401" s="28"/>
      <c r="O401" s="64"/>
      <c r="P401" s="64"/>
      <c r="Q401" s="64"/>
      <c r="R401" s="28"/>
      <c r="S401" s="63"/>
      <c r="T401" s="64"/>
      <c r="U401" s="63"/>
      <c r="V401" s="64"/>
      <c r="W401" s="28"/>
      <c r="X401" s="65" t="str">
        <f aca="false">IF($A401="","",IF(OR($T401&lt;&gt;"",$U401&lt;&gt;""),"Closed",IFERROR(INDEX(MapStage,MATCH($C401,MapStatus,0)),"Unmapped")))</f>
        <v/>
      </c>
      <c r="Y401" s="65" t="str">
        <f aca="false">IF(OR($X401="",$X401="Closed",$X401="Unmapped"),"",MATCH($X401,StageName,0))</f>
        <v/>
      </c>
      <c r="Z401" s="65" t="str">
        <f aca="false">IF(OR($Y401="",$I401=""),"",$I401-AsOf)</f>
        <v/>
      </c>
      <c r="AA401" s="65" t="str">
        <f aca="false">IF($A401="","",AsOf-$H401)</f>
        <v/>
      </c>
      <c r="AB401" s="65" t="str">
        <f aca="false">IF($A401="","",IF($X401="Closed","Closed",IF($X401="Unmapped","Unmapped",IF($I401="","No target",IF($Z401&lt;0,"Overdue",IF($Z401&lt;=INDEX(StageWindow,$Y401),"At risk","On track"))))))</f>
        <v/>
      </c>
      <c r="AC401" s="65" t="str">
        <f aca="false">IF($Y401="","",IF($AA401&gt;2*INDEX(StageStale,$Y401),"Stale",IF($AA401&gt;INDEX(StageStale,$Y401),"Aging","Fresh")))</f>
        <v/>
      </c>
      <c r="AD401" s="65" t="str">
        <f aca="false">IF($A401="","",IF(OR(ISNUMBER(SEARCH("Reg report",$J401)),ISNUMBER(SEARCH("No human review",$J401)),COUNTIF(TierFuncs,$D401)&gt;0),"High",IF(OR(TRIM($J401)&lt;&gt;"",ISNUMBER(SEARCH("revenue",$K401))),"Medium","Low")))</f>
        <v/>
      </c>
      <c r="AE401" s="65" t="str">
        <f aca="false">IF($A401="","",INDEX(TierDays,MATCH($AD401,TierName,0)))</f>
        <v/>
      </c>
      <c r="AF401" s="65" t="str">
        <f aca="false">IF($A401="","",AsOf-$G401)</f>
        <v/>
      </c>
      <c r="AG401" s="65" t="str">
        <f aca="false">IF($Y401="","",IF($Y401&lt;=5,IF($AF401&gt;$AE401,"Over","Inside"),"Past approval"))</f>
        <v/>
      </c>
      <c r="AH401" s="65" t="str">
        <f aca="false">IF($Y401="","",CHOOSE($Y401,IF(OR(TRIM($F401)="",ISNUMBER(SEARCH("not named",$F401))),"Critical","Good"),IF($O401&lt;&gt;"Y","Critical",IF($Q401&lt;&gt;"Y","Warning","Good")),IF($P401="","Critical",IF($P401="partial","Warning",IF($P401="ready","Good","Critical"))),IF($R401&lt;&gt;"","Critical","Warning"),IF($L401="","Critical",IF($N401="","Warning","Good")),IF($R401&lt;&gt;"","Critical","Warning"),IF($R401&lt;&gt;"","Critical","Warning"),IF($Q401="Y","Good","Critical")))</f>
        <v/>
      </c>
      <c r="AI401" s="65" t="str">
        <f aca="false">IF($Y401="","",CHOOSE($Y401,IF(OR(TRIM($F401)="",ISNUMBER(SEARCH("not named",$F401))),"Name a sponsor accountable for the value",""),IF($O401&lt;&gt;"Y","State the success metric and the stop condition",IF($Q401&lt;&gt;"Y","Set the baseline the benefit will be measured against","")),IF($P401="","Assess data readiness and regulatory impact",IF($P401="partial","Close the known data gaps",IF($P401="ready","","Data is not available; reshape or park"))),IF($R401&lt;&gt;"",IF(OR(ISNUMBER(SEARCH("mrm",$R401)),ISNUMBER(SEARCH("model",$R401)),ISNUMBER(SEARCH("risk",$R401)),ISNUMBER(SEARCH("legal",$R401)),ISNUMBER(SEARCH("complian",$R401))),"Awaiting ","Held at the design gate: ")&amp;$R401,"Map the governance framework for its tier"),IF($L401="","Size the annual benefit",IF($N401="","Score it so it can be ranked against capacity","")),IF($R401&lt;&gt;"","Build held: "&amp;$R401,"In build, not yet through test"),IF($R401&lt;&gt;"","Not ready to scale: "&amp;$R401,"Monitoring and third-party review not yet signed off"),IF($Q401="Y","","Live without a measured baseline to judge it against")))</f>
        <v/>
      </c>
      <c r="AJ401" s="65" t="str">
        <f aca="false">IF($Y401="","",INDEX(StageForum,$Y401))</f>
        <v/>
      </c>
      <c r="AK401" s="65" t="str">
        <f aca="false">IF($Y401="","",IF(OR($X401="Delivery",$X401="Value"),"Committed",IF($N401&lt;&gt;"","Candidate","")))</f>
        <v/>
      </c>
      <c r="AL401" s="65" t="str">
        <f aca="false">IF($AK401&lt;&gt;"Candidate","",COUNTIFS($AK$2:$AK$501,"Candidate",$N$2:$N$501,"&gt;"&amp;$N401)+COUNTIFS($AK$2:$AK$501,"Candidate",$N$2:$N$501,$N401,$A$2:$A$501,"&lt;"&amp;$A401)+1)</f>
        <v/>
      </c>
      <c r="AM401" s="65" t="str">
        <f aca="false">IF($AL401="","",SUMIFS($M$2:$M$501,$AK$2:$AK$501,"Candidate",$AL$2:$AL$501,"&lt;="&amp;$AL401))</f>
        <v/>
      </c>
      <c r="AN401" s="65" t="str">
        <f aca="false">IF($AL401="","",IF($AM401&lt;=CapacityOpen,"Fits","Below line"))</f>
        <v/>
      </c>
      <c r="AO401" s="65" t="str">
        <f aca="false">IF($A401="","",IF($X401="Closed","",IF($X401="Unmapped","Warning",IF(OR($AB401="Overdue",$V401="Y",$AH401="Critical"),"Critical",IF(OR($AB401="At risk",$AC401="Stale",$AG401="Over"),"Warning","")))))</f>
        <v/>
      </c>
      <c r="AP401" s="65" t="str">
        <f aca="false">IF($AO401="","",IF($AO401="Critical",3000,2000)-IF($Z401="",0,$Z401)+ROW()/100000)</f>
        <v/>
      </c>
      <c r="AQ401" s="65" t="str">
        <f aca="false">IF($AO401="","",IF($X401="Unmapped","Status '"&amp;$C401&amp;"' is not in the Config map",IF($V401="Y","Flagged in Jira",IF($AB401="Overdue",-$Z401&amp;" days past its "&amp;$X401&amp;" target",IF($AH401="Critical",$AI401,IF($AB401="At risk","Target in "&amp;$Z401&amp;" days",IF($AC401="Stale","No update in "&amp;$AA401&amp;" days","Past its "&amp;$AE401&amp;"-day tier window")))))))</f>
        <v/>
      </c>
      <c r="AR401" s="65" t="str">
        <f aca="false">IF($AO401="","","draft Jira update for "&amp;$A401)</f>
        <v/>
      </c>
      <c r="AS401" s="65" t="str">
        <f aca="false">IF($A401="","",HYPERLINK(JiraSite&amp;"/browse/"&amp;$A401,"open"))</f>
        <v/>
      </c>
      <c r="AT401" s="65" t="str">
        <f aca="false">IF($Y401="","",$Y401*1000+ROW())</f>
        <v/>
      </c>
      <c r="AU401" s="65" t="str">
        <f aca="false">IF(AND($A401&lt;&gt;"",$G401&gt;=WeekStart),$G401+ROW()/100000,"")</f>
        <v/>
      </c>
      <c r="AV401" s="65" t="str">
        <f aca="false">IF($A401="","",IF(OR(AND($S401&lt;&gt;"",$S401&gt;=WeekStart),AND($U401&lt;&gt;"",$U401&gt;=WeekStart)),MAX($S401,$U401)+ROW()/100000,""))</f>
        <v/>
      </c>
      <c r="AW401" s="65" t="str">
        <f aca="false">IF($AV401="","",IF($T401&lt;&gt;"",$T401,IF($X401="Closed","Closed","Accepted to "&amp;$X401)))</f>
        <v/>
      </c>
      <c r="AX401" s="65" t="str">
        <f aca="false">IF(AND($Y401&lt;&gt;"",$R401&lt;&gt;""),$AF401+ROW()/100000,"")</f>
        <v/>
      </c>
      <c r="AY401" s="65" t="str">
        <f aca="false">IF(AND($Y401&lt;&gt;"",OR($AB401="Overdue",AND($AH401="Critical",$R401&lt;&gt;""))),$AF401+ROW()/100000,"")</f>
        <v/>
      </c>
      <c r="AZ401" s="65" t="str">
        <f aca="false">IF($AH401="Critical",$AF401+ROW()/100000,"")</f>
        <v/>
      </c>
    </row>
    <row r="402" customFormat="false" ht="15" hidden="false" customHeight="false" outlineLevel="0" collapsed="false">
      <c r="A402" s="28"/>
      <c r="B402" s="28"/>
      <c r="C402" s="28"/>
      <c r="D402" s="28"/>
      <c r="E402" s="28"/>
      <c r="F402" s="28"/>
      <c r="G402" s="63"/>
      <c r="H402" s="63"/>
      <c r="I402" s="63"/>
      <c r="J402" s="28"/>
      <c r="K402" s="28"/>
      <c r="L402" s="28"/>
      <c r="M402" s="28"/>
      <c r="N402" s="28"/>
      <c r="O402" s="64"/>
      <c r="P402" s="64"/>
      <c r="Q402" s="64"/>
      <c r="R402" s="28"/>
      <c r="S402" s="63"/>
      <c r="T402" s="64"/>
      <c r="U402" s="63"/>
      <c r="V402" s="64"/>
      <c r="W402" s="28"/>
      <c r="X402" s="65" t="str">
        <f aca="false">IF($A402="","",IF(OR($T402&lt;&gt;"",$U402&lt;&gt;""),"Closed",IFERROR(INDEX(MapStage,MATCH($C402,MapStatus,0)),"Unmapped")))</f>
        <v/>
      </c>
      <c r="Y402" s="65" t="str">
        <f aca="false">IF(OR($X402="",$X402="Closed",$X402="Unmapped"),"",MATCH($X402,StageName,0))</f>
        <v/>
      </c>
      <c r="Z402" s="65" t="str">
        <f aca="false">IF(OR($Y402="",$I402=""),"",$I402-AsOf)</f>
        <v/>
      </c>
      <c r="AA402" s="65" t="str">
        <f aca="false">IF($A402="","",AsOf-$H402)</f>
        <v/>
      </c>
      <c r="AB402" s="65" t="str">
        <f aca="false">IF($A402="","",IF($X402="Closed","Closed",IF($X402="Unmapped","Unmapped",IF($I402="","No target",IF($Z402&lt;0,"Overdue",IF($Z402&lt;=INDEX(StageWindow,$Y402),"At risk","On track"))))))</f>
        <v/>
      </c>
      <c r="AC402" s="65" t="str">
        <f aca="false">IF($Y402="","",IF($AA402&gt;2*INDEX(StageStale,$Y402),"Stale",IF($AA402&gt;INDEX(StageStale,$Y402),"Aging","Fresh")))</f>
        <v/>
      </c>
      <c r="AD402" s="65" t="str">
        <f aca="false">IF($A402="","",IF(OR(ISNUMBER(SEARCH("Reg report",$J402)),ISNUMBER(SEARCH("No human review",$J402)),COUNTIF(TierFuncs,$D402)&gt;0),"High",IF(OR(TRIM($J402)&lt;&gt;"",ISNUMBER(SEARCH("revenue",$K402))),"Medium","Low")))</f>
        <v/>
      </c>
      <c r="AE402" s="65" t="str">
        <f aca="false">IF($A402="","",INDEX(TierDays,MATCH($AD402,TierName,0)))</f>
        <v/>
      </c>
      <c r="AF402" s="65" t="str">
        <f aca="false">IF($A402="","",AsOf-$G402)</f>
        <v/>
      </c>
      <c r="AG402" s="65" t="str">
        <f aca="false">IF($Y402="","",IF($Y402&lt;=5,IF($AF402&gt;$AE402,"Over","Inside"),"Past approval"))</f>
        <v/>
      </c>
      <c r="AH402" s="65" t="str">
        <f aca="false">IF($Y402="","",CHOOSE($Y402,IF(OR(TRIM($F402)="",ISNUMBER(SEARCH("not named",$F402))),"Critical","Good"),IF($O402&lt;&gt;"Y","Critical",IF($Q402&lt;&gt;"Y","Warning","Good")),IF($P402="","Critical",IF($P402="partial","Warning",IF($P402="ready","Good","Critical"))),IF($R402&lt;&gt;"","Critical","Warning"),IF($L402="","Critical",IF($N402="","Warning","Good")),IF($R402&lt;&gt;"","Critical","Warning"),IF($R402&lt;&gt;"","Critical","Warning"),IF($Q402="Y","Good","Critical")))</f>
        <v/>
      </c>
      <c r="AI402" s="65" t="str">
        <f aca="false">IF($Y402="","",CHOOSE($Y402,IF(OR(TRIM($F402)="",ISNUMBER(SEARCH("not named",$F402))),"Name a sponsor accountable for the value",""),IF($O402&lt;&gt;"Y","State the success metric and the stop condition",IF($Q402&lt;&gt;"Y","Set the baseline the benefit will be measured against","")),IF($P402="","Assess data readiness and regulatory impact",IF($P402="partial","Close the known data gaps",IF($P402="ready","","Data is not available; reshape or park"))),IF($R402&lt;&gt;"",IF(OR(ISNUMBER(SEARCH("mrm",$R402)),ISNUMBER(SEARCH("model",$R402)),ISNUMBER(SEARCH("risk",$R402)),ISNUMBER(SEARCH("legal",$R402)),ISNUMBER(SEARCH("complian",$R402))),"Awaiting ","Held at the design gate: ")&amp;$R402,"Map the governance framework for its tier"),IF($L402="","Size the annual benefit",IF($N402="","Score it so it can be ranked against capacity","")),IF($R402&lt;&gt;"","Build held: "&amp;$R402,"In build, not yet through test"),IF($R402&lt;&gt;"","Not ready to scale: "&amp;$R402,"Monitoring and third-party review not yet signed off"),IF($Q402="Y","","Live without a measured baseline to judge it against")))</f>
        <v/>
      </c>
      <c r="AJ402" s="65" t="str">
        <f aca="false">IF($Y402="","",INDEX(StageForum,$Y402))</f>
        <v/>
      </c>
      <c r="AK402" s="65" t="str">
        <f aca="false">IF($Y402="","",IF(OR($X402="Delivery",$X402="Value"),"Committed",IF($N402&lt;&gt;"","Candidate","")))</f>
        <v/>
      </c>
      <c r="AL402" s="65" t="str">
        <f aca="false">IF($AK402&lt;&gt;"Candidate","",COUNTIFS($AK$2:$AK$501,"Candidate",$N$2:$N$501,"&gt;"&amp;$N402)+COUNTIFS($AK$2:$AK$501,"Candidate",$N$2:$N$501,$N402,$A$2:$A$501,"&lt;"&amp;$A402)+1)</f>
        <v/>
      </c>
      <c r="AM402" s="65" t="str">
        <f aca="false">IF($AL402="","",SUMIFS($M$2:$M$501,$AK$2:$AK$501,"Candidate",$AL$2:$AL$501,"&lt;="&amp;$AL402))</f>
        <v/>
      </c>
      <c r="AN402" s="65" t="str">
        <f aca="false">IF($AL402="","",IF($AM402&lt;=CapacityOpen,"Fits","Below line"))</f>
        <v/>
      </c>
      <c r="AO402" s="65" t="str">
        <f aca="false">IF($A402="","",IF($X402="Closed","",IF($X402="Unmapped","Warning",IF(OR($AB402="Overdue",$V402="Y",$AH402="Critical"),"Critical",IF(OR($AB402="At risk",$AC402="Stale",$AG402="Over"),"Warning","")))))</f>
        <v/>
      </c>
      <c r="AP402" s="65" t="str">
        <f aca="false">IF($AO402="","",IF($AO402="Critical",3000,2000)-IF($Z402="",0,$Z402)+ROW()/100000)</f>
        <v/>
      </c>
      <c r="AQ402" s="65" t="str">
        <f aca="false">IF($AO402="","",IF($X402="Unmapped","Status '"&amp;$C402&amp;"' is not in the Config map",IF($V402="Y","Flagged in Jira",IF($AB402="Overdue",-$Z402&amp;" days past its "&amp;$X402&amp;" target",IF($AH402="Critical",$AI402,IF($AB402="At risk","Target in "&amp;$Z402&amp;" days",IF($AC402="Stale","No update in "&amp;$AA402&amp;" days","Past its "&amp;$AE402&amp;"-day tier window")))))))</f>
        <v/>
      </c>
      <c r="AR402" s="65" t="str">
        <f aca="false">IF($AO402="","","draft Jira update for "&amp;$A402)</f>
        <v/>
      </c>
      <c r="AS402" s="65" t="str">
        <f aca="false">IF($A402="","",HYPERLINK(JiraSite&amp;"/browse/"&amp;$A402,"open"))</f>
        <v/>
      </c>
      <c r="AT402" s="65" t="str">
        <f aca="false">IF($Y402="","",$Y402*1000+ROW())</f>
        <v/>
      </c>
      <c r="AU402" s="65" t="str">
        <f aca="false">IF(AND($A402&lt;&gt;"",$G402&gt;=WeekStart),$G402+ROW()/100000,"")</f>
        <v/>
      </c>
      <c r="AV402" s="65" t="str">
        <f aca="false">IF($A402="","",IF(OR(AND($S402&lt;&gt;"",$S402&gt;=WeekStart),AND($U402&lt;&gt;"",$U402&gt;=WeekStart)),MAX($S402,$U402)+ROW()/100000,""))</f>
        <v/>
      </c>
      <c r="AW402" s="65" t="str">
        <f aca="false">IF($AV402="","",IF($T402&lt;&gt;"",$T402,IF($X402="Closed","Closed","Accepted to "&amp;$X402)))</f>
        <v/>
      </c>
      <c r="AX402" s="65" t="str">
        <f aca="false">IF(AND($Y402&lt;&gt;"",$R402&lt;&gt;""),$AF402+ROW()/100000,"")</f>
        <v/>
      </c>
      <c r="AY402" s="65" t="str">
        <f aca="false">IF(AND($Y402&lt;&gt;"",OR($AB402="Overdue",AND($AH402="Critical",$R402&lt;&gt;""))),$AF402+ROW()/100000,"")</f>
        <v/>
      </c>
      <c r="AZ402" s="65" t="str">
        <f aca="false">IF($AH402="Critical",$AF402+ROW()/100000,"")</f>
        <v/>
      </c>
    </row>
    <row r="403" customFormat="false" ht="15" hidden="false" customHeight="false" outlineLevel="0" collapsed="false">
      <c r="A403" s="28"/>
      <c r="B403" s="28"/>
      <c r="C403" s="28"/>
      <c r="D403" s="28"/>
      <c r="E403" s="28"/>
      <c r="F403" s="28"/>
      <c r="G403" s="63"/>
      <c r="H403" s="63"/>
      <c r="I403" s="63"/>
      <c r="J403" s="28"/>
      <c r="K403" s="28"/>
      <c r="L403" s="28"/>
      <c r="M403" s="28"/>
      <c r="N403" s="28"/>
      <c r="O403" s="64"/>
      <c r="P403" s="64"/>
      <c r="Q403" s="64"/>
      <c r="R403" s="28"/>
      <c r="S403" s="63"/>
      <c r="T403" s="64"/>
      <c r="U403" s="63"/>
      <c r="V403" s="64"/>
      <c r="W403" s="28"/>
      <c r="X403" s="65" t="str">
        <f aca="false">IF($A403="","",IF(OR($T403&lt;&gt;"",$U403&lt;&gt;""),"Closed",IFERROR(INDEX(MapStage,MATCH($C403,MapStatus,0)),"Unmapped")))</f>
        <v/>
      </c>
      <c r="Y403" s="65" t="str">
        <f aca="false">IF(OR($X403="",$X403="Closed",$X403="Unmapped"),"",MATCH($X403,StageName,0))</f>
        <v/>
      </c>
      <c r="Z403" s="65" t="str">
        <f aca="false">IF(OR($Y403="",$I403=""),"",$I403-AsOf)</f>
        <v/>
      </c>
      <c r="AA403" s="65" t="str">
        <f aca="false">IF($A403="","",AsOf-$H403)</f>
        <v/>
      </c>
      <c r="AB403" s="65" t="str">
        <f aca="false">IF($A403="","",IF($X403="Closed","Closed",IF($X403="Unmapped","Unmapped",IF($I403="","No target",IF($Z403&lt;0,"Overdue",IF($Z403&lt;=INDEX(StageWindow,$Y403),"At risk","On track"))))))</f>
        <v/>
      </c>
      <c r="AC403" s="65" t="str">
        <f aca="false">IF($Y403="","",IF($AA403&gt;2*INDEX(StageStale,$Y403),"Stale",IF($AA403&gt;INDEX(StageStale,$Y403),"Aging","Fresh")))</f>
        <v/>
      </c>
      <c r="AD403" s="65" t="str">
        <f aca="false">IF($A403="","",IF(OR(ISNUMBER(SEARCH("Reg report",$J403)),ISNUMBER(SEARCH("No human review",$J403)),COUNTIF(TierFuncs,$D403)&gt;0),"High",IF(OR(TRIM($J403)&lt;&gt;"",ISNUMBER(SEARCH("revenue",$K403))),"Medium","Low")))</f>
        <v/>
      </c>
      <c r="AE403" s="65" t="str">
        <f aca="false">IF($A403="","",INDEX(TierDays,MATCH($AD403,TierName,0)))</f>
        <v/>
      </c>
      <c r="AF403" s="65" t="str">
        <f aca="false">IF($A403="","",AsOf-$G403)</f>
        <v/>
      </c>
      <c r="AG403" s="65" t="str">
        <f aca="false">IF($Y403="","",IF($Y403&lt;=5,IF($AF403&gt;$AE403,"Over","Inside"),"Past approval"))</f>
        <v/>
      </c>
      <c r="AH403" s="65" t="str">
        <f aca="false">IF($Y403="","",CHOOSE($Y403,IF(OR(TRIM($F403)="",ISNUMBER(SEARCH("not named",$F403))),"Critical","Good"),IF($O403&lt;&gt;"Y","Critical",IF($Q403&lt;&gt;"Y","Warning","Good")),IF($P403="","Critical",IF($P403="partial","Warning",IF($P403="ready","Good","Critical"))),IF($R403&lt;&gt;"","Critical","Warning"),IF($L403="","Critical",IF($N403="","Warning","Good")),IF($R403&lt;&gt;"","Critical","Warning"),IF($R403&lt;&gt;"","Critical","Warning"),IF($Q403="Y","Good","Critical")))</f>
        <v/>
      </c>
      <c r="AI403" s="65" t="str">
        <f aca="false">IF($Y403="","",CHOOSE($Y403,IF(OR(TRIM($F403)="",ISNUMBER(SEARCH("not named",$F403))),"Name a sponsor accountable for the value",""),IF($O403&lt;&gt;"Y","State the success metric and the stop condition",IF($Q403&lt;&gt;"Y","Set the baseline the benefit will be measured against","")),IF($P403="","Assess data readiness and regulatory impact",IF($P403="partial","Close the known data gaps",IF($P403="ready","","Data is not available; reshape or park"))),IF($R403&lt;&gt;"",IF(OR(ISNUMBER(SEARCH("mrm",$R403)),ISNUMBER(SEARCH("model",$R403)),ISNUMBER(SEARCH("risk",$R403)),ISNUMBER(SEARCH("legal",$R403)),ISNUMBER(SEARCH("complian",$R403))),"Awaiting ","Held at the design gate: ")&amp;$R403,"Map the governance framework for its tier"),IF($L403="","Size the annual benefit",IF($N403="","Score it so it can be ranked against capacity","")),IF($R403&lt;&gt;"","Build held: "&amp;$R403,"In build, not yet through test"),IF($R403&lt;&gt;"","Not ready to scale: "&amp;$R403,"Monitoring and third-party review not yet signed off"),IF($Q403="Y","","Live without a measured baseline to judge it against")))</f>
        <v/>
      </c>
      <c r="AJ403" s="65" t="str">
        <f aca="false">IF($Y403="","",INDEX(StageForum,$Y403))</f>
        <v/>
      </c>
      <c r="AK403" s="65" t="str">
        <f aca="false">IF($Y403="","",IF(OR($X403="Delivery",$X403="Value"),"Committed",IF($N403&lt;&gt;"","Candidate","")))</f>
        <v/>
      </c>
      <c r="AL403" s="65" t="str">
        <f aca="false">IF($AK403&lt;&gt;"Candidate","",COUNTIFS($AK$2:$AK$501,"Candidate",$N$2:$N$501,"&gt;"&amp;$N403)+COUNTIFS($AK$2:$AK$501,"Candidate",$N$2:$N$501,$N403,$A$2:$A$501,"&lt;"&amp;$A403)+1)</f>
        <v/>
      </c>
      <c r="AM403" s="65" t="str">
        <f aca="false">IF($AL403="","",SUMIFS($M$2:$M$501,$AK$2:$AK$501,"Candidate",$AL$2:$AL$501,"&lt;="&amp;$AL403))</f>
        <v/>
      </c>
      <c r="AN403" s="65" t="str">
        <f aca="false">IF($AL403="","",IF($AM403&lt;=CapacityOpen,"Fits","Below line"))</f>
        <v/>
      </c>
      <c r="AO403" s="65" t="str">
        <f aca="false">IF($A403="","",IF($X403="Closed","",IF($X403="Unmapped","Warning",IF(OR($AB403="Overdue",$V403="Y",$AH403="Critical"),"Critical",IF(OR($AB403="At risk",$AC403="Stale",$AG403="Over"),"Warning","")))))</f>
        <v/>
      </c>
      <c r="AP403" s="65" t="str">
        <f aca="false">IF($AO403="","",IF($AO403="Critical",3000,2000)-IF($Z403="",0,$Z403)+ROW()/100000)</f>
        <v/>
      </c>
      <c r="AQ403" s="65" t="str">
        <f aca="false">IF($AO403="","",IF($X403="Unmapped","Status '"&amp;$C403&amp;"' is not in the Config map",IF($V403="Y","Flagged in Jira",IF($AB403="Overdue",-$Z403&amp;" days past its "&amp;$X403&amp;" target",IF($AH403="Critical",$AI403,IF($AB403="At risk","Target in "&amp;$Z403&amp;" days",IF($AC403="Stale","No update in "&amp;$AA403&amp;" days","Past its "&amp;$AE403&amp;"-day tier window")))))))</f>
        <v/>
      </c>
      <c r="AR403" s="65" t="str">
        <f aca="false">IF($AO403="","","draft Jira update for "&amp;$A403)</f>
        <v/>
      </c>
      <c r="AS403" s="65" t="str">
        <f aca="false">IF($A403="","",HYPERLINK(JiraSite&amp;"/browse/"&amp;$A403,"open"))</f>
        <v/>
      </c>
      <c r="AT403" s="65" t="str">
        <f aca="false">IF($Y403="","",$Y403*1000+ROW())</f>
        <v/>
      </c>
      <c r="AU403" s="65" t="str">
        <f aca="false">IF(AND($A403&lt;&gt;"",$G403&gt;=WeekStart),$G403+ROW()/100000,"")</f>
        <v/>
      </c>
      <c r="AV403" s="65" t="str">
        <f aca="false">IF($A403="","",IF(OR(AND($S403&lt;&gt;"",$S403&gt;=WeekStart),AND($U403&lt;&gt;"",$U403&gt;=WeekStart)),MAX($S403,$U403)+ROW()/100000,""))</f>
        <v/>
      </c>
      <c r="AW403" s="65" t="str">
        <f aca="false">IF($AV403="","",IF($T403&lt;&gt;"",$T403,IF($X403="Closed","Closed","Accepted to "&amp;$X403)))</f>
        <v/>
      </c>
      <c r="AX403" s="65" t="str">
        <f aca="false">IF(AND($Y403&lt;&gt;"",$R403&lt;&gt;""),$AF403+ROW()/100000,"")</f>
        <v/>
      </c>
      <c r="AY403" s="65" t="str">
        <f aca="false">IF(AND($Y403&lt;&gt;"",OR($AB403="Overdue",AND($AH403="Critical",$R403&lt;&gt;""))),$AF403+ROW()/100000,"")</f>
        <v/>
      </c>
      <c r="AZ403" s="65" t="str">
        <f aca="false">IF($AH403="Critical",$AF403+ROW()/100000,"")</f>
        <v/>
      </c>
    </row>
    <row r="404" customFormat="false" ht="15" hidden="false" customHeight="false" outlineLevel="0" collapsed="false">
      <c r="A404" s="28"/>
      <c r="B404" s="28"/>
      <c r="C404" s="28"/>
      <c r="D404" s="28"/>
      <c r="E404" s="28"/>
      <c r="F404" s="28"/>
      <c r="G404" s="63"/>
      <c r="H404" s="63"/>
      <c r="I404" s="63"/>
      <c r="J404" s="28"/>
      <c r="K404" s="28"/>
      <c r="L404" s="28"/>
      <c r="M404" s="28"/>
      <c r="N404" s="28"/>
      <c r="O404" s="64"/>
      <c r="P404" s="64"/>
      <c r="Q404" s="64"/>
      <c r="R404" s="28"/>
      <c r="S404" s="63"/>
      <c r="T404" s="64"/>
      <c r="U404" s="63"/>
      <c r="V404" s="64"/>
      <c r="W404" s="28"/>
      <c r="X404" s="65" t="str">
        <f aca="false">IF($A404="","",IF(OR($T404&lt;&gt;"",$U404&lt;&gt;""),"Closed",IFERROR(INDEX(MapStage,MATCH($C404,MapStatus,0)),"Unmapped")))</f>
        <v/>
      </c>
      <c r="Y404" s="65" t="str">
        <f aca="false">IF(OR($X404="",$X404="Closed",$X404="Unmapped"),"",MATCH($X404,StageName,0))</f>
        <v/>
      </c>
      <c r="Z404" s="65" t="str">
        <f aca="false">IF(OR($Y404="",$I404=""),"",$I404-AsOf)</f>
        <v/>
      </c>
      <c r="AA404" s="65" t="str">
        <f aca="false">IF($A404="","",AsOf-$H404)</f>
        <v/>
      </c>
      <c r="AB404" s="65" t="str">
        <f aca="false">IF($A404="","",IF($X404="Closed","Closed",IF($X404="Unmapped","Unmapped",IF($I404="","No target",IF($Z404&lt;0,"Overdue",IF($Z404&lt;=INDEX(StageWindow,$Y404),"At risk","On track"))))))</f>
        <v/>
      </c>
      <c r="AC404" s="65" t="str">
        <f aca="false">IF($Y404="","",IF($AA404&gt;2*INDEX(StageStale,$Y404),"Stale",IF($AA404&gt;INDEX(StageStale,$Y404),"Aging","Fresh")))</f>
        <v/>
      </c>
      <c r="AD404" s="65" t="str">
        <f aca="false">IF($A404="","",IF(OR(ISNUMBER(SEARCH("Reg report",$J404)),ISNUMBER(SEARCH("No human review",$J404)),COUNTIF(TierFuncs,$D404)&gt;0),"High",IF(OR(TRIM($J404)&lt;&gt;"",ISNUMBER(SEARCH("revenue",$K404))),"Medium","Low")))</f>
        <v/>
      </c>
      <c r="AE404" s="65" t="str">
        <f aca="false">IF($A404="","",INDEX(TierDays,MATCH($AD404,TierName,0)))</f>
        <v/>
      </c>
      <c r="AF404" s="65" t="str">
        <f aca="false">IF($A404="","",AsOf-$G404)</f>
        <v/>
      </c>
      <c r="AG404" s="65" t="str">
        <f aca="false">IF($Y404="","",IF($Y404&lt;=5,IF($AF404&gt;$AE404,"Over","Inside"),"Past approval"))</f>
        <v/>
      </c>
      <c r="AH404" s="65" t="str">
        <f aca="false">IF($Y404="","",CHOOSE($Y404,IF(OR(TRIM($F404)="",ISNUMBER(SEARCH("not named",$F404))),"Critical","Good"),IF($O404&lt;&gt;"Y","Critical",IF($Q404&lt;&gt;"Y","Warning","Good")),IF($P404="","Critical",IF($P404="partial","Warning",IF($P404="ready","Good","Critical"))),IF($R404&lt;&gt;"","Critical","Warning"),IF($L404="","Critical",IF($N404="","Warning","Good")),IF($R404&lt;&gt;"","Critical","Warning"),IF($R404&lt;&gt;"","Critical","Warning"),IF($Q404="Y","Good","Critical")))</f>
        <v/>
      </c>
      <c r="AI404" s="65" t="str">
        <f aca="false">IF($Y404="","",CHOOSE($Y404,IF(OR(TRIM($F404)="",ISNUMBER(SEARCH("not named",$F404))),"Name a sponsor accountable for the value",""),IF($O404&lt;&gt;"Y","State the success metric and the stop condition",IF($Q404&lt;&gt;"Y","Set the baseline the benefit will be measured against","")),IF($P404="","Assess data readiness and regulatory impact",IF($P404="partial","Close the known data gaps",IF($P404="ready","","Data is not available; reshape or park"))),IF($R404&lt;&gt;"",IF(OR(ISNUMBER(SEARCH("mrm",$R404)),ISNUMBER(SEARCH("model",$R404)),ISNUMBER(SEARCH("risk",$R404)),ISNUMBER(SEARCH("legal",$R404)),ISNUMBER(SEARCH("complian",$R404))),"Awaiting ","Held at the design gate: ")&amp;$R404,"Map the governance framework for its tier"),IF($L404="","Size the annual benefit",IF($N404="","Score it so it can be ranked against capacity","")),IF($R404&lt;&gt;"","Build held: "&amp;$R404,"In build, not yet through test"),IF($R404&lt;&gt;"","Not ready to scale: "&amp;$R404,"Monitoring and third-party review not yet signed off"),IF($Q404="Y","","Live without a measured baseline to judge it against")))</f>
        <v/>
      </c>
      <c r="AJ404" s="65" t="str">
        <f aca="false">IF($Y404="","",INDEX(StageForum,$Y404))</f>
        <v/>
      </c>
      <c r="AK404" s="65" t="str">
        <f aca="false">IF($Y404="","",IF(OR($X404="Delivery",$X404="Value"),"Committed",IF($N404&lt;&gt;"","Candidate","")))</f>
        <v/>
      </c>
      <c r="AL404" s="65" t="str">
        <f aca="false">IF($AK404&lt;&gt;"Candidate","",COUNTIFS($AK$2:$AK$501,"Candidate",$N$2:$N$501,"&gt;"&amp;$N404)+COUNTIFS($AK$2:$AK$501,"Candidate",$N$2:$N$501,$N404,$A$2:$A$501,"&lt;"&amp;$A404)+1)</f>
        <v/>
      </c>
      <c r="AM404" s="65" t="str">
        <f aca="false">IF($AL404="","",SUMIFS($M$2:$M$501,$AK$2:$AK$501,"Candidate",$AL$2:$AL$501,"&lt;="&amp;$AL404))</f>
        <v/>
      </c>
      <c r="AN404" s="65" t="str">
        <f aca="false">IF($AL404="","",IF($AM404&lt;=CapacityOpen,"Fits","Below line"))</f>
        <v/>
      </c>
      <c r="AO404" s="65" t="str">
        <f aca="false">IF($A404="","",IF($X404="Closed","",IF($X404="Unmapped","Warning",IF(OR($AB404="Overdue",$V404="Y",$AH404="Critical"),"Critical",IF(OR($AB404="At risk",$AC404="Stale",$AG404="Over"),"Warning","")))))</f>
        <v/>
      </c>
      <c r="AP404" s="65" t="str">
        <f aca="false">IF($AO404="","",IF($AO404="Critical",3000,2000)-IF($Z404="",0,$Z404)+ROW()/100000)</f>
        <v/>
      </c>
      <c r="AQ404" s="65" t="str">
        <f aca="false">IF($AO404="","",IF($X404="Unmapped","Status '"&amp;$C404&amp;"' is not in the Config map",IF($V404="Y","Flagged in Jira",IF($AB404="Overdue",-$Z404&amp;" days past its "&amp;$X404&amp;" target",IF($AH404="Critical",$AI404,IF($AB404="At risk","Target in "&amp;$Z404&amp;" days",IF($AC404="Stale","No update in "&amp;$AA404&amp;" days","Past its "&amp;$AE404&amp;"-day tier window")))))))</f>
        <v/>
      </c>
      <c r="AR404" s="65" t="str">
        <f aca="false">IF($AO404="","","draft Jira update for "&amp;$A404)</f>
        <v/>
      </c>
      <c r="AS404" s="65" t="str">
        <f aca="false">IF($A404="","",HYPERLINK(JiraSite&amp;"/browse/"&amp;$A404,"open"))</f>
        <v/>
      </c>
      <c r="AT404" s="65" t="str">
        <f aca="false">IF($Y404="","",$Y404*1000+ROW())</f>
        <v/>
      </c>
      <c r="AU404" s="65" t="str">
        <f aca="false">IF(AND($A404&lt;&gt;"",$G404&gt;=WeekStart),$G404+ROW()/100000,"")</f>
        <v/>
      </c>
      <c r="AV404" s="65" t="str">
        <f aca="false">IF($A404="","",IF(OR(AND($S404&lt;&gt;"",$S404&gt;=WeekStart),AND($U404&lt;&gt;"",$U404&gt;=WeekStart)),MAX($S404,$U404)+ROW()/100000,""))</f>
        <v/>
      </c>
      <c r="AW404" s="65" t="str">
        <f aca="false">IF($AV404="","",IF($T404&lt;&gt;"",$T404,IF($X404="Closed","Closed","Accepted to "&amp;$X404)))</f>
        <v/>
      </c>
      <c r="AX404" s="65" t="str">
        <f aca="false">IF(AND($Y404&lt;&gt;"",$R404&lt;&gt;""),$AF404+ROW()/100000,"")</f>
        <v/>
      </c>
      <c r="AY404" s="65" t="str">
        <f aca="false">IF(AND($Y404&lt;&gt;"",OR($AB404="Overdue",AND($AH404="Critical",$R404&lt;&gt;""))),$AF404+ROW()/100000,"")</f>
        <v/>
      </c>
      <c r="AZ404" s="65" t="str">
        <f aca="false">IF($AH404="Critical",$AF404+ROW()/100000,"")</f>
        <v/>
      </c>
    </row>
    <row r="405" customFormat="false" ht="15" hidden="false" customHeight="false" outlineLevel="0" collapsed="false">
      <c r="A405" s="28"/>
      <c r="B405" s="28"/>
      <c r="C405" s="28"/>
      <c r="D405" s="28"/>
      <c r="E405" s="28"/>
      <c r="F405" s="28"/>
      <c r="G405" s="63"/>
      <c r="H405" s="63"/>
      <c r="I405" s="63"/>
      <c r="J405" s="28"/>
      <c r="K405" s="28"/>
      <c r="L405" s="28"/>
      <c r="M405" s="28"/>
      <c r="N405" s="28"/>
      <c r="O405" s="64"/>
      <c r="P405" s="64"/>
      <c r="Q405" s="64"/>
      <c r="R405" s="28"/>
      <c r="S405" s="63"/>
      <c r="T405" s="64"/>
      <c r="U405" s="63"/>
      <c r="V405" s="64"/>
      <c r="W405" s="28"/>
      <c r="X405" s="65" t="str">
        <f aca="false">IF($A405="","",IF(OR($T405&lt;&gt;"",$U405&lt;&gt;""),"Closed",IFERROR(INDEX(MapStage,MATCH($C405,MapStatus,0)),"Unmapped")))</f>
        <v/>
      </c>
      <c r="Y405" s="65" t="str">
        <f aca="false">IF(OR($X405="",$X405="Closed",$X405="Unmapped"),"",MATCH($X405,StageName,0))</f>
        <v/>
      </c>
      <c r="Z405" s="65" t="str">
        <f aca="false">IF(OR($Y405="",$I405=""),"",$I405-AsOf)</f>
        <v/>
      </c>
      <c r="AA405" s="65" t="str">
        <f aca="false">IF($A405="","",AsOf-$H405)</f>
        <v/>
      </c>
      <c r="AB405" s="65" t="str">
        <f aca="false">IF($A405="","",IF($X405="Closed","Closed",IF($X405="Unmapped","Unmapped",IF($I405="","No target",IF($Z405&lt;0,"Overdue",IF($Z405&lt;=INDEX(StageWindow,$Y405),"At risk","On track"))))))</f>
        <v/>
      </c>
      <c r="AC405" s="65" t="str">
        <f aca="false">IF($Y405="","",IF($AA405&gt;2*INDEX(StageStale,$Y405),"Stale",IF($AA405&gt;INDEX(StageStale,$Y405),"Aging","Fresh")))</f>
        <v/>
      </c>
      <c r="AD405" s="65" t="str">
        <f aca="false">IF($A405="","",IF(OR(ISNUMBER(SEARCH("Reg report",$J405)),ISNUMBER(SEARCH("No human review",$J405)),COUNTIF(TierFuncs,$D405)&gt;0),"High",IF(OR(TRIM($J405)&lt;&gt;"",ISNUMBER(SEARCH("revenue",$K405))),"Medium","Low")))</f>
        <v/>
      </c>
      <c r="AE405" s="65" t="str">
        <f aca="false">IF($A405="","",INDEX(TierDays,MATCH($AD405,TierName,0)))</f>
        <v/>
      </c>
      <c r="AF405" s="65" t="str">
        <f aca="false">IF($A405="","",AsOf-$G405)</f>
        <v/>
      </c>
      <c r="AG405" s="65" t="str">
        <f aca="false">IF($Y405="","",IF($Y405&lt;=5,IF($AF405&gt;$AE405,"Over","Inside"),"Past approval"))</f>
        <v/>
      </c>
      <c r="AH405" s="65" t="str">
        <f aca="false">IF($Y405="","",CHOOSE($Y405,IF(OR(TRIM($F405)="",ISNUMBER(SEARCH("not named",$F405))),"Critical","Good"),IF($O405&lt;&gt;"Y","Critical",IF($Q405&lt;&gt;"Y","Warning","Good")),IF($P405="","Critical",IF($P405="partial","Warning",IF($P405="ready","Good","Critical"))),IF($R405&lt;&gt;"","Critical","Warning"),IF($L405="","Critical",IF($N405="","Warning","Good")),IF($R405&lt;&gt;"","Critical","Warning"),IF($R405&lt;&gt;"","Critical","Warning"),IF($Q405="Y","Good","Critical")))</f>
        <v/>
      </c>
      <c r="AI405" s="65" t="str">
        <f aca="false">IF($Y405="","",CHOOSE($Y405,IF(OR(TRIM($F405)="",ISNUMBER(SEARCH("not named",$F405))),"Name a sponsor accountable for the value",""),IF($O405&lt;&gt;"Y","State the success metric and the stop condition",IF($Q405&lt;&gt;"Y","Set the baseline the benefit will be measured against","")),IF($P405="","Assess data readiness and regulatory impact",IF($P405="partial","Close the known data gaps",IF($P405="ready","","Data is not available; reshape or park"))),IF($R405&lt;&gt;"",IF(OR(ISNUMBER(SEARCH("mrm",$R405)),ISNUMBER(SEARCH("model",$R405)),ISNUMBER(SEARCH("risk",$R405)),ISNUMBER(SEARCH("legal",$R405)),ISNUMBER(SEARCH("complian",$R405))),"Awaiting ","Held at the design gate: ")&amp;$R405,"Map the governance framework for its tier"),IF($L405="","Size the annual benefit",IF($N405="","Score it so it can be ranked against capacity","")),IF($R405&lt;&gt;"","Build held: "&amp;$R405,"In build, not yet through test"),IF($R405&lt;&gt;"","Not ready to scale: "&amp;$R405,"Monitoring and third-party review not yet signed off"),IF($Q405="Y","","Live without a measured baseline to judge it against")))</f>
        <v/>
      </c>
      <c r="AJ405" s="65" t="str">
        <f aca="false">IF($Y405="","",INDEX(StageForum,$Y405))</f>
        <v/>
      </c>
      <c r="AK405" s="65" t="str">
        <f aca="false">IF($Y405="","",IF(OR($X405="Delivery",$X405="Value"),"Committed",IF($N405&lt;&gt;"","Candidate","")))</f>
        <v/>
      </c>
      <c r="AL405" s="65" t="str">
        <f aca="false">IF($AK405&lt;&gt;"Candidate","",COUNTIFS($AK$2:$AK$501,"Candidate",$N$2:$N$501,"&gt;"&amp;$N405)+COUNTIFS($AK$2:$AK$501,"Candidate",$N$2:$N$501,$N405,$A$2:$A$501,"&lt;"&amp;$A405)+1)</f>
        <v/>
      </c>
      <c r="AM405" s="65" t="str">
        <f aca="false">IF($AL405="","",SUMIFS($M$2:$M$501,$AK$2:$AK$501,"Candidate",$AL$2:$AL$501,"&lt;="&amp;$AL405))</f>
        <v/>
      </c>
      <c r="AN405" s="65" t="str">
        <f aca="false">IF($AL405="","",IF($AM405&lt;=CapacityOpen,"Fits","Below line"))</f>
        <v/>
      </c>
      <c r="AO405" s="65" t="str">
        <f aca="false">IF($A405="","",IF($X405="Closed","",IF($X405="Unmapped","Warning",IF(OR($AB405="Overdue",$V405="Y",$AH405="Critical"),"Critical",IF(OR($AB405="At risk",$AC405="Stale",$AG405="Over"),"Warning","")))))</f>
        <v/>
      </c>
      <c r="AP405" s="65" t="str">
        <f aca="false">IF($AO405="","",IF($AO405="Critical",3000,2000)-IF($Z405="",0,$Z405)+ROW()/100000)</f>
        <v/>
      </c>
      <c r="AQ405" s="65" t="str">
        <f aca="false">IF($AO405="","",IF($X405="Unmapped","Status '"&amp;$C405&amp;"' is not in the Config map",IF($V405="Y","Flagged in Jira",IF($AB405="Overdue",-$Z405&amp;" days past its "&amp;$X405&amp;" target",IF($AH405="Critical",$AI405,IF($AB405="At risk","Target in "&amp;$Z405&amp;" days",IF($AC405="Stale","No update in "&amp;$AA405&amp;" days","Past its "&amp;$AE405&amp;"-day tier window")))))))</f>
        <v/>
      </c>
      <c r="AR405" s="65" t="str">
        <f aca="false">IF($AO405="","","draft Jira update for "&amp;$A405)</f>
        <v/>
      </c>
      <c r="AS405" s="65" t="str">
        <f aca="false">IF($A405="","",HYPERLINK(JiraSite&amp;"/browse/"&amp;$A405,"open"))</f>
        <v/>
      </c>
      <c r="AT405" s="65" t="str">
        <f aca="false">IF($Y405="","",$Y405*1000+ROW())</f>
        <v/>
      </c>
      <c r="AU405" s="65" t="str">
        <f aca="false">IF(AND($A405&lt;&gt;"",$G405&gt;=WeekStart),$G405+ROW()/100000,"")</f>
        <v/>
      </c>
      <c r="AV405" s="65" t="str">
        <f aca="false">IF($A405="","",IF(OR(AND($S405&lt;&gt;"",$S405&gt;=WeekStart),AND($U405&lt;&gt;"",$U405&gt;=WeekStart)),MAX($S405,$U405)+ROW()/100000,""))</f>
        <v/>
      </c>
      <c r="AW405" s="65" t="str">
        <f aca="false">IF($AV405="","",IF($T405&lt;&gt;"",$T405,IF($X405="Closed","Closed","Accepted to "&amp;$X405)))</f>
        <v/>
      </c>
      <c r="AX405" s="65" t="str">
        <f aca="false">IF(AND($Y405&lt;&gt;"",$R405&lt;&gt;""),$AF405+ROW()/100000,"")</f>
        <v/>
      </c>
      <c r="AY405" s="65" t="str">
        <f aca="false">IF(AND($Y405&lt;&gt;"",OR($AB405="Overdue",AND($AH405="Critical",$R405&lt;&gt;""))),$AF405+ROW()/100000,"")</f>
        <v/>
      </c>
      <c r="AZ405" s="65" t="str">
        <f aca="false">IF($AH405="Critical",$AF405+ROW()/100000,"")</f>
        <v/>
      </c>
    </row>
    <row r="406" customFormat="false" ht="15" hidden="false" customHeight="false" outlineLevel="0" collapsed="false">
      <c r="A406" s="28"/>
      <c r="B406" s="28"/>
      <c r="C406" s="28"/>
      <c r="D406" s="28"/>
      <c r="E406" s="28"/>
      <c r="F406" s="28"/>
      <c r="G406" s="63"/>
      <c r="H406" s="63"/>
      <c r="I406" s="63"/>
      <c r="J406" s="28"/>
      <c r="K406" s="28"/>
      <c r="L406" s="28"/>
      <c r="M406" s="28"/>
      <c r="N406" s="28"/>
      <c r="O406" s="64"/>
      <c r="P406" s="64"/>
      <c r="Q406" s="64"/>
      <c r="R406" s="28"/>
      <c r="S406" s="63"/>
      <c r="T406" s="64"/>
      <c r="U406" s="63"/>
      <c r="V406" s="64"/>
      <c r="W406" s="28"/>
      <c r="X406" s="65" t="str">
        <f aca="false">IF($A406="","",IF(OR($T406&lt;&gt;"",$U406&lt;&gt;""),"Closed",IFERROR(INDEX(MapStage,MATCH($C406,MapStatus,0)),"Unmapped")))</f>
        <v/>
      </c>
      <c r="Y406" s="65" t="str">
        <f aca="false">IF(OR($X406="",$X406="Closed",$X406="Unmapped"),"",MATCH($X406,StageName,0))</f>
        <v/>
      </c>
      <c r="Z406" s="65" t="str">
        <f aca="false">IF(OR($Y406="",$I406=""),"",$I406-AsOf)</f>
        <v/>
      </c>
      <c r="AA406" s="65" t="str">
        <f aca="false">IF($A406="","",AsOf-$H406)</f>
        <v/>
      </c>
      <c r="AB406" s="65" t="str">
        <f aca="false">IF($A406="","",IF($X406="Closed","Closed",IF($X406="Unmapped","Unmapped",IF($I406="","No target",IF($Z406&lt;0,"Overdue",IF($Z406&lt;=INDEX(StageWindow,$Y406),"At risk","On track"))))))</f>
        <v/>
      </c>
      <c r="AC406" s="65" t="str">
        <f aca="false">IF($Y406="","",IF($AA406&gt;2*INDEX(StageStale,$Y406),"Stale",IF($AA406&gt;INDEX(StageStale,$Y406),"Aging","Fresh")))</f>
        <v/>
      </c>
      <c r="AD406" s="65" t="str">
        <f aca="false">IF($A406="","",IF(OR(ISNUMBER(SEARCH("Reg report",$J406)),ISNUMBER(SEARCH("No human review",$J406)),COUNTIF(TierFuncs,$D406)&gt;0),"High",IF(OR(TRIM($J406)&lt;&gt;"",ISNUMBER(SEARCH("revenue",$K406))),"Medium","Low")))</f>
        <v/>
      </c>
      <c r="AE406" s="65" t="str">
        <f aca="false">IF($A406="","",INDEX(TierDays,MATCH($AD406,TierName,0)))</f>
        <v/>
      </c>
      <c r="AF406" s="65" t="str">
        <f aca="false">IF($A406="","",AsOf-$G406)</f>
        <v/>
      </c>
      <c r="AG406" s="65" t="str">
        <f aca="false">IF($Y406="","",IF($Y406&lt;=5,IF($AF406&gt;$AE406,"Over","Inside"),"Past approval"))</f>
        <v/>
      </c>
      <c r="AH406" s="65" t="str">
        <f aca="false">IF($Y406="","",CHOOSE($Y406,IF(OR(TRIM($F406)="",ISNUMBER(SEARCH("not named",$F406))),"Critical","Good"),IF($O406&lt;&gt;"Y","Critical",IF($Q406&lt;&gt;"Y","Warning","Good")),IF($P406="","Critical",IF($P406="partial","Warning",IF($P406="ready","Good","Critical"))),IF($R406&lt;&gt;"","Critical","Warning"),IF($L406="","Critical",IF($N406="","Warning","Good")),IF($R406&lt;&gt;"","Critical","Warning"),IF($R406&lt;&gt;"","Critical","Warning"),IF($Q406="Y","Good","Critical")))</f>
        <v/>
      </c>
      <c r="AI406" s="65" t="str">
        <f aca="false">IF($Y406="","",CHOOSE($Y406,IF(OR(TRIM($F406)="",ISNUMBER(SEARCH("not named",$F406))),"Name a sponsor accountable for the value",""),IF($O406&lt;&gt;"Y","State the success metric and the stop condition",IF($Q406&lt;&gt;"Y","Set the baseline the benefit will be measured against","")),IF($P406="","Assess data readiness and regulatory impact",IF($P406="partial","Close the known data gaps",IF($P406="ready","","Data is not available; reshape or park"))),IF($R406&lt;&gt;"",IF(OR(ISNUMBER(SEARCH("mrm",$R406)),ISNUMBER(SEARCH("model",$R406)),ISNUMBER(SEARCH("risk",$R406)),ISNUMBER(SEARCH("legal",$R406)),ISNUMBER(SEARCH("complian",$R406))),"Awaiting ","Held at the design gate: ")&amp;$R406,"Map the governance framework for its tier"),IF($L406="","Size the annual benefit",IF($N406="","Score it so it can be ranked against capacity","")),IF($R406&lt;&gt;"","Build held: "&amp;$R406,"In build, not yet through test"),IF($R406&lt;&gt;"","Not ready to scale: "&amp;$R406,"Monitoring and third-party review not yet signed off"),IF($Q406="Y","","Live without a measured baseline to judge it against")))</f>
        <v/>
      </c>
      <c r="AJ406" s="65" t="str">
        <f aca="false">IF($Y406="","",INDEX(StageForum,$Y406))</f>
        <v/>
      </c>
      <c r="AK406" s="65" t="str">
        <f aca="false">IF($Y406="","",IF(OR($X406="Delivery",$X406="Value"),"Committed",IF($N406&lt;&gt;"","Candidate","")))</f>
        <v/>
      </c>
      <c r="AL406" s="65" t="str">
        <f aca="false">IF($AK406&lt;&gt;"Candidate","",COUNTIFS($AK$2:$AK$501,"Candidate",$N$2:$N$501,"&gt;"&amp;$N406)+COUNTIFS($AK$2:$AK$501,"Candidate",$N$2:$N$501,$N406,$A$2:$A$501,"&lt;"&amp;$A406)+1)</f>
        <v/>
      </c>
      <c r="AM406" s="65" t="str">
        <f aca="false">IF($AL406="","",SUMIFS($M$2:$M$501,$AK$2:$AK$501,"Candidate",$AL$2:$AL$501,"&lt;="&amp;$AL406))</f>
        <v/>
      </c>
      <c r="AN406" s="65" t="str">
        <f aca="false">IF($AL406="","",IF($AM406&lt;=CapacityOpen,"Fits","Below line"))</f>
        <v/>
      </c>
      <c r="AO406" s="65" t="str">
        <f aca="false">IF($A406="","",IF($X406="Closed","",IF($X406="Unmapped","Warning",IF(OR($AB406="Overdue",$V406="Y",$AH406="Critical"),"Critical",IF(OR($AB406="At risk",$AC406="Stale",$AG406="Over"),"Warning","")))))</f>
        <v/>
      </c>
      <c r="AP406" s="65" t="str">
        <f aca="false">IF($AO406="","",IF($AO406="Critical",3000,2000)-IF($Z406="",0,$Z406)+ROW()/100000)</f>
        <v/>
      </c>
      <c r="AQ406" s="65" t="str">
        <f aca="false">IF($AO406="","",IF($X406="Unmapped","Status '"&amp;$C406&amp;"' is not in the Config map",IF($V406="Y","Flagged in Jira",IF($AB406="Overdue",-$Z406&amp;" days past its "&amp;$X406&amp;" target",IF($AH406="Critical",$AI406,IF($AB406="At risk","Target in "&amp;$Z406&amp;" days",IF($AC406="Stale","No update in "&amp;$AA406&amp;" days","Past its "&amp;$AE406&amp;"-day tier window")))))))</f>
        <v/>
      </c>
      <c r="AR406" s="65" t="str">
        <f aca="false">IF($AO406="","","draft Jira update for "&amp;$A406)</f>
        <v/>
      </c>
      <c r="AS406" s="65" t="str">
        <f aca="false">IF($A406="","",HYPERLINK(JiraSite&amp;"/browse/"&amp;$A406,"open"))</f>
        <v/>
      </c>
      <c r="AT406" s="65" t="str">
        <f aca="false">IF($Y406="","",$Y406*1000+ROW())</f>
        <v/>
      </c>
      <c r="AU406" s="65" t="str">
        <f aca="false">IF(AND($A406&lt;&gt;"",$G406&gt;=WeekStart),$G406+ROW()/100000,"")</f>
        <v/>
      </c>
      <c r="AV406" s="65" t="str">
        <f aca="false">IF($A406="","",IF(OR(AND($S406&lt;&gt;"",$S406&gt;=WeekStart),AND($U406&lt;&gt;"",$U406&gt;=WeekStart)),MAX($S406,$U406)+ROW()/100000,""))</f>
        <v/>
      </c>
      <c r="AW406" s="65" t="str">
        <f aca="false">IF($AV406="","",IF($T406&lt;&gt;"",$T406,IF($X406="Closed","Closed","Accepted to "&amp;$X406)))</f>
        <v/>
      </c>
      <c r="AX406" s="65" t="str">
        <f aca="false">IF(AND($Y406&lt;&gt;"",$R406&lt;&gt;""),$AF406+ROW()/100000,"")</f>
        <v/>
      </c>
      <c r="AY406" s="65" t="str">
        <f aca="false">IF(AND($Y406&lt;&gt;"",OR($AB406="Overdue",AND($AH406="Critical",$R406&lt;&gt;""))),$AF406+ROW()/100000,"")</f>
        <v/>
      </c>
      <c r="AZ406" s="65" t="str">
        <f aca="false">IF($AH406="Critical",$AF406+ROW()/100000,"")</f>
        <v/>
      </c>
    </row>
    <row r="407" customFormat="false" ht="15" hidden="false" customHeight="false" outlineLevel="0" collapsed="false">
      <c r="A407" s="28"/>
      <c r="B407" s="28"/>
      <c r="C407" s="28"/>
      <c r="D407" s="28"/>
      <c r="E407" s="28"/>
      <c r="F407" s="28"/>
      <c r="G407" s="63"/>
      <c r="H407" s="63"/>
      <c r="I407" s="63"/>
      <c r="J407" s="28"/>
      <c r="K407" s="28"/>
      <c r="L407" s="28"/>
      <c r="M407" s="28"/>
      <c r="N407" s="28"/>
      <c r="O407" s="64"/>
      <c r="P407" s="64"/>
      <c r="Q407" s="64"/>
      <c r="R407" s="28"/>
      <c r="S407" s="63"/>
      <c r="T407" s="64"/>
      <c r="U407" s="63"/>
      <c r="V407" s="64"/>
      <c r="W407" s="28"/>
      <c r="X407" s="65" t="str">
        <f aca="false">IF($A407="","",IF(OR($T407&lt;&gt;"",$U407&lt;&gt;""),"Closed",IFERROR(INDEX(MapStage,MATCH($C407,MapStatus,0)),"Unmapped")))</f>
        <v/>
      </c>
      <c r="Y407" s="65" t="str">
        <f aca="false">IF(OR($X407="",$X407="Closed",$X407="Unmapped"),"",MATCH($X407,StageName,0))</f>
        <v/>
      </c>
      <c r="Z407" s="65" t="str">
        <f aca="false">IF(OR($Y407="",$I407=""),"",$I407-AsOf)</f>
        <v/>
      </c>
      <c r="AA407" s="65" t="str">
        <f aca="false">IF($A407="","",AsOf-$H407)</f>
        <v/>
      </c>
      <c r="AB407" s="65" t="str">
        <f aca="false">IF($A407="","",IF($X407="Closed","Closed",IF($X407="Unmapped","Unmapped",IF($I407="","No target",IF($Z407&lt;0,"Overdue",IF($Z407&lt;=INDEX(StageWindow,$Y407),"At risk","On track"))))))</f>
        <v/>
      </c>
      <c r="AC407" s="65" t="str">
        <f aca="false">IF($Y407="","",IF($AA407&gt;2*INDEX(StageStale,$Y407),"Stale",IF($AA407&gt;INDEX(StageStale,$Y407),"Aging","Fresh")))</f>
        <v/>
      </c>
      <c r="AD407" s="65" t="str">
        <f aca="false">IF($A407="","",IF(OR(ISNUMBER(SEARCH("Reg report",$J407)),ISNUMBER(SEARCH("No human review",$J407)),COUNTIF(TierFuncs,$D407)&gt;0),"High",IF(OR(TRIM($J407)&lt;&gt;"",ISNUMBER(SEARCH("revenue",$K407))),"Medium","Low")))</f>
        <v/>
      </c>
      <c r="AE407" s="65" t="str">
        <f aca="false">IF($A407="","",INDEX(TierDays,MATCH($AD407,TierName,0)))</f>
        <v/>
      </c>
      <c r="AF407" s="65" t="str">
        <f aca="false">IF($A407="","",AsOf-$G407)</f>
        <v/>
      </c>
      <c r="AG407" s="65" t="str">
        <f aca="false">IF($Y407="","",IF($Y407&lt;=5,IF($AF407&gt;$AE407,"Over","Inside"),"Past approval"))</f>
        <v/>
      </c>
      <c r="AH407" s="65" t="str">
        <f aca="false">IF($Y407="","",CHOOSE($Y407,IF(OR(TRIM($F407)="",ISNUMBER(SEARCH("not named",$F407))),"Critical","Good"),IF($O407&lt;&gt;"Y","Critical",IF($Q407&lt;&gt;"Y","Warning","Good")),IF($P407="","Critical",IF($P407="partial","Warning",IF($P407="ready","Good","Critical"))),IF($R407&lt;&gt;"","Critical","Warning"),IF($L407="","Critical",IF($N407="","Warning","Good")),IF($R407&lt;&gt;"","Critical","Warning"),IF($R407&lt;&gt;"","Critical","Warning"),IF($Q407="Y","Good","Critical")))</f>
        <v/>
      </c>
      <c r="AI407" s="65" t="str">
        <f aca="false">IF($Y407="","",CHOOSE($Y407,IF(OR(TRIM($F407)="",ISNUMBER(SEARCH("not named",$F407))),"Name a sponsor accountable for the value",""),IF($O407&lt;&gt;"Y","State the success metric and the stop condition",IF($Q407&lt;&gt;"Y","Set the baseline the benefit will be measured against","")),IF($P407="","Assess data readiness and regulatory impact",IF($P407="partial","Close the known data gaps",IF($P407="ready","","Data is not available; reshape or park"))),IF($R407&lt;&gt;"",IF(OR(ISNUMBER(SEARCH("mrm",$R407)),ISNUMBER(SEARCH("model",$R407)),ISNUMBER(SEARCH("risk",$R407)),ISNUMBER(SEARCH("legal",$R407)),ISNUMBER(SEARCH("complian",$R407))),"Awaiting ","Held at the design gate: ")&amp;$R407,"Map the governance framework for its tier"),IF($L407="","Size the annual benefit",IF($N407="","Score it so it can be ranked against capacity","")),IF($R407&lt;&gt;"","Build held: "&amp;$R407,"In build, not yet through test"),IF($R407&lt;&gt;"","Not ready to scale: "&amp;$R407,"Monitoring and third-party review not yet signed off"),IF($Q407="Y","","Live without a measured baseline to judge it against")))</f>
        <v/>
      </c>
      <c r="AJ407" s="65" t="str">
        <f aca="false">IF($Y407="","",INDEX(StageForum,$Y407))</f>
        <v/>
      </c>
      <c r="AK407" s="65" t="str">
        <f aca="false">IF($Y407="","",IF(OR($X407="Delivery",$X407="Value"),"Committed",IF($N407&lt;&gt;"","Candidate","")))</f>
        <v/>
      </c>
      <c r="AL407" s="65" t="str">
        <f aca="false">IF($AK407&lt;&gt;"Candidate","",COUNTIFS($AK$2:$AK$501,"Candidate",$N$2:$N$501,"&gt;"&amp;$N407)+COUNTIFS($AK$2:$AK$501,"Candidate",$N$2:$N$501,$N407,$A$2:$A$501,"&lt;"&amp;$A407)+1)</f>
        <v/>
      </c>
      <c r="AM407" s="65" t="str">
        <f aca="false">IF($AL407="","",SUMIFS($M$2:$M$501,$AK$2:$AK$501,"Candidate",$AL$2:$AL$501,"&lt;="&amp;$AL407))</f>
        <v/>
      </c>
      <c r="AN407" s="65" t="str">
        <f aca="false">IF($AL407="","",IF($AM407&lt;=CapacityOpen,"Fits","Below line"))</f>
        <v/>
      </c>
      <c r="AO407" s="65" t="str">
        <f aca="false">IF($A407="","",IF($X407="Closed","",IF($X407="Unmapped","Warning",IF(OR($AB407="Overdue",$V407="Y",$AH407="Critical"),"Critical",IF(OR($AB407="At risk",$AC407="Stale",$AG407="Over"),"Warning","")))))</f>
        <v/>
      </c>
      <c r="AP407" s="65" t="str">
        <f aca="false">IF($AO407="","",IF($AO407="Critical",3000,2000)-IF($Z407="",0,$Z407)+ROW()/100000)</f>
        <v/>
      </c>
      <c r="AQ407" s="65" t="str">
        <f aca="false">IF($AO407="","",IF($X407="Unmapped","Status '"&amp;$C407&amp;"' is not in the Config map",IF($V407="Y","Flagged in Jira",IF($AB407="Overdue",-$Z407&amp;" days past its "&amp;$X407&amp;" target",IF($AH407="Critical",$AI407,IF($AB407="At risk","Target in "&amp;$Z407&amp;" days",IF($AC407="Stale","No update in "&amp;$AA407&amp;" days","Past its "&amp;$AE407&amp;"-day tier window")))))))</f>
        <v/>
      </c>
      <c r="AR407" s="65" t="str">
        <f aca="false">IF($AO407="","","draft Jira update for "&amp;$A407)</f>
        <v/>
      </c>
      <c r="AS407" s="65" t="str">
        <f aca="false">IF($A407="","",HYPERLINK(JiraSite&amp;"/browse/"&amp;$A407,"open"))</f>
        <v/>
      </c>
      <c r="AT407" s="65" t="str">
        <f aca="false">IF($Y407="","",$Y407*1000+ROW())</f>
        <v/>
      </c>
      <c r="AU407" s="65" t="str">
        <f aca="false">IF(AND($A407&lt;&gt;"",$G407&gt;=WeekStart),$G407+ROW()/100000,"")</f>
        <v/>
      </c>
      <c r="AV407" s="65" t="str">
        <f aca="false">IF($A407="","",IF(OR(AND($S407&lt;&gt;"",$S407&gt;=WeekStart),AND($U407&lt;&gt;"",$U407&gt;=WeekStart)),MAX($S407,$U407)+ROW()/100000,""))</f>
        <v/>
      </c>
      <c r="AW407" s="65" t="str">
        <f aca="false">IF($AV407="","",IF($T407&lt;&gt;"",$T407,IF($X407="Closed","Closed","Accepted to "&amp;$X407)))</f>
        <v/>
      </c>
      <c r="AX407" s="65" t="str">
        <f aca="false">IF(AND($Y407&lt;&gt;"",$R407&lt;&gt;""),$AF407+ROW()/100000,"")</f>
        <v/>
      </c>
      <c r="AY407" s="65" t="str">
        <f aca="false">IF(AND($Y407&lt;&gt;"",OR($AB407="Overdue",AND($AH407="Critical",$R407&lt;&gt;""))),$AF407+ROW()/100000,"")</f>
        <v/>
      </c>
      <c r="AZ407" s="65" t="str">
        <f aca="false">IF($AH407="Critical",$AF407+ROW()/100000,"")</f>
        <v/>
      </c>
    </row>
    <row r="408" customFormat="false" ht="15" hidden="false" customHeight="false" outlineLevel="0" collapsed="false">
      <c r="A408" s="28"/>
      <c r="B408" s="28"/>
      <c r="C408" s="28"/>
      <c r="D408" s="28"/>
      <c r="E408" s="28"/>
      <c r="F408" s="28"/>
      <c r="G408" s="63"/>
      <c r="H408" s="63"/>
      <c r="I408" s="63"/>
      <c r="J408" s="28"/>
      <c r="K408" s="28"/>
      <c r="L408" s="28"/>
      <c r="M408" s="28"/>
      <c r="N408" s="28"/>
      <c r="O408" s="64"/>
      <c r="P408" s="64"/>
      <c r="Q408" s="64"/>
      <c r="R408" s="28"/>
      <c r="S408" s="63"/>
      <c r="T408" s="64"/>
      <c r="U408" s="63"/>
      <c r="V408" s="64"/>
      <c r="W408" s="28"/>
      <c r="X408" s="65" t="str">
        <f aca="false">IF($A408="","",IF(OR($T408&lt;&gt;"",$U408&lt;&gt;""),"Closed",IFERROR(INDEX(MapStage,MATCH($C408,MapStatus,0)),"Unmapped")))</f>
        <v/>
      </c>
      <c r="Y408" s="65" t="str">
        <f aca="false">IF(OR($X408="",$X408="Closed",$X408="Unmapped"),"",MATCH($X408,StageName,0))</f>
        <v/>
      </c>
      <c r="Z408" s="65" t="str">
        <f aca="false">IF(OR($Y408="",$I408=""),"",$I408-AsOf)</f>
        <v/>
      </c>
      <c r="AA408" s="65" t="str">
        <f aca="false">IF($A408="","",AsOf-$H408)</f>
        <v/>
      </c>
      <c r="AB408" s="65" t="str">
        <f aca="false">IF($A408="","",IF($X408="Closed","Closed",IF($X408="Unmapped","Unmapped",IF($I408="","No target",IF($Z408&lt;0,"Overdue",IF($Z408&lt;=INDEX(StageWindow,$Y408),"At risk","On track"))))))</f>
        <v/>
      </c>
      <c r="AC408" s="65" t="str">
        <f aca="false">IF($Y408="","",IF($AA408&gt;2*INDEX(StageStale,$Y408),"Stale",IF($AA408&gt;INDEX(StageStale,$Y408),"Aging","Fresh")))</f>
        <v/>
      </c>
      <c r="AD408" s="65" t="str">
        <f aca="false">IF($A408="","",IF(OR(ISNUMBER(SEARCH("Reg report",$J408)),ISNUMBER(SEARCH("No human review",$J408)),COUNTIF(TierFuncs,$D408)&gt;0),"High",IF(OR(TRIM($J408)&lt;&gt;"",ISNUMBER(SEARCH("revenue",$K408))),"Medium","Low")))</f>
        <v/>
      </c>
      <c r="AE408" s="65" t="str">
        <f aca="false">IF($A408="","",INDEX(TierDays,MATCH($AD408,TierName,0)))</f>
        <v/>
      </c>
      <c r="AF408" s="65" t="str">
        <f aca="false">IF($A408="","",AsOf-$G408)</f>
        <v/>
      </c>
      <c r="AG408" s="65" t="str">
        <f aca="false">IF($Y408="","",IF($Y408&lt;=5,IF($AF408&gt;$AE408,"Over","Inside"),"Past approval"))</f>
        <v/>
      </c>
      <c r="AH408" s="65" t="str">
        <f aca="false">IF($Y408="","",CHOOSE($Y408,IF(OR(TRIM($F408)="",ISNUMBER(SEARCH("not named",$F408))),"Critical","Good"),IF($O408&lt;&gt;"Y","Critical",IF($Q408&lt;&gt;"Y","Warning","Good")),IF($P408="","Critical",IF($P408="partial","Warning",IF($P408="ready","Good","Critical"))),IF($R408&lt;&gt;"","Critical","Warning"),IF($L408="","Critical",IF($N408="","Warning","Good")),IF($R408&lt;&gt;"","Critical","Warning"),IF($R408&lt;&gt;"","Critical","Warning"),IF($Q408="Y","Good","Critical")))</f>
        <v/>
      </c>
      <c r="AI408" s="65" t="str">
        <f aca="false">IF($Y408="","",CHOOSE($Y408,IF(OR(TRIM($F408)="",ISNUMBER(SEARCH("not named",$F408))),"Name a sponsor accountable for the value",""),IF($O408&lt;&gt;"Y","State the success metric and the stop condition",IF($Q408&lt;&gt;"Y","Set the baseline the benefit will be measured against","")),IF($P408="","Assess data readiness and regulatory impact",IF($P408="partial","Close the known data gaps",IF($P408="ready","","Data is not available; reshape or park"))),IF($R408&lt;&gt;"",IF(OR(ISNUMBER(SEARCH("mrm",$R408)),ISNUMBER(SEARCH("model",$R408)),ISNUMBER(SEARCH("risk",$R408)),ISNUMBER(SEARCH("legal",$R408)),ISNUMBER(SEARCH("complian",$R408))),"Awaiting ","Held at the design gate: ")&amp;$R408,"Map the governance framework for its tier"),IF($L408="","Size the annual benefit",IF($N408="","Score it so it can be ranked against capacity","")),IF($R408&lt;&gt;"","Build held: "&amp;$R408,"In build, not yet through test"),IF($R408&lt;&gt;"","Not ready to scale: "&amp;$R408,"Monitoring and third-party review not yet signed off"),IF($Q408="Y","","Live without a measured baseline to judge it against")))</f>
        <v/>
      </c>
      <c r="AJ408" s="65" t="str">
        <f aca="false">IF($Y408="","",INDEX(StageForum,$Y408))</f>
        <v/>
      </c>
      <c r="AK408" s="65" t="str">
        <f aca="false">IF($Y408="","",IF(OR($X408="Delivery",$X408="Value"),"Committed",IF($N408&lt;&gt;"","Candidate","")))</f>
        <v/>
      </c>
      <c r="AL408" s="65" t="str">
        <f aca="false">IF($AK408&lt;&gt;"Candidate","",COUNTIFS($AK$2:$AK$501,"Candidate",$N$2:$N$501,"&gt;"&amp;$N408)+COUNTIFS($AK$2:$AK$501,"Candidate",$N$2:$N$501,$N408,$A$2:$A$501,"&lt;"&amp;$A408)+1)</f>
        <v/>
      </c>
      <c r="AM408" s="65" t="str">
        <f aca="false">IF($AL408="","",SUMIFS($M$2:$M$501,$AK$2:$AK$501,"Candidate",$AL$2:$AL$501,"&lt;="&amp;$AL408))</f>
        <v/>
      </c>
      <c r="AN408" s="65" t="str">
        <f aca="false">IF($AL408="","",IF($AM408&lt;=CapacityOpen,"Fits","Below line"))</f>
        <v/>
      </c>
      <c r="AO408" s="65" t="str">
        <f aca="false">IF($A408="","",IF($X408="Closed","",IF($X408="Unmapped","Warning",IF(OR($AB408="Overdue",$V408="Y",$AH408="Critical"),"Critical",IF(OR($AB408="At risk",$AC408="Stale",$AG408="Over"),"Warning","")))))</f>
        <v/>
      </c>
      <c r="AP408" s="65" t="str">
        <f aca="false">IF($AO408="","",IF($AO408="Critical",3000,2000)-IF($Z408="",0,$Z408)+ROW()/100000)</f>
        <v/>
      </c>
      <c r="AQ408" s="65" t="str">
        <f aca="false">IF($AO408="","",IF($X408="Unmapped","Status '"&amp;$C408&amp;"' is not in the Config map",IF($V408="Y","Flagged in Jira",IF($AB408="Overdue",-$Z408&amp;" days past its "&amp;$X408&amp;" target",IF($AH408="Critical",$AI408,IF($AB408="At risk","Target in "&amp;$Z408&amp;" days",IF($AC408="Stale","No update in "&amp;$AA408&amp;" days","Past its "&amp;$AE408&amp;"-day tier window")))))))</f>
        <v/>
      </c>
      <c r="AR408" s="65" t="str">
        <f aca="false">IF($AO408="","","draft Jira update for "&amp;$A408)</f>
        <v/>
      </c>
      <c r="AS408" s="65" t="str">
        <f aca="false">IF($A408="","",HYPERLINK(JiraSite&amp;"/browse/"&amp;$A408,"open"))</f>
        <v/>
      </c>
      <c r="AT408" s="65" t="str">
        <f aca="false">IF($Y408="","",$Y408*1000+ROW())</f>
        <v/>
      </c>
      <c r="AU408" s="65" t="str">
        <f aca="false">IF(AND($A408&lt;&gt;"",$G408&gt;=WeekStart),$G408+ROW()/100000,"")</f>
        <v/>
      </c>
      <c r="AV408" s="65" t="str">
        <f aca="false">IF($A408="","",IF(OR(AND($S408&lt;&gt;"",$S408&gt;=WeekStart),AND($U408&lt;&gt;"",$U408&gt;=WeekStart)),MAX($S408,$U408)+ROW()/100000,""))</f>
        <v/>
      </c>
      <c r="AW408" s="65" t="str">
        <f aca="false">IF($AV408="","",IF($T408&lt;&gt;"",$T408,IF($X408="Closed","Closed","Accepted to "&amp;$X408)))</f>
        <v/>
      </c>
      <c r="AX408" s="65" t="str">
        <f aca="false">IF(AND($Y408&lt;&gt;"",$R408&lt;&gt;""),$AF408+ROW()/100000,"")</f>
        <v/>
      </c>
      <c r="AY408" s="65" t="str">
        <f aca="false">IF(AND($Y408&lt;&gt;"",OR($AB408="Overdue",AND($AH408="Critical",$R408&lt;&gt;""))),$AF408+ROW()/100000,"")</f>
        <v/>
      </c>
      <c r="AZ408" s="65" t="str">
        <f aca="false">IF($AH408="Critical",$AF408+ROW()/100000,"")</f>
        <v/>
      </c>
    </row>
    <row r="409" customFormat="false" ht="15" hidden="false" customHeight="false" outlineLevel="0" collapsed="false">
      <c r="A409" s="28"/>
      <c r="B409" s="28"/>
      <c r="C409" s="28"/>
      <c r="D409" s="28"/>
      <c r="E409" s="28"/>
      <c r="F409" s="28"/>
      <c r="G409" s="63"/>
      <c r="H409" s="63"/>
      <c r="I409" s="63"/>
      <c r="J409" s="28"/>
      <c r="K409" s="28"/>
      <c r="L409" s="28"/>
      <c r="M409" s="28"/>
      <c r="N409" s="28"/>
      <c r="O409" s="64"/>
      <c r="P409" s="64"/>
      <c r="Q409" s="64"/>
      <c r="R409" s="28"/>
      <c r="S409" s="63"/>
      <c r="T409" s="64"/>
      <c r="U409" s="63"/>
      <c r="V409" s="64"/>
      <c r="W409" s="28"/>
      <c r="X409" s="65" t="str">
        <f aca="false">IF($A409="","",IF(OR($T409&lt;&gt;"",$U409&lt;&gt;""),"Closed",IFERROR(INDEX(MapStage,MATCH($C409,MapStatus,0)),"Unmapped")))</f>
        <v/>
      </c>
      <c r="Y409" s="65" t="str">
        <f aca="false">IF(OR($X409="",$X409="Closed",$X409="Unmapped"),"",MATCH($X409,StageName,0))</f>
        <v/>
      </c>
      <c r="Z409" s="65" t="str">
        <f aca="false">IF(OR($Y409="",$I409=""),"",$I409-AsOf)</f>
        <v/>
      </c>
      <c r="AA409" s="65" t="str">
        <f aca="false">IF($A409="","",AsOf-$H409)</f>
        <v/>
      </c>
      <c r="AB409" s="65" t="str">
        <f aca="false">IF($A409="","",IF($X409="Closed","Closed",IF($X409="Unmapped","Unmapped",IF($I409="","No target",IF($Z409&lt;0,"Overdue",IF($Z409&lt;=INDEX(StageWindow,$Y409),"At risk","On track"))))))</f>
        <v/>
      </c>
      <c r="AC409" s="65" t="str">
        <f aca="false">IF($Y409="","",IF($AA409&gt;2*INDEX(StageStale,$Y409),"Stale",IF($AA409&gt;INDEX(StageStale,$Y409),"Aging","Fresh")))</f>
        <v/>
      </c>
      <c r="AD409" s="65" t="str">
        <f aca="false">IF($A409="","",IF(OR(ISNUMBER(SEARCH("Reg report",$J409)),ISNUMBER(SEARCH("No human review",$J409)),COUNTIF(TierFuncs,$D409)&gt;0),"High",IF(OR(TRIM($J409)&lt;&gt;"",ISNUMBER(SEARCH("revenue",$K409))),"Medium","Low")))</f>
        <v/>
      </c>
      <c r="AE409" s="65" t="str">
        <f aca="false">IF($A409="","",INDEX(TierDays,MATCH($AD409,TierName,0)))</f>
        <v/>
      </c>
      <c r="AF409" s="65" t="str">
        <f aca="false">IF($A409="","",AsOf-$G409)</f>
        <v/>
      </c>
      <c r="AG409" s="65" t="str">
        <f aca="false">IF($Y409="","",IF($Y409&lt;=5,IF($AF409&gt;$AE409,"Over","Inside"),"Past approval"))</f>
        <v/>
      </c>
      <c r="AH409" s="65" t="str">
        <f aca="false">IF($Y409="","",CHOOSE($Y409,IF(OR(TRIM($F409)="",ISNUMBER(SEARCH("not named",$F409))),"Critical","Good"),IF($O409&lt;&gt;"Y","Critical",IF($Q409&lt;&gt;"Y","Warning","Good")),IF($P409="","Critical",IF($P409="partial","Warning",IF($P409="ready","Good","Critical"))),IF($R409&lt;&gt;"","Critical","Warning"),IF($L409="","Critical",IF($N409="","Warning","Good")),IF($R409&lt;&gt;"","Critical","Warning"),IF($R409&lt;&gt;"","Critical","Warning"),IF($Q409="Y","Good","Critical")))</f>
        <v/>
      </c>
      <c r="AI409" s="65" t="str">
        <f aca="false">IF($Y409="","",CHOOSE($Y409,IF(OR(TRIM($F409)="",ISNUMBER(SEARCH("not named",$F409))),"Name a sponsor accountable for the value",""),IF($O409&lt;&gt;"Y","State the success metric and the stop condition",IF($Q409&lt;&gt;"Y","Set the baseline the benefit will be measured against","")),IF($P409="","Assess data readiness and regulatory impact",IF($P409="partial","Close the known data gaps",IF($P409="ready","","Data is not available; reshape or park"))),IF($R409&lt;&gt;"",IF(OR(ISNUMBER(SEARCH("mrm",$R409)),ISNUMBER(SEARCH("model",$R409)),ISNUMBER(SEARCH("risk",$R409)),ISNUMBER(SEARCH("legal",$R409)),ISNUMBER(SEARCH("complian",$R409))),"Awaiting ","Held at the design gate: ")&amp;$R409,"Map the governance framework for its tier"),IF($L409="","Size the annual benefit",IF($N409="","Score it so it can be ranked against capacity","")),IF($R409&lt;&gt;"","Build held: "&amp;$R409,"In build, not yet through test"),IF($R409&lt;&gt;"","Not ready to scale: "&amp;$R409,"Monitoring and third-party review not yet signed off"),IF($Q409="Y","","Live without a measured baseline to judge it against")))</f>
        <v/>
      </c>
      <c r="AJ409" s="65" t="str">
        <f aca="false">IF($Y409="","",INDEX(StageForum,$Y409))</f>
        <v/>
      </c>
      <c r="AK409" s="65" t="str">
        <f aca="false">IF($Y409="","",IF(OR($X409="Delivery",$X409="Value"),"Committed",IF($N409&lt;&gt;"","Candidate","")))</f>
        <v/>
      </c>
      <c r="AL409" s="65" t="str">
        <f aca="false">IF($AK409&lt;&gt;"Candidate","",COUNTIFS($AK$2:$AK$501,"Candidate",$N$2:$N$501,"&gt;"&amp;$N409)+COUNTIFS($AK$2:$AK$501,"Candidate",$N$2:$N$501,$N409,$A$2:$A$501,"&lt;"&amp;$A409)+1)</f>
        <v/>
      </c>
      <c r="AM409" s="65" t="str">
        <f aca="false">IF($AL409="","",SUMIFS($M$2:$M$501,$AK$2:$AK$501,"Candidate",$AL$2:$AL$501,"&lt;="&amp;$AL409))</f>
        <v/>
      </c>
      <c r="AN409" s="65" t="str">
        <f aca="false">IF($AL409="","",IF($AM409&lt;=CapacityOpen,"Fits","Below line"))</f>
        <v/>
      </c>
      <c r="AO409" s="65" t="str">
        <f aca="false">IF($A409="","",IF($X409="Closed","",IF($X409="Unmapped","Warning",IF(OR($AB409="Overdue",$V409="Y",$AH409="Critical"),"Critical",IF(OR($AB409="At risk",$AC409="Stale",$AG409="Over"),"Warning","")))))</f>
        <v/>
      </c>
      <c r="AP409" s="65" t="str">
        <f aca="false">IF($AO409="","",IF($AO409="Critical",3000,2000)-IF($Z409="",0,$Z409)+ROW()/100000)</f>
        <v/>
      </c>
      <c r="AQ409" s="65" t="str">
        <f aca="false">IF($AO409="","",IF($X409="Unmapped","Status '"&amp;$C409&amp;"' is not in the Config map",IF($V409="Y","Flagged in Jira",IF($AB409="Overdue",-$Z409&amp;" days past its "&amp;$X409&amp;" target",IF($AH409="Critical",$AI409,IF($AB409="At risk","Target in "&amp;$Z409&amp;" days",IF($AC409="Stale","No update in "&amp;$AA409&amp;" days","Past its "&amp;$AE409&amp;"-day tier window")))))))</f>
        <v/>
      </c>
      <c r="AR409" s="65" t="str">
        <f aca="false">IF($AO409="","","draft Jira update for "&amp;$A409)</f>
        <v/>
      </c>
      <c r="AS409" s="65" t="str">
        <f aca="false">IF($A409="","",HYPERLINK(JiraSite&amp;"/browse/"&amp;$A409,"open"))</f>
        <v/>
      </c>
      <c r="AT409" s="65" t="str">
        <f aca="false">IF($Y409="","",$Y409*1000+ROW())</f>
        <v/>
      </c>
      <c r="AU409" s="65" t="str">
        <f aca="false">IF(AND($A409&lt;&gt;"",$G409&gt;=WeekStart),$G409+ROW()/100000,"")</f>
        <v/>
      </c>
      <c r="AV409" s="65" t="str">
        <f aca="false">IF($A409="","",IF(OR(AND($S409&lt;&gt;"",$S409&gt;=WeekStart),AND($U409&lt;&gt;"",$U409&gt;=WeekStart)),MAX($S409,$U409)+ROW()/100000,""))</f>
        <v/>
      </c>
      <c r="AW409" s="65" t="str">
        <f aca="false">IF($AV409="","",IF($T409&lt;&gt;"",$T409,IF($X409="Closed","Closed","Accepted to "&amp;$X409)))</f>
        <v/>
      </c>
      <c r="AX409" s="65" t="str">
        <f aca="false">IF(AND($Y409&lt;&gt;"",$R409&lt;&gt;""),$AF409+ROW()/100000,"")</f>
        <v/>
      </c>
      <c r="AY409" s="65" t="str">
        <f aca="false">IF(AND($Y409&lt;&gt;"",OR($AB409="Overdue",AND($AH409="Critical",$R409&lt;&gt;""))),$AF409+ROW()/100000,"")</f>
        <v/>
      </c>
      <c r="AZ409" s="65" t="str">
        <f aca="false">IF($AH409="Critical",$AF409+ROW()/100000,"")</f>
        <v/>
      </c>
    </row>
    <row r="410" customFormat="false" ht="15" hidden="false" customHeight="false" outlineLevel="0" collapsed="false">
      <c r="A410" s="28"/>
      <c r="B410" s="28"/>
      <c r="C410" s="28"/>
      <c r="D410" s="28"/>
      <c r="E410" s="28"/>
      <c r="F410" s="28"/>
      <c r="G410" s="63"/>
      <c r="H410" s="63"/>
      <c r="I410" s="63"/>
      <c r="J410" s="28"/>
      <c r="K410" s="28"/>
      <c r="L410" s="28"/>
      <c r="M410" s="28"/>
      <c r="N410" s="28"/>
      <c r="O410" s="64"/>
      <c r="P410" s="64"/>
      <c r="Q410" s="64"/>
      <c r="R410" s="28"/>
      <c r="S410" s="63"/>
      <c r="T410" s="64"/>
      <c r="U410" s="63"/>
      <c r="V410" s="64"/>
      <c r="W410" s="28"/>
      <c r="X410" s="65" t="str">
        <f aca="false">IF($A410="","",IF(OR($T410&lt;&gt;"",$U410&lt;&gt;""),"Closed",IFERROR(INDEX(MapStage,MATCH($C410,MapStatus,0)),"Unmapped")))</f>
        <v/>
      </c>
      <c r="Y410" s="65" t="str">
        <f aca="false">IF(OR($X410="",$X410="Closed",$X410="Unmapped"),"",MATCH($X410,StageName,0))</f>
        <v/>
      </c>
      <c r="Z410" s="65" t="str">
        <f aca="false">IF(OR($Y410="",$I410=""),"",$I410-AsOf)</f>
        <v/>
      </c>
      <c r="AA410" s="65" t="str">
        <f aca="false">IF($A410="","",AsOf-$H410)</f>
        <v/>
      </c>
      <c r="AB410" s="65" t="str">
        <f aca="false">IF($A410="","",IF($X410="Closed","Closed",IF($X410="Unmapped","Unmapped",IF($I410="","No target",IF($Z410&lt;0,"Overdue",IF($Z410&lt;=INDEX(StageWindow,$Y410),"At risk","On track"))))))</f>
        <v/>
      </c>
      <c r="AC410" s="65" t="str">
        <f aca="false">IF($Y410="","",IF($AA410&gt;2*INDEX(StageStale,$Y410),"Stale",IF($AA410&gt;INDEX(StageStale,$Y410),"Aging","Fresh")))</f>
        <v/>
      </c>
      <c r="AD410" s="65" t="str">
        <f aca="false">IF($A410="","",IF(OR(ISNUMBER(SEARCH("Reg report",$J410)),ISNUMBER(SEARCH("No human review",$J410)),COUNTIF(TierFuncs,$D410)&gt;0),"High",IF(OR(TRIM($J410)&lt;&gt;"",ISNUMBER(SEARCH("revenue",$K410))),"Medium","Low")))</f>
        <v/>
      </c>
      <c r="AE410" s="65" t="str">
        <f aca="false">IF($A410="","",INDEX(TierDays,MATCH($AD410,TierName,0)))</f>
        <v/>
      </c>
      <c r="AF410" s="65" t="str">
        <f aca="false">IF($A410="","",AsOf-$G410)</f>
        <v/>
      </c>
      <c r="AG410" s="65" t="str">
        <f aca="false">IF($Y410="","",IF($Y410&lt;=5,IF($AF410&gt;$AE410,"Over","Inside"),"Past approval"))</f>
        <v/>
      </c>
      <c r="AH410" s="65" t="str">
        <f aca="false">IF($Y410="","",CHOOSE($Y410,IF(OR(TRIM($F410)="",ISNUMBER(SEARCH("not named",$F410))),"Critical","Good"),IF($O410&lt;&gt;"Y","Critical",IF($Q410&lt;&gt;"Y","Warning","Good")),IF($P410="","Critical",IF($P410="partial","Warning",IF($P410="ready","Good","Critical"))),IF($R410&lt;&gt;"","Critical","Warning"),IF($L410="","Critical",IF($N410="","Warning","Good")),IF($R410&lt;&gt;"","Critical","Warning"),IF($R410&lt;&gt;"","Critical","Warning"),IF($Q410="Y","Good","Critical")))</f>
        <v/>
      </c>
      <c r="AI410" s="65" t="str">
        <f aca="false">IF($Y410="","",CHOOSE($Y410,IF(OR(TRIM($F410)="",ISNUMBER(SEARCH("not named",$F410))),"Name a sponsor accountable for the value",""),IF($O410&lt;&gt;"Y","State the success metric and the stop condition",IF($Q410&lt;&gt;"Y","Set the baseline the benefit will be measured against","")),IF($P410="","Assess data readiness and regulatory impact",IF($P410="partial","Close the known data gaps",IF($P410="ready","","Data is not available; reshape or park"))),IF($R410&lt;&gt;"",IF(OR(ISNUMBER(SEARCH("mrm",$R410)),ISNUMBER(SEARCH("model",$R410)),ISNUMBER(SEARCH("risk",$R410)),ISNUMBER(SEARCH("legal",$R410)),ISNUMBER(SEARCH("complian",$R410))),"Awaiting ","Held at the design gate: ")&amp;$R410,"Map the governance framework for its tier"),IF($L410="","Size the annual benefit",IF($N410="","Score it so it can be ranked against capacity","")),IF($R410&lt;&gt;"","Build held: "&amp;$R410,"In build, not yet through test"),IF($R410&lt;&gt;"","Not ready to scale: "&amp;$R410,"Monitoring and third-party review not yet signed off"),IF($Q410="Y","","Live without a measured baseline to judge it against")))</f>
        <v/>
      </c>
      <c r="AJ410" s="65" t="str">
        <f aca="false">IF($Y410="","",INDEX(StageForum,$Y410))</f>
        <v/>
      </c>
      <c r="AK410" s="65" t="str">
        <f aca="false">IF($Y410="","",IF(OR($X410="Delivery",$X410="Value"),"Committed",IF($N410&lt;&gt;"","Candidate","")))</f>
        <v/>
      </c>
      <c r="AL410" s="65" t="str">
        <f aca="false">IF($AK410&lt;&gt;"Candidate","",COUNTIFS($AK$2:$AK$501,"Candidate",$N$2:$N$501,"&gt;"&amp;$N410)+COUNTIFS($AK$2:$AK$501,"Candidate",$N$2:$N$501,$N410,$A$2:$A$501,"&lt;"&amp;$A410)+1)</f>
        <v/>
      </c>
      <c r="AM410" s="65" t="str">
        <f aca="false">IF($AL410="","",SUMIFS($M$2:$M$501,$AK$2:$AK$501,"Candidate",$AL$2:$AL$501,"&lt;="&amp;$AL410))</f>
        <v/>
      </c>
      <c r="AN410" s="65" t="str">
        <f aca="false">IF($AL410="","",IF($AM410&lt;=CapacityOpen,"Fits","Below line"))</f>
        <v/>
      </c>
      <c r="AO410" s="65" t="str">
        <f aca="false">IF($A410="","",IF($X410="Closed","",IF($X410="Unmapped","Warning",IF(OR($AB410="Overdue",$V410="Y",$AH410="Critical"),"Critical",IF(OR($AB410="At risk",$AC410="Stale",$AG410="Over"),"Warning","")))))</f>
        <v/>
      </c>
      <c r="AP410" s="65" t="str">
        <f aca="false">IF($AO410="","",IF($AO410="Critical",3000,2000)-IF($Z410="",0,$Z410)+ROW()/100000)</f>
        <v/>
      </c>
      <c r="AQ410" s="65" t="str">
        <f aca="false">IF($AO410="","",IF($X410="Unmapped","Status '"&amp;$C410&amp;"' is not in the Config map",IF($V410="Y","Flagged in Jira",IF($AB410="Overdue",-$Z410&amp;" days past its "&amp;$X410&amp;" target",IF($AH410="Critical",$AI410,IF($AB410="At risk","Target in "&amp;$Z410&amp;" days",IF($AC410="Stale","No update in "&amp;$AA410&amp;" days","Past its "&amp;$AE410&amp;"-day tier window")))))))</f>
        <v/>
      </c>
      <c r="AR410" s="65" t="str">
        <f aca="false">IF($AO410="","","draft Jira update for "&amp;$A410)</f>
        <v/>
      </c>
      <c r="AS410" s="65" t="str">
        <f aca="false">IF($A410="","",HYPERLINK(JiraSite&amp;"/browse/"&amp;$A410,"open"))</f>
        <v/>
      </c>
      <c r="AT410" s="65" t="str">
        <f aca="false">IF($Y410="","",$Y410*1000+ROW())</f>
        <v/>
      </c>
      <c r="AU410" s="65" t="str">
        <f aca="false">IF(AND($A410&lt;&gt;"",$G410&gt;=WeekStart),$G410+ROW()/100000,"")</f>
        <v/>
      </c>
      <c r="AV410" s="65" t="str">
        <f aca="false">IF($A410="","",IF(OR(AND($S410&lt;&gt;"",$S410&gt;=WeekStart),AND($U410&lt;&gt;"",$U410&gt;=WeekStart)),MAX($S410,$U410)+ROW()/100000,""))</f>
        <v/>
      </c>
      <c r="AW410" s="65" t="str">
        <f aca="false">IF($AV410="","",IF($T410&lt;&gt;"",$T410,IF($X410="Closed","Closed","Accepted to "&amp;$X410)))</f>
        <v/>
      </c>
      <c r="AX410" s="65" t="str">
        <f aca="false">IF(AND($Y410&lt;&gt;"",$R410&lt;&gt;""),$AF410+ROW()/100000,"")</f>
        <v/>
      </c>
      <c r="AY410" s="65" t="str">
        <f aca="false">IF(AND($Y410&lt;&gt;"",OR($AB410="Overdue",AND($AH410="Critical",$R410&lt;&gt;""))),$AF410+ROW()/100000,"")</f>
        <v/>
      </c>
      <c r="AZ410" s="65" t="str">
        <f aca="false">IF($AH410="Critical",$AF410+ROW()/100000,"")</f>
        <v/>
      </c>
    </row>
    <row r="411" customFormat="false" ht="15" hidden="false" customHeight="false" outlineLevel="0" collapsed="false">
      <c r="A411" s="28"/>
      <c r="B411" s="28"/>
      <c r="C411" s="28"/>
      <c r="D411" s="28"/>
      <c r="E411" s="28"/>
      <c r="F411" s="28"/>
      <c r="G411" s="63"/>
      <c r="H411" s="63"/>
      <c r="I411" s="63"/>
      <c r="J411" s="28"/>
      <c r="K411" s="28"/>
      <c r="L411" s="28"/>
      <c r="M411" s="28"/>
      <c r="N411" s="28"/>
      <c r="O411" s="64"/>
      <c r="P411" s="64"/>
      <c r="Q411" s="64"/>
      <c r="R411" s="28"/>
      <c r="S411" s="63"/>
      <c r="T411" s="64"/>
      <c r="U411" s="63"/>
      <c r="V411" s="64"/>
      <c r="W411" s="28"/>
      <c r="X411" s="65" t="str">
        <f aca="false">IF($A411="","",IF(OR($T411&lt;&gt;"",$U411&lt;&gt;""),"Closed",IFERROR(INDEX(MapStage,MATCH($C411,MapStatus,0)),"Unmapped")))</f>
        <v/>
      </c>
      <c r="Y411" s="65" t="str">
        <f aca="false">IF(OR($X411="",$X411="Closed",$X411="Unmapped"),"",MATCH($X411,StageName,0))</f>
        <v/>
      </c>
      <c r="Z411" s="65" t="str">
        <f aca="false">IF(OR($Y411="",$I411=""),"",$I411-AsOf)</f>
        <v/>
      </c>
      <c r="AA411" s="65" t="str">
        <f aca="false">IF($A411="","",AsOf-$H411)</f>
        <v/>
      </c>
      <c r="AB411" s="65" t="str">
        <f aca="false">IF($A411="","",IF($X411="Closed","Closed",IF($X411="Unmapped","Unmapped",IF($I411="","No target",IF($Z411&lt;0,"Overdue",IF($Z411&lt;=INDEX(StageWindow,$Y411),"At risk","On track"))))))</f>
        <v/>
      </c>
      <c r="AC411" s="65" t="str">
        <f aca="false">IF($Y411="","",IF($AA411&gt;2*INDEX(StageStale,$Y411),"Stale",IF($AA411&gt;INDEX(StageStale,$Y411),"Aging","Fresh")))</f>
        <v/>
      </c>
      <c r="AD411" s="65" t="str">
        <f aca="false">IF($A411="","",IF(OR(ISNUMBER(SEARCH("Reg report",$J411)),ISNUMBER(SEARCH("No human review",$J411)),COUNTIF(TierFuncs,$D411)&gt;0),"High",IF(OR(TRIM($J411)&lt;&gt;"",ISNUMBER(SEARCH("revenue",$K411))),"Medium","Low")))</f>
        <v/>
      </c>
      <c r="AE411" s="65" t="str">
        <f aca="false">IF($A411="","",INDEX(TierDays,MATCH($AD411,TierName,0)))</f>
        <v/>
      </c>
      <c r="AF411" s="65" t="str">
        <f aca="false">IF($A411="","",AsOf-$G411)</f>
        <v/>
      </c>
      <c r="AG411" s="65" t="str">
        <f aca="false">IF($Y411="","",IF($Y411&lt;=5,IF($AF411&gt;$AE411,"Over","Inside"),"Past approval"))</f>
        <v/>
      </c>
      <c r="AH411" s="65" t="str">
        <f aca="false">IF($Y411="","",CHOOSE($Y411,IF(OR(TRIM($F411)="",ISNUMBER(SEARCH("not named",$F411))),"Critical","Good"),IF($O411&lt;&gt;"Y","Critical",IF($Q411&lt;&gt;"Y","Warning","Good")),IF($P411="","Critical",IF($P411="partial","Warning",IF($P411="ready","Good","Critical"))),IF($R411&lt;&gt;"","Critical","Warning"),IF($L411="","Critical",IF($N411="","Warning","Good")),IF($R411&lt;&gt;"","Critical","Warning"),IF($R411&lt;&gt;"","Critical","Warning"),IF($Q411="Y","Good","Critical")))</f>
        <v/>
      </c>
      <c r="AI411" s="65" t="str">
        <f aca="false">IF($Y411="","",CHOOSE($Y411,IF(OR(TRIM($F411)="",ISNUMBER(SEARCH("not named",$F411))),"Name a sponsor accountable for the value",""),IF($O411&lt;&gt;"Y","State the success metric and the stop condition",IF($Q411&lt;&gt;"Y","Set the baseline the benefit will be measured against","")),IF($P411="","Assess data readiness and regulatory impact",IF($P411="partial","Close the known data gaps",IF($P411="ready","","Data is not available; reshape or park"))),IF($R411&lt;&gt;"",IF(OR(ISNUMBER(SEARCH("mrm",$R411)),ISNUMBER(SEARCH("model",$R411)),ISNUMBER(SEARCH("risk",$R411)),ISNUMBER(SEARCH("legal",$R411)),ISNUMBER(SEARCH("complian",$R411))),"Awaiting ","Held at the design gate: ")&amp;$R411,"Map the governance framework for its tier"),IF($L411="","Size the annual benefit",IF($N411="","Score it so it can be ranked against capacity","")),IF($R411&lt;&gt;"","Build held: "&amp;$R411,"In build, not yet through test"),IF($R411&lt;&gt;"","Not ready to scale: "&amp;$R411,"Monitoring and third-party review not yet signed off"),IF($Q411="Y","","Live without a measured baseline to judge it against")))</f>
        <v/>
      </c>
      <c r="AJ411" s="65" t="str">
        <f aca="false">IF($Y411="","",INDEX(StageForum,$Y411))</f>
        <v/>
      </c>
      <c r="AK411" s="65" t="str">
        <f aca="false">IF($Y411="","",IF(OR($X411="Delivery",$X411="Value"),"Committed",IF($N411&lt;&gt;"","Candidate","")))</f>
        <v/>
      </c>
      <c r="AL411" s="65" t="str">
        <f aca="false">IF($AK411&lt;&gt;"Candidate","",COUNTIFS($AK$2:$AK$501,"Candidate",$N$2:$N$501,"&gt;"&amp;$N411)+COUNTIFS($AK$2:$AK$501,"Candidate",$N$2:$N$501,$N411,$A$2:$A$501,"&lt;"&amp;$A411)+1)</f>
        <v/>
      </c>
      <c r="AM411" s="65" t="str">
        <f aca="false">IF($AL411="","",SUMIFS($M$2:$M$501,$AK$2:$AK$501,"Candidate",$AL$2:$AL$501,"&lt;="&amp;$AL411))</f>
        <v/>
      </c>
      <c r="AN411" s="65" t="str">
        <f aca="false">IF($AL411="","",IF($AM411&lt;=CapacityOpen,"Fits","Below line"))</f>
        <v/>
      </c>
      <c r="AO411" s="65" t="str">
        <f aca="false">IF($A411="","",IF($X411="Closed","",IF($X411="Unmapped","Warning",IF(OR($AB411="Overdue",$V411="Y",$AH411="Critical"),"Critical",IF(OR($AB411="At risk",$AC411="Stale",$AG411="Over"),"Warning","")))))</f>
        <v/>
      </c>
      <c r="AP411" s="65" t="str">
        <f aca="false">IF($AO411="","",IF($AO411="Critical",3000,2000)-IF($Z411="",0,$Z411)+ROW()/100000)</f>
        <v/>
      </c>
      <c r="AQ411" s="65" t="str">
        <f aca="false">IF($AO411="","",IF($X411="Unmapped","Status '"&amp;$C411&amp;"' is not in the Config map",IF($V411="Y","Flagged in Jira",IF($AB411="Overdue",-$Z411&amp;" days past its "&amp;$X411&amp;" target",IF($AH411="Critical",$AI411,IF($AB411="At risk","Target in "&amp;$Z411&amp;" days",IF($AC411="Stale","No update in "&amp;$AA411&amp;" days","Past its "&amp;$AE411&amp;"-day tier window")))))))</f>
        <v/>
      </c>
      <c r="AR411" s="65" t="str">
        <f aca="false">IF($AO411="","","draft Jira update for "&amp;$A411)</f>
        <v/>
      </c>
      <c r="AS411" s="65" t="str">
        <f aca="false">IF($A411="","",HYPERLINK(JiraSite&amp;"/browse/"&amp;$A411,"open"))</f>
        <v/>
      </c>
      <c r="AT411" s="65" t="str">
        <f aca="false">IF($Y411="","",$Y411*1000+ROW())</f>
        <v/>
      </c>
      <c r="AU411" s="65" t="str">
        <f aca="false">IF(AND($A411&lt;&gt;"",$G411&gt;=WeekStart),$G411+ROW()/100000,"")</f>
        <v/>
      </c>
      <c r="AV411" s="65" t="str">
        <f aca="false">IF($A411="","",IF(OR(AND($S411&lt;&gt;"",$S411&gt;=WeekStart),AND($U411&lt;&gt;"",$U411&gt;=WeekStart)),MAX($S411,$U411)+ROW()/100000,""))</f>
        <v/>
      </c>
      <c r="AW411" s="65" t="str">
        <f aca="false">IF($AV411="","",IF($T411&lt;&gt;"",$T411,IF($X411="Closed","Closed","Accepted to "&amp;$X411)))</f>
        <v/>
      </c>
      <c r="AX411" s="65" t="str">
        <f aca="false">IF(AND($Y411&lt;&gt;"",$R411&lt;&gt;""),$AF411+ROW()/100000,"")</f>
        <v/>
      </c>
      <c r="AY411" s="65" t="str">
        <f aca="false">IF(AND($Y411&lt;&gt;"",OR($AB411="Overdue",AND($AH411="Critical",$R411&lt;&gt;""))),$AF411+ROW()/100000,"")</f>
        <v/>
      </c>
      <c r="AZ411" s="65" t="str">
        <f aca="false">IF($AH411="Critical",$AF411+ROW()/100000,"")</f>
        <v/>
      </c>
    </row>
    <row r="412" customFormat="false" ht="15" hidden="false" customHeight="false" outlineLevel="0" collapsed="false">
      <c r="A412" s="28"/>
      <c r="B412" s="28"/>
      <c r="C412" s="28"/>
      <c r="D412" s="28"/>
      <c r="E412" s="28"/>
      <c r="F412" s="28"/>
      <c r="G412" s="63"/>
      <c r="H412" s="63"/>
      <c r="I412" s="63"/>
      <c r="J412" s="28"/>
      <c r="K412" s="28"/>
      <c r="L412" s="28"/>
      <c r="M412" s="28"/>
      <c r="N412" s="28"/>
      <c r="O412" s="64"/>
      <c r="P412" s="64"/>
      <c r="Q412" s="64"/>
      <c r="R412" s="28"/>
      <c r="S412" s="63"/>
      <c r="T412" s="64"/>
      <c r="U412" s="63"/>
      <c r="V412" s="64"/>
      <c r="W412" s="28"/>
      <c r="X412" s="65" t="str">
        <f aca="false">IF($A412="","",IF(OR($T412&lt;&gt;"",$U412&lt;&gt;""),"Closed",IFERROR(INDEX(MapStage,MATCH($C412,MapStatus,0)),"Unmapped")))</f>
        <v/>
      </c>
      <c r="Y412" s="65" t="str">
        <f aca="false">IF(OR($X412="",$X412="Closed",$X412="Unmapped"),"",MATCH($X412,StageName,0))</f>
        <v/>
      </c>
      <c r="Z412" s="65" t="str">
        <f aca="false">IF(OR($Y412="",$I412=""),"",$I412-AsOf)</f>
        <v/>
      </c>
      <c r="AA412" s="65" t="str">
        <f aca="false">IF($A412="","",AsOf-$H412)</f>
        <v/>
      </c>
      <c r="AB412" s="65" t="str">
        <f aca="false">IF($A412="","",IF($X412="Closed","Closed",IF($X412="Unmapped","Unmapped",IF($I412="","No target",IF($Z412&lt;0,"Overdue",IF($Z412&lt;=INDEX(StageWindow,$Y412),"At risk","On track"))))))</f>
        <v/>
      </c>
      <c r="AC412" s="65" t="str">
        <f aca="false">IF($Y412="","",IF($AA412&gt;2*INDEX(StageStale,$Y412),"Stale",IF($AA412&gt;INDEX(StageStale,$Y412),"Aging","Fresh")))</f>
        <v/>
      </c>
      <c r="AD412" s="65" t="str">
        <f aca="false">IF($A412="","",IF(OR(ISNUMBER(SEARCH("Reg report",$J412)),ISNUMBER(SEARCH("No human review",$J412)),COUNTIF(TierFuncs,$D412)&gt;0),"High",IF(OR(TRIM($J412)&lt;&gt;"",ISNUMBER(SEARCH("revenue",$K412))),"Medium","Low")))</f>
        <v/>
      </c>
      <c r="AE412" s="65" t="str">
        <f aca="false">IF($A412="","",INDEX(TierDays,MATCH($AD412,TierName,0)))</f>
        <v/>
      </c>
      <c r="AF412" s="65" t="str">
        <f aca="false">IF($A412="","",AsOf-$G412)</f>
        <v/>
      </c>
      <c r="AG412" s="65" t="str">
        <f aca="false">IF($Y412="","",IF($Y412&lt;=5,IF($AF412&gt;$AE412,"Over","Inside"),"Past approval"))</f>
        <v/>
      </c>
      <c r="AH412" s="65" t="str">
        <f aca="false">IF($Y412="","",CHOOSE($Y412,IF(OR(TRIM($F412)="",ISNUMBER(SEARCH("not named",$F412))),"Critical","Good"),IF($O412&lt;&gt;"Y","Critical",IF($Q412&lt;&gt;"Y","Warning","Good")),IF($P412="","Critical",IF($P412="partial","Warning",IF($P412="ready","Good","Critical"))),IF($R412&lt;&gt;"","Critical","Warning"),IF($L412="","Critical",IF($N412="","Warning","Good")),IF($R412&lt;&gt;"","Critical","Warning"),IF($R412&lt;&gt;"","Critical","Warning"),IF($Q412="Y","Good","Critical")))</f>
        <v/>
      </c>
      <c r="AI412" s="65" t="str">
        <f aca="false">IF($Y412="","",CHOOSE($Y412,IF(OR(TRIM($F412)="",ISNUMBER(SEARCH("not named",$F412))),"Name a sponsor accountable for the value",""),IF($O412&lt;&gt;"Y","State the success metric and the stop condition",IF($Q412&lt;&gt;"Y","Set the baseline the benefit will be measured against","")),IF($P412="","Assess data readiness and regulatory impact",IF($P412="partial","Close the known data gaps",IF($P412="ready","","Data is not available; reshape or park"))),IF($R412&lt;&gt;"",IF(OR(ISNUMBER(SEARCH("mrm",$R412)),ISNUMBER(SEARCH("model",$R412)),ISNUMBER(SEARCH("risk",$R412)),ISNUMBER(SEARCH("legal",$R412)),ISNUMBER(SEARCH("complian",$R412))),"Awaiting ","Held at the design gate: ")&amp;$R412,"Map the governance framework for its tier"),IF($L412="","Size the annual benefit",IF($N412="","Score it so it can be ranked against capacity","")),IF($R412&lt;&gt;"","Build held: "&amp;$R412,"In build, not yet through test"),IF($R412&lt;&gt;"","Not ready to scale: "&amp;$R412,"Monitoring and third-party review not yet signed off"),IF($Q412="Y","","Live without a measured baseline to judge it against")))</f>
        <v/>
      </c>
      <c r="AJ412" s="65" t="str">
        <f aca="false">IF($Y412="","",INDEX(StageForum,$Y412))</f>
        <v/>
      </c>
      <c r="AK412" s="65" t="str">
        <f aca="false">IF($Y412="","",IF(OR($X412="Delivery",$X412="Value"),"Committed",IF($N412&lt;&gt;"","Candidate","")))</f>
        <v/>
      </c>
      <c r="AL412" s="65" t="str">
        <f aca="false">IF($AK412&lt;&gt;"Candidate","",COUNTIFS($AK$2:$AK$501,"Candidate",$N$2:$N$501,"&gt;"&amp;$N412)+COUNTIFS($AK$2:$AK$501,"Candidate",$N$2:$N$501,$N412,$A$2:$A$501,"&lt;"&amp;$A412)+1)</f>
        <v/>
      </c>
      <c r="AM412" s="65" t="str">
        <f aca="false">IF($AL412="","",SUMIFS($M$2:$M$501,$AK$2:$AK$501,"Candidate",$AL$2:$AL$501,"&lt;="&amp;$AL412))</f>
        <v/>
      </c>
      <c r="AN412" s="65" t="str">
        <f aca="false">IF($AL412="","",IF($AM412&lt;=CapacityOpen,"Fits","Below line"))</f>
        <v/>
      </c>
      <c r="AO412" s="65" t="str">
        <f aca="false">IF($A412="","",IF($X412="Closed","",IF($X412="Unmapped","Warning",IF(OR($AB412="Overdue",$V412="Y",$AH412="Critical"),"Critical",IF(OR($AB412="At risk",$AC412="Stale",$AG412="Over"),"Warning","")))))</f>
        <v/>
      </c>
      <c r="AP412" s="65" t="str">
        <f aca="false">IF($AO412="","",IF($AO412="Critical",3000,2000)-IF($Z412="",0,$Z412)+ROW()/100000)</f>
        <v/>
      </c>
      <c r="AQ412" s="65" t="str">
        <f aca="false">IF($AO412="","",IF($X412="Unmapped","Status '"&amp;$C412&amp;"' is not in the Config map",IF($V412="Y","Flagged in Jira",IF($AB412="Overdue",-$Z412&amp;" days past its "&amp;$X412&amp;" target",IF($AH412="Critical",$AI412,IF($AB412="At risk","Target in "&amp;$Z412&amp;" days",IF($AC412="Stale","No update in "&amp;$AA412&amp;" days","Past its "&amp;$AE412&amp;"-day tier window")))))))</f>
        <v/>
      </c>
      <c r="AR412" s="65" t="str">
        <f aca="false">IF($AO412="","","draft Jira update for "&amp;$A412)</f>
        <v/>
      </c>
      <c r="AS412" s="65" t="str">
        <f aca="false">IF($A412="","",HYPERLINK(JiraSite&amp;"/browse/"&amp;$A412,"open"))</f>
        <v/>
      </c>
      <c r="AT412" s="65" t="str">
        <f aca="false">IF($Y412="","",$Y412*1000+ROW())</f>
        <v/>
      </c>
      <c r="AU412" s="65" t="str">
        <f aca="false">IF(AND($A412&lt;&gt;"",$G412&gt;=WeekStart),$G412+ROW()/100000,"")</f>
        <v/>
      </c>
      <c r="AV412" s="65" t="str">
        <f aca="false">IF($A412="","",IF(OR(AND($S412&lt;&gt;"",$S412&gt;=WeekStart),AND($U412&lt;&gt;"",$U412&gt;=WeekStart)),MAX($S412,$U412)+ROW()/100000,""))</f>
        <v/>
      </c>
      <c r="AW412" s="65" t="str">
        <f aca="false">IF($AV412="","",IF($T412&lt;&gt;"",$T412,IF($X412="Closed","Closed","Accepted to "&amp;$X412)))</f>
        <v/>
      </c>
      <c r="AX412" s="65" t="str">
        <f aca="false">IF(AND($Y412&lt;&gt;"",$R412&lt;&gt;""),$AF412+ROW()/100000,"")</f>
        <v/>
      </c>
      <c r="AY412" s="65" t="str">
        <f aca="false">IF(AND($Y412&lt;&gt;"",OR($AB412="Overdue",AND($AH412="Critical",$R412&lt;&gt;""))),$AF412+ROW()/100000,"")</f>
        <v/>
      </c>
      <c r="AZ412" s="65" t="str">
        <f aca="false">IF($AH412="Critical",$AF412+ROW()/100000,"")</f>
        <v/>
      </c>
    </row>
    <row r="413" customFormat="false" ht="15" hidden="false" customHeight="false" outlineLevel="0" collapsed="false">
      <c r="A413" s="28"/>
      <c r="B413" s="28"/>
      <c r="C413" s="28"/>
      <c r="D413" s="28"/>
      <c r="E413" s="28"/>
      <c r="F413" s="28"/>
      <c r="G413" s="63"/>
      <c r="H413" s="63"/>
      <c r="I413" s="63"/>
      <c r="J413" s="28"/>
      <c r="K413" s="28"/>
      <c r="L413" s="28"/>
      <c r="M413" s="28"/>
      <c r="N413" s="28"/>
      <c r="O413" s="64"/>
      <c r="P413" s="64"/>
      <c r="Q413" s="64"/>
      <c r="R413" s="28"/>
      <c r="S413" s="63"/>
      <c r="T413" s="64"/>
      <c r="U413" s="63"/>
      <c r="V413" s="64"/>
      <c r="W413" s="28"/>
      <c r="X413" s="65" t="str">
        <f aca="false">IF($A413="","",IF(OR($T413&lt;&gt;"",$U413&lt;&gt;""),"Closed",IFERROR(INDEX(MapStage,MATCH($C413,MapStatus,0)),"Unmapped")))</f>
        <v/>
      </c>
      <c r="Y413" s="65" t="str">
        <f aca="false">IF(OR($X413="",$X413="Closed",$X413="Unmapped"),"",MATCH($X413,StageName,0))</f>
        <v/>
      </c>
      <c r="Z413" s="65" t="str">
        <f aca="false">IF(OR($Y413="",$I413=""),"",$I413-AsOf)</f>
        <v/>
      </c>
      <c r="AA413" s="65" t="str">
        <f aca="false">IF($A413="","",AsOf-$H413)</f>
        <v/>
      </c>
      <c r="AB413" s="65" t="str">
        <f aca="false">IF($A413="","",IF($X413="Closed","Closed",IF($X413="Unmapped","Unmapped",IF($I413="","No target",IF($Z413&lt;0,"Overdue",IF($Z413&lt;=INDEX(StageWindow,$Y413),"At risk","On track"))))))</f>
        <v/>
      </c>
      <c r="AC413" s="65" t="str">
        <f aca="false">IF($Y413="","",IF($AA413&gt;2*INDEX(StageStale,$Y413),"Stale",IF($AA413&gt;INDEX(StageStale,$Y413),"Aging","Fresh")))</f>
        <v/>
      </c>
      <c r="AD413" s="65" t="str">
        <f aca="false">IF($A413="","",IF(OR(ISNUMBER(SEARCH("Reg report",$J413)),ISNUMBER(SEARCH("No human review",$J413)),COUNTIF(TierFuncs,$D413)&gt;0),"High",IF(OR(TRIM($J413)&lt;&gt;"",ISNUMBER(SEARCH("revenue",$K413))),"Medium","Low")))</f>
        <v/>
      </c>
      <c r="AE413" s="65" t="str">
        <f aca="false">IF($A413="","",INDEX(TierDays,MATCH($AD413,TierName,0)))</f>
        <v/>
      </c>
      <c r="AF413" s="65" t="str">
        <f aca="false">IF($A413="","",AsOf-$G413)</f>
        <v/>
      </c>
      <c r="AG413" s="65" t="str">
        <f aca="false">IF($Y413="","",IF($Y413&lt;=5,IF($AF413&gt;$AE413,"Over","Inside"),"Past approval"))</f>
        <v/>
      </c>
      <c r="AH413" s="65" t="str">
        <f aca="false">IF($Y413="","",CHOOSE($Y413,IF(OR(TRIM($F413)="",ISNUMBER(SEARCH("not named",$F413))),"Critical","Good"),IF($O413&lt;&gt;"Y","Critical",IF($Q413&lt;&gt;"Y","Warning","Good")),IF($P413="","Critical",IF($P413="partial","Warning",IF($P413="ready","Good","Critical"))),IF($R413&lt;&gt;"","Critical","Warning"),IF($L413="","Critical",IF($N413="","Warning","Good")),IF($R413&lt;&gt;"","Critical","Warning"),IF($R413&lt;&gt;"","Critical","Warning"),IF($Q413="Y","Good","Critical")))</f>
        <v/>
      </c>
      <c r="AI413" s="65" t="str">
        <f aca="false">IF($Y413="","",CHOOSE($Y413,IF(OR(TRIM($F413)="",ISNUMBER(SEARCH("not named",$F413))),"Name a sponsor accountable for the value",""),IF($O413&lt;&gt;"Y","State the success metric and the stop condition",IF($Q413&lt;&gt;"Y","Set the baseline the benefit will be measured against","")),IF($P413="","Assess data readiness and regulatory impact",IF($P413="partial","Close the known data gaps",IF($P413="ready","","Data is not available; reshape or park"))),IF($R413&lt;&gt;"",IF(OR(ISNUMBER(SEARCH("mrm",$R413)),ISNUMBER(SEARCH("model",$R413)),ISNUMBER(SEARCH("risk",$R413)),ISNUMBER(SEARCH("legal",$R413)),ISNUMBER(SEARCH("complian",$R413))),"Awaiting ","Held at the design gate: ")&amp;$R413,"Map the governance framework for its tier"),IF($L413="","Size the annual benefit",IF($N413="","Score it so it can be ranked against capacity","")),IF($R413&lt;&gt;"","Build held: "&amp;$R413,"In build, not yet through test"),IF($R413&lt;&gt;"","Not ready to scale: "&amp;$R413,"Monitoring and third-party review not yet signed off"),IF($Q413="Y","","Live without a measured baseline to judge it against")))</f>
        <v/>
      </c>
      <c r="AJ413" s="65" t="str">
        <f aca="false">IF($Y413="","",INDEX(StageForum,$Y413))</f>
        <v/>
      </c>
      <c r="AK413" s="65" t="str">
        <f aca="false">IF($Y413="","",IF(OR($X413="Delivery",$X413="Value"),"Committed",IF($N413&lt;&gt;"","Candidate","")))</f>
        <v/>
      </c>
      <c r="AL413" s="65" t="str">
        <f aca="false">IF($AK413&lt;&gt;"Candidate","",COUNTIFS($AK$2:$AK$501,"Candidate",$N$2:$N$501,"&gt;"&amp;$N413)+COUNTIFS($AK$2:$AK$501,"Candidate",$N$2:$N$501,$N413,$A$2:$A$501,"&lt;"&amp;$A413)+1)</f>
        <v/>
      </c>
      <c r="AM413" s="65" t="str">
        <f aca="false">IF($AL413="","",SUMIFS($M$2:$M$501,$AK$2:$AK$501,"Candidate",$AL$2:$AL$501,"&lt;="&amp;$AL413))</f>
        <v/>
      </c>
      <c r="AN413" s="65" t="str">
        <f aca="false">IF($AL413="","",IF($AM413&lt;=CapacityOpen,"Fits","Below line"))</f>
        <v/>
      </c>
      <c r="AO413" s="65" t="str">
        <f aca="false">IF($A413="","",IF($X413="Closed","",IF($X413="Unmapped","Warning",IF(OR($AB413="Overdue",$V413="Y",$AH413="Critical"),"Critical",IF(OR($AB413="At risk",$AC413="Stale",$AG413="Over"),"Warning","")))))</f>
        <v/>
      </c>
      <c r="AP413" s="65" t="str">
        <f aca="false">IF($AO413="","",IF($AO413="Critical",3000,2000)-IF($Z413="",0,$Z413)+ROW()/100000)</f>
        <v/>
      </c>
      <c r="AQ413" s="65" t="str">
        <f aca="false">IF($AO413="","",IF($X413="Unmapped","Status '"&amp;$C413&amp;"' is not in the Config map",IF($V413="Y","Flagged in Jira",IF($AB413="Overdue",-$Z413&amp;" days past its "&amp;$X413&amp;" target",IF($AH413="Critical",$AI413,IF($AB413="At risk","Target in "&amp;$Z413&amp;" days",IF($AC413="Stale","No update in "&amp;$AA413&amp;" days","Past its "&amp;$AE413&amp;"-day tier window")))))))</f>
        <v/>
      </c>
      <c r="AR413" s="65" t="str">
        <f aca="false">IF($AO413="","","draft Jira update for "&amp;$A413)</f>
        <v/>
      </c>
      <c r="AS413" s="65" t="str">
        <f aca="false">IF($A413="","",HYPERLINK(JiraSite&amp;"/browse/"&amp;$A413,"open"))</f>
        <v/>
      </c>
      <c r="AT413" s="65" t="str">
        <f aca="false">IF($Y413="","",$Y413*1000+ROW())</f>
        <v/>
      </c>
      <c r="AU413" s="65" t="str">
        <f aca="false">IF(AND($A413&lt;&gt;"",$G413&gt;=WeekStart),$G413+ROW()/100000,"")</f>
        <v/>
      </c>
      <c r="AV413" s="65" t="str">
        <f aca="false">IF($A413="","",IF(OR(AND($S413&lt;&gt;"",$S413&gt;=WeekStart),AND($U413&lt;&gt;"",$U413&gt;=WeekStart)),MAX($S413,$U413)+ROW()/100000,""))</f>
        <v/>
      </c>
      <c r="AW413" s="65" t="str">
        <f aca="false">IF($AV413="","",IF($T413&lt;&gt;"",$T413,IF($X413="Closed","Closed","Accepted to "&amp;$X413)))</f>
        <v/>
      </c>
      <c r="AX413" s="65" t="str">
        <f aca="false">IF(AND($Y413&lt;&gt;"",$R413&lt;&gt;""),$AF413+ROW()/100000,"")</f>
        <v/>
      </c>
      <c r="AY413" s="65" t="str">
        <f aca="false">IF(AND($Y413&lt;&gt;"",OR($AB413="Overdue",AND($AH413="Critical",$R413&lt;&gt;""))),$AF413+ROW()/100000,"")</f>
        <v/>
      </c>
      <c r="AZ413" s="65" t="str">
        <f aca="false">IF($AH413="Critical",$AF413+ROW()/100000,"")</f>
        <v/>
      </c>
    </row>
    <row r="414" customFormat="false" ht="15" hidden="false" customHeight="false" outlineLevel="0" collapsed="false">
      <c r="A414" s="28"/>
      <c r="B414" s="28"/>
      <c r="C414" s="28"/>
      <c r="D414" s="28"/>
      <c r="E414" s="28"/>
      <c r="F414" s="28"/>
      <c r="G414" s="63"/>
      <c r="H414" s="63"/>
      <c r="I414" s="63"/>
      <c r="J414" s="28"/>
      <c r="K414" s="28"/>
      <c r="L414" s="28"/>
      <c r="M414" s="28"/>
      <c r="N414" s="28"/>
      <c r="O414" s="64"/>
      <c r="P414" s="64"/>
      <c r="Q414" s="64"/>
      <c r="R414" s="28"/>
      <c r="S414" s="63"/>
      <c r="T414" s="64"/>
      <c r="U414" s="63"/>
      <c r="V414" s="64"/>
      <c r="W414" s="28"/>
      <c r="X414" s="65" t="str">
        <f aca="false">IF($A414="","",IF(OR($T414&lt;&gt;"",$U414&lt;&gt;""),"Closed",IFERROR(INDEX(MapStage,MATCH($C414,MapStatus,0)),"Unmapped")))</f>
        <v/>
      </c>
      <c r="Y414" s="65" t="str">
        <f aca="false">IF(OR($X414="",$X414="Closed",$X414="Unmapped"),"",MATCH($X414,StageName,0))</f>
        <v/>
      </c>
      <c r="Z414" s="65" t="str">
        <f aca="false">IF(OR($Y414="",$I414=""),"",$I414-AsOf)</f>
        <v/>
      </c>
      <c r="AA414" s="65" t="str">
        <f aca="false">IF($A414="","",AsOf-$H414)</f>
        <v/>
      </c>
      <c r="AB414" s="65" t="str">
        <f aca="false">IF($A414="","",IF($X414="Closed","Closed",IF($X414="Unmapped","Unmapped",IF($I414="","No target",IF($Z414&lt;0,"Overdue",IF($Z414&lt;=INDEX(StageWindow,$Y414),"At risk","On track"))))))</f>
        <v/>
      </c>
      <c r="AC414" s="65" t="str">
        <f aca="false">IF($Y414="","",IF($AA414&gt;2*INDEX(StageStale,$Y414),"Stale",IF($AA414&gt;INDEX(StageStale,$Y414),"Aging","Fresh")))</f>
        <v/>
      </c>
      <c r="AD414" s="65" t="str">
        <f aca="false">IF($A414="","",IF(OR(ISNUMBER(SEARCH("Reg report",$J414)),ISNUMBER(SEARCH("No human review",$J414)),COUNTIF(TierFuncs,$D414)&gt;0),"High",IF(OR(TRIM($J414)&lt;&gt;"",ISNUMBER(SEARCH("revenue",$K414))),"Medium","Low")))</f>
        <v/>
      </c>
      <c r="AE414" s="65" t="str">
        <f aca="false">IF($A414="","",INDEX(TierDays,MATCH($AD414,TierName,0)))</f>
        <v/>
      </c>
      <c r="AF414" s="65" t="str">
        <f aca="false">IF($A414="","",AsOf-$G414)</f>
        <v/>
      </c>
      <c r="AG414" s="65" t="str">
        <f aca="false">IF($Y414="","",IF($Y414&lt;=5,IF($AF414&gt;$AE414,"Over","Inside"),"Past approval"))</f>
        <v/>
      </c>
      <c r="AH414" s="65" t="str">
        <f aca="false">IF($Y414="","",CHOOSE($Y414,IF(OR(TRIM($F414)="",ISNUMBER(SEARCH("not named",$F414))),"Critical","Good"),IF($O414&lt;&gt;"Y","Critical",IF($Q414&lt;&gt;"Y","Warning","Good")),IF($P414="","Critical",IF($P414="partial","Warning",IF($P414="ready","Good","Critical"))),IF($R414&lt;&gt;"","Critical","Warning"),IF($L414="","Critical",IF($N414="","Warning","Good")),IF($R414&lt;&gt;"","Critical","Warning"),IF($R414&lt;&gt;"","Critical","Warning"),IF($Q414="Y","Good","Critical")))</f>
        <v/>
      </c>
      <c r="AI414" s="65" t="str">
        <f aca="false">IF($Y414="","",CHOOSE($Y414,IF(OR(TRIM($F414)="",ISNUMBER(SEARCH("not named",$F414))),"Name a sponsor accountable for the value",""),IF($O414&lt;&gt;"Y","State the success metric and the stop condition",IF($Q414&lt;&gt;"Y","Set the baseline the benefit will be measured against","")),IF($P414="","Assess data readiness and regulatory impact",IF($P414="partial","Close the known data gaps",IF($P414="ready","","Data is not available; reshape or park"))),IF($R414&lt;&gt;"",IF(OR(ISNUMBER(SEARCH("mrm",$R414)),ISNUMBER(SEARCH("model",$R414)),ISNUMBER(SEARCH("risk",$R414)),ISNUMBER(SEARCH("legal",$R414)),ISNUMBER(SEARCH("complian",$R414))),"Awaiting ","Held at the design gate: ")&amp;$R414,"Map the governance framework for its tier"),IF($L414="","Size the annual benefit",IF($N414="","Score it so it can be ranked against capacity","")),IF($R414&lt;&gt;"","Build held: "&amp;$R414,"In build, not yet through test"),IF($R414&lt;&gt;"","Not ready to scale: "&amp;$R414,"Monitoring and third-party review not yet signed off"),IF($Q414="Y","","Live without a measured baseline to judge it against")))</f>
        <v/>
      </c>
      <c r="AJ414" s="65" t="str">
        <f aca="false">IF($Y414="","",INDEX(StageForum,$Y414))</f>
        <v/>
      </c>
      <c r="AK414" s="65" t="str">
        <f aca="false">IF($Y414="","",IF(OR($X414="Delivery",$X414="Value"),"Committed",IF($N414&lt;&gt;"","Candidate","")))</f>
        <v/>
      </c>
      <c r="AL414" s="65" t="str">
        <f aca="false">IF($AK414&lt;&gt;"Candidate","",COUNTIFS($AK$2:$AK$501,"Candidate",$N$2:$N$501,"&gt;"&amp;$N414)+COUNTIFS($AK$2:$AK$501,"Candidate",$N$2:$N$501,$N414,$A$2:$A$501,"&lt;"&amp;$A414)+1)</f>
        <v/>
      </c>
      <c r="AM414" s="65" t="str">
        <f aca="false">IF($AL414="","",SUMIFS($M$2:$M$501,$AK$2:$AK$501,"Candidate",$AL$2:$AL$501,"&lt;="&amp;$AL414))</f>
        <v/>
      </c>
      <c r="AN414" s="65" t="str">
        <f aca="false">IF($AL414="","",IF($AM414&lt;=CapacityOpen,"Fits","Below line"))</f>
        <v/>
      </c>
      <c r="AO414" s="65" t="str">
        <f aca="false">IF($A414="","",IF($X414="Closed","",IF($X414="Unmapped","Warning",IF(OR($AB414="Overdue",$V414="Y",$AH414="Critical"),"Critical",IF(OR($AB414="At risk",$AC414="Stale",$AG414="Over"),"Warning","")))))</f>
        <v/>
      </c>
      <c r="AP414" s="65" t="str">
        <f aca="false">IF($AO414="","",IF($AO414="Critical",3000,2000)-IF($Z414="",0,$Z414)+ROW()/100000)</f>
        <v/>
      </c>
      <c r="AQ414" s="65" t="str">
        <f aca="false">IF($AO414="","",IF($X414="Unmapped","Status '"&amp;$C414&amp;"' is not in the Config map",IF($V414="Y","Flagged in Jira",IF($AB414="Overdue",-$Z414&amp;" days past its "&amp;$X414&amp;" target",IF($AH414="Critical",$AI414,IF($AB414="At risk","Target in "&amp;$Z414&amp;" days",IF($AC414="Stale","No update in "&amp;$AA414&amp;" days","Past its "&amp;$AE414&amp;"-day tier window")))))))</f>
        <v/>
      </c>
      <c r="AR414" s="65" t="str">
        <f aca="false">IF($AO414="","","draft Jira update for "&amp;$A414)</f>
        <v/>
      </c>
      <c r="AS414" s="65" t="str">
        <f aca="false">IF($A414="","",HYPERLINK(JiraSite&amp;"/browse/"&amp;$A414,"open"))</f>
        <v/>
      </c>
      <c r="AT414" s="65" t="str">
        <f aca="false">IF($Y414="","",$Y414*1000+ROW())</f>
        <v/>
      </c>
      <c r="AU414" s="65" t="str">
        <f aca="false">IF(AND($A414&lt;&gt;"",$G414&gt;=WeekStart),$G414+ROW()/100000,"")</f>
        <v/>
      </c>
      <c r="AV414" s="65" t="str">
        <f aca="false">IF($A414="","",IF(OR(AND($S414&lt;&gt;"",$S414&gt;=WeekStart),AND($U414&lt;&gt;"",$U414&gt;=WeekStart)),MAX($S414,$U414)+ROW()/100000,""))</f>
        <v/>
      </c>
      <c r="AW414" s="65" t="str">
        <f aca="false">IF($AV414="","",IF($T414&lt;&gt;"",$T414,IF($X414="Closed","Closed","Accepted to "&amp;$X414)))</f>
        <v/>
      </c>
      <c r="AX414" s="65" t="str">
        <f aca="false">IF(AND($Y414&lt;&gt;"",$R414&lt;&gt;""),$AF414+ROW()/100000,"")</f>
        <v/>
      </c>
      <c r="AY414" s="65" t="str">
        <f aca="false">IF(AND($Y414&lt;&gt;"",OR($AB414="Overdue",AND($AH414="Critical",$R414&lt;&gt;""))),$AF414+ROW()/100000,"")</f>
        <v/>
      </c>
      <c r="AZ414" s="65" t="str">
        <f aca="false">IF($AH414="Critical",$AF414+ROW()/100000,"")</f>
        <v/>
      </c>
    </row>
    <row r="415" customFormat="false" ht="15" hidden="false" customHeight="false" outlineLevel="0" collapsed="false">
      <c r="A415" s="28"/>
      <c r="B415" s="28"/>
      <c r="C415" s="28"/>
      <c r="D415" s="28"/>
      <c r="E415" s="28"/>
      <c r="F415" s="28"/>
      <c r="G415" s="63"/>
      <c r="H415" s="63"/>
      <c r="I415" s="63"/>
      <c r="J415" s="28"/>
      <c r="K415" s="28"/>
      <c r="L415" s="28"/>
      <c r="M415" s="28"/>
      <c r="N415" s="28"/>
      <c r="O415" s="64"/>
      <c r="P415" s="64"/>
      <c r="Q415" s="64"/>
      <c r="R415" s="28"/>
      <c r="S415" s="63"/>
      <c r="T415" s="64"/>
      <c r="U415" s="63"/>
      <c r="V415" s="64"/>
      <c r="W415" s="28"/>
      <c r="X415" s="65" t="str">
        <f aca="false">IF($A415="","",IF(OR($T415&lt;&gt;"",$U415&lt;&gt;""),"Closed",IFERROR(INDEX(MapStage,MATCH($C415,MapStatus,0)),"Unmapped")))</f>
        <v/>
      </c>
      <c r="Y415" s="65" t="str">
        <f aca="false">IF(OR($X415="",$X415="Closed",$X415="Unmapped"),"",MATCH($X415,StageName,0))</f>
        <v/>
      </c>
      <c r="Z415" s="65" t="str">
        <f aca="false">IF(OR($Y415="",$I415=""),"",$I415-AsOf)</f>
        <v/>
      </c>
      <c r="AA415" s="65" t="str">
        <f aca="false">IF($A415="","",AsOf-$H415)</f>
        <v/>
      </c>
      <c r="AB415" s="65" t="str">
        <f aca="false">IF($A415="","",IF($X415="Closed","Closed",IF($X415="Unmapped","Unmapped",IF($I415="","No target",IF($Z415&lt;0,"Overdue",IF($Z415&lt;=INDEX(StageWindow,$Y415),"At risk","On track"))))))</f>
        <v/>
      </c>
      <c r="AC415" s="65" t="str">
        <f aca="false">IF($Y415="","",IF($AA415&gt;2*INDEX(StageStale,$Y415),"Stale",IF($AA415&gt;INDEX(StageStale,$Y415),"Aging","Fresh")))</f>
        <v/>
      </c>
      <c r="AD415" s="65" t="str">
        <f aca="false">IF($A415="","",IF(OR(ISNUMBER(SEARCH("Reg report",$J415)),ISNUMBER(SEARCH("No human review",$J415)),COUNTIF(TierFuncs,$D415)&gt;0),"High",IF(OR(TRIM($J415)&lt;&gt;"",ISNUMBER(SEARCH("revenue",$K415))),"Medium","Low")))</f>
        <v/>
      </c>
      <c r="AE415" s="65" t="str">
        <f aca="false">IF($A415="","",INDEX(TierDays,MATCH($AD415,TierName,0)))</f>
        <v/>
      </c>
      <c r="AF415" s="65" t="str">
        <f aca="false">IF($A415="","",AsOf-$G415)</f>
        <v/>
      </c>
      <c r="AG415" s="65" t="str">
        <f aca="false">IF($Y415="","",IF($Y415&lt;=5,IF($AF415&gt;$AE415,"Over","Inside"),"Past approval"))</f>
        <v/>
      </c>
      <c r="AH415" s="65" t="str">
        <f aca="false">IF($Y415="","",CHOOSE($Y415,IF(OR(TRIM($F415)="",ISNUMBER(SEARCH("not named",$F415))),"Critical","Good"),IF($O415&lt;&gt;"Y","Critical",IF($Q415&lt;&gt;"Y","Warning","Good")),IF($P415="","Critical",IF($P415="partial","Warning",IF($P415="ready","Good","Critical"))),IF($R415&lt;&gt;"","Critical","Warning"),IF($L415="","Critical",IF($N415="","Warning","Good")),IF($R415&lt;&gt;"","Critical","Warning"),IF($R415&lt;&gt;"","Critical","Warning"),IF($Q415="Y","Good","Critical")))</f>
        <v/>
      </c>
      <c r="AI415" s="65" t="str">
        <f aca="false">IF($Y415="","",CHOOSE($Y415,IF(OR(TRIM($F415)="",ISNUMBER(SEARCH("not named",$F415))),"Name a sponsor accountable for the value",""),IF($O415&lt;&gt;"Y","State the success metric and the stop condition",IF($Q415&lt;&gt;"Y","Set the baseline the benefit will be measured against","")),IF($P415="","Assess data readiness and regulatory impact",IF($P415="partial","Close the known data gaps",IF($P415="ready","","Data is not available; reshape or park"))),IF($R415&lt;&gt;"",IF(OR(ISNUMBER(SEARCH("mrm",$R415)),ISNUMBER(SEARCH("model",$R415)),ISNUMBER(SEARCH("risk",$R415)),ISNUMBER(SEARCH("legal",$R415)),ISNUMBER(SEARCH("complian",$R415))),"Awaiting ","Held at the design gate: ")&amp;$R415,"Map the governance framework for its tier"),IF($L415="","Size the annual benefit",IF($N415="","Score it so it can be ranked against capacity","")),IF($R415&lt;&gt;"","Build held: "&amp;$R415,"In build, not yet through test"),IF($R415&lt;&gt;"","Not ready to scale: "&amp;$R415,"Monitoring and third-party review not yet signed off"),IF($Q415="Y","","Live without a measured baseline to judge it against")))</f>
        <v/>
      </c>
      <c r="AJ415" s="65" t="str">
        <f aca="false">IF($Y415="","",INDEX(StageForum,$Y415))</f>
        <v/>
      </c>
      <c r="AK415" s="65" t="str">
        <f aca="false">IF($Y415="","",IF(OR($X415="Delivery",$X415="Value"),"Committed",IF($N415&lt;&gt;"","Candidate","")))</f>
        <v/>
      </c>
      <c r="AL415" s="65" t="str">
        <f aca="false">IF($AK415&lt;&gt;"Candidate","",COUNTIFS($AK$2:$AK$501,"Candidate",$N$2:$N$501,"&gt;"&amp;$N415)+COUNTIFS($AK$2:$AK$501,"Candidate",$N$2:$N$501,$N415,$A$2:$A$501,"&lt;"&amp;$A415)+1)</f>
        <v/>
      </c>
      <c r="AM415" s="65" t="str">
        <f aca="false">IF($AL415="","",SUMIFS($M$2:$M$501,$AK$2:$AK$501,"Candidate",$AL$2:$AL$501,"&lt;="&amp;$AL415))</f>
        <v/>
      </c>
      <c r="AN415" s="65" t="str">
        <f aca="false">IF($AL415="","",IF($AM415&lt;=CapacityOpen,"Fits","Below line"))</f>
        <v/>
      </c>
      <c r="AO415" s="65" t="str">
        <f aca="false">IF($A415="","",IF($X415="Closed","",IF($X415="Unmapped","Warning",IF(OR($AB415="Overdue",$V415="Y",$AH415="Critical"),"Critical",IF(OR($AB415="At risk",$AC415="Stale",$AG415="Over"),"Warning","")))))</f>
        <v/>
      </c>
      <c r="AP415" s="65" t="str">
        <f aca="false">IF($AO415="","",IF($AO415="Critical",3000,2000)-IF($Z415="",0,$Z415)+ROW()/100000)</f>
        <v/>
      </c>
      <c r="AQ415" s="65" t="str">
        <f aca="false">IF($AO415="","",IF($X415="Unmapped","Status '"&amp;$C415&amp;"' is not in the Config map",IF($V415="Y","Flagged in Jira",IF($AB415="Overdue",-$Z415&amp;" days past its "&amp;$X415&amp;" target",IF($AH415="Critical",$AI415,IF($AB415="At risk","Target in "&amp;$Z415&amp;" days",IF($AC415="Stale","No update in "&amp;$AA415&amp;" days","Past its "&amp;$AE415&amp;"-day tier window")))))))</f>
        <v/>
      </c>
      <c r="AR415" s="65" t="str">
        <f aca="false">IF($AO415="","","draft Jira update for "&amp;$A415)</f>
        <v/>
      </c>
      <c r="AS415" s="65" t="str">
        <f aca="false">IF($A415="","",HYPERLINK(JiraSite&amp;"/browse/"&amp;$A415,"open"))</f>
        <v/>
      </c>
      <c r="AT415" s="65" t="str">
        <f aca="false">IF($Y415="","",$Y415*1000+ROW())</f>
        <v/>
      </c>
      <c r="AU415" s="65" t="str">
        <f aca="false">IF(AND($A415&lt;&gt;"",$G415&gt;=WeekStart),$G415+ROW()/100000,"")</f>
        <v/>
      </c>
      <c r="AV415" s="65" t="str">
        <f aca="false">IF($A415="","",IF(OR(AND($S415&lt;&gt;"",$S415&gt;=WeekStart),AND($U415&lt;&gt;"",$U415&gt;=WeekStart)),MAX($S415,$U415)+ROW()/100000,""))</f>
        <v/>
      </c>
      <c r="AW415" s="65" t="str">
        <f aca="false">IF($AV415="","",IF($T415&lt;&gt;"",$T415,IF($X415="Closed","Closed","Accepted to "&amp;$X415)))</f>
        <v/>
      </c>
      <c r="AX415" s="65" t="str">
        <f aca="false">IF(AND($Y415&lt;&gt;"",$R415&lt;&gt;""),$AF415+ROW()/100000,"")</f>
        <v/>
      </c>
      <c r="AY415" s="65" t="str">
        <f aca="false">IF(AND($Y415&lt;&gt;"",OR($AB415="Overdue",AND($AH415="Critical",$R415&lt;&gt;""))),$AF415+ROW()/100000,"")</f>
        <v/>
      </c>
      <c r="AZ415" s="65" t="str">
        <f aca="false">IF($AH415="Critical",$AF415+ROW()/100000,"")</f>
        <v/>
      </c>
    </row>
    <row r="416" customFormat="false" ht="15" hidden="false" customHeight="false" outlineLevel="0" collapsed="false">
      <c r="A416" s="28"/>
      <c r="B416" s="28"/>
      <c r="C416" s="28"/>
      <c r="D416" s="28"/>
      <c r="E416" s="28"/>
      <c r="F416" s="28"/>
      <c r="G416" s="63"/>
      <c r="H416" s="63"/>
      <c r="I416" s="63"/>
      <c r="J416" s="28"/>
      <c r="K416" s="28"/>
      <c r="L416" s="28"/>
      <c r="M416" s="28"/>
      <c r="N416" s="28"/>
      <c r="O416" s="64"/>
      <c r="P416" s="64"/>
      <c r="Q416" s="64"/>
      <c r="R416" s="28"/>
      <c r="S416" s="63"/>
      <c r="T416" s="64"/>
      <c r="U416" s="63"/>
      <c r="V416" s="64"/>
      <c r="W416" s="28"/>
      <c r="X416" s="65" t="str">
        <f aca="false">IF($A416="","",IF(OR($T416&lt;&gt;"",$U416&lt;&gt;""),"Closed",IFERROR(INDEX(MapStage,MATCH($C416,MapStatus,0)),"Unmapped")))</f>
        <v/>
      </c>
      <c r="Y416" s="65" t="str">
        <f aca="false">IF(OR($X416="",$X416="Closed",$X416="Unmapped"),"",MATCH($X416,StageName,0))</f>
        <v/>
      </c>
      <c r="Z416" s="65" t="str">
        <f aca="false">IF(OR($Y416="",$I416=""),"",$I416-AsOf)</f>
        <v/>
      </c>
      <c r="AA416" s="65" t="str">
        <f aca="false">IF($A416="","",AsOf-$H416)</f>
        <v/>
      </c>
      <c r="AB416" s="65" t="str">
        <f aca="false">IF($A416="","",IF($X416="Closed","Closed",IF($X416="Unmapped","Unmapped",IF($I416="","No target",IF($Z416&lt;0,"Overdue",IF($Z416&lt;=INDEX(StageWindow,$Y416),"At risk","On track"))))))</f>
        <v/>
      </c>
      <c r="AC416" s="65" t="str">
        <f aca="false">IF($Y416="","",IF($AA416&gt;2*INDEX(StageStale,$Y416),"Stale",IF($AA416&gt;INDEX(StageStale,$Y416),"Aging","Fresh")))</f>
        <v/>
      </c>
      <c r="AD416" s="65" t="str">
        <f aca="false">IF($A416="","",IF(OR(ISNUMBER(SEARCH("Reg report",$J416)),ISNUMBER(SEARCH("No human review",$J416)),COUNTIF(TierFuncs,$D416)&gt;0),"High",IF(OR(TRIM($J416)&lt;&gt;"",ISNUMBER(SEARCH("revenue",$K416))),"Medium","Low")))</f>
        <v/>
      </c>
      <c r="AE416" s="65" t="str">
        <f aca="false">IF($A416="","",INDEX(TierDays,MATCH($AD416,TierName,0)))</f>
        <v/>
      </c>
      <c r="AF416" s="65" t="str">
        <f aca="false">IF($A416="","",AsOf-$G416)</f>
        <v/>
      </c>
      <c r="AG416" s="65" t="str">
        <f aca="false">IF($Y416="","",IF($Y416&lt;=5,IF($AF416&gt;$AE416,"Over","Inside"),"Past approval"))</f>
        <v/>
      </c>
      <c r="AH416" s="65" t="str">
        <f aca="false">IF($Y416="","",CHOOSE($Y416,IF(OR(TRIM($F416)="",ISNUMBER(SEARCH("not named",$F416))),"Critical","Good"),IF($O416&lt;&gt;"Y","Critical",IF($Q416&lt;&gt;"Y","Warning","Good")),IF($P416="","Critical",IF($P416="partial","Warning",IF($P416="ready","Good","Critical"))),IF($R416&lt;&gt;"","Critical","Warning"),IF($L416="","Critical",IF($N416="","Warning","Good")),IF($R416&lt;&gt;"","Critical","Warning"),IF($R416&lt;&gt;"","Critical","Warning"),IF($Q416="Y","Good","Critical")))</f>
        <v/>
      </c>
      <c r="AI416" s="65" t="str">
        <f aca="false">IF($Y416="","",CHOOSE($Y416,IF(OR(TRIM($F416)="",ISNUMBER(SEARCH("not named",$F416))),"Name a sponsor accountable for the value",""),IF($O416&lt;&gt;"Y","State the success metric and the stop condition",IF($Q416&lt;&gt;"Y","Set the baseline the benefit will be measured against","")),IF($P416="","Assess data readiness and regulatory impact",IF($P416="partial","Close the known data gaps",IF($P416="ready","","Data is not available; reshape or park"))),IF($R416&lt;&gt;"",IF(OR(ISNUMBER(SEARCH("mrm",$R416)),ISNUMBER(SEARCH("model",$R416)),ISNUMBER(SEARCH("risk",$R416)),ISNUMBER(SEARCH("legal",$R416)),ISNUMBER(SEARCH("complian",$R416))),"Awaiting ","Held at the design gate: ")&amp;$R416,"Map the governance framework for its tier"),IF($L416="","Size the annual benefit",IF($N416="","Score it so it can be ranked against capacity","")),IF($R416&lt;&gt;"","Build held: "&amp;$R416,"In build, not yet through test"),IF($R416&lt;&gt;"","Not ready to scale: "&amp;$R416,"Monitoring and third-party review not yet signed off"),IF($Q416="Y","","Live without a measured baseline to judge it against")))</f>
        <v/>
      </c>
      <c r="AJ416" s="65" t="str">
        <f aca="false">IF($Y416="","",INDEX(StageForum,$Y416))</f>
        <v/>
      </c>
      <c r="AK416" s="65" t="str">
        <f aca="false">IF($Y416="","",IF(OR($X416="Delivery",$X416="Value"),"Committed",IF($N416&lt;&gt;"","Candidate","")))</f>
        <v/>
      </c>
      <c r="AL416" s="65" t="str">
        <f aca="false">IF($AK416&lt;&gt;"Candidate","",COUNTIFS($AK$2:$AK$501,"Candidate",$N$2:$N$501,"&gt;"&amp;$N416)+COUNTIFS($AK$2:$AK$501,"Candidate",$N$2:$N$501,$N416,$A$2:$A$501,"&lt;"&amp;$A416)+1)</f>
        <v/>
      </c>
      <c r="AM416" s="65" t="str">
        <f aca="false">IF($AL416="","",SUMIFS($M$2:$M$501,$AK$2:$AK$501,"Candidate",$AL$2:$AL$501,"&lt;="&amp;$AL416))</f>
        <v/>
      </c>
      <c r="AN416" s="65" t="str">
        <f aca="false">IF($AL416="","",IF($AM416&lt;=CapacityOpen,"Fits","Below line"))</f>
        <v/>
      </c>
      <c r="AO416" s="65" t="str">
        <f aca="false">IF($A416="","",IF($X416="Closed","",IF($X416="Unmapped","Warning",IF(OR($AB416="Overdue",$V416="Y",$AH416="Critical"),"Critical",IF(OR($AB416="At risk",$AC416="Stale",$AG416="Over"),"Warning","")))))</f>
        <v/>
      </c>
      <c r="AP416" s="65" t="str">
        <f aca="false">IF($AO416="","",IF($AO416="Critical",3000,2000)-IF($Z416="",0,$Z416)+ROW()/100000)</f>
        <v/>
      </c>
      <c r="AQ416" s="65" t="str">
        <f aca="false">IF($AO416="","",IF($X416="Unmapped","Status '"&amp;$C416&amp;"' is not in the Config map",IF($V416="Y","Flagged in Jira",IF($AB416="Overdue",-$Z416&amp;" days past its "&amp;$X416&amp;" target",IF($AH416="Critical",$AI416,IF($AB416="At risk","Target in "&amp;$Z416&amp;" days",IF($AC416="Stale","No update in "&amp;$AA416&amp;" days","Past its "&amp;$AE416&amp;"-day tier window")))))))</f>
        <v/>
      </c>
      <c r="AR416" s="65" t="str">
        <f aca="false">IF($AO416="","","draft Jira update for "&amp;$A416)</f>
        <v/>
      </c>
      <c r="AS416" s="65" t="str">
        <f aca="false">IF($A416="","",HYPERLINK(JiraSite&amp;"/browse/"&amp;$A416,"open"))</f>
        <v/>
      </c>
      <c r="AT416" s="65" t="str">
        <f aca="false">IF($Y416="","",$Y416*1000+ROW())</f>
        <v/>
      </c>
      <c r="AU416" s="65" t="str">
        <f aca="false">IF(AND($A416&lt;&gt;"",$G416&gt;=WeekStart),$G416+ROW()/100000,"")</f>
        <v/>
      </c>
      <c r="AV416" s="65" t="str">
        <f aca="false">IF($A416="","",IF(OR(AND($S416&lt;&gt;"",$S416&gt;=WeekStart),AND($U416&lt;&gt;"",$U416&gt;=WeekStart)),MAX($S416,$U416)+ROW()/100000,""))</f>
        <v/>
      </c>
      <c r="AW416" s="65" t="str">
        <f aca="false">IF($AV416="","",IF($T416&lt;&gt;"",$T416,IF($X416="Closed","Closed","Accepted to "&amp;$X416)))</f>
        <v/>
      </c>
      <c r="AX416" s="65" t="str">
        <f aca="false">IF(AND($Y416&lt;&gt;"",$R416&lt;&gt;""),$AF416+ROW()/100000,"")</f>
        <v/>
      </c>
      <c r="AY416" s="65" t="str">
        <f aca="false">IF(AND($Y416&lt;&gt;"",OR($AB416="Overdue",AND($AH416="Critical",$R416&lt;&gt;""))),$AF416+ROW()/100000,"")</f>
        <v/>
      </c>
      <c r="AZ416" s="65" t="str">
        <f aca="false">IF($AH416="Critical",$AF416+ROW()/100000,"")</f>
        <v/>
      </c>
    </row>
    <row r="417" customFormat="false" ht="15" hidden="false" customHeight="false" outlineLevel="0" collapsed="false">
      <c r="A417" s="28"/>
      <c r="B417" s="28"/>
      <c r="C417" s="28"/>
      <c r="D417" s="28"/>
      <c r="E417" s="28"/>
      <c r="F417" s="28"/>
      <c r="G417" s="63"/>
      <c r="H417" s="63"/>
      <c r="I417" s="63"/>
      <c r="J417" s="28"/>
      <c r="K417" s="28"/>
      <c r="L417" s="28"/>
      <c r="M417" s="28"/>
      <c r="N417" s="28"/>
      <c r="O417" s="64"/>
      <c r="P417" s="64"/>
      <c r="Q417" s="64"/>
      <c r="R417" s="28"/>
      <c r="S417" s="63"/>
      <c r="T417" s="64"/>
      <c r="U417" s="63"/>
      <c r="V417" s="64"/>
      <c r="W417" s="28"/>
      <c r="X417" s="65" t="str">
        <f aca="false">IF($A417="","",IF(OR($T417&lt;&gt;"",$U417&lt;&gt;""),"Closed",IFERROR(INDEX(MapStage,MATCH($C417,MapStatus,0)),"Unmapped")))</f>
        <v/>
      </c>
      <c r="Y417" s="65" t="str">
        <f aca="false">IF(OR($X417="",$X417="Closed",$X417="Unmapped"),"",MATCH($X417,StageName,0))</f>
        <v/>
      </c>
      <c r="Z417" s="65" t="str">
        <f aca="false">IF(OR($Y417="",$I417=""),"",$I417-AsOf)</f>
        <v/>
      </c>
      <c r="AA417" s="65" t="str">
        <f aca="false">IF($A417="","",AsOf-$H417)</f>
        <v/>
      </c>
      <c r="AB417" s="65" t="str">
        <f aca="false">IF($A417="","",IF($X417="Closed","Closed",IF($X417="Unmapped","Unmapped",IF($I417="","No target",IF($Z417&lt;0,"Overdue",IF($Z417&lt;=INDEX(StageWindow,$Y417),"At risk","On track"))))))</f>
        <v/>
      </c>
      <c r="AC417" s="65" t="str">
        <f aca="false">IF($Y417="","",IF($AA417&gt;2*INDEX(StageStale,$Y417),"Stale",IF($AA417&gt;INDEX(StageStale,$Y417),"Aging","Fresh")))</f>
        <v/>
      </c>
      <c r="AD417" s="65" t="str">
        <f aca="false">IF($A417="","",IF(OR(ISNUMBER(SEARCH("Reg report",$J417)),ISNUMBER(SEARCH("No human review",$J417)),COUNTIF(TierFuncs,$D417)&gt;0),"High",IF(OR(TRIM($J417)&lt;&gt;"",ISNUMBER(SEARCH("revenue",$K417))),"Medium","Low")))</f>
        <v/>
      </c>
      <c r="AE417" s="65" t="str">
        <f aca="false">IF($A417="","",INDEX(TierDays,MATCH($AD417,TierName,0)))</f>
        <v/>
      </c>
      <c r="AF417" s="65" t="str">
        <f aca="false">IF($A417="","",AsOf-$G417)</f>
        <v/>
      </c>
      <c r="AG417" s="65" t="str">
        <f aca="false">IF($Y417="","",IF($Y417&lt;=5,IF($AF417&gt;$AE417,"Over","Inside"),"Past approval"))</f>
        <v/>
      </c>
      <c r="AH417" s="65" t="str">
        <f aca="false">IF($Y417="","",CHOOSE($Y417,IF(OR(TRIM($F417)="",ISNUMBER(SEARCH("not named",$F417))),"Critical","Good"),IF($O417&lt;&gt;"Y","Critical",IF($Q417&lt;&gt;"Y","Warning","Good")),IF($P417="","Critical",IF($P417="partial","Warning",IF($P417="ready","Good","Critical"))),IF($R417&lt;&gt;"","Critical","Warning"),IF($L417="","Critical",IF($N417="","Warning","Good")),IF($R417&lt;&gt;"","Critical","Warning"),IF($R417&lt;&gt;"","Critical","Warning"),IF($Q417="Y","Good","Critical")))</f>
        <v/>
      </c>
      <c r="AI417" s="65" t="str">
        <f aca="false">IF($Y417="","",CHOOSE($Y417,IF(OR(TRIM($F417)="",ISNUMBER(SEARCH("not named",$F417))),"Name a sponsor accountable for the value",""),IF($O417&lt;&gt;"Y","State the success metric and the stop condition",IF($Q417&lt;&gt;"Y","Set the baseline the benefit will be measured against","")),IF($P417="","Assess data readiness and regulatory impact",IF($P417="partial","Close the known data gaps",IF($P417="ready","","Data is not available; reshape or park"))),IF($R417&lt;&gt;"",IF(OR(ISNUMBER(SEARCH("mrm",$R417)),ISNUMBER(SEARCH("model",$R417)),ISNUMBER(SEARCH("risk",$R417)),ISNUMBER(SEARCH("legal",$R417)),ISNUMBER(SEARCH("complian",$R417))),"Awaiting ","Held at the design gate: ")&amp;$R417,"Map the governance framework for its tier"),IF($L417="","Size the annual benefit",IF($N417="","Score it so it can be ranked against capacity","")),IF($R417&lt;&gt;"","Build held: "&amp;$R417,"In build, not yet through test"),IF($R417&lt;&gt;"","Not ready to scale: "&amp;$R417,"Monitoring and third-party review not yet signed off"),IF($Q417="Y","","Live without a measured baseline to judge it against")))</f>
        <v/>
      </c>
      <c r="AJ417" s="65" t="str">
        <f aca="false">IF($Y417="","",INDEX(StageForum,$Y417))</f>
        <v/>
      </c>
      <c r="AK417" s="65" t="str">
        <f aca="false">IF($Y417="","",IF(OR($X417="Delivery",$X417="Value"),"Committed",IF($N417&lt;&gt;"","Candidate","")))</f>
        <v/>
      </c>
      <c r="AL417" s="65" t="str">
        <f aca="false">IF($AK417&lt;&gt;"Candidate","",COUNTIFS($AK$2:$AK$501,"Candidate",$N$2:$N$501,"&gt;"&amp;$N417)+COUNTIFS($AK$2:$AK$501,"Candidate",$N$2:$N$501,$N417,$A$2:$A$501,"&lt;"&amp;$A417)+1)</f>
        <v/>
      </c>
      <c r="AM417" s="65" t="str">
        <f aca="false">IF($AL417="","",SUMIFS($M$2:$M$501,$AK$2:$AK$501,"Candidate",$AL$2:$AL$501,"&lt;="&amp;$AL417))</f>
        <v/>
      </c>
      <c r="AN417" s="65" t="str">
        <f aca="false">IF($AL417="","",IF($AM417&lt;=CapacityOpen,"Fits","Below line"))</f>
        <v/>
      </c>
      <c r="AO417" s="65" t="str">
        <f aca="false">IF($A417="","",IF($X417="Closed","",IF($X417="Unmapped","Warning",IF(OR($AB417="Overdue",$V417="Y",$AH417="Critical"),"Critical",IF(OR($AB417="At risk",$AC417="Stale",$AG417="Over"),"Warning","")))))</f>
        <v/>
      </c>
      <c r="AP417" s="65" t="str">
        <f aca="false">IF($AO417="","",IF($AO417="Critical",3000,2000)-IF($Z417="",0,$Z417)+ROW()/100000)</f>
        <v/>
      </c>
      <c r="AQ417" s="65" t="str">
        <f aca="false">IF($AO417="","",IF($X417="Unmapped","Status '"&amp;$C417&amp;"' is not in the Config map",IF($V417="Y","Flagged in Jira",IF($AB417="Overdue",-$Z417&amp;" days past its "&amp;$X417&amp;" target",IF($AH417="Critical",$AI417,IF($AB417="At risk","Target in "&amp;$Z417&amp;" days",IF($AC417="Stale","No update in "&amp;$AA417&amp;" days","Past its "&amp;$AE417&amp;"-day tier window")))))))</f>
        <v/>
      </c>
      <c r="AR417" s="65" t="str">
        <f aca="false">IF($AO417="","","draft Jira update for "&amp;$A417)</f>
        <v/>
      </c>
      <c r="AS417" s="65" t="str">
        <f aca="false">IF($A417="","",HYPERLINK(JiraSite&amp;"/browse/"&amp;$A417,"open"))</f>
        <v/>
      </c>
      <c r="AT417" s="65" t="str">
        <f aca="false">IF($Y417="","",$Y417*1000+ROW())</f>
        <v/>
      </c>
      <c r="AU417" s="65" t="str">
        <f aca="false">IF(AND($A417&lt;&gt;"",$G417&gt;=WeekStart),$G417+ROW()/100000,"")</f>
        <v/>
      </c>
      <c r="AV417" s="65" t="str">
        <f aca="false">IF($A417="","",IF(OR(AND($S417&lt;&gt;"",$S417&gt;=WeekStart),AND($U417&lt;&gt;"",$U417&gt;=WeekStart)),MAX($S417,$U417)+ROW()/100000,""))</f>
        <v/>
      </c>
      <c r="AW417" s="65" t="str">
        <f aca="false">IF($AV417="","",IF($T417&lt;&gt;"",$T417,IF($X417="Closed","Closed","Accepted to "&amp;$X417)))</f>
        <v/>
      </c>
      <c r="AX417" s="65" t="str">
        <f aca="false">IF(AND($Y417&lt;&gt;"",$R417&lt;&gt;""),$AF417+ROW()/100000,"")</f>
        <v/>
      </c>
      <c r="AY417" s="65" t="str">
        <f aca="false">IF(AND($Y417&lt;&gt;"",OR($AB417="Overdue",AND($AH417="Critical",$R417&lt;&gt;""))),$AF417+ROW()/100000,"")</f>
        <v/>
      </c>
      <c r="AZ417" s="65" t="str">
        <f aca="false">IF($AH417="Critical",$AF417+ROW()/100000,"")</f>
        <v/>
      </c>
    </row>
    <row r="418" customFormat="false" ht="15" hidden="false" customHeight="false" outlineLevel="0" collapsed="false">
      <c r="A418" s="28"/>
      <c r="B418" s="28"/>
      <c r="C418" s="28"/>
      <c r="D418" s="28"/>
      <c r="E418" s="28"/>
      <c r="F418" s="28"/>
      <c r="G418" s="63"/>
      <c r="H418" s="63"/>
      <c r="I418" s="63"/>
      <c r="J418" s="28"/>
      <c r="K418" s="28"/>
      <c r="L418" s="28"/>
      <c r="M418" s="28"/>
      <c r="N418" s="28"/>
      <c r="O418" s="64"/>
      <c r="P418" s="64"/>
      <c r="Q418" s="64"/>
      <c r="R418" s="28"/>
      <c r="S418" s="63"/>
      <c r="T418" s="64"/>
      <c r="U418" s="63"/>
      <c r="V418" s="64"/>
      <c r="W418" s="28"/>
      <c r="X418" s="65" t="str">
        <f aca="false">IF($A418="","",IF(OR($T418&lt;&gt;"",$U418&lt;&gt;""),"Closed",IFERROR(INDEX(MapStage,MATCH($C418,MapStatus,0)),"Unmapped")))</f>
        <v/>
      </c>
      <c r="Y418" s="65" t="str">
        <f aca="false">IF(OR($X418="",$X418="Closed",$X418="Unmapped"),"",MATCH($X418,StageName,0))</f>
        <v/>
      </c>
      <c r="Z418" s="65" t="str">
        <f aca="false">IF(OR($Y418="",$I418=""),"",$I418-AsOf)</f>
        <v/>
      </c>
      <c r="AA418" s="65" t="str">
        <f aca="false">IF($A418="","",AsOf-$H418)</f>
        <v/>
      </c>
      <c r="AB418" s="65" t="str">
        <f aca="false">IF($A418="","",IF($X418="Closed","Closed",IF($X418="Unmapped","Unmapped",IF($I418="","No target",IF($Z418&lt;0,"Overdue",IF($Z418&lt;=INDEX(StageWindow,$Y418),"At risk","On track"))))))</f>
        <v/>
      </c>
      <c r="AC418" s="65" t="str">
        <f aca="false">IF($Y418="","",IF($AA418&gt;2*INDEX(StageStale,$Y418),"Stale",IF($AA418&gt;INDEX(StageStale,$Y418),"Aging","Fresh")))</f>
        <v/>
      </c>
      <c r="AD418" s="65" t="str">
        <f aca="false">IF($A418="","",IF(OR(ISNUMBER(SEARCH("Reg report",$J418)),ISNUMBER(SEARCH("No human review",$J418)),COUNTIF(TierFuncs,$D418)&gt;0),"High",IF(OR(TRIM($J418)&lt;&gt;"",ISNUMBER(SEARCH("revenue",$K418))),"Medium","Low")))</f>
        <v/>
      </c>
      <c r="AE418" s="65" t="str">
        <f aca="false">IF($A418="","",INDEX(TierDays,MATCH($AD418,TierName,0)))</f>
        <v/>
      </c>
      <c r="AF418" s="65" t="str">
        <f aca="false">IF($A418="","",AsOf-$G418)</f>
        <v/>
      </c>
      <c r="AG418" s="65" t="str">
        <f aca="false">IF($Y418="","",IF($Y418&lt;=5,IF($AF418&gt;$AE418,"Over","Inside"),"Past approval"))</f>
        <v/>
      </c>
      <c r="AH418" s="65" t="str">
        <f aca="false">IF($Y418="","",CHOOSE($Y418,IF(OR(TRIM($F418)="",ISNUMBER(SEARCH("not named",$F418))),"Critical","Good"),IF($O418&lt;&gt;"Y","Critical",IF($Q418&lt;&gt;"Y","Warning","Good")),IF($P418="","Critical",IF($P418="partial","Warning",IF($P418="ready","Good","Critical"))),IF($R418&lt;&gt;"","Critical","Warning"),IF($L418="","Critical",IF($N418="","Warning","Good")),IF($R418&lt;&gt;"","Critical","Warning"),IF($R418&lt;&gt;"","Critical","Warning"),IF($Q418="Y","Good","Critical")))</f>
        <v/>
      </c>
      <c r="AI418" s="65" t="str">
        <f aca="false">IF($Y418="","",CHOOSE($Y418,IF(OR(TRIM($F418)="",ISNUMBER(SEARCH("not named",$F418))),"Name a sponsor accountable for the value",""),IF($O418&lt;&gt;"Y","State the success metric and the stop condition",IF($Q418&lt;&gt;"Y","Set the baseline the benefit will be measured against","")),IF($P418="","Assess data readiness and regulatory impact",IF($P418="partial","Close the known data gaps",IF($P418="ready","","Data is not available; reshape or park"))),IF($R418&lt;&gt;"",IF(OR(ISNUMBER(SEARCH("mrm",$R418)),ISNUMBER(SEARCH("model",$R418)),ISNUMBER(SEARCH("risk",$R418)),ISNUMBER(SEARCH("legal",$R418)),ISNUMBER(SEARCH("complian",$R418))),"Awaiting ","Held at the design gate: ")&amp;$R418,"Map the governance framework for its tier"),IF($L418="","Size the annual benefit",IF($N418="","Score it so it can be ranked against capacity","")),IF($R418&lt;&gt;"","Build held: "&amp;$R418,"In build, not yet through test"),IF($R418&lt;&gt;"","Not ready to scale: "&amp;$R418,"Monitoring and third-party review not yet signed off"),IF($Q418="Y","","Live without a measured baseline to judge it against")))</f>
        <v/>
      </c>
      <c r="AJ418" s="65" t="str">
        <f aca="false">IF($Y418="","",INDEX(StageForum,$Y418))</f>
        <v/>
      </c>
      <c r="AK418" s="65" t="str">
        <f aca="false">IF($Y418="","",IF(OR($X418="Delivery",$X418="Value"),"Committed",IF($N418&lt;&gt;"","Candidate","")))</f>
        <v/>
      </c>
      <c r="AL418" s="65" t="str">
        <f aca="false">IF($AK418&lt;&gt;"Candidate","",COUNTIFS($AK$2:$AK$501,"Candidate",$N$2:$N$501,"&gt;"&amp;$N418)+COUNTIFS($AK$2:$AK$501,"Candidate",$N$2:$N$501,$N418,$A$2:$A$501,"&lt;"&amp;$A418)+1)</f>
        <v/>
      </c>
      <c r="AM418" s="65" t="str">
        <f aca="false">IF($AL418="","",SUMIFS($M$2:$M$501,$AK$2:$AK$501,"Candidate",$AL$2:$AL$501,"&lt;="&amp;$AL418))</f>
        <v/>
      </c>
      <c r="AN418" s="65" t="str">
        <f aca="false">IF($AL418="","",IF($AM418&lt;=CapacityOpen,"Fits","Below line"))</f>
        <v/>
      </c>
      <c r="AO418" s="65" t="str">
        <f aca="false">IF($A418="","",IF($X418="Closed","",IF($X418="Unmapped","Warning",IF(OR($AB418="Overdue",$V418="Y",$AH418="Critical"),"Critical",IF(OR($AB418="At risk",$AC418="Stale",$AG418="Over"),"Warning","")))))</f>
        <v/>
      </c>
      <c r="AP418" s="65" t="str">
        <f aca="false">IF($AO418="","",IF($AO418="Critical",3000,2000)-IF($Z418="",0,$Z418)+ROW()/100000)</f>
        <v/>
      </c>
      <c r="AQ418" s="65" t="str">
        <f aca="false">IF($AO418="","",IF($X418="Unmapped","Status '"&amp;$C418&amp;"' is not in the Config map",IF($V418="Y","Flagged in Jira",IF($AB418="Overdue",-$Z418&amp;" days past its "&amp;$X418&amp;" target",IF($AH418="Critical",$AI418,IF($AB418="At risk","Target in "&amp;$Z418&amp;" days",IF($AC418="Stale","No update in "&amp;$AA418&amp;" days","Past its "&amp;$AE418&amp;"-day tier window")))))))</f>
        <v/>
      </c>
      <c r="AR418" s="65" t="str">
        <f aca="false">IF($AO418="","","draft Jira update for "&amp;$A418)</f>
        <v/>
      </c>
      <c r="AS418" s="65" t="str">
        <f aca="false">IF($A418="","",HYPERLINK(JiraSite&amp;"/browse/"&amp;$A418,"open"))</f>
        <v/>
      </c>
      <c r="AT418" s="65" t="str">
        <f aca="false">IF($Y418="","",$Y418*1000+ROW())</f>
        <v/>
      </c>
      <c r="AU418" s="65" t="str">
        <f aca="false">IF(AND($A418&lt;&gt;"",$G418&gt;=WeekStart),$G418+ROW()/100000,"")</f>
        <v/>
      </c>
      <c r="AV418" s="65" t="str">
        <f aca="false">IF($A418="","",IF(OR(AND($S418&lt;&gt;"",$S418&gt;=WeekStart),AND($U418&lt;&gt;"",$U418&gt;=WeekStart)),MAX($S418,$U418)+ROW()/100000,""))</f>
        <v/>
      </c>
      <c r="AW418" s="65" t="str">
        <f aca="false">IF($AV418="","",IF($T418&lt;&gt;"",$T418,IF($X418="Closed","Closed","Accepted to "&amp;$X418)))</f>
        <v/>
      </c>
      <c r="AX418" s="65" t="str">
        <f aca="false">IF(AND($Y418&lt;&gt;"",$R418&lt;&gt;""),$AF418+ROW()/100000,"")</f>
        <v/>
      </c>
      <c r="AY418" s="65" t="str">
        <f aca="false">IF(AND($Y418&lt;&gt;"",OR($AB418="Overdue",AND($AH418="Critical",$R418&lt;&gt;""))),$AF418+ROW()/100000,"")</f>
        <v/>
      </c>
      <c r="AZ418" s="65" t="str">
        <f aca="false">IF($AH418="Critical",$AF418+ROW()/100000,"")</f>
        <v/>
      </c>
    </row>
    <row r="419" customFormat="false" ht="15" hidden="false" customHeight="false" outlineLevel="0" collapsed="false">
      <c r="A419" s="28"/>
      <c r="B419" s="28"/>
      <c r="C419" s="28"/>
      <c r="D419" s="28"/>
      <c r="E419" s="28"/>
      <c r="F419" s="28"/>
      <c r="G419" s="63"/>
      <c r="H419" s="63"/>
      <c r="I419" s="63"/>
      <c r="J419" s="28"/>
      <c r="K419" s="28"/>
      <c r="L419" s="28"/>
      <c r="M419" s="28"/>
      <c r="N419" s="28"/>
      <c r="O419" s="64"/>
      <c r="P419" s="64"/>
      <c r="Q419" s="64"/>
      <c r="R419" s="28"/>
      <c r="S419" s="63"/>
      <c r="T419" s="64"/>
      <c r="U419" s="63"/>
      <c r="V419" s="64"/>
      <c r="W419" s="28"/>
      <c r="X419" s="65" t="str">
        <f aca="false">IF($A419="","",IF(OR($T419&lt;&gt;"",$U419&lt;&gt;""),"Closed",IFERROR(INDEX(MapStage,MATCH($C419,MapStatus,0)),"Unmapped")))</f>
        <v/>
      </c>
      <c r="Y419" s="65" t="str">
        <f aca="false">IF(OR($X419="",$X419="Closed",$X419="Unmapped"),"",MATCH($X419,StageName,0))</f>
        <v/>
      </c>
      <c r="Z419" s="65" t="str">
        <f aca="false">IF(OR($Y419="",$I419=""),"",$I419-AsOf)</f>
        <v/>
      </c>
      <c r="AA419" s="65" t="str">
        <f aca="false">IF($A419="","",AsOf-$H419)</f>
        <v/>
      </c>
      <c r="AB419" s="65" t="str">
        <f aca="false">IF($A419="","",IF($X419="Closed","Closed",IF($X419="Unmapped","Unmapped",IF($I419="","No target",IF($Z419&lt;0,"Overdue",IF($Z419&lt;=INDEX(StageWindow,$Y419),"At risk","On track"))))))</f>
        <v/>
      </c>
      <c r="AC419" s="65" t="str">
        <f aca="false">IF($Y419="","",IF($AA419&gt;2*INDEX(StageStale,$Y419),"Stale",IF($AA419&gt;INDEX(StageStale,$Y419),"Aging","Fresh")))</f>
        <v/>
      </c>
      <c r="AD419" s="65" t="str">
        <f aca="false">IF($A419="","",IF(OR(ISNUMBER(SEARCH("Reg report",$J419)),ISNUMBER(SEARCH("No human review",$J419)),COUNTIF(TierFuncs,$D419)&gt;0),"High",IF(OR(TRIM($J419)&lt;&gt;"",ISNUMBER(SEARCH("revenue",$K419))),"Medium","Low")))</f>
        <v/>
      </c>
      <c r="AE419" s="65" t="str">
        <f aca="false">IF($A419="","",INDEX(TierDays,MATCH($AD419,TierName,0)))</f>
        <v/>
      </c>
      <c r="AF419" s="65" t="str">
        <f aca="false">IF($A419="","",AsOf-$G419)</f>
        <v/>
      </c>
      <c r="AG419" s="65" t="str">
        <f aca="false">IF($Y419="","",IF($Y419&lt;=5,IF($AF419&gt;$AE419,"Over","Inside"),"Past approval"))</f>
        <v/>
      </c>
      <c r="AH419" s="65" t="str">
        <f aca="false">IF($Y419="","",CHOOSE($Y419,IF(OR(TRIM($F419)="",ISNUMBER(SEARCH("not named",$F419))),"Critical","Good"),IF($O419&lt;&gt;"Y","Critical",IF($Q419&lt;&gt;"Y","Warning","Good")),IF($P419="","Critical",IF($P419="partial","Warning",IF($P419="ready","Good","Critical"))),IF($R419&lt;&gt;"","Critical","Warning"),IF($L419="","Critical",IF($N419="","Warning","Good")),IF($R419&lt;&gt;"","Critical","Warning"),IF($R419&lt;&gt;"","Critical","Warning"),IF($Q419="Y","Good","Critical")))</f>
        <v/>
      </c>
      <c r="AI419" s="65" t="str">
        <f aca="false">IF($Y419="","",CHOOSE($Y419,IF(OR(TRIM($F419)="",ISNUMBER(SEARCH("not named",$F419))),"Name a sponsor accountable for the value",""),IF($O419&lt;&gt;"Y","State the success metric and the stop condition",IF($Q419&lt;&gt;"Y","Set the baseline the benefit will be measured against","")),IF($P419="","Assess data readiness and regulatory impact",IF($P419="partial","Close the known data gaps",IF($P419="ready","","Data is not available; reshape or park"))),IF($R419&lt;&gt;"",IF(OR(ISNUMBER(SEARCH("mrm",$R419)),ISNUMBER(SEARCH("model",$R419)),ISNUMBER(SEARCH("risk",$R419)),ISNUMBER(SEARCH("legal",$R419)),ISNUMBER(SEARCH("complian",$R419))),"Awaiting ","Held at the design gate: ")&amp;$R419,"Map the governance framework for its tier"),IF($L419="","Size the annual benefit",IF($N419="","Score it so it can be ranked against capacity","")),IF($R419&lt;&gt;"","Build held: "&amp;$R419,"In build, not yet through test"),IF($R419&lt;&gt;"","Not ready to scale: "&amp;$R419,"Monitoring and third-party review not yet signed off"),IF($Q419="Y","","Live without a measured baseline to judge it against")))</f>
        <v/>
      </c>
      <c r="AJ419" s="65" t="str">
        <f aca="false">IF($Y419="","",INDEX(StageForum,$Y419))</f>
        <v/>
      </c>
      <c r="AK419" s="65" t="str">
        <f aca="false">IF($Y419="","",IF(OR($X419="Delivery",$X419="Value"),"Committed",IF($N419&lt;&gt;"","Candidate","")))</f>
        <v/>
      </c>
      <c r="AL419" s="65" t="str">
        <f aca="false">IF($AK419&lt;&gt;"Candidate","",COUNTIFS($AK$2:$AK$501,"Candidate",$N$2:$N$501,"&gt;"&amp;$N419)+COUNTIFS($AK$2:$AK$501,"Candidate",$N$2:$N$501,$N419,$A$2:$A$501,"&lt;"&amp;$A419)+1)</f>
        <v/>
      </c>
      <c r="AM419" s="65" t="str">
        <f aca="false">IF($AL419="","",SUMIFS($M$2:$M$501,$AK$2:$AK$501,"Candidate",$AL$2:$AL$501,"&lt;="&amp;$AL419))</f>
        <v/>
      </c>
      <c r="AN419" s="65" t="str">
        <f aca="false">IF($AL419="","",IF($AM419&lt;=CapacityOpen,"Fits","Below line"))</f>
        <v/>
      </c>
      <c r="AO419" s="65" t="str">
        <f aca="false">IF($A419="","",IF($X419="Closed","",IF($X419="Unmapped","Warning",IF(OR($AB419="Overdue",$V419="Y",$AH419="Critical"),"Critical",IF(OR($AB419="At risk",$AC419="Stale",$AG419="Over"),"Warning","")))))</f>
        <v/>
      </c>
      <c r="AP419" s="65" t="str">
        <f aca="false">IF($AO419="","",IF($AO419="Critical",3000,2000)-IF($Z419="",0,$Z419)+ROW()/100000)</f>
        <v/>
      </c>
      <c r="AQ419" s="65" t="str">
        <f aca="false">IF($AO419="","",IF($X419="Unmapped","Status '"&amp;$C419&amp;"' is not in the Config map",IF($V419="Y","Flagged in Jira",IF($AB419="Overdue",-$Z419&amp;" days past its "&amp;$X419&amp;" target",IF($AH419="Critical",$AI419,IF($AB419="At risk","Target in "&amp;$Z419&amp;" days",IF($AC419="Stale","No update in "&amp;$AA419&amp;" days","Past its "&amp;$AE419&amp;"-day tier window")))))))</f>
        <v/>
      </c>
      <c r="AR419" s="65" t="str">
        <f aca="false">IF($AO419="","","draft Jira update for "&amp;$A419)</f>
        <v/>
      </c>
      <c r="AS419" s="65" t="str">
        <f aca="false">IF($A419="","",HYPERLINK(JiraSite&amp;"/browse/"&amp;$A419,"open"))</f>
        <v/>
      </c>
      <c r="AT419" s="65" t="str">
        <f aca="false">IF($Y419="","",$Y419*1000+ROW())</f>
        <v/>
      </c>
      <c r="AU419" s="65" t="str">
        <f aca="false">IF(AND($A419&lt;&gt;"",$G419&gt;=WeekStart),$G419+ROW()/100000,"")</f>
        <v/>
      </c>
      <c r="AV419" s="65" t="str">
        <f aca="false">IF($A419="","",IF(OR(AND($S419&lt;&gt;"",$S419&gt;=WeekStart),AND($U419&lt;&gt;"",$U419&gt;=WeekStart)),MAX($S419,$U419)+ROW()/100000,""))</f>
        <v/>
      </c>
      <c r="AW419" s="65" t="str">
        <f aca="false">IF($AV419="","",IF($T419&lt;&gt;"",$T419,IF($X419="Closed","Closed","Accepted to "&amp;$X419)))</f>
        <v/>
      </c>
      <c r="AX419" s="65" t="str">
        <f aca="false">IF(AND($Y419&lt;&gt;"",$R419&lt;&gt;""),$AF419+ROW()/100000,"")</f>
        <v/>
      </c>
      <c r="AY419" s="65" t="str">
        <f aca="false">IF(AND($Y419&lt;&gt;"",OR($AB419="Overdue",AND($AH419="Critical",$R419&lt;&gt;""))),$AF419+ROW()/100000,"")</f>
        <v/>
      </c>
      <c r="AZ419" s="65" t="str">
        <f aca="false">IF($AH419="Critical",$AF419+ROW()/100000,"")</f>
        <v/>
      </c>
    </row>
    <row r="420" customFormat="false" ht="15" hidden="false" customHeight="false" outlineLevel="0" collapsed="false">
      <c r="A420" s="28"/>
      <c r="B420" s="28"/>
      <c r="C420" s="28"/>
      <c r="D420" s="28"/>
      <c r="E420" s="28"/>
      <c r="F420" s="28"/>
      <c r="G420" s="63"/>
      <c r="H420" s="63"/>
      <c r="I420" s="63"/>
      <c r="J420" s="28"/>
      <c r="K420" s="28"/>
      <c r="L420" s="28"/>
      <c r="M420" s="28"/>
      <c r="N420" s="28"/>
      <c r="O420" s="64"/>
      <c r="P420" s="64"/>
      <c r="Q420" s="64"/>
      <c r="R420" s="28"/>
      <c r="S420" s="63"/>
      <c r="T420" s="64"/>
      <c r="U420" s="63"/>
      <c r="V420" s="64"/>
      <c r="W420" s="28"/>
      <c r="X420" s="65" t="str">
        <f aca="false">IF($A420="","",IF(OR($T420&lt;&gt;"",$U420&lt;&gt;""),"Closed",IFERROR(INDEX(MapStage,MATCH($C420,MapStatus,0)),"Unmapped")))</f>
        <v/>
      </c>
      <c r="Y420" s="65" t="str">
        <f aca="false">IF(OR($X420="",$X420="Closed",$X420="Unmapped"),"",MATCH($X420,StageName,0))</f>
        <v/>
      </c>
      <c r="Z420" s="65" t="str">
        <f aca="false">IF(OR($Y420="",$I420=""),"",$I420-AsOf)</f>
        <v/>
      </c>
      <c r="AA420" s="65" t="str">
        <f aca="false">IF($A420="","",AsOf-$H420)</f>
        <v/>
      </c>
      <c r="AB420" s="65" t="str">
        <f aca="false">IF($A420="","",IF($X420="Closed","Closed",IF($X420="Unmapped","Unmapped",IF($I420="","No target",IF($Z420&lt;0,"Overdue",IF($Z420&lt;=INDEX(StageWindow,$Y420),"At risk","On track"))))))</f>
        <v/>
      </c>
      <c r="AC420" s="65" t="str">
        <f aca="false">IF($Y420="","",IF($AA420&gt;2*INDEX(StageStale,$Y420),"Stale",IF($AA420&gt;INDEX(StageStale,$Y420),"Aging","Fresh")))</f>
        <v/>
      </c>
      <c r="AD420" s="65" t="str">
        <f aca="false">IF($A420="","",IF(OR(ISNUMBER(SEARCH("Reg report",$J420)),ISNUMBER(SEARCH("No human review",$J420)),COUNTIF(TierFuncs,$D420)&gt;0),"High",IF(OR(TRIM($J420)&lt;&gt;"",ISNUMBER(SEARCH("revenue",$K420))),"Medium","Low")))</f>
        <v/>
      </c>
      <c r="AE420" s="65" t="str">
        <f aca="false">IF($A420="","",INDEX(TierDays,MATCH($AD420,TierName,0)))</f>
        <v/>
      </c>
      <c r="AF420" s="65" t="str">
        <f aca="false">IF($A420="","",AsOf-$G420)</f>
        <v/>
      </c>
      <c r="AG420" s="65" t="str">
        <f aca="false">IF($Y420="","",IF($Y420&lt;=5,IF($AF420&gt;$AE420,"Over","Inside"),"Past approval"))</f>
        <v/>
      </c>
      <c r="AH420" s="65" t="str">
        <f aca="false">IF($Y420="","",CHOOSE($Y420,IF(OR(TRIM($F420)="",ISNUMBER(SEARCH("not named",$F420))),"Critical","Good"),IF($O420&lt;&gt;"Y","Critical",IF($Q420&lt;&gt;"Y","Warning","Good")),IF($P420="","Critical",IF($P420="partial","Warning",IF($P420="ready","Good","Critical"))),IF($R420&lt;&gt;"","Critical","Warning"),IF($L420="","Critical",IF($N420="","Warning","Good")),IF($R420&lt;&gt;"","Critical","Warning"),IF($R420&lt;&gt;"","Critical","Warning"),IF($Q420="Y","Good","Critical")))</f>
        <v/>
      </c>
      <c r="AI420" s="65" t="str">
        <f aca="false">IF($Y420="","",CHOOSE($Y420,IF(OR(TRIM($F420)="",ISNUMBER(SEARCH("not named",$F420))),"Name a sponsor accountable for the value",""),IF($O420&lt;&gt;"Y","State the success metric and the stop condition",IF($Q420&lt;&gt;"Y","Set the baseline the benefit will be measured against","")),IF($P420="","Assess data readiness and regulatory impact",IF($P420="partial","Close the known data gaps",IF($P420="ready","","Data is not available; reshape or park"))),IF($R420&lt;&gt;"",IF(OR(ISNUMBER(SEARCH("mrm",$R420)),ISNUMBER(SEARCH("model",$R420)),ISNUMBER(SEARCH("risk",$R420)),ISNUMBER(SEARCH("legal",$R420)),ISNUMBER(SEARCH("complian",$R420))),"Awaiting ","Held at the design gate: ")&amp;$R420,"Map the governance framework for its tier"),IF($L420="","Size the annual benefit",IF($N420="","Score it so it can be ranked against capacity","")),IF($R420&lt;&gt;"","Build held: "&amp;$R420,"In build, not yet through test"),IF($R420&lt;&gt;"","Not ready to scale: "&amp;$R420,"Monitoring and third-party review not yet signed off"),IF($Q420="Y","","Live without a measured baseline to judge it against")))</f>
        <v/>
      </c>
      <c r="AJ420" s="65" t="str">
        <f aca="false">IF($Y420="","",INDEX(StageForum,$Y420))</f>
        <v/>
      </c>
      <c r="AK420" s="65" t="str">
        <f aca="false">IF($Y420="","",IF(OR($X420="Delivery",$X420="Value"),"Committed",IF($N420&lt;&gt;"","Candidate","")))</f>
        <v/>
      </c>
      <c r="AL420" s="65" t="str">
        <f aca="false">IF($AK420&lt;&gt;"Candidate","",COUNTIFS($AK$2:$AK$501,"Candidate",$N$2:$N$501,"&gt;"&amp;$N420)+COUNTIFS($AK$2:$AK$501,"Candidate",$N$2:$N$501,$N420,$A$2:$A$501,"&lt;"&amp;$A420)+1)</f>
        <v/>
      </c>
      <c r="AM420" s="65" t="str">
        <f aca="false">IF($AL420="","",SUMIFS($M$2:$M$501,$AK$2:$AK$501,"Candidate",$AL$2:$AL$501,"&lt;="&amp;$AL420))</f>
        <v/>
      </c>
      <c r="AN420" s="65" t="str">
        <f aca="false">IF($AL420="","",IF($AM420&lt;=CapacityOpen,"Fits","Below line"))</f>
        <v/>
      </c>
      <c r="AO420" s="65" t="str">
        <f aca="false">IF($A420="","",IF($X420="Closed","",IF($X420="Unmapped","Warning",IF(OR($AB420="Overdue",$V420="Y",$AH420="Critical"),"Critical",IF(OR($AB420="At risk",$AC420="Stale",$AG420="Over"),"Warning","")))))</f>
        <v/>
      </c>
      <c r="AP420" s="65" t="str">
        <f aca="false">IF($AO420="","",IF($AO420="Critical",3000,2000)-IF($Z420="",0,$Z420)+ROW()/100000)</f>
        <v/>
      </c>
      <c r="AQ420" s="65" t="str">
        <f aca="false">IF($AO420="","",IF($X420="Unmapped","Status '"&amp;$C420&amp;"' is not in the Config map",IF($V420="Y","Flagged in Jira",IF($AB420="Overdue",-$Z420&amp;" days past its "&amp;$X420&amp;" target",IF($AH420="Critical",$AI420,IF($AB420="At risk","Target in "&amp;$Z420&amp;" days",IF($AC420="Stale","No update in "&amp;$AA420&amp;" days","Past its "&amp;$AE420&amp;"-day tier window")))))))</f>
        <v/>
      </c>
      <c r="AR420" s="65" t="str">
        <f aca="false">IF($AO420="","","draft Jira update for "&amp;$A420)</f>
        <v/>
      </c>
      <c r="AS420" s="65" t="str">
        <f aca="false">IF($A420="","",HYPERLINK(JiraSite&amp;"/browse/"&amp;$A420,"open"))</f>
        <v/>
      </c>
      <c r="AT420" s="65" t="str">
        <f aca="false">IF($Y420="","",$Y420*1000+ROW())</f>
        <v/>
      </c>
      <c r="AU420" s="65" t="str">
        <f aca="false">IF(AND($A420&lt;&gt;"",$G420&gt;=WeekStart),$G420+ROW()/100000,"")</f>
        <v/>
      </c>
      <c r="AV420" s="65" t="str">
        <f aca="false">IF($A420="","",IF(OR(AND($S420&lt;&gt;"",$S420&gt;=WeekStart),AND($U420&lt;&gt;"",$U420&gt;=WeekStart)),MAX($S420,$U420)+ROW()/100000,""))</f>
        <v/>
      </c>
      <c r="AW420" s="65" t="str">
        <f aca="false">IF($AV420="","",IF($T420&lt;&gt;"",$T420,IF($X420="Closed","Closed","Accepted to "&amp;$X420)))</f>
        <v/>
      </c>
      <c r="AX420" s="65" t="str">
        <f aca="false">IF(AND($Y420&lt;&gt;"",$R420&lt;&gt;""),$AF420+ROW()/100000,"")</f>
        <v/>
      </c>
      <c r="AY420" s="65" t="str">
        <f aca="false">IF(AND($Y420&lt;&gt;"",OR($AB420="Overdue",AND($AH420="Critical",$R420&lt;&gt;""))),$AF420+ROW()/100000,"")</f>
        <v/>
      </c>
      <c r="AZ420" s="65" t="str">
        <f aca="false">IF($AH420="Critical",$AF420+ROW()/100000,"")</f>
        <v/>
      </c>
    </row>
    <row r="421" customFormat="false" ht="15" hidden="false" customHeight="false" outlineLevel="0" collapsed="false">
      <c r="A421" s="28"/>
      <c r="B421" s="28"/>
      <c r="C421" s="28"/>
      <c r="D421" s="28"/>
      <c r="E421" s="28"/>
      <c r="F421" s="28"/>
      <c r="G421" s="63"/>
      <c r="H421" s="63"/>
      <c r="I421" s="63"/>
      <c r="J421" s="28"/>
      <c r="K421" s="28"/>
      <c r="L421" s="28"/>
      <c r="M421" s="28"/>
      <c r="N421" s="28"/>
      <c r="O421" s="64"/>
      <c r="P421" s="64"/>
      <c r="Q421" s="64"/>
      <c r="R421" s="28"/>
      <c r="S421" s="63"/>
      <c r="T421" s="64"/>
      <c r="U421" s="63"/>
      <c r="V421" s="64"/>
      <c r="W421" s="28"/>
      <c r="X421" s="65" t="str">
        <f aca="false">IF($A421="","",IF(OR($T421&lt;&gt;"",$U421&lt;&gt;""),"Closed",IFERROR(INDEX(MapStage,MATCH($C421,MapStatus,0)),"Unmapped")))</f>
        <v/>
      </c>
      <c r="Y421" s="65" t="str">
        <f aca="false">IF(OR($X421="",$X421="Closed",$X421="Unmapped"),"",MATCH($X421,StageName,0))</f>
        <v/>
      </c>
      <c r="Z421" s="65" t="str">
        <f aca="false">IF(OR($Y421="",$I421=""),"",$I421-AsOf)</f>
        <v/>
      </c>
      <c r="AA421" s="65" t="str">
        <f aca="false">IF($A421="","",AsOf-$H421)</f>
        <v/>
      </c>
      <c r="AB421" s="65" t="str">
        <f aca="false">IF($A421="","",IF($X421="Closed","Closed",IF($X421="Unmapped","Unmapped",IF($I421="","No target",IF($Z421&lt;0,"Overdue",IF($Z421&lt;=INDEX(StageWindow,$Y421),"At risk","On track"))))))</f>
        <v/>
      </c>
      <c r="AC421" s="65" t="str">
        <f aca="false">IF($Y421="","",IF($AA421&gt;2*INDEX(StageStale,$Y421),"Stale",IF($AA421&gt;INDEX(StageStale,$Y421),"Aging","Fresh")))</f>
        <v/>
      </c>
      <c r="AD421" s="65" t="str">
        <f aca="false">IF($A421="","",IF(OR(ISNUMBER(SEARCH("Reg report",$J421)),ISNUMBER(SEARCH("No human review",$J421)),COUNTIF(TierFuncs,$D421)&gt;0),"High",IF(OR(TRIM($J421)&lt;&gt;"",ISNUMBER(SEARCH("revenue",$K421))),"Medium","Low")))</f>
        <v/>
      </c>
      <c r="AE421" s="65" t="str">
        <f aca="false">IF($A421="","",INDEX(TierDays,MATCH($AD421,TierName,0)))</f>
        <v/>
      </c>
      <c r="AF421" s="65" t="str">
        <f aca="false">IF($A421="","",AsOf-$G421)</f>
        <v/>
      </c>
      <c r="AG421" s="65" t="str">
        <f aca="false">IF($Y421="","",IF($Y421&lt;=5,IF($AF421&gt;$AE421,"Over","Inside"),"Past approval"))</f>
        <v/>
      </c>
      <c r="AH421" s="65" t="str">
        <f aca="false">IF($Y421="","",CHOOSE($Y421,IF(OR(TRIM($F421)="",ISNUMBER(SEARCH("not named",$F421))),"Critical","Good"),IF($O421&lt;&gt;"Y","Critical",IF($Q421&lt;&gt;"Y","Warning","Good")),IF($P421="","Critical",IF($P421="partial","Warning",IF($P421="ready","Good","Critical"))),IF($R421&lt;&gt;"","Critical","Warning"),IF($L421="","Critical",IF($N421="","Warning","Good")),IF($R421&lt;&gt;"","Critical","Warning"),IF($R421&lt;&gt;"","Critical","Warning"),IF($Q421="Y","Good","Critical")))</f>
        <v/>
      </c>
      <c r="AI421" s="65" t="str">
        <f aca="false">IF($Y421="","",CHOOSE($Y421,IF(OR(TRIM($F421)="",ISNUMBER(SEARCH("not named",$F421))),"Name a sponsor accountable for the value",""),IF($O421&lt;&gt;"Y","State the success metric and the stop condition",IF($Q421&lt;&gt;"Y","Set the baseline the benefit will be measured against","")),IF($P421="","Assess data readiness and regulatory impact",IF($P421="partial","Close the known data gaps",IF($P421="ready","","Data is not available; reshape or park"))),IF($R421&lt;&gt;"",IF(OR(ISNUMBER(SEARCH("mrm",$R421)),ISNUMBER(SEARCH("model",$R421)),ISNUMBER(SEARCH("risk",$R421)),ISNUMBER(SEARCH("legal",$R421)),ISNUMBER(SEARCH("complian",$R421))),"Awaiting ","Held at the design gate: ")&amp;$R421,"Map the governance framework for its tier"),IF($L421="","Size the annual benefit",IF($N421="","Score it so it can be ranked against capacity","")),IF($R421&lt;&gt;"","Build held: "&amp;$R421,"In build, not yet through test"),IF($R421&lt;&gt;"","Not ready to scale: "&amp;$R421,"Monitoring and third-party review not yet signed off"),IF($Q421="Y","","Live without a measured baseline to judge it against")))</f>
        <v/>
      </c>
      <c r="AJ421" s="65" t="str">
        <f aca="false">IF($Y421="","",INDEX(StageForum,$Y421))</f>
        <v/>
      </c>
      <c r="AK421" s="65" t="str">
        <f aca="false">IF($Y421="","",IF(OR($X421="Delivery",$X421="Value"),"Committed",IF($N421&lt;&gt;"","Candidate","")))</f>
        <v/>
      </c>
      <c r="AL421" s="65" t="str">
        <f aca="false">IF($AK421&lt;&gt;"Candidate","",COUNTIFS($AK$2:$AK$501,"Candidate",$N$2:$N$501,"&gt;"&amp;$N421)+COUNTIFS($AK$2:$AK$501,"Candidate",$N$2:$N$501,$N421,$A$2:$A$501,"&lt;"&amp;$A421)+1)</f>
        <v/>
      </c>
      <c r="AM421" s="65" t="str">
        <f aca="false">IF($AL421="","",SUMIFS($M$2:$M$501,$AK$2:$AK$501,"Candidate",$AL$2:$AL$501,"&lt;="&amp;$AL421))</f>
        <v/>
      </c>
      <c r="AN421" s="65" t="str">
        <f aca="false">IF($AL421="","",IF($AM421&lt;=CapacityOpen,"Fits","Below line"))</f>
        <v/>
      </c>
      <c r="AO421" s="65" t="str">
        <f aca="false">IF($A421="","",IF($X421="Closed","",IF($X421="Unmapped","Warning",IF(OR($AB421="Overdue",$V421="Y",$AH421="Critical"),"Critical",IF(OR($AB421="At risk",$AC421="Stale",$AG421="Over"),"Warning","")))))</f>
        <v/>
      </c>
      <c r="AP421" s="65" t="str">
        <f aca="false">IF($AO421="","",IF($AO421="Critical",3000,2000)-IF($Z421="",0,$Z421)+ROW()/100000)</f>
        <v/>
      </c>
      <c r="AQ421" s="65" t="str">
        <f aca="false">IF($AO421="","",IF($X421="Unmapped","Status '"&amp;$C421&amp;"' is not in the Config map",IF($V421="Y","Flagged in Jira",IF($AB421="Overdue",-$Z421&amp;" days past its "&amp;$X421&amp;" target",IF($AH421="Critical",$AI421,IF($AB421="At risk","Target in "&amp;$Z421&amp;" days",IF($AC421="Stale","No update in "&amp;$AA421&amp;" days","Past its "&amp;$AE421&amp;"-day tier window")))))))</f>
        <v/>
      </c>
      <c r="AR421" s="65" t="str">
        <f aca="false">IF($AO421="","","draft Jira update for "&amp;$A421)</f>
        <v/>
      </c>
      <c r="AS421" s="65" t="str">
        <f aca="false">IF($A421="","",HYPERLINK(JiraSite&amp;"/browse/"&amp;$A421,"open"))</f>
        <v/>
      </c>
      <c r="AT421" s="65" t="str">
        <f aca="false">IF($Y421="","",$Y421*1000+ROW())</f>
        <v/>
      </c>
      <c r="AU421" s="65" t="str">
        <f aca="false">IF(AND($A421&lt;&gt;"",$G421&gt;=WeekStart),$G421+ROW()/100000,"")</f>
        <v/>
      </c>
      <c r="AV421" s="65" t="str">
        <f aca="false">IF($A421="","",IF(OR(AND($S421&lt;&gt;"",$S421&gt;=WeekStart),AND($U421&lt;&gt;"",$U421&gt;=WeekStart)),MAX($S421,$U421)+ROW()/100000,""))</f>
        <v/>
      </c>
      <c r="AW421" s="65" t="str">
        <f aca="false">IF($AV421="","",IF($T421&lt;&gt;"",$T421,IF($X421="Closed","Closed","Accepted to "&amp;$X421)))</f>
        <v/>
      </c>
      <c r="AX421" s="65" t="str">
        <f aca="false">IF(AND($Y421&lt;&gt;"",$R421&lt;&gt;""),$AF421+ROW()/100000,"")</f>
        <v/>
      </c>
      <c r="AY421" s="65" t="str">
        <f aca="false">IF(AND($Y421&lt;&gt;"",OR($AB421="Overdue",AND($AH421="Critical",$R421&lt;&gt;""))),$AF421+ROW()/100000,"")</f>
        <v/>
      </c>
      <c r="AZ421" s="65" t="str">
        <f aca="false">IF($AH421="Critical",$AF421+ROW()/100000,"")</f>
        <v/>
      </c>
    </row>
    <row r="422" customFormat="false" ht="15" hidden="false" customHeight="false" outlineLevel="0" collapsed="false">
      <c r="A422" s="28"/>
      <c r="B422" s="28"/>
      <c r="C422" s="28"/>
      <c r="D422" s="28"/>
      <c r="E422" s="28"/>
      <c r="F422" s="28"/>
      <c r="G422" s="63"/>
      <c r="H422" s="63"/>
      <c r="I422" s="63"/>
      <c r="J422" s="28"/>
      <c r="K422" s="28"/>
      <c r="L422" s="28"/>
      <c r="M422" s="28"/>
      <c r="N422" s="28"/>
      <c r="O422" s="64"/>
      <c r="P422" s="64"/>
      <c r="Q422" s="64"/>
      <c r="R422" s="28"/>
      <c r="S422" s="63"/>
      <c r="T422" s="64"/>
      <c r="U422" s="63"/>
      <c r="V422" s="64"/>
      <c r="W422" s="28"/>
      <c r="X422" s="65" t="str">
        <f aca="false">IF($A422="","",IF(OR($T422&lt;&gt;"",$U422&lt;&gt;""),"Closed",IFERROR(INDEX(MapStage,MATCH($C422,MapStatus,0)),"Unmapped")))</f>
        <v/>
      </c>
      <c r="Y422" s="65" t="str">
        <f aca="false">IF(OR($X422="",$X422="Closed",$X422="Unmapped"),"",MATCH($X422,StageName,0))</f>
        <v/>
      </c>
      <c r="Z422" s="65" t="str">
        <f aca="false">IF(OR($Y422="",$I422=""),"",$I422-AsOf)</f>
        <v/>
      </c>
      <c r="AA422" s="65" t="str">
        <f aca="false">IF($A422="","",AsOf-$H422)</f>
        <v/>
      </c>
      <c r="AB422" s="65" t="str">
        <f aca="false">IF($A422="","",IF($X422="Closed","Closed",IF($X422="Unmapped","Unmapped",IF($I422="","No target",IF($Z422&lt;0,"Overdue",IF($Z422&lt;=INDEX(StageWindow,$Y422),"At risk","On track"))))))</f>
        <v/>
      </c>
      <c r="AC422" s="65" t="str">
        <f aca="false">IF($Y422="","",IF($AA422&gt;2*INDEX(StageStale,$Y422),"Stale",IF($AA422&gt;INDEX(StageStale,$Y422),"Aging","Fresh")))</f>
        <v/>
      </c>
      <c r="AD422" s="65" t="str">
        <f aca="false">IF($A422="","",IF(OR(ISNUMBER(SEARCH("Reg report",$J422)),ISNUMBER(SEARCH("No human review",$J422)),COUNTIF(TierFuncs,$D422)&gt;0),"High",IF(OR(TRIM($J422)&lt;&gt;"",ISNUMBER(SEARCH("revenue",$K422))),"Medium","Low")))</f>
        <v/>
      </c>
      <c r="AE422" s="65" t="str">
        <f aca="false">IF($A422="","",INDEX(TierDays,MATCH($AD422,TierName,0)))</f>
        <v/>
      </c>
      <c r="AF422" s="65" t="str">
        <f aca="false">IF($A422="","",AsOf-$G422)</f>
        <v/>
      </c>
      <c r="AG422" s="65" t="str">
        <f aca="false">IF($Y422="","",IF($Y422&lt;=5,IF($AF422&gt;$AE422,"Over","Inside"),"Past approval"))</f>
        <v/>
      </c>
      <c r="AH422" s="65" t="str">
        <f aca="false">IF($Y422="","",CHOOSE($Y422,IF(OR(TRIM($F422)="",ISNUMBER(SEARCH("not named",$F422))),"Critical","Good"),IF($O422&lt;&gt;"Y","Critical",IF($Q422&lt;&gt;"Y","Warning","Good")),IF($P422="","Critical",IF($P422="partial","Warning",IF($P422="ready","Good","Critical"))),IF($R422&lt;&gt;"","Critical","Warning"),IF($L422="","Critical",IF($N422="","Warning","Good")),IF($R422&lt;&gt;"","Critical","Warning"),IF($R422&lt;&gt;"","Critical","Warning"),IF($Q422="Y","Good","Critical")))</f>
        <v/>
      </c>
      <c r="AI422" s="65" t="str">
        <f aca="false">IF($Y422="","",CHOOSE($Y422,IF(OR(TRIM($F422)="",ISNUMBER(SEARCH("not named",$F422))),"Name a sponsor accountable for the value",""),IF($O422&lt;&gt;"Y","State the success metric and the stop condition",IF($Q422&lt;&gt;"Y","Set the baseline the benefit will be measured against","")),IF($P422="","Assess data readiness and regulatory impact",IF($P422="partial","Close the known data gaps",IF($P422="ready","","Data is not available; reshape or park"))),IF($R422&lt;&gt;"",IF(OR(ISNUMBER(SEARCH("mrm",$R422)),ISNUMBER(SEARCH("model",$R422)),ISNUMBER(SEARCH("risk",$R422)),ISNUMBER(SEARCH("legal",$R422)),ISNUMBER(SEARCH("complian",$R422))),"Awaiting ","Held at the design gate: ")&amp;$R422,"Map the governance framework for its tier"),IF($L422="","Size the annual benefit",IF($N422="","Score it so it can be ranked against capacity","")),IF($R422&lt;&gt;"","Build held: "&amp;$R422,"In build, not yet through test"),IF($R422&lt;&gt;"","Not ready to scale: "&amp;$R422,"Monitoring and third-party review not yet signed off"),IF($Q422="Y","","Live without a measured baseline to judge it against")))</f>
        <v/>
      </c>
      <c r="AJ422" s="65" t="str">
        <f aca="false">IF($Y422="","",INDEX(StageForum,$Y422))</f>
        <v/>
      </c>
      <c r="AK422" s="65" t="str">
        <f aca="false">IF($Y422="","",IF(OR($X422="Delivery",$X422="Value"),"Committed",IF($N422&lt;&gt;"","Candidate","")))</f>
        <v/>
      </c>
      <c r="AL422" s="65" t="str">
        <f aca="false">IF($AK422&lt;&gt;"Candidate","",COUNTIFS($AK$2:$AK$501,"Candidate",$N$2:$N$501,"&gt;"&amp;$N422)+COUNTIFS($AK$2:$AK$501,"Candidate",$N$2:$N$501,$N422,$A$2:$A$501,"&lt;"&amp;$A422)+1)</f>
        <v/>
      </c>
      <c r="AM422" s="65" t="str">
        <f aca="false">IF($AL422="","",SUMIFS($M$2:$M$501,$AK$2:$AK$501,"Candidate",$AL$2:$AL$501,"&lt;="&amp;$AL422))</f>
        <v/>
      </c>
      <c r="AN422" s="65" t="str">
        <f aca="false">IF($AL422="","",IF($AM422&lt;=CapacityOpen,"Fits","Below line"))</f>
        <v/>
      </c>
      <c r="AO422" s="65" t="str">
        <f aca="false">IF($A422="","",IF($X422="Closed","",IF($X422="Unmapped","Warning",IF(OR($AB422="Overdue",$V422="Y",$AH422="Critical"),"Critical",IF(OR($AB422="At risk",$AC422="Stale",$AG422="Over"),"Warning","")))))</f>
        <v/>
      </c>
      <c r="AP422" s="65" t="str">
        <f aca="false">IF($AO422="","",IF($AO422="Critical",3000,2000)-IF($Z422="",0,$Z422)+ROW()/100000)</f>
        <v/>
      </c>
      <c r="AQ422" s="65" t="str">
        <f aca="false">IF($AO422="","",IF($X422="Unmapped","Status '"&amp;$C422&amp;"' is not in the Config map",IF($V422="Y","Flagged in Jira",IF($AB422="Overdue",-$Z422&amp;" days past its "&amp;$X422&amp;" target",IF($AH422="Critical",$AI422,IF($AB422="At risk","Target in "&amp;$Z422&amp;" days",IF($AC422="Stale","No update in "&amp;$AA422&amp;" days","Past its "&amp;$AE422&amp;"-day tier window")))))))</f>
        <v/>
      </c>
      <c r="AR422" s="65" t="str">
        <f aca="false">IF($AO422="","","draft Jira update for "&amp;$A422)</f>
        <v/>
      </c>
      <c r="AS422" s="65" t="str">
        <f aca="false">IF($A422="","",HYPERLINK(JiraSite&amp;"/browse/"&amp;$A422,"open"))</f>
        <v/>
      </c>
      <c r="AT422" s="65" t="str">
        <f aca="false">IF($Y422="","",$Y422*1000+ROW())</f>
        <v/>
      </c>
      <c r="AU422" s="65" t="str">
        <f aca="false">IF(AND($A422&lt;&gt;"",$G422&gt;=WeekStart),$G422+ROW()/100000,"")</f>
        <v/>
      </c>
      <c r="AV422" s="65" t="str">
        <f aca="false">IF($A422="","",IF(OR(AND($S422&lt;&gt;"",$S422&gt;=WeekStart),AND($U422&lt;&gt;"",$U422&gt;=WeekStart)),MAX($S422,$U422)+ROW()/100000,""))</f>
        <v/>
      </c>
      <c r="AW422" s="65" t="str">
        <f aca="false">IF($AV422="","",IF($T422&lt;&gt;"",$T422,IF($X422="Closed","Closed","Accepted to "&amp;$X422)))</f>
        <v/>
      </c>
      <c r="AX422" s="65" t="str">
        <f aca="false">IF(AND($Y422&lt;&gt;"",$R422&lt;&gt;""),$AF422+ROW()/100000,"")</f>
        <v/>
      </c>
      <c r="AY422" s="65" t="str">
        <f aca="false">IF(AND($Y422&lt;&gt;"",OR($AB422="Overdue",AND($AH422="Critical",$R422&lt;&gt;""))),$AF422+ROW()/100000,"")</f>
        <v/>
      </c>
      <c r="AZ422" s="65" t="str">
        <f aca="false">IF($AH422="Critical",$AF422+ROW()/100000,"")</f>
        <v/>
      </c>
    </row>
    <row r="423" customFormat="false" ht="15" hidden="false" customHeight="false" outlineLevel="0" collapsed="false">
      <c r="A423" s="28"/>
      <c r="B423" s="28"/>
      <c r="C423" s="28"/>
      <c r="D423" s="28"/>
      <c r="E423" s="28"/>
      <c r="F423" s="28"/>
      <c r="G423" s="63"/>
      <c r="H423" s="63"/>
      <c r="I423" s="63"/>
      <c r="J423" s="28"/>
      <c r="K423" s="28"/>
      <c r="L423" s="28"/>
      <c r="M423" s="28"/>
      <c r="N423" s="28"/>
      <c r="O423" s="64"/>
      <c r="P423" s="64"/>
      <c r="Q423" s="64"/>
      <c r="R423" s="28"/>
      <c r="S423" s="63"/>
      <c r="T423" s="64"/>
      <c r="U423" s="63"/>
      <c r="V423" s="64"/>
      <c r="W423" s="28"/>
      <c r="X423" s="65" t="str">
        <f aca="false">IF($A423="","",IF(OR($T423&lt;&gt;"",$U423&lt;&gt;""),"Closed",IFERROR(INDEX(MapStage,MATCH($C423,MapStatus,0)),"Unmapped")))</f>
        <v/>
      </c>
      <c r="Y423" s="65" t="str">
        <f aca="false">IF(OR($X423="",$X423="Closed",$X423="Unmapped"),"",MATCH($X423,StageName,0))</f>
        <v/>
      </c>
      <c r="Z423" s="65" t="str">
        <f aca="false">IF(OR($Y423="",$I423=""),"",$I423-AsOf)</f>
        <v/>
      </c>
      <c r="AA423" s="65" t="str">
        <f aca="false">IF($A423="","",AsOf-$H423)</f>
        <v/>
      </c>
      <c r="AB423" s="65" t="str">
        <f aca="false">IF($A423="","",IF($X423="Closed","Closed",IF($X423="Unmapped","Unmapped",IF($I423="","No target",IF($Z423&lt;0,"Overdue",IF($Z423&lt;=INDEX(StageWindow,$Y423),"At risk","On track"))))))</f>
        <v/>
      </c>
      <c r="AC423" s="65" t="str">
        <f aca="false">IF($Y423="","",IF($AA423&gt;2*INDEX(StageStale,$Y423),"Stale",IF($AA423&gt;INDEX(StageStale,$Y423),"Aging","Fresh")))</f>
        <v/>
      </c>
      <c r="AD423" s="65" t="str">
        <f aca="false">IF($A423="","",IF(OR(ISNUMBER(SEARCH("Reg report",$J423)),ISNUMBER(SEARCH("No human review",$J423)),COUNTIF(TierFuncs,$D423)&gt;0),"High",IF(OR(TRIM($J423)&lt;&gt;"",ISNUMBER(SEARCH("revenue",$K423))),"Medium","Low")))</f>
        <v/>
      </c>
      <c r="AE423" s="65" t="str">
        <f aca="false">IF($A423="","",INDEX(TierDays,MATCH($AD423,TierName,0)))</f>
        <v/>
      </c>
      <c r="AF423" s="65" t="str">
        <f aca="false">IF($A423="","",AsOf-$G423)</f>
        <v/>
      </c>
      <c r="AG423" s="65" t="str">
        <f aca="false">IF($Y423="","",IF($Y423&lt;=5,IF($AF423&gt;$AE423,"Over","Inside"),"Past approval"))</f>
        <v/>
      </c>
      <c r="AH423" s="65" t="str">
        <f aca="false">IF($Y423="","",CHOOSE($Y423,IF(OR(TRIM($F423)="",ISNUMBER(SEARCH("not named",$F423))),"Critical","Good"),IF($O423&lt;&gt;"Y","Critical",IF($Q423&lt;&gt;"Y","Warning","Good")),IF($P423="","Critical",IF($P423="partial","Warning",IF($P423="ready","Good","Critical"))),IF($R423&lt;&gt;"","Critical","Warning"),IF($L423="","Critical",IF($N423="","Warning","Good")),IF($R423&lt;&gt;"","Critical","Warning"),IF($R423&lt;&gt;"","Critical","Warning"),IF($Q423="Y","Good","Critical")))</f>
        <v/>
      </c>
      <c r="AI423" s="65" t="str">
        <f aca="false">IF($Y423="","",CHOOSE($Y423,IF(OR(TRIM($F423)="",ISNUMBER(SEARCH("not named",$F423))),"Name a sponsor accountable for the value",""),IF($O423&lt;&gt;"Y","State the success metric and the stop condition",IF($Q423&lt;&gt;"Y","Set the baseline the benefit will be measured against","")),IF($P423="","Assess data readiness and regulatory impact",IF($P423="partial","Close the known data gaps",IF($P423="ready","","Data is not available; reshape or park"))),IF($R423&lt;&gt;"",IF(OR(ISNUMBER(SEARCH("mrm",$R423)),ISNUMBER(SEARCH("model",$R423)),ISNUMBER(SEARCH("risk",$R423)),ISNUMBER(SEARCH("legal",$R423)),ISNUMBER(SEARCH("complian",$R423))),"Awaiting ","Held at the design gate: ")&amp;$R423,"Map the governance framework for its tier"),IF($L423="","Size the annual benefit",IF($N423="","Score it so it can be ranked against capacity","")),IF($R423&lt;&gt;"","Build held: "&amp;$R423,"In build, not yet through test"),IF($R423&lt;&gt;"","Not ready to scale: "&amp;$R423,"Monitoring and third-party review not yet signed off"),IF($Q423="Y","","Live without a measured baseline to judge it against")))</f>
        <v/>
      </c>
      <c r="AJ423" s="65" t="str">
        <f aca="false">IF($Y423="","",INDEX(StageForum,$Y423))</f>
        <v/>
      </c>
      <c r="AK423" s="65" t="str">
        <f aca="false">IF($Y423="","",IF(OR($X423="Delivery",$X423="Value"),"Committed",IF($N423&lt;&gt;"","Candidate","")))</f>
        <v/>
      </c>
      <c r="AL423" s="65" t="str">
        <f aca="false">IF($AK423&lt;&gt;"Candidate","",COUNTIFS($AK$2:$AK$501,"Candidate",$N$2:$N$501,"&gt;"&amp;$N423)+COUNTIFS($AK$2:$AK$501,"Candidate",$N$2:$N$501,$N423,$A$2:$A$501,"&lt;"&amp;$A423)+1)</f>
        <v/>
      </c>
      <c r="AM423" s="65" t="str">
        <f aca="false">IF($AL423="","",SUMIFS($M$2:$M$501,$AK$2:$AK$501,"Candidate",$AL$2:$AL$501,"&lt;="&amp;$AL423))</f>
        <v/>
      </c>
      <c r="AN423" s="65" t="str">
        <f aca="false">IF($AL423="","",IF($AM423&lt;=CapacityOpen,"Fits","Below line"))</f>
        <v/>
      </c>
      <c r="AO423" s="65" t="str">
        <f aca="false">IF($A423="","",IF($X423="Closed","",IF($X423="Unmapped","Warning",IF(OR($AB423="Overdue",$V423="Y",$AH423="Critical"),"Critical",IF(OR($AB423="At risk",$AC423="Stale",$AG423="Over"),"Warning","")))))</f>
        <v/>
      </c>
      <c r="AP423" s="65" t="str">
        <f aca="false">IF($AO423="","",IF($AO423="Critical",3000,2000)-IF($Z423="",0,$Z423)+ROW()/100000)</f>
        <v/>
      </c>
      <c r="AQ423" s="65" t="str">
        <f aca="false">IF($AO423="","",IF($X423="Unmapped","Status '"&amp;$C423&amp;"' is not in the Config map",IF($V423="Y","Flagged in Jira",IF($AB423="Overdue",-$Z423&amp;" days past its "&amp;$X423&amp;" target",IF($AH423="Critical",$AI423,IF($AB423="At risk","Target in "&amp;$Z423&amp;" days",IF($AC423="Stale","No update in "&amp;$AA423&amp;" days","Past its "&amp;$AE423&amp;"-day tier window")))))))</f>
        <v/>
      </c>
      <c r="AR423" s="65" t="str">
        <f aca="false">IF($AO423="","","draft Jira update for "&amp;$A423)</f>
        <v/>
      </c>
      <c r="AS423" s="65" t="str">
        <f aca="false">IF($A423="","",HYPERLINK(JiraSite&amp;"/browse/"&amp;$A423,"open"))</f>
        <v/>
      </c>
      <c r="AT423" s="65" t="str">
        <f aca="false">IF($Y423="","",$Y423*1000+ROW())</f>
        <v/>
      </c>
      <c r="AU423" s="65" t="str">
        <f aca="false">IF(AND($A423&lt;&gt;"",$G423&gt;=WeekStart),$G423+ROW()/100000,"")</f>
        <v/>
      </c>
      <c r="AV423" s="65" t="str">
        <f aca="false">IF($A423="","",IF(OR(AND($S423&lt;&gt;"",$S423&gt;=WeekStart),AND($U423&lt;&gt;"",$U423&gt;=WeekStart)),MAX($S423,$U423)+ROW()/100000,""))</f>
        <v/>
      </c>
      <c r="AW423" s="65" t="str">
        <f aca="false">IF($AV423="","",IF($T423&lt;&gt;"",$T423,IF($X423="Closed","Closed","Accepted to "&amp;$X423)))</f>
        <v/>
      </c>
      <c r="AX423" s="65" t="str">
        <f aca="false">IF(AND($Y423&lt;&gt;"",$R423&lt;&gt;""),$AF423+ROW()/100000,"")</f>
        <v/>
      </c>
      <c r="AY423" s="65" t="str">
        <f aca="false">IF(AND($Y423&lt;&gt;"",OR($AB423="Overdue",AND($AH423="Critical",$R423&lt;&gt;""))),$AF423+ROW()/100000,"")</f>
        <v/>
      </c>
      <c r="AZ423" s="65" t="str">
        <f aca="false">IF($AH423="Critical",$AF423+ROW()/100000,"")</f>
        <v/>
      </c>
    </row>
    <row r="424" customFormat="false" ht="15" hidden="false" customHeight="false" outlineLevel="0" collapsed="false">
      <c r="A424" s="28"/>
      <c r="B424" s="28"/>
      <c r="C424" s="28"/>
      <c r="D424" s="28"/>
      <c r="E424" s="28"/>
      <c r="F424" s="28"/>
      <c r="G424" s="63"/>
      <c r="H424" s="63"/>
      <c r="I424" s="63"/>
      <c r="J424" s="28"/>
      <c r="K424" s="28"/>
      <c r="L424" s="28"/>
      <c r="M424" s="28"/>
      <c r="N424" s="28"/>
      <c r="O424" s="64"/>
      <c r="P424" s="64"/>
      <c r="Q424" s="64"/>
      <c r="R424" s="28"/>
      <c r="S424" s="63"/>
      <c r="T424" s="64"/>
      <c r="U424" s="63"/>
      <c r="V424" s="64"/>
      <c r="W424" s="28"/>
      <c r="X424" s="65" t="str">
        <f aca="false">IF($A424="","",IF(OR($T424&lt;&gt;"",$U424&lt;&gt;""),"Closed",IFERROR(INDEX(MapStage,MATCH($C424,MapStatus,0)),"Unmapped")))</f>
        <v/>
      </c>
      <c r="Y424" s="65" t="str">
        <f aca="false">IF(OR($X424="",$X424="Closed",$X424="Unmapped"),"",MATCH($X424,StageName,0))</f>
        <v/>
      </c>
      <c r="Z424" s="65" t="str">
        <f aca="false">IF(OR($Y424="",$I424=""),"",$I424-AsOf)</f>
        <v/>
      </c>
      <c r="AA424" s="65" t="str">
        <f aca="false">IF($A424="","",AsOf-$H424)</f>
        <v/>
      </c>
      <c r="AB424" s="65" t="str">
        <f aca="false">IF($A424="","",IF($X424="Closed","Closed",IF($X424="Unmapped","Unmapped",IF($I424="","No target",IF($Z424&lt;0,"Overdue",IF($Z424&lt;=INDEX(StageWindow,$Y424),"At risk","On track"))))))</f>
        <v/>
      </c>
      <c r="AC424" s="65" t="str">
        <f aca="false">IF($Y424="","",IF($AA424&gt;2*INDEX(StageStale,$Y424),"Stale",IF($AA424&gt;INDEX(StageStale,$Y424),"Aging","Fresh")))</f>
        <v/>
      </c>
      <c r="AD424" s="65" t="str">
        <f aca="false">IF($A424="","",IF(OR(ISNUMBER(SEARCH("Reg report",$J424)),ISNUMBER(SEARCH("No human review",$J424)),COUNTIF(TierFuncs,$D424)&gt;0),"High",IF(OR(TRIM($J424)&lt;&gt;"",ISNUMBER(SEARCH("revenue",$K424))),"Medium","Low")))</f>
        <v/>
      </c>
      <c r="AE424" s="65" t="str">
        <f aca="false">IF($A424="","",INDEX(TierDays,MATCH($AD424,TierName,0)))</f>
        <v/>
      </c>
      <c r="AF424" s="65" t="str">
        <f aca="false">IF($A424="","",AsOf-$G424)</f>
        <v/>
      </c>
      <c r="AG424" s="65" t="str">
        <f aca="false">IF($Y424="","",IF($Y424&lt;=5,IF($AF424&gt;$AE424,"Over","Inside"),"Past approval"))</f>
        <v/>
      </c>
      <c r="AH424" s="65" t="str">
        <f aca="false">IF($Y424="","",CHOOSE($Y424,IF(OR(TRIM($F424)="",ISNUMBER(SEARCH("not named",$F424))),"Critical","Good"),IF($O424&lt;&gt;"Y","Critical",IF($Q424&lt;&gt;"Y","Warning","Good")),IF($P424="","Critical",IF($P424="partial","Warning",IF($P424="ready","Good","Critical"))),IF($R424&lt;&gt;"","Critical","Warning"),IF($L424="","Critical",IF($N424="","Warning","Good")),IF($R424&lt;&gt;"","Critical","Warning"),IF($R424&lt;&gt;"","Critical","Warning"),IF($Q424="Y","Good","Critical")))</f>
        <v/>
      </c>
      <c r="AI424" s="65" t="str">
        <f aca="false">IF($Y424="","",CHOOSE($Y424,IF(OR(TRIM($F424)="",ISNUMBER(SEARCH("not named",$F424))),"Name a sponsor accountable for the value",""),IF($O424&lt;&gt;"Y","State the success metric and the stop condition",IF($Q424&lt;&gt;"Y","Set the baseline the benefit will be measured against","")),IF($P424="","Assess data readiness and regulatory impact",IF($P424="partial","Close the known data gaps",IF($P424="ready","","Data is not available; reshape or park"))),IF($R424&lt;&gt;"",IF(OR(ISNUMBER(SEARCH("mrm",$R424)),ISNUMBER(SEARCH("model",$R424)),ISNUMBER(SEARCH("risk",$R424)),ISNUMBER(SEARCH("legal",$R424)),ISNUMBER(SEARCH("complian",$R424))),"Awaiting ","Held at the design gate: ")&amp;$R424,"Map the governance framework for its tier"),IF($L424="","Size the annual benefit",IF($N424="","Score it so it can be ranked against capacity","")),IF($R424&lt;&gt;"","Build held: "&amp;$R424,"In build, not yet through test"),IF($R424&lt;&gt;"","Not ready to scale: "&amp;$R424,"Monitoring and third-party review not yet signed off"),IF($Q424="Y","","Live without a measured baseline to judge it against")))</f>
        <v/>
      </c>
      <c r="AJ424" s="65" t="str">
        <f aca="false">IF($Y424="","",INDEX(StageForum,$Y424))</f>
        <v/>
      </c>
      <c r="AK424" s="65" t="str">
        <f aca="false">IF($Y424="","",IF(OR($X424="Delivery",$X424="Value"),"Committed",IF($N424&lt;&gt;"","Candidate","")))</f>
        <v/>
      </c>
      <c r="AL424" s="65" t="str">
        <f aca="false">IF($AK424&lt;&gt;"Candidate","",COUNTIFS($AK$2:$AK$501,"Candidate",$N$2:$N$501,"&gt;"&amp;$N424)+COUNTIFS($AK$2:$AK$501,"Candidate",$N$2:$N$501,$N424,$A$2:$A$501,"&lt;"&amp;$A424)+1)</f>
        <v/>
      </c>
      <c r="AM424" s="65" t="str">
        <f aca="false">IF($AL424="","",SUMIFS($M$2:$M$501,$AK$2:$AK$501,"Candidate",$AL$2:$AL$501,"&lt;="&amp;$AL424))</f>
        <v/>
      </c>
      <c r="AN424" s="65" t="str">
        <f aca="false">IF($AL424="","",IF($AM424&lt;=CapacityOpen,"Fits","Below line"))</f>
        <v/>
      </c>
      <c r="AO424" s="65" t="str">
        <f aca="false">IF($A424="","",IF($X424="Closed","",IF($X424="Unmapped","Warning",IF(OR($AB424="Overdue",$V424="Y",$AH424="Critical"),"Critical",IF(OR($AB424="At risk",$AC424="Stale",$AG424="Over"),"Warning","")))))</f>
        <v/>
      </c>
      <c r="AP424" s="65" t="str">
        <f aca="false">IF($AO424="","",IF($AO424="Critical",3000,2000)-IF($Z424="",0,$Z424)+ROW()/100000)</f>
        <v/>
      </c>
      <c r="AQ424" s="65" t="str">
        <f aca="false">IF($AO424="","",IF($X424="Unmapped","Status '"&amp;$C424&amp;"' is not in the Config map",IF($V424="Y","Flagged in Jira",IF($AB424="Overdue",-$Z424&amp;" days past its "&amp;$X424&amp;" target",IF($AH424="Critical",$AI424,IF($AB424="At risk","Target in "&amp;$Z424&amp;" days",IF($AC424="Stale","No update in "&amp;$AA424&amp;" days","Past its "&amp;$AE424&amp;"-day tier window")))))))</f>
        <v/>
      </c>
      <c r="AR424" s="65" t="str">
        <f aca="false">IF($AO424="","","draft Jira update for "&amp;$A424)</f>
        <v/>
      </c>
      <c r="AS424" s="65" t="str">
        <f aca="false">IF($A424="","",HYPERLINK(JiraSite&amp;"/browse/"&amp;$A424,"open"))</f>
        <v/>
      </c>
      <c r="AT424" s="65" t="str">
        <f aca="false">IF($Y424="","",$Y424*1000+ROW())</f>
        <v/>
      </c>
      <c r="AU424" s="65" t="str">
        <f aca="false">IF(AND($A424&lt;&gt;"",$G424&gt;=WeekStart),$G424+ROW()/100000,"")</f>
        <v/>
      </c>
      <c r="AV424" s="65" t="str">
        <f aca="false">IF($A424="","",IF(OR(AND($S424&lt;&gt;"",$S424&gt;=WeekStart),AND($U424&lt;&gt;"",$U424&gt;=WeekStart)),MAX($S424,$U424)+ROW()/100000,""))</f>
        <v/>
      </c>
      <c r="AW424" s="65" t="str">
        <f aca="false">IF($AV424="","",IF($T424&lt;&gt;"",$T424,IF($X424="Closed","Closed","Accepted to "&amp;$X424)))</f>
        <v/>
      </c>
      <c r="AX424" s="65" t="str">
        <f aca="false">IF(AND($Y424&lt;&gt;"",$R424&lt;&gt;""),$AF424+ROW()/100000,"")</f>
        <v/>
      </c>
      <c r="AY424" s="65" t="str">
        <f aca="false">IF(AND($Y424&lt;&gt;"",OR($AB424="Overdue",AND($AH424="Critical",$R424&lt;&gt;""))),$AF424+ROW()/100000,"")</f>
        <v/>
      </c>
      <c r="AZ424" s="65" t="str">
        <f aca="false">IF($AH424="Critical",$AF424+ROW()/100000,"")</f>
        <v/>
      </c>
    </row>
    <row r="425" customFormat="false" ht="15" hidden="false" customHeight="false" outlineLevel="0" collapsed="false">
      <c r="A425" s="28"/>
      <c r="B425" s="28"/>
      <c r="C425" s="28"/>
      <c r="D425" s="28"/>
      <c r="E425" s="28"/>
      <c r="F425" s="28"/>
      <c r="G425" s="63"/>
      <c r="H425" s="63"/>
      <c r="I425" s="63"/>
      <c r="J425" s="28"/>
      <c r="K425" s="28"/>
      <c r="L425" s="28"/>
      <c r="M425" s="28"/>
      <c r="N425" s="28"/>
      <c r="O425" s="64"/>
      <c r="P425" s="64"/>
      <c r="Q425" s="64"/>
      <c r="R425" s="28"/>
      <c r="S425" s="63"/>
      <c r="T425" s="64"/>
      <c r="U425" s="63"/>
      <c r="V425" s="64"/>
      <c r="W425" s="28"/>
      <c r="X425" s="65" t="str">
        <f aca="false">IF($A425="","",IF(OR($T425&lt;&gt;"",$U425&lt;&gt;""),"Closed",IFERROR(INDEX(MapStage,MATCH($C425,MapStatus,0)),"Unmapped")))</f>
        <v/>
      </c>
      <c r="Y425" s="65" t="str">
        <f aca="false">IF(OR($X425="",$X425="Closed",$X425="Unmapped"),"",MATCH($X425,StageName,0))</f>
        <v/>
      </c>
      <c r="Z425" s="65" t="str">
        <f aca="false">IF(OR($Y425="",$I425=""),"",$I425-AsOf)</f>
        <v/>
      </c>
      <c r="AA425" s="65" t="str">
        <f aca="false">IF($A425="","",AsOf-$H425)</f>
        <v/>
      </c>
      <c r="AB425" s="65" t="str">
        <f aca="false">IF($A425="","",IF($X425="Closed","Closed",IF($X425="Unmapped","Unmapped",IF($I425="","No target",IF($Z425&lt;0,"Overdue",IF($Z425&lt;=INDEX(StageWindow,$Y425),"At risk","On track"))))))</f>
        <v/>
      </c>
      <c r="AC425" s="65" t="str">
        <f aca="false">IF($Y425="","",IF($AA425&gt;2*INDEX(StageStale,$Y425),"Stale",IF($AA425&gt;INDEX(StageStale,$Y425),"Aging","Fresh")))</f>
        <v/>
      </c>
      <c r="AD425" s="65" t="str">
        <f aca="false">IF($A425="","",IF(OR(ISNUMBER(SEARCH("Reg report",$J425)),ISNUMBER(SEARCH("No human review",$J425)),COUNTIF(TierFuncs,$D425)&gt;0),"High",IF(OR(TRIM($J425)&lt;&gt;"",ISNUMBER(SEARCH("revenue",$K425))),"Medium","Low")))</f>
        <v/>
      </c>
      <c r="AE425" s="65" t="str">
        <f aca="false">IF($A425="","",INDEX(TierDays,MATCH($AD425,TierName,0)))</f>
        <v/>
      </c>
      <c r="AF425" s="65" t="str">
        <f aca="false">IF($A425="","",AsOf-$G425)</f>
        <v/>
      </c>
      <c r="AG425" s="65" t="str">
        <f aca="false">IF($Y425="","",IF($Y425&lt;=5,IF($AF425&gt;$AE425,"Over","Inside"),"Past approval"))</f>
        <v/>
      </c>
      <c r="AH425" s="65" t="str">
        <f aca="false">IF($Y425="","",CHOOSE($Y425,IF(OR(TRIM($F425)="",ISNUMBER(SEARCH("not named",$F425))),"Critical","Good"),IF($O425&lt;&gt;"Y","Critical",IF($Q425&lt;&gt;"Y","Warning","Good")),IF($P425="","Critical",IF($P425="partial","Warning",IF($P425="ready","Good","Critical"))),IF($R425&lt;&gt;"","Critical","Warning"),IF($L425="","Critical",IF($N425="","Warning","Good")),IF($R425&lt;&gt;"","Critical","Warning"),IF($R425&lt;&gt;"","Critical","Warning"),IF($Q425="Y","Good","Critical")))</f>
        <v/>
      </c>
      <c r="AI425" s="65" t="str">
        <f aca="false">IF($Y425="","",CHOOSE($Y425,IF(OR(TRIM($F425)="",ISNUMBER(SEARCH("not named",$F425))),"Name a sponsor accountable for the value",""),IF($O425&lt;&gt;"Y","State the success metric and the stop condition",IF($Q425&lt;&gt;"Y","Set the baseline the benefit will be measured against","")),IF($P425="","Assess data readiness and regulatory impact",IF($P425="partial","Close the known data gaps",IF($P425="ready","","Data is not available; reshape or park"))),IF($R425&lt;&gt;"",IF(OR(ISNUMBER(SEARCH("mrm",$R425)),ISNUMBER(SEARCH("model",$R425)),ISNUMBER(SEARCH("risk",$R425)),ISNUMBER(SEARCH("legal",$R425)),ISNUMBER(SEARCH("complian",$R425))),"Awaiting ","Held at the design gate: ")&amp;$R425,"Map the governance framework for its tier"),IF($L425="","Size the annual benefit",IF($N425="","Score it so it can be ranked against capacity","")),IF($R425&lt;&gt;"","Build held: "&amp;$R425,"In build, not yet through test"),IF($R425&lt;&gt;"","Not ready to scale: "&amp;$R425,"Monitoring and third-party review not yet signed off"),IF($Q425="Y","","Live without a measured baseline to judge it against")))</f>
        <v/>
      </c>
      <c r="AJ425" s="65" t="str">
        <f aca="false">IF($Y425="","",INDEX(StageForum,$Y425))</f>
        <v/>
      </c>
      <c r="AK425" s="65" t="str">
        <f aca="false">IF($Y425="","",IF(OR($X425="Delivery",$X425="Value"),"Committed",IF($N425&lt;&gt;"","Candidate","")))</f>
        <v/>
      </c>
      <c r="AL425" s="65" t="str">
        <f aca="false">IF($AK425&lt;&gt;"Candidate","",COUNTIFS($AK$2:$AK$501,"Candidate",$N$2:$N$501,"&gt;"&amp;$N425)+COUNTIFS($AK$2:$AK$501,"Candidate",$N$2:$N$501,$N425,$A$2:$A$501,"&lt;"&amp;$A425)+1)</f>
        <v/>
      </c>
      <c r="AM425" s="65" t="str">
        <f aca="false">IF($AL425="","",SUMIFS($M$2:$M$501,$AK$2:$AK$501,"Candidate",$AL$2:$AL$501,"&lt;="&amp;$AL425))</f>
        <v/>
      </c>
      <c r="AN425" s="65" t="str">
        <f aca="false">IF($AL425="","",IF($AM425&lt;=CapacityOpen,"Fits","Below line"))</f>
        <v/>
      </c>
      <c r="AO425" s="65" t="str">
        <f aca="false">IF($A425="","",IF($X425="Closed","",IF($X425="Unmapped","Warning",IF(OR($AB425="Overdue",$V425="Y",$AH425="Critical"),"Critical",IF(OR($AB425="At risk",$AC425="Stale",$AG425="Over"),"Warning","")))))</f>
        <v/>
      </c>
      <c r="AP425" s="65" t="str">
        <f aca="false">IF($AO425="","",IF($AO425="Critical",3000,2000)-IF($Z425="",0,$Z425)+ROW()/100000)</f>
        <v/>
      </c>
      <c r="AQ425" s="65" t="str">
        <f aca="false">IF($AO425="","",IF($X425="Unmapped","Status '"&amp;$C425&amp;"' is not in the Config map",IF($V425="Y","Flagged in Jira",IF($AB425="Overdue",-$Z425&amp;" days past its "&amp;$X425&amp;" target",IF($AH425="Critical",$AI425,IF($AB425="At risk","Target in "&amp;$Z425&amp;" days",IF($AC425="Stale","No update in "&amp;$AA425&amp;" days","Past its "&amp;$AE425&amp;"-day tier window")))))))</f>
        <v/>
      </c>
      <c r="AR425" s="65" t="str">
        <f aca="false">IF($AO425="","","draft Jira update for "&amp;$A425)</f>
        <v/>
      </c>
      <c r="AS425" s="65" t="str">
        <f aca="false">IF($A425="","",HYPERLINK(JiraSite&amp;"/browse/"&amp;$A425,"open"))</f>
        <v/>
      </c>
      <c r="AT425" s="65" t="str">
        <f aca="false">IF($Y425="","",$Y425*1000+ROW())</f>
        <v/>
      </c>
      <c r="AU425" s="65" t="str">
        <f aca="false">IF(AND($A425&lt;&gt;"",$G425&gt;=WeekStart),$G425+ROW()/100000,"")</f>
        <v/>
      </c>
      <c r="AV425" s="65" t="str">
        <f aca="false">IF($A425="","",IF(OR(AND($S425&lt;&gt;"",$S425&gt;=WeekStart),AND($U425&lt;&gt;"",$U425&gt;=WeekStart)),MAX($S425,$U425)+ROW()/100000,""))</f>
        <v/>
      </c>
      <c r="AW425" s="65" t="str">
        <f aca="false">IF($AV425="","",IF($T425&lt;&gt;"",$T425,IF($X425="Closed","Closed","Accepted to "&amp;$X425)))</f>
        <v/>
      </c>
      <c r="AX425" s="65" t="str">
        <f aca="false">IF(AND($Y425&lt;&gt;"",$R425&lt;&gt;""),$AF425+ROW()/100000,"")</f>
        <v/>
      </c>
      <c r="AY425" s="65" t="str">
        <f aca="false">IF(AND($Y425&lt;&gt;"",OR($AB425="Overdue",AND($AH425="Critical",$R425&lt;&gt;""))),$AF425+ROW()/100000,"")</f>
        <v/>
      </c>
      <c r="AZ425" s="65" t="str">
        <f aca="false">IF($AH425="Critical",$AF425+ROW()/100000,"")</f>
        <v/>
      </c>
    </row>
    <row r="426" customFormat="false" ht="15" hidden="false" customHeight="false" outlineLevel="0" collapsed="false">
      <c r="A426" s="28"/>
      <c r="B426" s="28"/>
      <c r="C426" s="28"/>
      <c r="D426" s="28"/>
      <c r="E426" s="28"/>
      <c r="F426" s="28"/>
      <c r="G426" s="63"/>
      <c r="H426" s="63"/>
      <c r="I426" s="63"/>
      <c r="J426" s="28"/>
      <c r="K426" s="28"/>
      <c r="L426" s="28"/>
      <c r="M426" s="28"/>
      <c r="N426" s="28"/>
      <c r="O426" s="64"/>
      <c r="P426" s="64"/>
      <c r="Q426" s="64"/>
      <c r="R426" s="28"/>
      <c r="S426" s="63"/>
      <c r="T426" s="64"/>
      <c r="U426" s="63"/>
      <c r="V426" s="64"/>
      <c r="W426" s="28"/>
      <c r="X426" s="65" t="str">
        <f aca="false">IF($A426="","",IF(OR($T426&lt;&gt;"",$U426&lt;&gt;""),"Closed",IFERROR(INDEX(MapStage,MATCH($C426,MapStatus,0)),"Unmapped")))</f>
        <v/>
      </c>
      <c r="Y426" s="65" t="str">
        <f aca="false">IF(OR($X426="",$X426="Closed",$X426="Unmapped"),"",MATCH($X426,StageName,0))</f>
        <v/>
      </c>
      <c r="Z426" s="65" t="str">
        <f aca="false">IF(OR($Y426="",$I426=""),"",$I426-AsOf)</f>
        <v/>
      </c>
      <c r="AA426" s="65" t="str">
        <f aca="false">IF($A426="","",AsOf-$H426)</f>
        <v/>
      </c>
      <c r="AB426" s="65" t="str">
        <f aca="false">IF($A426="","",IF($X426="Closed","Closed",IF($X426="Unmapped","Unmapped",IF($I426="","No target",IF($Z426&lt;0,"Overdue",IF($Z426&lt;=INDEX(StageWindow,$Y426),"At risk","On track"))))))</f>
        <v/>
      </c>
      <c r="AC426" s="65" t="str">
        <f aca="false">IF($Y426="","",IF($AA426&gt;2*INDEX(StageStale,$Y426),"Stale",IF($AA426&gt;INDEX(StageStale,$Y426),"Aging","Fresh")))</f>
        <v/>
      </c>
      <c r="AD426" s="65" t="str">
        <f aca="false">IF($A426="","",IF(OR(ISNUMBER(SEARCH("Reg report",$J426)),ISNUMBER(SEARCH("No human review",$J426)),COUNTIF(TierFuncs,$D426)&gt;0),"High",IF(OR(TRIM($J426)&lt;&gt;"",ISNUMBER(SEARCH("revenue",$K426))),"Medium","Low")))</f>
        <v/>
      </c>
      <c r="AE426" s="65" t="str">
        <f aca="false">IF($A426="","",INDEX(TierDays,MATCH($AD426,TierName,0)))</f>
        <v/>
      </c>
      <c r="AF426" s="65" t="str">
        <f aca="false">IF($A426="","",AsOf-$G426)</f>
        <v/>
      </c>
      <c r="AG426" s="65" t="str">
        <f aca="false">IF($Y426="","",IF($Y426&lt;=5,IF($AF426&gt;$AE426,"Over","Inside"),"Past approval"))</f>
        <v/>
      </c>
      <c r="AH426" s="65" t="str">
        <f aca="false">IF($Y426="","",CHOOSE($Y426,IF(OR(TRIM($F426)="",ISNUMBER(SEARCH("not named",$F426))),"Critical","Good"),IF($O426&lt;&gt;"Y","Critical",IF($Q426&lt;&gt;"Y","Warning","Good")),IF($P426="","Critical",IF($P426="partial","Warning",IF($P426="ready","Good","Critical"))),IF($R426&lt;&gt;"","Critical","Warning"),IF($L426="","Critical",IF($N426="","Warning","Good")),IF($R426&lt;&gt;"","Critical","Warning"),IF($R426&lt;&gt;"","Critical","Warning"),IF($Q426="Y","Good","Critical")))</f>
        <v/>
      </c>
      <c r="AI426" s="65" t="str">
        <f aca="false">IF($Y426="","",CHOOSE($Y426,IF(OR(TRIM($F426)="",ISNUMBER(SEARCH("not named",$F426))),"Name a sponsor accountable for the value",""),IF($O426&lt;&gt;"Y","State the success metric and the stop condition",IF($Q426&lt;&gt;"Y","Set the baseline the benefit will be measured against","")),IF($P426="","Assess data readiness and regulatory impact",IF($P426="partial","Close the known data gaps",IF($P426="ready","","Data is not available; reshape or park"))),IF($R426&lt;&gt;"",IF(OR(ISNUMBER(SEARCH("mrm",$R426)),ISNUMBER(SEARCH("model",$R426)),ISNUMBER(SEARCH("risk",$R426)),ISNUMBER(SEARCH("legal",$R426)),ISNUMBER(SEARCH("complian",$R426))),"Awaiting ","Held at the design gate: ")&amp;$R426,"Map the governance framework for its tier"),IF($L426="","Size the annual benefit",IF($N426="","Score it so it can be ranked against capacity","")),IF($R426&lt;&gt;"","Build held: "&amp;$R426,"In build, not yet through test"),IF($R426&lt;&gt;"","Not ready to scale: "&amp;$R426,"Monitoring and third-party review not yet signed off"),IF($Q426="Y","","Live without a measured baseline to judge it against")))</f>
        <v/>
      </c>
      <c r="AJ426" s="65" t="str">
        <f aca="false">IF($Y426="","",INDEX(StageForum,$Y426))</f>
        <v/>
      </c>
      <c r="AK426" s="65" t="str">
        <f aca="false">IF($Y426="","",IF(OR($X426="Delivery",$X426="Value"),"Committed",IF($N426&lt;&gt;"","Candidate","")))</f>
        <v/>
      </c>
      <c r="AL426" s="65" t="str">
        <f aca="false">IF($AK426&lt;&gt;"Candidate","",COUNTIFS($AK$2:$AK$501,"Candidate",$N$2:$N$501,"&gt;"&amp;$N426)+COUNTIFS($AK$2:$AK$501,"Candidate",$N$2:$N$501,$N426,$A$2:$A$501,"&lt;"&amp;$A426)+1)</f>
        <v/>
      </c>
      <c r="AM426" s="65" t="str">
        <f aca="false">IF($AL426="","",SUMIFS($M$2:$M$501,$AK$2:$AK$501,"Candidate",$AL$2:$AL$501,"&lt;="&amp;$AL426))</f>
        <v/>
      </c>
      <c r="AN426" s="65" t="str">
        <f aca="false">IF($AL426="","",IF($AM426&lt;=CapacityOpen,"Fits","Below line"))</f>
        <v/>
      </c>
      <c r="AO426" s="65" t="str">
        <f aca="false">IF($A426="","",IF($X426="Closed","",IF($X426="Unmapped","Warning",IF(OR($AB426="Overdue",$V426="Y",$AH426="Critical"),"Critical",IF(OR($AB426="At risk",$AC426="Stale",$AG426="Over"),"Warning","")))))</f>
        <v/>
      </c>
      <c r="AP426" s="65" t="str">
        <f aca="false">IF($AO426="","",IF($AO426="Critical",3000,2000)-IF($Z426="",0,$Z426)+ROW()/100000)</f>
        <v/>
      </c>
      <c r="AQ426" s="65" t="str">
        <f aca="false">IF($AO426="","",IF($X426="Unmapped","Status '"&amp;$C426&amp;"' is not in the Config map",IF($V426="Y","Flagged in Jira",IF($AB426="Overdue",-$Z426&amp;" days past its "&amp;$X426&amp;" target",IF($AH426="Critical",$AI426,IF($AB426="At risk","Target in "&amp;$Z426&amp;" days",IF($AC426="Stale","No update in "&amp;$AA426&amp;" days","Past its "&amp;$AE426&amp;"-day tier window")))))))</f>
        <v/>
      </c>
      <c r="AR426" s="65" t="str">
        <f aca="false">IF($AO426="","","draft Jira update for "&amp;$A426)</f>
        <v/>
      </c>
      <c r="AS426" s="65" t="str">
        <f aca="false">IF($A426="","",HYPERLINK(JiraSite&amp;"/browse/"&amp;$A426,"open"))</f>
        <v/>
      </c>
      <c r="AT426" s="65" t="str">
        <f aca="false">IF($Y426="","",$Y426*1000+ROW())</f>
        <v/>
      </c>
      <c r="AU426" s="65" t="str">
        <f aca="false">IF(AND($A426&lt;&gt;"",$G426&gt;=WeekStart),$G426+ROW()/100000,"")</f>
        <v/>
      </c>
      <c r="AV426" s="65" t="str">
        <f aca="false">IF($A426="","",IF(OR(AND($S426&lt;&gt;"",$S426&gt;=WeekStart),AND($U426&lt;&gt;"",$U426&gt;=WeekStart)),MAX($S426,$U426)+ROW()/100000,""))</f>
        <v/>
      </c>
      <c r="AW426" s="65" t="str">
        <f aca="false">IF($AV426="","",IF($T426&lt;&gt;"",$T426,IF($X426="Closed","Closed","Accepted to "&amp;$X426)))</f>
        <v/>
      </c>
      <c r="AX426" s="65" t="str">
        <f aca="false">IF(AND($Y426&lt;&gt;"",$R426&lt;&gt;""),$AF426+ROW()/100000,"")</f>
        <v/>
      </c>
      <c r="AY426" s="65" t="str">
        <f aca="false">IF(AND($Y426&lt;&gt;"",OR($AB426="Overdue",AND($AH426="Critical",$R426&lt;&gt;""))),$AF426+ROW()/100000,"")</f>
        <v/>
      </c>
      <c r="AZ426" s="65" t="str">
        <f aca="false">IF($AH426="Critical",$AF426+ROW()/100000,"")</f>
        <v/>
      </c>
    </row>
    <row r="427" customFormat="false" ht="15" hidden="false" customHeight="false" outlineLevel="0" collapsed="false">
      <c r="A427" s="28"/>
      <c r="B427" s="28"/>
      <c r="C427" s="28"/>
      <c r="D427" s="28"/>
      <c r="E427" s="28"/>
      <c r="F427" s="28"/>
      <c r="G427" s="63"/>
      <c r="H427" s="63"/>
      <c r="I427" s="63"/>
      <c r="J427" s="28"/>
      <c r="K427" s="28"/>
      <c r="L427" s="28"/>
      <c r="M427" s="28"/>
      <c r="N427" s="28"/>
      <c r="O427" s="64"/>
      <c r="P427" s="64"/>
      <c r="Q427" s="64"/>
      <c r="R427" s="28"/>
      <c r="S427" s="63"/>
      <c r="T427" s="64"/>
      <c r="U427" s="63"/>
      <c r="V427" s="64"/>
      <c r="W427" s="28"/>
      <c r="X427" s="65" t="str">
        <f aca="false">IF($A427="","",IF(OR($T427&lt;&gt;"",$U427&lt;&gt;""),"Closed",IFERROR(INDEX(MapStage,MATCH($C427,MapStatus,0)),"Unmapped")))</f>
        <v/>
      </c>
      <c r="Y427" s="65" t="str">
        <f aca="false">IF(OR($X427="",$X427="Closed",$X427="Unmapped"),"",MATCH($X427,StageName,0))</f>
        <v/>
      </c>
      <c r="Z427" s="65" t="str">
        <f aca="false">IF(OR($Y427="",$I427=""),"",$I427-AsOf)</f>
        <v/>
      </c>
      <c r="AA427" s="65" t="str">
        <f aca="false">IF($A427="","",AsOf-$H427)</f>
        <v/>
      </c>
      <c r="AB427" s="65" t="str">
        <f aca="false">IF($A427="","",IF($X427="Closed","Closed",IF($X427="Unmapped","Unmapped",IF($I427="","No target",IF($Z427&lt;0,"Overdue",IF($Z427&lt;=INDEX(StageWindow,$Y427),"At risk","On track"))))))</f>
        <v/>
      </c>
      <c r="AC427" s="65" t="str">
        <f aca="false">IF($Y427="","",IF($AA427&gt;2*INDEX(StageStale,$Y427),"Stale",IF($AA427&gt;INDEX(StageStale,$Y427),"Aging","Fresh")))</f>
        <v/>
      </c>
      <c r="AD427" s="65" t="str">
        <f aca="false">IF($A427="","",IF(OR(ISNUMBER(SEARCH("Reg report",$J427)),ISNUMBER(SEARCH("No human review",$J427)),COUNTIF(TierFuncs,$D427)&gt;0),"High",IF(OR(TRIM($J427)&lt;&gt;"",ISNUMBER(SEARCH("revenue",$K427))),"Medium","Low")))</f>
        <v/>
      </c>
      <c r="AE427" s="65" t="str">
        <f aca="false">IF($A427="","",INDEX(TierDays,MATCH($AD427,TierName,0)))</f>
        <v/>
      </c>
      <c r="AF427" s="65" t="str">
        <f aca="false">IF($A427="","",AsOf-$G427)</f>
        <v/>
      </c>
      <c r="AG427" s="65" t="str">
        <f aca="false">IF($Y427="","",IF($Y427&lt;=5,IF($AF427&gt;$AE427,"Over","Inside"),"Past approval"))</f>
        <v/>
      </c>
      <c r="AH427" s="65" t="str">
        <f aca="false">IF($Y427="","",CHOOSE($Y427,IF(OR(TRIM($F427)="",ISNUMBER(SEARCH("not named",$F427))),"Critical","Good"),IF($O427&lt;&gt;"Y","Critical",IF($Q427&lt;&gt;"Y","Warning","Good")),IF($P427="","Critical",IF($P427="partial","Warning",IF($P427="ready","Good","Critical"))),IF($R427&lt;&gt;"","Critical","Warning"),IF($L427="","Critical",IF($N427="","Warning","Good")),IF($R427&lt;&gt;"","Critical","Warning"),IF($R427&lt;&gt;"","Critical","Warning"),IF($Q427="Y","Good","Critical")))</f>
        <v/>
      </c>
      <c r="AI427" s="65" t="str">
        <f aca="false">IF($Y427="","",CHOOSE($Y427,IF(OR(TRIM($F427)="",ISNUMBER(SEARCH("not named",$F427))),"Name a sponsor accountable for the value",""),IF($O427&lt;&gt;"Y","State the success metric and the stop condition",IF($Q427&lt;&gt;"Y","Set the baseline the benefit will be measured against","")),IF($P427="","Assess data readiness and regulatory impact",IF($P427="partial","Close the known data gaps",IF($P427="ready","","Data is not available; reshape or park"))),IF($R427&lt;&gt;"",IF(OR(ISNUMBER(SEARCH("mrm",$R427)),ISNUMBER(SEARCH("model",$R427)),ISNUMBER(SEARCH("risk",$R427)),ISNUMBER(SEARCH("legal",$R427)),ISNUMBER(SEARCH("complian",$R427))),"Awaiting ","Held at the design gate: ")&amp;$R427,"Map the governance framework for its tier"),IF($L427="","Size the annual benefit",IF($N427="","Score it so it can be ranked against capacity","")),IF($R427&lt;&gt;"","Build held: "&amp;$R427,"In build, not yet through test"),IF($R427&lt;&gt;"","Not ready to scale: "&amp;$R427,"Monitoring and third-party review not yet signed off"),IF($Q427="Y","","Live without a measured baseline to judge it against")))</f>
        <v/>
      </c>
      <c r="AJ427" s="65" t="str">
        <f aca="false">IF($Y427="","",INDEX(StageForum,$Y427))</f>
        <v/>
      </c>
      <c r="AK427" s="65" t="str">
        <f aca="false">IF($Y427="","",IF(OR($X427="Delivery",$X427="Value"),"Committed",IF($N427&lt;&gt;"","Candidate","")))</f>
        <v/>
      </c>
      <c r="AL427" s="65" t="str">
        <f aca="false">IF($AK427&lt;&gt;"Candidate","",COUNTIFS($AK$2:$AK$501,"Candidate",$N$2:$N$501,"&gt;"&amp;$N427)+COUNTIFS($AK$2:$AK$501,"Candidate",$N$2:$N$501,$N427,$A$2:$A$501,"&lt;"&amp;$A427)+1)</f>
        <v/>
      </c>
      <c r="AM427" s="65" t="str">
        <f aca="false">IF($AL427="","",SUMIFS($M$2:$M$501,$AK$2:$AK$501,"Candidate",$AL$2:$AL$501,"&lt;="&amp;$AL427))</f>
        <v/>
      </c>
      <c r="AN427" s="65" t="str">
        <f aca="false">IF($AL427="","",IF($AM427&lt;=CapacityOpen,"Fits","Below line"))</f>
        <v/>
      </c>
      <c r="AO427" s="65" t="str">
        <f aca="false">IF($A427="","",IF($X427="Closed","",IF($X427="Unmapped","Warning",IF(OR($AB427="Overdue",$V427="Y",$AH427="Critical"),"Critical",IF(OR($AB427="At risk",$AC427="Stale",$AG427="Over"),"Warning","")))))</f>
        <v/>
      </c>
      <c r="AP427" s="65" t="str">
        <f aca="false">IF($AO427="","",IF($AO427="Critical",3000,2000)-IF($Z427="",0,$Z427)+ROW()/100000)</f>
        <v/>
      </c>
      <c r="AQ427" s="65" t="str">
        <f aca="false">IF($AO427="","",IF($X427="Unmapped","Status '"&amp;$C427&amp;"' is not in the Config map",IF($V427="Y","Flagged in Jira",IF($AB427="Overdue",-$Z427&amp;" days past its "&amp;$X427&amp;" target",IF($AH427="Critical",$AI427,IF($AB427="At risk","Target in "&amp;$Z427&amp;" days",IF($AC427="Stale","No update in "&amp;$AA427&amp;" days","Past its "&amp;$AE427&amp;"-day tier window")))))))</f>
        <v/>
      </c>
      <c r="AR427" s="65" t="str">
        <f aca="false">IF($AO427="","","draft Jira update for "&amp;$A427)</f>
        <v/>
      </c>
      <c r="AS427" s="65" t="str">
        <f aca="false">IF($A427="","",HYPERLINK(JiraSite&amp;"/browse/"&amp;$A427,"open"))</f>
        <v/>
      </c>
      <c r="AT427" s="65" t="str">
        <f aca="false">IF($Y427="","",$Y427*1000+ROW())</f>
        <v/>
      </c>
      <c r="AU427" s="65" t="str">
        <f aca="false">IF(AND($A427&lt;&gt;"",$G427&gt;=WeekStart),$G427+ROW()/100000,"")</f>
        <v/>
      </c>
      <c r="AV427" s="65" t="str">
        <f aca="false">IF($A427="","",IF(OR(AND($S427&lt;&gt;"",$S427&gt;=WeekStart),AND($U427&lt;&gt;"",$U427&gt;=WeekStart)),MAX($S427,$U427)+ROW()/100000,""))</f>
        <v/>
      </c>
      <c r="AW427" s="65" t="str">
        <f aca="false">IF($AV427="","",IF($T427&lt;&gt;"",$T427,IF($X427="Closed","Closed","Accepted to "&amp;$X427)))</f>
        <v/>
      </c>
      <c r="AX427" s="65" t="str">
        <f aca="false">IF(AND($Y427&lt;&gt;"",$R427&lt;&gt;""),$AF427+ROW()/100000,"")</f>
        <v/>
      </c>
      <c r="AY427" s="65" t="str">
        <f aca="false">IF(AND($Y427&lt;&gt;"",OR($AB427="Overdue",AND($AH427="Critical",$R427&lt;&gt;""))),$AF427+ROW()/100000,"")</f>
        <v/>
      </c>
      <c r="AZ427" s="65" t="str">
        <f aca="false">IF($AH427="Critical",$AF427+ROW()/100000,"")</f>
        <v/>
      </c>
    </row>
    <row r="428" customFormat="false" ht="15" hidden="false" customHeight="false" outlineLevel="0" collapsed="false">
      <c r="A428" s="28"/>
      <c r="B428" s="28"/>
      <c r="C428" s="28"/>
      <c r="D428" s="28"/>
      <c r="E428" s="28"/>
      <c r="F428" s="28"/>
      <c r="G428" s="63"/>
      <c r="H428" s="63"/>
      <c r="I428" s="63"/>
      <c r="J428" s="28"/>
      <c r="K428" s="28"/>
      <c r="L428" s="28"/>
      <c r="M428" s="28"/>
      <c r="N428" s="28"/>
      <c r="O428" s="64"/>
      <c r="P428" s="64"/>
      <c r="Q428" s="64"/>
      <c r="R428" s="28"/>
      <c r="S428" s="63"/>
      <c r="T428" s="64"/>
      <c r="U428" s="63"/>
      <c r="V428" s="64"/>
      <c r="W428" s="28"/>
      <c r="X428" s="65" t="str">
        <f aca="false">IF($A428="","",IF(OR($T428&lt;&gt;"",$U428&lt;&gt;""),"Closed",IFERROR(INDEX(MapStage,MATCH($C428,MapStatus,0)),"Unmapped")))</f>
        <v/>
      </c>
      <c r="Y428" s="65" t="str">
        <f aca="false">IF(OR($X428="",$X428="Closed",$X428="Unmapped"),"",MATCH($X428,StageName,0))</f>
        <v/>
      </c>
      <c r="Z428" s="65" t="str">
        <f aca="false">IF(OR($Y428="",$I428=""),"",$I428-AsOf)</f>
        <v/>
      </c>
      <c r="AA428" s="65" t="str">
        <f aca="false">IF($A428="","",AsOf-$H428)</f>
        <v/>
      </c>
      <c r="AB428" s="65" t="str">
        <f aca="false">IF($A428="","",IF($X428="Closed","Closed",IF($X428="Unmapped","Unmapped",IF($I428="","No target",IF($Z428&lt;0,"Overdue",IF($Z428&lt;=INDEX(StageWindow,$Y428),"At risk","On track"))))))</f>
        <v/>
      </c>
      <c r="AC428" s="65" t="str">
        <f aca="false">IF($Y428="","",IF($AA428&gt;2*INDEX(StageStale,$Y428),"Stale",IF($AA428&gt;INDEX(StageStale,$Y428),"Aging","Fresh")))</f>
        <v/>
      </c>
      <c r="AD428" s="65" t="str">
        <f aca="false">IF($A428="","",IF(OR(ISNUMBER(SEARCH("Reg report",$J428)),ISNUMBER(SEARCH("No human review",$J428)),COUNTIF(TierFuncs,$D428)&gt;0),"High",IF(OR(TRIM($J428)&lt;&gt;"",ISNUMBER(SEARCH("revenue",$K428))),"Medium","Low")))</f>
        <v/>
      </c>
      <c r="AE428" s="65" t="str">
        <f aca="false">IF($A428="","",INDEX(TierDays,MATCH($AD428,TierName,0)))</f>
        <v/>
      </c>
      <c r="AF428" s="65" t="str">
        <f aca="false">IF($A428="","",AsOf-$G428)</f>
        <v/>
      </c>
      <c r="AG428" s="65" t="str">
        <f aca="false">IF($Y428="","",IF($Y428&lt;=5,IF($AF428&gt;$AE428,"Over","Inside"),"Past approval"))</f>
        <v/>
      </c>
      <c r="AH428" s="65" t="str">
        <f aca="false">IF($Y428="","",CHOOSE($Y428,IF(OR(TRIM($F428)="",ISNUMBER(SEARCH("not named",$F428))),"Critical","Good"),IF($O428&lt;&gt;"Y","Critical",IF($Q428&lt;&gt;"Y","Warning","Good")),IF($P428="","Critical",IF($P428="partial","Warning",IF($P428="ready","Good","Critical"))),IF($R428&lt;&gt;"","Critical","Warning"),IF($L428="","Critical",IF($N428="","Warning","Good")),IF($R428&lt;&gt;"","Critical","Warning"),IF($R428&lt;&gt;"","Critical","Warning"),IF($Q428="Y","Good","Critical")))</f>
        <v/>
      </c>
      <c r="AI428" s="65" t="str">
        <f aca="false">IF($Y428="","",CHOOSE($Y428,IF(OR(TRIM($F428)="",ISNUMBER(SEARCH("not named",$F428))),"Name a sponsor accountable for the value",""),IF($O428&lt;&gt;"Y","State the success metric and the stop condition",IF($Q428&lt;&gt;"Y","Set the baseline the benefit will be measured against","")),IF($P428="","Assess data readiness and regulatory impact",IF($P428="partial","Close the known data gaps",IF($P428="ready","","Data is not available; reshape or park"))),IF($R428&lt;&gt;"",IF(OR(ISNUMBER(SEARCH("mrm",$R428)),ISNUMBER(SEARCH("model",$R428)),ISNUMBER(SEARCH("risk",$R428)),ISNUMBER(SEARCH("legal",$R428)),ISNUMBER(SEARCH("complian",$R428))),"Awaiting ","Held at the design gate: ")&amp;$R428,"Map the governance framework for its tier"),IF($L428="","Size the annual benefit",IF($N428="","Score it so it can be ranked against capacity","")),IF($R428&lt;&gt;"","Build held: "&amp;$R428,"In build, not yet through test"),IF($R428&lt;&gt;"","Not ready to scale: "&amp;$R428,"Monitoring and third-party review not yet signed off"),IF($Q428="Y","","Live without a measured baseline to judge it against")))</f>
        <v/>
      </c>
      <c r="AJ428" s="65" t="str">
        <f aca="false">IF($Y428="","",INDEX(StageForum,$Y428))</f>
        <v/>
      </c>
      <c r="AK428" s="65" t="str">
        <f aca="false">IF($Y428="","",IF(OR($X428="Delivery",$X428="Value"),"Committed",IF($N428&lt;&gt;"","Candidate","")))</f>
        <v/>
      </c>
      <c r="AL428" s="65" t="str">
        <f aca="false">IF($AK428&lt;&gt;"Candidate","",COUNTIFS($AK$2:$AK$501,"Candidate",$N$2:$N$501,"&gt;"&amp;$N428)+COUNTIFS($AK$2:$AK$501,"Candidate",$N$2:$N$501,$N428,$A$2:$A$501,"&lt;"&amp;$A428)+1)</f>
        <v/>
      </c>
      <c r="AM428" s="65" t="str">
        <f aca="false">IF($AL428="","",SUMIFS($M$2:$M$501,$AK$2:$AK$501,"Candidate",$AL$2:$AL$501,"&lt;="&amp;$AL428))</f>
        <v/>
      </c>
      <c r="AN428" s="65" t="str">
        <f aca="false">IF($AL428="","",IF($AM428&lt;=CapacityOpen,"Fits","Below line"))</f>
        <v/>
      </c>
      <c r="AO428" s="65" t="str">
        <f aca="false">IF($A428="","",IF($X428="Closed","",IF($X428="Unmapped","Warning",IF(OR($AB428="Overdue",$V428="Y",$AH428="Critical"),"Critical",IF(OR($AB428="At risk",$AC428="Stale",$AG428="Over"),"Warning","")))))</f>
        <v/>
      </c>
      <c r="AP428" s="65" t="str">
        <f aca="false">IF($AO428="","",IF($AO428="Critical",3000,2000)-IF($Z428="",0,$Z428)+ROW()/100000)</f>
        <v/>
      </c>
      <c r="AQ428" s="65" t="str">
        <f aca="false">IF($AO428="","",IF($X428="Unmapped","Status '"&amp;$C428&amp;"' is not in the Config map",IF($V428="Y","Flagged in Jira",IF($AB428="Overdue",-$Z428&amp;" days past its "&amp;$X428&amp;" target",IF($AH428="Critical",$AI428,IF($AB428="At risk","Target in "&amp;$Z428&amp;" days",IF($AC428="Stale","No update in "&amp;$AA428&amp;" days","Past its "&amp;$AE428&amp;"-day tier window")))))))</f>
        <v/>
      </c>
      <c r="AR428" s="65" t="str">
        <f aca="false">IF($AO428="","","draft Jira update for "&amp;$A428)</f>
        <v/>
      </c>
      <c r="AS428" s="65" t="str">
        <f aca="false">IF($A428="","",HYPERLINK(JiraSite&amp;"/browse/"&amp;$A428,"open"))</f>
        <v/>
      </c>
      <c r="AT428" s="65" t="str">
        <f aca="false">IF($Y428="","",$Y428*1000+ROW())</f>
        <v/>
      </c>
      <c r="AU428" s="65" t="str">
        <f aca="false">IF(AND($A428&lt;&gt;"",$G428&gt;=WeekStart),$G428+ROW()/100000,"")</f>
        <v/>
      </c>
      <c r="AV428" s="65" t="str">
        <f aca="false">IF($A428="","",IF(OR(AND($S428&lt;&gt;"",$S428&gt;=WeekStart),AND($U428&lt;&gt;"",$U428&gt;=WeekStart)),MAX($S428,$U428)+ROW()/100000,""))</f>
        <v/>
      </c>
      <c r="AW428" s="65" t="str">
        <f aca="false">IF($AV428="","",IF($T428&lt;&gt;"",$T428,IF($X428="Closed","Closed","Accepted to "&amp;$X428)))</f>
        <v/>
      </c>
      <c r="AX428" s="65" t="str">
        <f aca="false">IF(AND($Y428&lt;&gt;"",$R428&lt;&gt;""),$AF428+ROW()/100000,"")</f>
        <v/>
      </c>
      <c r="AY428" s="65" t="str">
        <f aca="false">IF(AND($Y428&lt;&gt;"",OR($AB428="Overdue",AND($AH428="Critical",$R428&lt;&gt;""))),$AF428+ROW()/100000,"")</f>
        <v/>
      </c>
      <c r="AZ428" s="65" t="str">
        <f aca="false">IF($AH428="Critical",$AF428+ROW()/100000,"")</f>
        <v/>
      </c>
    </row>
    <row r="429" customFormat="false" ht="15" hidden="false" customHeight="false" outlineLevel="0" collapsed="false">
      <c r="A429" s="28"/>
      <c r="B429" s="28"/>
      <c r="C429" s="28"/>
      <c r="D429" s="28"/>
      <c r="E429" s="28"/>
      <c r="F429" s="28"/>
      <c r="G429" s="63"/>
      <c r="H429" s="63"/>
      <c r="I429" s="63"/>
      <c r="J429" s="28"/>
      <c r="K429" s="28"/>
      <c r="L429" s="28"/>
      <c r="M429" s="28"/>
      <c r="N429" s="28"/>
      <c r="O429" s="64"/>
      <c r="P429" s="64"/>
      <c r="Q429" s="64"/>
      <c r="R429" s="28"/>
      <c r="S429" s="63"/>
      <c r="T429" s="64"/>
      <c r="U429" s="63"/>
      <c r="V429" s="64"/>
      <c r="W429" s="28"/>
      <c r="X429" s="65" t="str">
        <f aca="false">IF($A429="","",IF(OR($T429&lt;&gt;"",$U429&lt;&gt;""),"Closed",IFERROR(INDEX(MapStage,MATCH($C429,MapStatus,0)),"Unmapped")))</f>
        <v/>
      </c>
      <c r="Y429" s="65" t="str">
        <f aca="false">IF(OR($X429="",$X429="Closed",$X429="Unmapped"),"",MATCH($X429,StageName,0))</f>
        <v/>
      </c>
      <c r="Z429" s="65" t="str">
        <f aca="false">IF(OR($Y429="",$I429=""),"",$I429-AsOf)</f>
        <v/>
      </c>
      <c r="AA429" s="65" t="str">
        <f aca="false">IF($A429="","",AsOf-$H429)</f>
        <v/>
      </c>
      <c r="AB429" s="65" t="str">
        <f aca="false">IF($A429="","",IF($X429="Closed","Closed",IF($X429="Unmapped","Unmapped",IF($I429="","No target",IF($Z429&lt;0,"Overdue",IF($Z429&lt;=INDEX(StageWindow,$Y429),"At risk","On track"))))))</f>
        <v/>
      </c>
      <c r="AC429" s="65" t="str">
        <f aca="false">IF($Y429="","",IF($AA429&gt;2*INDEX(StageStale,$Y429),"Stale",IF($AA429&gt;INDEX(StageStale,$Y429),"Aging","Fresh")))</f>
        <v/>
      </c>
      <c r="AD429" s="65" t="str">
        <f aca="false">IF($A429="","",IF(OR(ISNUMBER(SEARCH("Reg report",$J429)),ISNUMBER(SEARCH("No human review",$J429)),COUNTIF(TierFuncs,$D429)&gt;0),"High",IF(OR(TRIM($J429)&lt;&gt;"",ISNUMBER(SEARCH("revenue",$K429))),"Medium","Low")))</f>
        <v/>
      </c>
      <c r="AE429" s="65" t="str">
        <f aca="false">IF($A429="","",INDEX(TierDays,MATCH($AD429,TierName,0)))</f>
        <v/>
      </c>
      <c r="AF429" s="65" t="str">
        <f aca="false">IF($A429="","",AsOf-$G429)</f>
        <v/>
      </c>
      <c r="AG429" s="65" t="str">
        <f aca="false">IF($Y429="","",IF($Y429&lt;=5,IF($AF429&gt;$AE429,"Over","Inside"),"Past approval"))</f>
        <v/>
      </c>
      <c r="AH429" s="65" t="str">
        <f aca="false">IF($Y429="","",CHOOSE($Y429,IF(OR(TRIM($F429)="",ISNUMBER(SEARCH("not named",$F429))),"Critical","Good"),IF($O429&lt;&gt;"Y","Critical",IF($Q429&lt;&gt;"Y","Warning","Good")),IF($P429="","Critical",IF($P429="partial","Warning",IF($P429="ready","Good","Critical"))),IF($R429&lt;&gt;"","Critical","Warning"),IF($L429="","Critical",IF($N429="","Warning","Good")),IF($R429&lt;&gt;"","Critical","Warning"),IF($R429&lt;&gt;"","Critical","Warning"),IF($Q429="Y","Good","Critical")))</f>
        <v/>
      </c>
      <c r="AI429" s="65" t="str">
        <f aca="false">IF($Y429="","",CHOOSE($Y429,IF(OR(TRIM($F429)="",ISNUMBER(SEARCH("not named",$F429))),"Name a sponsor accountable for the value",""),IF($O429&lt;&gt;"Y","State the success metric and the stop condition",IF($Q429&lt;&gt;"Y","Set the baseline the benefit will be measured against","")),IF($P429="","Assess data readiness and regulatory impact",IF($P429="partial","Close the known data gaps",IF($P429="ready","","Data is not available; reshape or park"))),IF($R429&lt;&gt;"",IF(OR(ISNUMBER(SEARCH("mrm",$R429)),ISNUMBER(SEARCH("model",$R429)),ISNUMBER(SEARCH("risk",$R429)),ISNUMBER(SEARCH("legal",$R429)),ISNUMBER(SEARCH("complian",$R429))),"Awaiting ","Held at the design gate: ")&amp;$R429,"Map the governance framework for its tier"),IF($L429="","Size the annual benefit",IF($N429="","Score it so it can be ranked against capacity","")),IF($R429&lt;&gt;"","Build held: "&amp;$R429,"In build, not yet through test"),IF($R429&lt;&gt;"","Not ready to scale: "&amp;$R429,"Monitoring and third-party review not yet signed off"),IF($Q429="Y","","Live without a measured baseline to judge it against")))</f>
        <v/>
      </c>
      <c r="AJ429" s="65" t="str">
        <f aca="false">IF($Y429="","",INDEX(StageForum,$Y429))</f>
        <v/>
      </c>
      <c r="AK429" s="65" t="str">
        <f aca="false">IF($Y429="","",IF(OR($X429="Delivery",$X429="Value"),"Committed",IF($N429&lt;&gt;"","Candidate","")))</f>
        <v/>
      </c>
      <c r="AL429" s="65" t="str">
        <f aca="false">IF($AK429&lt;&gt;"Candidate","",COUNTIFS($AK$2:$AK$501,"Candidate",$N$2:$N$501,"&gt;"&amp;$N429)+COUNTIFS($AK$2:$AK$501,"Candidate",$N$2:$N$501,$N429,$A$2:$A$501,"&lt;"&amp;$A429)+1)</f>
        <v/>
      </c>
      <c r="AM429" s="65" t="str">
        <f aca="false">IF($AL429="","",SUMIFS($M$2:$M$501,$AK$2:$AK$501,"Candidate",$AL$2:$AL$501,"&lt;="&amp;$AL429))</f>
        <v/>
      </c>
      <c r="AN429" s="65" t="str">
        <f aca="false">IF($AL429="","",IF($AM429&lt;=CapacityOpen,"Fits","Below line"))</f>
        <v/>
      </c>
      <c r="AO429" s="65" t="str">
        <f aca="false">IF($A429="","",IF($X429="Closed","",IF($X429="Unmapped","Warning",IF(OR($AB429="Overdue",$V429="Y",$AH429="Critical"),"Critical",IF(OR($AB429="At risk",$AC429="Stale",$AG429="Over"),"Warning","")))))</f>
        <v/>
      </c>
      <c r="AP429" s="65" t="str">
        <f aca="false">IF($AO429="","",IF($AO429="Critical",3000,2000)-IF($Z429="",0,$Z429)+ROW()/100000)</f>
        <v/>
      </c>
      <c r="AQ429" s="65" t="str">
        <f aca="false">IF($AO429="","",IF($X429="Unmapped","Status '"&amp;$C429&amp;"' is not in the Config map",IF($V429="Y","Flagged in Jira",IF($AB429="Overdue",-$Z429&amp;" days past its "&amp;$X429&amp;" target",IF($AH429="Critical",$AI429,IF($AB429="At risk","Target in "&amp;$Z429&amp;" days",IF($AC429="Stale","No update in "&amp;$AA429&amp;" days","Past its "&amp;$AE429&amp;"-day tier window")))))))</f>
        <v/>
      </c>
      <c r="AR429" s="65" t="str">
        <f aca="false">IF($AO429="","","draft Jira update for "&amp;$A429)</f>
        <v/>
      </c>
      <c r="AS429" s="65" t="str">
        <f aca="false">IF($A429="","",HYPERLINK(JiraSite&amp;"/browse/"&amp;$A429,"open"))</f>
        <v/>
      </c>
      <c r="AT429" s="65" t="str">
        <f aca="false">IF($Y429="","",$Y429*1000+ROW())</f>
        <v/>
      </c>
      <c r="AU429" s="65" t="str">
        <f aca="false">IF(AND($A429&lt;&gt;"",$G429&gt;=WeekStart),$G429+ROW()/100000,"")</f>
        <v/>
      </c>
      <c r="AV429" s="65" t="str">
        <f aca="false">IF($A429="","",IF(OR(AND($S429&lt;&gt;"",$S429&gt;=WeekStart),AND($U429&lt;&gt;"",$U429&gt;=WeekStart)),MAX($S429,$U429)+ROW()/100000,""))</f>
        <v/>
      </c>
      <c r="AW429" s="65" t="str">
        <f aca="false">IF($AV429="","",IF($T429&lt;&gt;"",$T429,IF($X429="Closed","Closed","Accepted to "&amp;$X429)))</f>
        <v/>
      </c>
      <c r="AX429" s="65" t="str">
        <f aca="false">IF(AND($Y429&lt;&gt;"",$R429&lt;&gt;""),$AF429+ROW()/100000,"")</f>
        <v/>
      </c>
      <c r="AY429" s="65" t="str">
        <f aca="false">IF(AND($Y429&lt;&gt;"",OR($AB429="Overdue",AND($AH429="Critical",$R429&lt;&gt;""))),$AF429+ROW()/100000,"")</f>
        <v/>
      </c>
      <c r="AZ429" s="65" t="str">
        <f aca="false">IF($AH429="Critical",$AF429+ROW()/100000,"")</f>
        <v/>
      </c>
    </row>
    <row r="430" customFormat="false" ht="15" hidden="false" customHeight="false" outlineLevel="0" collapsed="false">
      <c r="A430" s="28"/>
      <c r="B430" s="28"/>
      <c r="C430" s="28"/>
      <c r="D430" s="28"/>
      <c r="E430" s="28"/>
      <c r="F430" s="28"/>
      <c r="G430" s="63"/>
      <c r="H430" s="63"/>
      <c r="I430" s="63"/>
      <c r="J430" s="28"/>
      <c r="K430" s="28"/>
      <c r="L430" s="28"/>
      <c r="M430" s="28"/>
      <c r="N430" s="28"/>
      <c r="O430" s="64"/>
      <c r="P430" s="64"/>
      <c r="Q430" s="64"/>
      <c r="R430" s="28"/>
      <c r="S430" s="63"/>
      <c r="T430" s="64"/>
      <c r="U430" s="63"/>
      <c r="V430" s="64"/>
      <c r="W430" s="28"/>
      <c r="X430" s="65" t="str">
        <f aca="false">IF($A430="","",IF(OR($T430&lt;&gt;"",$U430&lt;&gt;""),"Closed",IFERROR(INDEX(MapStage,MATCH($C430,MapStatus,0)),"Unmapped")))</f>
        <v/>
      </c>
      <c r="Y430" s="65" t="str">
        <f aca="false">IF(OR($X430="",$X430="Closed",$X430="Unmapped"),"",MATCH($X430,StageName,0))</f>
        <v/>
      </c>
      <c r="Z430" s="65" t="str">
        <f aca="false">IF(OR($Y430="",$I430=""),"",$I430-AsOf)</f>
        <v/>
      </c>
      <c r="AA430" s="65" t="str">
        <f aca="false">IF($A430="","",AsOf-$H430)</f>
        <v/>
      </c>
      <c r="AB430" s="65" t="str">
        <f aca="false">IF($A430="","",IF($X430="Closed","Closed",IF($X430="Unmapped","Unmapped",IF($I430="","No target",IF($Z430&lt;0,"Overdue",IF($Z430&lt;=INDEX(StageWindow,$Y430),"At risk","On track"))))))</f>
        <v/>
      </c>
      <c r="AC430" s="65" t="str">
        <f aca="false">IF($Y430="","",IF($AA430&gt;2*INDEX(StageStale,$Y430),"Stale",IF($AA430&gt;INDEX(StageStale,$Y430),"Aging","Fresh")))</f>
        <v/>
      </c>
      <c r="AD430" s="65" t="str">
        <f aca="false">IF($A430="","",IF(OR(ISNUMBER(SEARCH("Reg report",$J430)),ISNUMBER(SEARCH("No human review",$J430)),COUNTIF(TierFuncs,$D430)&gt;0),"High",IF(OR(TRIM($J430)&lt;&gt;"",ISNUMBER(SEARCH("revenue",$K430))),"Medium","Low")))</f>
        <v/>
      </c>
      <c r="AE430" s="65" t="str">
        <f aca="false">IF($A430="","",INDEX(TierDays,MATCH($AD430,TierName,0)))</f>
        <v/>
      </c>
      <c r="AF430" s="65" t="str">
        <f aca="false">IF($A430="","",AsOf-$G430)</f>
        <v/>
      </c>
      <c r="AG430" s="65" t="str">
        <f aca="false">IF($Y430="","",IF($Y430&lt;=5,IF($AF430&gt;$AE430,"Over","Inside"),"Past approval"))</f>
        <v/>
      </c>
      <c r="AH430" s="65" t="str">
        <f aca="false">IF($Y430="","",CHOOSE($Y430,IF(OR(TRIM($F430)="",ISNUMBER(SEARCH("not named",$F430))),"Critical","Good"),IF($O430&lt;&gt;"Y","Critical",IF($Q430&lt;&gt;"Y","Warning","Good")),IF($P430="","Critical",IF($P430="partial","Warning",IF($P430="ready","Good","Critical"))),IF($R430&lt;&gt;"","Critical","Warning"),IF($L430="","Critical",IF($N430="","Warning","Good")),IF($R430&lt;&gt;"","Critical","Warning"),IF($R430&lt;&gt;"","Critical","Warning"),IF($Q430="Y","Good","Critical")))</f>
        <v/>
      </c>
      <c r="AI430" s="65" t="str">
        <f aca="false">IF($Y430="","",CHOOSE($Y430,IF(OR(TRIM($F430)="",ISNUMBER(SEARCH("not named",$F430))),"Name a sponsor accountable for the value",""),IF($O430&lt;&gt;"Y","State the success metric and the stop condition",IF($Q430&lt;&gt;"Y","Set the baseline the benefit will be measured against","")),IF($P430="","Assess data readiness and regulatory impact",IF($P430="partial","Close the known data gaps",IF($P430="ready","","Data is not available; reshape or park"))),IF($R430&lt;&gt;"",IF(OR(ISNUMBER(SEARCH("mrm",$R430)),ISNUMBER(SEARCH("model",$R430)),ISNUMBER(SEARCH("risk",$R430)),ISNUMBER(SEARCH("legal",$R430)),ISNUMBER(SEARCH("complian",$R430))),"Awaiting ","Held at the design gate: ")&amp;$R430,"Map the governance framework for its tier"),IF($L430="","Size the annual benefit",IF($N430="","Score it so it can be ranked against capacity","")),IF($R430&lt;&gt;"","Build held: "&amp;$R430,"In build, not yet through test"),IF($R430&lt;&gt;"","Not ready to scale: "&amp;$R430,"Monitoring and third-party review not yet signed off"),IF($Q430="Y","","Live without a measured baseline to judge it against")))</f>
        <v/>
      </c>
      <c r="AJ430" s="65" t="str">
        <f aca="false">IF($Y430="","",INDEX(StageForum,$Y430))</f>
        <v/>
      </c>
      <c r="AK430" s="65" t="str">
        <f aca="false">IF($Y430="","",IF(OR($X430="Delivery",$X430="Value"),"Committed",IF($N430&lt;&gt;"","Candidate","")))</f>
        <v/>
      </c>
      <c r="AL430" s="65" t="str">
        <f aca="false">IF($AK430&lt;&gt;"Candidate","",COUNTIFS($AK$2:$AK$501,"Candidate",$N$2:$N$501,"&gt;"&amp;$N430)+COUNTIFS($AK$2:$AK$501,"Candidate",$N$2:$N$501,$N430,$A$2:$A$501,"&lt;"&amp;$A430)+1)</f>
        <v/>
      </c>
      <c r="AM430" s="65" t="str">
        <f aca="false">IF($AL430="","",SUMIFS($M$2:$M$501,$AK$2:$AK$501,"Candidate",$AL$2:$AL$501,"&lt;="&amp;$AL430))</f>
        <v/>
      </c>
      <c r="AN430" s="65" t="str">
        <f aca="false">IF($AL430="","",IF($AM430&lt;=CapacityOpen,"Fits","Below line"))</f>
        <v/>
      </c>
      <c r="AO430" s="65" t="str">
        <f aca="false">IF($A430="","",IF($X430="Closed","",IF($X430="Unmapped","Warning",IF(OR($AB430="Overdue",$V430="Y",$AH430="Critical"),"Critical",IF(OR($AB430="At risk",$AC430="Stale",$AG430="Over"),"Warning","")))))</f>
        <v/>
      </c>
      <c r="AP430" s="65" t="str">
        <f aca="false">IF($AO430="","",IF($AO430="Critical",3000,2000)-IF($Z430="",0,$Z430)+ROW()/100000)</f>
        <v/>
      </c>
      <c r="AQ430" s="65" t="str">
        <f aca="false">IF($AO430="","",IF($X430="Unmapped","Status '"&amp;$C430&amp;"' is not in the Config map",IF($V430="Y","Flagged in Jira",IF($AB430="Overdue",-$Z430&amp;" days past its "&amp;$X430&amp;" target",IF($AH430="Critical",$AI430,IF($AB430="At risk","Target in "&amp;$Z430&amp;" days",IF($AC430="Stale","No update in "&amp;$AA430&amp;" days","Past its "&amp;$AE430&amp;"-day tier window")))))))</f>
        <v/>
      </c>
      <c r="AR430" s="65" t="str">
        <f aca="false">IF($AO430="","","draft Jira update for "&amp;$A430)</f>
        <v/>
      </c>
      <c r="AS430" s="65" t="str">
        <f aca="false">IF($A430="","",HYPERLINK(JiraSite&amp;"/browse/"&amp;$A430,"open"))</f>
        <v/>
      </c>
      <c r="AT430" s="65" t="str">
        <f aca="false">IF($Y430="","",$Y430*1000+ROW())</f>
        <v/>
      </c>
      <c r="AU430" s="65" t="str">
        <f aca="false">IF(AND($A430&lt;&gt;"",$G430&gt;=WeekStart),$G430+ROW()/100000,"")</f>
        <v/>
      </c>
      <c r="AV430" s="65" t="str">
        <f aca="false">IF($A430="","",IF(OR(AND($S430&lt;&gt;"",$S430&gt;=WeekStart),AND($U430&lt;&gt;"",$U430&gt;=WeekStart)),MAX($S430,$U430)+ROW()/100000,""))</f>
        <v/>
      </c>
      <c r="AW430" s="65" t="str">
        <f aca="false">IF($AV430="","",IF($T430&lt;&gt;"",$T430,IF($X430="Closed","Closed","Accepted to "&amp;$X430)))</f>
        <v/>
      </c>
      <c r="AX430" s="65" t="str">
        <f aca="false">IF(AND($Y430&lt;&gt;"",$R430&lt;&gt;""),$AF430+ROW()/100000,"")</f>
        <v/>
      </c>
      <c r="AY430" s="65" t="str">
        <f aca="false">IF(AND($Y430&lt;&gt;"",OR($AB430="Overdue",AND($AH430="Critical",$R430&lt;&gt;""))),$AF430+ROW()/100000,"")</f>
        <v/>
      </c>
      <c r="AZ430" s="65" t="str">
        <f aca="false">IF($AH430="Critical",$AF430+ROW()/100000,"")</f>
        <v/>
      </c>
    </row>
    <row r="431" customFormat="false" ht="15" hidden="false" customHeight="false" outlineLevel="0" collapsed="false">
      <c r="A431" s="28"/>
      <c r="B431" s="28"/>
      <c r="C431" s="28"/>
      <c r="D431" s="28"/>
      <c r="E431" s="28"/>
      <c r="F431" s="28"/>
      <c r="G431" s="63"/>
      <c r="H431" s="63"/>
      <c r="I431" s="63"/>
      <c r="J431" s="28"/>
      <c r="K431" s="28"/>
      <c r="L431" s="28"/>
      <c r="M431" s="28"/>
      <c r="N431" s="28"/>
      <c r="O431" s="64"/>
      <c r="P431" s="64"/>
      <c r="Q431" s="64"/>
      <c r="R431" s="28"/>
      <c r="S431" s="63"/>
      <c r="T431" s="64"/>
      <c r="U431" s="63"/>
      <c r="V431" s="64"/>
      <c r="W431" s="28"/>
      <c r="X431" s="65" t="str">
        <f aca="false">IF($A431="","",IF(OR($T431&lt;&gt;"",$U431&lt;&gt;""),"Closed",IFERROR(INDEX(MapStage,MATCH($C431,MapStatus,0)),"Unmapped")))</f>
        <v/>
      </c>
      <c r="Y431" s="65" t="str">
        <f aca="false">IF(OR($X431="",$X431="Closed",$X431="Unmapped"),"",MATCH($X431,StageName,0))</f>
        <v/>
      </c>
      <c r="Z431" s="65" t="str">
        <f aca="false">IF(OR($Y431="",$I431=""),"",$I431-AsOf)</f>
        <v/>
      </c>
      <c r="AA431" s="65" t="str">
        <f aca="false">IF($A431="","",AsOf-$H431)</f>
        <v/>
      </c>
      <c r="AB431" s="65" t="str">
        <f aca="false">IF($A431="","",IF($X431="Closed","Closed",IF($X431="Unmapped","Unmapped",IF($I431="","No target",IF($Z431&lt;0,"Overdue",IF($Z431&lt;=INDEX(StageWindow,$Y431),"At risk","On track"))))))</f>
        <v/>
      </c>
      <c r="AC431" s="65" t="str">
        <f aca="false">IF($Y431="","",IF($AA431&gt;2*INDEX(StageStale,$Y431),"Stale",IF($AA431&gt;INDEX(StageStale,$Y431),"Aging","Fresh")))</f>
        <v/>
      </c>
      <c r="AD431" s="65" t="str">
        <f aca="false">IF($A431="","",IF(OR(ISNUMBER(SEARCH("Reg report",$J431)),ISNUMBER(SEARCH("No human review",$J431)),COUNTIF(TierFuncs,$D431)&gt;0),"High",IF(OR(TRIM($J431)&lt;&gt;"",ISNUMBER(SEARCH("revenue",$K431))),"Medium","Low")))</f>
        <v/>
      </c>
      <c r="AE431" s="65" t="str">
        <f aca="false">IF($A431="","",INDEX(TierDays,MATCH($AD431,TierName,0)))</f>
        <v/>
      </c>
      <c r="AF431" s="65" t="str">
        <f aca="false">IF($A431="","",AsOf-$G431)</f>
        <v/>
      </c>
      <c r="AG431" s="65" t="str">
        <f aca="false">IF($Y431="","",IF($Y431&lt;=5,IF($AF431&gt;$AE431,"Over","Inside"),"Past approval"))</f>
        <v/>
      </c>
      <c r="AH431" s="65" t="str">
        <f aca="false">IF($Y431="","",CHOOSE($Y431,IF(OR(TRIM($F431)="",ISNUMBER(SEARCH("not named",$F431))),"Critical","Good"),IF($O431&lt;&gt;"Y","Critical",IF($Q431&lt;&gt;"Y","Warning","Good")),IF($P431="","Critical",IF($P431="partial","Warning",IF($P431="ready","Good","Critical"))),IF($R431&lt;&gt;"","Critical","Warning"),IF($L431="","Critical",IF($N431="","Warning","Good")),IF($R431&lt;&gt;"","Critical","Warning"),IF($R431&lt;&gt;"","Critical","Warning"),IF($Q431="Y","Good","Critical")))</f>
        <v/>
      </c>
      <c r="AI431" s="65" t="str">
        <f aca="false">IF($Y431="","",CHOOSE($Y431,IF(OR(TRIM($F431)="",ISNUMBER(SEARCH("not named",$F431))),"Name a sponsor accountable for the value",""),IF($O431&lt;&gt;"Y","State the success metric and the stop condition",IF($Q431&lt;&gt;"Y","Set the baseline the benefit will be measured against","")),IF($P431="","Assess data readiness and regulatory impact",IF($P431="partial","Close the known data gaps",IF($P431="ready","","Data is not available; reshape or park"))),IF($R431&lt;&gt;"",IF(OR(ISNUMBER(SEARCH("mrm",$R431)),ISNUMBER(SEARCH("model",$R431)),ISNUMBER(SEARCH("risk",$R431)),ISNUMBER(SEARCH("legal",$R431)),ISNUMBER(SEARCH("complian",$R431))),"Awaiting ","Held at the design gate: ")&amp;$R431,"Map the governance framework for its tier"),IF($L431="","Size the annual benefit",IF($N431="","Score it so it can be ranked against capacity","")),IF($R431&lt;&gt;"","Build held: "&amp;$R431,"In build, not yet through test"),IF($R431&lt;&gt;"","Not ready to scale: "&amp;$R431,"Monitoring and third-party review not yet signed off"),IF($Q431="Y","","Live without a measured baseline to judge it against")))</f>
        <v/>
      </c>
      <c r="AJ431" s="65" t="str">
        <f aca="false">IF($Y431="","",INDEX(StageForum,$Y431))</f>
        <v/>
      </c>
      <c r="AK431" s="65" t="str">
        <f aca="false">IF($Y431="","",IF(OR($X431="Delivery",$X431="Value"),"Committed",IF($N431&lt;&gt;"","Candidate","")))</f>
        <v/>
      </c>
      <c r="AL431" s="65" t="str">
        <f aca="false">IF($AK431&lt;&gt;"Candidate","",COUNTIFS($AK$2:$AK$501,"Candidate",$N$2:$N$501,"&gt;"&amp;$N431)+COUNTIFS($AK$2:$AK$501,"Candidate",$N$2:$N$501,$N431,$A$2:$A$501,"&lt;"&amp;$A431)+1)</f>
        <v/>
      </c>
      <c r="AM431" s="65" t="str">
        <f aca="false">IF($AL431="","",SUMIFS($M$2:$M$501,$AK$2:$AK$501,"Candidate",$AL$2:$AL$501,"&lt;="&amp;$AL431))</f>
        <v/>
      </c>
      <c r="AN431" s="65" t="str">
        <f aca="false">IF($AL431="","",IF($AM431&lt;=CapacityOpen,"Fits","Below line"))</f>
        <v/>
      </c>
      <c r="AO431" s="65" t="str">
        <f aca="false">IF($A431="","",IF($X431="Closed","",IF($X431="Unmapped","Warning",IF(OR($AB431="Overdue",$V431="Y",$AH431="Critical"),"Critical",IF(OR($AB431="At risk",$AC431="Stale",$AG431="Over"),"Warning","")))))</f>
        <v/>
      </c>
      <c r="AP431" s="65" t="str">
        <f aca="false">IF($AO431="","",IF($AO431="Critical",3000,2000)-IF($Z431="",0,$Z431)+ROW()/100000)</f>
        <v/>
      </c>
      <c r="AQ431" s="65" t="str">
        <f aca="false">IF($AO431="","",IF($X431="Unmapped","Status '"&amp;$C431&amp;"' is not in the Config map",IF($V431="Y","Flagged in Jira",IF($AB431="Overdue",-$Z431&amp;" days past its "&amp;$X431&amp;" target",IF($AH431="Critical",$AI431,IF($AB431="At risk","Target in "&amp;$Z431&amp;" days",IF($AC431="Stale","No update in "&amp;$AA431&amp;" days","Past its "&amp;$AE431&amp;"-day tier window")))))))</f>
        <v/>
      </c>
      <c r="AR431" s="65" t="str">
        <f aca="false">IF($AO431="","","draft Jira update for "&amp;$A431)</f>
        <v/>
      </c>
      <c r="AS431" s="65" t="str">
        <f aca="false">IF($A431="","",HYPERLINK(JiraSite&amp;"/browse/"&amp;$A431,"open"))</f>
        <v/>
      </c>
      <c r="AT431" s="65" t="str">
        <f aca="false">IF($Y431="","",$Y431*1000+ROW())</f>
        <v/>
      </c>
      <c r="AU431" s="65" t="str">
        <f aca="false">IF(AND($A431&lt;&gt;"",$G431&gt;=WeekStart),$G431+ROW()/100000,"")</f>
        <v/>
      </c>
      <c r="AV431" s="65" t="str">
        <f aca="false">IF($A431="","",IF(OR(AND($S431&lt;&gt;"",$S431&gt;=WeekStart),AND($U431&lt;&gt;"",$U431&gt;=WeekStart)),MAX($S431,$U431)+ROW()/100000,""))</f>
        <v/>
      </c>
      <c r="AW431" s="65" t="str">
        <f aca="false">IF($AV431="","",IF($T431&lt;&gt;"",$T431,IF($X431="Closed","Closed","Accepted to "&amp;$X431)))</f>
        <v/>
      </c>
      <c r="AX431" s="65" t="str">
        <f aca="false">IF(AND($Y431&lt;&gt;"",$R431&lt;&gt;""),$AF431+ROW()/100000,"")</f>
        <v/>
      </c>
      <c r="AY431" s="65" t="str">
        <f aca="false">IF(AND($Y431&lt;&gt;"",OR($AB431="Overdue",AND($AH431="Critical",$R431&lt;&gt;""))),$AF431+ROW()/100000,"")</f>
        <v/>
      </c>
      <c r="AZ431" s="65" t="str">
        <f aca="false">IF($AH431="Critical",$AF431+ROW()/100000,"")</f>
        <v/>
      </c>
    </row>
    <row r="432" customFormat="false" ht="15" hidden="false" customHeight="false" outlineLevel="0" collapsed="false">
      <c r="A432" s="28"/>
      <c r="B432" s="28"/>
      <c r="C432" s="28"/>
      <c r="D432" s="28"/>
      <c r="E432" s="28"/>
      <c r="F432" s="28"/>
      <c r="G432" s="63"/>
      <c r="H432" s="63"/>
      <c r="I432" s="63"/>
      <c r="J432" s="28"/>
      <c r="K432" s="28"/>
      <c r="L432" s="28"/>
      <c r="M432" s="28"/>
      <c r="N432" s="28"/>
      <c r="O432" s="64"/>
      <c r="P432" s="64"/>
      <c r="Q432" s="64"/>
      <c r="R432" s="28"/>
      <c r="S432" s="63"/>
      <c r="T432" s="64"/>
      <c r="U432" s="63"/>
      <c r="V432" s="64"/>
      <c r="W432" s="28"/>
      <c r="X432" s="65" t="str">
        <f aca="false">IF($A432="","",IF(OR($T432&lt;&gt;"",$U432&lt;&gt;""),"Closed",IFERROR(INDEX(MapStage,MATCH($C432,MapStatus,0)),"Unmapped")))</f>
        <v/>
      </c>
      <c r="Y432" s="65" t="str">
        <f aca="false">IF(OR($X432="",$X432="Closed",$X432="Unmapped"),"",MATCH($X432,StageName,0))</f>
        <v/>
      </c>
      <c r="Z432" s="65" t="str">
        <f aca="false">IF(OR($Y432="",$I432=""),"",$I432-AsOf)</f>
        <v/>
      </c>
      <c r="AA432" s="65" t="str">
        <f aca="false">IF($A432="","",AsOf-$H432)</f>
        <v/>
      </c>
      <c r="AB432" s="65" t="str">
        <f aca="false">IF($A432="","",IF($X432="Closed","Closed",IF($X432="Unmapped","Unmapped",IF($I432="","No target",IF($Z432&lt;0,"Overdue",IF($Z432&lt;=INDEX(StageWindow,$Y432),"At risk","On track"))))))</f>
        <v/>
      </c>
      <c r="AC432" s="65" t="str">
        <f aca="false">IF($Y432="","",IF($AA432&gt;2*INDEX(StageStale,$Y432),"Stale",IF($AA432&gt;INDEX(StageStale,$Y432),"Aging","Fresh")))</f>
        <v/>
      </c>
      <c r="AD432" s="65" t="str">
        <f aca="false">IF($A432="","",IF(OR(ISNUMBER(SEARCH("Reg report",$J432)),ISNUMBER(SEARCH("No human review",$J432)),COUNTIF(TierFuncs,$D432)&gt;0),"High",IF(OR(TRIM($J432)&lt;&gt;"",ISNUMBER(SEARCH("revenue",$K432))),"Medium","Low")))</f>
        <v/>
      </c>
      <c r="AE432" s="65" t="str">
        <f aca="false">IF($A432="","",INDEX(TierDays,MATCH($AD432,TierName,0)))</f>
        <v/>
      </c>
      <c r="AF432" s="65" t="str">
        <f aca="false">IF($A432="","",AsOf-$G432)</f>
        <v/>
      </c>
      <c r="AG432" s="65" t="str">
        <f aca="false">IF($Y432="","",IF($Y432&lt;=5,IF($AF432&gt;$AE432,"Over","Inside"),"Past approval"))</f>
        <v/>
      </c>
      <c r="AH432" s="65" t="str">
        <f aca="false">IF($Y432="","",CHOOSE($Y432,IF(OR(TRIM($F432)="",ISNUMBER(SEARCH("not named",$F432))),"Critical","Good"),IF($O432&lt;&gt;"Y","Critical",IF($Q432&lt;&gt;"Y","Warning","Good")),IF($P432="","Critical",IF($P432="partial","Warning",IF($P432="ready","Good","Critical"))),IF($R432&lt;&gt;"","Critical","Warning"),IF($L432="","Critical",IF($N432="","Warning","Good")),IF($R432&lt;&gt;"","Critical","Warning"),IF($R432&lt;&gt;"","Critical","Warning"),IF($Q432="Y","Good","Critical")))</f>
        <v/>
      </c>
      <c r="AI432" s="65" t="str">
        <f aca="false">IF($Y432="","",CHOOSE($Y432,IF(OR(TRIM($F432)="",ISNUMBER(SEARCH("not named",$F432))),"Name a sponsor accountable for the value",""),IF($O432&lt;&gt;"Y","State the success metric and the stop condition",IF($Q432&lt;&gt;"Y","Set the baseline the benefit will be measured against","")),IF($P432="","Assess data readiness and regulatory impact",IF($P432="partial","Close the known data gaps",IF($P432="ready","","Data is not available; reshape or park"))),IF($R432&lt;&gt;"",IF(OR(ISNUMBER(SEARCH("mrm",$R432)),ISNUMBER(SEARCH("model",$R432)),ISNUMBER(SEARCH("risk",$R432)),ISNUMBER(SEARCH("legal",$R432)),ISNUMBER(SEARCH("complian",$R432))),"Awaiting ","Held at the design gate: ")&amp;$R432,"Map the governance framework for its tier"),IF($L432="","Size the annual benefit",IF($N432="","Score it so it can be ranked against capacity","")),IF($R432&lt;&gt;"","Build held: "&amp;$R432,"In build, not yet through test"),IF($R432&lt;&gt;"","Not ready to scale: "&amp;$R432,"Monitoring and third-party review not yet signed off"),IF($Q432="Y","","Live without a measured baseline to judge it against")))</f>
        <v/>
      </c>
      <c r="AJ432" s="65" t="str">
        <f aca="false">IF($Y432="","",INDEX(StageForum,$Y432))</f>
        <v/>
      </c>
      <c r="AK432" s="65" t="str">
        <f aca="false">IF($Y432="","",IF(OR($X432="Delivery",$X432="Value"),"Committed",IF($N432&lt;&gt;"","Candidate","")))</f>
        <v/>
      </c>
      <c r="AL432" s="65" t="str">
        <f aca="false">IF($AK432&lt;&gt;"Candidate","",COUNTIFS($AK$2:$AK$501,"Candidate",$N$2:$N$501,"&gt;"&amp;$N432)+COUNTIFS($AK$2:$AK$501,"Candidate",$N$2:$N$501,$N432,$A$2:$A$501,"&lt;"&amp;$A432)+1)</f>
        <v/>
      </c>
      <c r="AM432" s="65" t="str">
        <f aca="false">IF($AL432="","",SUMIFS($M$2:$M$501,$AK$2:$AK$501,"Candidate",$AL$2:$AL$501,"&lt;="&amp;$AL432))</f>
        <v/>
      </c>
      <c r="AN432" s="65" t="str">
        <f aca="false">IF($AL432="","",IF($AM432&lt;=CapacityOpen,"Fits","Below line"))</f>
        <v/>
      </c>
      <c r="AO432" s="65" t="str">
        <f aca="false">IF($A432="","",IF($X432="Closed","",IF($X432="Unmapped","Warning",IF(OR($AB432="Overdue",$V432="Y",$AH432="Critical"),"Critical",IF(OR($AB432="At risk",$AC432="Stale",$AG432="Over"),"Warning","")))))</f>
        <v/>
      </c>
      <c r="AP432" s="65" t="str">
        <f aca="false">IF($AO432="","",IF($AO432="Critical",3000,2000)-IF($Z432="",0,$Z432)+ROW()/100000)</f>
        <v/>
      </c>
      <c r="AQ432" s="65" t="str">
        <f aca="false">IF($AO432="","",IF($X432="Unmapped","Status '"&amp;$C432&amp;"' is not in the Config map",IF($V432="Y","Flagged in Jira",IF($AB432="Overdue",-$Z432&amp;" days past its "&amp;$X432&amp;" target",IF($AH432="Critical",$AI432,IF($AB432="At risk","Target in "&amp;$Z432&amp;" days",IF($AC432="Stale","No update in "&amp;$AA432&amp;" days","Past its "&amp;$AE432&amp;"-day tier window")))))))</f>
        <v/>
      </c>
      <c r="AR432" s="65" t="str">
        <f aca="false">IF($AO432="","","draft Jira update for "&amp;$A432)</f>
        <v/>
      </c>
      <c r="AS432" s="65" t="str">
        <f aca="false">IF($A432="","",HYPERLINK(JiraSite&amp;"/browse/"&amp;$A432,"open"))</f>
        <v/>
      </c>
      <c r="AT432" s="65" t="str">
        <f aca="false">IF($Y432="","",$Y432*1000+ROW())</f>
        <v/>
      </c>
      <c r="AU432" s="65" t="str">
        <f aca="false">IF(AND($A432&lt;&gt;"",$G432&gt;=WeekStart),$G432+ROW()/100000,"")</f>
        <v/>
      </c>
      <c r="AV432" s="65" t="str">
        <f aca="false">IF($A432="","",IF(OR(AND($S432&lt;&gt;"",$S432&gt;=WeekStart),AND($U432&lt;&gt;"",$U432&gt;=WeekStart)),MAX($S432,$U432)+ROW()/100000,""))</f>
        <v/>
      </c>
      <c r="AW432" s="65" t="str">
        <f aca="false">IF($AV432="","",IF($T432&lt;&gt;"",$T432,IF($X432="Closed","Closed","Accepted to "&amp;$X432)))</f>
        <v/>
      </c>
      <c r="AX432" s="65" t="str">
        <f aca="false">IF(AND($Y432&lt;&gt;"",$R432&lt;&gt;""),$AF432+ROW()/100000,"")</f>
        <v/>
      </c>
      <c r="AY432" s="65" t="str">
        <f aca="false">IF(AND($Y432&lt;&gt;"",OR($AB432="Overdue",AND($AH432="Critical",$R432&lt;&gt;""))),$AF432+ROW()/100000,"")</f>
        <v/>
      </c>
      <c r="AZ432" s="65" t="str">
        <f aca="false">IF($AH432="Critical",$AF432+ROW()/100000,"")</f>
        <v/>
      </c>
    </row>
    <row r="433" customFormat="false" ht="15" hidden="false" customHeight="false" outlineLevel="0" collapsed="false">
      <c r="A433" s="28"/>
      <c r="B433" s="28"/>
      <c r="C433" s="28"/>
      <c r="D433" s="28"/>
      <c r="E433" s="28"/>
      <c r="F433" s="28"/>
      <c r="G433" s="63"/>
      <c r="H433" s="63"/>
      <c r="I433" s="63"/>
      <c r="J433" s="28"/>
      <c r="K433" s="28"/>
      <c r="L433" s="28"/>
      <c r="M433" s="28"/>
      <c r="N433" s="28"/>
      <c r="O433" s="64"/>
      <c r="P433" s="64"/>
      <c r="Q433" s="64"/>
      <c r="R433" s="28"/>
      <c r="S433" s="63"/>
      <c r="T433" s="64"/>
      <c r="U433" s="63"/>
      <c r="V433" s="64"/>
      <c r="W433" s="28"/>
      <c r="X433" s="65" t="str">
        <f aca="false">IF($A433="","",IF(OR($T433&lt;&gt;"",$U433&lt;&gt;""),"Closed",IFERROR(INDEX(MapStage,MATCH($C433,MapStatus,0)),"Unmapped")))</f>
        <v/>
      </c>
      <c r="Y433" s="65" t="str">
        <f aca="false">IF(OR($X433="",$X433="Closed",$X433="Unmapped"),"",MATCH($X433,StageName,0))</f>
        <v/>
      </c>
      <c r="Z433" s="65" t="str">
        <f aca="false">IF(OR($Y433="",$I433=""),"",$I433-AsOf)</f>
        <v/>
      </c>
      <c r="AA433" s="65" t="str">
        <f aca="false">IF($A433="","",AsOf-$H433)</f>
        <v/>
      </c>
      <c r="AB433" s="65" t="str">
        <f aca="false">IF($A433="","",IF($X433="Closed","Closed",IF($X433="Unmapped","Unmapped",IF($I433="","No target",IF($Z433&lt;0,"Overdue",IF($Z433&lt;=INDEX(StageWindow,$Y433),"At risk","On track"))))))</f>
        <v/>
      </c>
      <c r="AC433" s="65" t="str">
        <f aca="false">IF($Y433="","",IF($AA433&gt;2*INDEX(StageStale,$Y433),"Stale",IF($AA433&gt;INDEX(StageStale,$Y433),"Aging","Fresh")))</f>
        <v/>
      </c>
      <c r="AD433" s="65" t="str">
        <f aca="false">IF($A433="","",IF(OR(ISNUMBER(SEARCH("Reg report",$J433)),ISNUMBER(SEARCH("No human review",$J433)),COUNTIF(TierFuncs,$D433)&gt;0),"High",IF(OR(TRIM($J433)&lt;&gt;"",ISNUMBER(SEARCH("revenue",$K433))),"Medium","Low")))</f>
        <v/>
      </c>
      <c r="AE433" s="65" t="str">
        <f aca="false">IF($A433="","",INDEX(TierDays,MATCH($AD433,TierName,0)))</f>
        <v/>
      </c>
      <c r="AF433" s="65" t="str">
        <f aca="false">IF($A433="","",AsOf-$G433)</f>
        <v/>
      </c>
      <c r="AG433" s="65" t="str">
        <f aca="false">IF($Y433="","",IF($Y433&lt;=5,IF($AF433&gt;$AE433,"Over","Inside"),"Past approval"))</f>
        <v/>
      </c>
      <c r="AH433" s="65" t="str">
        <f aca="false">IF($Y433="","",CHOOSE($Y433,IF(OR(TRIM($F433)="",ISNUMBER(SEARCH("not named",$F433))),"Critical","Good"),IF($O433&lt;&gt;"Y","Critical",IF($Q433&lt;&gt;"Y","Warning","Good")),IF($P433="","Critical",IF($P433="partial","Warning",IF($P433="ready","Good","Critical"))),IF($R433&lt;&gt;"","Critical","Warning"),IF($L433="","Critical",IF($N433="","Warning","Good")),IF($R433&lt;&gt;"","Critical","Warning"),IF($R433&lt;&gt;"","Critical","Warning"),IF($Q433="Y","Good","Critical")))</f>
        <v/>
      </c>
      <c r="AI433" s="65" t="str">
        <f aca="false">IF($Y433="","",CHOOSE($Y433,IF(OR(TRIM($F433)="",ISNUMBER(SEARCH("not named",$F433))),"Name a sponsor accountable for the value",""),IF($O433&lt;&gt;"Y","State the success metric and the stop condition",IF($Q433&lt;&gt;"Y","Set the baseline the benefit will be measured against","")),IF($P433="","Assess data readiness and regulatory impact",IF($P433="partial","Close the known data gaps",IF($P433="ready","","Data is not available; reshape or park"))),IF($R433&lt;&gt;"",IF(OR(ISNUMBER(SEARCH("mrm",$R433)),ISNUMBER(SEARCH("model",$R433)),ISNUMBER(SEARCH("risk",$R433)),ISNUMBER(SEARCH("legal",$R433)),ISNUMBER(SEARCH("complian",$R433))),"Awaiting ","Held at the design gate: ")&amp;$R433,"Map the governance framework for its tier"),IF($L433="","Size the annual benefit",IF($N433="","Score it so it can be ranked against capacity","")),IF($R433&lt;&gt;"","Build held: "&amp;$R433,"In build, not yet through test"),IF($R433&lt;&gt;"","Not ready to scale: "&amp;$R433,"Monitoring and third-party review not yet signed off"),IF($Q433="Y","","Live without a measured baseline to judge it against")))</f>
        <v/>
      </c>
      <c r="AJ433" s="65" t="str">
        <f aca="false">IF($Y433="","",INDEX(StageForum,$Y433))</f>
        <v/>
      </c>
      <c r="AK433" s="65" t="str">
        <f aca="false">IF($Y433="","",IF(OR($X433="Delivery",$X433="Value"),"Committed",IF($N433&lt;&gt;"","Candidate","")))</f>
        <v/>
      </c>
      <c r="AL433" s="65" t="str">
        <f aca="false">IF($AK433&lt;&gt;"Candidate","",COUNTIFS($AK$2:$AK$501,"Candidate",$N$2:$N$501,"&gt;"&amp;$N433)+COUNTIFS($AK$2:$AK$501,"Candidate",$N$2:$N$501,$N433,$A$2:$A$501,"&lt;"&amp;$A433)+1)</f>
        <v/>
      </c>
      <c r="AM433" s="65" t="str">
        <f aca="false">IF($AL433="","",SUMIFS($M$2:$M$501,$AK$2:$AK$501,"Candidate",$AL$2:$AL$501,"&lt;="&amp;$AL433))</f>
        <v/>
      </c>
      <c r="AN433" s="65" t="str">
        <f aca="false">IF($AL433="","",IF($AM433&lt;=CapacityOpen,"Fits","Below line"))</f>
        <v/>
      </c>
      <c r="AO433" s="65" t="str">
        <f aca="false">IF($A433="","",IF($X433="Closed","",IF($X433="Unmapped","Warning",IF(OR($AB433="Overdue",$V433="Y",$AH433="Critical"),"Critical",IF(OR($AB433="At risk",$AC433="Stale",$AG433="Over"),"Warning","")))))</f>
        <v/>
      </c>
      <c r="AP433" s="65" t="str">
        <f aca="false">IF($AO433="","",IF($AO433="Critical",3000,2000)-IF($Z433="",0,$Z433)+ROW()/100000)</f>
        <v/>
      </c>
      <c r="AQ433" s="65" t="str">
        <f aca="false">IF($AO433="","",IF($X433="Unmapped","Status '"&amp;$C433&amp;"' is not in the Config map",IF($V433="Y","Flagged in Jira",IF($AB433="Overdue",-$Z433&amp;" days past its "&amp;$X433&amp;" target",IF($AH433="Critical",$AI433,IF($AB433="At risk","Target in "&amp;$Z433&amp;" days",IF($AC433="Stale","No update in "&amp;$AA433&amp;" days","Past its "&amp;$AE433&amp;"-day tier window")))))))</f>
        <v/>
      </c>
      <c r="AR433" s="65" t="str">
        <f aca="false">IF($AO433="","","draft Jira update for "&amp;$A433)</f>
        <v/>
      </c>
      <c r="AS433" s="65" t="str">
        <f aca="false">IF($A433="","",HYPERLINK(JiraSite&amp;"/browse/"&amp;$A433,"open"))</f>
        <v/>
      </c>
      <c r="AT433" s="65" t="str">
        <f aca="false">IF($Y433="","",$Y433*1000+ROW())</f>
        <v/>
      </c>
      <c r="AU433" s="65" t="str">
        <f aca="false">IF(AND($A433&lt;&gt;"",$G433&gt;=WeekStart),$G433+ROW()/100000,"")</f>
        <v/>
      </c>
      <c r="AV433" s="65" t="str">
        <f aca="false">IF($A433="","",IF(OR(AND($S433&lt;&gt;"",$S433&gt;=WeekStart),AND($U433&lt;&gt;"",$U433&gt;=WeekStart)),MAX($S433,$U433)+ROW()/100000,""))</f>
        <v/>
      </c>
      <c r="AW433" s="65" t="str">
        <f aca="false">IF($AV433="","",IF($T433&lt;&gt;"",$T433,IF($X433="Closed","Closed","Accepted to "&amp;$X433)))</f>
        <v/>
      </c>
      <c r="AX433" s="65" t="str">
        <f aca="false">IF(AND($Y433&lt;&gt;"",$R433&lt;&gt;""),$AF433+ROW()/100000,"")</f>
        <v/>
      </c>
      <c r="AY433" s="65" t="str">
        <f aca="false">IF(AND($Y433&lt;&gt;"",OR($AB433="Overdue",AND($AH433="Critical",$R433&lt;&gt;""))),$AF433+ROW()/100000,"")</f>
        <v/>
      </c>
      <c r="AZ433" s="65" t="str">
        <f aca="false">IF($AH433="Critical",$AF433+ROW()/100000,"")</f>
        <v/>
      </c>
    </row>
    <row r="434" customFormat="false" ht="15" hidden="false" customHeight="false" outlineLevel="0" collapsed="false">
      <c r="A434" s="28"/>
      <c r="B434" s="28"/>
      <c r="C434" s="28"/>
      <c r="D434" s="28"/>
      <c r="E434" s="28"/>
      <c r="F434" s="28"/>
      <c r="G434" s="63"/>
      <c r="H434" s="63"/>
      <c r="I434" s="63"/>
      <c r="J434" s="28"/>
      <c r="K434" s="28"/>
      <c r="L434" s="28"/>
      <c r="M434" s="28"/>
      <c r="N434" s="28"/>
      <c r="O434" s="64"/>
      <c r="P434" s="64"/>
      <c r="Q434" s="64"/>
      <c r="R434" s="28"/>
      <c r="S434" s="63"/>
      <c r="T434" s="64"/>
      <c r="U434" s="63"/>
      <c r="V434" s="64"/>
      <c r="W434" s="28"/>
      <c r="X434" s="65" t="str">
        <f aca="false">IF($A434="","",IF(OR($T434&lt;&gt;"",$U434&lt;&gt;""),"Closed",IFERROR(INDEX(MapStage,MATCH($C434,MapStatus,0)),"Unmapped")))</f>
        <v/>
      </c>
      <c r="Y434" s="65" t="str">
        <f aca="false">IF(OR($X434="",$X434="Closed",$X434="Unmapped"),"",MATCH($X434,StageName,0))</f>
        <v/>
      </c>
      <c r="Z434" s="65" t="str">
        <f aca="false">IF(OR($Y434="",$I434=""),"",$I434-AsOf)</f>
        <v/>
      </c>
      <c r="AA434" s="65" t="str">
        <f aca="false">IF($A434="","",AsOf-$H434)</f>
        <v/>
      </c>
      <c r="AB434" s="65" t="str">
        <f aca="false">IF($A434="","",IF($X434="Closed","Closed",IF($X434="Unmapped","Unmapped",IF($I434="","No target",IF($Z434&lt;0,"Overdue",IF($Z434&lt;=INDEX(StageWindow,$Y434),"At risk","On track"))))))</f>
        <v/>
      </c>
      <c r="AC434" s="65" t="str">
        <f aca="false">IF($Y434="","",IF($AA434&gt;2*INDEX(StageStale,$Y434),"Stale",IF($AA434&gt;INDEX(StageStale,$Y434),"Aging","Fresh")))</f>
        <v/>
      </c>
      <c r="AD434" s="65" t="str">
        <f aca="false">IF($A434="","",IF(OR(ISNUMBER(SEARCH("Reg report",$J434)),ISNUMBER(SEARCH("No human review",$J434)),COUNTIF(TierFuncs,$D434)&gt;0),"High",IF(OR(TRIM($J434)&lt;&gt;"",ISNUMBER(SEARCH("revenue",$K434))),"Medium","Low")))</f>
        <v/>
      </c>
      <c r="AE434" s="65" t="str">
        <f aca="false">IF($A434="","",INDEX(TierDays,MATCH($AD434,TierName,0)))</f>
        <v/>
      </c>
      <c r="AF434" s="65" t="str">
        <f aca="false">IF($A434="","",AsOf-$G434)</f>
        <v/>
      </c>
      <c r="AG434" s="65" t="str">
        <f aca="false">IF($Y434="","",IF($Y434&lt;=5,IF($AF434&gt;$AE434,"Over","Inside"),"Past approval"))</f>
        <v/>
      </c>
      <c r="AH434" s="65" t="str">
        <f aca="false">IF($Y434="","",CHOOSE($Y434,IF(OR(TRIM($F434)="",ISNUMBER(SEARCH("not named",$F434))),"Critical","Good"),IF($O434&lt;&gt;"Y","Critical",IF($Q434&lt;&gt;"Y","Warning","Good")),IF($P434="","Critical",IF($P434="partial","Warning",IF($P434="ready","Good","Critical"))),IF($R434&lt;&gt;"","Critical","Warning"),IF($L434="","Critical",IF($N434="","Warning","Good")),IF($R434&lt;&gt;"","Critical","Warning"),IF($R434&lt;&gt;"","Critical","Warning"),IF($Q434="Y","Good","Critical")))</f>
        <v/>
      </c>
      <c r="AI434" s="65" t="str">
        <f aca="false">IF($Y434="","",CHOOSE($Y434,IF(OR(TRIM($F434)="",ISNUMBER(SEARCH("not named",$F434))),"Name a sponsor accountable for the value",""),IF($O434&lt;&gt;"Y","State the success metric and the stop condition",IF($Q434&lt;&gt;"Y","Set the baseline the benefit will be measured against","")),IF($P434="","Assess data readiness and regulatory impact",IF($P434="partial","Close the known data gaps",IF($P434="ready","","Data is not available; reshape or park"))),IF($R434&lt;&gt;"",IF(OR(ISNUMBER(SEARCH("mrm",$R434)),ISNUMBER(SEARCH("model",$R434)),ISNUMBER(SEARCH("risk",$R434)),ISNUMBER(SEARCH("legal",$R434)),ISNUMBER(SEARCH("complian",$R434))),"Awaiting ","Held at the design gate: ")&amp;$R434,"Map the governance framework for its tier"),IF($L434="","Size the annual benefit",IF($N434="","Score it so it can be ranked against capacity","")),IF($R434&lt;&gt;"","Build held: "&amp;$R434,"In build, not yet through test"),IF($R434&lt;&gt;"","Not ready to scale: "&amp;$R434,"Monitoring and third-party review not yet signed off"),IF($Q434="Y","","Live without a measured baseline to judge it against")))</f>
        <v/>
      </c>
      <c r="AJ434" s="65" t="str">
        <f aca="false">IF($Y434="","",INDEX(StageForum,$Y434))</f>
        <v/>
      </c>
      <c r="AK434" s="65" t="str">
        <f aca="false">IF($Y434="","",IF(OR($X434="Delivery",$X434="Value"),"Committed",IF($N434&lt;&gt;"","Candidate","")))</f>
        <v/>
      </c>
      <c r="AL434" s="65" t="str">
        <f aca="false">IF($AK434&lt;&gt;"Candidate","",COUNTIFS($AK$2:$AK$501,"Candidate",$N$2:$N$501,"&gt;"&amp;$N434)+COUNTIFS($AK$2:$AK$501,"Candidate",$N$2:$N$501,$N434,$A$2:$A$501,"&lt;"&amp;$A434)+1)</f>
        <v/>
      </c>
      <c r="AM434" s="65" t="str">
        <f aca="false">IF($AL434="","",SUMIFS($M$2:$M$501,$AK$2:$AK$501,"Candidate",$AL$2:$AL$501,"&lt;="&amp;$AL434))</f>
        <v/>
      </c>
      <c r="AN434" s="65" t="str">
        <f aca="false">IF($AL434="","",IF($AM434&lt;=CapacityOpen,"Fits","Below line"))</f>
        <v/>
      </c>
      <c r="AO434" s="65" t="str">
        <f aca="false">IF($A434="","",IF($X434="Closed","",IF($X434="Unmapped","Warning",IF(OR($AB434="Overdue",$V434="Y",$AH434="Critical"),"Critical",IF(OR($AB434="At risk",$AC434="Stale",$AG434="Over"),"Warning","")))))</f>
        <v/>
      </c>
      <c r="AP434" s="65" t="str">
        <f aca="false">IF($AO434="","",IF($AO434="Critical",3000,2000)-IF($Z434="",0,$Z434)+ROW()/100000)</f>
        <v/>
      </c>
      <c r="AQ434" s="65" t="str">
        <f aca="false">IF($AO434="","",IF($X434="Unmapped","Status '"&amp;$C434&amp;"' is not in the Config map",IF($V434="Y","Flagged in Jira",IF($AB434="Overdue",-$Z434&amp;" days past its "&amp;$X434&amp;" target",IF($AH434="Critical",$AI434,IF($AB434="At risk","Target in "&amp;$Z434&amp;" days",IF($AC434="Stale","No update in "&amp;$AA434&amp;" days","Past its "&amp;$AE434&amp;"-day tier window")))))))</f>
        <v/>
      </c>
      <c r="AR434" s="65" t="str">
        <f aca="false">IF($AO434="","","draft Jira update for "&amp;$A434)</f>
        <v/>
      </c>
      <c r="AS434" s="65" t="str">
        <f aca="false">IF($A434="","",HYPERLINK(JiraSite&amp;"/browse/"&amp;$A434,"open"))</f>
        <v/>
      </c>
      <c r="AT434" s="65" t="str">
        <f aca="false">IF($Y434="","",$Y434*1000+ROW())</f>
        <v/>
      </c>
      <c r="AU434" s="65" t="str">
        <f aca="false">IF(AND($A434&lt;&gt;"",$G434&gt;=WeekStart),$G434+ROW()/100000,"")</f>
        <v/>
      </c>
      <c r="AV434" s="65" t="str">
        <f aca="false">IF($A434="","",IF(OR(AND($S434&lt;&gt;"",$S434&gt;=WeekStart),AND($U434&lt;&gt;"",$U434&gt;=WeekStart)),MAX($S434,$U434)+ROW()/100000,""))</f>
        <v/>
      </c>
      <c r="AW434" s="65" t="str">
        <f aca="false">IF($AV434="","",IF($T434&lt;&gt;"",$T434,IF($X434="Closed","Closed","Accepted to "&amp;$X434)))</f>
        <v/>
      </c>
      <c r="AX434" s="65" t="str">
        <f aca="false">IF(AND($Y434&lt;&gt;"",$R434&lt;&gt;""),$AF434+ROW()/100000,"")</f>
        <v/>
      </c>
      <c r="AY434" s="65" t="str">
        <f aca="false">IF(AND($Y434&lt;&gt;"",OR($AB434="Overdue",AND($AH434="Critical",$R434&lt;&gt;""))),$AF434+ROW()/100000,"")</f>
        <v/>
      </c>
      <c r="AZ434" s="65" t="str">
        <f aca="false">IF($AH434="Critical",$AF434+ROW()/100000,"")</f>
        <v/>
      </c>
    </row>
    <row r="435" customFormat="false" ht="15" hidden="false" customHeight="false" outlineLevel="0" collapsed="false">
      <c r="A435" s="28"/>
      <c r="B435" s="28"/>
      <c r="C435" s="28"/>
      <c r="D435" s="28"/>
      <c r="E435" s="28"/>
      <c r="F435" s="28"/>
      <c r="G435" s="63"/>
      <c r="H435" s="63"/>
      <c r="I435" s="63"/>
      <c r="J435" s="28"/>
      <c r="K435" s="28"/>
      <c r="L435" s="28"/>
      <c r="M435" s="28"/>
      <c r="N435" s="28"/>
      <c r="O435" s="64"/>
      <c r="P435" s="64"/>
      <c r="Q435" s="64"/>
      <c r="R435" s="28"/>
      <c r="S435" s="63"/>
      <c r="T435" s="64"/>
      <c r="U435" s="63"/>
      <c r="V435" s="64"/>
      <c r="W435" s="28"/>
      <c r="X435" s="65" t="str">
        <f aca="false">IF($A435="","",IF(OR($T435&lt;&gt;"",$U435&lt;&gt;""),"Closed",IFERROR(INDEX(MapStage,MATCH($C435,MapStatus,0)),"Unmapped")))</f>
        <v/>
      </c>
      <c r="Y435" s="65" t="str">
        <f aca="false">IF(OR($X435="",$X435="Closed",$X435="Unmapped"),"",MATCH($X435,StageName,0))</f>
        <v/>
      </c>
      <c r="Z435" s="65" t="str">
        <f aca="false">IF(OR($Y435="",$I435=""),"",$I435-AsOf)</f>
        <v/>
      </c>
      <c r="AA435" s="65" t="str">
        <f aca="false">IF($A435="","",AsOf-$H435)</f>
        <v/>
      </c>
      <c r="AB435" s="65" t="str">
        <f aca="false">IF($A435="","",IF($X435="Closed","Closed",IF($X435="Unmapped","Unmapped",IF($I435="","No target",IF($Z435&lt;0,"Overdue",IF($Z435&lt;=INDEX(StageWindow,$Y435),"At risk","On track"))))))</f>
        <v/>
      </c>
      <c r="AC435" s="65" t="str">
        <f aca="false">IF($Y435="","",IF($AA435&gt;2*INDEX(StageStale,$Y435),"Stale",IF($AA435&gt;INDEX(StageStale,$Y435),"Aging","Fresh")))</f>
        <v/>
      </c>
      <c r="AD435" s="65" t="str">
        <f aca="false">IF($A435="","",IF(OR(ISNUMBER(SEARCH("Reg report",$J435)),ISNUMBER(SEARCH("No human review",$J435)),COUNTIF(TierFuncs,$D435)&gt;0),"High",IF(OR(TRIM($J435)&lt;&gt;"",ISNUMBER(SEARCH("revenue",$K435))),"Medium","Low")))</f>
        <v/>
      </c>
      <c r="AE435" s="65" t="str">
        <f aca="false">IF($A435="","",INDEX(TierDays,MATCH($AD435,TierName,0)))</f>
        <v/>
      </c>
      <c r="AF435" s="65" t="str">
        <f aca="false">IF($A435="","",AsOf-$G435)</f>
        <v/>
      </c>
      <c r="AG435" s="65" t="str">
        <f aca="false">IF($Y435="","",IF($Y435&lt;=5,IF($AF435&gt;$AE435,"Over","Inside"),"Past approval"))</f>
        <v/>
      </c>
      <c r="AH435" s="65" t="str">
        <f aca="false">IF($Y435="","",CHOOSE($Y435,IF(OR(TRIM($F435)="",ISNUMBER(SEARCH("not named",$F435))),"Critical","Good"),IF($O435&lt;&gt;"Y","Critical",IF($Q435&lt;&gt;"Y","Warning","Good")),IF($P435="","Critical",IF($P435="partial","Warning",IF($P435="ready","Good","Critical"))),IF($R435&lt;&gt;"","Critical","Warning"),IF($L435="","Critical",IF($N435="","Warning","Good")),IF($R435&lt;&gt;"","Critical","Warning"),IF($R435&lt;&gt;"","Critical","Warning"),IF($Q435="Y","Good","Critical")))</f>
        <v/>
      </c>
      <c r="AI435" s="65" t="str">
        <f aca="false">IF($Y435="","",CHOOSE($Y435,IF(OR(TRIM($F435)="",ISNUMBER(SEARCH("not named",$F435))),"Name a sponsor accountable for the value",""),IF($O435&lt;&gt;"Y","State the success metric and the stop condition",IF($Q435&lt;&gt;"Y","Set the baseline the benefit will be measured against","")),IF($P435="","Assess data readiness and regulatory impact",IF($P435="partial","Close the known data gaps",IF($P435="ready","","Data is not available; reshape or park"))),IF($R435&lt;&gt;"",IF(OR(ISNUMBER(SEARCH("mrm",$R435)),ISNUMBER(SEARCH("model",$R435)),ISNUMBER(SEARCH("risk",$R435)),ISNUMBER(SEARCH("legal",$R435)),ISNUMBER(SEARCH("complian",$R435))),"Awaiting ","Held at the design gate: ")&amp;$R435,"Map the governance framework for its tier"),IF($L435="","Size the annual benefit",IF($N435="","Score it so it can be ranked against capacity","")),IF($R435&lt;&gt;"","Build held: "&amp;$R435,"In build, not yet through test"),IF($R435&lt;&gt;"","Not ready to scale: "&amp;$R435,"Monitoring and third-party review not yet signed off"),IF($Q435="Y","","Live without a measured baseline to judge it against")))</f>
        <v/>
      </c>
      <c r="AJ435" s="65" t="str">
        <f aca="false">IF($Y435="","",INDEX(StageForum,$Y435))</f>
        <v/>
      </c>
      <c r="AK435" s="65" t="str">
        <f aca="false">IF($Y435="","",IF(OR($X435="Delivery",$X435="Value"),"Committed",IF($N435&lt;&gt;"","Candidate","")))</f>
        <v/>
      </c>
      <c r="AL435" s="65" t="str">
        <f aca="false">IF($AK435&lt;&gt;"Candidate","",COUNTIFS($AK$2:$AK$501,"Candidate",$N$2:$N$501,"&gt;"&amp;$N435)+COUNTIFS($AK$2:$AK$501,"Candidate",$N$2:$N$501,$N435,$A$2:$A$501,"&lt;"&amp;$A435)+1)</f>
        <v/>
      </c>
      <c r="AM435" s="65" t="str">
        <f aca="false">IF($AL435="","",SUMIFS($M$2:$M$501,$AK$2:$AK$501,"Candidate",$AL$2:$AL$501,"&lt;="&amp;$AL435))</f>
        <v/>
      </c>
      <c r="AN435" s="65" t="str">
        <f aca="false">IF($AL435="","",IF($AM435&lt;=CapacityOpen,"Fits","Below line"))</f>
        <v/>
      </c>
      <c r="AO435" s="65" t="str">
        <f aca="false">IF($A435="","",IF($X435="Closed","",IF($X435="Unmapped","Warning",IF(OR($AB435="Overdue",$V435="Y",$AH435="Critical"),"Critical",IF(OR($AB435="At risk",$AC435="Stale",$AG435="Over"),"Warning","")))))</f>
        <v/>
      </c>
      <c r="AP435" s="65" t="str">
        <f aca="false">IF($AO435="","",IF($AO435="Critical",3000,2000)-IF($Z435="",0,$Z435)+ROW()/100000)</f>
        <v/>
      </c>
      <c r="AQ435" s="65" t="str">
        <f aca="false">IF($AO435="","",IF($X435="Unmapped","Status '"&amp;$C435&amp;"' is not in the Config map",IF($V435="Y","Flagged in Jira",IF($AB435="Overdue",-$Z435&amp;" days past its "&amp;$X435&amp;" target",IF($AH435="Critical",$AI435,IF($AB435="At risk","Target in "&amp;$Z435&amp;" days",IF($AC435="Stale","No update in "&amp;$AA435&amp;" days","Past its "&amp;$AE435&amp;"-day tier window")))))))</f>
        <v/>
      </c>
      <c r="AR435" s="65" t="str">
        <f aca="false">IF($AO435="","","draft Jira update for "&amp;$A435)</f>
        <v/>
      </c>
      <c r="AS435" s="65" t="str">
        <f aca="false">IF($A435="","",HYPERLINK(JiraSite&amp;"/browse/"&amp;$A435,"open"))</f>
        <v/>
      </c>
      <c r="AT435" s="65" t="str">
        <f aca="false">IF($Y435="","",$Y435*1000+ROW())</f>
        <v/>
      </c>
      <c r="AU435" s="65" t="str">
        <f aca="false">IF(AND($A435&lt;&gt;"",$G435&gt;=WeekStart),$G435+ROW()/100000,"")</f>
        <v/>
      </c>
      <c r="AV435" s="65" t="str">
        <f aca="false">IF($A435="","",IF(OR(AND($S435&lt;&gt;"",$S435&gt;=WeekStart),AND($U435&lt;&gt;"",$U435&gt;=WeekStart)),MAX($S435,$U435)+ROW()/100000,""))</f>
        <v/>
      </c>
      <c r="AW435" s="65" t="str">
        <f aca="false">IF($AV435="","",IF($T435&lt;&gt;"",$T435,IF($X435="Closed","Closed","Accepted to "&amp;$X435)))</f>
        <v/>
      </c>
      <c r="AX435" s="65" t="str">
        <f aca="false">IF(AND($Y435&lt;&gt;"",$R435&lt;&gt;""),$AF435+ROW()/100000,"")</f>
        <v/>
      </c>
      <c r="AY435" s="65" t="str">
        <f aca="false">IF(AND($Y435&lt;&gt;"",OR($AB435="Overdue",AND($AH435="Critical",$R435&lt;&gt;""))),$AF435+ROW()/100000,"")</f>
        <v/>
      </c>
      <c r="AZ435" s="65" t="str">
        <f aca="false">IF($AH435="Critical",$AF435+ROW()/100000,"")</f>
        <v/>
      </c>
    </row>
    <row r="436" customFormat="false" ht="15" hidden="false" customHeight="false" outlineLevel="0" collapsed="false">
      <c r="A436" s="28"/>
      <c r="B436" s="28"/>
      <c r="C436" s="28"/>
      <c r="D436" s="28"/>
      <c r="E436" s="28"/>
      <c r="F436" s="28"/>
      <c r="G436" s="63"/>
      <c r="H436" s="63"/>
      <c r="I436" s="63"/>
      <c r="J436" s="28"/>
      <c r="K436" s="28"/>
      <c r="L436" s="28"/>
      <c r="M436" s="28"/>
      <c r="N436" s="28"/>
      <c r="O436" s="64"/>
      <c r="P436" s="64"/>
      <c r="Q436" s="64"/>
      <c r="R436" s="28"/>
      <c r="S436" s="63"/>
      <c r="T436" s="64"/>
      <c r="U436" s="63"/>
      <c r="V436" s="64"/>
      <c r="W436" s="28"/>
      <c r="X436" s="65" t="str">
        <f aca="false">IF($A436="","",IF(OR($T436&lt;&gt;"",$U436&lt;&gt;""),"Closed",IFERROR(INDEX(MapStage,MATCH($C436,MapStatus,0)),"Unmapped")))</f>
        <v/>
      </c>
      <c r="Y436" s="65" t="str">
        <f aca="false">IF(OR($X436="",$X436="Closed",$X436="Unmapped"),"",MATCH($X436,StageName,0))</f>
        <v/>
      </c>
      <c r="Z436" s="65" t="str">
        <f aca="false">IF(OR($Y436="",$I436=""),"",$I436-AsOf)</f>
        <v/>
      </c>
      <c r="AA436" s="65" t="str">
        <f aca="false">IF($A436="","",AsOf-$H436)</f>
        <v/>
      </c>
      <c r="AB436" s="65" t="str">
        <f aca="false">IF($A436="","",IF($X436="Closed","Closed",IF($X436="Unmapped","Unmapped",IF($I436="","No target",IF($Z436&lt;0,"Overdue",IF($Z436&lt;=INDEX(StageWindow,$Y436),"At risk","On track"))))))</f>
        <v/>
      </c>
      <c r="AC436" s="65" t="str">
        <f aca="false">IF($Y436="","",IF($AA436&gt;2*INDEX(StageStale,$Y436),"Stale",IF($AA436&gt;INDEX(StageStale,$Y436),"Aging","Fresh")))</f>
        <v/>
      </c>
      <c r="AD436" s="65" t="str">
        <f aca="false">IF($A436="","",IF(OR(ISNUMBER(SEARCH("Reg report",$J436)),ISNUMBER(SEARCH("No human review",$J436)),COUNTIF(TierFuncs,$D436)&gt;0),"High",IF(OR(TRIM($J436)&lt;&gt;"",ISNUMBER(SEARCH("revenue",$K436))),"Medium","Low")))</f>
        <v/>
      </c>
      <c r="AE436" s="65" t="str">
        <f aca="false">IF($A436="","",INDEX(TierDays,MATCH($AD436,TierName,0)))</f>
        <v/>
      </c>
      <c r="AF436" s="65" t="str">
        <f aca="false">IF($A436="","",AsOf-$G436)</f>
        <v/>
      </c>
      <c r="AG436" s="65" t="str">
        <f aca="false">IF($Y436="","",IF($Y436&lt;=5,IF($AF436&gt;$AE436,"Over","Inside"),"Past approval"))</f>
        <v/>
      </c>
      <c r="AH436" s="65" t="str">
        <f aca="false">IF($Y436="","",CHOOSE($Y436,IF(OR(TRIM($F436)="",ISNUMBER(SEARCH("not named",$F436))),"Critical","Good"),IF($O436&lt;&gt;"Y","Critical",IF($Q436&lt;&gt;"Y","Warning","Good")),IF($P436="","Critical",IF($P436="partial","Warning",IF($P436="ready","Good","Critical"))),IF($R436&lt;&gt;"","Critical","Warning"),IF($L436="","Critical",IF($N436="","Warning","Good")),IF($R436&lt;&gt;"","Critical","Warning"),IF($R436&lt;&gt;"","Critical","Warning"),IF($Q436="Y","Good","Critical")))</f>
        <v/>
      </c>
      <c r="AI436" s="65" t="str">
        <f aca="false">IF($Y436="","",CHOOSE($Y436,IF(OR(TRIM($F436)="",ISNUMBER(SEARCH("not named",$F436))),"Name a sponsor accountable for the value",""),IF($O436&lt;&gt;"Y","State the success metric and the stop condition",IF($Q436&lt;&gt;"Y","Set the baseline the benefit will be measured against","")),IF($P436="","Assess data readiness and regulatory impact",IF($P436="partial","Close the known data gaps",IF($P436="ready","","Data is not available; reshape or park"))),IF($R436&lt;&gt;"",IF(OR(ISNUMBER(SEARCH("mrm",$R436)),ISNUMBER(SEARCH("model",$R436)),ISNUMBER(SEARCH("risk",$R436)),ISNUMBER(SEARCH("legal",$R436)),ISNUMBER(SEARCH("complian",$R436))),"Awaiting ","Held at the design gate: ")&amp;$R436,"Map the governance framework for its tier"),IF($L436="","Size the annual benefit",IF($N436="","Score it so it can be ranked against capacity","")),IF($R436&lt;&gt;"","Build held: "&amp;$R436,"In build, not yet through test"),IF($R436&lt;&gt;"","Not ready to scale: "&amp;$R436,"Monitoring and third-party review not yet signed off"),IF($Q436="Y","","Live without a measured baseline to judge it against")))</f>
        <v/>
      </c>
      <c r="AJ436" s="65" t="str">
        <f aca="false">IF($Y436="","",INDEX(StageForum,$Y436))</f>
        <v/>
      </c>
      <c r="AK436" s="65" t="str">
        <f aca="false">IF($Y436="","",IF(OR($X436="Delivery",$X436="Value"),"Committed",IF($N436&lt;&gt;"","Candidate","")))</f>
        <v/>
      </c>
      <c r="AL436" s="65" t="str">
        <f aca="false">IF($AK436&lt;&gt;"Candidate","",COUNTIFS($AK$2:$AK$501,"Candidate",$N$2:$N$501,"&gt;"&amp;$N436)+COUNTIFS($AK$2:$AK$501,"Candidate",$N$2:$N$501,$N436,$A$2:$A$501,"&lt;"&amp;$A436)+1)</f>
        <v/>
      </c>
      <c r="AM436" s="65" t="str">
        <f aca="false">IF($AL436="","",SUMIFS($M$2:$M$501,$AK$2:$AK$501,"Candidate",$AL$2:$AL$501,"&lt;="&amp;$AL436))</f>
        <v/>
      </c>
      <c r="AN436" s="65" t="str">
        <f aca="false">IF($AL436="","",IF($AM436&lt;=CapacityOpen,"Fits","Below line"))</f>
        <v/>
      </c>
      <c r="AO436" s="65" t="str">
        <f aca="false">IF($A436="","",IF($X436="Closed","",IF($X436="Unmapped","Warning",IF(OR($AB436="Overdue",$V436="Y",$AH436="Critical"),"Critical",IF(OR($AB436="At risk",$AC436="Stale",$AG436="Over"),"Warning","")))))</f>
        <v/>
      </c>
      <c r="AP436" s="65" t="str">
        <f aca="false">IF($AO436="","",IF($AO436="Critical",3000,2000)-IF($Z436="",0,$Z436)+ROW()/100000)</f>
        <v/>
      </c>
      <c r="AQ436" s="65" t="str">
        <f aca="false">IF($AO436="","",IF($X436="Unmapped","Status '"&amp;$C436&amp;"' is not in the Config map",IF($V436="Y","Flagged in Jira",IF($AB436="Overdue",-$Z436&amp;" days past its "&amp;$X436&amp;" target",IF($AH436="Critical",$AI436,IF($AB436="At risk","Target in "&amp;$Z436&amp;" days",IF($AC436="Stale","No update in "&amp;$AA436&amp;" days","Past its "&amp;$AE436&amp;"-day tier window")))))))</f>
        <v/>
      </c>
      <c r="AR436" s="65" t="str">
        <f aca="false">IF($AO436="","","draft Jira update for "&amp;$A436)</f>
        <v/>
      </c>
      <c r="AS436" s="65" t="str">
        <f aca="false">IF($A436="","",HYPERLINK(JiraSite&amp;"/browse/"&amp;$A436,"open"))</f>
        <v/>
      </c>
      <c r="AT436" s="65" t="str">
        <f aca="false">IF($Y436="","",$Y436*1000+ROW())</f>
        <v/>
      </c>
      <c r="AU436" s="65" t="str">
        <f aca="false">IF(AND($A436&lt;&gt;"",$G436&gt;=WeekStart),$G436+ROW()/100000,"")</f>
        <v/>
      </c>
      <c r="AV436" s="65" t="str">
        <f aca="false">IF($A436="","",IF(OR(AND($S436&lt;&gt;"",$S436&gt;=WeekStart),AND($U436&lt;&gt;"",$U436&gt;=WeekStart)),MAX($S436,$U436)+ROW()/100000,""))</f>
        <v/>
      </c>
      <c r="AW436" s="65" t="str">
        <f aca="false">IF($AV436="","",IF($T436&lt;&gt;"",$T436,IF($X436="Closed","Closed","Accepted to "&amp;$X436)))</f>
        <v/>
      </c>
      <c r="AX436" s="65" t="str">
        <f aca="false">IF(AND($Y436&lt;&gt;"",$R436&lt;&gt;""),$AF436+ROW()/100000,"")</f>
        <v/>
      </c>
      <c r="AY436" s="65" t="str">
        <f aca="false">IF(AND($Y436&lt;&gt;"",OR($AB436="Overdue",AND($AH436="Critical",$R436&lt;&gt;""))),$AF436+ROW()/100000,"")</f>
        <v/>
      </c>
      <c r="AZ436" s="65" t="str">
        <f aca="false">IF($AH436="Critical",$AF436+ROW()/100000,"")</f>
        <v/>
      </c>
    </row>
    <row r="437" customFormat="false" ht="15" hidden="false" customHeight="false" outlineLevel="0" collapsed="false">
      <c r="A437" s="28"/>
      <c r="B437" s="28"/>
      <c r="C437" s="28"/>
      <c r="D437" s="28"/>
      <c r="E437" s="28"/>
      <c r="F437" s="28"/>
      <c r="G437" s="63"/>
      <c r="H437" s="63"/>
      <c r="I437" s="63"/>
      <c r="J437" s="28"/>
      <c r="K437" s="28"/>
      <c r="L437" s="28"/>
      <c r="M437" s="28"/>
      <c r="N437" s="28"/>
      <c r="O437" s="64"/>
      <c r="P437" s="64"/>
      <c r="Q437" s="64"/>
      <c r="R437" s="28"/>
      <c r="S437" s="63"/>
      <c r="T437" s="64"/>
      <c r="U437" s="63"/>
      <c r="V437" s="64"/>
      <c r="W437" s="28"/>
      <c r="X437" s="65" t="str">
        <f aca="false">IF($A437="","",IF(OR($T437&lt;&gt;"",$U437&lt;&gt;""),"Closed",IFERROR(INDEX(MapStage,MATCH($C437,MapStatus,0)),"Unmapped")))</f>
        <v/>
      </c>
      <c r="Y437" s="65" t="str">
        <f aca="false">IF(OR($X437="",$X437="Closed",$X437="Unmapped"),"",MATCH($X437,StageName,0))</f>
        <v/>
      </c>
      <c r="Z437" s="65" t="str">
        <f aca="false">IF(OR($Y437="",$I437=""),"",$I437-AsOf)</f>
        <v/>
      </c>
      <c r="AA437" s="65" t="str">
        <f aca="false">IF($A437="","",AsOf-$H437)</f>
        <v/>
      </c>
      <c r="AB437" s="65" t="str">
        <f aca="false">IF($A437="","",IF($X437="Closed","Closed",IF($X437="Unmapped","Unmapped",IF($I437="","No target",IF($Z437&lt;0,"Overdue",IF($Z437&lt;=INDEX(StageWindow,$Y437),"At risk","On track"))))))</f>
        <v/>
      </c>
      <c r="AC437" s="65" t="str">
        <f aca="false">IF($Y437="","",IF($AA437&gt;2*INDEX(StageStale,$Y437),"Stale",IF($AA437&gt;INDEX(StageStale,$Y437),"Aging","Fresh")))</f>
        <v/>
      </c>
      <c r="AD437" s="65" t="str">
        <f aca="false">IF($A437="","",IF(OR(ISNUMBER(SEARCH("Reg report",$J437)),ISNUMBER(SEARCH("No human review",$J437)),COUNTIF(TierFuncs,$D437)&gt;0),"High",IF(OR(TRIM($J437)&lt;&gt;"",ISNUMBER(SEARCH("revenue",$K437))),"Medium","Low")))</f>
        <v/>
      </c>
      <c r="AE437" s="65" t="str">
        <f aca="false">IF($A437="","",INDEX(TierDays,MATCH($AD437,TierName,0)))</f>
        <v/>
      </c>
      <c r="AF437" s="65" t="str">
        <f aca="false">IF($A437="","",AsOf-$G437)</f>
        <v/>
      </c>
      <c r="AG437" s="65" t="str">
        <f aca="false">IF($Y437="","",IF($Y437&lt;=5,IF($AF437&gt;$AE437,"Over","Inside"),"Past approval"))</f>
        <v/>
      </c>
      <c r="AH437" s="65" t="str">
        <f aca="false">IF($Y437="","",CHOOSE($Y437,IF(OR(TRIM($F437)="",ISNUMBER(SEARCH("not named",$F437))),"Critical","Good"),IF($O437&lt;&gt;"Y","Critical",IF($Q437&lt;&gt;"Y","Warning","Good")),IF($P437="","Critical",IF($P437="partial","Warning",IF($P437="ready","Good","Critical"))),IF($R437&lt;&gt;"","Critical","Warning"),IF($L437="","Critical",IF($N437="","Warning","Good")),IF($R437&lt;&gt;"","Critical","Warning"),IF($R437&lt;&gt;"","Critical","Warning"),IF($Q437="Y","Good","Critical")))</f>
        <v/>
      </c>
      <c r="AI437" s="65" t="str">
        <f aca="false">IF($Y437="","",CHOOSE($Y437,IF(OR(TRIM($F437)="",ISNUMBER(SEARCH("not named",$F437))),"Name a sponsor accountable for the value",""),IF($O437&lt;&gt;"Y","State the success metric and the stop condition",IF($Q437&lt;&gt;"Y","Set the baseline the benefit will be measured against","")),IF($P437="","Assess data readiness and regulatory impact",IF($P437="partial","Close the known data gaps",IF($P437="ready","","Data is not available; reshape or park"))),IF($R437&lt;&gt;"",IF(OR(ISNUMBER(SEARCH("mrm",$R437)),ISNUMBER(SEARCH("model",$R437)),ISNUMBER(SEARCH("risk",$R437)),ISNUMBER(SEARCH("legal",$R437)),ISNUMBER(SEARCH("complian",$R437))),"Awaiting ","Held at the design gate: ")&amp;$R437,"Map the governance framework for its tier"),IF($L437="","Size the annual benefit",IF($N437="","Score it so it can be ranked against capacity","")),IF($R437&lt;&gt;"","Build held: "&amp;$R437,"In build, not yet through test"),IF($R437&lt;&gt;"","Not ready to scale: "&amp;$R437,"Monitoring and third-party review not yet signed off"),IF($Q437="Y","","Live without a measured baseline to judge it against")))</f>
        <v/>
      </c>
      <c r="AJ437" s="65" t="str">
        <f aca="false">IF($Y437="","",INDEX(StageForum,$Y437))</f>
        <v/>
      </c>
      <c r="AK437" s="65" t="str">
        <f aca="false">IF($Y437="","",IF(OR($X437="Delivery",$X437="Value"),"Committed",IF($N437&lt;&gt;"","Candidate","")))</f>
        <v/>
      </c>
      <c r="AL437" s="65" t="str">
        <f aca="false">IF($AK437&lt;&gt;"Candidate","",COUNTIFS($AK$2:$AK$501,"Candidate",$N$2:$N$501,"&gt;"&amp;$N437)+COUNTIFS($AK$2:$AK$501,"Candidate",$N$2:$N$501,$N437,$A$2:$A$501,"&lt;"&amp;$A437)+1)</f>
        <v/>
      </c>
      <c r="AM437" s="65" t="str">
        <f aca="false">IF($AL437="","",SUMIFS($M$2:$M$501,$AK$2:$AK$501,"Candidate",$AL$2:$AL$501,"&lt;="&amp;$AL437))</f>
        <v/>
      </c>
      <c r="AN437" s="65" t="str">
        <f aca="false">IF($AL437="","",IF($AM437&lt;=CapacityOpen,"Fits","Below line"))</f>
        <v/>
      </c>
      <c r="AO437" s="65" t="str">
        <f aca="false">IF($A437="","",IF($X437="Closed","",IF($X437="Unmapped","Warning",IF(OR($AB437="Overdue",$V437="Y",$AH437="Critical"),"Critical",IF(OR($AB437="At risk",$AC437="Stale",$AG437="Over"),"Warning","")))))</f>
        <v/>
      </c>
      <c r="AP437" s="65" t="str">
        <f aca="false">IF($AO437="","",IF($AO437="Critical",3000,2000)-IF($Z437="",0,$Z437)+ROW()/100000)</f>
        <v/>
      </c>
      <c r="AQ437" s="65" t="str">
        <f aca="false">IF($AO437="","",IF($X437="Unmapped","Status '"&amp;$C437&amp;"' is not in the Config map",IF($V437="Y","Flagged in Jira",IF($AB437="Overdue",-$Z437&amp;" days past its "&amp;$X437&amp;" target",IF($AH437="Critical",$AI437,IF($AB437="At risk","Target in "&amp;$Z437&amp;" days",IF($AC437="Stale","No update in "&amp;$AA437&amp;" days","Past its "&amp;$AE437&amp;"-day tier window")))))))</f>
        <v/>
      </c>
      <c r="AR437" s="65" t="str">
        <f aca="false">IF($AO437="","","draft Jira update for "&amp;$A437)</f>
        <v/>
      </c>
      <c r="AS437" s="65" t="str">
        <f aca="false">IF($A437="","",HYPERLINK(JiraSite&amp;"/browse/"&amp;$A437,"open"))</f>
        <v/>
      </c>
      <c r="AT437" s="65" t="str">
        <f aca="false">IF($Y437="","",$Y437*1000+ROW())</f>
        <v/>
      </c>
      <c r="AU437" s="65" t="str">
        <f aca="false">IF(AND($A437&lt;&gt;"",$G437&gt;=WeekStart),$G437+ROW()/100000,"")</f>
        <v/>
      </c>
      <c r="AV437" s="65" t="str">
        <f aca="false">IF($A437="","",IF(OR(AND($S437&lt;&gt;"",$S437&gt;=WeekStart),AND($U437&lt;&gt;"",$U437&gt;=WeekStart)),MAX($S437,$U437)+ROW()/100000,""))</f>
        <v/>
      </c>
      <c r="AW437" s="65" t="str">
        <f aca="false">IF($AV437="","",IF($T437&lt;&gt;"",$T437,IF($X437="Closed","Closed","Accepted to "&amp;$X437)))</f>
        <v/>
      </c>
      <c r="AX437" s="65" t="str">
        <f aca="false">IF(AND($Y437&lt;&gt;"",$R437&lt;&gt;""),$AF437+ROW()/100000,"")</f>
        <v/>
      </c>
      <c r="AY437" s="65" t="str">
        <f aca="false">IF(AND($Y437&lt;&gt;"",OR($AB437="Overdue",AND($AH437="Critical",$R437&lt;&gt;""))),$AF437+ROW()/100000,"")</f>
        <v/>
      </c>
      <c r="AZ437" s="65" t="str">
        <f aca="false">IF($AH437="Critical",$AF437+ROW()/100000,"")</f>
        <v/>
      </c>
    </row>
    <row r="438" customFormat="false" ht="15" hidden="false" customHeight="false" outlineLevel="0" collapsed="false">
      <c r="A438" s="28"/>
      <c r="B438" s="28"/>
      <c r="C438" s="28"/>
      <c r="D438" s="28"/>
      <c r="E438" s="28"/>
      <c r="F438" s="28"/>
      <c r="G438" s="63"/>
      <c r="H438" s="63"/>
      <c r="I438" s="63"/>
      <c r="J438" s="28"/>
      <c r="K438" s="28"/>
      <c r="L438" s="28"/>
      <c r="M438" s="28"/>
      <c r="N438" s="28"/>
      <c r="O438" s="64"/>
      <c r="P438" s="64"/>
      <c r="Q438" s="64"/>
      <c r="R438" s="28"/>
      <c r="S438" s="63"/>
      <c r="T438" s="64"/>
      <c r="U438" s="63"/>
      <c r="V438" s="64"/>
      <c r="W438" s="28"/>
      <c r="X438" s="65" t="str">
        <f aca="false">IF($A438="","",IF(OR($T438&lt;&gt;"",$U438&lt;&gt;""),"Closed",IFERROR(INDEX(MapStage,MATCH($C438,MapStatus,0)),"Unmapped")))</f>
        <v/>
      </c>
      <c r="Y438" s="65" t="str">
        <f aca="false">IF(OR($X438="",$X438="Closed",$X438="Unmapped"),"",MATCH($X438,StageName,0))</f>
        <v/>
      </c>
      <c r="Z438" s="65" t="str">
        <f aca="false">IF(OR($Y438="",$I438=""),"",$I438-AsOf)</f>
        <v/>
      </c>
      <c r="AA438" s="65" t="str">
        <f aca="false">IF($A438="","",AsOf-$H438)</f>
        <v/>
      </c>
      <c r="AB438" s="65" t="str">
        <f aca="false">IF($A438="","",IF($X438="Closed","Closed",IF($X438="Unmapped","Unmapped",IF($I438="","No target",IF($Z438&lt;0,"Overdue",IF($Z438&lt;=INDEX(StageWindow,$Y438),"At risk","On track"))))))</f>
        <v/>
      </c>
      <c r="AC438" s="65" t="str">
        <f aca="false">IF($Y438="","",IF($AA438&gt;2*INDEX(StageStale,$Y438),"Stale",IF($AA438&gt;INDEX(StageStale,$Y438),"Aging","Fresh")))</f>
        <v/>
      </c>
      <c r="AD438" s="65" t="str">
        <f aca="false">IF($A438="","",IF(OR(ISNUMBER(SEARCH("Reg report",$J438)),ISNUMBER(SEARCH("No human review",$J438)),COUNTIF(TierFuncs,$D438)&gt;0),"High",IF(OR(TRIM($J438)&lt;&gt;"",ISNUMBER(SEARCH("revenue",$K438))),"Medium","Low")))</f>
        <v/>
      </c>
      <c r="AE438" s="65" t="str">
        <f aca="false">IF($A438="","",INDEX(TierDays,MATCH($AD438,TierName,0)))</f>
        <v/>
      </c>
      <c r="AF438" s="65" t="str">
        <f aca="false">IF($A438="","",AsOf-$G438)</f>
        <v/>
      </c>
      <c r="AG438" s="65" t="str">
        <f aca="false">IF($Y438="","",IF($Y438&lt;=5,IF($AF438&gt;$AE438,"Over","Inside"),"Past approval"))</f>
        <v/>
      </c>
      <c r="AH438" s="65" t="str">
        <f aca="false">IF($Y438="","",CHOOSE($Y438,IF(OR(TRIM($F438)="",ISNUMBER(SEARCH("not named",$F438))),"Critical","Good"),IF($O438&lt;&gt;"Y","Critical",IF($Q438&lt;&gt;"Y","Warning","Good")),IF($P438="","Critical",IF($P438="partial","Warning",IF($P438="ready","Good","Critical"))),IF($R438&lt;&gt;"","Critical","Warning"),IF($L438="","Critical",IF($N438="","Warning","Good")),IF($R438&lt;&gt;"","Critical","Warning"),IF($R438&lt;&gt;"","Critical","Warning"),IF($Q438="Y","Good","Critical")))</f>
        <v/>
      </c>
      <c r="AI438" s="65" t="str">
        <f aca="false">IF($Y438="","",CHOOSE($Y438,IF(OR(TRIM($F438)="",ISNUMBER(SEARCH("not named",$F438))),"Name a sponsor accountable for the value",""),IF($O438&lt;&gt;"Y","State the success metric and the stop condition",IF($Q438&lt;&gt;"Y","Set the baseline the benefit will be measured against","")),IF($P438="","Assess data readiness and regulatory impact",IF($P438="partial","Close the known data gaps",IF($P438="ready","","Data is not available; reshape or park"))),IF($R438&lt;&gt;"",IF(OR(ISNUMBER(SEARCH("mrm",$R438)),ISNUMBER(SEARCH("model",$R438)),ISNUMBER(SEARCH("risk",$R438)),ISNUMBER(SEARCH("legal",$R438)),ISNUMBER(SEARCH("complian",$R438))),"Awaiting ","Held at the design gate: ")&amp;$R438,"Map the governance framework for its tier"),IF($L438="","Size the annual benefit",IF($N438="","Score it so it can be ranked against capacity","")),IF($R438&lt;&gt;"","Build held: "&amp;$R438,"In build, not yet through test"),IF($R438&lt;&gt;"","Not ready to scale: "&amp;$R438,"Monitoring and third-party review not yet signed off"),IF($Q438="Y","","Live without a measured baseline to judge it against")))</f>
        <v/>
      </c>
      <c r="AJ438" s="65" t="str">
        <f aca="false">IF($Y438="","",INDEX(StageForum,$Y438))</f>
        <v/>
      </c>
      <c r="AK438" s="65" t="str">
        <f aca="false">IF($Y438="","",IF(OR($X438="Delivery",$X438="Value"),"Committed",IF($N438&lt;&gt;"","Candidate","")))</f>
        <v/>
      </c>
      <c r="AL438" s="65" t="str">
        <f aca="false">IF($AK438&lt;&gt;"Candidate","",COUNTIFS($AK$2:$AK$501,"Candidate",$N$2:$N$501,"&gt;"&amp;$N438)+COUNTIFS($AK$2:$AK$501,"Candidate",$N$2:$N$501,$N438,$A$2:$A$501,"&lt;"&amp;$A438)+1)</f>
        <v/>
      </c>
      <c r="AM438" s="65" t="str">
        <f aca="false">IF($AL438="","",SUMIFS($M$2:$M$501,$AK$2:$AK$501,"Candidate",$AL$2:$AL$501,"&lt;="&amp;$AL438))</f>
        <v/>
      </c>
      <c r="AN438" s="65" t="str">
        <f aca="false">IF($AL438="","",IF($AM438&lt;=CapacityOpen,"Fits","Below line"))</f>
        <v/>
      </c>
      <c r="AO438" s="65" t="str">
        <f aca="false">IF($A438="","",IF($X438="Closed","",IF($X438="Unmapped","Warning",IF(OR($AB438="Overdue",$V438="Y",$AH438="Critical"),"Critical",IF(OR($AB438="At risk",$AC438="Stale",$AG438="Over"),"Warning","")))))</f>
        <v/>
      </c>
      <c r="AP438" s="65" t="str">
        <f aca="false">IF($AO438="","",IF($AO438="Critical",3000,2000)-IF($Z438="",0,$Z438)+ROW()/100000)</f>
        <v/>
      </c>
      <c r="AQ438" s="65" t="str">
        <f aca="false">IF($AO438="","",IF($X438="Unmapped","Status '"&amp;$C438&amp;"' is not in the Config map",IF($V438="Y","Flagged in Jira",IF($AB438="Overdue",-$Z438&amp;" days past its "&amp;$X438&amp;" target",IF($AH438="Critical",$AI438,IF($AB438="At risk","Target in "&amp;$Z438&amp;" days",IF($AC438="Stale","No update in "&amp;$AA438&amp;" days","Past its "&amp;$AE438&amp;"-day tier window")))))))</f>
        <v/>
      </c>
      <c r="AR438" s="65" t="str">
        <f aca="false">IF($AO438="","","draft Jira update for "&amp;$A438)</f>
        <v/>
      </c>
      <c r="AS438" s="65" t="str">
        <f aca="false">IF($A438="","",HYPERLINK(JiraSite&amp;"/browse/"&amp;$A438,"open"))</f>
        <v/>
      </c>
      <c r="AT438" s="65" t="str">
        <f aca="false">IF($Y438="","",$Y438*1000+ROW())</f>
        <v/>
      </c>
      <c r="AU438" s="65" t="str">
        <f aca="false">IF(AND($A438&lt;&gt;"",$G438&gt;=WeekStart),$G438+ROW()/100000,"")</f>
        <v/>
      </c>
      <c r="AV438" s="65" t="str">
        <f aca="false">IF($A438="","",IF(OR(AND($S438&lt;&gt;"",$S438&gt;=WeekStart),AND($U438&lt;&gt;"",$U438&gt;=WeekStart)),MAX($S438,$U438)+ROW()/100000,""))</f>
        <v/>
      </c>
      <c r="AW438" s="65" t="str">
        <f aca="false">IF($AV438="","",IF($T438&lt;&gt;"",$T438,IF($X438="Closed","Closed","Accepted to "&amp;$X438)))</f>
        <v/>
      </c>
      <c r="AX438" s="65" t="str">
        <f aca="false">IF(AND($Y438&lt;&gt;"",$R438&lt;&gt;""),$AF438+ROW()/100000,"")</f>
        <v/>
      </c>
      <c r="AY438" s="65" t="str">
        <f aca="false">IF(AND($Y438&lt;&gt;"",OR($AB438="Overdue",AND($AH438="Critical",$R438&lt;&gt;""))),$AF438+ROW()/100000,"")</f>
        <v/>
      </c>
      <c r="AZ438" s="65" t="str">
        <f aca="false">IF($AH438="Critical",$AF438+ROW()/100000,"")</f>
        <v/>
      </c>
    </row>
    <row r="439" customFormat="false" ht="15" hidden="false" customHeight="false" outlineLevel="0" collapsed="false">
      <c r="A439" s="28"/>
      <c r="B439" s="28"/>
      <c r="C439" s="28"/>
      <c r="D439" s="28"/>
      <c r="E439" s="28"/>
      <c r="F439" s="28"/>
      <c r="G439" s="63"/>
      <c r="H439" s="63"/>
      <c r="I439" s="63"/>
      <c r="J439" s="28"/>
      <c r="K439" s="28"/>
      <c r="L439" s="28"/>
      <c r="M439" s="28"/>
      <c r="N439" s="28"/>
      <c r="O439" s="64"/>
      <c r="P439" s="64"/>
      <c r="Q439" s="64"/>
      <c r="R439" s="28"/>
      <c r="S439" s="63"/>
      <c r="T439" s="64"/>
      <c r="U439" s="63"/>
      <c r="V439" s="64"/>
      <c r="W439" s="28"/>
      <c r="X439" s="65" t="str">
        <f aca="false">IF($A439="","",IF(OR($T439&lt;&gt;"",$U439&lt;&gt;""),"Closed",IFERROR(INDEX(MapStage,MATCH($C439,MapStatus,0)),"Unmapped")))</f>
        <v/>
      </c>
      <c r="Y439" s="65" t="str">
        <f aca="false">IF(OR($X439="",$X439="Closed",$X439="Unmapped"),"",MATCH($X439,StageName,0))</f>
        <v/>
      </c>
      <c r="Z439" s="65" t="str">
        <f aca="false">IF(OR($Y439="",$I439=""),"",$I439-AsOf)</f>
        <v/>
      </c>
      <c r="AA439" s="65" t="str">
        <f aca="false">IF($A439="","",AsOf-$H439)</f>
        <v/>
      </c>
      <c r="AB439" s="65" t="str">
        <f aca="false">IF($A439="","",IF($X439="Closed","Closed",IF($X439="Unmapped","Unmapped",IF($I439="","No target",IF($Z439&lt;0,"Overdue",IF($Z439&lt;=INDEX(StageWindow,$Y439),"At risk","On track"))))))</f>
        <v/>
      </c>
      <c r="AC439" s="65" t="str">
        <f aca="false">IF($Y439="","",IF($AA439&gt;2*INDEX(StageStale,$Y439),"Stale",IF($AA439&gt;INDEX(StageStale,$Y439),"Aging","Fresh")))</f>
        <v/>
      </c>
      <c r="AD439" s="65" t="str">
        <f aca="false">IF($A439="","",IF(OR(ISNUMBER(SEARCH("Reg report",$J439)),ISNUMBER(SEARCH("No human review",$J439)),COUNTIF(TierFuncs,$D439)&gt;0),"High",IF(OR(TRIM($J439)&lt;&gt;"",ISNUMBER(SEARCH("revenue",$K439))),"Medium","Low")))</f>
        <v/>
      </c>
      <c r="AE439" s="65" t="str">
        <f aca="false">IF($A439="","",INDEX(TierDays,MATCH($AD439,TierName,0)))</f>
        <v/>
      </c>
      <c r="AF439" s="65" t="str">
        <f aca="false">IF($A439="","",AsOf-$G439)</f>
        <v/>
      </c>
      <c r="AG439" s="65" t="str">
        <f aca="false">IF($Y439="","",IF($Y439&lt;=5,IF($AF439&gt;$AE439,"Over","Inside"),"Past approval"))</f>
        <v/>
      </c>
      <c r="AH439" s="65" t="str">
        <f aca="false">IF($Y439="","",CHOOSE($Y439,IF(OR(TRIM($F439)="",ISNUMBER(SEARCH("not named",$F439))),"Critical","Good"),IF($O439&lt;&gt;"Y","Critical",IF($Q439&lt;&gt;"Y","Warning","Good")),IF($P439="","Critical",IF($P439="partial","Warning",IF($P439="ready","Good","Critical"))),IF($R439&lt;&gt;"","Critical","Warning"),IF($L439="","Critical",IF($N439="","Warning","Good")),IF($R439&lt;&gt;"","Critical","Warning"),IF($R439&lt;&gt;"","Critical","Warning"),IF($Q439="Y","Good","Critical")))</f>
        <v/>
      </c>
      <c r="AI439" s="65" t="str">
        <f aca="false">IF($Y439="","",CHOOSE($Y439,IF(OR(TRIM($F439)="",ISNUMBER(SEARCH("not named",$F439))),"Name a sponsor accountable for the value",""),IF($O439&lt;&gt;"Y","State the success metric and the stop condition",IF($Q439&lt;&gt;"Y","Set the baseline the benefit will be measured against","")),IF($P439="","Assess data readiness and regulatory impact",IF($P439="partial","Close the known data gaps",IF($P439="ready","","Data is not available; reshape or park"))),IF($R439&lt;&gt;"",IF(OR(ISNUMBER(SEARCH("mrm",$R439)),ISNUMBER(SEARCH("model",$R439)),ISNUMBER(SEARCH("risk",$R439)),ISNUMBER(SEARCH("legal",$R439)),ISNUMBER(SEARCH("complian",$R439))),"Awaiting ","Held at the design gate: ")&amp;$R439,"Map the governance framework for its tier"),IF($L439="","Size the annual benefit",IF($N439="","Score it so it can be ranked against capacity","")),IF($R439&lt;&gt;"","Build held: "&amp;$R439,"In build, not yet through test"),IF($R439&lt;&gt;"","Not ready to scale: "&amp;$R439,"Monitoring and third-party review not yet signed off"),IF($Q439="Y","","Live without a measured baseline to judge it against")))</f>
        <v/>
      </c>
      <c r="AJ439" s="65" t="str">
        <f aca="false">IF($Y439="","",INDEX(StageForum,$Y439))</f>
        <v/>
      </c>
      <c r="AK439" s="65" t="str">
        <f aca="false">IF($Y439="","",IF(OR($X439="Delivery",$X439="Value"),"Committed",IF($N439&lt;&gt;"","Candidate","")))</f>
        <v/>
      </c>
      <c r="AL439" s="65" t="str">
        <f aca="false">IF($AK439&lt;&gt;"Candidate","",COUNTIFS($AK$2:$AK$501,"Candidate",$N$2:$N$501,"&gt;"&amp;$N439)+COUNTIFS($AK$2:$AK$501,"Candidate",$N$2:$N$501,$N439,$A$2:$A$501,"&lt;"&amp;$A439)+1)</f>
        <v/>
      </c>
      <c r="AM439" s="65" t="str">
        <f aca="false">IF($AL439="","",SUMIFS($M$2:$M$501,$AK$2:$AK$501,"Candidate",$AL$2:$AL$501,"&lt;="&amp;$AL439))</f>
        <v/>
      </c>
      <c r="AN439" s="65" t="str">
        <f aca="false">IF($AL439="","",IF($AM439&lt;=CapacityOpen,"Fits","Below line"))</f>
        <v/>
      </c>
      <c r="AO439" s="65" t="str">
        <f aca="false">IF($A439="","",IF($X439="Closed","",IF($X439="Unmapped","Warning",IF(OR($AB439="Overdue",$V439="Y",$AH439="Critical"),"Critical",IF(OR($AB439="At risk",$AC439="Stale",$AG439="Over"),"Warning","")))))</f>
        <v/>
      </c>
      <c r="AP439" s="65" t="str">
        <f aca="false">IF($AO439="","",IF($AO439="Critical",3000,2000)-IF($Z439="",0,$Z439)+ROW()/100000)</f>
        <v/>
      </c>
      <c r="AQ439" s="65" t="str">
        <f aca="false">IF($AO439="","",IF($X439="Unmapped","Status '"&amp;$C439&amp;"' is not in the Config map",IF($V439="Y","Flagged in Jira",IF($AB439="Overdue",-$Z439&amp;" days past its "&amp;$X439&amp;" target",IF($AH439="Critical",$AI439,IF($AB439="At risk","Target in "&amp;$Z439&amp;" days",IF($AC439="Stale","No update in "&amp;$AA439&amp;" days","Past its "&amp;$AE439&amp;"-day tier window")))))))</f>
        <v/>
      </c>
      <c r="AR439" s="65" t="str">
        <f aca="false">IF($AO439="","","draft Jira update for "&amp;$A439)</f>
        <v/>
      </c>
      <c r="AS439" s="65" t="str">
        <f aca="false">IF($A439="","",HYPERLINK(JiraSite&amp;"/browse/"&amp;$A439,"open"))</f>
        <v/>
      </c>
      <c r="AT439" s="65" t="str">
        <f aca="false">IF($Y439="","",$Y439*1000+ROW())</f>
        <v/>
      </c>
      <c r="AU439" s="65" t="str">
        <f aca="false">IF(AND($A439&lt;&gt;"",$G439&gt;=WeekStart),$G439+ROW()/100000,"")</f>
        <v/>
      </c>
      <c r="AV439" s="65" t="str">
        <f aca="false">IF($A439="","",IF(OR(AND($S439&lt;&gt;"",$S439&gt;=WeekStart),AND($U439&lt;&gt;"",$U439&gt;=WeekStart)),MAX($S439,$U439)+ROW()/100000,""))</f>
        <v/>
      </c>
      <c r="AW439" s="65" t="str">
        <f aca="false">IF($AV439="","",IF($T439&lt;&gt;"",$T439,IF($X439="Closed","Closed","Accepted to "&amp;$X439)))</f>
        <v/>
      </c>
      <c r="AX439" s="65" t="str">
        <f aca="false">IF(AND($Y439&lt;&gt;"",$R439&lt;&gt;""),$AF439+ROW()/100000,"")</f>
        <v/>
      </c>
      <c r="AY439" s="65" t="str">
        <f aca="false">IF(AND($Y439&lt;&gt;"",OR($AB439="Overdue",AND($AH439="Critical",$R439&lt;&gt;""))),$AF439+ROW()/100000,"")</f>
        <v/>
      </c>
      <c r="AZ439" s="65" t="str">
        <f aca="false">IF($AH439="Critical",$AF439+ROW()/100000,"")</f>
        <v/>
      </c>
    </row>
    <row r="440" customFormat="false" ht="15" hidden="false" customHeight="false" outlineLevel="0" collapsed="false">
      <c r="A440" s="28"/>
      <c r="B440" s="28"/>
      <c r="C440" s="28"/>
      <c r="D440" s="28"/>
      <c r="E440" s="28"/>
      <c r="F440" s="28"/>
      <c r="G440" s="63"/>
      <c r="H440" s="63"/>
      <c r="I440" s="63"/>
      <c r="J440" s="28"/>
      <c r="K440" s="28"/>
      <c r="L440" s="28"/>
      <c r="M440" s="28"/>
      <c r="N440" s="28"/>
      <c r="O440" s="64"/>
      <c r="P440" s="64"/>
      <c r="Q440" s="64"/>
      <c r="R440" s="28"/>
      <c r="S440" s="63"/>
      <c r="T440" s="64"/>
      <c r="U440" s="63"/>
      <c r="V440" s="64"/>
      <c r="W440" s="28"/>
      <c r="X440" s="65" t="str">
        <f aca="false">IF($A440="","",IF(OR($T440&lt;&gt;"",$U440&lt;&gt;""),"Closed",IFERROR(INDEX(MapStage,MATCH($C440,MapStatus,0)),"Unmapped")))</f>
        <v/>
      </c>
      <c r="Y440" s="65" t="str">
        <f aca="false">IF(OR($X440="",$X440="Closed",$X440="Unmapped"),"",MATCH($X440,StageName,0))</f>
        <v/>
      </c>
      <c r="Z440" s="65" t="str">
        <f aca="false">IF(OR($Y440="",$I440=""),"",$I440-AsOf)</f>
        <v/>
      </c>
      <c r="AA440" s="65" t="str">
        <f aca="false">IF($A440="","",AsOf-$H440)</f>
        <v/>
      </c>
      <c r="AB440" s="65" t="str">
        <f aca="false">IF($A440="","",IF($X440="Closed","Closed",IF($X440="Unmapped","Unmapped",IF($I440="","No target",IF($Z440&lt;0,"Overdue",IF($Z440&lt;=INDEX(StageWindow,$Y440),"At risk","On track"))))))</f>
        <v/>
      </c>
      <c r="AC440" s="65" t="str">
        <f aca="false">IF($Y440="","",IF($AA440&gt;2*INDEX(StageStale,$Y440),"Stale",IF($AA440&gt;INDEX(StageStale,$Y440),"Aging","Fresh")))</f>
        <v/>
      </c>
      <c r="AD440" s="65" t="str">
        <f aca="false">IF($A440="","",IF(OR(ISNUMBER(SEARCH("Reg report",$J440)),ISNUMBER(SEARCH("No human review",$J440)),COUNTIF(TierFuncs,$D440)&gt;0),"High",IF(OR(TRIM($J440)&lt;&gt;"",ISNUMBER(SEARCH("revenue",$K440))),"Medium","Low")))</f>
        <v/>
      </c>
      <c r="AE440" s="65" t="str">
        <f aca="false">IF($A440="","",INDEX(TierDays,MATCH($AD440,TierName,0)))</f>
        <v/>
      </c>
      <c r="AF440" s="65" t="str">
        <f aca="false">IF($A440="","",AsOf-$G440)</f>
        <v/>
      </c>
      <c r="AG440" s="65" t="str">
        <f aca="false">IF($Y440="","",IF($Y440&lt;=5,IF($AF440&gt;$AE440,"Over","Inside"),"Past approval"))</f>
        <v/>
      </c>
      <c r="AH440" s="65" t="str">
        <f aca="false">IF($Y440="","",CHOOSE($Y440,IF(OR(TRIM($F440)="",ISNUMBER(SEARCH("not named",$F440))),"Critical","Good"),IF($O440&lt;&gt;"Y","Critical",IF($Q440&lt;&gt;"Y","Warning","Good")),IF($P440="","Critical",IF($P440="partial","Warning",IF($P440="ready","Good","Critical"))),IF($R440&lt;&gt;"","Critical","Warning"),IF($L440="","Critical",IF($N440="","Warning","Good")),IF($R440&lt;&gt;"","Critical","Warning"),IF($R440&lt;&gt;"","Critical","Warning"),IF($Q440="Y","Good","Critical")))</f>
        <v/>
      </c>
      <c r="AI440" s="65" t="str">
        <f aca="false">IF($Y440="","",CHOOSE($Y440,IF(OR(TRIM($F440)="",ISNUMBER(SEARCH("not named",$F440))),"Name a sponsor accountable for the value",""),IF($O440&lt;&gt;"Y","State the success metric and the stop condition",IF($Q440&lt;&gt;"Y","Set the baseline the benefit will be measured against","")),IF($P440="","Assess data readiness and regulatory impact",IF($P440="partial","Close the known data gaps",IF($P440="ready","","Data is not available; reshape or park"))),IF($R440&lt;&gt;"",IF(OR(ISNUMBER(SEARCH("mrm",$R440)),ISNUMBER(SEARCH("model",$R440)),ISNUMBER(SEARCH("risk",$R440)),ISNUMBER(SEARCH("legal",$R440)),ISNUMBER(SEARCH("complian",$R440))),"Awaiting ","Held at the design gate: ")&amp;$R440,"Map the governance framework for its tier"),IF($L440="","Size the annual benefit",IF($N440="","Score it so it can be ranked against capacity","")),IF($R440&lt;&gt;"","Build held: "&amp;$R440,"In build, not yet through test"),IF($R440&lt;&gt;"","Not ready to scale: "&amp;$R440,"Monitoring and third-party review not yet signed off"),IF($Q440="Y","","Live without a measured baseline to judge it against")))</f>
        <v/>
      </c>
      <c r="AJ440" s="65" t="str">
        <f aca="false">IF($Y440="","",INDEX(StageForum,$Y440))</f>
        <v/>
      </c>
      <c r="AK440" s="65" t="str">
        <f aca="false">IF($Y440="","",IF(OR($X440="Delivery",$X440="Value"),"Committed",IF($N440&lt;&gt;"","Candidate","")))</f>
        <v/>
      </c>
      <c r="AL440" s="65" t="str">
        <f aca="false">IF($AK440&lt;&gt;"Candidate","",COUNTIFS($AK$2:$AK$501,"Candidate",$N$2:$N$501,"&gt;"&amp;$N440)+COUNTIFS($AK$2:$AK$501,"Candidate",$N$2:$N$501,$N440,$A$2:$A$501,"&lt;"&amp;$A440)+1)</f>
        <v/>
      </c>
      <c r="AM440" s="65" t="str">
        <f aca="false">IF($AL440="","",SUMIFS($M$2:$M$501,$AK$2:$AK$501,"Candidate",$AL$2:$AL$501,"&lt;="&amp;$AL440))</f>
        <v/>
      </c>
      <c r="AN440" s="65" t="str">
        <f aca="false">IF($AL440="","",IF($AM440&lt;=CapacityOpen,"Fits","Below line"))</f>
        <v/>
      </c>
      <c r="AO440" s="65" t="str">
        <f aca="false">IF($A440="","",IF($X440="Closed","",IF($X440="Unmapped","Warning",IF(OR($AB440="Overdue",$V440="Y",$AH440="Critical"),"Critical",IF(OR($AB440="At risk",$AC440="Stale",$AG440="Over"),"Warning","")))))</f>
        <v/>
      </c>
      <c r="AP440" s="65" t="str">
        <f aca="false">IF($AO440="","",IF($AO440="Critical",3000,2000)-IF($Z440="",0,$Z440)+ROW()/100000)</f>
        <v/>
      </c>
      <c r="AQ440" s="65" t="str">
        <f aca="false">IF($AO440="","",IF($X440="Unmapped","Status '"&amp;$C440&amp;"' is not in the Config map",IF($V440="Y","Flagged in Jira",IF($AB440="Overdue",-$Z440&amp;" days past its "&amp;$X440&amp;" target",IF($AH440="Critical",$AI440,IF($AB440="At risk","Target in "&amp;$Z440&amp;" days",IF($AC440="Stale","No update in "&amp;$AA440&amp;" days","Past its "&amp;$AE440&amp;"-day tier window")))))))</f>
        <v/>
      </c>
      <c r="AR440" s="65" t="str">
        <f aca="false">IF($AO440="","","draft Jira update for "&amp;$A440)</f>
        <v/>
      </c>
      <c r="AS440" s="65" t="str">
        <f aca="false">IF($A440="","",HYPERLINK(JiraSite&amp;"/browse/"&amp;$A440,"open"))</f>
        <v/>
      </c>
      <c r="AT440" s="65" t="str">
        <f aca="false">IF($Y440="","",$Y440*1000+ROW())</f>
        <v/>
      </c>
      <c r="AU440" s="65" t="str">
        <f aca="false">IF(AND($A440&lt;&gt;"",$G440&gt;=WeekStart),$G440+ROW()/100000,"")</f>
        <v/>
      </c>
      <c r="AV440" s="65" t="str">
        <f aca="false">IF($A440="","",IF(OR(AND($S440&lt;&gt;"",$S440&gt;=WeekStart),AND($U440&lt;&gt;"",$U440&gt;=WeekStart)),MAX($S440,$U440)+ROW()/100000,""))</f>
        <v/>
      </c>
      <c r="AW440" s="65" t="str">
        <f aca="false">IF($AV440="","",IF($T440&lt;&gt;"",$T440,IF($X440="Closed","Closed","Accepted to "&amp;$X440)))</f>
        <v/>
      </c>
      <c r="AX440" s="65" t="str">
        <f aca="false">IF(AND($Y440&lt;&gt;"",$R440&lt;&gt;""),$AF440+ROW()/100000,"")</f>
        <v/>
      </c>
      <c r="AY440" s="65" t="str">
        <f aca="false">IF(AND($Y440&lt;&gt;"",OR($AB440="Overdue",AND($AH440="Critical",$R440&lt;&gt;""))),$AF440+ROW()/100000,"")</f>
        <v/>
      </c>
      <c r="AZ440" s="65" t="str">
        <f aca="false">IF($AH440="Critical",$AF440+ROW()/100000,"")</f>
        <v/>
      </c>
    </row>
    <row r="441" customFormat="false" ht="15" hidden="false" customHeight="false" outlineLevel="0" collapsed="false">
      <c r="A441" s="28"/>
      <c r="B441" s="28"/>
      <c r="C441" s="28"/>
      <c r="D441" s="28"/>
      <c r="E441" s="28"/>
      <c r="F441" s="28"/>
      <c r="G441" s="63"/>
      <c r="H441" s="63"/>
      <c r="I441" s="63"/>
      <c r="J441" s="28"/>
      <c r="K441" s="28"/>
      <c r="L441" s="28"/>
      <c r="M441" s="28"/>
      <c r="N441" s="28"/>
      <c r="O441" s="64"/>
      <c r="P441" s="64"/>
      <c r="Q441" s="64"/>
      <c r="R441" s="28"/>
      <c r="S441" s="63"/>
      <c r="T441" s="64"/>
      <c r="U441" s="63"/>
      <c r="V441" s="64"/>
      <c r="W441" s="28"/>
      <c r="X441" s="65" t="str">
        <f aca="false">IF($A441="","",IF(OR($T441&lt;&gt;"",$U441&lt;&gt;""),"Closed",IFERROR(INDEX(MapStage,MATCH($C441,MapStatus,0)),"Unmapped")))</f>
        <v/>
      </c>
      <c r="Y441" s="65" t="str">
        <f aca="false">IF(OR($X441="",$X441="Closed",$X441="Unmapped"),"",MATCH($X441,StageName,0))</f>
        <v/>
      </c>
      <c r="Z441" s="65" t="str">
        <f aca="false">IF(OR($Y441="",$I441=""),"",$I441-AsOf)</f>
        <v/>
      </c>
      <c r="AA441" s="65" t="str">
        <f aca="false">IF($A441="","",AsOf-$H441)</f>
        <v/>
      </c>
      <c r="AB441" s="65" t="str">
        <f aca="false">IF($A441="","",IF($X441="Closed","Closed",IF($X441="Unmapped","Unmapped",IF($I441="","No target",IF($Z441&lt;0,"Overdue",IF($Z441&lt;=INDEX(StageWindow,$Y441),"At risk","On track"))))))</f>
        <v/>
      </c>
      <c r="AC441" s="65" t="str">
        <f aca="false">IF($Y441="","",IF($AA441&gt;2*INDEX(StageStale,$Y441),"Stale",IF($AA441&gt;INDEX(StageStale,$Y441),"Aging","Fresh")))</f>
        <v/>
      </c>
      <c r="AD441" s="65" t="str">
        <f aca="false">IF($A441="","",IF(OR(ISNUMBER(SEARCH("Reg report",$J441)),ISNUMBER(SEARCH("No human review",$J441)),COUNTIF(TierFuncs,$D441)&gt;0),"High",IF(OR(TRIM($J441)&lt;&gt;"",ISNUMBER(SEARCH("revenue",$K441))),"Medium","Low")))</f>
        <v/>
      </c>
      <c r="AE441" s="65" t="str">
        <f aca="false">IF($A441="","",INDEX(TierDays,MATCH($AD441,TierName,0)))</f>
        <v/>
      </c>
      <c r="AF441" s="65" t="str">
        <f aca="false">IF($A441="","",AsOf-$G441)</f>
        <v/>
      </c>
      <c r="AG441" s="65" t="str">
        <f aca="false">IF($Y441="","",IF($Y441&lt;=5,IF($AF441&gt;$AE441,"Over","Inside"),"Past approval"))</f>
        <v/>
      </c>
      <c r="AH441" s="65" t="str">
        <f aca="false">IF($Y441="","",CHOOSE($Y441,IF(OR(TRIM($F441)="",ISNUMBER(SEARCH("not named",$F441))),"Critical","Good"),IF($O441&lt;&gt;"Y","Critical",IF($Q441&lt;&gt;"Y","Warning","Good")),IF($P441="","Critical",IF($P441="partial","Warning",IF($P441="ready","Good","Critical"))),IF($R441&lt;&gt;"","Critical","Warning"),IF($L441="","Critical",IF($N441="","Warning","Good")),IF($R441&lt;&gt;"","Critical","Warning"),IF($R441&lt;&gt;"","Critical","Warning"),IF($Q441="Y","Good","Critical")))</f>
        <v/>
      </c>
      <c r="AI441" s="65" t="str">
        <f aca="false">IF($Y441="","",CHOOSE($Y441,IF(OR(TRIM($F441)="",ISNUMBER(SEARCH("not named",$F441))),"Name a sponsor accountable for the value",""),IF($O441&lt;&gt;"Y","State the success metric and the stop condition",IF($Q441&lt;&gt;"Y","Set the baseline the benefit will be measured against","")),IF($P441="","Assess data readiness and regulatory impact",IF($P441="partial","Close the known data gaps",IF($P441="ready","","Data is not available; reshape or park"))),IF($R441&lt;&gt;"",IF(OR(ISNUMBER(SEARCH("mrm",$R441)),ISNUMBER(SEARCH("model",$R441)),ISNUMBER(SEARCH("risk",$R441)),ISNUMBER(SEARCH("legal",$R441)),ISNUMBER(SEARCH("complian",$R441))),"Awaiting ","Held at the design gate: ")&amp;$R441,"Map the governance framework for its tier"),IF($L441="","Size the annual benefit",IF($N441="","Score it so it can be ranked against capacity","")),IF($R441&lt;&gt;"","Build held: "&amp;$R441,"In build, not yet through test"),IF($R441&lt;&gt;"","Not ready to scale: "&amp;$R441,"Monitoring and third-party review not yet signed off"),IF($Q441="Y","","Live without a measured baseline to judge it against")))</f>
        <v/>
      </c>
      <c r="AJ441" s="65" t="str">
        <f aca="false">IF($Y441="","",INDEX(StageForum,$Y441))</f>
        <v/>
      </c>
      <c r="AK441" s="65" t="str">
        <f aca="false">IF($Y441="","",IF(OR($X441="Delivery",$X441="Value"),"Committed",IF($N441&lt;&gt;"","Candidate","")))</f>
        <v/>
      </c>
      <c r="AL441" s="65" t="str">
        <f aca="false">IF($AK441&lt;&gt;"Candidate","",COUNTIFS($AK$2:$AK$501,"Candidate",$N$2:$N$501,"&gt;"&amp;$N441)+COUNTIFS($AK$2:$AK$501,"Candidate",$N$2:$N$501,$N441,$A$2:$A$501,"&lt;"&amp;$A441)+1)</f>
        <v/>
      </c>
      <c r="AM441" s="65" t="str">
        <f aca="false">IF($AL441="","",SUMIFS($M$2:$M$501,$AK$2:$AK$501,"Candidate",$AL$2:$AL$501,"&lt;="&amp;$AL441))</f>
        <v/>
      </c>
      <c r="AN441" s="65" t="str">
        <f aca="false">IF($AL441="","",IF($AM441&lt;=CapacityOpen,"Fits","Below line"))</f>
        <v/>
      </c>
      <c r="AO441" s="65" t="str">
        <f aca="false">IF($A441="","",IF($X441="Closed","",IF($X441="Unmapped","Warning",IF(OR($AB441="Overdue",$V441="Y",$AH441="Critical"),"Critical",IF(OR($AB441="At risk",$AC441="Stale",$AG441="Over"),"Warning","")))))</f>
        <v/>
      </c>
      <c r="AP441" s="65" t="str">
        <f aca="false">IF($AO441="","",IF($AO441="Critical",3000,2000)-IF($Z441="",0,$Z441)+ROW()/100000)</f>
        <v/>
      </c>
      <c r="AQ441" s="65" t="str">
        <f aca="false">IF($AO441="","",IF($X441="Unmapped","Status '"&amp;$C441&amp;"' is not in the Config map",IF($V441="Y","Flagged in Jira",IF($AB441="Overdue",-$Z441&amp;" days past its "&amp;$X441&amp;" target",IF($AH441="Critical",$AI441,IF($AB441="At risk","Target in "&amp;$Z441&amp;" days",IF($AC441="Stale","No update in "&amp;$AA441&amp;" days","Past its "&amp;$AE441&amp;"-day tier window")))))))</f>
        <v/>
      </c>
      <c r="AR441" s="65" t="str">
        <f aca="false">IF($AO441="","","draft Jira update for "&amp;$A441)</f>
        <v/>
      </c>
      <c r="AS441" s="65" t="str">
        <f aca="false">IF($A441="","",HYPERLINK(JiraSite&amp;"/browse/"&amp;$A441,"open"))</f>
        <v/>
      </c>
      <c r="AT441" s="65" t="str">
        <f aca="false">IF($Y441="","",$Y441*1000+ROW())</f>
        <v/>
      </c>
      <c r="AU441" s="65" t="str">
        <f aca="false">IF(AND($A441&lt;&gt;"",$G441&gt;=WeekStart),$G441+ROW()/100000,"")</f>
        <v/>
      </c>
      <c r="AV441" s="65" t="str">
        <f aca="false">IF($A441="","",IF(OR(AND($S441&lt;&gt;"",$S441&gt;=WeekStart),AND($U441&lt;&gt;"",$U441&gt;=WeekStart)),MAX($S441,$U441)+ROW()/100000,""))</f>
        <v/>
      </c>
      <c r="AW441" s="65" t="str">
        <f aca="false">IF($AV441="","",IF($T441&lt;&gt;"",$T441,IF($X441="Closed","Closed","Accepted to "&amp;$X441)))</f>
        <v/>
      </c>
      <c r="AX441" s="65" t="str">
        <f aca="false">IF(AND($Y441&lt;&gt;"",$R441&lt;&gt;""),$AF441+ROW()/100000,"")</f>
        <v/>
      </c>
      <c r="AY441" s="65" t="str">
        <f aca="false">IF(AND($Y441&lt;&gt;"",OR($AB441="Overdue",AND($AH441="Critical",$R441&lt;&gt;""))),$AF441+ROW()/100000,"")</f>
        <v/>
      </c>
      <c r="AZ441" s="65" t="str">
        <f aca="false">IF($AH441="Critical",$AF441+ROW()/100000,"")</f>
        <v/>
      </c>
    </row>
    <row r="442" customFormat="false" ht="15" hidden="false" customHeight="false" outlineLevel="0" collapsed="false">
      <c r="A442" s="28"/>
      <c r="B442" s="28"/>
      <c r="C442" s="28"/>
      <c r="D442" s="28"/>
      <c r="E442" s="28"/>
      <c r="F442" s="28"/>
      <c r="G442" s="63"/>
      <c r="H442" s="63"/>
      <c r="I442" s="63"/>
      <c r="J442" s="28"/>
      <c r="K442" s="28"/>
      <c r="L442" s="28"/>
      <c r="M442" s="28"/>
      <c r="N442" s="28"/>
      <c r="O442" s="64"/>
      <c r="P442" s="64"/>
      <c r="Q442" s="64"/>
      <c r="R442" s="28"/>
      <c r="S442" s="63"/>
      <c r="T442" s="64"/>
      <c r="U442" s="63"/>
      <c r="V442" s="64"/>
      <c r="W442" s="28"/>
      <c r="X442" s="65" t="str">
        <f aca="false">IF($A442="","",IF(OR($T442&lt;&gt;"",$U442&lt;&gt;""),"Closed",IFERROR(INDEX(MapStage,MATCH($C442,MapStatus,0)),"Unmapped")))</f>
        <v/>
      </c>
      <c r="Y442" s="65" t="str">
        <f aca="false">IF(OR($X442="",$X442="Closed",$X442="Unmapped"),"",MATCH($X442,StageName,0))</f>
        <v/>
      </c>
      <c r="Z442" s="65" t="str">
        <f aca="false">IF(OR($Y442="",$I442=""),"",$I442-AsOf)</f>
        <v/>
      </c>
      <c r="AA442" s="65" t="str">
        <f aca="false">IF($A442="","",AsOf-$H442)</f>
        <v/>
      </c>
      <c r="AB442" s="65" t="str">
        <f aca="false">IF($A442="","",IF($X442="Closed","Closed",IF($X442="Unmapped","Unmapped",IF($I442="","No target",IF($Z442&lt;0,"Overdue",IF($Z442&lt;=INDEX(StageWindow,$Y442),"At risk","On track"))))))</f>
        <v/>
      </c>
      <c r="AC442" s="65" t="str">
        <f aca="false">IF($Y442="","",IF($AA442&gt;2*INDEX(StageStale,$Y442),"Stale",IF($AA442&gt;INDEX(StageStale,$Y442),"Aging","Fresh")))</f>
        <v/>
      </c>
      <c r="AD442" s="65" t="str">
        <f aca="false">IF($A442="","",IF(OR(ISNUMBER(SEARCH("Reg report",$J442)),ISNUMBER(SEARCH("No human review",$J442)),COUNTIF(TierFuncs,$D442)&gt;0),"High",IF(OR(TRIM($J442)&lt;&gt;"",ISNUMBER(SEARCH("revenue",$K442))),"Medium","Low")))</f>
        <v/>
      </c>
      <c r="AE442" s="65" t="str">
        <f aca="false">IF($A442="","",INDEX(TierDays,MATCH($AD442,TierName,0)))</f>
        <v/>
      </c>
      <c r="AF442" s="65" t="str">
        <f aca="false">IF($A442="","",AsOf-$G442)</f>
        <v/>
      </c>
      <c r="AG442" s="65" t="str">
        <f aca="false">IF($Y442="","",IF($Y442&lt;=5,IF($AF442&gt;$AE442,"Over","Inside"),"Past approval"))</f>
        <v/>
      </c>
      <c r="AH442" s="65" t="str">
        <f aca="false">IF($Y442="","",CHOOSE($Y442,IF(OR(TRIM($F442)="",ISNUMBER(SEARCH("not named",$F442))),"Critical","Good"),IF($O442&lt;&gt;"Y","Critical",IF($Q442&lt;&gt;"Y","Warning","Good")),IF($P442="","Critical",IF($P442="partial","Warning",IF($P442="ready","Good","Critical"))),IF($R442&lt;&gt;"","Critical","Warning"),IF($L442="","Critical",IF($N442="","Warning","Good")),IF($R442&lt;&gt;"","Critical","Warning"),IF($R442&lt;&gt;"","Critical","Warning"),IF($Q442="Y","Good","Critical")))</f>
        <v/>
      </c>
      <c r="AI442" s="65" t="str">
        <f aca="false">IF($Y442="","",CHOOSE($Y442,IF(OR(TRIM($F442)="",ISNUMBER(SEARCH("not named",$F442))),"Name a sponsor accountable for the value",""),IF($O442&lt;&gt;"Y","State the success metric and the stop condition",IF($Q442&lt;&gt;"Y","Set the baseline the benefit will be measured against","")),IF($P442="","Assess data readiness and regulatory impact",IF($P442="partial","Close the known data gaps",IF($P442="ready","","Data is not available; reshape or park"))),IF($R442&lt;&gt;"",IF(OR(ISNUMBER(SEARCH("mrm",$R442)),ISNUMBER(SEARCH("model",$R442)),ISNUMBER(SEARCH("risk",$R442)),ISNUMBER(SEARCH("legal",$R442)),ISNUMBER(SEARCH("complian",$R442))),"Awaiting ","Held at the design gate: ")&amp;$R442,"Map the governance framework for its tier"),IF($L442="","Size the annual benefit",IF($N442="","Score it so it can be ranked against capacity","")),IF($R442&lt;&gt;"","Build held: "&amp;$R442,"In build, not yet through test"),IF($R442&lt;&gt;"","Not ready to scale: "&amp;$R442,"Monitoring and third-party review not yet signed off"),IF($Q442="Y","","Live without a measured baseline to judge it against")))</f>
        <v/>
      </c>
      <c r="AJ442" s="65" t="str">
        <f aca="false">IF($Y442="","",INDEX(StageForum,$Y442))</f>
        <v/>
      </c>
      <c r="AK442" s="65" t="str">
        <f aca="false">IF($Y442="","",IF(OR($X442="Delivery",$X442="Value"),"Committed",IF($N442&lt;&gt;"","Candidate","")))</f>
        <v/>
      </c>
      <c r="AL442" s="65" t="str">
        <f aca="false">IF($AK442&lt;&gt;"Candidate","",COUNTIFS($AK$2:$AK$501,"Candidate",$N$2:$N$501,"&gt;"&amp;$N442)+COUNTIFS($AK$2:$AK$501,"Candidate",$N$2:$N$501,$N442,$A$2:$A$501,"&lt;"&amp;$A442)+1)</f>
        <v/>
      </c>
      <c r="AM442" s="65" t="str">
        <f aca="false">IF($AL442="","",SUMIFS($M$2:$M$501,$AK$2:$AK$501,"Candidate",$AL$2:$AL$501,"&lt;="&amp;$AL442))</f>
        <v/>
      </c>
      <c r="AN442" s="65" t="str">
        <f aca="false">IF($AL442="","",IF($AM442&lt;=CapacityOpen,"Fits","Below line"))</f>
        <v/>
      </c>
      <c r="AO442" s="65" t="str">
        <f aca="false">IF($A442="","",IF($X442="Closed","",IF($X442="Unmapped","Warning",IF(OR($AB442="Overdue",$V442="Y",$AH442="Critical"),"Critical",IF(OR($AB442="At risk",$AC442="Stale",$AG442="Over"),"Warning","")))))</f>
        <v/>
      </c>
      <c r="AP442" s="65" t="str">
        <f aca="false">IF($AO442="","",IF($AO442="Critical",3000,2000)-IF($Z442="",0,$Z442)+ROW()/100000)</f>
        <v/>
      </c>
      <c r="AQ442" s="65" t="str">
        <f aca="false">IF($AO442="","",IF($X442="Unmapped","Status '"&amp;$C442&amp;"' is not in the Config map",IF($V442="Y","Flagged in Jira",IF($AB442="Overdue",-$Z442&amp;" days past its "&amp;$X442&amp;" target",IF($AH442="Critical",$AI442,IF($AB442="At risk","Target in "&amp;$Z442&amp;" days",IF($AC442="Stale","No update in "&amp;$AA442&amp;" days","Past its "&amp;$AE442&amp;"-day tier window")))))))</f>
        <v/>
      </c>
      <c r="AR442" s="65" t="str">
        <f aca="false">IF($AO442="","","draft Jira update for "&amp;$A442)</f>
        <v/>
      </c>
      <c r="AS442" s="65" t="str">
        <f aca="false">IF($A442="","",HYPERLINK(JiraSite&amp;"/browse/"&amp;$A442,"open"))</f>
        <v/>
      </c>
      <c r="AT442" s="65" t="str">
        <f aca="false">IF($Y442="","",$Y442*1000+ROW())</f>
        <v/>
      </c>
      <c r="AU442" s="65" t="str">
        <f aca="false">IF(AND($A442&lt;&gt;"",$G442&gt;=WeekStart),$G442+ROW()/100000,"")</f>
        <v/>
      </c>
      <c r="AV442" s="65" t="str">
        <f aca="false">IF($A442="","",IF(OR(AND($S442&lt;&gt;"",$S442&gt;=WeekStart),AND($U442&lt;&gt;"",$U442&gt;=WeekStart)),MAX($S442,$U442)+ROW()/100000,""))</f>
        <v/>
      </c>
      <c r="AW442" s="65" t="str">
        <f aca="false">IF($AV442="","",IF($T442&lt;&gt;"",$T442,IF($X442="Closed","Closed","Accepted to "&amp;$X442)))</f>
        <v/>
      </c>
      <c r="AX442" s="65" t="str">
        <f aca="false">IF(AND($Y442&lt;&gt;"",$R442&lt;&gt;""),$AF442+ROW()/100000,"")</f>
        <v/>
      </c>
      <c r="AY442" s="65" t="str">
        <f aca="false">IF(AND($Y442&lt;&gt;"",OR($AB442="Overdue",AND($AH442="Critical",$R442&lt;&gt;""))),$AF442+ROW()/100000,"")</f>
        <v/>
      </c>
      <c r="AZ442" s="65" t="str">
        <f aca="false">IF($AH442="Critical",$AF442+ROW()/100000,"")</f>
        <v/>
      </c>
    </row>
    <row r="443" customFormat="false" ht="15" hidden="false" customHeight="false" outlineLevel="0" collapsed="false">
      <c r="A443" s="28"/>
      <c r="B443" s="28"/>
      <c r="C443" s="28"/>
      <c r="D443" s="28"/>
      <c r="E443" s="28"/>
      <c r="F443" s="28"/>
      <c r="G443" s="63"/>
      <c r="H443" s="63"/>
      <c r="I443" s="63"/>
      <c r="J443" s="28"/>
      <c r="K443" s="28"/>
      <c r="L443" s="28"/>
      <c r="M443" s="28"/>
      <c r="N443" s="28"/>
      <c r="O443" s="64"/>
      <c r="P443" s="64"/>
      <c r="Q443" s="64"/>
      <c r="R443" s="28"/>
      <c r="S443" s="63"/>
      <c r="T443" s="64"/>
      <c r="U443" s="63"/>
      <c r="V443" s="64"/>
      <c r="W443" s="28"/>
      <c r="X443" s="65" t="str">
        <f aca="false">IF($A443="","",IF(OR($T443&lt;&gt;"",$U443&lt;&gt;""),"Closed",IFERROR(INDEX(MapStage,MATCH($C443,MapStatus,0)),"Unmapped")))</f>
        <v/>
      </c>
      <c r="Y443" s="65" t="str">
        <f aca="false">IF(OR($X443="",$X443="Closed",$X443="Unmapped"),"",MATCH($X443,StageName,0))</f>
        <v/>
      </c>
      <c r="Z443" s="65" t="str">
        <f aca="false">IF(OR($Y443="",$I443=""),"",$I443-AsOf)</f>
        <v/>
      </c>
      <c r="AA443" s="65" t="str">
        <f aca="false">IF($A443="","",AsOf-$H443)</f>
        <v/>
      </c>
      <c r="AB443" s="65" t="str">
        <f aca="false">IF($A443="","",IF($X443="Closed","Closed",IF($X443="Unmapped","Unmapped",IF($I443="","No target",IF($Z443&lt;0,"Overdue",IF($Z443&lt;=INDEX(StageWindow,$Y443),"At risk","On track"))))))</f>
        <v/>
      </c>
      <c r="AC443" s="65" t="str">
        <f aca="false">IF($Y443="","",IF($AA443&gt;2*INDEX(StageStale,$Y443),"Stale",IF($AA443&gt;INDEX(StageStale,$Y443),"Aging","Fresh")))</f>
        <v/>
      </c>
      <c r="AD443" s="65" t="str">
        <f aca="false">IF($A443="","",IF(OR(ISNUMBER(SEARCH("Reg report",$J443)),ISNUMBER(SEARCH("No human review",$J443)),COUNTIF(TierFuncs,$D443)&gt;0),"High",IF(OR(TRIM($J443)&lt;&gt;"",ISNUMBER(SEARCH("revenue",$K443))),"Medium","Low")))</f>
        <v/>
      </c>
      <c r="AE443" s="65" t="str">
        <f aca="false">IF($A443="","",INDEX(TierDays,MATCH($AD443,TierName,0)))</f>
        <v/>
      </c>
      <c r="AF443" s="65" t="str">
        <f aca="false">IF($A443="","",AsOf-$G443)</f>
        <v/>
      </c>
      <c r="AG443" s="65" t="str">
        <f aca="false">IF($Y443="","",IF($Y443&lt;=5,IF($AF443&gt;$AE443,"Over","Inside"),"Past approval"))</f>
        <v/>
      </c>
      <c r="AH443" s="65" t="str">
        <f aca="false">IF($Y443="","",CHOOSE($Y443,IF(OR(TRIM($F443)="",ISNUMBER(SEARCH("not named",$F443))),"Critical","Good"),IF($O443&lt;&gt;"Y","Critical",IF($Q443&lt;&gt;"Y","Warning","Good")),IF($P443="","Critical",IF($P443="partial","Warning",IF($P443="ready","Good","Critical"))),IF($R443&lt;&gt;"","Critical","Warning"),IF($L443="","Critical",IF($N443="","Warning","Good")),IF($R443&lt;&gt;"","Critical","Warning"),IF($R443&lt;&gt;"","Critical","Warning"),IF($Q443="Y","Good","Critical")))</f>
        <v/>
      </c>
      <c r="AI443" s="65" t="str">
        <f aca="false">IF($Y443="","",CHOOSE($Y443,IF(OR(TRIM($F443)="",ISNUMBER(SEARCH("not named",$F443))),"Name a sponsor accountable for the value",""),IF($O443&lt;&gt;"Y","State the success metric and the stop condition",IF($Q443&lt;&gt;"Y","Set the baseline the benefit will be measured against","")),IF($P443="","Assess data readiness and regulatory impact",IF($P443="partial","Close the known data gaps",IF($P443="ready","","Data is not available; reshape or park"))),IF($R443&lt;&gt;"",IF(OR(ISNUMBER(SEARCH("mrm",$R443)),ISNUMBER(SEARCH("model",$R443)),ISNUMBER(SEARCH("risk",$R443)),ISNUMBER(SEARCH("legal",$R443)),ISNUMBER(SEARCH("complian",$R443))),"Awaiting ","Held at the design gate: ")&amp;$R443,"Map the governance framework for its tier"),IF($L443="","Size the annual benefit",IF($N443="","Score it so it can be ranked against capacity","")),IF($R443&lt;&gt;"","Build held: "&amp;$R443,"In build, not yet through test"),IF($R443&lt;&gt;"","Not ready to scale: "&amp;$R443,"Monitoring and third-party review not yet signed off"),IF($Q443="Y","","Live without a measured baseline to judge it against")))</f>
        <v/>
      </c>
      <c r="AJ443" s="65" t="str">
        <f aca="false">IF($Y443="","",INDEX(StageForum,$Y443))</f>
        <v/>
      </c>
      <c r="AK443" s="65" t="str">
        <f aca="false">IF($Y443="","",IF(OR($X443="Delivery",$X443="Value"),"Committed",IF($N443&lt;&gt;"","Candidate","")))</f>
        <v/>
      </c>
      <c r="AL443" s="65" t="str">
        <f aca="false">IF($AK443&lt;&gt;"Candidate","",COUNTIFS($AK$2:$AK$501,"Candidate",$N$2:$N$501,"&gt;"&amp;$N443)+COUNTIFS($AK$2:$AK$501,"Candidate",$N$2:$N$501,$N443,$A$2:$A$501,"&lt;"&amp;$A443)+1)</f>
        <v/>
      </c>
      <c r="AM443" s="65" t="str">
        <f aca="false">IF($AL443="","",SUMIFS($M$2:$M$501,$AK$2:$AK$501,"Candidate",$AL$2:$AL$501,"&lt;="&amp;$AL443))</f>
        <v/>
      </c>
      <c r="AN443" s="65" t="str">
        <f aca="false">IF($AL443="","",IF($AM443&lt;=CapacityOpen,"Fits","Below line"))</f>
        <v/>
      </c>
      <c r="AO443" s="65" t="str">
        <f aca="false">IF($A443="","",IF($X443="Closed","",IF($X443="Unmapped","Warning",IF(OR($AB443="Overdue",$V443="Y",$AH443="Critical"),"Critical",IF(OR($AB443="At risk",$AC443="Stale",$AG443="Over"),"Warning","")))))</f>
        <v/>
      </c>
      <c r="AP443" s="65" t="str">
        <f aca="false">IF($AO443="","",IF($AO443="Critical",3000,2000)-IF($Z443="",0,$Z443)+ROW()/100000)</f>
        <v/>
      </c>
      <c r="AQ443" s="65" t="str">
        <f aca="false">IF($AO443="","",IF($X443="Unmapped","Status '"&amp;$C443&amp;"' is not in the Config map",IF($V443="Y","Flagged in Jira",IF($AB443="Overdue",-$Z443&amp;" days past its "&amp;$X443&amp;" target",IF($AH443="Critical",$AI443,IF($AB443="At risk","Target in "&amp;$Z443&amp;" days",IF($AC443="Stale","No update in "&amp;$AA443&amp;" days","Past its "&amp;$AE443&amp;"-day tier window")))))))</f>
        <v/>
      </c>
      <c r="AR443" s="65" t="str">
        <f aca="false">IF($AO443="","","draft Jira update for "&amp;$A443)</f>
        <v/>
      </c>
      <c r="AS443" s="65" t="str">
        <f aca="false">IF($A443="","",HYPERLINK(JiraSite&amp;"/browse/"&amp;$A443,"open"))</f>
        <v/>
      </c>
      <c r="AT443" s="65" t="str">
        <f aca="false">IF($Y443="","",$Y443*1000+ROW())</f>
        <v/>
      </c>
      <c r="AU443" s="65" t="str">
        <f aca="false">IF(AND($A443&lt;&gt;"",$G443&gt;=WeekStart),$G443+ROW()/100000,"")</f>
        <v/>
      </c>
      <c r="AV443" s="65" t="str">
        <f aca="false">IF($A443="","",IF(OR(AND($S443&lt;&gt;"",$S443&gt;=WeekStart),AND($U443&lt;&gt;"",$U443&gt;=WeekStart)),MAX($S443,$U443)+ROW()/100000,""))</f>
        <v/>
      </c>
      <c r="AW443" s="65" t="str">
        <f aca="false">IF($AV443="","",IF($T443&lt;&gt;"",$T443,IF($X443="Closed","Closed","Accepted to "&amp;$X443)))</f>
        <v/>
      </c>
      <c r="AX443" s="65" t="str">
        <f aca="false">IF(AND($Y443&lt;&gt;"",$R443&lt;&gt;""),$AF443+ROW()/100000,"")</f>
        <v/>
      </c>
      <c r="AY443" s="65" t="str">
        <f aca="false">IF(AND($Y443&lt;&gt;"",OR($AB443="Overdue",AND($AH443="Critical",$R443&lt;&gt;""))),$AF443+ROW()/100000,"")</f>
        <v/>
      </c>
      <c r="AZ443" s="65" t="str">
        <f aca="false">IF($AH443="Critical",$AF443+ROW()/100000,"")</f>
        <v/>
      </c>
    </row>
    <row r="444" customFormat="false" ht="15" hidden="false" customHeight="false" outlineLevel="0" collapsed="false">
      <c r="A444" s="28"/>
      <c r="B444" s="28"/>
      <c r="C444" s="28"/>
      <c r="D444" s="28"/>
      <c r="E444" s="28"/>
      <c r="F444" s="28"/>
      <c r="G444" s="63"/>
      <c r="H444" s="63"/>
      <c r="I444" s="63"/>
      <c r="J444" s="28"/>
      <c r="K444" s="28"/>
      <c r="L444" s="28"/>
      <c r="M444" s="28"/>
      <c r="N444" s="28"/>
      <c r="O444" s="64"/>
      <c r="P444" s="64"/>
      <c r="Q444" s="64"/>
      <c r="R444" s="28"/>
      <c r="S444" s="63"/>
      <c r="T444" s="64"/>
      <c r="U444" s="63"/>
      <c r="V444" s="64"/>
      <c r="W444" s="28"/>
      <c r="X444" s="65" t="str">
        <f aca="false">IF($A444="","",IF(OR($T444&lt;&gt;"",$U444&lt;&gt;""),"Closed",IFERROR(INDEX(MapStage,MATCH($C444,MapStatus,0)),"Unmapped")))</f>
        <v/>
      </c>
      <c r="Y444" s="65" t="str">
        <f aca="false">IF(OR($X444="",$X444="Closed",$X444="Unmapped"),"",MATCH($X444,StageName,0))</f>
        <v/>
      </c>
      <c r="Z444" s="65" t="str">
        <f aca="false">IF(OR($Y444="",$I444=""),"",$I444-AsOf)</f>
        <v/>
      </c>
      <c r="AA444" s="65" t="str">
        <f aca="false">IF($A444="","",AsOf-$H444)</f>
        <v/>
      </c>
      <c r="AB444" s="65" t="str">
        <f aca="false">IF($A444="","",IF($X444="Closed","Closed",IF($X444="Unmapped","Unmapped",IF($I444="","No target",IF($Z444&lt;0,"Overdue",IF($Z444&lt;=INDEX(StageWindow,$Y444),"At risk","On track"))))))</f>
        <v/>
      </c>
      <c r="AC444" s="65" t="str">
        <f aca="false">IF($Y444="","",IF($AA444&gt;2*INDEX(StageStale,$Y444),"Stale",IF($AA444&gt;INDEX(StageStale,$Y444),"Aging","Fresh")))</f>
        <v/>
      </c>
      <c r="AD444" s="65" t="str">
        <f aca="false">IF($A444="","",IF(OR(ISNUMBER(SEARCH("Reg report",$J444)),ISNUMBER(SEARCH("No human review",$J444)),COUNTIF(TierFuncs,$D444)&gt;0),"High",IF(OR(TRIM($J444)&lt;&gt;"",ISNUMBER(SEARCH("revenue",$K444))),"Medium","Low")))</f>
        <v/>
      </c>
      <c r="AE444" s="65" t="str">
        <f aca="false">IF($A444="","",INDEX(TierDays,MATCH($AD444,TierName,0)))</f>
        <v/>
      </c>
      <c r="AF444" s="65" t="str">
        <f aca="false">IF($A444="","",AsOf-$G444)</f>
        <v/>
      </c>
      <c r="AG444" s="65" t="str">
        <f aca="false">IF($Y444="","",IF($Y444&lt;=5,IF($AF444&gt;$AE444,"Over","Inside"),"Past approval"))</f>
        <v/>
      </c>
      <c r="AH444" s="65" t="str">
        <f aca="false">IF($Y444="","",CHOOSE($Y444,IF(OR(TRIM($F444)="",ISNUMBER(SEARCH("not named",$F444))),"Critical","Good"),IF($O444&lt;&gt;"Y","Critical",IF($Q444&lt;&gt;"Y","Warning","Good")),IF($P444="","Critical",IF($P444="partial","Warning",IF($P444="ready","Good","Critical"))),IF($R444&lt;&gt;"","Critical","Warning"),IF($L444="","Critical",IF($N444="","Warning","Good")),IF($R444&lt;&gt;"","Critical","Warning"),IF($R444&lt;&gt;"","Critical","Warning"),IF($Q444="Y","Good","Critical")))</f>
        <v/>
      </c>
      <c r="AI444" s="65" t="str">
        <f aca="false">IF($Y444="","",CHOOSE($Y444,IF(OR(TRIM($F444)="",ISNUMBER(SEARCH("not named",$F444))),"Name a sponsor accountable for the value",""),IF($O444&lt;&gt;"Y","State the success metric and the stop condition",IF($Q444&lt;&gt;"Y","Set the baseline the benefit will be measured against","")),IF($P444="","Assess data readiness and regulatory impact",IF($P444="partial","Close the known data gaps",IF($P444="ready","","Data is not available; reshape or park"))),IF($R444&lt;&gt;"",IF(OR(ISNUMBER(SEARCH("mrm",$R444)),ISNUMBER(SEARCH("model",$R444)),ISNUMBER(SEARCH("risk",$R444)),ISNUMBER(SEARCH("legal",$R444)),ISNUMBER(SEARCH("complian",$R444))),"Awaiting ","Held at the design gate: ")&amp;$R444,"Map the governance framework for its tier"),IF($L444="","Size the annual benefit",IF($N444="","Score it so it can be ranked against capacity","")),IF($R444&lt;&gt;"","Build held: "&amp;$R444,"In build, not yet through test"),IF($R444&lt;&gt;"","Not ready to scale: "&amp;$R444,"Monitoring and third-party review not yet signed off"),IF($Q444="Y","","Live without a measured baseline to judge it against")))</f>
        <v/>
      </c>
      <c r="AJ444" s="65" t="str">
        <f aca="false">IF($Y444="","",INDEX(StageForum,$Y444))</f>
        <v/>
      </c>
      <c r="AK444" s="65" t="str">
        <f aca="false">IF($Y444="","",IF(OR($X444="Delivery",$X444="Value"),"Committed",IF($N444&lt;&gt;"","Candidate","")))</f>
        <v/>
      </c>
      <c r="AL444" s="65" t="str">
        <f aca="false">IF($AK444&lt;&gt;"Candidate","",COUNTIFS($AK$2:$AK$501,"Candidate",$N$2:$N$501,"&gt;"&amp;$N444)+COUNTIFS($AK$2:$AK$501,"Candidate",$N$2:$N$501,$N444,$A$2:$A$501,"&lt;"&amp;$A444)+1)</f>
        <v/>
      </c>
      <c r="AM444" s="65" t="str">
        <f aca="false">IF($AL444="","",SUMIFS($M$2:$M$501,$AK$2:$AK$501,"Candidate",$AL$2:$AL$501,"&lt;="&amp;$AL444))</f>
        <v/>
      </c>
      <c r="AN444" s="65" t="str">
        <f aca="false">IF($AL444="","",IF($AM444&lt;=CapacityOpen,"Fits","Below line"))</f>
        <v/>
      </c>
      <c r="AO444" s="65" t="str">
        <f aca="false">IF($A444="","",IF($X444="Closed","",IF($X444="Unmapped","Warning",IF(OR($AB444="Overdue",$V444="Y",$AH444="Critical"),"Critical",IF(OR($AB444="At risk",$AC444="Stale",$AG444="Over"),"Warning","")))))</f>
        <v/>
      </c>
      <c r="AP444" s="65" t="str">
        <f aca="false">IF($AO444="","",IF($AO444="Critical",3000,2000)-IF($Z444="",0,$Z444)+ROW()/100000)</f>
        <v/>
      </c>
      <c r="AQ444" s="65" t="str">
        <f aca="false">IF($AO444="","",IF($X444="Unmapped","Status '"&amp;$C444&amp;"' is not in the Config map",IF($V444="Y","Flagged in Jira",IF($AB444="Overdue",-$Z444&amp;" days past its "&amp;$X444&amp;" target",IF($AH444="Critical",$AI444,IF($AB444="At risk","Target in "&amp;$Z444&amp;" days",IF($AC444="Stale","No update in "&amp;$AA444&amp;" days","Past its "&amp;$AE444&amp;"-day tier window")))))))</f>
        <v/>
      </c>
      <c r="AR444" s="65" t="str">
        <f aca="false">IF($AO444="","","draft Jira update for "&amp;$A444)</f>
        <v/>
      </c>
      <c r="AS444" s="65" t="str">
        <f aca="false">IF($A444="","",HYPERLINK(JiraSite&amp;"/browse/"&amp;$A444,"open"))</f>
        <v/>
      </c>
      <c r="AT444" s="65" t="str">
        <f aca="false">IF($Y444="","",$Y444*1000+ROW())</f>
        <v/>
      </c>
      <c r="AU444" s="65" t="str">
        <f aca="false">IF(AND($A444&lt;&gt;"",$G444&gt;=WeekStart),$G444+ROW()/100000,"")</f>
        <v/>
      </c>
      <c r="AV444" s="65" t="str">
        <f aca="false">IF($A444="","",IF(OR(AND($S444&lt;&gt;"",$S444&gt;=WeekStart),AND($U444&lt;&gt;"",$U444&gt;=WeekStart)),MAX($S444,$U444)+ROW()/100000,""))</f>
        <v/>
      </c>
      <c r="AW444" s="65" t="str">
        <f aca="false">IF($AV444="","",IF($T444&lt;&gt;"",$T444,IF($X444="Closed","Closed","Accepted to "&amp;$X444)))</f>
        <v/>
      </c>
      <c r="AX444" s="65" t="str">
        <f aca="false">IF(AND($Y444&lt;&gt;"",$R444&lt;&gt;""),$AF444+ROW()/100000,"")</f>
        <v/>
      </c>
      <c r="AY444" s="65" t="str">
        <f aca="false">IF(AND($Y444&lt;&gt;"",OR($AB444="Overdue",AND($AH444="Critical",$R444&lt;&gt;""))),$AF444+ROW()/100000,"")</f>
        <v/>
      </c>
      <c r="AZ444" s="65" t="str">
        <f aca="false">IF($AH444="Critical",$AF444+ROW()/100000,"")</f>
        <v/>
      </c>
    </row>
    <row r="445" customFormat="false" ht="15" hidden="false" customHeight="false" outlineLevel="0" collapsed="false">
      <c r="A445" s="28"/>
      <c r="B445" s="28"/>
      <c r="C445" s="28"/>
      <c r="D445" s="28"/>
      <c r="E445" s="28"/>
      <c r="F445" s="28"/>
      <c r="G445" s="63"/>
      <c r="H445" s="63"/>
      <c r="I445" s="63"/>
      <c r="J445" s="28"/>
      <c r="K445" s="28"/>
      <c r="L445" s="28"/>
      <c r="M445" s="28"/>
      <c r="N445" s="28"/>
      <c r="O445" s="64"/>
      <c r="P445" s="64"/>
      <c r="Q445" s="64"/>
      <c r="R445" s="28"/>
      <c r="S445" s="63"/>
      <c r="T445" s="64"/>
      <c r="U445" s="63"/>
      <c r="V445" s="64"/>
      <c r="W445" s="28"/>
      <c r="X445" s="65" t="str">
        <f aca="false">IF($A445="","",IF(OR($T445&lt;&gt;"",$U445&lt;&gt;""),"Closed",IFERROR(INDEX(MapStage,MATCH($C445,MapStatus,0)),"Unmapped")))</f>
        <v/>
      </c>
      <c r="Y445" s="65" t="str">
        <f aca="false">IF(OR($X445="",$X445="Closed",$X445="Unmapped"),"",MATCH($X445,StageName,0))</f>
        <v/>
      </c>
      <c r="Z445" s="65" t="str">
        <f aca="false">IF(OR($Y445="",$I445=""),"",$I445-AsOf)</f>
        <v/>
      </c>
      <c r="AA445" s="65" t="str">
        <f aca="false">IF($A445="","",AsOf-$H445)</f>
        <v/>
      </c>
      <c r="AB445" s="65" t="str">
        <f aca="false">IF($A445="","",IF($X445="Closed","Closed",IF($X445="Unmapped","Unmapped",IF($I445="","No target",IF($Z445&lt;0,"Overdue",IF($Z445&lt;=INDEX(StageWindow,$Y445),"At risk","On track"))))))</f>
        <v/>
      </c>
      <c r="AC445" s="65" t="str">
        <f aca="false">IF($Y445="","",IF($AA445&gt;2*INDEX(StageStale,$Y445),"Stale",IF($AA445&gt;INDEX(StageStale,$Y445),"Aging","Fresh")))</f>
        <v/>
      </c>
      <c r="AD445" s="65" t="str">
        <f aca="false">IF($A445="","",IF(OR(ISNUMBER(SEARCH("Reg report",$J445)),ISNUMBER(SEARCH("No human review",$J445)),COUNTIF(TierFuncs,$D445)&gt;0),"High",IF(OR(TRIM($J445)&lt;&gt;"",ISNUMBER(SEARCH("revenue",$K445))),"Medium","Low")))</f>
        <v/>
      </c>
      <c r="AE445" s="65" t="str">
        <f aca="false">IF($A445="","",INDEX(TierDays,MATCH($AD445,TierName,0)))</f>
        <v/>
      </c>
      <c r="AF445" s="65" t="str">
        <f aca="false">IF($A445="","",AsOf-$G445)</f>
        <v/>
      </c>
      <c r="AG445" s="65" t="str">
        <f aca="false">IF($Y445="","",IF($Y445&lt;=5,IF($AF445&gt;$AE445,"Over","Inside"),"Past approval"))</f>
        <v/>
      </c>
      <c r="AH445" s="65" t="str">
        <f aca="false">IF($Y445="","",CHOOSE($Y445,IF(OR(TRIM($F445)="",ISNUMBER(SEARCH("not named",$F445))),"Critical","Good"),IF($O445&lt;&gt;"Y","Critical",IF($Q445&lt;&gt;"Y","Warning","Good")),IF($P445="","Critical",IF($P445="partial","Warning",IF($P445="ready","Good","Critical"))),IF($R445&lt;&gt;"","Critical","Warning"),IF($L445="","Critical",IF($N445="","Warning","Good")),IF($R445&lt;&gt;"","Critical","Warning"),IF($R445&lt;&gt;"","Critical","Warning"),IF($Q445="Y","Good","Critical")))</f>
        <v/>
      </c>
      <c r="AI445" s="65" t="str">
        <f aca="false">IF($Y445="","",CHOOSE($Y445,IF(OR(TRIM($F445)="",ISNUMBER(SEARCH("not named",$F445))),"Name a sponsor accountable for the value",""),IF($O445&lt;&gt;"Y","State the success metric and the stop condition",IF($Q445&lt;&gt;"Y","Set the baseline the benefit will be measured against","")),IF($P445="","Assess data readiness and regulatory impact",IF($P445="partial","Close the known data gaps",IF($P445="ready","","Data is not available; reshape or park"))),IF($R445&lt;&gt;"",IF(OR(ISNUMBER(SEARCH("mrm",$R445)),ISNUMBER(SEARCH("model",$R445)),ISNUMBER(SEARCH("risk",$R445)),ISNUMBER(SEARCH("legal",$R445)),ISNUMBER(SEARCH("complian",$R445))),"Awaiting ","Held at the design gate: ")&amp;$R445,"Map the governance framework for its tier"),IF($L445="","Size the annual benefit",IF($N445="","Score it so it can be ranked against capacity","")),IF($R445&lt;&gt;"","Build held: "&amp;$R445,"In build, not yet through test"),IF($R445&lt;&gt;"","Not ready to scale: "&amp;$R445,"Monitoring and third-party review not yet signed off"),IF($Q445="Y","","Live without a measured baseline to judge it against")))</f>
        <v/>
      </c>
      <c r="AJ445" s="65" t="str">
        <f aca="false">IF($Y445="","",INDEX(StageForum,$Y445))</f>
        <v/>
      </c>
      <c r="AK445" s="65" t="str">
        <f aca="false">IF($Y445="","",IF(OR($X445="Delivery",$X445="Value"),"Committed",IF($N445&lt;&gt;"","Candidate","")))</f>
        <v/>
      </c>
      <c r="AL445" s="65" t="str">
        <f aca="false">IF($AK445&lt;&gt;"Candidate","",COUNTIFS($AK$2:$AK$501,"Candidate",$N$2:$N$501,"&gt;"&amp;$N445)+COUNTIFS($AK$2:$AK$501,"Candidate",$N$2:$N$501,$N445,$A$2:$A$501,"&lt;"&amp;$A445)+1)</f>
        <v/>
      </c>
      <c r="AM445" s="65" t="str">
        <f aca="false">IF($AL445="","",SUMIFS($M$2:$M$501,$AK$2:$AK$501,"Candidate",$AL$2:$AL$501,"&lt;="&amp;$AL445))</f>
        <v/>
      </c>
      <c r="AN445" s="65" t="str">
        <f aca="false">IF($AL445="","",IF($AM445&lt;=CapacityOpen,"Fits","Below line"))</f>
        <v/>
      </c>
      <c r="AO445" s="65" t="str">
        <f aca="false">IF($A445="","",IF($X445="Closed","",IF($X445="Unmapped","Warning",IF(OR($AB445="Overdue",$V445="Y",$AH445="Critical"),"Critical",IF(OR($AB445="At risk",$AC445="Stale",$AG445="Over"),"Warning","")))))</f>
        <v/>
      </c>
      <c r="AP445" s="65" t="str">
        <f aca="false">IF($AO445="","",IF($AO445="Critical",3000,2000)-IF($Z445="",0,$Z445)+ROW()/100000)</f>
        <v/>
      </c>
      <c r="AQ445" s="65" t="str">
        <f aca="false">IF($AO445="","",IF($X445="Unmapped","Status '"&amp;$C445&amp;"' is not in the Config map",IF($V445="Y","Flagged in Jira",IF($AB445="Overdue",-$Z445&amp;" days past its "&amp;$X445&amp;" target",IF($AH445="Critical",$AI445,IF($AB445="At risk","Target in "&amp;$Z445&amp;" days",IF($AC445="Stale","No update in "&amp;$AA445&amp;" days","Past its "&amp;$AE445&amp;"-day tier window")))))))</f>
        <v/>
      </c>
      <c r="AR445" s="65" t="str">
        <f aca="false">IF($AO445="","","draft Jira update for "&amp;$A445)</f>
        <v/>
      </c>
      <c r="AS445" s="65" t="str">
        <f aca="false">IF($A445="","",HYPERLINK(JiraSite&amp;"/browse/"&amp;$A445,"open"))</f>
        <v/>
      </c>
      <c r="AT445" s="65" t="str">
        <f aca="false">IF($Y445="","",$Y445*1000+ROW())</f>
        <v/>
      </c>
      <c r="AU445" s="65" t="str">
        <f aca="false">IF(AND($A445&lt;&gt;"",$G445&gt;=WeekStart),$G445+ROW()/100000,"")</f>
        <v/>
      </c>
      <c r="AV445" s="65" t="str">
        <f aca="false">IF($A445="","",IF(OR(AND($S445&lt;&gt;"",$S445&gt;=WeekStart),AND($U445&lt;&gt;"",$U445&gt;=WeekStart)),MAX($S445,$U445)+ROW()/100000,""))</f>
        <v/>
      </c>
      <c r="AW445" s="65" t="str">
        <f aca="false">IF($AV445="","",IF($T445&lt;&gt;"",$T445,IF($X445="Closed","Closed","Accepted to "&amp;$X445)))</f>
        <v/>
      </c>
      <c r="AX445" s="65" t="str">
        <f aca="false">IF(AND($Y445&lt;&gt;"",$R445&lt;&gt;""),$AF445+ROW()/100000,"")</f>
        <v/>
      </c>
      <c r="AY445" s="65" t="str">
        <f aca="false">IF(AND($Y445&lt;&gt;"",OR($AB445="Overdue",AND($AH445="Critical",$R445&lt;&gt;""))),$AF445+ROW()/100000,"")</f>
        <v/>
      </c>
      <c r="AZ445" s="65" t="str">
        <f aca="false">IF($AH445="Critical",$AF445+ROW()/100000,"")</f>
        <v/>
      </c>
    </row>
    <row r="446" customFormat="false" ht="15" hidden="false" customHeight="false" outlineLevel="0" collapsed="false">
      <c r="A446" s="28"/>
      <c r="B446" s="28"/>
      <c r="C446" s="28"/>
      <c r="D446" s="28"/>
      <c r="E446" s="28"/>
      <c r="F446" s="28"/>
      <c r="G446" s="63"/>
      <c r="H446" s="63"/>
      <c r="I446" s="63"/>
      <c r="J446" s="28"/>
      <c r="K446" s="28"/>
      <c r="L446" s="28"/>
      <c r="M446" s="28"/>
      <c r="N446" s="28"/>
      <c r="O446" s="64"/>
      <c r="P446" s="64"/>
      <c r="Q446" s="64"/>
      <c r="R446" s="28"/>
      <c r="S446" s="63"/>
      <c r="T446" s="64"/>
      <c r="U446" s="63"/>
      <c r="V446" s="64"/>
      <c r="W446" s="28"/>
      <c r="X446" s="65" t="str">
        <f aca="false">IF($A446="","",IF(OR($T446&lt;&gt;"",$U446&lt;&gt;""),"Closed",IFERROR(INDEX(MapStage,MATCH($C446,MapStatus,0)),"Unmapped")))</f>
        <v/>
      </c>
      <c r="Y446" s="65" t="str">
        <f aca="false">IF(OR($X446="",$X446="Closed",$X446="Unmapped"),"",MATCH($X446,StageName,0))</f>
        <v/>
      </c>
      <c r="Z446" s="65" t="str">
        <f aca="false">IF(OR($Y446="",$I446=""),"",$I446-AsOf)</f>
        <v/>
      </c>
      <c r="AA446" s="65" t="str">
        <f aca="false">IF($A446="","",AsOf-$H446)</f>
        <v/>
      </c>
      <c r="AB446" s="65" t="str">
        <f aca="false">IF($A446="","",IF($X446="Closed","Closed",IF($X446="Unmapped","Unmapped",IF($I446="","No target",IF($Z446&lt;0,"Overdue",IF($Z446&lt;=INDEX(StageWindow,$Y446),"At risk","On track"))))))</f>
        <v/>
      </c>
      <c r="AC446" s="65" t="str">
        <f aca="false">IF($Y446="","",IF($AA446&gt;2*INDEX(StageStale,$Y446),"Stale",IF($AA446&gt;INDEX(StageStale,$Y446),"Aging","Fresh")))</f>
        <v/>
      </c>
      <c r="AD446" s="65" t="str">
        <f aca="false">IF($A446="","",IF(OR(ISNUMBER(SEARCH("Reg report",$J446)),ISNUMBER(SEARCH("No human review",$J446)),COUNTIF(TierFuncs,$D446)&gt;0),"High",IF(OR(TRIM($J446)&lt;&gt;"",ISNUMBER(SEARCH("revenue",$K446))),"Medium","Low")))</f>
        <v/>
      </c>
      <c r="AE446" s="65" t="str">
        <f aca="false">IF($A446="","",INDEX(TierDays,MATCH($AD446,TierName,0)))</f>
        <v/>
      </c>
      <c r="AF446" s="65" t="str">
        <f aca="false">IF($A446="","",AsOf-$G446)</f>
        <v/>
      </c>
      <c r="AG446" s="65" t="str">
        <f aca="false">IF($Y446="","",IF($Y446&lt;=5,IF($AF446&gt;$AE446,"Over","Inside"),"Past approval"))</f>
        <v/>
      </c>
      <c r="AH446" s="65" t="str">
        <f aca="false">IF($Y446="","",CHOOSE($Y446,IF(OR(TRIM($F446)="",ISNUMBER(SEARCH("not named",$F446))),"Critical","Good"),IF($O446&lt;&gt;"Y","Critical",IF($Q446&lt;&gt;"Y","Warning","Good")),IF($P446="","Critical",IF($P446="partial","Warning",IF($P446="ready","Good","Critical"))),IF($R446&lt;&gt;"","Critical","Warning"),IF($L446="","Critical",IF($N446="","Warning","Good")),IF($R446&lt;&gt;"","Critical","Warning"),IF($R446&lt;&gt;"","Critical","Warning"),IF($Q446="Y","Good","Critical")))</f>
        <v/>
      </c>
      <c r="AI446" s="65" t="str">
        <f aca="false">IF($Y446="","",CHOOSE($Y446,IF(OR(TRIM($F446)="",ISNUMBER(SEARCH("not named",$F446))),"Name a sponsor accountable for the value",""),IF($O446&lt;&gt;"Y","State the success metric and the stop condition",IF($Q446&lt;&gt;"Y","Set the baseline the benefit will be measured against","")),IF($P446="","Assess data readiness and regulatory impact",IF($P446="partial","Close the known data gaps",IF($P446="ready","","Data is not available; reshape or park"))),IF($R446&lt;&gt;"",IF(OR(ISNUMBER(SEARCH("mrm",$R446)),ISNUMBER(SEARCH("model",$R446)),ISNUMBER(SEARCH("risk",$R446)),ISNUMBER(SEARCH("legal",$R446)),ISNUMBER(SEARCH("complian",$R446))),"Awaiting ","Held at the design gate: ")&amp;$R446,"Map the governance framework for its tier"),IF($L446="","Size the annual benefit",IF($N446="","Score it so it can be ranked against capacity","")),IF($R446&lt;&gt;"","Build held: "&amp;$R446,"In build, not yet through test"),IF($R446&lt;&gt;"","Not ready to scale: "&amp;$R446,"Monitoring and third-party review not yet signed off"),IF($Q446="Y","","Live without a measured baseline to judge it against")))</f>
        <v/>
      </c>
      <c r="AJ446" s="65" t="str">
        <f aca="false">IF($Y446="","",INDEX(StageForum,$Y446))</f>
        <v/>
      </c>
      <c r="AK446" s="65" t="str">
        <f aca="false">IF($Y446="","",IF(OR($X446="Delivery",$X446="Value"),"Committed",IF($N446&lt;&gt;"","Candidate","")))</f>
        <v/>
      </c>
      <c r="AL446" s="65" t="str">
        <f aca="false">IF($AK446&lt;&gt;"Candidate","",COUNTIFS($AK$2:$AK$501,"Candidate",$N$2:$N$501,"&gt;"&amp;$N446)+COUNTIFS($AK$2:$AK$501,"Candidate",$N$2:$N$501,$N446,$A$2:$A$501,"&lt;"&amp;$A446)+1)</f>
        <v/>
      </c>
      <c r="AM446" s="65" t="str">
        <f aca="false">IF($AL446="","",SUMIFS($M$2:$M$501,$AK$2:$AK$501,"Candidate",$AL$2:$AL$501,"&lt;="&amp;$AL446))</f>
        <v/>
      </c>
      <c r="AN446" s="65" t="str">
        <f aca="false">IF($AL446="","",IF($AM446&lt;=CapacityOpen,"Fits","Below line"))</f>
        <v/>
      </c>
      <c r="AO446" s="65" t="str">
        <f aca="false">IF($A446="","",IF($X446="Closed","",IF($X446="Unmapped","Warning",IF(OR($AB446="Overdue",$V446="Y",$AH446="Critical"),"Critical",IF(OR($AB446="At risk",$AC446="Stale",$AG446="Over"),"Warning","")))))</f>
        <v/>
      </c>
      <c r="AP446" s="65" t="str">
        <f aca="false">IF($AO446="","",IF($AO446="Critical",3000,2000)-IF($Z446="",0,$Z446)+ROW()/100000)</f>
        <v/>
      </c>
      <c r="AQ446" s="65" t="str">
        <f aca="false">IF($AO446="","",IF($X446="Unmapped","Status '"&amp;$C446&amp;"' is not in the Config map",IF($V446="Y","Flagged in Jira",IF($AB446="Overdue",-$Z446&amp;" days past its "&amp;$X446&amp;" target",IF($AH446="Critical",$AI446,IF($AB446="At risk","Target in "&amp;$Z446&amp;" days",IF($AC446="Stale","No update in "&amp;$AA446&amp;" days","Past its "&amp;$AE446&amp;"-day tier window")))))))</f>
        <v/>
      </c>
      <c r="AR446" s="65" t="str">
        <f aca="false">IF($AO446="","","draft Jira update for "&amp;$A446)</f>
        <v/>
      </c>
      <c r="AS446" s="65" t="str">
        <f aca="false">IF($A446="","",HYPERLINK(JiraSite&amp;"/browse/"&amp;$A446,"open"))</f>
        <v/>
      </c>
      <c r="AT446" s="65" t="str">
        <f aca="false">IF($Y446="","",$Y446*1000+ROW())</f>
        <v/>
      </c>
      <c r="AU446" s="65" t="str">
        <f aca="false">IF(AND($A446&lt;&gt;"",$G446&gt;=WeekStart),$G446+ROW()/100000,"")</f>
        <v/>
      </c>
      <c r="AV446" s="65" t="str">
        <f aca="false">IF($A446="","",IF(OR(AND($S446&lt;&gt;"",$S446&gt;=WeekStart),AND($U446&lt;&gt;"",$U446&gt;=WeekStart)),MAX($S446,$U446)+ROW()/100000,""))</f>
        <v/>
      </c>
      <c r="AW446" s="65" t="str">
        <f aca="false">IF($AV446="","",IF($T446&lt;&gt;"",$T446,IF($X446="Closed","Closed","Accepted to "&amp;$X446)))</f>
        <v/>
      </c>
      <c r="AX446" s="65" t="str">
        <f aca="false">IF(AND($Y446&lt;&gt;"",$R446&lt;&gt;""),$AF446+ROW()/100000,"")</f>
        <v/>
      </c>
      <c r="AY446" s="65" t="str">
        <f aca="false">IF(AND($Y446&lt;&gt;"",OR($AB446="Overdue",AND($AH446="Critical",$R446&lt;&gt;""))),$AF446+ROW()/100000,"")</f>
        <v/>
      </c>
      <c r="AZ446" s="65" t="str">
        <f aca="false">IF($AH446="Critical",$AF446+ROW()/100000,"")</f>
        <v/>
      </c>
    </row>
    <row r="447" customFormat="false" ht="15" hidden="false" customHeight="false" outlineLevel="0" collapsed="false">
      <c r="A447" s="28"/>
      <c r="B447" s="28"/>
      <c r="C447" s="28"/>
      <c r="D447" s="28"/>
      <c r="E447" s="28"/>
      <c r="F447" s="28"/>
      <c r="G447" s="63"/>
      <c r="H447" s="63"/>
      <c r="I447" s="63"/>
      <c r="J447" s="28"/>
      <c r="K447" s="28"/>
      <c r="L447" s="28"/>
      <c r="M447" s="28"/>
      <c r="N447" s="28"/>
      <c r="O447" s="64"/>
      <c r="P447" s="64"/>
      <c r="Q447" s="64"/>
      <c r="R447" s="28"/>
      <c r="S447" s="63"/>
      <c r="T447" s="64"/>
      <c r="U447" s="63"/>
      <c r="V447" s="64"/>
      <c r="W447" s="28"/>
      <c r="X447" s="65" t="str">
        <f aca="false">IF($A447="","",IF(OR($T447&lt;&gt;"",$U447&lt;&gt;""),"Closed",IFERROR(INDEX(MapStage,MATCH($C447,MapStatus,0)),"Unmapped")))</f>
        <v/>
      </c>
      <c r="Y447" s="65" t="str">
        <f aca="false">IF(OR($X447="",$X447="Closed",$X447="Unmapped"),"",MATCH($X447,StageName,0))</f>
        <v/>
      </c>
      <c r="Z447" s="65" t="str">
        <f aca="false">IF(OR($Y447="",$I447=""),"",$I447-AsOf)</f>
        <v/>
      </c>
      <c r="AA447" s="65" t="str">
        <f aca="false">IF($A447="","",AsOf-$H447)</f>
        <v/>
      </c>
      <c r="AB447" s="65" t="str">
        <f aca="false">IF($A447="","",IF($X447="Closed","Closed",IF($X447="Unmapped","Unmapped",IF($I447="","No target",IF($Z447&lt;0,"Overdue",IF($Z447&lt;=INDEX(StageWindow,$Y447),"At risk","On track"))))))</f>
        <v/>
      </c>
      <c r="AC447" s="65" t="str">
        <f aca="false">IF($Y447="","",IF($AA447&gt;2*INDEX(StageStale,$Y447),"Stale",IF($AA447&gt;INDEX(StageStale,$Y447),"Aging","Fresh")))</f>
        <v/>
      </c>
      <c r="AD447" s="65" t="str">
        <f aca="false">IF($A447="","",IF(OR(ISNUMBER(SEARCH("Reg report",$J447)),ISNUMBER(SEARCH("No human review",$J447)),COUNTIF(TierFuncs,$D447)&gt;0),"High",IF(OR(TRIM($J447)&lt;&gt;"",ISNUMBER(SEARCH("revenue",$K447))),"Medium","Low")))</f>
        <v/>
      </c>
      <c r="AE447" s="65" t="str">
        <f aca="false">IF($A447="","",INDEX(TierDays,MATCH($AD447,TierName,0)))</f>
        <v/>
      </c>
      <c r="AF447" s="65" t="str">
        <f aca="false">IF($A447="","",AsOf-$G447)</f>
        <v/>
      </c>
      <c r="AG447" s="65" t="str">
        <f aca="false">IF($Y447="","",IF($Y447&lt;=5,IF($AF447&gt;$AE447,"Over","Inside"),"Past approval"))</f>
        <v/>
      </c>
      <c r="AH447" s="65" t="str">
        <f aca="false">IF($Y447="","",CHOOSE($Y447,IF(OR(TRIM($F447)="",ISNUMBER(SEARCH("not named",$F447))),"Critical","Good"),IF($O447&lt;&gt;"Y","Critical",IF($Q447&lt;&gt;"Y","Warning","Good")),IF($P447="","Critical",IF($P447="partial","Warning",IF($P447="ready","Good","Critical"))),IF($R447&lt;&gt;"","Critical","Warning"),IF($L447="","Critical",IF($N447="","Warning","Good")),IF($R447&lt;&gt;"","Critical","Warning"),IF($R447&lt;&gt;"","Critical","Warning"),IF($Q447="Y","Good","Critical")))</f>
        <v/>
      </c>
      <c r="AI447" s="65" t="str">
        <f aca="false">IF($Y447="","",CHOOSE($Y447,IF(OR(TRIM($F447)="",ISNUMBER(SEARCH("not named",$F447))),"Name a sponsor accountable for the value",""),IF($O447&lt;&gt;"Y","State the success metric and the stop condition",IF($Q447&lt;&gt;"Y","Set the baseline the benefit will be measured against","")),IF($P447="","Assess data readiness and regulatory impact",IF($P447="partial","Close the known data gaps",IF($P447="ready","","Data is not available; reshape or park"))),IF($R447&lt;&gt;"",IF(OR(ISNUMBER(SEARCH("mrm",$R447)),ISNUMBER(SEARCH("model",$R447)),ISNUMBER(SEARCH("risk",$R447)),ISNUMBER(SEARCH("legal",$R447)),ISNUMBER(SEARCH("complian",$R447))),"Awaiting ","Held at the design gate: ")&amp;$R447,"Map the governance framework for its tier"),IF($L447="","Size the annual benefit",IF($N447="","Score it so it can be ranked against capacity","")),IF($R447&lt;&gt;"","Build held: "&amp;$R447,"In build, not yet through test"),IF($R447&lt;&gt;"","Not ready to scale: "&amp;$R447,"Monitoring and third-party review not yet signed off"),IF($Q447="Y","","Live without a measured baseline to judge it against")))</f>
        <v/>
      </c>
      <c r="AJ447" s="65" t="str">
        <f aca="false">IF($Y447="","",INDEX(StageForum,$Y447))</f>
        <v/>
      </c>
      <c r="AK447" s="65" t="str">
        <f aca="false">IF($Y447="","",IF(OR($X447="Delivery",$X447="Value"),"Committed",IF($N447&lt;&gt;"","Candidate","")))</f>
        <v/>
      </c>
      <c r="AL447" s="65" t="str">
        <f aca="false">IF($AK447&lt;&gt;"Candidate","",COUNTIFS($AK$2:$AK$501,"Candidate",$N$2:$N$501,"&gt;"&amp;$N447)+COUNTIFS($AK$2:$AK$501,"Candidate",$N$2:$N$501,$N447,$A$2:$A$501,"&lt;"&amp;$A447)+1)</f>
        <v/>
      </c>
      <c r="AM447" s="65" t="str">
        <f aca="false">IF($AL447="","",SUMIFS($M$2:$M$501,$AK$2:$AK$501,"Candidate",$AL$2:$AL$501,"&lt;="&amp;$AL447))</f>
        <v/>
      </c>
      <c r="AN447" s="65" t="str">
        <f aca="false">IF($AL447="","",IF($AM447&lt;=CapacityOpen,"Fits","Below line"))</f>
        <v/>
      </c>
      <c r="AO447" s="65" t="str">
        <f aca="false">IF($A447="","",IF($X447="Closed","",IF($X447="Unmapped","Warning",IF(OR($AB447="Overdue",$V447="Y",$AH447="Critical"),"Critical",IF(OR($AB447="At risk",$AC447="Stale",$AG447="Over"),"Warning","")))))</f>
        <v/>
      </c>
      <c r="AP447" s="65" t="str">
        <f aca="false">IF($AO447="","",IF($AO447="Critical",3000,2000)-IF($Z447="",0,$Z447)+ROW()/100000)</f>
        <v/>
      </c>
      <c r="AQ447" s="65" t="str">
        <f aca="false">IF($AO447="","",IF($X447="Unmapped","Status '"&amp;$C447&amp;"' is not in the Config map",IF($V447="Y","Flagged in Jira",IF($AB447="Overdue",-$Z447&amp;" days past its "&amp;$X447&amp;" target",IF($AH447="Critical",$AI447,IF($AB447="At risk","Target in "&amp;$Z447&amp;" days",IF($AC447="Stale","No update in "&amp;$AA447&amp;" days","Past its "&amp;$AE447&amp;"-day tier window")))))))</f>
        <v/>
      </c>
      <c r="AR447" s="65" t="str">
        <f aca="false">IF($AO447="","","draft Jira update for "&amp;$A447)</f>
        <v/>
      </c>
      <c r="AS447" s="65" t="str">
        <f aca="false">IF($A447="","",HYPERLINK(JiraSite&amp;"/browse/"&amp;$A447,"open"))</f>
        <v/>
      </c>
      <c r="AT447" s="65" t="str">
        <f aca="false">IF($Y447="","",$Y447*1000+ROW())</f>
        <v/>
      </c>
      <c r="AU447" s="65" t="str">
        <f aca="false">IF(AND($A447&lt;&gt;"",$G447&gt;=WeekStart),$G447+ROW()/100000,"")</f>
        <v/>
      </c>
      <c r="AV447" s="65" t="str">
        <f aca="false">IF($A447="","",IF(OR(AND($S447&lt;&gt;"",$S447&gt;=WeekStart),AND($U447&lt;&gt;"",$U447&gt;=WeekStart)),MAX($S447,$U447)+ROW()/100000,""))</f>
        <v/>
      </c>
      <c r="AW447" s="65" t="str">
        <f aca="false">IF($AV447="","",IF($T447&lt;&gt;"",$T447,IF($X447="Closed","Closed","Accepted to "&amp;$X447)))</f>
        <v/>
      </c>
      <c r="AX447" s="65" t="str">
        <f aca="false">IF(AND($Y447&lt;&gt;"",$R447&lt;&gt;""),$AF447+ROW()/100000,"")</f>
        <v/>
      </c>
      <c r="AY447" s="65" t="str">
        <f aca="false">IF(AND($Y447&lt;&gt;"",OR($AB447="Overdue",AND($AH447="Critical",$R447&lt;&gt;""))),$AF447+ROW()/100000,"")</f>
        <v/>
      </c>
      <c r="AZ447" s="65" t="str">
        <f aca="false">IF($AH447="Critical",$AF447+ROW()/100000,"")</f>
        <v/>
      </c>
    </row>
    <row r="448" customFormat="false" ht="15" hidden="false" customHeight="false" outlineLevel="0" collapsed="false">
      <c r="A448" s="28"/>
      <c r="B448" s="28"/>
      <c r="C448" s="28"/>
      <c r="D448" s="28"/>
      <c r="E448" s="28"/>
      <c r="F448" s="28"/>
      <c r="G448" s="63"/>
      <c r="H448" s="63"/>
      <c r="I448" s="63"/>
      <c r="J448" s="28"/>
      <c r="K448" s="28"/>
      <c r="L448" s="28"/>
      <c r="M448" s="28"/>
      <c r="N448" s="28"/>
      <c r="O448" s="64"/>
      <c r="P448" s="64"/>
      <c r="Q448" s="64"/>
      <c r="R448" s="28"/>
      <c r="S448" s="63"/>
      <c r="T448" s="64"/>
      <c r="U448" s="63"/>
      <c r="V448" s="64"/>
      <c r="W448" s="28"/>
      <c r="X448" s="65" t="str">
        <f aca="false">IF($A448="","",IF(OR($T448&lt;&gt;"",$U448&lt;&gt;""),"Closed",IFERROR(INDEX(MapStage,MATCH($C448,MapStatus,0)),"Unmapped")))</f>
        <v/>
      </c>
      <c r="Y448" s="65" t="str">
        <f aca="false">IF(OR($X448="",$X448="Closed",$X448="Unmapped"),"",MATCH($X448,StageName,0))</f>
        <v/>
      </c>
      <c r="Z448" s="65" t="str">
        <f aca="false">IF(OR($Y448="",$I448=""),"",$I448-AsOf)</f>
        <v/>
      </c>
      <c r="AA448" s="65" t="str">
        <f aca="false">IF($A448="","",AsOf-$H448)</f>
        <v/>
      </c>
      <c r="AB448" s="65" t="str">
        <f aca="false">IF($A448="","",IF($X448="Closed","Closed",IF($X448="Unmapped","Unmapped",IF($I448="","No target",IF($Z448&lt;0,"Overdue",IF($Z448&lt;=INDEX(StageWindow,$Y448),"At risk","On track"))))))</f>
        <v/>
      </c>
      <c r="AC448" s="65" t="str">
        <f aca="false">IF($Y448="","",IF($AA448&gt;2*INDEX(StageStale,$Y448),"Stale",IF($AA448&gt;INDEX(StageStale,$Y448),"Aging","Fresh")))</f>
        <v/>
      </c>
      <c r="AD448" s="65" t="str">
        <f aca="false">IF($A448="","",IF(OR(ISNUMBER(SEARCH("Reg report",$J448)),ISNUMBER(SEARCH("No human review",$J448)),COUNTIF(TierFuncs,$D448)&gt;0),"High",IF(OR(TRIM($J448)&lt;&gt;"",ISNUMBER(SEARCH("revenue",$K448))),"Medium","Low")))</f>
        <v/>
      </c>
      <c r="AE448" s="65" t="str">
        <f aca="false">IF($A448="","",INDEX(TierDays,MATCH($AD448,TierName,0)))</f>
        <v/>
      </c>
      <c r="AF448" s="65" t="str">
        <f aca="false">IF($A448="","",AsOf-$G448)</f>
        <v/>
      </c>
      <c r="AG448" s="65" t="str">
        <f aca="false">IF($Y448="","",IF($Y448&lt;=5,IF($AF448&gt;$AE448,"Over","Inside"),"Past approval"))</f>
        <v/>
      </c>
      <c r="AH448" s="65" t="str">
        <f aca="false">IF($Y448="","",CHOOSE($Y448,IF(OR(TRIM($F448)="",ISNUMBER(SEARCH("not named",$F448))),"Critical","Good"),IF($O448&lt;&gt;"Y","Critical",IF($Q448&lt;&gt;"Y","Warning","Good")),IF($P448="","Critical",IF($P448="partial","Warning",IF($P448="ready","Good","Critical"))),IF($R448&lt;&gt;"","Critical","Warning"),IF($L448="","Critical",IF($N448="","Warning","Good")),IF($R448&lt;&gt;"","Critical","Warning"),IF($R448&lt;&gt;"","Critical","Warning"),IF($Q448="Y","Good","Critical")))</f>
        <v/>
      </c>
      <c r="AI448" s="65" t="str">
        <f aca="false">IF($Y448="","",CHOOSE($Y448,IF(OR(TRIM($F448)="",ISNUMBER(SEARCH("not named",$F448))),"Name a sponsor accountable for the value",""),IF($O448&lt;&gt;"Y","State the success metric and the stop condition",IF($Q448&lt;&gt;"Y","Set the baseline the benefit will be measured against","")),IF($P448="","Assess data readiness and regulatory impact",IF($P448="partial","Close the known data gaps",IF($P448="ready","","Data is not available; reshape or park"))),IF($R448&lt;&gt;"",IF(OR(ISNUMBER(SEARCH("mrm",$R448)),ISNUMBER(SEARCH("model",$R448)),ISNUMBER(SEARCH("risk",$R448)),ISNUMBER(SEARCH("legal",$R448)),ISNUMBER(SEARCH("complian",$R448))),"Awaiting ","Held at the design gate: ")&amp;$R448,"Map the governance framework for its tier"),IF($L448="","Size the annual benefit",IF($N448="","Score it so it can be ranked against capacity","")),IF($R448&lt;&gt;"","Build held: "&amp;$R448,"In build, not yet through test"),IF($R448&lt;&gt;"","Not ready to scale: "&amp;$R448,"Monitoring and third-party review not yet signed off"),IF($Q448="Y","","Live without a measured baseline to judge it against")))</f>
        <v/>
      </c>
      <c r="AJ448" s="65" t="str">
        <f aca="false">IF($Y448="","",INDEX(StageForum,$Y448))</f>
        <v/>
      </c>
      <c r="AK448" s="65" t="str">
        <f aca="false">IF($Y448="","",IF(OR($X448="Delivery",$X448="Value"),"Committed",IF($N448&lt;&gt;"","Candidate","")))</f>
        <v/>
      </c>
      <c r="AL448" s="65" t="str">
        <f aca="false">IF($AK448&lt;&gt;"Candidate","",COUNTIFS($AK$2:$AK$501,"Candidate",$N$2:$N$501,"&gt;"&amp;$N448)+COUNTIFS($AK$2:$AK$501,"Candidate",$N$2:$N$501,$N448,$A$2:$A$501,"&lt;"&amp;$A448)+1)</f>
        <v/>
      </c>
      <c r="AM448" s="65" t="str">
        <f aca="false">IF($AL448="","",SUMIFS($M$2:$M$501,$AK$2:$AK$501,"Candidate",$AL$2:$AL$501,"&lt;="&amp;$AL448))</f>
        <v/>
      </c>
      <c r="AN448" s="65" t="str">
        <f aca="false">IF($AL448="","",IF($AM448&lt;=CapacityOpen,"Fits","Below line"))</f>
        <v/>
      </c>
      <c r="AO448" s="65" t="str">
        <f aca="false">IF($A448="","",IF($X448="Closed","",IF($X448="Unmapped","Warning",IF(OR($AB448="Overdue",$V448="Y",$AH448="Critical"),"Critical",IF(OR($AB448="At risk",$AC448="Stale",$AG448="Over"),"Warning","")))))</f>
        <v/>
      </c>
      <c r="AP448" s="65" t="str">
        <f aca="false">IF($AO448="","",IF($AO448="Critical",3000,2000)-IF($Z448="",0,$Z448)+ROW()/100000)</f>
        <v/>
      </c>
      <c r="AQ448" s="65" t="str">
        <f aca="false">IF($AO448="","",IF($X448="Unmapped","Status '"&amp;$C448&amp;"' is not in the Config map",IF($V448="Y","Flagged in Jira",IF($AB448="Overdue",-$Z448&amp;" days past its "&amp;$X448&amp;" target",IF($AH448="Critical",$AI448,IF($AB448="At risk","Target in "&amp;$Z448&amp;" days",IF($AC448="Stale","No update in "&amp;$AA448&amp;" days","Past its "&amp;$AE448&amp;"-day tier window")))))))</f>
        <v/>
      </c>
      <c r="AR448" s="65" t="str">
        <f aca="false">IF($AO448="","","draft Jira update for "&amp;$A448)</f>
        <v/>
      </c>
      <c r="AS448" s="65" t="str">
        <f aca="false">IF($A448="","",HYPERLINK(JiraSite&amp;"/browse/"&amp;$A448,"open"))</f>
        <v/>
      </c>
      <c r="AT448" s="65" t="str">
        <f aca="false">IF($Y448="","",$Y448*1000+ROW())</f>
        <v/>
      </c>
      <c r="AU448" s="65" t="str">
        <f aca="false">IF(AND($A448&lt;&gt;"",$G448&gt;=WeekStart),$G448+ROW()/100000,"")</f>
        <v/>
      </c>
      <c r="AV448" s="65" t="str">
        <f aca="false">IF($A448="","",IF(OR(AND($S448&lt;&gt;"",$S448&gt;=WeekStart),AND($U448&lt;&gt;"",$U448&gt;=WeekStart)),MAX($S448,$U448)+ROW()/100000,""))</f>
        <v/>
      </c>
      <c r="AW448" s="65" t="str">
        <f aca="false">IF($AV448="","",IF($T448&lt;&gt;"",$T448,IF($X448="Closed","Closed","Accepted to "&amp;$X448)))</f>
        <v/>
      </c>
      <c r="AX448" s="65" t="str">
        <f aca="false">IF(AND($Y448&lt;&gt;"",$R448&lt;&gt;""),$AF448+ROW()/100000,"")</f>
        <v/>
      </c>
      <c r="AY448" s="65" t="str">
        <f aca="false">IF(AND($Y448&lt;&gt;"",OR($AB448="Overdue",AND($AH448="Critical",$R448&lt;&gt;""))),$AF448+ROW()/100000,"")</f>
        <v/>
      </c>
      <c r="AZ448" s="65" t="str">
        <f aca="false">IF($AH448="Critical",$AF448+ROW()/100000,"")</f>
        <v/>
      </c>
    </row>
    <row r="449" customFormat="false" ht="15" hidden="false" customHeight="false" outlineLevel="0" collapsed="false">
      <c r="A449" s="28"/>
      <c r="B449" s="28"/>
      <c r="C449" s="28"/>
      <c r="D449" s="28"/>
      <c r="E449" s="28"/>
      <c r="F449" s="28"/>
      <c r="G449" s="63"/>
      <c r="H449" s="63"/>
      <c r="I449" s="63"/>
      <c r="J449" s="28"/>
      <c r="K449" s="28"/>
      <c r="L449" s="28"/>
      <c r="M449" s="28"/>
      <c r="N449" s="28"/>
      <c r="O449" s="64"/>
      <c r="P449" s="64"/>
      <c r="Q449" s="64"/>
      <c r="R449" s="28"/>
      <c r="S449" s="63"/>
      <c r="T449" s="64"/>
      <c r="U449" s="63"/>
      <c r="V449" s="64"/>
      <c r="W449" s="28"/>
      <c r="X449" s="65" t="str">
        <f aca="false">IF($A449="","",IF(OR($T449&lt;&gt;"",$U449&lt;&gt;""),"Closed",IFERROR(INDEX(MapStage,MATCH($C449,MapStatus,0)),"Unmapped")))</f>
        <v/>
      </c>
      <c r="Y449" s="65" t="str">
        <f aca="false">IF(OR($X449="",$X449="Closed",$X449="Unmapped"),"",MATCH($X449,StageName,0))</f>
        <v/>
      </c>
      <c r="Z449" s="65" t="str">
        <f aca="false">IF(OR($Y449="",$I449=""),"",$I449-AsOf)</f>
        <v/>
      </c>
      <c r="AA449" s="65" t="str">
        <f aca="false">IF($A449="","",AsOf-$H449)</f>
        <v/>
      </c>
      <c r="AB449" s="65" t="str">
        <f aca="false">IF($A449="","",IF($X449="Closed","Closed",IF($X449="Unmapped","Unmapped",IF($I449="","No target",IF($Z449&lt;0,"Overdue",IF($Z449&lt;=INDEX(StageWindow,$Y449),"At risk","On track"))))))</f>
        <v/>
      </c>
      <c r="AC449" s="65" t="str">
        <f aca="false">IF($Y449="","",IF($AA449&gt;2*INDEX(StageStale,$Y449),"Stale",IF($AA449&gt;INDEX(StageStale,$Y449),"Aging","Fresh")))</f>
        <v/>
      </c>
      <c r="AD449" s="65" t="str">
        <f aca="false">IF($A449="","",IF(OR(ISNUMBER(SEARCH("Reg report",$J449)),ISNUMBER(SEARCH("No human review",$J449)),COUNTIF(TierFuncs,$D449)&gt;0),"High",IF(OR(TRIM($J449)&lt;&gt;"",ISNUMBER(SEARCH("revenue",$K449))),"Medium","Low")))</f>
        <v/>
      </c>
      <c r="AE449" s="65" t="str">
        <f aca="false">IF($A449="","",INDEX(TierDays,MATCH($AD449,TierName,0)))</f>
        <v/>
      </c>
      <c r="AF449" s="65" t="str">
        <f aca="false">IF($A449="","",AsOf-$G449)</f>
        <v/>
      </c>
      <c r="AG449" s="65" t="str">
        <f aca="false">IF($Y449="","",IF($Y449&lt;=5,IF($AF449&gt;$AE449,"Over","Inside"),"Past approval"))</f>
        <v/>
      </c>
      <c r="AH449" s="65" t="str">
        <f aca="false">IF($Y449="","",CHOOSE($Y449,IF(OR(TRIM($F449)="",ISNUMBER(SEARCH("not named",$F449))),"Critical","Good"),IF($O449&lt;&gt;"Y","Critical",IF($Q449&lt;&gt;"Y","Warning","Good")),IF($P449="","Critical",IF($P449="partial","Warning",IF($P449="ready","Good","Critical"))),IF($R449&lt;&gt;"","Critical","Warning"),IF($L449="","Critical",IF($N449="","Warning","Good")),IF($R449&lt;&gt;"","Critical","Warning"),IF($R449&lt;&gt;"","Critical","Warning"),IF($Q449="Y","Good","Critical")))</f>
        <v/>
      </c>
      <c r="AI449" s="65" t="str">
        <f aca="false">IF($Y449="","",CHOOSE($Y449,IF(OR(TRIM($F449)="",ISNUMBER(SEARCH("not named",$F449))),"Name a sponsor accountable for the value",""),IF($O449&lt;&gt;"Y","State the success metric and the stop condition",IF($Q449&lt;&gt;"Y","Set the baseline the benefit will be measured against","")),IF($P449="","Assess data readiness and regulatory impact",IF($P449="partial","Close the known data gaps",IF($P449="ready","","Data is not available; reshape or park"))),IF($R449&lt;&gt;"",IF(OR(ISNUMBER(SEARCH("mrm",$R449)),ISNUMBER(SEARCH("model",$R449)),ISNUMBER(SEARCH("risk",$R449)),ISNUMBER(SEARCH("legal",$R449)),ISNUMBER(SEARCH("complian",$R449))),"Awaiting ","Held at the design gate: ")&amp;$R449,"Map the governance framework for its tier"),IF($L449="","Size the annual benefit",IF($N449="","Score it so it can be ranked against capacity","")),IF($R449&lt;&gt;"","Build held: "&amp;$R449,"In build, not yet through test"),IF($R449&lt;&gt;"","Not ready to scale: "&amp;$R449,"Monitoring and third-party review not yet signed off"),IF($Q449="Y","","Live without a measured baseline to judge it against")))</f>
        <v/>
      </c>
      <c r="AJ449" s="65" t="str">
        <f aca="false">IF($Y449="","",INDEX(StageForum,$Y449))</f>
        <v/>
      </c>
      <c r="AK449" s="65" t="str">
        <f aca="false">IF($Y449="","",IF(OR($X449="Delivery",$X449="Value"),"Committed",IF($N449&lt;&gt;"","Candidate","")))</f>
        <v/>
      </c>
      <c r="AL449" s="65" t="str">
        <f aca="false">IF($AK449&lt;&gt;"Candidate","",COUNTIFS($AK$2:$AK$501,"Candidate",$N$2:$N$501,"&gt;"&amp;$N449)+COUNTIFS($AK$2:$AK$501,"Candidate",$N$2:$N$501,$N449,$A$2:$A$501,"&lt;"&amp;$A449)+1)</f>
        <v/>
      </c>
      <c r="AM449" s="65" t="str">
        <f aca="false">IF($AL449="","",SUMIFS($M$2:$M$501,$AK$2:$AK$501,"Candidate",$AL$2:$AL$501,"&lt;="&amp;$AL449))</f>
        <v/>
      </c>
      <c r="AN449" s="65" t="str">
        <f aca="false">IF($AL449="","",IF($AM449&lt;=CapacityOpen,"Fits","Below line"))</f>
        <v/>
      </c>
      <c r="AO449" s="65" t="str">
        <f aca="false">IF($A449="","",IF($X449="Closed","",IF($X449="Unmapped","Warning",IF(OR($AB449="Overdue",$V449="Y",$AH449="Critical"),"Critical",IF(OR($AB449="At risk",$AC449="Stale",$AG449="Over"),"Warning","")))))</f>
        <v/>
      </c>
      <c r="AP449" s="65" t="str">
        <f aca="false">IF($AO449="","",IF($AO449="Critical",3000,2000)-IF($Z449="",0,$Z449)+ROW()/100000)</f>
        <v/>
      </c>
      <c r="AQ449" s="65" t="str">
        <f aca="false">IF($AO449="","",IF($X449="Unmapped","Status '"&amp;$C449&amp;"' is not in the Config map",IF($V449="Y","Flagged in Jira",IF($AB449="Overdue",-$Z449&amp;" days past its "&amp;$X449&amp;" target",IF($AH449="Critical",$AI449,IF($AB449="At risk","Target in "&amp;$Z449&amp;" days",IF($AC449="Stale","No update in "&amp;$AA449&amp;" days","Past its "&amp;$AE449&amp;"-day tier window")))))))</f>
        <v/>
      </c>
      <c r="AR449" s="65" t="str">
        <f aca="false">IF($AO449="","","draft Jira update for "&amp;$A449)</f>
        <v/>
      </c>
      <c r="AS449" s="65" t="str">
        <f aca="false">IF($A449="","",HYPERLINK(JiraSite&amp;"/browse/"&amp;$A449,"open"))</f>
        <v/>
      </c>
      <c r="AT449" s="65" t="str">
        <f aca="false">IF($Y449="","",$Y449*1000+ROW())</f>
        <v/>
      </c>
      <c r="AU449" s="65" t="str">
        <f aca="false">IF(AND($A449&lt;&gt;"",$G449&gt;=WeekStart),$G449+ROW()/100000,"")</f>
        <v/>
      </c>
      <c r="AV449" s="65" t="str">
        <f aca="false">IF($A449="","",IF(OR(AND($S449&lt;&gt;"",$S449&gt;=WeekStart),AND($U449&lt;&gt;"",$U449&gt;=WeekStart)),MAX($S449,$U449)+ROW()/100000,""))</f>
        <v/>
      </c>
      <c r="AW449" s="65" t="str">
        <f aca="false">IF($AV449="","",IF($T449&lt;&gt;"",$T449,IF($X449="Closed","Closed","Accepted to "&amp;$X449)))</f>
        <v/>
      </c>
      <c r="AX449" s="65" t="str">
        <f aca="false">IF(AND($Y449&lt;&gt;"",$R449&lt;&gt;""),$AF449+ROW()/100000,"")</f>
        <v/>
      </c>
      <c r="AY449" s="65" t="str">
        <f aca="false">IF(AND($Y449&lt;&gt;"",OR($AB449="Overdue",AND($AH449="Critical",$R449&lt;&gt;""))),$AF449+ROW()/100000,"")</f>
        <v/>
      </c>
      <c r="AZ449" s="65" t="str">
        <f aca="false">IF($AH449="Critical",$AF449+ROW()/100000,"")</f>
        <v/>
      </c>
    </row>
    <row r="450" customFormat="false" ht="15" hidden="false" customHeight="false" outlineLevel="0" collapsed="false">
      <c r="A450" s="28"/>
      <c r="B450" s="28"/>
      <c r="C450" s="28"/>
      <c r="D450" s="28"/>
      <c r="E450" s="28"/>
      <c r="F450" s="28"/>
      <c r="G450" s="63"/>
      <c r="H450" s="63"/>
      <c r="I450" s="63"/>
      <c r="J450" s="28"/>
      <c r="K450" s="28"/>
      <c r="L450" s="28"/>
      <c r="M450" s="28"/>
      <c r="N450" s="28"/>
      <c r="O450" s="64"/>
      <c r="P450" s="64"/>
      <c r="Q450" s="64"/>
      <c r="R450" s="28"/>
      <c r="S450" s="63"/>
      <c r="T450" s="64"/>
      <c r="U450" s="63"/>
      <c r="V450" s="64"/>
      <c r="W450" s="28"/>
      <c r="X450" s="65" t="str">
        <f aca="false">IF($A450="","",IF(OR($T450&lt;&gt;"",$U450&lt;&gt;""),"Closed",IFERROR(INDEX(MapStage,MATCH($C450,MapStatus,0)),"Unmapped")))</f>
        <v/>
      </c>
      <c r="Y450" s="65" t="str">
        <f aca="false">IF(OR($X450="",$X450="Closed",$X450="Unmapped"),"",MATCH($X450,StageName,0))</f>
        <v/>
      </c>
      <c r="Z450" s="65" t="str">
        <f aca="false">IF(OR($Y450="",$I450=""),"",$I450-AsOf)</f>
        <v/>
      </c>
      <c r="AA450" s="65" t="str">
        <f aca="false">IF($A450="","",AsOf-$H450)</f>
        <v/>
      </c>
      <c r="AB450" s="65" t="str">
        <f aca="false">IF($A450="","",IF($X450="Closed","Closed",IF($X450="Unmapped","Unmapped",IF($I450="","No target",IF($Z450&lt;0,"Overdue",IF($Z450&lt;=INDEX(StageWindow,$Y450),"At risk","On track"))))))</f>
        <v/>
      </c>
      <c r="AC450" s="65" t="str">
        <f aca="false">IF($Y450="","",IF($AA450&gt;2*INDEX(StageStale,$Y450),"Stale",IF($AA450&gt;INDEX(StageStale,$Y450),"Aging","Fresh")))</f>
        <v/>
      </c>
      <c r="AD450" s="65" t="str">
        <f aca="false">IF($A450="","",IF(OR(ISNUMBER(SEARCH("Reg report",$J450)),ISNUMBER(SEARCH("No human review",$J450)),COUNTIF(TierFuncs,$D450)&gt;0),"High",IF(OR(TRIM($J450)&lt;&gt;"",ISNUMBER(SEARCH("revenue",$K450))),"Medium","Low")))</f>
        <v/>
      </c>
      <c r="AE450" s="65" t="str">
        <f aca="false">IF($A450="","",INDEX(TierDays,MATCH($AD450,TierName,0)))</f>
        <v/>
      </c>
      <c r="AF450" s="65" t="str">
        <f aca="false">IF($A450="","",AsOf-$G450)</f>
        <v/>
      </c>
      <c r="AG450" s="65" t="str">
        <f aca="false">IF($Y450="","",IF($Y450&lt;=5,IF($AF450&gt;$AE450,"Over","Inside"),"Past approval"))</f>
        <v/>
      </c>
      <c r="AH450" s="65" t="str">
        <f aca="false">IF($Y450="","",CHOOSE($Y450,IF(OR(TRIM($F450)="",ISNUMBER(SEARCH("not named",$F450))),"Critical","Good"),IF($O450&lt;&gt;"Y","Critical",IF($Q450&lt;&gt;"Y","Warning","Good")),IF($P450="","Critical",IF($P450="partial","Warning",IF($P450="ready","Good","Critical"))),IF($R450&lt;&gt;"","Critical","Warning"),IF($L450="","Critical",IF($N450="","Warning","Good")),IF($R450&lt;&gt;"","Critical","Warning"),IF($R450&lt;&gt;"","Critical","Warning"),IF($Q450="Y","Good","Critical")))</f>
        <v/>
      </c>
      <c r="AI450" s="65" t="str">
        <f aca="false">IF($Y450="","",CHOOSE($Y450,IF(OR(TRIM($F450)="",ISNUMBER(SEARCH("not named",$F450))),"Name a sponsor accountable for the value",""),IF($O450&lt;&gt;"Y","State the success metric and the stop condition",IF($Q450&lt;&gt;"Y","Set the baseline the benefit will be measured against","")),IF($P450="","Assess data readiness and regulatory impact",IF($P450="partial","Close the known data gaps",IF($P450="ready","","Data is not available; reshape or park"))),IF($R450&lt;&gt;"",IF(OR(ISNUMBER(SEARCH("mrm",$R450)),ISNUMBER(SEARCH("model",$R450)),ISNUMBER(SEARCH("risk",$R450)),ISNUMBER(SEARCH("legal",$R450)),ISNUMBER(SEARCH("complian",$R450))),"Awaiting ","Held at the design gate: ")&amp;$R450,"Map the governance framework for its tier"),IF($L450="","Size the annual benefit",IF($N450="","Score it so it can be ranked against capacity","")),IF($R450&lt;&gt;"","Build held: "&amp;$R450,"In build, not yet through test"),IF($R450&lt;&gt;"","Not ready to scale: "&amp;$R450,"Monitoring and third-party review not yet signed off"),IF($Q450="Y","","Live without a measured baseline to judge it against")))</f>
        <v/>
      </c>
      <c r="AJ450" s="65" t="str">
        <f aca="false">IF($Y450="","",INDEX(StageForum,$Y450))</f>
        <v/>
      </c>
      <c r="AK450" s="65" t="str">
        <f aca="false">IF($Y450="","",IF(OR($X450="Delivery",$X450="Value"),"Committed",IF($N450&lt;&gt;"","Candidate","")))</f>
        <v/>
      </c>
      <c r="AL450" s="65" t="str">
        <f aca="false">IF($AK450&lt;&gt;"Candidate","",COUNTIFS($AK$2:$AK$501,"Candidate",$N$2:$N$501,"&gt;"&amp;$N450)+COUNTIFS($AK$2:$AK$501,"Candidate",$N$2:$N$501,$N450,$A$2:$A$501,"&lt;"&amp;$A450)+1)</f>
        <v/>
      </c>
      <c r="AM450" s="65" t="str">
        <f aca="false">IF($AL450="","",SUMIFS($M$2:$M$501,$AK$2:$AK$501,"Candidate",$AL$2:$AL$501,"&lt;="&amp;$AL450))</f>
        <v/>
      </c>
      <c r="AN450" s="65" t="str">
        <f aca="false">IF($AL450="","",IF($AM450&lt;=CapacityOpen,"Fits","Below line"))</f>
        <v/>
      </c>
      <c r="AO450" s="65" t="str">
        <f aca="false">IF($A450="","",IF($X450="Closed","",IF($X450="Unmapped","Warning",IF(OR($AB450="Overdue",$V450="Y",$AH450="Critical"),"Critical",IF(OR($AB450="At risk",$AC450="Stale",$AG450="Over"),"Warning","")))))</f>
        <v/>
      </c>
      <c r="AP450" s="65" t="str">
        <f aca="false">IF($AO450="","",IF($AO450="Critical",3000,2000)-IF($Z450="",0,$Z450)+ROW()/100000)</f>
        <v/>
      </c>
      <c r="AQ450" s="65" t="str">
        <f aca="false">IF($AO450="","",IF($X450="Unmapped","Status '"&amp;$C450&amp;"' is not in the Config map",IF($V450="Y","Flagged in Jira",IF($AB450="Overdue",-$Z450&amp;" days past its "&amp;$X450&amp;" target",IF($AH450="Critical",$AI450,IF($AB450="At risk","Target in "&amp;$Z450&amp;" days",IF($AC450="Stale","No update in "&amp;$AA450&amp;" days","Past its "&amp;$AE450&amp;"-day tier window")))))))</f>
        <v/>
      </c>
      <c r="AR450" s="65" t="str">
        <f aca="false">IF($AO450="","","draft Jira update for "&amp;$A450)</f>
        <v/>
      </c>
      <c r="AS450" s="65" t="str">
        <f aca="false">IF($A450="","",HYPERLINK(JiraSite&amp;"/browse/"&amp;$A450,"open"))</f>
        <v/>
      </c>
      <c r="AT450" s="65" t="str">
        <f aca="false">IF($Y450="","",$Y450*1000+ROW())</f>
        <v/>
      </c>
      <c r="AU450" s="65" t="str">
        <f aca="false">IF(AND($A450&lt;&gt;"",$G450&gt;=WeekStart),$G450+ROW()/100000,"")</f>
        <v/>
      </c>
      <c r="AV450" s="65" t="str">
        <f aca="false">IF($A450="","",IF(OR(AND($S450&lt;&gt;"",$S450&gt;=WeekStart),AND($U450&lt;&gt;"",$U450&gt;=WeekStart)),MAX($S450,$U450)+ROW()/100000,""))</f>
        <v/>
      </c>
      <c r="AW450" s="65" t="str">
        <f aca="false">IF($AV450="","",IF($T450&lt;&gt;"",$T450,IF($X450="Closed","Closed","Accepted to "&amp;$X450)))</f>
        <v/>
      </c>
      <c r="AX450" s="65" t="str">
        <f aca="false">IF(AND($Y450&lt;&gt;"",$R450&lt;&gt;""),$AF450+ROW()/100000,"")</f>
        <v/>
      </c>
      <c r="AY450" s="65" t="str">
        <f aca="false">IF(AND($Y450&lt;&gt;"",OR($AB450="Overdue",AND($AH450="Critical",$R450&lt;&gt;""))),$AF450+ROW()/100000,"")</f>
        <v/>
      </c>
      <c r="AZ450" s="65" t="str">
        <f aca="false">IF($AH450="Critical",$AF450+ROW()/100000,"")</f>
        <v/>
      </c>
    </row>
    <row r="451" customFormat="false" ht="15" hidden="false" customHeight="false" outlineLevel="0" collapsed="false">
      <c r="A451" s="28"/>
      <c r="B451" s="28"/>
      <c r="C451" s="28"/>
      <c r="D451" s="28"/>
      <c r="E451" s="28"/>
      <c r="F451" s="28"/>
      <c r="G451" s="63"/>
      <c r="H451" s="63"/>
      <c r="I451" s="63"/>
      <c r="J451" s="28"/>
      <c r="K451" s="28"/>
      <c r="L451" s="28"/>
      <c r="M451" s="28"/>
      <c r="N451" s="28"/>
      <c r="O451" s="64"/>
      <c r="P451" s="64"/>
      <c r="Q451" s="64"/>
      <c r="R451" s="28"/>
      <c r="S451" s="63"/>
      <c r="T451" s="64"/>
      <c r="U451" s="63"/>
      <c r="V451" s="64"/>
      <c r="W451" s="28"/>
      <c r="X451" s="65" t="str">
        <f aca="false">IF($A451="","",IF(OR($T451&lt;&gt;"",$U451&lt;&gt;""),"Closed",IFERROR(INDEX(MapStage,MATCH($C451,MapStatus,0)),"Unmapped")))</f>
        <v/>
      </c>
      <c r="Y451" s="65" t="str">
        <f aca="false">IF(OR($X451="",$X451="Closed",$X451="Unmapped"),"",MATCH($X451,StageName,0))</f>
        <v/>
      </c>
      <c r="Z451" s="65" t="str">
        <f aca="false">IF(OR($Y451="",$I451=""),"",$I451-AsOf)</f>
        <v/>
      </c>
      <c r="AA451" s="65" t="str">
        <f aca="false">IF($A451="","",AsOf-$H451)</f>
        <v/>
      </c>
      <c r="AB451" s="65" t="str">
        <f aca="false">IF($A451="","",IF($X451="Closed","Closed",IF($X451="Unmapped","Unmapped",IF($I451="","No target",IF($Z451&lt;0,"Overdue",IF($Z451&lt;=INDEX(StageWindow,$Y451),"At risk","On track"))))))</f>
        <v/>
      </c>
      <c r="AC451" s="65" t="str">
        <f aca="false">IF($Y451="","",IF($AA451&gt;2*INDEX(StageStale,$Y451),"Stale",IF($AA451&gt;INDEX(StageStale,$Y451),"Aging","Fresh")))</f>
        <v/>
      </c>
      <c r="AD451" s="65" t="str">
        <f aca="false">IF($A451="","",IF(OR(ISNUMBER(SEARCH("Reg report",$J451)),ISNUMBER(SEARCH("No human review",$J451)),COUNTIF(TierFuncs,$D451)&gt;0),"High",IF(OR(TRIM($J451)&lt;&gt;"",ISNUMBER(SEARCH("revenue",$K451))),"Medium","Low")))</f>
        <v/>
      </c>
      <c r="AE451" s="65" t="str">
        <f aca="false">IF($A451="","",INDEX(TierDays,MATCH($AD451,TierName,0)))</f>
        <v/>
      </c>
      <c r="AF451" s="65" t="str">
        <f aca="false">IF($A451="","",AsOf-$G451)</f>
        <v/>
      </c>
      <c r="AG451" s="65" t="str">
        <f aca="false">IF($Y451="","",IF($Y451&lt;=5,IF($AF451&gt;$AE451,"Over","Inside"),"Past approval"))</f>
        <v/>
      </c>
      <c r="AH451" s="65" t="str">
        <f aca="false">IF($Y451="","",CHOOSE($Y451,IF(OR(TRIM($F451)="",ISNUMBER(SEARCH("not named",$F451))),"Critical","Good"),IF($O451&lt;&gt;"Y","Critical",IF($Q451&lt;&gt;"Y","Warning","Good")),IF($P451="","Critical",IF($P451="partial","Warning",IF($P451="ready","Good","Critical"))),IF($R451&lt;&gt;"","Critical","Warning"),IF($L451="","Critical",IF($N451="","Warning","Good")),IF($R451&lt;&gt;"","Critical","Warning"),IF($R451&lt;&gt;"","Critical","Warning"),IF($Q451="Y","Good","Critical")))</f>
        <v/>
      </c>
      <c r="AI451" s="65" t="str">
        <f aca="false">IF($Y451="","",CHOOSE($Y451,IF(OR(TRIM($F451)="",ISNUMBER(SEARCH("not named",$F451))),"Name a sponsor accountable for the value",""),IF($O451&lt;&gt;"Y","State the success metric and the stop condition",IF($Q451&lt;&gt;"Y","Set the baseline the benefit will be measured against","")),IF($P451="","Assess data readiness and regulatory impact",IF($P451="partial","Close the known data gaps",IF($P451="ready","","Data is not available; reshape or park"))),IF($R451&lt;&gt;"",IF(OR(ISNUMBER(SEARCH("mrm",$R451)),ISNUMBER(SEARCH("model",$R451)),ISNUMBER(SEARCH("risk",$R451)),ISNUMBER(SEARCH("legal",$R451)),ISNUMBER(SEARCH("complian",$R451))),"Awaiting ","Held at the design gate: ")&amp;$R451,"Map the governance framework for its tier"),IF($L451="","Size the annual benefit",IF($N451="","Score it so it can be ranked against capacity","")),IF($R451&lt;&gt;"","Build held: "&amp;$R451,"In build, not yet through test"),IF($R451&lt;&gt;"","Not ready to scale: "&amp;$R451,"Monitoring and third-party review not yet signed off"),IF($Q451="Y","","Live without a measured baseline to judge it against")))</f>
        <v/>
      </c>
      <c r="AJ451" s="65" t="str">
        <f aca="false">IF($Y451="","",INDEX(StageForum,$Y451))</f>
        <v/>
      </c>
      <c r="AK451" s="65" t="str">
        <f aca="false">IF($Y451="","",IF(OR($X451="Delivery",$X451="Value"),"Committed",IF($N451&lt;&gt;"","Candidate","")))</f>
        <v/>
      </c>
      <c r="AL451" s="65" t="str">
        <f aca="false">IF($AK451&lt;&gt;"Candidate","",COUNTIFS($AK$2:$AK$501,"Candidate",$N$2:$N$501,"&gt;"&amp;$N451)+COUNTIFS($AK$2:$AK$501,"Candidate",$N$2:$N$501,$N451,$A$2:$A$501,"&lt;"&amp;$A451)+1)</f>
        <v/>
      </c>
      <c r="AM451" s="65" t="str">
        <f aca="false">IF($AL451="","",SUMIFS($M$2:$M$501,$AK$2:$AK$501,"Candidate",$AL$2:$AL$501,"&lt;="&amp;$AL451))</f>
        <v/>
      </c>
      <c r="AN451" s="65" t="str">
        <f aca="false">IF($AL451="","",IF($AM451&lt;=CapacityOpen,"Fits","Below line"))</f>
        <v/>
      </c>
      <c r="AO451" s="65" t="str">
        <f aca="false">IF($A451="","",IF($X451="Closed","",IF($X451="Unmapped","Warning",IF(OR($AB451="Overdue",$V451="Y",$AH451="Critical"),"Critical",IF(OR($AB451="At risk",$AC451="Stale",$AG451="Over"),"Warning","")))))</f>
        <v/>
      </c>
      <c r="AP451" s="65" t="str">
        <f aca="false">IF($AO451="","",IF($AO451="Critical",3000,2000)-IF($Z451="",0,$Z451)+ROW()/100000)</f>
        <v/>
      </c>
      <c r="AQ451" s="65" t="str">
        <f aca="false">IF($AO451="","",IF($X451="Unmapped","Status '"&amp;$C451&amp;"' is not in the Config map",IF($V451="Y","Flagged in Jira",IF($AB451="Overdue",-$Z451&amp;" days past its "&amp;$X451&amp;" target",IF($AH451="Critical",$AI451,IF($AB451="At risk","Target in "&amp;$Z451&amp;" days",IF($AC451="Stale","No update in "&amp;$AA451&amp;" days","Past its "&amp;$AE451&amp;"-day tier window")))))))</f>
        <v/>
      </c>
      <c r="AR451" s="65" t="str">
        <f aca="false">IF($AO451="","","draft Jira update for "&amp;$A451)</f>
        <v/>
      </c>
      <c r="AS451" s="65" t="str">
        <f aca="false">IF($A451="","",HYPERLINK(JiraSite&amp;"/browse/"&amp;$A451,"open"))</f>
        <v/>
      </c>
      <c r="AT451" s="65" t="str">
        <f aca="false">IF($Y451="","",$Y451*1000+ROW())</f>
        <v/>
      </c>
      <c r="AU451" s="65" t="str">
        <f aca="false">IF(AND($A451&lt;&gt;"",$G451&gt;=WeekStart),$G451+ROW()/100000,"")</f>
        <v/>
      </c>
      <c r="AV451" s="65" t="str">
        <f aca="false">IF($A451="","",IF(OR(AND($S451&lt;&gt;"",$S451&gt;=WeekStart),AND($U451&lt;&gt;"",$U451&gt;=WeekStart)),MAX($S451,$U451)+ROW()/100000,""))</f>
        <v/>
      </c>
      <c r="AW451" s="65" t="str">
        <f aca="false">IF($AV451="","",IF($T451&lt;&gt;"",$T451,IF($X451="Closed","Closed","Accepted to "&amp;$X451)))</f>
        <v/>
      </c>
      <c r="AX451" s="65" t="str">
        <f aca="false">IF(AND($Y451&lt;&gt;"",$R451&lt;&gt;""),$AF451+ROW()/100000,"")</f>
        <v/>
      </c>
      <c r="AY451" s="65" t="str">
        <f aca="false">IF(AND($Y451&lt;&gt;"",OR($AB451="Overdue",AND($AH451="Critical",$R451&lt;&gt;""))),$AF451+ROW()/100000,"")</f>
        <v/>
      </c>
      <c r="AZ451" s="65" t="str">
        <f aca="false">IF($AH451="Critical",$AF451+ROW()/100000,"")</f>
        <v/>
      </c>
    </row>
    <row r="452" customFormat="false" ht="15" hidden="false" customHeight="false" outlineLevel="0" collapsed="false">
      <c r="A452" s="28"/>
      <c r="B452" s="28"/>
      <c r="C452" s="28"/>
      <c r="D452" s="28"/>
      <c r="E452" s="28"/>
      <c r="F452" s="28"/>
      <c r="G452" s="63"/>
      <c r="H452" s="63"/>
      <c r="I452" s="63"/>
      <c r="J452" s="28"/>
      <c r="K452" s="28"/>
      <c r="L452" s="28"/>
      <c r="M452" s="28"/>
      <c r="N452" s="28"/>
      <c r="O452" s="64"/>
      <c r="P452" s="64"/>
      <c r="Q452" s="64"/>
      <c r="R452" s="28"/>
      <c r="S452" s="63"/>
      <c r="T452" s="64"/>
      <c r="U452" s="63"/>
      <c r="V452" s="64"/>
      <c r="W452" s="28"/>
      <c r="X452" s="65" t="str">
        <f aca="false">IF($A452="","",IF(OR($T452&lt;&gt;"",$U452&lt;&gt;""),"Closed",IFERROR(INDEX(MapStage,MATCH($C452,MapStatus,0)),"Unmapped")))</f>
        <v/>
      </c>
      <c r="Y452" s="65" t="str">
        <f aca="false">IF(OR($X452="",$X452="Closed",$X452="Unmapped"),"",MATCH($X452,StageName,0))</f>
        <v/>
      </c>
      <c r="Z452" s="65" t="str">
        <f aca="false">IF(OR($Y452="",$I452=""),"",$I452-AsOf)</f>
        <v/>
      </c>
      <c r="AA452" s="65" t="str">
        <f aca="false">IF($A452="","",AsOf-$H452)</f>
        <v/>
      </c>
      <c r="AB452" s="65" t="str">
        <f aca="false">IF($A452="","",IF($X452="Closed","Closed",IF($X452="Unmapped","Unmapped",IF($I452="","No target",IF($Z452&lt;0,"Overdue",IF($Z452&lt;=INDEX(StageWindow,$Y452),"At risk","On track"))))))</f>
        <v/>
      </c>
      <c r="AC452" s="65" t="str">
        <f aca="false">IF($Y452="","",IF($AA452&gt;2*INDEX(StageStale,$Y452),"Stale",IF($AA452&gt;INDEX(StageStale,$Y452),"Aging","Fresh")))</f>
        <v/>
      </c>
      <c r="AD452" s="65" t="str">
        <f aca="false">IF($A452="","",IF(OR(ISNUMBER(SEARCH("Reg report",$J452)),ISNUMBER(SEARCH("No human review",$J452)),COUNTIF(TierFuncs,$D452)&gt;0),"High",IF(OR(TRIM($J452)&lt;&gt;"",ISNUMBER(SEARCH("revenue",$K452))),"Medium","Low")))</f>
        <v/>
      </c>
      <c r="AE452" s="65" t="str">
        <f aca="false">IF($A452="","",INDEX(TierDays,MATCH($AD452,TierName,0)))</f>
        <v/>
      </c>
      <c r="AF452" s="65" t="str">
        <f aca="false">IF($A452="","",AsOf-$G452)</f>
        <v/>
      </c>
      <c r="AG452" s="65" t="str">
        <f aca="false">IF($Y452="","",IF($Y452&lt;=5,IF($AF452&gt;$AE452,"Over","Inside"),"Past approval"))</f>
        <v/>
      </c>
      <c r="AH452" s="65" t="str">
        <f aca="false">IF($Y452="","",CHOOSE($Y452,IF(OR(TRIM($F452)="",ISNUMBER(SEARCH("not named",$F452))),"Critical","Good"),IF($O452&lt;&gt;"Y","Critical",IF($Q452&lt;&gt;"Y","Warning","Good")),IF($P452="","Critical",IF($P452="partial","Warning",IF($P452="ready","Good","Critical"))),IF($R452&lt;&gt;"","Critical","Warning"),IF($L452="","Critical",IF($N452="","Warning","Good")),IF($R452&lt;&gt;"","Critical","Warning"),IF($R452&lt;&gt;"","Critical","Warning"),IF($Q452="Y","Good","Critical")))</f>
        <v/>
      </c>
      <c r="AI452" s="65" t="str">
        <f aca="false">IF($Y452="","",CHOOSE($Y452,IF(OR(TRIM($F452)="",ISNUMBER(SEARCH("not named",$F452))),"Name a sponsor accountable for the value",""),IF($O452&lt;&gt;"Y","State the success metric and the stop condition",IF($Q452&lt;&gt;"Y","Set the baseline the benefit will be measured against","")),IF($P452="","Assess data readiness and regulatory impact",IF($P452="partial","Close the known data gaps",IF($P452="ready","","Data is not available; reshape or park"))),IF($R452&lt;&gt;"",IF(OR(ISNUMBER(SEARCH("mrm",$R452)),ISNUMBER(SEARCH("model",$R452)),ISNUMBER(SEARCH("risk",$R452)),ISNUMBER(SEARCH("legal",$R452)),ISNUMBER(SEARCH("complian",$R452))),"Awaiting ","Held at the design gate: ")&amp;$R452,"Map the governance framework for its tier"),IF($L452="","Size the annual benefit",IF($N452="","Score it so it can be ranked against capacity","")),IF($R452&lt;&gt;"","Build held: "&amp;$R452,"In build, not yet through test"),IF($R452&lt;&gt;"","Not ready to scale: "&amp;$R452,"Monitoring and third-party review not yet signed off"),IF($Q452="Y","","Live without a measured baseline to judge it against")))</f>
        <v/>
      </c>
      <c r="AJ452" s="65" t="str">
        <f aca="false">IF($Y452="","",INDEX(StageForum,$Y452))</f>
        <v/>
      </c>
      <c r="AK452" s="65" t="str">
        <f aca="false">IF($Y452="","",IF(OR($X452="Delivery",$X452="Value"),"Committed",IF($N452&lt;&gt;"","Candidate","")))</f>
        <v/>
      </c>
      <c r="AL452" s="65" t="str">
        <f aca="false">IF($AK452&lt;&gt;"Candidate","",COUNTIFS($AK$2:$AK$501,"Candidate",$N$2:$N$501,"&gt;"&amp;$N452)+COUNTIFS($AK$2:$AK$501,"Candidate",$N$2:$N$501,$N452,$A$2:$A$501,"&lt;"&amp;$A452)+1)</f>
        <v/>
      </c>
      <c r="AM452" s="65" t="str">
        <f aca="false">IF($AL452="","",SUMIFS($M$2:$M$501,$AK$2:$AK$501,"Candidate",$AL$2:$AL$501,"&lt;="&amp;$AL452))</f>
        <v/>
      </c>
      <c r="AN452" s="65" t="str">
        <f aca="false">IF($AL452="","",IF($AM452&lt;=CapacityOpen,"Fits","Below line"))</f>
        <v/>
      </c>
      <c r="AO452" s="65" t="str">
        <f aca="false">IF($A452="","",IF($X452="Closed","",IF($X452="Unmapped","Warning",IF(OR($AB452="Overdue",$V452="Y",$AH452="Critical"),"Critical",IF(OR($AB452="At risk",$AC452="Stale",$AG452="Over"),"Warning","")))))</f>
        <v/>
      </c>
      <c r="AP452" s="65" t="str">
        <f aca="false">IF($AO452="","",IF($AO452="Critical",3000,2000)-IF($Z452="",0,$Z452)+ROW()/100000)</f>
        <v/>
      </c>
      <c r="AQ452" s="65" t="str">
        <f aca="false">IF($AO452="","",IF($X452="Unmapped","Status '"&amp;$C452&amp;"' is not in the Config map",IF($V452="Y","Flagged in Jira",IF($AB452="Overdue",-$Z452&amp;" days past its "&amp;$X452&amp;" target",IF($AH452="Critical",$AI452,IF($AB452="At risk","Target in "&amp;$Z452&amp;" days",IF($AC452="Stale","No update in "&amp;$AA452&amp;" days","Past its "&amp;$AE452&amp;"-day tier window")))))))</f>
        <v/>
      </c>
      <c r="AR452" s="65" t="str">
        <f aca="false">IF($AO452="","","draft Jira update for "&amp;$A452)</f>
        <v/>
      </c>
      <c r="AS452" s="65" t="str">
        <f aca="false">IF($A452="","",HYPERLINK(JiraSite&amp;"/browse/"&amp;$A452,"open"))</f>
        <v/>
      </c>
      <c r="AT452" s="65" t="str">
        <f aca="false">IF($Y452="","",$Y452*1000+ROW())</f>
        <v/>
      </c>
      <c r="AU452" s="65" t="str">
        <f aca="false">IF(AND($A452&lt;&gt;"",$G452&gt;=WeekStart),$G452+ROW()/100000,"")</f>
        <v/>
      </c>
      <c r="AV452" s="65" t="str">
        <f aca="false">IF($A452="","",IF(OR(AND($S452&lt;&gt;"",$S452&gt;=WeekStart),AND($U452&lt;&gt;"",$U452&gt;=WeekStart)),MAX($S452,$U452)+ROW()/100000,""))</f>
        <v/>
      </c>
      <c r="AW452" s="65" t="str">
        <f aca="false">IF($AV452="","",IF($T452&lt;&gt;"",$T452,IF($X452="Closed","Closed","Accepted to "&amp;$X452)))</f>
        <v/>
      </c>
      <c r="AX452" s="65" t="str">
        <f aca="false">IF(AND($Y452&lt;&gt;"",$R452&lt;&gt;""),$AF452+ROW()/100000,"")</f>
        <v/>
      </c>
      <c r="AY452" s="65" t="str">
        <f aca="false">IF(AND($Y452&lt;&gt;"",OR($AB452="Overdue",AND($AH452="Critical",$R452&lt;&gt;""))),$AF452+ROW()/100000,"")</f>
        <v/>
      </c>
      <c r="AZ452" s="65" t="str">
        <f aca="false">IF($AH452="Critical",$AF452+ROW()/100000,"")</f>
        <v/>
      </c>
    </row>
    <row r="453" customFormat="false" ht="15" hidden="false" customHeight="false" outlineLevel="0" collapsed="false">
      <c r="A453" s="28"/>
      <c r="B453" s="28"/>
      <c r="C453" s="28"/>
      <c r="D453" s="28"/>
      <c r="E453" s="28"/>
      <c r="F453" s="28"/>
      <c r="G453" s="63"/>
      <c r="H453" s="63"/>
      <c r="I453" s="63"/>
      <c r="J453" s="28"/>
      <c r="K453" s="28"/>
      <c r="L453" s="28"/>
      <c r="M453" s="28"/>
      <c r="N453" s="28"/>
      <c r="O453" s="64"/>
      <c r="P453" s="64"/>
      <c r="Q453" s="64"/>
      <c r="R453" s="28"/>
      <c r="S453" s="63"/>
      <c r="T453" s="64"/>
      <c r="U453" s="63"/>
      <c r="V453" s="64"/>
      <c r="W453" s="28"/>
      <c r="X453" s="65" t="str">
        <f aca="false">IF($A453="","",IF(OR($T453&lt;&gt;"",$U453&lt;&gt;""),"Closed",IFERROR(INDEX(MapStage,MATCH($C453,MapStatus,0)),"Unmapped")))</f>
        <v/>
      </c>
      <c r="Y453" s="65" t="str">
        <f aca="false">IF(OR($X453="",$X453="Closed",$X453="Unmapped"),"",MATCH($X453,StageName,0))</f>
        <v/>
      </c>
      <c r="Z453" s="65" t="str">
        <f aca="false">IF(OR($Y453="",$I453=""),"",$I453-AsOf)</f>
        <v/>
      </c>
      <c r="AA453" s="65" t="str">
        <f aca="false">IF($A453="","",AsOf-$H453)</f>
        <v/>
      </c>
      <c r="AB453" s="65" t="str">
        <f aca="false">IF($A453="","",IF($X453="Closed","Closed",IF($X453="Unmapped","Unmapped",IF($I453="","No target",IF($Z453&lt;0,"Overdue",IF($Z453&lt;=INDEX(StageWindow,$Y453),"At risk","On track"))))))</f>
        <v/>
      </c>
      <c r="AC453" s="65" t="str">
        <f aca="false">IF($Y453="","",IF($AA453&gt;2*INDEX(StageStale,$Y453),"Stale",IF($AA453&gt;INDEX(StageStale,$Y453),"Aging","Fresh")))</f>
        <v/>
      </c>
      <c r="AD453" s="65" t="str">
        <f aca="false">IF($A453="","",IF(OR(ISNUMBER(SEARCH("Reg report",$J453)),ISNUMBER(SEARCH("No human review",$J453)),COUNTIF(TierFuncs,$D453)&gt;0),"High",IF(OR(TRIM($J453)&lt;&gt;"",ISNUMBER(SEARCH("revenue",$K453))),"Medium","Low")))</f>
        <v/>
      </c>
      <c r="AE453" s="65" t="str">
        <f aca="false">IF($A453="","",INDEX(TierDays,MATCH($AD453,TierName,0)))</f>
        <v/>
      </c>
      <c r="AF453" s="65" t="str">
        <f aca="false">IF($A453="","",AsOf-$G453)</f>
        <v/>
      </c>
      <c r="AG453" s="65" t="str">
        <f aca="false">IF($Y453="","",IF($Y453&lt;=5,IF($AF453&gt;$AE453,"Over","Inside"),"Past approval"))</f>
        <v/>
      </c>
      <c r="AH453" s="65" t="str">
        <f aca="false">IF($Y453="","",CHOOSE($Y453,IF(OR(TRIM($F453)="",ISNUMBER(SEARCH("not named",$F453))),"Critical","Good"),IF($O453&lt;&gt;"Y","Critical",IF($Q453&lt;&gt;"Y","Warning","Good")),IF($P453="","Critical",IF($P453="partial","Warning",IF($P453="ready","Good","Critical"))),IF($R453&lt;&gt;"","Critical","Warning"),IF($L453="","Critical",IF($N453="","Warning","Good")),IF($R453&lt;&gt;"","Critical","Warning"),IF($R453&lt;&gt;"","Critical","Warning"),IF($Q453="Y","Good","Critical")))</f>
        <v/>
      </c>
      <c r="AI453" s="65" t="str">
        <f aca="false">IF($Y453="","",CHOOSE($Y453,IF(OR(TRIM($F453)="",ISNUMBER(SEARCH("not named",$F453))),"Name a sponsor accountable for the value",""),IF($O453&lt;&gt;"Y","State the success metric and the stop condition",IF($Q453&lt;&gt;"Y","Set the baseline the benefit will be measured against","")),IF($P453="","Assess data readiness and regulatory impact",IF($P453="partial","Close the known data gaps",IF($P453="ready","","Data is not available; reshape or park"))),IF($R453&lt;&gt;"",IF(OR(ISNUMBER(SEARCH("mrm",$R453)),ISNUMBER(SEARCH("model",$R453)),ISNUMBER(SEARCH("risk",$R453)),ISNUMBER(SEARCH("legal",$R453)),ISNUMBER(SEARCH("complian",$R453))),"Awaiting ","Held at the design gate: ")&amp;$R453,"Map the governance framework for its tier"),IF($L453="","Size the annual benefit",IF($N453="","Score it so it can be ranked against capacity","")),IF($R453&lt;&gt;"","Build held: "&amp;$R453,"In build, not yet through test"),IF($R453&lt;&gt;"","Not ready to scale: "&amp;$R453,"Monitoring and third-party review not yet signed off"),IF($Q453="Y","","Live without a measured baseline to judge it against")))</f>
        <v/>
      </c>
      <c r="AJ453" s="65" t="str">
        <f aca="false">IF($Y453="","",INDEX(StageForum,$Y453))</f>
        <v/>
      </c>
      <c r="AK453" s="65" t="str">
        <f aca="false">IF($Y453="","",IF(OR($X453="Delivery",$X453="Value"),"Committed",IF($N453&lt;&gt;"","Candidate","")))</f>
        <v/>
      </c>
      <c r="AL453" s="65" t="str">
        <f aca="false">IF($AK453&lt;&gt;"Candidate","",COUNTIFS($AK$2:$AK$501,"Candidate",$N$2:$N$501,"&gt;"&amp;$N453)+COUNTIFS($AK$2:$AK$501,"Candidate",$N$2:$N$501,$N453,$A$2:$A$501,"&lt;"&amp;$A453)+1)</f>
        <v/>
      </c>
      <c r="AM453" s="65" t="str">
        <f aca="false">IF($AL453="","",SUMIFS($M$2:$M$501,$AK$2:$AK$501,"Candidate",$AL$2:$AL$501,"&lt;="&amp;$AL453))</f>
        <v/>
      </c>
      <c r="AN453" s="65" t="str">
        <f aca="false">IF($AL453="","",IF($AM453&lt;=CapacityOpen,"Fits","Below line"))</f>
        <v/>
      </c>
      <c r="AO453" s="65" t="str">
        <f aca="false">IF($A453="","",IF($X453="Closed","",IF($X453="Unmapped","Warning",IF(OR($AB453="Overdue",$V453="Y",$AH453="Critical"),"Critical",IF(OR($AB453="At risk",$AC453="Stale",$AG453="Over"),"Warning","")))))</f>
        <v/>
      </c>
      <c r="AP453" s="65" t="str">
        <f aca="false">IF($AO453="","",IF($AO453="Critical",3000,2000)-IF($Z453="",0,$Z453)+ROW()/100000)</f>
        <v/>
      </c>
      <c r="AQ453" s="65" t="str">
        <f aca="false">IF($AO453="","",IF($X453="Unmapped","Status '"&amp;$C453&amp;"' is not in the Config map",IF($V453="Y","Flagged in Jira",IF($AB453="Overdue",-$Z453&amp;" days past its "&amp;$X453&amp;" target",IF($AH453="Critical",$AI453,IF($AB453="At risk","Target in "&amp;$Z453&amp;" days",IF($AC453="Stale","No update in "&amp;$AA453&amp;" days","Past its "&amp;$AE453&amp;"-day tier window")))))))</f>
        <v/>
      </c>
      <c r="AR453" s="65" t="str">
        <f aca="false">IF($AO453="","","draft Jira update for "&amp;$A453)</f>
        <v/>
      </c>
      <c r="AS453" s="65" t="str">
        <f aca="false">IF($A453="","",HYPERLINK(JiraSite&amp;"/browse/"&amp;$A453,"open"))</f>
        <v/>
      </c>
      <c r="AT453" s="65" t="str">
        <f aca="false">IF($Y453="","",$Y453*1000+ROW())</f>
        <v/>
      </c>
      <c r="AU453" s="65" t="str">
        <f aca="false">IF(AND($A453&lt;&gt;"",$G453&gt;=WeekStart),$G453+ROW()/100000,"")</f>
        <v/>
      </c>
      <c r="AV453" s="65" t="str">
        <f aca="false">IF($A453="","",IF(OR(AND($S453&lt;&gt;"",$S453&gt;=WeekStart),AND($U453&lt;&gt;"",$U453&gt;=WeekStart)),MAX($S453,$U453)+ROW()/100000,""))</f>
        <v/>
      </c>
      <c r="AW453" s="65" t="str">
        <f aca="false">IF($AV453="","",IF($T453&lt;&gt;"",$T453,IF($X453="Closed","Closed","Accepted to "&amp;$X453)))</f>
        <v/>
      </c>
      <c r="AX453" s="65" t="str">
        <f aca="false">IF(AND($Y453&lt;&gt;"",$R453&lt;&gt;""),$AF453+ROW()/100000,"")</f>
        <v/>
      </c>
      <c r="AY453" s="65" t="str">
        <f aca="false">IF(AND($Y453&lt;&gt;"",OR($AB453="Overdue",AND($AH453="Critical",$R453&lt;&gt;""))),$AF453+ROW()/100000,"")</f>
        <v/>
      </c>
      <c r="AZ453" s="65" t="str">
        <f aca="false">IF($AH453="Critical",$AF453+ROW()/100000,"")</f>
        <v/>
      </c>
    </row>
    <row r="454" customFormat="false" ht="15" hidden="false" customHeight="false" outlineLevel="0" collapsed="false">
      <c r="A454" s="28"/>
      <c r="B454" s="28"/>
      <c r="C454" s="28"/>
      <c r="D454" s="28"/>
      <c r="E454" s="28"/>
      <c r="F454" s="28"/>
      <c r="G454" s="63"/>
      <c r="H454" s="63"/>
      <c r="I454" s="63"/>
      <c r="J454" s="28"/>
      <c r="K454" s="28"/>
      <c r="L454" s="28"/>
      <c r="M454" s="28"/>
      <c r="N454" s="28"/>
      <c r="O454" s="64"/>
      <c r="P454" s="64"/>
      <c r="Q454" s="64"/>
      <c r="R454" s="28"/>
      <c r="S454" s="63"/>
      <c r="T454" s="64"/>
      <c r="U454" s="63"/>
      <c r="V454" s="64"/>
      <c r="W454" s="28"/>
      <c r="X454" s="65" t="str">
        <f aca="false">IF($A454="","",IF(OR($T454&lt;&gt;"",$U454&lt;&gt;""),"Closed",IFERROR(INDEX(MapStage,MATCH($C454,MapStatus,0)),"Unmapped")))</f>
        <v/>
      </c>
      <c r="Y454" s="65" t="str">
        <f aca="false">IF(OR($X454="",$X454="Closed",$X454="Unmapped"),"",MATCH($X454,StageName,0))</f>
        <v/>
      </c>
      <c r="Z454" s="65" t="str">
        <f aca="false">IF(OR($Y454="",$I454=""),"",$I454-AsOf)</f>
        <v/>
      </c>
      <c r="AA454" s="65" t="str">
        <f aca="false">IF($A454="","",AsOf-$H454)</f>
        <v/>
      </c>
      <c r="AB454" s="65" t="str">
        <f aca="false">IF($A454="","",IF($X454="Closed","Closed",IF($X454="Unmapped","Unmapped",IF($I454="","No target",IF($Z454&lt;0,"Overdue",IF($Z454&lt;=INDEX(StageWindow,$Y454),"At risk","On track"))))))</f>
        <v/>
      </c>
      <c r="AC454" s="65" t="str">
        <f aca="false">IF($Y454="","",IF($AA454&gt;2*INDEX(StageStale,$Y454),"Stale",IF($AA454&gt;INDEX(StageStale,$Y454),"Aging","Fresh")))</f>
        <v/>
      </c>
      <c r="AD454" s="65" t="str">
        <f aca="false">IF($A454="","",IF(OR(ISNUMBER(SEARCH("Reg report",$J454)),ISNUMBER(SEARCH("No human review",$J454)),COUNTIF(TierFuncs,$D454)&gt;0),"High",IF(OR(TRIM($J454)&lt;&gt;"",ISNUMBER(SEARCH("revenue",$K454))),"Medium","Low")))</f>
        <v/>
      </c>
      <c r="AE454" s="65" t="str">
        <f aca="false">IF($A454="","",INDEX(TierDays,MATCH($AD454,TierName,0)))</f>
        <v/>
      </c>
      <c r="AF454" s="65" t="str">
        <f aca="false">IF($A454="","",AsOf-$G454)</f>
        <v/>
      </c>
      <c r="AG454" s="65" t="str">
        <f aca="false">IF($Y454="","",IF($Y454&lt;=5,IF($AF454&gt;$AE454,"Over","Inside"),"Past approval"))</f>
        <v/>
      </c>
      <c r="AH454" s="65" t="str">
        <f aca="false">IF($Y454="","",CHOOSE($Y454,IF(OR(TRIM($F454)="",ISNUMBER(SEARCH("not named",$F454))),"Critical","Good"),IF($O454&lt;&gt;"Y","Critical",IF($Q454&lt;&gt;"Y","Warning","Good")),IF($P454="","Critical",IF($P454="partial","Warning",IF($P454="ready","Good","Critical"))),IF($R454&lt;&gt;"","Critical","Warning"),IF($L454="","Critical",IF($N454="","Warning","Good")),IF($R454&lt;&gt;"","Critical","Warning"),IF($R454&lt;&gt;"","Critical","Warning"),IF($Q454="Y","Good","Critical")))</f>
        <v/>
      </c>
      <c r="AI454" s="65" t="str">
        <f aca="false">IF($Y454="","",CHOOSE($Y454,IF(OR(TRIM($F454)="",ISNUMBER(SEARCH("not named",$F454))),"Name a sponsor accountable for the value",""),IF($O454&lt;&gt;"Y","State the success metric and the stop condition",IF($Q454&lt;&gt;"Y","Set the baseline the benefit will be measured against","")),IF($P454="","Assess data readiness and regulatory impact",IF($P454="partial","Close the known data gaps",IF($P454="ready","","Data is not available; reshape or park"))),IF($R454&lt;&gt;"",IF(OR(ISNUMBER(SEARCH("mrm",$R454)),ISNUMBER(SEARCH("model",$R454)),ISNUMBER(SEARCH("risk",$R454)),ISNUMBER(SEARCH("legal",$R454)),ISNUMBER(SEARCH("complian",$R454))),"Awaiting ","Held at the design gate: ")&amp;$R454,"Map the governance framework for its tier"),IF($L454="","Size the annual benefit",IF($N454="","Score it so it can be ranked against capacity","")),IF($R454&lt;&gt;"","Build held: "&amp;$R454,"In build, not yet through test"),IF($R454&lt;&gt;"","Not ready to scale: "&amp;$R454,"Monitoring and third-party review not yet signed off"),IF($Q454="Y","","Live without a measured baseline to judge it against")))</f>
        <v/>
      </c>
      <c r="AJ454" s="65" t="str">
        <f aca="false">IF($Y454="","",INDEX(StageForum,$Y454))</f>
        <v/>
      </c>
      <c r="AK454" s="65" t="str">
        <f aca="false">IF($Y454="","",IF(OR($X454="Delivery",$X454="Value"),"Committed",IF($N454&lt;&gt;"","Candidate","")))</f>
        <v/>
      </c>
      <c r="AL454" s="65" t="str">
        <f aca="false">IF($AK454&lt;&gt;"Candidate","",COUNTIFS($AK$2:$AK$501,"Candidate",$N$2:$N$501,"&gt;"&amp;$N454)+COUNTIFS($AK$2:$AK$501,"Candidate",$N$2:$N$501,$N454,$A$2:$A$501,"&lt;"&amp;$A454)+1)</f>
        <v/>
      </c>
      <c r="AM454" s="65" t="str">
        <f aca="false">IF($AL454="","",SUMIFS($M$2:$M$501,$AK$2:$AK$501,"Candidate",$AL$2:$AL$501,"&lt;="&amp;$AL454))</f>
        <v/>
      </c>
      <c r="AN454" s="65" t="str">
        <f aca="false">IF($AL454="","",IF($AM454&lt;=CapacityOpen,"Fits","Below line"))</f>
        <v/>
      </c>
      <c r="AO454" s="65" t="str">
        <f aca="false">IF($A454="","",IF($X454="Closed","",IF($X454="Unmapped","Warning",IF(OR($AB454="Overdue",$V454="Y",$AH454="Critical"),"Critical",IF(OR($AB454="At risk",$AC454="Stale",$AG454="Over"),"Warning","")))))</f>
        <v/>
      </c>
      <c r="AP454" s="65" t="str">
        <f aca="false">IF($AO454="","",IF($AO454="Critical",3000,2000)-IF($Z454="",0,$Z454)+ROW()/100000)</f>
        <v/>
      </c>
      <c r="AQ454" s="65" t="str">
        <f aca="false">IF($AO454="","",IF($X454="Unmapped","Status '"&amp;$C454&amp;"' is not in the Config map",IF($V454="Y","Flagged in Jira",IF($AB454="Overdue",-$Z454&amp;" days past its "&amp;$X454&amp;" target",IF($AH454="Critical",$AI454,IF($AB454="At risk","Target in "&amp;$Z454&amp;" days",IF($AC454="Stale","No update in "&amp;$AA454&amp;" days","Past its "&amp;$AE454&amp;"-day tier window")))))))</f>
        <v/>
      </c>
      <c r="AR454" s="65" t="str">
        <f aca="false">IF($AO454="","","draft Jira update for "&amp;$A454)</f>
        <v/>
      </c>
      <c r="AS454" s="65" t="str">
        <f aca="false">IF($A454="","",HYPERLINK(JiraSite&amp;"/browse/"&amp;$A454,"open"))</f>
        <v/>
      </c>
      <c r="AT454" s="65" t="str">
        <f aca="false">IF($Y454="","",$Y454*1000+ROW())</f>
        <v/>
      </c>
      <c r="AU454" s="65" t="str">
        <f aca="false">IF(AND($A454&lt;&gt;"",$G454&gt;=WeekStart),$G454+ROW()/100000,"")</f>
        <v/>
      </c>
      <c r="AV454" s="65" t="str">
        <f aca="false">IF($A454="","",IF(OR(AND($S454&lt;&gt;"",$S454&gt;=WeekStart),AND($U454&lt;&gt;"",$U454&gt;=WeekStart)),MAX($S454,$U454)+ROW()/100000,""))</f>
        <v/>
      </c>
      <c r="AW454" s="65" t="str">
        <f aca="false">IF($AV454="","",IF($T454&lt;&gt;"",$T454,IF($X454="Closed","Closed","Accepted to "&amp;$X454)))</f>
        <v/>
      </c>
      <c r="AX454" s="65" t="str">
        <f aca="false">IF(AND($Y454&lt;&gt;"",$R454&lt;&gt;""),$AF454+ROW()/100000,"")</f>
        <v/>
      </c>
      <c r="AY454" s="65" t="str">
        <f aca="false">IF(AND($Y454&lt;&gt;"",OR($AB454="Overdue",AND($AH454="Critical",$R454&lt;&gt;""))),$AF454+ROW()/100000,"")</f>
        <v/>
      </c>
      <c r="AZ454" s="65" t="str">
        <f aca="false">IF($AH454="Critical",$AF454+ROW()/100000,"")</f>
        <v/>
      </c>
    </row>
    <row r="455" customFormat="false" ht="15" hidden="false" customHeight="false" outlineLevel="0" collapsed="false">
      <c r="A455" s="28"/>
      <c r="B455" s="28"/>
      <c r="C455" s="28"/>
      <c r="D455" s="28"/>
      <c r="E455" s="28"/>
      <c r="F455" s="28"/>
      <c r="G455" s="63"/>
      <c r="H455" s="63"/>
      <c r="I455" s="63"/>
      <c r="J455" s="28"/>
      <c r="K455" s="28"/>
      <c r="L455" s="28"/>
      <c r="M455" s="28"/>
      <c r="N455" s="28"/>
      <c r="O455" s="64"/>
      <c r="P455" s="64"/>
      <c r="Q455" s="64"/>
      <c r="R455" s="28"/>
      <c r="S455" s="63"/>
      <c r="T455" s="64"/>
      <c r="U455" s="63"/>
      <c r="V455" s="64"/>
      <c r="W455" s="28"/>
      <c r="X455" s="65" t="str">
        <f aca="false">IF($A455="","",IF(OR($T455&lt;&gt;"",$U455&lt;&gt;""),"Closed",IFERROR(INDEX(MapStage,MATCH($C455,MapStatus,0)),"Unmapped")))</f>
        <v/>
      </c>
      <c r="Y455" s="65" t="str">
        <f aca="false">IF(OR($X455="",$X455="Closed",$X455="Unmapped"),"",MATCH($X455,StageName,0))</f>
        <v/>
      </c>
      <c r="Z455" s="65" t="str">
        <f aca="false">IF(OR($Y455="",$I455=""),"",$I455-AsOf)</f>
        <v/>
      </c>
      <c r="AA455" s="65" t="str">
        <f aca="false">IF($A455="","",AsOf-$H455)</f>
        <v/>
      </c>
      <c r="AB455" s="65" t="str">
        <f aca="false">IF($A455="","",IF($X455="Closed","Closed",IF($X455="Unmapped","Unmapped",IF($I455="","No target",IF($Z455&lt;0,"Overdue",IF($Z455&lt;=INDEX(StageWindow,$Y455),"At risk","On track"))))))</f>
        <v/>
      </c>
      <c r="AC455" s="65" t="str">
        <f aca="false">IF($Y455="","",IF($AA455&gt;2*INDEX(StageStale,$Y455),"Stale",IF($AA455&gt;INDEX(StageStale,$Y455),"Aging","Fresh")))</f>
        <v/>
      </c>
      <c r="AD455" s="65" t="str">
        <f aca="false">IF($A455="","",IF(OR(ISNUMBER(SEARCH("Reg report",$J455)),ISNUMBER(SEARCH("No human review",$J455)),COUNTIF(TierFuncs,$D455)&gt;0),"High",IF(OR(TRIM($J455)&lt;&gt;"",ISNUMBER(SEARCH("revenue",$K455))),"Medium","Low")))</f>
        <v/>
      </c>
      <c r="AE455" s="65" t="str">
        <f aca="false">IF($A455="","",INDEX(TierDays,MATCH($AD455,TierName,0)))</f>
        <v/>
      </c>
      <c r="AF455" s="65" t="str">
        <f aca="false">IF($A455="","",AsOf-$G455)</f>
        <v/>
      </c>
      <c r="AG455" s="65" t="str">
        <f aca="false">IF($Y455="","",IF($Y455&lt;=5,IF($AF455&gt;$AE455,"Over","Inside"),"Past approval"))</f>
        <v/>
      </c>
      <c r="AH455" s="65" t="str">
        <f aca="false">IF($Y455="","",CHOOSE($Y455,IF(OR(TRIM($F455)="",ISNUMBER(SEARCH("not named",$F455))),"Critical","Good"),IF($O455&lt;&gt;"Y","Critical",IF($Q455&lt;&gt;"Y","Warning","Good")),IF($P455="","Critical",IF($P455="partial","Warning",IF($P455="ready","Good","Critical"))),IF($R455&lt;&gt;"","Critical","Warning"),IF($L455="","Critical",IF($N455="","Warning","Good")),IF($R455&lt;&gt;"","Critical","Warning"),IF($R455&lt;&gt;"","Critical","Warning"),IF($Q455="Y","Good","Critical")))</f>
        <v/>
      </c>
      <c r="AI455" s="65" t="str">
        <f aca="false">IF($Y455="","",CHOOSE($Y455,IF(OR(TRIM($F455)="",ISNUMBER(SEARCH("not named",$F455))),"Name a sponsor accountable for the value",""),IF($O455&lt;&gt;"Y","State the success metric and the stop condition",IF($Q455&lt;&gt;"Y","Set the baseline the benefit will be measured against","")),IF($P455="","Assess data readiness and regulatory impact",IF($P455="partial","Close the known data gaps",IF($P455="ready","","Data is not available; reshape or park"))),IF($R455&lt;&gt;"",IF(OR(ISNUMBER(SEARCH("mrm",$R455)),ISNUMBER(SEARCH("model",$R455)),ISNUMBER(SEARCH("risk",$R455)),ISNUMBER(SEARCH("legal",$R455)),ISNUMBER(SEARCH("complian",$R455))),"Awaiting ","Held at the design gate: ")&amp;$R455,"Map the governance framework for its tier"),IF($L455="","Size the annual benefit",IF($N455="","Score it so it can be ranked against capacity","")),IF($R455&lt;&gt;"","Build held: "&amp;$R455,"In build, not yet through test"),IF($R455&lt;&gt;"","Not ready to scale: "&amp;$R455,"Monitoring and third-party review not yet signed off"),IF($Q455="Y","","Live without a measured baseline to judge it against")))</f>
        <v/>
      </c>
      <c r="AJ455" s="65" t="str">
        <f aca="false">IF($Y455="","",INDEX(StageForum,$Y455))</f>
        <v/>
      </c>
      <c r="AK455" s="65" t="str">
        <f aca="false">IF($Y455="","",IF(OR($X455="Delivery",$X455="Value"),"Committed",IF($N455&lt;&gt;"","Candidate","")))</f>
        <v/>
      </c>
      <c r="AL455" s="65" t="str">
        <f aca="false">IF($AK455&lt;&gt;"Candidate","",COUNTIFS($AK$2:$AK$501,"Candidate",$N$2:$N$501,"&gt;"&amp;$N455)+COUNTIFS($AK$2:$AK$501,"Candidate",$N$2:$N$501,$N455,$A$2:$A$501,"&lt;"&amp;$A455)+1)</f>
        <v/>
      </c>
      <c r="AM455" s="65" t="str">
        <f aca="false">IF($AL455="","",SUMIFS($M$2:$M$501,$AK$2:$AK$501,"Candidate",$AL$2:$AL$501,"&lt;="&amp;$AL455))</f>
        <v/>
      </c>
      <c r="AN455" s="65" t="str">
        <f aca="false">IF($AL455="","",IF($AM455&lt;=CapacityOpen,"Fits","Below line"))</f>
        <v/>
      </c>
      <c r="AO455" s="65" t="str">
        <f aca="false">IF($A455="","",IF($X455="Closed","",IF($X455="Unmapped","Warning",IF(OR($AB455="Overdue",$V455="Y",$AH455="Critical"),"Critical",IF(OR($AB455="At risk",$AC455="Stale",$AG455="Over"),"Warning","")))))</f>
        <v/>
      </c>
      <c r="AP455" s="65" t="str">
        <f aca="false">IF($AO455="","",IF($AO455="Critical",3000,2000)-IF($Z455="",0,$Z455)+ROW()/100000)</f>
        <v/>
      </c>
      <c r="AQ455" s="65" t="str">
        <f aca="false">IF($AO455="","",IF($X455="Unmapped","Status '"&amp;$C455&amp;"' is not in the Config map",IF($V455="Y","Flagged in Jira",IF($AB455="Overdue",-$Z455&amp;" days past its "&amp;$X455&amp;" target",IF($AH455="Critical",$AI455,IF($AB455="At risk","Target in "&amp;$Z455&amp;" days",IF($AC455="Stale","No update in "&amp;$AA455&amp;" days","Past its "&amp;$AE455&amp;"-day tier window")))))))</f>
        <v/>
      </c>
      <c r="AR455" s="65" t="str">
        <f aca="false">IF($AO455="","","draft Jira update for "&amp;$A455)</f>
        <v/>
      </c>
      <c r="AS455" s="65" t="str">
        <f aca="false">IF($A455="","",HYPERLINK(JiraSite&amp;"/browse/"&amp;$A455,"open"))</f>
        <v/>
      </c>
      <c r="AT455" s="65" t="str">
        <f aca="false">IF($Y455="","",$Y455*1000+ROW())</f>
        <v/>
      </c>
      <c r="AU455" s="65" t="str">
        <f aca="false">IF(AND($A455&lt;&gt;"",$G455&gt;=WeekStart),$G455+ROW()/100000,"")</f>
        <v/>
      </c>
      <c r="AV455" s="65" t="str">
        <f aca="false">IF($A455="","",IF(OR(AND($S455&lt;&gt;"",$S455&gt;=WeekStart),AND($U455&lt;&gt;"",$U455&gt;=WeekStart)),MAX($S455,$U455)+ROW()/100000,""))</f>
        <v/>
      </c>
      <c r="AW455" s="65" t="str">
        <f aca="false">IF($AV455="","",IF($T455&lt;&gt;"",$T455,IF($X455="Closed","Closed","Accepted to "&amp;$X455)))</f>
        <v/>
      </c>
      <c r="AX455" s="65" t="str">
        <f aca="false">IF(AND($Y455&lt;&gt;"",$R455&lt;&gt;""),$AF455+ROW()/100000,"")</f>
        <v/>
      </c>
      <c r="AY455" s="65" t="str">
        <f aca="false">IF(AND($Y455&lt;&gt;"",OR($AB455="Overdue",AND($AH455="Critical",$R455&lt;&gt;""))),$AF455+ROW()/100000,"")</f>
        <v/>
      </c>
      <c r="AZ455" s="65" t="str">
        <f aca="false">IF($AH455="Critical",$AF455+ROW()/100000,"")</f>
        <v/>
      </c>
    </row>
    <row r="456" customFormat="false" ht="15" hidden="false" customHeight="false" outlineLevel="0" collapsed="false">
      <c r="A456" s="28"/>
      <c r="B456" s="28"/>
      <c r="C456" s="28"/>
      <c r="D456" s="28"/>
      <c r="E456" s="28"/>
      <c r="F456" s="28"/>
      <c r="G456" s="63"/>
      <c r="H456" s="63"/>
      <c r="I456" s="63"/>
      <c r="J456" s="28"/>
      <c r="K456" s="28"/>
      <c r="L456" s="28"/>
      <c r="M456" s="28"/>
      <c r="N456" s="28"/>
      <c r="O456" s="64"/>
      <c r="P456" s="64"/>
      <c r="Q456" s="64"/>
      <c r="R456" s="28"/>
      <c r="S456" s="63"/>
      <c r="T456" s="64"/>
      <c r="U456" s="63"/>
      <c r="V456" s="64"/>
      <c r="W456" s="28"/>
      <c r="X456" s="65" t="str">
        <f aca="false">IF($A456="","",IF(OR($T456&lt;&gt;"",$U456&lt;&gt;""),"Closed",IFERROR(INDEX(MapStage,MATCH($C456,MapStatus,0)),"Unmapped")))</f>
        <v/>
      </c>
      <c r="Y456" s="65" t="str">
        <f aca="false">IF(OR($X456="",$X456="Closed",$X456="Unmapped"),"",MATCH($X456,StageName,0))</f>
        <v/>
      </c>
      <c r="Z456" s="65" t="str">
        <f aca="false">IF(OR($Y456="",$I456=""),"",$I456-AsOf)</f>
        <v/>
      </c>
      <c r="AA456" s="65" t="str">
        <f aca="false">IF($A456="","",AsOf-$H456)</f>
        <v/>
      </c>
      <c r="AB456" s="65" t="str">
        <f aca="false">IF($A456="","",IF($X456="Closed","Closed",IF($X456="Unmapped","Unmapped",IF($I456="","No target",IF($Z456&lt;0,"Overdue",IF($Z456&lt;=INDEX(StageWindow,$Y456),"At risk","On track"))))))</f>
        <v/>
      </c>
      <c r="AC456" s="65" t="str">
        <f aca="false">IF($Y456="","",IF($AA456&gt;2*INDEX(StageStale,$Y456),"Stale",IF($AA456&gt;INDEX(StageStale,$Y456),"Aging","Fresh")))</f>
        <v/>
      </c>
      <c r="AD456" s="65" t="str">
        <f aca="false">IF($A456="","",IF(OR(ISNUMBER(SEARCH("Reg report",$J456)),ISNUMBER(SEARCH("No human review",$J456)),COUNTIF(TierFuncs,$D456)&gt;0),"High",IF(OR(TRIM($J456)&lt;&gt;"",ISNUMBER(SEARCH("revenue",$K456))),"Medium","Low")))</f>
        <v/>
      </c>
      <c r="AE456" s="65" t="str">
        <f aca="false">IF($A456="","",INDEX(TierDays,MATCH($AD456,TierName,0)))</f>
        <v/>
      </c>
      <c r="AF456" s="65" t="str">
        <f aca="false">IF($A456="","",AsOf-$G456)</f>
        <v/>
      </c>
      <c r="AG456" s="65" t="str">
        <f aca="false">IF($Y456="","",IF($Y456&lt;=5,IF($AF456&gt;$AE456,"Over","Inside"),"Past approval"))</f>
        <v/>
      </c>
      <c r="AH456" s="65" t="str">
        <f aca="false">IF($Y456="","",CHOOSE($Y456,IF(OR(TRIM($F456)="",ISNUMBER(SEARCH("not named",$F456))),"Critical","Good"),IF($O456&lt;&gt;"Y","Critical",IF($Q456&lt;&gt;"Y","Warning","Good")),IF($P456="","Critical",IF($P456="partial","Warning",IF($P456="ready","Good","Critical"))),IF($R456&lt;&gt;"","Critical","Warning"),IF($L456="","Critical",IF($N456="","Warning","Good")),IF($R456&lt;&gt;"","Critical","Warning"),IF($R456&lt;&gt;"","Critical","Warning"),IF($Q456="Y","Good","Critical")))</f>
        <v/>
      </c>
      <c r="AI456" s="65" t="str">
        <f aca="false">IF($Y456="","",CHOOSE($Y456,IF(OR(TRIM($F456)="",ISNUMBER(SEARCH("not named",$F456))),"Name a sponsor accountable for the value",""),IF($O456&lt;&gt;"Y","State the success metric and the stop condition",IF($Q456&lt;&gt;"Y","Set the baseline the benefit will be measured against","")),IF($P456="","Assess data readiness and regulatory impact",IF($P456="partial","Close the known data gaps",IF($P456="ready","","Data is not available; reshape or park"))),IF($R456&lt;&gt;"",IF(OR(ISNUMBER(SEARCH("mrm",$R456)),ISNUMBER(SEARCH("model",$R456)),ISNUMBER(SEARCH("risk",$R456)),ISNUMBER(SEARCH("legal",$R456)),ISNUMBER(SEARCH("complian",$R456))),"Awaiting ","Held at the design gate: ")&amp;$R456,"Map the governance framework for its tier"),IF($L456="","Size the annual benefit",IF($N456="","Score it so it can be ranked against capacity","")),IF($R456&lt;&gt;"","Build held: "&amp;$R456,"In build, not yet through test"),IF($R456&lt;&gt;"","Not ready to scale: "&amp;$R456,"Monitoring and third-party review not yet signed off"),IF($Q456="Y","","Live without a measured baseline to judge it against")))</f>
        <v/>
      </c>
      <c r="AJ456" s="65" t="str">
        <f aca="false">IF($Y456="","",INDEX(StageForum,$Y456))</f>
        <v/>
      </c>
      <c r="AK456" s="65" t="str">
        <f aca="false">IF($Y456="","",IF(OR($X456="Delivery",$X456="Value"),"Committed",IF($N456&lt;&gt;"","Candidate","")))</f>
        <v/>
      </c>
      <c r="AL456" s="65" t="str">
        <f aca="false">IF($AK456&lt;&gt;"Candidate","",COUNTIFS($AK$2:$AK$501,"Candidate",$N$2:$N$501,"&gt;"&amp;$N456)+COUNTIFS($AK$2:$AK$501,"Candidate",$N$2:$N$501,$N456,$A$2:$A$501,"&lt;"&amp;$A456)+1)</f>
        <v/>
      </c>
      <c r="AM456" s="65" t="str">
        <f aca="false">IF($AL456="","",SUMIFS($M$2:$M$501,$AK$2:$AK$501,"Candidate",$AL$2:$AL$501,"&lt;="&amp;$AL456))</f>
        <v/>
      </c>
      <c r="AN456" s="65" t="str">
        <f aca="false">IF($AL456="","",IF($AM456&lt;=CapacityOpen,"Fits","Below line"))</f>
        <v/>
      </c>
      <c r="AO456" s="65" t="str">
        <f aca="false">IF($A456="","",IF($X456="Closed","",IF($X456="Unmapped","Warning",IF(OR($AB456="Overdue",$V456="Y",$AH456="Critical"),"Critical",IF(OR($AB456="At risk",$AC456="Stale",$AG456="Over"),"Warning","")))))</f>
        <v/>
      </c>
      <c r="AP456" s="65" t="str">
        <f aca="false">IF($AO456="","",IF($AO456="Critical",3000,2000)-IF($Z456="",0,$Z456)+ROW()/100000)</f>
        <v/>
      </c>
      <c r="AQ456" s="65" t="str">
        <f aca="false">IF($AO456="","",IF($X456="Unmapped","Status '"&amp;$C456&amp;"' is not in the Config map",IF($V456="Y","Flagged in Jira",IF($AB456="Overdue",-$Z456&amp;" days past its "&amp;$X456&amp;" target",IF($AH456="Critical",$AI456,IF($AB456="At risk","Target in "&amp;$Z456&amp;" days",IF($AC456="Stale","No update in "&amp;$AA456&amp;" days","Past its "&amp;$AE456&amp;"-day tier window")))))))</f>
        <v/>
      </c>
      <c r="AR456" s="65" t="str">
        <f aca="false">IF($AO456="","","draft Jira update for "&amp;$A456)</f>
        <v/>
      </c>
      <c r="AS456" s="65" t="str">
        <f aca="false">IF($A456="","",HYPERLINK(JiraSite&amp;"/browse/"&amp;$A456,"open"))</f>
        <v/>
      </c>
      <c r="AT456" s="65" t="str">
        <f aca="false">IF($Y456="","",$Y456*1000+ROW())</f>
        <v/>
      </c>
      <c r="AU456" s="65" t="str">
        <f aca="false">IF(AND($A456&lt;&gt;"",$G456&gt;=WeekStart),$G456+ROW()/100000,"")</f>
        <v/>
      </c>
      <c r="AV456" s="65" t="str">
        <f aca="false">IF($A456="","",IF(OR(AND($S456&lt;&gt;"",$S456&gt;=WeekStart),AND($U456&lt;&gt;"",$U456&gt;=WeekStart)),MAX($S456,$U456)+ROW()/100000,""))</f>
        <v/>
      </c>
      <c r="AW456" s="65" t="str">
        <f aca="false">IF($AV456="","",IF($T456&lt;&gt;"",$T456,IF($X456="Closed","Closed","Accepted to "&amp;$X456)))</f>
        <v/>
      </c>
      <c r="AX456" s="65" t="str">
        <f aca="false">IF(AND($Y456&lt;&gt;"",$R456&lt;&gt;""),$AF456+ROW()/100000,"")</f>
        <v/>
      </c>
      <c r="AY456" s="65" t="str">
        <f aca="false">IF(AND($Y456&lt;&gt;"",OR($AB456="Overdue",AND($AH456="Critical",$R456&lt;&gt;""))),$AF456+ROW()/100000,"")</f>
        <v/>
      </c>
      <c r="AZ456" s="65" t="str">
        <f aca="false">IF($AH456="Critical",$AF456+ROW()/100000,"")</f>
        <v/>
      </c>
    </row>
    <row r="457" customFormat="false" ht="15" hidden="false" customHeight="false" outlineLevel="0" collapsed="false">
      <c r="A457" s="28"/>
      <c r="B457" s="28"/>
      <c r="C457" s="28"/>
      <c r="D457" s="28"/>
      <c r="E457" s="28"/>
      <c r="F457" s="28"/>
      <c r="G457" s="63"/>
      <c r="H457" s="63"/>
      <c r="I457" s="63"/>
      <c r="J457" s="28"/>
      <c r="K457" s="28"/>
      <c r="L457" s="28"/>
      <c r="M457" s="28"/>
      <c r="N457" s="28"/>
      <c r="O457" s="64"/>
      <c r="P457" s="64"/>
      <c r="Q457" s="64"/>
      <c r="R457" s="28"/>
      <c r="S457" s="63"/>
      <c r="T457" s="64"/>
      <c r="U457" s="63"/>
      <c r="V457" s="64"/>
      <c r="W457" s="28"/>
      <c r="X457" s="65" t="str">
        <f aca="false">IF($A457="","",IF(OR($T457&lt;&gt;"",$U457&lt;&gt;""),"Closed",IFERROR(INDEX(MapStage,MATCH($C457,MapStatus,0)),"Unmapped")))</f>
        <v/>
      </c>
      <c r="Y457" s="65" t="str">
        <f aca="false">IF(OR($X457="",$X457="Closed",$X457="Unmapped"),"",MATCH($X457,StageName,0))</f>
        <v/>
      </c>
      <c r="Z457" s="65" t="str">
        <f aca="false">IF(OR($Y457="",$I457=""),"",$I457-AsOf)</f>
        <v/>
      </c>
      <c r="AA457" s="65" t="str">
        <f aca="false">IF($A457="","",AsOf-$H457)</f>
        <v/>
      </c>
      <c r="AB457" s="65" t="str">
        <f aca="false">IF($A457="","",IF($X457="Closed","Closed",IF($X457="Unmapped","Unmapped",IF($I457="","No target",IF($Z457&lt;0,"Overdue",IF($Z457&lt;=INDEX(StageWindow,$Y457),"At risk","On track"))))))</f>
        <v/>
      </c>
      <c r="AC457" s="65" t="str">
        <f aca="false">IF($Y457="","",IF($AA457&gt;2*INDEX(StageStale,$Y457),"Stale",IF($AA457&gt;INDEX(StageStale,$Y457),"Aging","Fresh")))</f>
        <v/>
      </c>
      <c r="AD457" s="65" t="str">
        <f aca="false">IF($A457="","",IF(OR(ISNUMBER(SEARCH("Reg report",$J457)),ISNUMBER(SEARCH("No human review",$J457)),COUNTIF(TierFuncs,$D457)&gt;0),"High",IF(OR(TRIM($J457)&lt;&gt;"",ISNUMBER(SEARCH("revenue",$K457))),"Medium","Low")))</f>
        <v/>
      </c>
      <c r="AE457" s="65" t="str">
        <f aca="false">IF($A457="","",INDEX(TierDays,MATCH($AD457,TierName,0)))</f>
        <v/>
      </c>
      <c r="AF457" s="65" t="str">
        <f aca="false">IF($A457="","",AsOf-$G457)</f>
        <v/>
      </c>
      <c r="AG457" s="65" t="str">
        <f aca="false">IF($Y457="","",IF($Y457&lt;=5,IF($AF457&gt;$AE457,"Over","Inside"),"Past approval"))</f>
        <v/>
      </c>
      <c r="AH457" s="65" t="str">
        <f aca="false">IF($Y457="","",CHOOSE($Y457,IF(OR(TRIM($F457)="",ISNUMBER(SEARCH("not named",$F457))),"Critical","Good"),IF($O457&lt;&gt;"Y","Critical",IF($Q457&lt;&gt;"Y","Warning","Good")),IF($P457="","Critical",IF($P457="partial","Warning",IF($P457="ready","Good","Critical"))),IF($R457&lt;&gt;"","Critical","Warning"),IF($L457="","Critical",IF($N457="","Warning","Good")),IF($R457&lt;&gt;"","Critical","Warning"),IF($R457&lt;&gt;"","Critical","Warning"),IF($Q457="Y","Good","Critical")))</f>
        <v/>
      </c>
      <c r="AI457" s="65" t="str">
        <f aca="false">IF($Y457="","",CHOOSE($Y457,IF(OR(TRIM($F457)="",ISNUMBER(SEARCH("not named",$F457))),"Name a sponsor accountable for the value",""),IF($O457&lt;&gt;"Y","State the success metric and the stop condition",IF($Q457&lt;&gt;"Y","Set the baseline the benefit will be measured against","")),IF($P457="","Assess data readiness and regulatory impact",IF($P457="partial","Close the known data gaps",IF($P457="ready","","Data is not available; reshape or park"))),IF($R457&lt;&gt;"",IF(OR(ISNUMBER(SEARCH("mrm",$R457)),ISNUMBER(SEARCH("model",$R457)),ISNUMBER(SEARCH("risk",$R457)),ISNUMBER(SEARCH("legal",$R457)),ISNUMBER(SEARCH("complian",$R457))),"Awaiting ","Held at the design gate: ")&amp;$R457,"Map the governance framework for its tier"),IF($L457="","Size the annual benefit",IF($N457="","Score it so it can be ranked against capacity","")),IF($R457&lt;&gt;"","Build held: "&amp;$R457,"In build, not yet through test"),IF($R457&lt;&gt;"","Not ready to scale: "&amp;$R457,"Monitoring and third-party review not yet signed off"),IF($Q457="Y","","Live without a measured baseline to judge it against")))</f>
        <v/>
      </c>
      <c r="AJ457" s="65" t="str">
        <f aca="false">IF($Y457="","",INDEX(StageForum,$Y457))</f>
        <v/>
      </c>
      <c r="AK457" s="65" t="str">
        <f aca="false">IF($Y457="","",IF(OR($X457="Delivery",$X457="Value"),"Committed",IF($N457&lt;&gt;"","Candidate","")))</f>
        <v/>
      </c>
      <c r="AL457" s="65" t="str">
        <f aca="false">IF($AK457&lt;&gt;"Candidate","",COUNTIFS($AK$2:$AK$501,"Candidate",$N$2:$N$501,"&gt;"&amp;$N457)+COUNTIFS($AK$2:$AK$501,"Candidate",$N$2:$N$501,$N457,$A$2:$A$501,"&lt;"&amp;$A457)+1)</f>
        <v/>
      </c>
      <c r="AM457" s="65" t="str">
        <f aca="false">IF($AL457="","",SUMIFS($M$2:$M$501,$AK$2:$AK$501,"Candidate",$AL$2:$AL$501,"&lt;="&amp;$AL457))</f>
        <v/>
      </c>
      <c r="AN457" s="65" t="str">
        <f aca="false">IF($AL457="","",IF($AM457&lt;=CapacityOpen,"Fits","Below line"))</f>
        <v/>
      </c>
      <c r="AO457" s="65" t="str">
        <f aca="false">IF($A457="","",IF($X457="Closed","",IF($X457="Unmapped","Warning",IF(OR($AB457="Overdue",$V457="Y",$AH457="Critical"),"Critical",IF(OR($AB457="At risk",$AC457="Stale",$AG457="Over"),"Warning","")))))</f>
        <v/>
      </c>
      <c r="AP457" s="65" t="str">
        <f aca="false">IF($AO457="","",IF($AO457="Critical",3000,2000)-IF($Z457="",0,$Z457)+ROW()/100000)</f>
        <v/>
      </c>
      <c r="AQ457" s="65" t="str">
        <f aca="false">IF($AO457="","",IF($X457="Unmapped","Status '"&amp;$C457&amp;"' is not in the Config map",IF($V457="Y","Flagged in Jira",IF($AB457="Overdue",-$Z457&amp;" days past its "&amp;$X457&amp;" target",IF($AH457="Critical",$AI457,IF($AB457="At risk","Target in "&amp;$Z457&amp;" days",IF($AC457="Stale","No update in "&amp;$AA457&amp;" days","Past its "&amp;$AE457&amp;"-day tier window")))))))</f>
        <v/>
      </c>
      <c r="AR457" s="65" t="str">
        <f aca="false">IF($AO457="","","draft Jira update for "&amp;$A457)</f>
        <v/>
      </c>
      <c r="AS457" s="65" t="str">
        <f aca="false">IF($A457="","",HYPERLINK(JiraSite&amp;"/browse/"&amp;$A457,"open"))</f>
        <v/>
      </c>
      <c r="AT457" s="65" t="str">
        <f aca="false">IF($Y457="","",$Y457*1000+ROW())</f>
        <v/>
      </c>
      <c r="AU457" s="65" t="str">
        <f aca="false">IF(AND($A457&lt;&gt;"",$G457&gt;=WeekStart),$G457+ROW()/100000,"")</f>
        <v/>
      </c>
      <c r="AV457" s="65" t="str">
        <f aca="false">IF($A457="","",IF(OR(AND($S457&lt;&gt;"",$S457&gt;=WeekStart),AND($U457&lt;&gt;"",$U457&gt;=WeekStart)),MAX($S457,$U457)+ROW()/100000,""))</f>
        <v/>
      </c>
      <c r="AW457" s="65" t="str">
        <f aca="false">IF($AV457="","",IF($T457&lt;&gt;"",$T457,IF($X457="Closed","Closed","Accepted to "&amp;$X457)))</f>
        <v/>
      </c>
      <c r="AX457" s="65" t="str">
        <f aca="false">IF(AND($Y457&lt;&gt;"",$R457&lt;&gt;""),$AF457+ROW()/100000,"")</f>
        <v/>
      </c>
      <c r="AY457" s="65" t="str">
        <f aca="false">IF(AND($Y457&lt;&gt;"",OR($AB457="Overdue",AND($AH457="Critical",$R457&lt;&gt;""))),$AF457+ROW()/100000,"")</f>
        <v/>
      </c>
      <c r="AZ457" s="65" t="str">
        <f aca="false">IF($AH457="Critical",$AF457+ROW()/100000,"")</f>
        <v/>
      </c>
    </row>
    <row r="458" customFormat="false" ht="15" hidden="false" customHeight="false" outlineLevel="0" collapsed="false">
      <c r="A458" s="28"/>
      <c r="B458" s="28"/>
      <c r="C458" s="28"/>
      <c r="D458" s="28"/>
      <c r="E458" s="28"/>
      <c r="F458" s="28"/>
      <c r="G458" s="63"/>
      <c r="H458" s="63"/>
      <c r="I458" s="63"/>
      <c r="J458" s="28"/>
      <c r="K458" s="28"/>
      <c r="L458" s="28"/>
      <c r="M458" s="28"/>
      <c r="N458" s="28"/>
      <c r="O458" s="64"/>
      <c r="P458" s="64"/>
      <c r="Q458" s="64"/>
      <c r="R458" s="28"/>
      <c r="S458" s="63"/>
      <c r="T458" s="64"/>
      <c r="U458" s="63"/>
      <c r="V458" s="64"/>
      <c r="W458" s="28"/>
      <c r="X458" s="65" t="str">
        <f aca="false">IF($A458="","",IF(OR($T458&lt;&gt;"",$U458&lt;&gt;""),"Closed",IFERROR(INDEX(MapStage,MATCH($C458,MapStatus,0)),"Unmapped")))</f>
        <v/>
      </c>
      <c r="Y458" s="65" t="str">
        <f aca="false">IF(OR($X458="",$X458="Closed",$X458="Unmapped"),"",MATCH($X458,StageName,0))</f>
        <v/>
      </c>
      <c r="Z458" s="65" t="str">
        <f aca="false">IF(OR($Y458="",$I458=""),"",$I458-AsOf)</f>
        <v/>
      </c>
      <c r="AA458" s="65" t="str">
        <f aca="false">IF($A458="","",AsOf-$H458)</f>
        <v/>
      </c>
      <c r="AB458" s="65" t="str">
        <f aca="false">IF($A458="","",IF($X458="Closed","Closed",IF($X458="Unmapped","Unmapped",IF($I458="","No target",IF($Z458&lt;0,"Overdue",IF($Z458&lt;=INDEX(StageWindow,$Y458),"At risk","On track"))))))</f>
        <v/>
      </c>
      <c r="AC458" s="65" t="str">
        <f aca="false">IF($Y458="","",IF($AA458&gt;2*INDEX(StageStale,$Y458),"Stale",IF($AA458&gt;INDEX(StageStale,$Y458),"Aging","Fresh")))</f>
        <v/>
      </c>
      <c r="AD458" s="65" t="str">
        <f aca="false">IF($A458="","",IF(OR(ISNUMBER(SEARCH("Reg report",$J458)),ISNUMBER(SEARCH("No human review",$J458)),COUNTIF(TierFuncs,$D458)&gt;0),"High",IF(OR(TRIM($J458)&lt;&gt;"",ISNUMBER(SEARCH("revenue",$K458))),"Medium","Low")))</f>
        <v/>
      </c>
      <c r="AE458" s="65" t="str">
        <f aca="false">IF($A458="","",INDEX(TierDays,MATCH($AD458,TierName,0)))</f>
        <v/>
      </c>
      <c r="AF458" s="65" t="str">
        <f aca="false">IF($A458="","",AsOf-$G458)</f>
        <v/>
      </c>
      <c r="AG458" s="65" t="str">
        <f aca="false">IF($Y458="","",IF($Y458&lt;=5,IF($AF458&gt;$AE458,"Over","Inside"),"Past approval"))</f>
        <v/>
      </c>
      <c r="AH458" s="65" t="str">
        <f aca="false">IF($Y458="","",CHOOSE($Y458,IF(OR(TRIM($F458)="",ISNUMBER(SEARCH("not named",$F458))),"Critical","Good"),IF($O458&lt;&gt;"Y","Critical",IF($Q458&lt;&gt;"Y","Warning","Good")),IF($P458="","Critical",IF($P458="partial","Warning",IF($P458="ready","Good","Critical"))),IF($R458&lt;&gt;"","Critical","Warning"),IF($L458="","Critical",IF($N458="","Warning","Good")),IF($R458&lt;&gt;"","Critical","Warning"),IF($R458&lt;&gt;"","Critical","Warning"),IF($Q458="Y","Good","Critical")))</f>
        <v/>
      </c>
      <c r="AI458" s="65" t="str">
        <f aca="false">IF($Y458="","",CHOOSE($Y458,IF(OR(TRIM($F458)="",ISNUMBER(SEARCH("not named",$F458))),"Name a sponsor accountable for the value",""),IF($O458&lt;&gt;"Y","State the success metric and the stop condition",IF($Q458&lt;&gt;"Y","Set the baseline the benefit will be measured against","")),IF($P458="","Assess data readiness and regulatory impact",IF($P458="partial","Close the known data gaps",IF($P458="ready","","Data is not available; reshape or park"))),IF($R458&lt;&gt;"",IF(OR(ISNUMBER(SEARCH("mrm",$R458)),ISNUMBER(SEARCH("model",$R458)),ISNUMBER(SEARCH("risk",$R458)),ISNUMBER(SEARCH("legal",$R458)),ISNUMBER(SEARCH("complian",$R458))),"Awaiting ","Held at the design gate: ")&amp;$R458,"Map the governance framework for its tier"),IF($L458="","Size the annual benefit",IF($N458="","Score it so it can be ranked against capacity","")),IF($R458&lt;&gt;"","Build held: "&amp;$R458,"In build, not yet through test"),IF($R458&lt;&gt;"","Not ready to scale: "&amp;$R458,"Monitoring and third-party review not yet signed off"),IF($Q458="Y","","Live without a measured baseline to judge it against")))</f>
        <v/>
      </c>
      <c r="AJ458" s="65" t="str">
        <f aca="false">IF($Y458="","",INDEX(StageForum,$Y458))</f>
        <v/>
      </c>
      <c r="AK458" s="65" t="str">
        <f aca="false">IF($Y458="","",IF(OR($X458="Delivery",$X458="Value"),"Committed",IF($N458&lt;&gt;"","Candidate","")))</f>
        <v/>
      </c>
      <c r="AL458" s="65" t="str">
        <f aca="false">IF($AK458&lt;&gt;"Candidate","",COUNTIFS($AK$2:$AK$501,"Candidate",$N$2:$N$501,"&gt;"&amp;$N458)+COUNTIFS($AK$2:$AK$501,"Candidate",$N$2:$N$501,$N458,$A$2:$A$501,"&lt;"&amp;$A458)+1)</f>
        <v/>
      </c>
      <c r="AM458" s="65" t="str">
        <f aca="false">IF($AL458="","",SUMIFS($M$2:$M$501,$AK$2:$AK$501,"Candidate",$AL$2:$AL$501,"&lt;="&amp;$AL458))</f>
        <v/>
      </c>
      <c r="AN458" s="65" t="str">
        <f aca="false">IF($AL458="","",IF($AM458&lt;=CapacityOpen,"Fits","Below line"))</f>
        <v/>
      </c>
      <c r="AO458" s="65" t="str">
        <f aca="false">IF($A458="","",IF($X458="Closed","",IF($X458="Unmapped","Warning",IF(OR($AB458="Overdue",$V458="Y",$AH458="Critical"),"Critical",IF(OR($AB458="At risk",$AC458="Stale",$AG458="Over"),"Warning","")))))</f>
        <v/>
      </c>
      <c r="AP458" s="65" t="str">
        <f aca="false">IF($AO458="","",IF($AO458="Critical",3000,2000)-IF($Z458="",0,$Z458)+ROW()/100000)</f>
        <v/>
      </c>
      <c r="AQ458" s="65" t="str">
        <f aca="false">IF($AO458="","",IF($X458="Unmapped","Status '"&amp;$C458&amp;"' is not in the Config map",IF($V458="Y","Flagged in Jira",IF($AB458="Overdue",-$Z458&amp;" days past its "&amp;$X458&amp;" target",IF($AH458="Critical",$AI458,IF($AB458="At risk","Target in "&amp;$Z458&amp;" days",IF($AC458="Stale","No update in "&amp;$AA458&amp;" days","Past its "&amp;$AE458&amp;"-day tier window")))))))</f>
        <v/>
      </c>
      <c r="AR458" s="65" t="str">
        <f aca="false">IF($AO458="","","draft Jira update for "&amp;$A458)</f>
        <v/>
      </c>
      <c r="AS458" s="65" t="str">
        <f aca="false">IF($A458="","",HYPERLINK(JiraSite&amp;"/browse/"&amp;$A458,"open"))</f>
        <v/>
      </c>
      <c r="AT458" s="65" t="str">
        <f aca="false">IF($Y458="","",$Y458*1000+ROW())</f>
        <v/>
      </c>
      <c r="AU458" s="65" t="str">
        <f aca="false">IF(AND($A458&lt;&gt;"",$G458&gt;=WeekStart),$G458+ROW()/100000,"")</f>
        <v/>
      </c>
      <c r="AV458" s="65" t="str">
        <f aca="false">IF($A458="","",IF(OR(AND($S458&lt;&gt;"",$S458&gt;=WeekStart),AND($U458&lt;&gt;"",$U458&gt;=WeekStart)),MAX($S458,$U458)+ROW()/100000,""))</f>
        <v/>
      </c>
      <c r="AW458" s="65" t="str">
        <f aca="false">IF($AV458="","",IF($T458&lt;&gt;"",$T458,IF($X458="Closed","Closed","Accepted to "&amp;$X458)))</f>
        <v/>
      </c>
      <c r="AX458" s="65" t="str">
        <f aca="false">IF(AND($Y458&lt;&gt;"",$R458&lt;&gt;""),$AF458+ROW()/100000,"")</f>
        <v/>
      </c>
      <c r="AY458" s="65" t="str">
        <f aca="false">IF(AND($Y458&lt;&gt;"",OR($AB458="Overdue",AND($AH458="Critical",$R458&lt;&gt;""))),$AF458+ROW()/100000,"")</f>
        <v/>
      </c>
      <c r="AZ458" s="65" t="str">
        <f aca="false">IF($AH458="Critical",$AF458+ROW()/100000,"")</f>
        <v/>
      </c>
    </row>
    <row r="459" customFormat="false" ht="15" hidden="false" customHeight="false" outlineLevel="0" collapsed="false">
      <c r="A459" s="28"/>
      <c r="B459" s="28"/>
      <c r="C459" s="28"/>
      <c r="D459" s="28"/>
      <c r="E459" s="28"/>
      <c r="F459" s="28"/>
      <c r="G459" s="63"/>
      <c r="H459" s="63"/>
      <c r="I459" s="63"/>
      <c r="J459" s="28"/>
      <c r="K459" s="28"/>
      <c r="L459" s="28"/>
      <c r="M459" s="28"/>
      <c r="N459" s="28"/>
      <c r="O459" s="64"/>
      <c r="P459" s="64"/>
      <c r="Q459" s="64"/>
      <c r="R459" s="28"/>
      <c r="S459" s="63"/>
      <c r="T459" s="64"/>
      <c r="U459" s="63"/>
      <c r="V459" s="64"/>
      <c r="W459" s="28"/>
      <c r="X459" s="65" t="str">
        <f aca="false">IF($A459="","",IF(OR($T459&lt;&gt;"",$U459&lt;&gt;""),"Closed",IFERROR(INDEX(MapStage,MATCH($C459,MapStatus,0)),"Unmapped")))</f>
        <v/>
      </c>
      <c r="Y459" s="65" t="str">
        <f aca="false">IF(OR($X459="",$X459="Closed",$X459="Unmapped"),"",MATCH($X459,StageName,0))</f>
        <v/>
      </c>
      <c r="Z459" s="65" t="str">
        <f aca="false">IF(OR($Y459="",$I459=""),"",$I459-AsOf)</f>
        <v/>
      </c>
      <c r="AA459" s="65" t="str">
        <f aca="false">IF($A459="","",AsOf-$H459)</f>
        <v/>
      </c>
      <c r="AB459" s="65" t="str">
        <f aca="false">IF($A459="","",IF($X459="Closed","Closed",IF($X459="Unmapped","Unmapped",IF($I459="","No target",IF($Z459&lt;0,"Overdue",IF($Z459&lt;=INDEX(StageWindow,$Y459),"At risk","On track"))))))</f>
        <v/>
      </c>
      <c r="AC459" s="65" t="str">
        <f aca="false">IF($Y459="","",IF($AA459&gt;2*INDEX(StageStale,$Y459),"Stale",IF($AA459&gt;INDEX(StageStale,$Y459),"Aging","Fresh")))</f>
        <v/>
      </c>
      <c r="AD459" s="65" t="str">
        <f aca="false">IF($A459="","",IF(OR(ISNUMBER(SEARCH("Reg report",$J459)),ISNUMBER(SEARCH("No human review",$J459)),COUNTIF(TierFuncs,$D459)&gt;0),"High",IF(OR(TRIM($J459)&lt;&gt;"",ISNUMBER(SEARCH("revenue",$K459))),"Medium","Low")))</f>
        <v/>
      </c>
      <c r="AE459" s="65" t="str">
        <f aca="false">IF($A459="","",INDEX(TierDays,MATCH($AD459,TierName,0)))</f>
        <v/>
      </c>
      <c r="AF459" s="65" t="str">
        <f aca="false">IF($A459="","",AsOf-$G459)</f>
        <v/>
      </c>
      <c r="AG459" s="65" t="str">
        <f aca="false">IF($Y459="","",IF($Y459&lt;=5,IF($AF459&gt;$AE459,"Over","Inside"),"Past approval"))</f>
        <v/>
      </c>
      <c r="AH459" s="65" t="str">
        <f aca="false">IF($Y459="","",CHOOSE($Y459,IF(OR(TRIM($F459)="",ISNUMBER(SEARCH("not named",$F459))),"Critical","Good"),IF($O459&lt;&gt;"Y","Critical",IF($Q459&lt;&gt;"Y","Warning","Good")),IF($P459="","Critical",IF($P459="partial","Warning",IF($P459="ready","Good","Critical"))),IF($R459&lt;&gt;"","Critical","Warning"),IF($L459="","Critical",IF($N459="","Warning","Good")),IF($R459&lt;&gt;"","Critical","Warning"),IF($R459&lt;&gt;"","Critical","Warning"),IF($Q459="Y","Good","Critical")))</f>
        <v/>
      </c>
      <c r="AI459" s="65" t="str">
        <f aca="false">IF($Y459="","",CHOOSE($Y459,IF(OR(TRIM($F459)="",ISNUMBER(SEARCH("not named",$F459))),"Name a sponsor accountable for the value",""),IF($O459&lt;&gt;"Y","State the success metric and the stop condition",IF($Q459&lt;&gt;"Y","Set the baseline the benefit will be measured against","")),IF($P459="","Assess data readiness and regulatory impact",IF($P459="partial","Close the known data gaps",IF($P459="ready","","Data is not available; reshape or park"))),IF($R459&lt;&gt;"",IF(OR(ISNUMBER(SEARCH("mrm",$R459)),ISNUMBER(SEARCH("model",$R459)),ISNUMBER(SEARCH("risk",$R459)),ISNUMBER(SEARCH("legal",$R459)),ISNUMBER(SEARCH("complian",$R459))),"Awaiting ","Held at the design gate: ")&amp;$R459,"Map the governance framework for its tier"),IF($L459="","Size the annual benefit",IF($N459="","Score it so it can be ranked against capacity","")),IF($R459&lt;&gt;"","Build held: "&amp;$R459,"In build, not yet through test"),IF($R459&lt;&gt;"","Not ready to scale: "&amp;$R459,"Monitoring and third-party review not yet signed off"),IF($Q459="Y","","Live without a measured baseline to judge it against")))</f>
        <v/>
      </c>
      <c r="AJ459" s="65" t="str">
        <f aca="false">IF($Y459="","",INDEX(StageForum,$Y459))</f>
        <v/>
      </c>
      <c r="AK459" s="65" t="str">
        <f aca="false">IF($Y459="","",IF(OR($X459="Delivery",$X459="Value"),"Committed",IF($N459&lt;&gt;"","Candidate","")))</f>
        <v/>
      </c>
      <c r="AL459" s="65" t="str">
        <f aca="false">IF($AK459&lt;&gt;"Candidate","",COUNTIFS($AK$2:$AK$501,"Candidate",$N$2:$N$501,"&gt;"&amp;$N459)+COUNTIFS($AK$2:$AK$501,"Candidate",$N$2:$N$501,$N459,$A$2:$A$501,"&lt;"&amp;$A459)+1)</f>
        <v/>
      </c>
      <c r="AM459" s="65" t="str">
        <f aca="false">IF($AL459="","",SUMIFS($M$2:$M$501,$AK$2:$AK$501,"Candidate",$AL$2:$AL$501,"&lt;="&amp;$AL459))</f>
        <v/>
      </c>
      <c r="AN459" s="65" t="str">
        <f aca="false">IF($AL459="","",IF($AM459&lt;=CapacityOpen,"Fits","Below line"))</f>
        <v/>
      </c>
      <c r="AO459" s="65" t="str">
        <f aca="false">IF($A459="","",IF($X459="Closed","",IF($X459="Unmapped","Warning",IF(OR($AB459="Overdue",$V459="Y",$AH459="Critical"),"Critical",IF(OR($AB459="At risk",$AC459="Stale",$AG459="Over"),"Warning","")))))</f>
        <v/>
      </c>
      <c r="AP459" s="65" t="str">
        <f aca="false">IF($AO459="","",IF($AO459="Critical",3000,2000)-IF($Z459="",0,$Z459)+ROW()/100000)</f>
        <v/>
      </c>
      <c r="AQ459" s="65" t="str">
        <f aca="false">IF($AO459="","",IF($X459="Unmapped","Status '"&amp;$C459&amp;"' is not in the Config map",IF($V459="Y","Flagged in Jira",IF($AB459="Overdue",-$Z459&amp;" days past its "&amp;$X459&amp;" target",IF($AH459="Critical",$AI459,IF($AB459="At risk","Target in "&amp;$Z459&amp;" days",IF($AC459="Stale","No update in "&amp;$AA459&amp;" days","Past its "&amp;$AE459&amp;"-day tier window")))))))</f>
        <v/>
      </c>
      <c r="AR459" s="65" t="str">
        <f aca="false">IF($AO459="","","draft Jira update for "&amp;$A459)</f>
        <v/>
      </c>
      <c r="AS459" s="65" t="str">
        <f aca="false">IF($A459="","",HYPERLINK(JiraSite&amp;"/browse/"&amp;$A459,"open"))</f>
        <v/>
      </c>
      <c r="AT459" s="65" t="str">
        <f aca="false">IF($Y459="","",$Y459*1000+ROW())</f>
        <v/>
      </c>
      <c r="AU459" s="65" t="str">
        <f aca="false">IF(AND($A459&lt;&gt;"",$G459&gt;=WeekStart),$G459+ROW()/100000,"")</f>
        <v/>
      </c>
      <c r="AV459" s="65" t="str">
        <f aca="false">IF($A459="","",IF(OR(AND($S459&lt;&gt;"",$S459&gt;=WeekStart),AND($U459&lt;&gt;"",$U459&gt;=WeekStart)),MAX($S459,$U459)+ROW()/100000,""))</f>
        <v/>
      </c>
      <c r="AW459" s="65" t="str">
        <f aca="false">IF($AV459="","",IF($T459&lt;&gt;"",$T459,IF($X459="Closed","Closed","Accepted to "&amp;$X459)))</f>
        <v/>
      </c>
      <c r="AX459" s="65" t="str">
        <f aca="false">IF(AND($Y459&lt;&gt;"",$R459&lt;&gt;""),$AF459+ROW()/100000,"")</f>
        <v/>
      </c>
      <c r="AY459" s="65" t="str">
        <f aca="false">IF(AND($Y459&lt;&gt;"",OR($AB459="Overdue",AND($AH459="Critical",$R459&lt;&gt;""))),$AF459+ROW()/100000,"")</f>
        <v/>
      </c>
      <c r="AZ459" s="65" t="str">
        <f aca="false">IF($AH459="Critical",$AF459+ROW()/100000,"")</f>
        <v/>
      </c>
    </row>
    <row r="460" customFormat="false" ht="15" hidden="false" customHeight="false" outlineLevel="0" collapsed="false">
      <c r="A460" s="28"/>
      <c r="B460" s="28"/>
      <c r="C460" s="28"/>
      <c r="D460" s="28"/>
      <c r="E460" s="28"/>
      <c r="F460" s="28"/>
      <c r="G460" s="63"/>
      <c r="H460" s="63"/>
      <c r="I460" s="63"/>
      <c r="J460" s="28"/>
      <c r="K460" s="28"/>
      <c r="L460" s="28"/>
      <c r="M460" s="28"/>
      <c r="N460" s="28"/>
      <c r="O460" s="64"/>
      <c r="P460" s="64"/>
      <c r="Q460" s="64"/>
      <c r="R460" s="28"/>
      <c r="S460" s="63"/>
      <c r="T460" s="64"/>
      <c r="U460" s="63"/>
      <c r="V460" s="64"/>
      <c r="W460" s="28"/>
      <c r="X460" s="65" t="str">
        <f aca="false">IF($A460="","",IF(OR($T460&lt;&gt;"",$U460&lt;&gt;""),"Closed",IFERROR(INDEX(MapStage,MATCH($C460,MapStatus,0)),"Unmapped")))</f>
        <v/>
      </c>
      <c r="Y460" s="65" t="str">
        <f aca="false">IF(OR($X460="",$X460="Closed",$X460="Unmapped"),"",MATCH($X460,StageName,0))</f>
        <v/>
      </c>
      <c r="Z460" s="65" t="str">
        <f aca="false">IF(OR($Y460="",$I460=""),"",$I460-AsOf)</f>
        <v/>
      </c>
      <c r="AA460" s="65" t="str">
        <f aca="false">IF($A460="","",AsOf-$H460)</f>
        <v/>
      </c>
      <c r="AB460" s="65" t="str">
        <f aca="false">IF($A460="","",IF($X460="Closed","Closed",IF($X460="Unmapped","Unmapped",IF($I460="","No target",IF($Z460&lt;0,"Overdue",IF($Z460&lt;=INDEX(StageWindow,$Y460),"At risk","On track"))))))</f>
        <v/>
      </c>
      <c r="AC460" s="65" t="str">
        <f aca="false">IF($Y460="","",IF($AA460&gt;2*INDEX(StageStale,$Y460),"Stale",IF($AA460&gt;INDEX(StageStale,$Y460),"Aging","Fresh")))</f>
        <v/>
      </c>
      <c r="AD460" s="65" t="str">
        <f aca="false">IF($A460="","",IF(OR(ISNUMBER(SEARCH("Reg report",$J460)),ISNUMBER(SEARCH("No human review",$J460)),COUNTIF(TierFuncs,$D460)&gt;0),"High",IF(OR(TRIM($J460)&lt;&gt;"",ISNUMBER(SEARCH("revenue",$K460))),"Medium","Low")))</f>
        <v/>
      </c>
      <c r="AE460" s="65" t="str">
        <f aca="false">IF($A460="","",INDEX(TierDays,MATCH($AD460,TierName,0)))</f>
        <v/>
      </c>
      <c r="AF460" s="65" t="str">
        <f aca="false">IF($A460="","",AsOf-$G460)</f>
        <v/>
      </c>
      <c r="AG460" s="65" t="str">
        <f aca="false">IF($Y460="","",IF($Y460&lt;=5,IF($AF460&gt;$AE460,"Over","Inside"),"Past approval"))</f>
        <v/>
      </c>
      <c r="AH460" s="65" t="str">
        <f aca="false">IF($Y460="","",CHOOSE($Y460,IF(OR(TRIM($F460)="",ISNUMBER(SEARCH("not named",$F460))),"Critical","Good"),IF($O460&lt;&gt;"Y","Critical",IF($Q460&lt;&gt;"Y","Warning","Good")),IF($P460="","Critical",IF($P460="partial","Warning",IF($P460="ready","Good","Critical"))),IF($R460&lt;&gt;"","Critical","Warning"),IF($L460="","Critical",IF($N460="","Warning","Good")),IF($R460&lt;&gt;"","Critical","Warning"),IF($R460&lt;&gt;"","Critical","Warning"),IF($Q460="Y","Good","Critical")))</f>
        <v/>
      </c>
      <c r="AI460" s="65" t="str">
        <f aca="false">IF($Y460="","",CHOOSE($Y460,IF(OR(TRIM($F460)="",ISNUMBER(SEARCH("not named",$F460))),"Name a sponsor accountable for the value",""),IF($O460&lt;&gt;"Y","State the success metric and the stop condition",IF($Q460&lt;&gt;"Y","Set the baseline the benefit will be measured against","")),IF($P460="","Assess data readiness and regulatory impact",IF($P460="partial","Close the known data gaps",IF($P460="ready","","Data is not available; reshape or park"))),IF($R460&lt;&gt;"",IF(OR(ISNUMBER(SEARCH("mrm",$R460)),ISNUMBER(SEARCH("model",$R460)),ISNUMBER(SEARCH("risk",$R460)),ISNUMBER(SEARCH("legal",$R460)),ISNUMBER(SEARCH("complian",$R460))),"Awaiting ","Held at the design gate: ")&amp;$R460,"Map the governance framework for its tier"),IF($L460="","Size the annual benefit",IF($N460="","Score it so it can be ranked against capacity","")),IF($R460&lt;&gt;"","Build held: "&amp;$R460,"In build, not yet through test"),IF($R460&lt;&gt;"","Not ready to scale: "&amp;$R460,"Monitoring and third-party review not yet signed off"),IF($Q460="Y","","Live without a measured baseline to judge it against")))</f>
        <v/>
      </c>
      <c r="AJ460" s="65" t="str">
        <f aca="false">IF($Y460="","",INDEX(StageForum,$Y460))</f>
        <v/>
      </c>
      <c r="AK460" s="65" t="str">
        <f aca="false">IF($Y460="","",IF(OR($X460="Delivery",$X460="Value"),"Committed",IF($N460&lt;&gt;"","Candidate","")))</f>
        <v/>
      </c>
      <c r="AL460" s="65" t="str">
        <f aca="false">IF($AK460&lt;&gt;"Candidate","",COUNTIFS($AK$2:$AK$501,"Candidate",$N$2:$N$501,"&gt;"&amp;$N460)+COUNTIFS($AK$2:$AK$501,"Candidate",$N$2:$N$501,$N460,$A$2:$A$501,"&lt;"&amp;$A460)+1)</f>
        <v/>
      </c>
      <c r="AM460" s="65" t="str">
        <f aca="false">IF($AL460="","",SUMIFS($M$2:$M$501,$AK$2:$AK$501,"Candidate",$AL$2:$AL$501,"&lt;="&amp;$AL460))</f>
        <v/>
      </c>
      <c r="AN460" s="65" t="str">
        <f aca="false">IF($AL460="","",IF($AM460&lt;=CapacityOpen,"Fits","Below line"))</f>
        <v/>
      </c>
      <c r="AO460" s="65" t="str">
        <f aca="false">IF($A460="","",IF($X460="Closed","",IF($X460="Unmapped","Warning",IF(OR($AB460="Overdue",$V460="Y",$AH460="Critical"),"Critical",IF(OR($AB460="At risk",$AC460="Stale",$AG460="Over"),"Warning","")))))</f>
        <v/>
      </c>
      <c r="AP460" s="65" t="str">
        <f aca="false">IF($AO460="","",IF($AO460="Critical",3000,2000)-IF($Z460="",0,$Z460)+ROW()/100000)</f>
        <v/>
      </c>
      <c r="AQ460" s="65" t="str">
        <f aca="false">IF($AO460="","",IF($X460="Unmapped","Status '"&amp;$C460&amp;"' is not in the Config map",IF($V460="Y","Flagged in Jira",IF($AB460="Overdue",-$Z460&amp;" days past its "&amp;$X460&amp;" target",IF($AH460="Critical",$AI460,IF($AB460="At risk","Target in "&amp;$Z460&amp;" days",IF($AC460="Stale","No update in "&amp;$AA460&amp;" days","Past its "&amp;$AE460&amp;"-day tier window")))))))</f>
        <v/>
      </c>
      <c r="AR460" s="65" t="str">
        <f aca="false">IF($AO460="","","draft Jira update for "&amp;$A460)</f>
        <v/>
      </c>
      <c r="AS460" s="65" t="str">
        <f aca="false">IF($A460="","",HYPERLINK(JiraSite&amp;"/browse/"&amp;$A460,"open"))</f>
        <v/>
      </c>
      <c r="AT460" s="65" t="str">
        <f aca="false">IF($Y460="","",$Y460*1000+ROW())</f>
        <v/>
      </c>
      <c r="AU460" s="65" t="str">
        <f aca="false">IF(AND($A460&lt;&gt;"",$G460&gt;=WeekStart),$G460+ROW()/100000,"")</f>
        <v/>
      </c>
      <c r="AV460" s="65" t="str">
        <f aca="false">IF($A460="","",IF(OR(AND($S460&lt;&gt;"",$S460&gt;=WeekStart),AND($U460&lt;&gt;"",$U460&gt;=WeekStart)),MAX($S460,$U460)+ROW()/100000,""))</f>
        <v/>
      </c>
      <c r="AW460" s="65" t="str">
        <f aca="false">IF($AV460="","",IF($T460&lt;&gt;"",$T460,IF($X460="Closed","Closed","Accepted to "&amp;$X460)))</f>
        <v/>
      </c>
      <c r="AX460" s="65" t="str">
        <f aca="false">IF(AND($Y460&lt;&gt;"",$R460&lt;&gt;""),$AF460+ROW()/100000,"")</f>
        <v/>
      </c>
      <c r="AY460" s="65" t="str">
        <f aca="false">IF(AND($Y460&lt;&gt;"",OR($AB460="Overdue",AND($AH460="Critical",$R460&lt;&gt;""))),$AF460+ROW()/100000,"")</f>
        <v/>
      </c>
      <c r="AZ460" s="65" t="str">
        <f aca="false">IF($AH460="Critical",$AF460+ROW()/100000,"")</f>
        <v/>
      </c>
    </row>
    <row r="461" customFormat="false" ht="15" hidden="false" customHeight="false" outlineLevel="0" collapsed="false">
      <c r="A461" s="28"/>
      <c r="B461" s="28"/>
      <c r="C461" s="28"/>
      <c r="D461" s="28"/>
      <c r="E461" s="28"/>
      <c r="F461" s="28"/>
      <c r="G461" s="63"/>
      <c r="H461" s="63"/>
      <c r="I461" s="63"/>
      <c r="J461" s="28"/>
      <c r="K461" s="28"/>
      <c r="L461" s="28"/>
      <c r="M461" s="28"/>
      <c r="N461" s="28"/>
      <c r="O461" s="64"/>
      <c r="P461" s="64"/>
      <c r="Q461" s="64"/>
      <c r="R461" s="28"/>
      <c r="S461" s="63"/>
      <c r="T461" s="64"/>
      <c r="U461" s="63"/>
      <c r="V461" s="64"/>
      <c r="W461" s="28"/>
      <c r="X461" s="65" t="str">
        <f aca="false">IF($A461="","",IF(OR($T461&lt;&gt;"",$U461&lt;&gt;""),"Closed",IFERROR(INDEX(MapStage,MATCH($C461,MapStatus,0)),"Unmapped")))</f>
        <v/>
      </c>
      <c r="Y461" s="65" t="str">
        <f aca="false">IF(OR($X461="",$X461="Closed",$X461="Unmapped"),"",MATCH($X461,StageName,0))</f>
        <v/>
      </c>
      <c r="Z461" s="65" t="str">
        <f aca="false">IF(OR($Y461="",$I461=""),"",$I461-AsOf)</f>
        <v/>
      </c>
      <c r="AA461" s="65" t="str">
        <f aca="false">IF($A461="","",AsOf-$H461)</f>
        <v/>
      </c>
      <c r="AB461" s="65" t="str">
        <f aca="false">IF($A461="","",IF($X461="Closed","Closed",IF($X461="Unmapped","Unmapped",IF($I461="","No target",IF($Z461&lt;0,"Overdue",IF($Z461&lt;=INDEX(StageWindow,$Y461),"At risk","On track"))))))</f>
        <v/>
      </c>
      <c r="AC461" s="65" t="str">
        <f aca="false">IF($Y461="","",IF($AA461&gt;2*INDEX(StageStale,$Y461),"Stale",IF($AA461&gt;INDEX(StageStale,$Y461),"Aging","Fresh")))</f>
        <v/>
      </c>
      <c r="AD461" s="65" t="str">
        <f aca="false">IF($A461="","",IF(OR(ISNUMBER(SEARCH("Reg report",$J461)),ISNUMBER(SEARCH("No human review",$J461)),COUNTIF(TierFuncs,$D461)&gt;0),"High",IF(OR(TRIM($J461)&lt;&gt;"",ISNUMBER(SEARCH("revenue",$K461))),"Medium","Low")))</f>
        <v/>
      </c>
      <c r="AE461" s="65" t="str">
        <f aca="false">IF($A461="","",INDEX(TierDays,MATCH($AD461,TierName,0)))</f>
        <v/>
      </c>
      <c r="AF461" s="65" t="str">
        <f aca="false">IF($A461="","",AsOf-$G461)</f>
        <v/>
      </c>
      <c r="AG461" s="65" t="str">
        <f aca="false">IF($Y461="","",IF($Y461&lt;=5,IF($AF461&gt;$AE461,"Over","Inside"),"Past approval"))</f>
        <v/>
      </c>
      <c r="AH461" s="65" t="str">
        <f aca="false">IF($Y461="","",CHOOSE($Y461,IF(OR(TRIM($F461)="",ISNUMBER(SEARCH("not named",$F461))),"Critical","Good"),IF($O461&lt;&gt;"Y","Critical",IF($Q461&lt;&gt;"Y","Warning","Good")),IF($P461="","Critical",IF($P461="partial","Warning",IF($P461="ready","Good","Critical"))),IF($R461&lt;&gt;"","Critical","Warning"),IF($L461="","Critical",IF($N461="","Warning","Good")),IF($R461&lt;&gt;"","Critical","Warning"),IF($R461&lt;&gt;"","Critical","Warning"),IF($Q461="Y","Good","Critical")))</f>
        <v/>
      </c>
      <c r="AI461" s="65" t="str">
        <f aca="false">IF($Y461="","",CHOOSE($Y461,IF(OR(TRIM($F461)="",ISNUMBER(SEARCH("not named",$F461))),"Name a sponsor accountable for the value",""),IF($O461&lt;&gt;"Y","State the success metric and the stop condition",IF($Q461&lt;&gt;"Y","Set the baseline the benefit will be measured against","")),IF($P461="","Assess data readiness and regulatory impact",IF($P461="partial","Close the known data gaps",IF($P461="ready","","Data is not available; reshape or park"))),IF($R461&lt;&gt;"",IF(OR(ISNUMBER(SEARCH("mrm",$R461)),ISNUMBER(SEARCH("model",$R461)),ISNUMBER(SEARCH("risk",$R461)),ISNUMBER(SEARCH("legal",$R461)),ISNUMBER(SEARCH("complian",$R461))),"Awaiting ","Held at the design gate: ")&amp;$R461,"Map the governance framework for its tier"),IF($L461="","Size the annual benefit",IF($N461="","Score it so it can be ranked against capacity","")),IF($R461&lt;&gt;"","Build held: "&amp;$R461,"In build, not yet through test"),IF($R461&lt;&gt;"","Not ready to scale: "&amp;$R461,"Monitoring and third-party review not yet signed off"),IF($Q461="Y","","Live without a measured baseline to judge it against")))</f>
        <v/>
      </c>
      <c r="AJ461" s="65" t="str">
        <f aca="false">IF($Y461="","",INDEX(StageForum,$Y461))</f>
        <v/>
      </c>
      <c r="AK461" s="65" t="str">
        <f aca="false">IF($Y461="","",IF(OR($X461="Delivery",$X461="Value"),"Committed",IF($N461&lt;&gt;"","Candidate","")))</f>
        <v/>
      </c>
      <c r="AL461" s="65" t="str">
        <f aca="false">IF($AK461&lt;&gt;"Candidate","",COUNTIFS($AK$2:$AK$501,"Candidate",$N$2:$N$501,"&gt;"&amp;$N461)+COUNTIFS($AK$2:$AK$501,"Candidate",$N$2:$N$501,$N461,$A$2:$A$501,"&lt;"&amp;$A461)+1)</f>
        <v/>
      </c>
      <c r="AM461" s="65" t="str">
        <f aca="false">IF($AL461="","",SUMIFS($M$2:$M$501,$AK$2:$AK$501,"Candidate",$AL$2:$AL$501,"&lt;="&amp;$AL461))</f>
        <v/>
      </c>
      <c r="AN461" s="65" t="str">
        <f aca="false">IF($AL461="","",IF($AM461&lt;=CapacityOpen,"Fits","Below line"))</f>
        <v/>
      </c>
      <c r="AO461" s="65" t="str">
        <f aca="false">IF($A461="","",IF($X461="Closed","",IF($X461="Unmapped","Warning",IF(OR($AB461="Overdue",$V461="Y",$AH461="Critical"),"Critical",IF(OR($AB461="At risk",$AC461="Stale",$AG461="Over"),"Warning","")))))</f>
        <v/>
      </c>
      <c r="AP461" s="65" t="str">
        <f aca="false">IF($AO461="","",IF($AO461="Critical",3000,2000)-IF($Z461="",0,$Z461)+ROW()/100000)</f>
        <v/>
      </c>
      <c r="AQ461" s="65" t="str">
        <f aca="false">IF($AO461="","",IF($X461="Unmapped","Status '"&amp;$C461&amp;"' is not in the Config map",IF($V461="Y","Flagged in Jira",IF($AB461="Overdue",-$Z461&amp;" days past its "&amp;$X461&amp;" target",IF($AH461="Critical",$AI461,IF($AB461="At risk","Target in "&amp;$Z461&amp;" days",IF($AC461="Stale","No update in "&amp;$AA461&amp;" days","Past its "&amp;$AE461&amp;"-day tier window")))))))</f>
        <v/>
      </c>
      <c r="AR461" s="65" t="str">
        <f aca="false">IF($AO461="","","draft Jira update for "&amp;$A461)</f>
        <v/>
      </c>
      <c r="AS461" s="65" t="str">
        <f aca="false">IF($A461="","",HYPERLINK(JiraSite&amp;"/browse/"&amp;$A461,"open"))</f>
        <v/>
      </c>
      <c r="AT461" s="65" t="str">
        <f aca="false">IF($Y461="","",$Y461*1000+ROW())</f>
        <v/>
      </c>
      <c r="AU461" s="65" t="str">
        <f aca="false">IF(AND($A461&lt;&gt;"",$G461&gt;=WeekStart),$G461+ROW()/100000,"")</f>
        <v/>
      </c>
      <c r="AV461" s="65" t="str">
        <f aca="false">IF($A461="","",IF(OR(AND($S461&lt;&gt;"",$S461&gt;=WeekStart),AND($U461&lt;&gt;"",$U461&gt;=WeekStart)),MAX($S461,$U461)+ROW()/100000,""))</f>
        <v/>
      </c>
      <c r="AW461" s="65" t="str">
        <f aca="false">IF($AV461="","",IF($T461&lt;&gt;"",$T461,IF($X461="Closed","Closed","Accepted to "&amp;$X461)))</f>
        <v/>
      </c>
      <c r="AX461" s="65" t="str">
        <f aca="false">IF(AND($Y461&lt;&gt;"",$R461&lt;&gt;""),$AF461+ROW()/100000,"")</f>
        <v/>
      </c>
      <c r="AY461" s="65" t="str">
        <f aca="false">IF(AND($Y461&lt;&gt;"",OR($AB461="Overdue",AND($AH461="Critical",$R461&lt;&gt;""))),$AF461+ROW()/100000,"")</f>
        <v/>
      </c>
      <c r="AZ461" s="65" t="str">
        <f aca="false">IF($AH461="Critical",$AF461+ROW()/100000,"")</f>
        <v/>
      </c>
    </row>
    <row r="462" customFormat="false" ht="15" hidden="false" customHeight="false" outlineLevel="0" collapsed="false">
      <c r="A462" s="28"/>
      <c r="B462" s="28"/>
      <c r="C462" s="28"/>
      <c r="D462" s="28"/>
      <c r="E462" s="28"/>
      <c r="F462" s="28"/>
      <c r="G462" s="63"/>
      <c r="H462" s="63"/>
      <c r="I462" s="63"/>
      <c r="J462" s="28"/>
      <c r="K462" s="28"/>
      <c r="L462" s="28"/>
      <c r="M462" s="28"/>
      <c r="N462" s="28"/>
      <c r="O462" s="64"/>
      <c r="P462" s="64"/>
      <c r="Q462" s="64"/>
      <c r="R462" s="28"/>
      <c r="S462" s="63"/>
      <c r="T462" s="64"/>
      <c r="U462" s="63"/>
      <c r="V462" s="64"/>
      <c r="W462" s="28"/>
      <c r="X462" s="65" t="str">
        <f aca="false">IF($A462="","",IF(OR($T462&lt;&gt;"",$U462&lt;&gt;""),"Closed",IFERROR(INDEX(MapStage,MATCH($C462,MapStatus,0)),"Unmapped")))</f>
        <v/>
      </c>
      <c r="Y462" s="65" t="str">
        <f aca="false">IF(OR($X462="",$X462="Closed",$X462="Unmapped"),"",MATCH($X462,StageName,0))</f>
        <v/>
      </c>
      <c r="Z462" s="65" t="str">
        <f aca="false">IF(OR($Y462="",$I462=""),"",$I462-AsOf)</f>
        <v/>
      </c>
      <c r="AA462" s="65" t="str">
        <f aca="false">IF($A462="","",AsOf-$H462)</f>
        <v/>
      </c>
      <c r="AB462" s="65" t="str">
        <f aca="false">IF($A462="","",IF($X462="Closed","Closed",IF($X462="Unmapped","Unmapped",IF($I462="","No target",IF($Z462&lt;0,"Overdue",IF($Z462&lt;=INDEX(StageWindow,$Y462),"At risk","On track"))))))</f>
        <v/>
      </c>
      <c r="AC462" s="65" t="str">
        <f aca="false">IF($Y462="","",IF($AA462&gt;2*INDEX(StageStale,$Y462),"Stale",IF($AA462&gt;INDEX(StageStale,$Y462),"Aging","Fresh")))</f>
        <v/>
      </c>
      <c r="AD462" s="65" t="str">
        <f aca="false">IF($A462="","",IF(OR(ISNUMBER(SEARCH("Reg report",$J462)),ISNUMBER(SEARCH("No human review",$J462)),COUNTIF(TierFuncs,$D462)&gt;0),"High",IF(OR(TRIM($J462)&lt;&gt;"",ISNUMBER(SEARCH("revenue",$K462))),"Medium","Low")))</f>
        <v/>
      </c>
      <c r="AE462" s="65" t="str">
        <f aca="false">IF($A462="","",INDEX(TierDays,MATCH($AD462,TierName,0)))</f>
        <v/>
      </c>
      <c r="AF462" s="65" t="str">
        <f aca="false">IF($A462="","",AsOf-$G462)</f>
        <v/>
      </c>
      <c r="AG462" s="65" t="str">
        <f aca="false">IF($Y462="","",IF($Y462&lt;=5,IF($AF462&gt;$AE462,"Over","Inside"),"Past approval"))</f>
        <v/>
      </c>
      <c r="AH462" s="65" t="str">
        <f aca="false">IF($Y462="","",CHOOSE($Y462,IF(OR(TRIM($F462)="",ISNUMBER(SEARCH("not named",$F462))),"Critical","Good"),IF($O462&lt;&gt;"Y","Critical",IF($Q462&lt;&gt;"Y","Warning","Good")),IF($P462="","Critical",IF($P462="partial","Warning",IF($P462="ready","Good","Critical"))),IF($R462&lt;&gt;"","Critical","Warning"),IF($L462="","Critical",IF($N462="","Warning","Good")),IF($R462&lt;&gt;"","Critical","Warning"),IF($R462&lt;&gt;"","Critical","Warning"),IF($Q462="Y","Good","Critical")))</f>
        <v/>
      </c>
      <c r="AI462" s="65" t="str">
        <f aca="false">IF($Y462="","",CHOOSE($Y462,IF(OR(TRIM($F462)="",ISNUMBER(SEARCH("not named",$F462))),"Name a sponsor accountable for the value",""),IF($O462&lt;&gt;"Y","State the success metric and the stop condition",IF($Q462&lt;&gt;"Y","Set the baseline the benefit will be measured against","")),IF($P462="","Assess data readiness and regulatory impact",IF($P462="partial","Close the known data gaps",IF($P462="ready","","Data is not available; reshape or park"))),IF($R462&lt;&gt;"",IF(OR(ISNUMBER(SEARCH("mrm",$R462)),ISNUMBER(SEARCH("model",$R462)),ISNUMBER(SEARCH("risk",$R462)),ISNUMBER(SEARCH("legal",$R462)),ISNUMBER(SEARCH("complian",$R462))),"Awaiting ","Held at the design gate: ")&amp;$R462,"Map the governance framework for its tier"),IF($L462="","Size the annual benefit",IF($N462="","Score it so it can be ranked against capacity","")),IF($R462&lt;&gt;"","Build held: "&amp;$R462,"In build, not yet through test"),IF($R462&lt;&gt;"","Not ready to scale: "&amp;$R462,"Monitoring and third-party review not yet signed off"),IF($Q462="Y","","Live without a measured baseline to judge it against")))</f>
        <v/>
      </c>
      <c r="AJ462" s="65" t="str">
        <f aca="false">IF($Y462="","",INDEX(StageForum,$Y462))</f>
        <v/>
      </c>
      <c r="AK462" s="65" t="str">
        <f aca="false">IF($Y462="","",IF(OR($X462="Delivery",$X462="Value"),"Committed",IF($N462&lt;&gt;"","Candidate","")))</f>
        <v/>
      </c>
      <c r="AL462" s="65" t="str">
        <f aca="false">IF($AK462&lt;&gt;"Candidate","",COUNTIFS($AK$2:$AK$501,"Candidate",$N$2:$N$501,"&gt;"&amp;$N462)+COUNTIFS($AK$2:$AK$501,"Candidate",$N$2:$N$501,$N462,$A$2:$A$501,"&lt;"&amp;$A462)+1)</f>
        <v/>
      </c>
      <c r="AM462" s="65" t="str">
        <f aca="false">IF($AL462="","",SUMIFS($M$2:$M$501,$AK$2:$AK$501,"Candidate",$AL$2:$AL$501,"&lt;="&amp;$AL462))</f>
        <v/>
      </c>
      <c r="AN462" s="65" t="str">
        <f aca="false">IF($AL462="","",IF($AM462&lt;=CapacityOpen,"Fits","Below line"))</f>
        <v/>
      </c>
      <c r="AO462" s="65" t="str">
        <f aca="false">IF($A462="","",IF($X462="Closed","",IF($X462="Unmapped","Warning",IF(OR($AB462="Overdue",$V462="Y",$AH462="Critical"),"Critical",IF(OR($AB462="At risk",$AC462="Stale",$AG462="Over"),"Warning","")))))</f>
        <v/>
      </c>
      <c r="AP462" s="65" t="str">
        <f aca="false">IF($AO462="","",IF($AO462="Critical",3000,2000)-IF($Z462="",0,$Z462)+ROW()/100000)</f>
        <v/>
      </c>
      <c r="AQ462" s="65" t="str">
        <f aca="false">IF($AO462="","",IF($X462="Unmapped","Status '"&amp;$C462&amp;"' is not in the Config map",IF($V462="Y","Flagged in Jira",IF($AB462="Overdue",-$Z462&amp;" days past its "&amp;$X462&amp;" target",IF($AH462="Critical",$AI462,IF($AB462="At risk","Target in "&amp;$Z462&amp;" days",IF($AC462="Stale","No update in "&amp;$AA462&amp;" days","Past its "&amp;$AE462&amp;"-day tier window")))))))</f>
        <v/>
      </c>
      <c r="AR462" s="65" t="str">
        <f aca="false">IF($AO462="","","draft Jira update for "&amp;$A462)</f>
        <v/>
      </c>
      <c r="AS462" s="65" t="str">
        <f aca="false">IF($A462="","",HYPERLINK(JiraSite&amp;"/browse/"&amp;$A462,"open"))</f>
        <v/>
      </c>
      <c r="AT462" s="65" t="str">
        <f aca="false">IF($Y462="","",$Y462*1000+ROW())</f>
        <v/>
      </c>
      <c r="AU462" s="65" t="str">
        <f aca="false">IF(AND($A462&lt;&gt;"",$G462&gt;=WeekStart),$G462+ROW()/100000,"")</f>
        <v/>
      </c>
      <c r="AV462" s="65" t="str">
        <f aca="false">IF($A462="","",IF(OR(AND($S462&lt;&gt;"",$S462&gt;=WeekStart),AND($U462&lt;&gt;"",$U462&gt;=WeekStart)),MAX($S462,$U462)+ROW()/100000,""))</f>
        <v/>
      </c>
      <c r="AW462" s="65" t="str">
        <f aca="false">IF($AV462="","",IF($T462&lt;&gt;"",$T462,IF($X462="Closed","Closed","Accepted to "&amp;$X462)))</f>
        <v/>
      </c>
      <c r="AX462" s="65" t="str">
        <f aca="false">IF(AND($Y462&lt;&gt;"",$R462&lt;&gt;""),$AF462+ROW()/100000,"")</f>
        <v/>
      </c>
      <c r="AY462" s="65" t="str">
        <f aca="false">IF(AND($Y462&lt;&gt;"",OR($AB462="Overdue",AND($AH462="Critical",$R462&lt;&gt;""))),$AF462+ROW()/100000,"")</f>
        <v/>
      </c>
      <c r="AZ462" s="65" t="str">
        <f aca="false">IF($AH462="Critical",$AF462+ROW()/100000,"")</f>
        <v/>
      </c>
    </row>
    <row r="463" customFormat="false" ht="15" hidden="false" customHeight="false" outlineLevel="0" collapsed="false">
      <c r="A463" s="28"/>
      <c r="B463" s="28"/>
      <c r="C463" s="28"/>
      <c r="D463" s="28"/>
      <c r="E463" s="28"/>
      <c r="F463" s="28"/>
      <c r="G463" s="63"/>
      <c r="H463" s="63"/>
      <c r="I463" s="63"/>
      <c r="J463" s="28"/>
      <c r="K463" s="28"/>
      <c r="L463" s="28"/>
      <c r="M463" s="28"/>
      <c r="N463" s="28"/>
      <c r="O463" s="64"/>
      <c r="P463" s="64"/>
      <c r="Q463" s="64"/>
      <c r="R463" s="28"/>
      <c r="S463" s="63"/>
      <c r="T463" s="64"/>
      <c r="U463" s="63"/>
      <c r="V463" s="64"/>
      <c r="W463" s="28"/>
      <c r="X463" s="65" t="str">
        <f aca="false">IF($A463="","",IF(OR($T463&lt;&gt;"",$U463&lt;&gt;""),"Closed",IFERROR(INDEX(MapStage,MATCH($C463,MapStatus,0)),"Unmapped")))</f>
        <v/>
      </c>
      <c r="Y463" s="65" t="str">
        <f aca="false">IF(OR($X463="",$X463="Closed",$X463="Unmapped"),"",MATCH($X463,StageName,0))</f>
        <v/>
      </c>
      <c r="Z463" s="65" t="str">
        <f aca="false">IF(OR($Y463="",$I463=""),"",$I463-AsOf)</f>
        <v/>
      </c>
      <c r="AA463" s="65" t="str">
        <f aca="false">IF($A463="","",AsOf-$H463)</f>
        <v/>
      </c>
      <c r="AB463" s="65" t="str">
        <f aca="false">IF($A463="","",IF($X463="Closed","Closed",IF($X463="Unmapped","Unmapped",IF($I463="","No target",IF($Z463&lt;0,"Overdue",IF($Z463&lt;=INDEX(StageWindow,$Y463),"At risk","On track"))))))</f>
        <v/>
      </c>
      <c r="AC463" s="65" t="str">
        <f aca="false">IF($Y463="","",IF($AA463&gt;2*INDEX(StageStale,$Y463),"Stale",IF($AA463&gt;INDEX(StageStale,$Y463),"Aging","Fresh")))</f>
        <v/>
      </c>
      <c r="AD463" s="65" t="str">
        <f aca="false">IF($A463="","",IF(OR(ISNUMBER(SEARCH("Reg report",$J463)),ISNUMBER(SEARCH("No human review",$J463)),COUNTIF(TierFuncs,$D463)&gt;0),"High",IF(OR(TRIM($J463)&lt;&gt;"",ISNUMBER(SEARCH("revenue",$K463))),"Medium","Low")))</f>
        <v/>
      </c>
      <c r="AE463" s="65" t="str">
        <f aca="false">IF($A463="","",INDEX(TierDays,MATCH($AD463,TierName,0)))</f>
        <v/>
      </c>
      <c r="AF463" s="65" t="str">
        <f aca="false">IF($A463="","",AsOf-$G463)</f>
        <v/>
      </c>
      <c r="AG463" s="65" t="str">
        <f aca="false">IF($Y463="","",IF($Y463&lt;=5,IF($AF463&gt;$AE463,"Over","Inside"),"Past approval"))</f>
        <v/>
      </c>
      <c r="AH463" s="65" t="str">
        <f aca="false">IF($Y463="","",CHOOSE($Y463,IF(OR(TRIM($F463)="",ISNUMBER(SEARCH("not named",$F463))),"Critical","Good"),IF($O463&lt;&gt;"Y","Critical",IF($Q463&lt;&gt;"Y","Warning","Good")),IF($P463="","Critical",IF($P463="partial","Warning",IF($P463="ready","Good","Critical"))),IF($R463&lt;&gt;"","Critical","Warning"),IF($L463="","Critical",IF($N463="","Warning","Good")),IF($R463&lt;&gt;"","Critical","Warning"),IF($R463&lt;&gt;"","Critical","Warning"),IF($Q463="Y","Good","Critical")))</f>
        <v/>
      </c>
      <c r="AI463" s="65" t="str">
        <f aca="false">IF($Y463="","",CHOOSE($Y463,IF(OR(TRIM($F463)="",ISNUMBER(SEARCH("not named",$F463))),"Name a sponsor accountable for the value",""),IF($O463&lt;&gt;"Y","State the success metric and the stop condition",IF($Q463&lt;&gt;"Y","Set the baseline the benefit will be measured against","")),IF($P463="","Assess data readiness and regulatory impact",IF($P463="partial","Close the known data gaps",IF($P463="ready","","Data is not available; reshape or park"))),IF($R463&lt;&gt;"",IF(OR(ISNUMBER(SEARCH("mrm",$R463)),ISNUMBER(SEARCH("model",$R463)),ISNUMBER(SEARCH("risk",$R463)),ISNUMBER(SEARCH("legal",$R463)),ISNUMBER(SEARCH("complian",$R463))),"Awaiting ","Held at the design gate: ")&amp;$R463,"Map the governance framework for its tier"),IF($L463="","Size the annual benefit",IF($N463="","Score it so it can be ranked against capacity","")),IF($R463&lt;&gt;"","Build held: "&amp;$R463,"In build, not yet through test"),IF($R463&lt;&gt;"","Not ready to scale: "&amp;$R463,"Monitoring and third-party review not yet signed off"),IF($Q463="Y","","Live without a measured baseline to judge it against")))</f>
        <v/>
      </c>
      <c r="AJ463" s="65" t="str">
        <f aca="false">IF($Y463="","",INDEX(StageForum,$Y463))</f>
        <v/>
      </c>
      <c r="AK463" s="65" t="str">
        <f aca="false">IF($Y463="","",IF(OR($X463="Delivery",$X463="Value"),"Committed",IF($N463&lt;&gt;"","Candidate","")))</f>
        <v/>
      </c>
      <c r="AL463" s="65" t="str">
        <f aca="false">IF($AK463&lt;&gt;"Candidate","",COUNTIFS($AK$2:$AK$501,"Candidate",$N$2:$N$501,"&gt;"&amp;$N463)+COUNTIFS($AK$2:$AK$501,"Candidate",$N$2:$N$501,$N463,$A$2:$A$501,"&lt;"&amp;$A463)+1)</f>
        <v/>
      </c>
      <c r="AM463" s="65" t="str">
        <f aca="false">IF($AL463="","",SUMIFS($M$2:$M$501,$AK$2:$AK$501,"Candidate",$AL$2:$AL$501,"&lt;="&amp;$AL463))</f>
        <v/>
      </c>
      <c r="AN463" s="65" t="str">
        <f aca="false">IF($AL463="","",IF($AM463&lt;=CapacityOpen,"Fits","Below line"))</f>
        <v/>
      </c>
      <c r="AO463" s="65" t="str">
        <f aca="false">IF($A463="","",IF($X463="Closed","",IF($X463="Unmapped","Warning",IF(OR($AB463="Overdue",$V463="Y",$AH463="Critical"),"Critical",IF(OR($AB463="At risk",$AC463="Stale",$AG463="Over"),"Warning","")))))</f>
        <v/>
      </c>
      <c r="AP463" s="65" t="str">
        <f aca="false">IF($AO463="","",IF($AO463="Critical",3000,2000)-IF($Z463="",0,$Z463)+ROW()/100000)</f>
        <v/>
      </c>
      <c r="AQ463" s="65" t="str">
        <f aca="false">IF($AO463="","",IF($X463="Unmapped","Status '"&amp;$C463&amp;"' is not in the Config map",IF($V463="Y","Flagged in Jira",IF($AB463="Overdue",-$Z463&amp;" days past its "&amp;$X463&amp;" target",IF($AH463="Critical",$AI463,IF($AB463="At risk","Target in "&amp;$Z463&amp;" days",IF($AC463="Stale","No update in "&amp;$AA463&amp;" days","Past its "&amp;$AE463&amp;"-day tier window")))))))</f>
        <v/>
      </c>
      <c r="AR463" s="65" t="str">
        <f aca="false">IF($AO463="","","draft Jira update for "&amp;$A463)</f>
        <v/>
      </c>
      <c r="AS463" s="65" t="str">
        <f aca="false">IF($A463="","",HYPERLINK(JiraSite&amp;"/browse/"&amp;$A463,"open"))</f>
        <v/>
      </c>
      <c r="AT463" s="65" t="str">
        <f aca="false">IF($Y463="","",$Y463*1000+ROW())</f>
        <v/>
      </c>
      <c r="AU463" s="65" t="str">
        <f aca="false">IF(AND($A463&lt;&gt;"",$G463&gt;=WeekStart),$G463+ROW()/100000,"")</f>
        <v/>
      </c>
      <c r="AV463" s="65" t="str">
        <f aca="false">IF($A463="","",IF(OR(AND($S463&lt;&gt;"",$S463&gt;=WeekStart),AND($U463&lt;&gt;"",$U463&gt;=WeekStart)),MAX($S463,$U463)+ROW()/100000,""))</f>
        <v/>
      </c>
      <c r="AW463" s="65" t="str">
        <f aca="false">IF($AV463="","",IF($T463&lt;&gt;"",$T463,IF($X463="Closed","Closed","Accepted to "&amp;$X463)))</f>
        <v/>
      </c>
      <c r="AX463" s="65" t="str">
        <f aca="false">IF(AND($Y463&lt;&gt;"",$R463&lt;&gt;""),$AF463+ROW()/100000,"")</f>
        <v/>
      </c>
      <c r="AY463" s="65" t="str">
        <f aca="false">IF(AND($Y463&lt;&gt;"",OR($AB463="Overdue",AND($AH463="Critical",$R463&lt;&gt;""))),$AF463+ROW()/100000,"")</f>
        <v/>
      </c>
      <c r="AZ463" s="65" t="str">
        <f aca="false">IF($AH463="Critical",$AF463+ROW()/100000,"")</f>
        <v/>
      </c>
    </row>
    <row r="464" customFormat="false" ht="15" hidden="false" customHeight="false" outlineLevel="0" collapsed="false">
      <c r="A464" s="28"/>
      <c r="B464" s="28"/>
      <c r="C464" s="28"/>
      <c r="D464" s="28"/>
      <c r="E464" s="28"/>
      <c r="F464" s="28"/>
      <c r="G464" s="63"/>
      <c r="H464" s="63"/>
      <c r="I464" s="63"/>
      <c r="J464" s="28"/>
      <c r="K464" s="28"/>
      <c r="L464" s="28"/>
      <c r="M464" s="28"/>
      <c r="N464" s="28"/>
      <c r="O464" s="64"/>
      <c r="P464" s="64"/>
      <c r="Q464" s="64"/>
      <c r="R464" s="28"/>
      <c r="S464" s="63"/>
      <c r="T464" s="64"/>
      <c r="U464" s="63"/>
      <c r="V464" s="64"/>
      <c r="W464" s="28"/>
      <c r="X464" s="65" t="str">
        <f aca="false">IF($A464="","",IF(OR($T464&lt;&gt;"",$U464&lt;&gt;""),"Closed",IFERROR(INDEX(MapStage,MATCH($C464,MapStatus,0)),"Unmapped")))</f>
        <v/>
      </c>
      <c r="Y464" s="65" t="str">
        <f aca="false">IF(OR($X464="",$X464="Closed",$X464="Unmapped"),"",MATCH($X464,StageName,0))</f>
        <v/>
      </c>
      <c r="Z464" s="65" t="str">
        <f aca="false">IF(OR($Y464="",$I464=""),"",$I464-AsOf)</f>
        <v/>
      </c>
      <c r="AA464" s="65" t="str">
        <f aca="false">IF($A464="","",AsOf-$H464)</f>
        <v/>
      </c>
      <c r="AB464" s="65" t="str">
        <f aca="false">IF($A464="","",IF($X464="Closed","Closed",IF($X464="Unmapped","Unmapped",IF($I464="","No target",IF($Z464&lt;0,"Overdue",IF($Z464&lt;=INDEX(StageWindow,$Y464),"At risk","On track"))))))</f>
        <v/>
      </c>
      <c r="AC464" s="65" t="str">
        <f aca="false">IF($Y464="","",IF($AA464&gt;2*INDEX(StageStale,$Y464),"Stale",IF($AA464&gt;INDEX(StageStale,$Y464),"Aging","Fresh")))</f>
        <v/>
      </c>
      <c r="AD464" s="65" t="str">
        <f aca="false">IF($A464="","",IF(OR(ISNUMBER(SEARCH("Reg report",$J464)),ISNUMBER(SEARCH("No human review",$J464)),COUNTIF(TierFuncs,$D464)&gt;0),"High",IF(OR(TRIM($J464)&lt;&gt;"",ISNUMBER(SEARCH("revenue",$K464))),"Medium","Low")))</f>
        <v/>
      </c>
      <c r="AE464" s="65" t="str">
        <f aca="false">IF($A464="","",INDEX(TierDays,MATCH($AD464,TierName,0)))</f>
        <v/>
      </c>
      <c r="AF464" s="65" t="str">
        <f aca="false">IF($A464="","",AsOf-$G464)</f>
        <v/>
      </c>
      <c r="AG464" s="65" t="str">
        <f aca="false">IF($Y464="","",IF($Y464&lt;=5,IF($AF464&gt;$AE464,"Over","Inside"),"Past approval"))</f>
        <v/>
      </c>
      <c r="AH464" s="65" t="str">
        <f aca="false">IF($Y464="","",CHOOSE($Y464,IF(OR(TRIM($F464)="",ISNUMBER(SEARCH("not named",$F464))),"Critical","Good"),IF($O464&lt;&gt;"Y","Critical",IF($Q464&lt;&gt;"Y","Warning","Good")),IF($P464="","Critical",IF($P464="partial","Warning",IF($P464="ready","Good","Critical"))),IF($R464&lt;&gt;"","Critical","Warning"),IF($L464="","Critical",IF($N464="","Warning","Good")),IF($R464&lt;&gt;"","Critical","Warning"),IF($R464&lt;&gt;"","Critical","Warning"),IF($Q464="Y","Good","Critical")))</f>
        <v/>
      </c>
      <c r="AI464" s="65" t="str">
        <f aca="false">IF($Y464="","",CHOOSE($Y464,IF(OR(TRIM($F464)="",ISNUMBER(SEARCH("not named",$F464))),"Name a sponsor accountable for the value",""),IF($O464&lt;&gt;"Y","State the success metric and the stop condition",IF($Q464&lt;&gt;"Y","Set the baseline the benefit will be measured against","")),IF($P464="","Assess data readiness and regulatory impact",IF($P464="partial","Close the known data gaps",IF($P464="ready","","Data is not available; reshape or park"))),IF($R464&lt;&gt;"",IF(OR(ISNUMBER(SEARCH("mrm",$R464)),ISNUMBER(SEARCH("model",$R464)),ISNUMBER(SEARCH("risk",$R464)),ISNUMBER(SEARCH("legal",$R464)),ISNUMBER(SEARCH("complian",$R464))),"Awaiting ","Held at the design gate: ")&amp;$R464,"Map the governance framework for its tier"),IF($L464="","Size the annual benefit",IF($N464="","Score it so it can be ranked against capacity","")),IF($R464&lt;&gt;"","Build held: "&amp;$R464,"In build, not yet through test"),IF($R464&lt;&gt;"","Not ready to scale: "&amp;$R464,"Monitoring and third-party review not yet signed off"),IF($Q464="Y","","Live without a measured baseline to judge it against")))</f>
        <v/>
      </c>
      <c r="AJ464" s="65" t="str">
        <f aca="false">IF($Y464="","",INDEX(StageForum,$Y464))</f>
        <v/>
      </c>
      <c r="AK464" s="65" t="str">
        <f aca="false">IF($Y464="","",IF(OR($X464="Delivery",$X464="Value"),"Committed",IF($N464&lt;&gt;"","Candidate","")))</f>
        <v/>
      </c>
      <c r="AL464" s="65" t="str">
        <f aca="false">IF($AK464&lt;&gt;"Candidate","",COUNTIFS($AK$2:$AK$501,"Candidate",$N$2:$N$501,"&gt;"&amp;$N464)+COUNTIFS($AK$2:$AK$501,"Candidate",$N$2:$N$501,$N464,$A$2:$A$501,"&lt;"&amp;$A464)+1)</f>
        <v/>
      </c>
      <c r="AM464" s="65" t="str">
        <f aca="false">IF($AL464="","",SUMIFS($M$2:$M$501,$AK$2:$AK$501,"Candidate",$AL$2:$AL$501,"&lt;="&amp;$AL464))</f>
        <v/>
      </c>
      <c r="AN464" s="65" t="str">
        <f aca="false">IF($AL464="","",IF($AM464&lt;=CapacityOpen,"Fits","Below line"))</f>
        <v/>
      </c>
      <c r="AO464" s="65" t="str">
        <f aca="false">IF($A464="","",IF($X464="Closed","",IF($X464="Unmapped","Warning",IF(OR($AB464="Overdue",$V464="Y",$AH464="Critical"),"Critical",IF(OR($AB464="At risk",$AC464="Stale",$AG464="Over"),"Warning","")))))</f>
        <v/>
      </c>
      <c r="AP464" s="65" t="str">
        <f aca="false">IF($AO464="","",IF($AO464="Critical",3000,2000)-IF($Z464="",0,$Z464)+ROW()/100000)</f>
        <v/>
      </c>
      <c r="AQ464" s="65" t="str">
        <f aca="false">IF($AO464="","",IF($X464="Unmapped","Status '"&amp;$C464&amp;"' is not in the Config map",IF($V464="Y","Flagged in Jira",IF($AB464="Overdue",-$Z464&amp;" days past its "&amp;$X464&amp;" target",IF($AH464="Critical",$AI464,IF($AB464="At risk","Target in "&amp;$Z464&amp;" days",IF($AC464="Stale","No update in "&amp;$AA464&amp;" days","Past its "&amp;$AE464&amp;"-day tier window")))))))</f>
        <v/>
      </c>
      <c r="AR464" s="65" t="str">
        <f aca="false">IF($AO464="","","draft Jira update for "&amp;$A464)</f>
        <v/>
      </c>
      <c r="AS464" s="65" t="str">
        <f aca="false">IF($A464="","",HYPERLINK(JiraSite&amp;"/browse/"&amp;$A464,"open"))</f>
        <v/>
      </c>
      <c r="AT464" s="65" t="str">
        <f aca="false">IF($Y464="","",$Y464*1000+ROW())</f>
        <v/>
      </c>
      <c r="AU464" s="65" t="str">
        <f aca="false">IF(AND($A464&lt;&gt;"",$G464&gt;=WeekStart),$G464+ROW()/100000,"")</f>
        <v/>
      </c>
      <c r="AV464" s="65" t="str">
        <f aca="false">IF($A464="","",IF(OR(AND($S464&lt;&gt;"",$S464&gt;=WeekStart),AND($U464&lt;&gt;"",$U464&gt;=WeekStart)),MAX($S464,$U464)+ROW()/100000,""))</f>
        <v/>
      </c>
      <c r="AW464" s="65" t="str">
        <f aca="false">IF($AV464="","",IF($T464&lt;&gt;"",$T464,IF($X464="Closed","Closed","Accepted to "&amp;$X464)))</f>
        <v/>
      </c>
      <c r="AX464" s="65" t="str">
        <f aca="false">IF(AND($Y464&lt;&gt;"",$R464&lt;&gt;""),$AF464+ROW()/100000,"")</f>
        <v/>
      </c>
      <c r="AY464" s="65" t="str">
        <f aca="false">IF(AND($Y464&lt;&gt;"",OR($AB464="Overdue",AND($AH464="Critical",$R464&lt;&gt;""))),$AF464+ROW()/100000,"")</f>
        <v/>
      </c>
      <c r="AZ464" s="65" t="str">
        <f aca="false">IF($AH464="Critical",$AF464+ROW()/100000,"")</f>
        <v/>
      </c>
    </row>
    <row r="465" customFormat="false" ht="15" hidden="false" customHeight="false" outlineLevel="0" collapsed="false">
      <c r="A465" s="28"/>
      <c r="B465" s="28"/>
      <c r="C465" s="28"/>
      <c r="D465" s="28"/>
      <c r="E465" s="28"/>
      <c r="F465" s="28"/>
      <c r="G465" s="63"/>
      <c r="H465" s="63"/>
      <c r="I465" s="63"/>
      <c r="J465" s="28"/>
      <c r="K465" s="28"/>
      <c r="L465" s="28"/>
      <c r="M465" s="28"/>
      <c r="N465" s="28"/>
      <c r="O465" s="64"/>
      <c r="P465" s="64"/>
      <c r="Q465" s="64"/>
      <c r="R465" s="28"/>
      <c r="S465" s="63"/>
      <c r="T465" s="64"/>
      <c r="U465" s="63"/>
      <c r="V465" s="64"/>
      <c r="W465" s="28"/>
      <c r="X465" s="65" t="str">
        <f aca="false">IF($A465="","",IF(OR($T465&lt;&gt;"",$U465&lt;&gt;""),"Closed",IFERROR(INDEX(MapStage,MATCH($C465,MapStatus,0)),"Unmapped")))</f>
        <v/>
      </c>
      <c r="Y465" s="65" t="str">
        <f aca="false">IF(OR($X465="",$X465="Closed",$X465="Unmapped"),"",MATCH($X465,StageName,0))</f>
        <v/>
      </c>
      <c r="Z465" s="65" t="str">
        <f aca="false">IF(OR($Y465="",$I465=""),"",$I465-AsOf)</f>
        <v/>
      </c>
      <c r="AA465" s="65" t="str">
        <f aca="false">IF($A465="","",AsOf-$H465)</f>
        <v/>
      </c>
      <c r="AB465" s="65" t="str">
        <f aca="false">IF($A465="","",IF($X465="Closed","Closed",IF($X465="Unmapped","Unmapped",IF($I465="","No target",IF($Z465&lt;0,"Overdue",IF($Z465&lt;=INDEX(StageWindow,$Y465),"At risk","On track"))))))</f>
        <v/>
      </c>
      <c r="AC465" s="65" t="str">
        <f aca="false">IF($Y465="","",IF($AA465&gt;2*INDEX(StageStale,$Y465),"Stale",IF($AA465&gt;INDEX(StageStale,$Y465),"Aging","Fresh")))</f>
        <v/>
      </c>
      <c r="AD465" s="65" t="str">
        <f aca="false">IF($A465="","",IF(OR(ISNUMBER(SEARCH("Reg report",$J465)),ISNUMBER(SEARCH("No human review",$J465)),COUNTIF(TierFuncs,$D465)&gt;0),"High",IF(OR(TRIM($J465)&lt;&gt;"",ISNUMBER(SEARCH("revenue",$K465))),"Medium","Low")))</f>
        <v/>
      </c>
      <c r="AE465" s="65" t="str">
        <f aca="false">IF($A465="","",INDEX(TierDays,MATCH($AD465,TierName,0)))</f>
        <v/>
      </c>
      <c r="AF465" s="65" t="str">
        <f aca="false">IF($A465="","",AsOf-$G465)</f>
        <v/>
      </c>
      <c r="AG465" s="65" t="str">
        <f aca="false">IF($Y465="","",IF($Y465&lt;=5,IF($AF465&gt;$AE465,"Over","Inside"),"Past approval"))</f>
        <v/>
      </c>
      <c r="AH465" s="65" t="str">
        <f aca="false">IF($Y465="","",CHOOSE($Y465,IF(OR(TRIM($F465)="",ISNUMBER(SEARCH("not named",$F465))),"Critical","Good"),IF($O465&lt;&gt;"Y","Critical",IF($Q465&lt;&gt;"Y","Warning","Good")),IF($P465="","Critical",IF($P465="partial","Warning",IF($P465="ready","Good","Critical"))),IF($R465&lt;&gt;"","Critical","Warning"),IF($L465="","Critical",IF($N465="","Warning","Good")),IF($R465&lt;&gt;"","Critical","Warning"),IF($R465&lt;&gt;"","Critical","Warning"),IF($Q465="Y","Good","Critical")))</f>
        <v/>
      </c>
      <c r="AI465" s="65" t="str">
        <f aca="false">IF($Y465="","",CHOOSE($Y465,IF(OR(TRIM($F465)="",ISNUMBER(SEARCH("not named",$F465))),"Name a sponsor accountable for the value",""),IF($O465&lt;&gt;"Y","State the success metric and the stop condition",IF($Q465&lt;&gt;"Y","Set the baseline the benefit will be measured against","")),IF($P465="","Assess data readiness and regulatory impact",IF($P465="partial","Close the known data gaps",IF($P465="ready","","Data is not available; reshape or park"))),IF($R465&lt;&gt;"",IF(OR(ISNUMBER(SEARCH("mrm",$R465)),ISNUMBER(SEARCH("model",$R465)),ISNUMBER(SEARCH("risk",$R465)),ISNUMBER(SEARCH("legal",$R465)),ISNUMBER(SEARCH("complian",$R465))),"Awaiting ","Held at the design gate: ")&amp;$R465,"Map the governance framework for its tier"),IF($L465="","Size the annual benefit",IF($N465="","Score it so it can be ranked against capacity","")),IF($R465&lt;&gt;"","Build held: "&amp;$R465,"In build, not yet through test"),IF($R465&lt;&gt;"","Not ready to scale: "&amp;$R465,"Monitoring and third-party review not yet signed off"),IF($Q465="Y","","Live without a measured baseline to judge it against")))</f>
        <v/>
      </c>
      <c r="AJ465" s="65" t="str">
        <f aca="false">IF($Y465="","",INDEX(StageForum,$Y465))</f>
        <v/>
      </c>
      <c r="AK465" s="65" t="str">
        <f aca="false">IF($Y465="","",IF(OR($X465="Delivery",$X465="Value"),"Committed",IF($N465&lt;&gt;"","Candidate","")))</f>
        <v/>
      </c>
      <c r="AL465" s="65" t="str">
        <f aca="false">IF($AK465&lt;&gt;"Candidate","",COUNTIFS($AK$2:$AK$501,"Candidate",$N$2:$N$501,"&gt;"&amp;$N465)+COUNTIFS($AK$2:$AK$501,"Candidate",$N$2:$N$501,$N465,$A$2:$A$501,"&lt;"&amp;$A465)+1)</f>
        <v/>
      </c>
      <c r="AM465" s="65" t="str">
        <f aca="false">IF($AL465="","",SUMIFS($M$2:$M$501,$AK$2:$AK$501,"Candidate",$AL$2:$AL$501,"&lt;="&amp;$AL465))</f>
        <v/>
      </c>
      <c r="AN465" s="65" t="str">
        <f aca="false">IF($AL465="","",IF($AM465&lt;=CapacityOpen,"Fits","Below line"))</f>
        <v/>
      </c>
      <c r="AO465" s="65" t="str">
        <f aca="false">IF($A465="","",IF($X465="Closed","",IF($X465="Unmapped","Warning",IF(OR($AB465="Overdue",$V465="Y",$AH465="Critical"),"Critical",IF(OR($AB465="At risk",$AC465="Stale",$AG465="Over"),"Warning","")))))</f>
        <v/>
      </c>
      <c r="AP465" s="65" t="str">
        <f aca="false">IF($AO465="","",IF($AO465="Critical",3000,2000)-IF($Z465="",0,$Z465)+ROW()/100000)</f>
        <v/>
      </c>
      <c r="AQ465" s="65" t="str">
        <f aca="false">IF($AO465="","",IF($X465="Unmapped","Status '"&amp;$C465&amp;"' is not in the Config map",IF($V465="Y","Flagged in Jira",IF($AB465="Overdue",-$Z465&amp;" days past its "&amp;$X465&amp;" target",IF($AH465="Critical",$AI465,IF($AB465="At risk","Target in "&amp;$Z465&amp;" days",IF($AC465="Stale","No update in "&amp;$AA465&amp;" days","Past its "&amp;$AE465&amp;"-day tier window")))))))</f>
        <v/>
      </c>
      <c r="AR465" s="65" t="str">
        <f aca="false">IF($AO465="","","draft Jira update for "&amp;$A465)</f>
        <v/>
      </c>
      <c r="AS465" s="65" t="str">
        <f aca="false">IF($A465="","",HYPERLINK(JiraSite&amp;"/browse/"&amp;$A465,"open"))</f>
        <v/>
      </c>
      <c r="AT465" s="65" t="str">
        <f aca="false">IF($Y465="","",$Y465*1000+ROW())</f>
        <v/>
      </c>
      <c r="AU465" s="65" t="str">
        <f aca="false">IF(AND($A465&lt;&gt;"",$G465&gt;=WeekStart),$G465+ROW()/100000,"")</f>
        <v/>
      </c>
      <c r="AV465" s="65" t="str">
        <f aca="false">IF($A465="","",IF(OR(AND($S465&lt;&gt;"",$S465&gt;=WeekStart),AND($U465&lt;&gt;"",$U465&gt;=WeekStart)),MAX($S465,$U465)+ROW()/100000,""))</f>
        <v/>
      </c>
      <c r="AW465" s="65" t="str">
        <f aca="false">IF($AV465="","",IF($T465&lt;&gt;"",$T465,IF($X465="Closed","Closed","Accepted to "&amp;$X465)))</f>
        <v/>
      </c>
      <c r="AX465" s="65" t="str">
        <f aca="false">IF(AND($Y465&lt;&gt;"",$R465&lt;&gt;""),$AF465+ROW()/100000,"")</f>
        <v/>
      </c>
      <c r="AY465" s="65" t="str">
        <f aca="false">IF(AND($Y465&lt;&gt;"",OR($AB465="Overdue",AND($AH465="Critical",$R465&lt;&gt;""))),$AF465+ROW()/100000,"")</f>
        <v/>
      </c>
      <c r="AZ465" s="65" t="str">
        <f aca="false">IF($AH465="Critical",$AF465+ROW()/100000,"")</f>
        <v/>
      </c>
    </row>
    <row r="466" customFormat="false" ht="15" hidden="false" customHeight="false" outlineLevel="0" collapsed="false">
      <c r="A466" s="28"/>
      <c r="B466" s="28"/>
      <c r="C466" s="28"/>
      <c r="D466" s="28"/>
      <c r="E466" s="28"/>
      <c r="F466" s="28"/>
      <c r="G466" s="63"/>
      <c r="H466" s="63"/>
      <c r="I466" s="63"/>
      <c r="J466" s="28"/>
      <c r="K466" s="28"/>
      <c r="L466" s="28"/>
      <c r="M466" s="28"/>
      <c r="N466" s="28"/>
      <c r="O466" s="64"/>
      <c r="P466" s="64"/>
      <c r="Q466" s="64"/>
      <c r="R466" s="28"/>
      <c r="S466" s="63"/>
      <c r="T466" s="64"/>
      <c r="U466" s="63"/>
      <c r="V466" s="64"/>
      <c r="W466" s="28"/>
      <c r="X466" s="65" t="str">
        <f aca="false">IF($A466="","",IF(OR($T466&lt;&gt;"",$U466&lt;&gt;""),"Closed",IFERROR(INDEX(MapStage,MATCH($C466,MapStatus,0)),"Unmapped")))</f>
        <v/>
      </c>
      <c r="Y466" s="65" t="str">
        <f aca="false">IF(OR($X466="",$X466="Closed",$X466="Unmapped"),"",MATCH($X466,StageName,0))</f>
        <v/>
      </c>
      <c r="Z466" s="65" t="str">
        <f aca="false">IF(OR($Y466="",$I466=""),"",$I466-AsOf)</f>
        <v/>
      </c>
      <c r="AA466" s="65" t="str">
        <f aca="false">IF($A466="","",AsOf-$H466)</f>
        <v/>
      </c>
      <c r="AB466" s="65" t="str">
        <f aca="false">IF($A466="","",IF($X466="Closed","Closed",IF($X466="Unmapped","Unmapped",IF($I466="","No target",IF($Z466&lt;0,"Overdue",IF($Z466&lt;=INDEX(StageWindow,$Y466),"At risk","On track"))))))</f>
        <v/>
      </c>
      <c r="AC466" s="65" t="str">
        <f aca="false">IF($Y466="","",IF($AA466&gt;2*INDEX(StageStale,$Y466),"Stale",IF($AA466&gt;INDEX(StageStale,$Y466),"Aging","Fresh")))</f>
        <v/>
      </c>
      <c r="AD466" s="65" t="str">
        <f aca="false">IF($A466="","",IF(OR(ISNUMBER(SEARCH("Reg report",$J466)),ISNUMBER(SEARCH("No human review",$J466)),COUNTIF(TierFuncs,$D466)&gt;0),"High",IF(OR(TRIM($J466)&lt;&gt;"",ISNUMBER(SEARCH("revenue",$K466))),"Medium","Low")))</f>
        <v/>
      </c>
      <c r="AE466" s="65" t="str">
        <f aca="false">IF($A466="","",INDEX(TierDays,MATCH($AD466,TierName,0)))</f>
        <v/>
      </c>
      <c r="AF466" s="65" t="str">
        <f aca="false">IF($A466="","",AsOf-$G466)</f>
        <v/>
      </c>
      <c r="AG466" s="65" t="str">
        <f aca="false">IF($Y466="","",IF($Y466&lt;=5,IF($AF466&gt;$AE466,"Over","Inside"),"Past approval"))</f>
        <v/>
      </c>
      <c r="AH466" s="65" t="str">
        <f aca="false">IF($Y466="","",CHOOSE($Y466,IF(OR(TRIM($F466)="",ISNUMBER(SEARCH("not named",$F466))),"Critical","Good"),IF($O466&lt;&gt;"Y","Critical",IF($Q466&lt;&gt;"Y","Warning","Good")),IF($P466="","Critical",IF($P466="partial","Warning",IF($P466="ready","Good","Critical"))),IF($R466&lt;&gt;"","Critical","Warning"),IF($L466="","Critical",IF($N466="","Warning","Good")),IF($R466&lt;&gt;"","Critical","Warning"),IF($R466&lt;&gt;"","Critical","Warning"),IF($Q466="Y","Good","Critical")))</f>
        <v/>
      </c>
      <c r="AI466" s="65" t="str">
        <f aca="false">IF($Y466="","",CHOOSE($Y466,IF(OR(TRIM($F466)="",ISNUMBER(SEARCH("not named",$F466))),"Name a sponsor accountable for the value",""),IF($O466&lt;&gt;"Y","State the success metric and the stop condition",IF($Q466&lt;&gt;"Y","Set the baseline the benefit will be measured against","")),IF($P466="","Assess data readiness and regulatory impact",IF($P466="partial","Close the known data gaps",IF($P466="ready","","Data is not available; reshape or park"))),IF($R466&lt;&gt;"",IF(OR(ISNUMBER(SEARCH("mrm",$R466)),ISNUMBER(SEARCH("model",$R466)),ISNUMBER(SEARCH("risk",$R466)),ISNUMBER(SEARCH("legal",$R466)),ISNUMBER(SEARCH("complian",$R466))),"Awaiting ","Held at the design gate: ")&amp;$R466,"Map the governance framework for its tier"),IF($L466="","Size the annual benefit",IF($N466="","Score it so it can be ranked against capacity","")),IF($R466&lt;&gt;"","Build held: "&amp;$R466,"In build, not yet through test"),IF($R466&lt;&gt;"","Not ready to scale: "&amp;$R466,"Monitoring and third-party review not yet signed off"),IF($Q466="Y","","Live without a measured baseline to judge it against")))</f>
        <v/>
      </c>
      <c r="AJ466" s="65" t="str">
        <f aca="false">IF($Y466="","",INDEX(StageForum,$Y466))</f>
        <v/>
      </c>
      <c r="AK466" s="65" t="str">
        <f aca="false">IF($Y466="","",IF(OR($X466="Delivery",$X466="Value"),"Committed",IF($N466&lt;&gt;"","Candidate","")))</f>
        <v/>
      </c>
      <c r="AL466" s="65" t="str">
        <f aca="false">IF($AK466&lt;&gt;"Candidate","",COUNTIFS($AK$2:$AK$501,"Candidate",$N$2:$N$501,"&gt;"&amp;$N466)+COUNTIFS($AK$2:$AK$501,"Candidate",$N$2:$N$501,$N466,$A$2:$A$501,"&lt;"&amp;$A466)+1)</f>
        <v/>
      </c>
      <c r="AM466" s="65" t="str">
        <f aca="false">IF($AL466="","",SUMIFS($M$2:$M$501,$AK$2:$AK$501,"Candidate",$AL$2:$AL$501,"&lt;="&amp;$AL466))</f>
        <v/>
      </c>
      <c r="AN466" s="65" t="str">
        <f aca="false">IF($AL466="","",IF($AM466&lt;=CapacityOpen,"Fits","Below line"))</f>
        <v/>
      </c>
      <c r="AO466" s="65" t="str">
        <f aca="false">IF($A466="","",IF($X466="Closed","",IF($X466="Unmapped","Warning",IF(OR($AB466="Overdue",$V466="Y",$AH466="Critical"),"Critical",IF(OR($AB466="At risk",$AC466="Stale",$AG466="Over"),"Warning","")))))</f>
        <v/>
      </c>
      <c r="AP466" s="65" t="str">
        <f aca="false">IF($AO466="","",IF($AO466="Critical",3000,2000)-IF($Z466="",0,$Z466)+ROW()/100000)</f>
        <v/>
      </c>
      <c r="AQ466" s="65" t="str">
        <f aca="false">IF($AO466="","",IF($X466="Unmapped","Status '"&amp;$C466&amp;"' is not in the Config map",IF($V466="Y","Flagged in Jira",IF($AB466="Overdue",-$Z466&amp;" days past its "&amp;$X466&amp;" target",IF($AH466="Critical",$AI466,IF($AB466="At risk","Target in "&amp;$Z466&amp;" days",IF($AC466="Stale","No update in "&amp;$AA466&amp;" days","Past its "&amp;$AE466&amp;"-day tier window")))))))</f>
        <v/>
      </c>
      <c r="AR466" s="65" t="str">
        <f aca="false">IF($AO466="","","draft Jira update for "&amp;$A466)</f>
        <v/>
      </c>
      <c r="AS466" s="65" t="str">
        <f aca="false">IF($A466="","",HYPERLINK(JiraSite&amp;"/browse/"&amp;$A466,"open"))</f>
        <v/>
      </c>
      <c r="AT466" s="65" t="str">
        <f aca="false">IF($Y466="","",$Y466*1000+ROW())</f>
        <v/>
      </c>
      <c r="AU466" s="65" t="str">
        <f aca="false">IF(AND($A466&lt;&gt;"",$G466&gt;=WeekStart),$G466+ROW()/100000,"")</f>
        <v/>
      </c>
      <c r="AV466" s="65" t="str">
        <f aca="false">IF($A466="","",IF(OR(AND($S466&lt;&gt;"",$S466&gt;=WeekStart),AND($U466&lt;&gt;"",$U466&gt;=WeekStart)),MAX($S466,$U466)+ROW()/100000,""))</f>
        <v/>
      </c>
      <c r="AW466" s="65" t="str">
        <f aca="false">IF($AV466="","",IF($T466&lt;&gt;"",$T466,IF($X466="Closed","Closed","Accepted to "&amp;$X466)))</f>
        <v/>
      </c>
      <c r="AX466" s="65" t="str">
        <f aca="false">IF(AND($Y466&lt;&gt;"",$R466&lt;&gt;""),$AF466+ROW()/100000,"")</f>
        <v/>
      </c>
      <c r="AY466" s="65" t="str">
        <f aca="false">IF(AND($Y466&lt;&gt;"",OR($AB466="Overdue",AND($AH466="Critical",$R466&lt;&gt;""))),$AF466+ROW()/100000,"")</f>
        <v/>
      </c>
      <c r="AZ466" s="65" t="str">
        <f aca="false">IF($AH466="Critical",$AF466+ROW()/100000,"")</f>
        <v/>
      </c>
    </row>
    <row r="467" customFormat="false" ht="15" hidden="false" customHeight="false" outlineLevel="0" collapsed="false">
      <c r="A467" s="28"/>
      <c r="B467" s="28"/>
      <c r="C467" s="28"/>
      <c r="D467" s="28"/>
      <c r="E467" s="28"/>
      <c r="F467" s="28"/>
      <c r="G467" s="63"/>
      <c r="H467" s="63"/>
      <c r="I467" s="63"/>
      <c r="J467" s="28"/>
      <c r="K467" s="28"/>
      <c r="L467" s="28"/>
      <c r="M467" s="28"/>
      <c r="N467" s="28"/>
      <c r="O467" s="64"/>
      <c r="P467" s="64"/>
      <c r="Q467" s="64"/>
      <c r="R467" s="28"/>
      <c r="S467" s="63"/>
      <c r="T467" s="64"/>
      <c r="U467" s="63"/>
      <c r="V467" s="64"/>
      <c r="W467" s="28"/>
      <c r="X467" s="65" t="str">
        <f aca="false">IF($A467="","",IF(OR($T467&lt;&gt;"",$U467&lt;&gt;""),"Closed",IFERROR(INDEX(MapStage,MATCH($C467,MapStatus,0)),"Unmapped")))</f>
        <v/>
      </c>
      <c r="Y467" s="65" t="str">
        <f aca="false">IF(OR($X467="",$X467="Closed",$X467="Unmapped"),"",MATCH($X467,StageName,0))</f>
        <v/>
      </c>
      <c r="Z467" s="65" t="str">
        <f aca="false">IF(OR($Y467="",$I467=""),"",$I467-AsOf)</f>
        <v/>
      </c>
      <c r="AA467" s="65" t="str">
        <f aca="false">IF($A467="","",AsOf-$H467)</f>
        <v/>
      </c>
      <c r="AB467" s="65" t="str">
        <f aca="false">IF($A467="","",IF($X467="Closed","Closed",IF($X467="Unmapped","Unmapped",IF($I467="","No target",IF($Z467&lt;0,"Overdue",IF($Z467&lt;=INDEX(StageWindow,$Y467),"At risk","On track"))))))</f>
        <v/>
      </c>
      <c r="AC467" s="65" t="str">
        <f aca="false">IF($Y467="","",IF($AA467&gt;2*INDEX(StageStale,$Y467),"Stale",IF($AA467&gt;INDEX(StageStale,$Y467),"Aging","Fresh")))</f>
        <v/>
      </c>
      <c r="AD467" s="65" t="str">
        <f aca="false">IF($A467="","",IF(OR(ISNUMBER(SEARCH("Reg report",$J467)),ISNUMBER(SEARCH("No human review",$J467)),COUNTIF(TierFuncs,$D467)&gt;0),"High",IF(OR(TRIM($J467)&lt;&gt;"",ISNUMBER(SEARCH("revenue",$K467))),"Medium","Low")))</f>
        <v/>
      </c>
      <c r="AE467" s="65" t="str">
        <f aca="false">IF($A467="","",INDEX(TierDays,MATCH($AD467,TierName,0)))</f>
        <v/>
      </c>
      <c r="AF467" s="65" t="str">
        <f aca="false">IF($A467="","",AsOf-$G467)</f>
        <v/>
      </c>
      <c r="AG467" s="65" t="str">
        <f aca="false">IF($Y467="","",IF($Y467&lt;=5,IF($AF467&gt;$AE467,"Over","Inside"),"Past approval"))</f>
        <v/>
      </c>
      <c r="AH467" s="65" t="str">
        <f aca="false">IF($Y467="","",CHOOSE($Y467,IF(OR(TRIM($F467)="",ISNUMBER(SEARCH("not named",$F467))),"Critical","Good"),IF($O467&lt;&gt;"Y","Critical",IF($Q467&lt;&gt;"Y","Warning","Good")),IF($P467="","Critical",IF($P467="partial","Warning",IF($P467="ready","Good","Critical"))),IF($R467&lt;&gt;"","Critical","Warning"),IF($L467="","Critical",IF($N467="","Warning","Good")),IF($R467&lt;&gt;"","Critical","Warning"),IF($R467&lt;&gt;"","Critical","Warning"),IF($Q467="Y","Good","Critical")))</f>
        <v/>
      </c>
      <c r="AI467" s="65" t="str">
        <f aca="false">IF($Y467="","",CHOOSE($Y467,IF(OR(TRIM($F467)="",ISNUMBER(SEARCH("not named",$F467))),"Name a sponsor accountable for the value",""),IF($O467&lt;&gt;"Y","State the success metric and the stop condition",IF($Q467&lt;&gt;"Y","Set the baseline the benefit will be measured against","")),IF($P467="","Assess data readiness and regulatory impact",IF($P467="partial","Close the known data gaps",IF($P467="ready","","Data is not available; reshape or park"))),IF($R467&lt;&gt;"",IF(OR(ISNUMBER(SEARCH("mrm",$R467)),ISNUMBER(SEARCH("model",$R467)),ISNUMBER(SEARCH("risk",$R467)),ISNUMBER(SEARCH("legal",$R467)),ISNUMBER(SEARCH("complian",$R467))),"Awaiting ","Held at the design gate: ")&amp;$R467,"Map the governance framework for its tier"),IF($L467="","Size the annual benefit",IF($N467="","Score it so it can be ranked against capacity","")),IF($R467&lt;&gt;"","Build held: "&amp;$R467,"In build, not yet through test"),IF($R467&lt;&gt;"","Not ready to scale: "&amp;$R467,"Monitoring and third-party review not yet signed off"),IF($Q467="Y","","Live without a measured baseline to judge it against")))</f>
        <v/>
      </c>
      <c r="AJ467" s="65" t="str">
        <f aca="false">IF($Y467="","",INDEX(StageForum,$Y467))</f>
        <v/>
      </c>
      <c r="AK467" s="65" t="str">
        <f aca="false">IF($Y467="","",IF(OR($X467="Delivery",$X467="Value"),"Committed",IF($N467&lt;&gt;"","Candidate","")))</f>
        <v/>
      </c>
      <c r="AL467" s="65" t="str">
        <f aca="false">IF($AK467&lt;&gt;"Candidate","",COUNTIFS($AK$2:$AK$501,"Candidate",$N$2:$N$501,"&gt;"&amp;$N467)+COUNTIFS($AK$2:$AK$501,"Candidate",$N$2:$N$501,$N467,$A$2:$A$501,"&lt;"&amp;$A467)+1)</f>
        <v/>
      </c>
      <c r="AM467" s="65" t="str">
        <f aca="false">IF($AL467="","",SUMIFS($M$2:$M$501,$AK$2:$AK$501,"Candidate",$AL$2:$AL$501,"&lt;="&amp;$AL467))</f>
        <v/>
      </c>
      <c r="AN467" s="65" t="str">
        <f aca="false">IF($AL467="","",IF($AM467&lt;=CapacityOpen,"Fits","Below line"))</f>
        <v/>
      </c>
      <c r="AO467" s="65" t="str">
        <f aca="false">IF($A467="","",IF($X467="Closed","",IF($X467="Unmapped","Warning",IF(OR($AB467="Overdue",$V467="Y",$AH467="Critical"),"Critical",IF(OR($AB467="At risk",$AC467="Stale",$AG467="Over"),"Warning","")))))</f>
        <v/>
      </c>
      <c r="AP467" s="65" t="str">
        <f aca="false">IF($AO467="","",IF($AO467="Critical",3000,2000)-IF($Z467="",0,$Z467)+ROW()/100000)</f>
        <v/>
      </c>
      <c r="AQ467" s="65" t="str">
        <f aca="false">IF($AO467="","",IF($X467="Unmapped","Status '"&amp;$C467&amp;"' is not in the Config map",IF($V467="Y","Flagged in Jira",IF($AB467="Overdue",-$Z467&amp;" days past its "&amp;$X467&amp;" target",IF($AH467="Critical",$AI467,IF($AB467="At risk","Target in "&amp;$Z467&amp;" days",IF($AC467="Stale","No update in "&amp;$AA467&amp;" days","Past its "&amp;$AE467&amp;"-day tier window")))))))</f>
        <v/>
      </c>
      <c r="AR467" s="65" t="str">
        <f aca="false">IF($AO467="","","draft Jira update for "&amp;$A467)</f>
        <v/>
      </c>
      <c r="AS467" s="65" t="str">
        <f aca="false">IF($A467="","",HYPERLINK(JiraSite&amp;"/browse/"&amp;$A467,"open"))</f>
        <v/>
      </c>
      <c r="AT467" s="65" t="str">
        <f aca="false">IF($Y467="","",$Y467*1000+ROW())</f>
        <v/>
      </c>
      <c r="AU467" s="65" t="str">
        <f aca="false">IF(AND($A467&lt;&gt;"",$G467&gt;=WeekStart),$G467+ROW()/100000,"")</f>
        <v/>
      </c>
      <c r="AV467" s="65" t="str">
        <f aca="false">IF($A467="","",IF(OR(AND($S467&lt;&gt;"",$S467&gt;=WeekStart),AND($U467&lt;&gt;"",$U467&gt;=WeekStart)),MAX($S467,$U467)+ROW()/100000,""))</f>
        <v/>
      </c>
      <c r="AW467" s="65" t="str">
        <f aca="false">IF($AV467="","",IF($T467&lt;&gt;"",$T467,IF($X467="Closed","Closed","Accepted to "&amp;$X467)))</f>
        <v/>
      </c>
      <c r="AX467" s="65" t="str">
        <f aca="false">IF(AND($Y467&lt;&gt;"",$R467&lt;&gt;""),$AF467+ROW()/100000,"")</f>
        <v/>
      </c>
      <c r="AY467" s="65" t="str">
        <f aca="false">IF(AND($Y467&lt;&gt;"",OR($AB467="Overdue",AND($AH467="Critical",$R467&lt;&gt;""))),$AF467+ROW()/100000,"")</f>
        <v/>
      </c>
      <c r="AZ467" s="65" t="str">
        <f aca="false">IF($AH467="Critical",$AF467+ROW()/100000,"")</f>
        <v/>
      </c>
    </row>
    <row r="468" customFormat="false" ht="15" hidden="false" customHeight="false" outlineLevel="0" collapsed="false">
      <c r="A468" s="28"/>
      <c r="B468" s="28"/>
      <c r="C468" s="28"/>
      <c r="D468" s="28"/>
      <c r="E468" s="28"/>
      <c r="F468" s="28"/>
      <c r="G468" s="63"/>
      <c r="H468" s="63"/>
      <c r="I468" s="63"/>
      <c r="J468" s="28"/>
      <c r="K468" s="28"/>
      <c r="L468" s="28"/>
      <c r="M468" s="28"/>
      <c r="N468" s="28"/>
      <c r="O468" s="64"/>
      <c r="P468" s="64"/>
      <c r="Q468" s="64"/>
      <c r="R468" s="28"/>
      <c r="S468" s="63"/>
      <c r="T468" s="64"/>
      <c r="U468" s="63"/>
      <c r="V468" s="64"/>
      <c r="W468" s="28"/>
      <c r="X468" s="65" t="str">
        <f aca="false">IF($A468="","",IF(OR($T468&lt;&gt;"",$U468&lt;&gt;""),"Closed",IFERROR(INDEX(MapStage,MATCH($C468,MapStatus,0)),"Unmapped")))</f>
        <v/>
      </c>
      <c r="Y468" s="65" t="str">
        <f aca="false">IF(OR($X468="",$X468="Closed",$X468="Unmapped"),"",MATCH($X468,StageName,0))</f>
        <v/>
      </c>
      <c r="Z468" s="65" t="str">
        <f aca="false">IF(OR($Y468="",$I468=""),"",$I468-AsOf)</f>
        <v/>
      </c>
      <c r="AA468" s="65" t="str">
        <f aca="false">IF($A468="","",AsOf-$H468)</f>
        <v/>
      </c>
      <c r="AB468" s="65" t="str">
        <f aca="false">IF($A468="","",IF($X468="Closed","Closed",IF($X468="Unmapped","Unmapped",IF($I468="","No target",IF($Z468&lt;0,"Overdue",IF($Z468&lt;=INDEX(StageWindow,$Y468),"At risk","On track"))))))</f>
        <v/>
      </c>
      <c r="AC468" s="65" t="str">
        <f aca="false">IF($Y468="","",IF($AA468&gt;2*INDEX(StageStale,$Y468),"Stale",IF($AA468&gt;INDEX(StageStale,$Y468),"Aging","Fresh")))</f>
        <v/>
      </c>
      <c r="AD468" s="65" t="str">
        <f aca="false">IF($A468="","",IF(OR(ISNUMBER(SEARCH("Reg report",$J468)),ISNUMBER(SEARCH("No human review",$J468)),COUNTIF(TierFuncs,$D468)&gt;0),"High",IF(OR(TRIM($J468)&lt;&gt;"",ISNUMBER(SEARCH("revenue",$K468))),"Medium","Low")))</f>
        <v/>
      </c>
      <c r="AE468" s="65" t="str">
        <f aca="false">IF($A468="","",INDEX(TierDays,MATCH($AD468,TierName,0)))</f>
        <v/>
      </c>
      <c r="AF468" s="65" t="str">
        <f aca="false">IF($A468="","",AsOf-$G468)</f>
        <v/>
      </c>
      <c r="AG468" s="65" t="str">
        <f aca="false">IF($Y468="","",IF($Y468&lt;=5,IF($AF468&gt;$AE468,"Over","Inside"),"Past approval"))</f>
        <v/>
      </c>
      <c r="AH468" s="65" t="str">
        <f aca="false">IF($Y468="","",CHOOSE($Y468,IF(OR(TRIM($F468)="",ISNUMBER(SEARCH("not named",$F468))),"Critical","Good"),IF($O468&lt;&gt;"Y","Critical",IF($Q468&lt;&gt;"Y","Warning","Good")),IF($P468="","Critical",IF($P468="partial","Warning",IF($P468="ready","Good","Critical"))),IF($R468&lt;&gt;"","Critical","Warning"),IF($L468="","Critical",IF($N468="","Warning","Good")),IF($R468&lt;&gt;"","Critical","Warning"),IF($R468&lt;&gt;"","Critical","Warning"),IF($Q468="Y","Good","Critical")))</f>
        <v/>
      </c>
      <c r="AI468" s="65" t="str">
        <f aca="false">IF($Y468="","",CHOOSE($Y468,IF(OR(TRIM($F468)="",ISNUMBER(SEARCH("not named",$F468))),"Name a sponsor accountable for the value",""),IF($O468&lt;&gt;"Y","State the success metric and the stop condition",IF($Q468&lt;&gt;"Y","Set the baseline the benefit will be measured against","")),IF($P468="","Assess data readiness and regulatory impact",IF($P468="partial","Close the known data gaps",IF($P468="ready","","Data is not available; reshape or park"))),IF($R468&lt;&gt;"",IF(OR(ISNUMBER(SEARCH("mrm",$R468)),ISNUMBER(SEARCH("model",$R468)),ISNUMBER(SEARCH("risk",$R468)),ISNUMBER(SEARCH("legal",$R468)),ISNUMBER(SEARCH("complian",$R468))),"Awaiting ","Held at the design gate: ")&amp;$R468,"Map the governance framework for its tier"),IF($L468="","Size the annual benefit",IF($N468="","Score it so it can be ranked against capacity","")),IF($R468&lt;&gt;"","Build held: "&amp;$R468,"In build, not yet through test"),IF($R468&lt;&gt;"","Not ready to scale: "&amp;$R468,"Monitoring and third-party review not yet signed off"),IF($Q468="Y","","Live without a measured baseline to judge it against")))</f>
        <v/>
      </c>
      <c r="AJ468" s="65" t="str">
        <f aca="false">IF($Y468="","",INDEX(StageForum,$Y468))</f>
        <v/>
      </c>
      <c r="AK468" s="65" t="str">
        <f aca="false">IF($Y468="","",IF(OR($X468="Delivery",$X468="Value"),"Committed",IF($N468&lt;&gt;"","Candidate","")))</f>
        <v/>
      </c>
      <c r="AL468" s="65" t="str">
        <f aca="false">IF($AK468&lt;&gt;"Candidate","",COUNTIFS($AK$2:$AK$501,"Candidate",$N$2:$N$501,"&gt;"&amp;$N468)+COUNTIFS($AK$2:$AK$501,"Candidate",$N$2:$N$501,$N468,$A$2:$A$501,"&lt;"&amp;$A468)+1)</f>
        <v/>
      </c>
      <c r="AM468" s="65" t="str">
        <f aca="false">IF($AL468="","",SUMIFS($M$2:$M$501,$AK$2:$AK$501,"Candidate",$AL$2:$AL$501,"&lt;="&amp;$AL468))</f>
        <v/>
      </c>
      <c r="AN468" s="65" t="str">
        <f aca="false">IF($AL468="","",IF($AM468&lt;=CapacityOpen,"Fits","Below line"))</f>
        <v/>
      </c>
      <c r="AO468" s="65" t="str">
        <f aca="false">IF($A468="","",IF($X468="Closed","",IF($X468="Unmapped","Warning",IF(OR($AB468="Overdue",$V468="Y",$AH468="Critical"),"Critical",IF(OR($AB468="At risk",$AC468="Stale",$AG468="Over"),"Warning","")))))</f>
        <v/>
      </c>
      <c r="AP468" s="65" t="str">
        <f aca="false">IF($AO468="","",IF($AO468="Critical",3000,2000)-IF($Z468="",0,$Z468)+ROW()/100000)</f>
        <v/>
      </c>
      <c r="AQ468" s="65" t="str">
        <f aca="false">IF($AO468="","",IF($X468="Unmapped","Status '"&amp;$C468&amp;"' is not in the Config map",IF($V468="Y","Flagged in Jira",IF($AB468="Overdue",-$Z468&amp;" days past its "&amp;$X468&amp;" target",IF($AH468="Critical",$AI468,IF($AB468="At risk","Target in "&amp;$Z468&amp;" days",IF($AC468="Stale","No update in "&amp;$AA468&amp;" days","Past its "&amp;$AE468&amp;"-day tier window")))))))</f>
        <v/>
      </c>
      <c r="AR468" s="65" t="str">
        <f aca="false">IF($AO468="","","draft Jira update for "&amp;$A468)</f>
        <v/>
      </c>
      <c r="AS468" s="65" t="str">
        <f aca="false">IF($A468="","",HYPERLINK(JiraSite&amp;"/browse/"&amp;$A468,"open"))</f>
        <v/>
      </c>
      <c r="AT468" s="65" t="str">
        <f aca="false">IF($Y468="","",$Y468*1000+ROW())</f>
        <v/>
      </c>
      <c r="AU468" s="65" t="str">
        <f aca="false">IF(AND($A468&lt;&gt;"",$G468&gt;=WeekStart),$G468+ROW()/100000,"")</f>
        <v/>
      </c>
      <c r="AV468" s="65" t="str">
        <f aca="false">IF($A468="","",IF(OR(AND($S468&lt;&gt;"",$S468&gt;=WeekStart),AND($U468&lt;&gt;"",$U468&gt;=WeekStart)),MAX($S468,$U468)+ROW()/100000,""))</f>
        <v/>
      </c>
      <c r="AW468" s="65" t="str">
        <f aca="false">IF($AV468="","",IF($T468&lt;&gt;"",$T468,IF($X468="Closed","Closed","Accepted to "&amp;$X468)))</f>
        <v/>
      </c>
      <c r="AX468" s="65" t="str">
        <f aca="false">IF(AND($Y468&lt;&gt;"",$R468&lt;&gt;""),$AF468+ROW()/100000,"")</f>
        <v/>
      </c>
      <c r="AY468" s="65" t="str">
        <f aca="false">IF(AND($Y468&lt;&gt;"",OR($AB468="Overdue",AND($AH468="Critical",$R468&lt;&gt;""))),$AF468+ROW()/100000,"")</f>
        <v/>
      </c>
      <c r="AZ468" s="65" t="str">
        <f aca="false">IF($AH468="Critical",$AF468+ROW()/100000,"")</f>
        <v/>
      </c>
    </row>
    <row r="469" customFormat="false" ht="15" hidden="false" customHeight="false" outlineLevel="0" collapsed="false">
      <c r="A469" s="28"/>
      <c r="B469" s="28"/>
      <c r="C469" s="28"/>
      <c r="D469" s="28"/>
      <c r="E469" s="28"/>
      <c r="F469" s="28"/>
      <c r="G469" s="63"/>
      <c r="H469" s="63"/>
      <c r="I469" s="63"/>
      <c r="J469" s="28"/>
      <c r="K469" s="28"/>
      <c r="L469" s="28"/>
      <c r="M469" s="28"/>
      <c r="N469" s="28"/>
      <c r="O469" s="64"/>
      <c r="P469" s="64"/>
      <c r="Q469" s="64"/>
      <c r="R469" s="28"/>
      <c r="S469" s="63"/>
      <c r="T469" s="64"/>
      <c r="U469" s="63"/>
      <c r="V469" s="64"/>
      <c r="W469" s="28"/>
      <c r="X469" s="65" t="str">
        <f aca="false">IF($A469="","",IF(OR($T469&lt;&gt;"",$U469&lt;&gt;""),"Closed",IFERROR(INDEX(MapStage,MATCH($C469,MapStatus,0)),"Unmapped")))</f>
        <v/>
      </c>
      <c r="Y469" s="65" t="str">
        <f aca="false">IF(OR($X469="",$X469="Closed",$X469="Unmapped"),"",MATCH($X469,StageName,0))</f>
        <v/>
      </c>
      <c r="Z469" s="65" t="str">
        <f aca="false">IF(OR($Y469="",$I469=""),"",$I469-AsOf)</f>
        <v/>
      </c>
      <c r="AA469" s="65" t="str">
        <f aca="false">IF($A469="","",AsOf-$H469)</f>
        <v/>
      </c>
      <c r="AB469" s="65" t="str">
        <f aca="false">IF($A469="","",IF($X469="Closed","Closed",IF($X469="Unmapped","Unmapped",IF($I469="","No target",IF($Z469&lt;0,"Overdue",IF($Z469&lt;=INDEX(StageWindow,$Y469),"At risk","On track"))))))</f>
        <v/>
      </c>
      <c r="AC469" s="65" t="str">
        <f aca="false">IF($Y469="","",IF($AA469&gt;2*INDEX(StageStale,$Y469),"Stale",IF($AA469&gt;INDEX(StageStale,$Y469),"Aging","Fresh")))</f>
        <v/>
      </c>
      <c r="AD469" s="65" t="str">
        <f aca="false">IF($A469="","",IF(OR(ISNUMBER(SEARCH("Reg report",$J469)),ISNUMBER(SEARCH("No human review",$J469)),COUNTIF(TierFuncs,$D469)&gt;0),"High",IF(OR(TRIM($J469)&lt;&gt;"",ISNUMBER(SEARCH("revenue",$K469))),"Medium","Low")))</f>
        <v/>
      </c>
      <c r="AE469" s="65" t="str">
        <f aca="false">IF($A469="","",INDEX(TierDays,MATCH($AD469,TierName,0)))</f>
        <v/>
      </c>
      <c r="AF469" s="65" t="str">
        <f aca="false">IF($A469="","",AsOf-$G469)</f>
        <v/>
      </c>
      <c r="AG469" s="65" t="str">
        <f aca="false">IF($Y469="","",IF($Y469&lt;=5,IF($AF469&gt;$AE469,"Over","Inside"),"Past approval"))</f>
        <v/>
      </c>
      <c r="AH469" s="65" t="str">
        <f aca="false">IF($Y469="","",CHOOSE($Y469,IF(OR(TRIM($F469)="",ISNUMBER(SEARCH("not named",$F469))),"Critical","Good"),IF($O469&lt;&gt;"Y","Critical",IF($Q469&lt;&gt;"Y","Warning","Good")),IF($P469="","Critical",IF($P469="partial","Warning",IF($P469="ready","Good","Critical"))),IF($R469&lt;&gt;"","Critical","Warning"),IF($L469="","Critical",IF($N469="","Warning","Good")),IF($R469&lt;&gt;"","Critical","Warning"),IF($R469&lt;&gt;"","Critical","Warning"),IF($Q469="Y","Good","Critical")))</f>
        <v/>
      </c>
      <c r="AI469" s="65" t="str">
        <f aca="false">IF($Y469="","",CHOOSE($Y469,IF(OR(TRIM($F469)="",ISNUMBER(SEARCH("not named",$F469))),"Name a sponsor accountable for the value",""),IF($O469&lt;&gt;"Y","State the success metric and the stop condition",IF($Q469&lt;&gt;"Y","Set the baseline the benefit will be measured against","")),IF($P469="","Assess data readiness and regulatory impact",IF($P469="partial","Close the known data gaps",IF($P469="ready","","Data is not available; reshape or park"))),IF($R469&lt;&gt;"",IF(OR(ISNUMBER(SEARCH("mrm",$R469)),ISNUMBER(SEARCH("model",$R469)),ISNUMBER(SEARCH("risk",$R469)),ISNUMBER(SEARCH("legal",$R469)),ISNUMBER(SEARCH("complian",$R469))),"Awaiting ","Held at the design gate: ")&amp;$R469,"Map the governance framework for its tier"),IF($L469="","Size the annual benefit",IF($N469="","Score it so it can be ranked against capacity","")),IF($R469&lt;&gt;"","Build held: "&amp;$R469,"In build, not yet through test"),IF($R469&lt;&gt;"","Not ready to scale: "&amp;$R469,"Monitoring and third-party review not yet signed off"),IF($Q469="Y","","Live without a measured baseline to judge it against")))</f>
        <v/>
      </c>
      <c r="AJ469" s="65" t="str">
        <f aca="false">IF($Y469="","",INDEX(StageForum,$Y469))</f>
        <v/>
      </c>
      <c r="AK469" s="65" t="str">
        <f aca="false">IF($Y469="","",IF(OR($X469="Delivery",$X469="Value"),"Committed",IF($N469&lt;&gt;"","Candidate","")))</f>
        <v/>
      </c>
      <c r="AL469" s="65" t="str">
        <f aca="false">IF($AK469&lt;&gt;"Candidate","",COUNTIFS($AK$2:$AK$501,"Candidate",$N$2:$N$501,"&gt;"&amp;$N469)+COUNTIFS($AK$2:$AK$501,"Candidate",$N$2:$N$501,$N469,$A$2:$A$501,"&lt;"&amp;$A469)+1)</f>
        <v/>
      </c>
      <c r="AM469" s="65" t="str">
        <f aca="false">IF($AL469="","",SUMIFS($M$2:$M$501,$AK$2:$AK$501,"Candidate",$AL$2:$AL$501,"&lt;="&amp;$AL469))</f>
        <v/>
      </c>
      <c r="AN469" s="65" t="str">
        <f aca="false">IF($AL469="","",IF($AM469&lt;=CapacityOpen,"Fits","Below line"))</f>
        <v/>
      </c>
      <c r="AO469" s="65" t="str">
        <f aca="false">IF($A469="","",IF($X469="Closed","",IF($X469="Unmapped","Warning",IF(OR($AB469="Overdue",$V469="Y",$AH469="Critical"),"Critical",IF(OR($AB469="At risk",$AC469="Stale",$AG469="Over"),"Warning","")))))</f>
        <v/>
      </c>
      <c r="AP469" s="65" t="str">
        <f aca="false">IF($AO469="","",IF($AO469="Critical",3000,2000)-IF($Z469="",0,$Z469)+ROW()/100000)</f>
        <v/>
      </c>
      <c r="AQ469" s="65" t="str">
        <f aca="false">IF($AO469="","",IF($X469="Unmapped","Status '"&amp;$C469&amp;"' is not in the Config map",IF($V469="Y","Flagged in Jira",IF($AB469="Overdue",-$Z469&amp;" days past its "&amp;$X469&amp;" target",IF($AH469="Critical",$AI469,IF($AB469="At risk","Target in "&amp;$Z469&amp;" days",IF($AC469="Stale","No update in "&amp;$AA469&amp;" days","Past its "&amp;$AE469&amp;"-day tier window")))))))</f>
        <v/>
      </c>
      <c r="AR469" s="65" t="str">
        <f aca="false">IF($AO469="","","draft Jira update for "&amp;$A469)</f>
        <v/>
      </c>
      <c r="AS469" s="65" t="str">
        <f aca="false">IF($A469="","",HYPERLINK(JiraSite&amp;"/browse/"&amp;$A469,"open"))</f>
        <v/>
      </c>
      <c r="AT469" s="65" t="str">
        <f aca="false">IF($Y469="","",$Y469*1000+ROW())</f>
        <v/>
      </c>
      <c r="AU469" s="65" t="str">
        <f aca="false">IF(AND($A469&lt;&gt;"",$G469&gt;=WeekStart),$G469+ROW()/100000,"")</f>
        <v/>
      </c>
      <c r="AV469" s="65" t="str">
        <f aca="false">IF($A469="","",IF(OR(AND($S469&lt;&gt;"",$S469&gt;=WeekStart),AND($U469&lt;&gt;"",$U469&gt;=WeekStart)),MAX($S469,$U469)+ROW()/100000,""))</f>
        <v/>
      </c>
      <c r="AW469" s="65" t="str">
        <f aca="false">IF($AV469="","",IF($T469&lt;&gt;"",$T469,IF($X469="Closed","Closed","Accepted to "&amp;$X469)))</f>
        <v/>
      </c>
      <c r="AX469" s="65" t="str">
        <f aca="false">IF(AND($Y469&lt;&gt;"",$R469&lt;&gt;""),$AF469+ROW()/100000,"")</f>
        <v/>
      </c>
      <c r="AY469" s="65" t="str">
        <f aca="false">IF(AND($Y469&lt;&gt;"",OR($AB469="Overdue",AND($AH469="Critical",$R469&lt;&gt;""))),$AF469+ROW()/100000,"")</f>
        <v/>
      </c>
      <c r="AZ469" s="65" t="str">
        <f aca="false">IF($AH469="Critical",$AF469+ROW()/100000,"")</f>
        <v/>
      </c>
    </row>
    <row r="470" customFormat="false" ht="15" hidden="false" customHeight="false" outlineLevel="0" collapsed="false">
      <c r="A470" s="28"/>
      <c r="B470" s="28"/>
      <c r="C470" s="28"/>
      <c r="D470" s="28"/>
      <c r="E470" s="28"/>
      <c r="F470" s="28"/>
      <c r="G470" s="63"/>
      <c r="H470" s="63"/>
      <c r="I470" s="63"/>
      <c r="J470" s="28"/>
      <c r="K470" s="28"/>
      <c r="L470" s="28"/>
      <c r="M470" s="28"/>
      <c r="N470" s="28"/>
      <c r="O470" s="64"/>
      <c r="P470" s="64"/>
      <c r="Q470" s="64"/>
      <c r="R470" s="28"/>
      <c r="S470" s="63"/>
      <c r="T470" s="64"/>
      <c r="U470" s="63"/>
      <c r="V470" s="64"/>
      <c r="W470" s="28"/>
      <c r="X470" s="65" t="str">
        <f aca="false">IF($A470="","",IF(OR($T470&lt;&gt;"",$U470&lt;&gt;""),"Closed",IFERROR(INDEX(MapStage,MATCH($C470,MapStatus,0)),"Unmapped")))</f>
        <v/>
      </c>
      <c r="Y470" s="65" t="str">
        <f aca="false">IF(OR($X470="",$X470="Closed",$X470="Unmapped"),"",MATCH($X470,StageName,0))</f>
        <v/>
      </c>
      <c r="Z470" s="65" t="str">
        <f aca="false">IF(OR($Y470="",$I470=""),"",$I470-AsOf)</f>
        <v/>
      </c>
      <c r="AA470" s="65" t="str">
        <f aca="false">IF($A470="","",AsOf-$H470)</f>
        <v/>
      </c>
      <c r="AB470" s="65" t="str">
        <f aca="false">IF($A470="","",IF($X470="Closed","Closed",IF($X470="Unmapped","Unmapped",IF($I470="","No target",IF($Z470&lt;0,"Overdue",IF($Z470&lt;=INDEX(StageWindow,$Y470),"At risk","On track"))))))</f>
        <v/>
      </c>
      <c r="AC470" s="65" t="str">
        <f aca="false">IF($Y470="","",IF($AA470&gt;2*INDEX(StageStale,$Y470),"Stale",IF($AA470&gt;INDEX(StageStale,$Y470),"Aging","Fresh")))</f>
        <v/>
      </c>
      <c r="AD470" s="65" t="str">
        <f aca="false">IF($A470="","",IF(OR(ISNUMBER(SEARCH("Reg report",$J470)),ISNUMBER(SEARCH("No human review",$J470)),COUNTIF(TierFuncs,$D470)&gt;0),"High",IF(OR(TRIM($J470)&lt;&gt;"",ISNUMBER(SEARCH("revenue",$K470))),"Medium","Low")))</f>
        <v/>
      </c>
      <c r="AE470" s="65" t="str">
        <f aca="false">IF($A470="","",INDEX(TierDays,MATCH($AD470,TierName,0)))</f>
        <v/>
      </c>
      <c r="AF470" s="65" t="str">
        <f aca="false">IF($A470="","",AsOf-$G470)</f>
        <v/>
      </c>
      <c r="AG470" s="65" t="str">
        <f aca="false">IF($Y470="","",IF($Y470&lt;=5,IF($AF470&gt;$AE470,"Over","Inside"),"Past approval"))</f>
        <v/>
      </c>
      <c r="AH470" s="65" t="str">
        <f aca="false">IF($Y470="","",CHOOSE($Y470,IF(OR(TRIM($F470)="",ISNUMBER(SEARCH("not named",$F470))),"Critical","Good"),IF($O470&lt;&gt;"Y","Critical",IF($Q470&lt;&gt;"Y","Warning","Good")),IF($P470="","Critical",IF($P470="partial","Warning",IF($P470="ready","Good","Critical"))),IF($R470&lt;&gt;"","Critical","Warning"),IF($L470="","Critical",IF($N470="","Warning","Good")),IF($R470&lt;&gt;"","Critical","Warning"),IF($R470&lt;&gt;"","Critical","Warning"),IF($Q470="Y","Good","Critical")))</f>
        <v/>
      </c>
      <c r="AI470" s="65" t="str">
        <f aca="false">IF($Y470="","",CHOOSE($Y470,IF(OR(TRIM($F470)="",ISNUMBER(SEARCH("not named",$F470))),"Name a sponsor accountable for the value",""),IF($O470&lt;&gt;"Y","State the success metric and the stop condition",IF($Q470&lt;&gt;"Y","Set the baseline the benefit will be measured against","")),IF($P470="","Assess data readiness and regulatory impact",IF($P470="partial","Close the known data gaps",IF($P470="ready","","Data is not available; reshape or park"))),IF($R470&lt;&gt;"",IF(OR(ISNUMBER(SEARCH("mrm",$R470)),ISNUMBER(SEARCH("model",$R470)),ISNUMBER(SEARCH("risk",$R470)),ISNUMBER(SEARCH("legal",$R470)),ISNUMBER(SEARCH("complian",$R470))),"Awaiting ","Held at the design gate: ")&amp;$R470,"Map the governance framework for its tier"),IF($L470="","Size the annual benefit",IF($N470="","Score it so it can be ranked against capacity","")),IF($R470&lt;&gt;"","Build held: "&amp;$R470,"In build, not yet through test"),IF($R470&lt;&gt;"","Not ready to scale: "&amp;$R470,"Monitoring and third-party review not yet signed off"),IF($Q470="Y","","Live without a measured baseline to judge it against")))</f>
        <v/>
      </c>
      <c r="AJ470" s="65" t="str">
        <f aca="false">IF($Y470="","",INDEX(StageForum,$Y470))</f>
        <v/>
      </c>
      <c r="AK470" s="65" t="str">
        <f aca="false">IF($Y470="","",IF(OR($X470="Delivery",$X470="Value"),"Committed",IF($N470&lt;&gt;"","Candidate","")))</f>
        <v/>
      </c>
      <c r="AL470" s="65" t="str">
        <f aca="false">IF($AK470&lt;&gt;"Candidate","",COUNTIFS($AK$2:$AK$501,"Candidate",$N$2:$N$501,"&gt;"&amp;$N470)+COUNTIFS($AK$2:$AK$501,"Candidate",$N$2:$N$501,$N470,$A$2:$A$501,"&lt;"&amp;$A470)+1)</f>
        <v/>
      </c>
      <c r="AM470" s="65" t="str">
        <f aca="false">IF($AL470="","",SUMIFS($M$2:$M$501,$AK$2:$AK$501,"Candidate",$AL$2:$AL$501,"&lt;="&amp;$AL470))</f>
        <v/>
      </c>
      <c r="AN470" s="65" t="str">
        <f aca="false">IF($AL470="","",IF($AM470&lt;=CapacityOpen,"Fits","Below line"))</f>
        <v/>
      </c>
      <c r="AO470" s="65" t="str">
        <f aca="false">IF($A470="","",IF($X470="Closed","",IF($X470="Unmapped","Warning",IF(OR($AB470="Overdue",$V470="Y",$AH470="Critical"),"Critical",IF(OR($AB470="At risk",$AC470="Stale",$AG470="Over"),"Warning","")))))</f>
        <v/>
      </c>
      <c r="AP470" s="65" t="str">
        <f aca="false">IF($AO470="","",IF($AO470="Critical",3000,2000)-IF($Z470="",0,$Z470)+ROW()/100000)</f>
        <v/>
      </c>
      <c r="AQ470" s="65" t="str">
        <f aca="false">IF($AO470="","",IF($X470="Unmapped","Status '"&amp;$C470&amp;"' is not in the Config map",IF($V470="Y","Flagged in Jira",IF($AB470="Overdue",-$Z470&amp;" days past its "&amp;$X470&amp;" target",IF($AH470="Critical",$AI470,IF($AB470="At risk","Target in "&amp;$Z470&amp;" days",IF($AC470="Stale","No update in "&amp;$AA470&amp;" days","Past its "&amp;$AE470&amp;"-day tier window")))))))</f>
        <v/>
      </c>
      <c r="AR470" s="65" t="str">
        <f aca="false">IF($AO470="","","draft Jira update for "&amp;$A470)</f>
        <v/>
      </c>
      <c r="AS470" s="65" t="str">
        <f aca="false">IF($A470="","",HYPERLINK(JiraSite&amp;"/browse/"&amp;$A470,"open"))</f>
        <v/>
      </c>
      <c r="AT470" s="65" t="str">
        <f aca="false">IF($Y470="","",$Y470*1000+ROW())</f>
        <v/>
      </c>
      <c r="AU470" s="65" t="str">
        <f aca="false">IF(AND($A470&lt;&gt;"",$G470&gt;=WeekStart),$G470+ROW()/100000,"")</f>
        <v/>
      </c>
      <c r="AV470" s="65" t="str">
        <f aca="false">IF($A470="","",IF(OR(AND($S470&lt;&gt;"",$S470&gt;=WeekStart),AND($U470&lt;&gt;"",$U470&gt;=WeekStart)),MAX($S470,$U470)+ROW()/100000,""))</f>
        <v/>
      </c>
      <c r="AW470" s="65" t="str">
        <f aca="false">IF($AV470="","",IF($T470&lt;&gt;"",$T470,IF($X470="Closed","Closed","Accepted to "&amp;$X470)))</f>
        <v/>
      </c>
      <c r="AX470" s="65" t="str">
        <f aca="false">IF(AND($Y470&lt;&gt;"",$R470&lt;&gt;""),$AF470+ROW()/100000,"")</f>
        <v/>
      </c>
      <c r="AY470" s="65" t="str">
        <f aca="false">IF(AND($Y470&lt;&gt;"",OR($AB470="Overdue",AND($AH470="Critical",$R470&lt;&gt;""))),$AF470+ROW()/100000,"")</f>
        <v/>
      </c>
      <c r="AZ470" s="65" t="str">
        <f aca="false">IF($AH470="Critical",$AF470+ROW()/100000,"")</f>
        <v/>
      </c>
    </row>
    <row r="471" customFormat="false" ht="15" hidden="false" customHeight="false" outlineLevel="0" collapsed="false">
      <c r="A471" s="28"/>
      <c r="B471" s="28"/>
      <c r="C471" s="28"/>
      <c r="D471" s="28"/>
      <c r="E471" s="28"/>
      <c r="F471" s="28"/>
      <c r="G471" s="63"/>
      <c r="H471" s="63"/>
      <c r="I471" s="63"/>
      <c r="J471" s="28"/>
      <c r="K471" s="28"/>
      <c r="L471" s="28"/>
      <c r="M471" s="28"/>
      <c r="N471" s="28"/>
      <c r="O471" s="64"/>
      <c r="P471" s="64"/>
      <c r="Q471" s="64"/>
      <c r="R471" s="28"/>
      <c r="S471" s="63"/>
      <c r="T471" s="64"/>
      <c r="U471" s="63"/>
      <c r="V471" s="64"/>
      <c r="W471" s="28"/>
      <c r="X471" s="65" t="str">
        <f aca="false">IF($A471="","",IF(OR($T471&lt;&gt;"",$U471&lt;&gt;""),"Closed",IFERROR(INDEX(MapStage,MATCH($C471,MapStatus,0)),"Unmapped")))</f>
        <v/>
      </c>
      <c r="Y471" s="65" t="str">
        <f aca="false">IF(OR($X471="",$X471="Closed",$X471="Unmapped"),"",MATCH($X471,StageName,0))</f>
        <v/>
      </c>
      <c r="Z471" s="65" t="str">
        <f aca="false">IF(OR($Y471="",$I471=""),"",$I471-AsOf)</f>
        <v/>
      </c>
      <c r="AA471" s="65" t="str">
        <f aca="false">IF($A471="","",AsOf-$H471)</f>
        <v/>
      </c>
      <c r="AB471" s="65" t="str">
        <f aca="false">IF($A471="","",IF($X471="Closed","Closed",IF($X471="Unmapped","Unmapped",IF($I471="","No target",IF($Z471&lt;0,"Overdue",IF($Z471&lt;=INDEX(StageWindow,$Y471),"At risk","On track"))))))</f>
        <v/>
      </c>
      <c r="AC471" s="65" t="str">
        <f aca="false">IF($Y471="","",IF($AA471&gt;2*INDEX(StageStale,$Y471),"Stale",IF($AA471&gt;INDEX(StageStale,$Y471),"Aging","Fresh")))</f>
        <v/>
      </c>
      <c r="AD471" s="65" t="str">
        <f aca="false">IF($A471="","",IF(OR(ISNUMBER(SEARCH("Reg report",$J471)),ISNUMBER(SEARCH("No human review",$J471)),COUNTIF(TierFuncs,$D471)&gt;0),"High",IF(OR(TRIM($J471)&lt;&gt;"",ISNUMBER(SEARCH("revenue",$K471))),"Medium","Low")))</f>
        <v/>
      </c>
      <c r="AE471" s="65" t="str">
        <f aca="false">IF($A471="","",INDEX(TierDays,MATCH($AD471,TierName,0)))</f>
        <v/>
      </c>
      <c r="AF471" s="65" t="str">
        <f aca="false">IF($A471="","",AsOf-$G471)</f>
        <v/>
      </c>
      <c r="AG471" s="65" t="str">
        <f aca="false">IF($Y471="","",IF($Y471&lt;=5,IF($AF471&gt;$AE471,"Over","Inside"),"Past approval"))</f>
        <v/>
      </c>
      <c r="AH471" s="65" t="str">
        <f aca="false">IF($Y471="","",CHOOSE($Y471,IF(OR(TRIM($F471)="",ISNUMBER(SEARCH("not named",$F471))),"Critical","Good"),IF($O471&lt;&gt;"Y","Critical",IF($Q471&lt;&gt;"Y","Warning","Good")),IF($P471="","Critical",IF($P471="partial","Warning",IF($P471="ready","Good","Critical"))),IF($R471&lt;&gt;"","Critical","Warning"),IF($L471="","Critical",IF($N471="","Warning","Good")),IF($R471&lt;&gt;"","Critical","Warning"),IF($R471&lt;&gt;"","Critical","Warning"),IF($Q471="Y","Good","Critical")))</f>
        <v/>
      </c>
      <c r="AI471" s="65" t="str">
        <f aca="false">IF($Y471="","",CHOOSE($Y471,IF(OR(TRIM($F471)="",ISNUMBER(SEARCH("not named",$F471))),"Name a sponsor accountable for the value",""),IF($O471&lt;&gt;"Y","State the success metric and the stop condition",IF($Q471&lt;&gt;"Y","Set the baseline the benefit will be measured against","")),IF($P471="","Assess data readiness and regulatory impact",IF($P471="partial","Close the known data gaps",IF($P471="ready","","Data is not available; reshape or park"))),IF($R471&lt;&gt;"",IF(OR(ISNUMBER(SEARCH("mrm",$R471)),ISNUMBER(SEARCH("model",$R471)),ISNUMBER(SEARCH("risk",$R471)),ISNUMBER(SEARCH("legal",$R471)),ISNUMBER(SEARCH("complian",$R471))),"Awaiting ","Held at the design gate: ")&amp;$R471,"Map the governance framework for its tier"),IF($L471="","Size the annual benefit",IF($N471="","Score it so it can be ranked against capacity","")),IF($R471&lt;&gt;"","Build held: "&amp;$R471,"In build, not yet through test"),IF($R471&lt;&gt;"","Not ready to scale: "&amp;$R471,"Monitoring and third-party review not yet signed off"),IF($Q471="Y","","Live without a measured baseline to judge it against")))</f>
        <v/>
      </c>
      <c r="AJ471" s="65" t="str">
        <f aca="false">IF($Y471="","",INDEX(StageForum,$Y471))</f>
        <v/>
      </c>
      <c r="AK471" s="65" t="str">
        <f aca="false">IF($Y471="","",IF(OR($X471="Delivery",$X471="Value"),"Committed",IF($N471&lt;&gt;"","Candidate","")))</f>
        <v/>
      </c>
      <c r="AL471" s="65" t="str">
        <f aca="false">IF($AK471&lt;&gt;"Candidate","",COUNTIFS($AK$2:$AK$501,"Candidate",$N$2:$N$501,"&gt;"&amp;$N471)+COUNTIFS($AK$2:$AK$501,"Candidate",$N$2:$N$501,$N471,$A$2:$A$501,"&lt;"&amp;$A471)+1)</f>
        <v/>
      </c>
      <c r="AM471" s="65" t="str">
        <f aca="false">IF($AL471="","",SUMIFS($M$2:$M$501,$AK$2:$AK$501,"Candidate",$AL$2:$AL$501,"&lt;="&amp;$AL471))</f>
        <v/>
      </c>
      <c r="AN471" s="65" t="str">
        <f aca="false">IF($AL471="","",IF($AM471&lt;=CapacityOpen,"Fits","Below line"))</f>
        <v/>
      </c>
      <c r="AO471" s="65" t="str">
        <f aca="false">IF($A471="","",IF($X471="Closed","",IF($X471="Unmapped","Warning",IF(OR($AB471="Overdue",$V471="Y",$AH471="Critical"),"Critical",IF(OR($AB471="At risk",$AC471="Stale",$AG471="Over"),"Warning","")))))</f>
        <v/>
      </c>
      <c r="AP471" s="65" t="str">
        <f aca="false">IF($AO471="","",IF($AO471="Critical",3000,2000)-IF($Z471="",0,$Z471)+ROW()/100000)</f>
        <v/>
      </c>
      <c r="AQ471" s="65" t="str">
        <f aca="false">IF($AO471="","",IF($X471="Unmapped","Status '"&amp;$C471&amp;"' is not in the Config map",IF($V471="Y","Flagged in Jira",IF($AB471="Overdue",-$Z471&amp;" days past its "&amp;$X471&amp;" target",IF($AH471="Critical",$AI471,IF($AB471="At risk","Target in "&amp;$Z471&amp;" days",IF($AC471="Stale","No update in "&amp;$AA471&amp;" days","Past its "&amp;$AE471&amp;"-day tier window")))))))</f>
        <v/>
      </c>
      <c r="AR471" s="65" t="str">
        <f aca="false">IF($AO471="","","draft Jira update for "&amp;$A471)</f>
        <v/>
      </c>
      <c r="AS471" s="65" t="str">
        <f aca="false">IF($A471="","",HYPERLINK(JiraSite&amp;"/browse/"&amp;$A471,"open"))</f>
        <v/>
      </c>
      <c r="AT471" s="65" t="str">
        <f aca="false">IF($Y471="","",$Y471*1000+ROW())</f>
        <v/>
      </c>
      <c r="AU471" s="65" t="str">
        <f aca="false">IF(AND($A471&lt;&gt;"",$G471&gt;=WeekStart),$G471+ROW()/100000,"")</f>
        <v/>
      </c>
      <c r="AV471" s="65" t="str">
        <f aca="false">IF($A471="","",IF(OR(AND($S471&lt;&gt;"",$S471&gt;=WeekStart),AND($U471&lt;&gt;"",$U471&gt;=WeekStart)),MAX($S471,$U471)+ROW()/100000,""))</f>
        <v/>
      </c>
      <c r="AW471" s="65" t="str">
        <f aca="false">IF($AV471="","",IF($T471&lt;&gt;"",$T471,IF($X471="Closed","Closed","Accepted to "&amp;$X471)))</f>
        <v/>
      </c>
      <c r="AX471" s="65" t="str">
        <f aca="false">IF(AND($Y471&lt;&gt;"",$R471&lt;&gt;""),$AF471+ROW()/100000,"")</f>
        <v/>
      </c>
      <c r="AY471" s="65" t="str">
        <f aca="false">IF(AND($Y471&lt;&gt;"",OR($AB471="Overdue",AND($AH471="Critical",$R471&lt;&gt;""))),$AF471+ROW()/100000,"")</f>
        <v/>
      </c>
      <c r="AZ471" s="65" t="str">
        <f aca="false">IF($AH471="Critical",$AF471+ROW()/100000,"")</f>
        <v/>
      </c>
    </row>
    <row r="472" customFormat="false" ht="15" hidden="false" customHeight="false" outlineLevel="0" collapsed="false">
      <c r="A472" s="28"/>
      <c r="B472" s="28"/>
      <c r="C472" s="28"/>
      <c r="D472" s="28"/>
      <c r="E472" s="28"/>
      <c r="F472" s="28"/>
      <c r="G472" s="63"/>
      <c r="H472" s="63"/>
      <c r="I472" s="63"/>
      <c r="J472" s="28"/>
      <c r="K472" s="28"/>
      <c r="L472" s="28"/>
      <c r="M472" s="28"/>
      <c r="N472" s="28"/>
      <c r="O472" s="64"/>
      <c r="P472" s="64"/>
      <c r="Q472" s="64"/>
      <c r="R472" s="28"/>
      <c r="S472" s="63"/>
      <c r="T472" s="64"/>
      <c r="U472" s="63"/>
      <c r="V472" s="64"/>
      <c r="W472" s="28"/>
      <c r="X472" s="65" t="str">
        <f aca="false">IF($A472="","",IF(OR($T472&lt;&gt;"",$U472&lt;&gt;""),"Closed",IFERROR(INDEX(MapStage,MATCH($C472,MapStatus,0)),"Unmapped")))</f>
        <v/>
      </c>
      <c r="Y472" s="65" t="str">
        <f aca="false">IF(OR($X472="",$X472="Closed",$X472="Unmapped"),"",MATCH($X472,StageName,0))</f>
        <v/>
      </c>
      <c r="Z472" s="65" t="str">
        <f aca="false">IF(OR($Y472="",$I472=""),"",$I472-AsOf)</f>
        <v/>
      </c>
      <c r="AA472" s="65" t="str">
        <f aca="false">IF($A472="","",AsOf-$H472)</f>
        <v/>
      </c>
      <c r="AB472" s="65" t="str">
        <f aca="false">IF($A472="","",IF($X472="Closed","Closed",IF($X472="Unmapped","Unmapped",IF($I472="","No target",IF($Z472&lt;0,"Overdue",IF($Z472&lt;=INDEX(StageWindow,$Y472),"At risk","On track"))))))</f>
        <v/>
      </c>
      <c r="AC472" s="65" t="str">
        <f aca="false">IF($Y472="","",IF($AA472&gt;2*INDEX(StageStale,$Y472),"Stale",IF($AA472&gt;INDEX(StageStale,$Y472),"Aging","Fresh")))</f>
        <v/>
      </c>
      <c r="AD472" s="65" t="str">
        <f aca="false">IF($A472="","",IF(OR(ISNUMBER(SEARCH("Reg report",$J472)),ISNUMBER(SEARCH("No human review",$J472)),COUNTIF(TierFuncs,$D472)&gt;0),"High",IF(OR(TRIM($J472)&lt;&gt;"",ISNUMBER(SEARCH("revenue",$K472))),"Medium","Low")))</f>
        <v/>
      </c>
      <c r="AE472" s="65" t="str">
        <f aca="false">IF($A472="","",INDEX(TierDays,MATCH($AD472,TierName,0)))</f>
        <v/>
      </c>
      <c r="AF472" s="65" t="str">
        <f aca="false">IF($A472="","",AsOf-$G472)</f>
        <v/>
      </c>
      <c r="AG472" s="65" t="str">
        <f aca="false">IF($Y472="","",IF($Y472&lt;=5,IF($AF472&gt;$AE472,"Over","Inside"),"Past approval"))</f>
        <v/>
      </c>
      <c r="AH472" s="65" t="str">
        <f aca="false">IF($Y472="","",CHOOSE($Y472,IF(OR(TRIM($F472)="",ISNUMBER(SEARCH("not named",$F472))),"Critical","Good"),IF($O472&lt;&gt;"Y","Critical",IF($Q472&lt;&gt;"Y","Warning","Good")),IF($P472="","Critical",IF($P472="partial","Warning",IF($P472="ready","Good","Critical"))),IF($R472&lt;&gt;"","Critical","Warning"),IF($L472="","Critical",IF($N472="","Warning","Good")),IF($R472&lt;&gt;"","Critical","Warning"),IF($R472&lt;&gt;"","Critical","Warning"),IF($Q472="Y","Good","Critical")))</f>
        <v/>
      </c>
      <c r="AI472" s="65" t="str">
        <f aca="false">IF($Y472="","",CHOOSE($Y472,IF(OR(TRIM($F472)="",ISNUMBER(SEARCH("not named",$F472))),"Name a sponsor accountable for the value",""),IF($O472&lt;&gt;"Y","State the success metric and the stop condition",IF($Q472&lt;&gt;"Y","Set the baseline the benefit will be measured against","")),IF($P472="","Assess data readiness and regulatory impact",IF($P472="partial","Close the known data gaps",IF($P472="ready","","Data is not available; reshape or park"))),IF($R472&lt;&gt;"",IF(OR(ISNUMBER(SEARCH("mrm",$R472)),ISNUMBER(SEARCH("model",$R472)),ISNUMBER(SEARCH("risk",$R472)),ISNUMBER(SEARCH("legal",$R472)),ISNUMBER(SEARCH("complian",$R472))),"Awaiting ","Held at the design gate: ")&amp;$R472,"Map the governance framework for its tier"),IF($L472="","Size the annual benefit",IF($N472="","Score it so it can be ranked against capacity","")),IF($R472&lt;&gt;"","Build held: "&amp;$R472,"In build, not yet through test"),IF($R472&lt;&gt;"","Not ready to scale: "&amp;$R472,"Monitoring and third-party review not yet signed off"),IF($Q472="Y","","Live without a measured baseline to judge it against")))</f>
        <v/>
      </c>
      <c r="AJ472" s="65" t="str">
        <f aca="false">IF($Y472="","",INDEX(StageForum,$Y472))</f>
        <v/>
      </c>
      <c r="AK472" s="65" t="str">
        <f aca="false">IF($Y472="","",IF(OR($X472="Delivery",$X472="Value"),"Committed",IF($N472&lt;&gt;"","Candidate","")))</f>
        <v/>
      </c>
      <c r="AL472" s="65" t="str">
        <f aca="false">IF($AK472&lt;&gt;"Candidate","",COUNTIFS($AK$2:$AK$501,"Candidate",$N$2:$N$501,"&gt;"&amp;$N472)+COUNTIFS($AK$2:$AK$501,"Candidate",$N$2:$N$501,$N472,$A$2:$A$501,"&lt;"&amp;$A472)+1)</f>
        <v/>
      </c>
      <c r="AM472" s="65" t="str">
        <f aca="false">IF($AL472="","",SUMIFS($M$2:$M$501,$AK$2:$AK$501,"Candidate",$AL$2:$AL$501,"&lt;="&amp;$AL472))</f>
        <v/>
      </c>
      <c r="AN472" s="65" t="str">
        <f aca="false">IF($AL472="","",IF($AM472&lt;=CapacityOpen,"Fits","Below line"))</f>
        <v/>
      </c>
      <c r="AO472" s="65" t="str">
        <f aca="false">IF($A472="","",IF($X472="Closed","",IF($X472="Unmapped","Warning",IF(OR($AB472="Overdue",$V472="Y",$AH472="Critical"),"Critical",IF(OR($AB472="At risk",$AC472="Stale",$AG472="Over"),"Warning","")))))</f>
        <v/>
      </c>
      <c r="AP472" s="65" t="str">
        <f aca="false">IF($AO472="","",IF($AO472="Critical",3000,2000)-IF($Z472="",0,$Z472)+ROW()/100000)</f>
        <v/>
      </c>
      <c r="AQ472" s="65" t="str">
        <f aca="false">IF($AO472="","",IF($X472="Unmapped","Status '"&amp;$C472&amp;"' is not in the Config map",IF($V472="Y","Flagged in Jira",IF($AB472="Overdue",-$Z472&amp;" days past its "&amp;$X472&amp;" target",IF($AH472="Critical",$AI472,IF($AB472="At risk","Target in "&amp;$Z472&amp;" days",IF($AC472="Stale","No update in "&amp;$AA472&amp;" days","Past its "&amp;$AE472&amp;"-day tier window")))))))</f>
        <v/>
      </c>
      <c r="AR472" s="65" t="str">
        <f aca="false">IF($AO472="","","draft Jira update for "&amp;$A472)</f>
        <v/>
      </c>
      <c r="AS472" s="65" t="str">
        <f aca="false">IF($A472="","",HYPERLINK(JiraSite&amp;"/browse/"&amp;$A472,"open"))</f>
        <v/>
      </c>
      <c r="AT472" s="65" t="str">
        <f aca="false">IF($Y472="","",$Y472*1000+ROW())</f>
        <v/>
      </c>
      <c r="AU472" s="65" t="str">
        <f aca="false">IF(AND($A472&lt;&gt;"",$G472&gt;=WeekStart),$G472+ROW()/100000,"")</f>
        <v/>
      </c>
      <c r="AV472" s="65" t="str">
        <f aca="false">IF($A472="","",IF(OR(AND($S472&lt;&gt;"",$S472&gt;=WeekStart),AND($U472&lt;&gt;"",$U472&gt;=WeekStart)),MAX($S472,$U472)+ROW()/100000,""))</f>
        <v/>
      </c>
      <c r="AW472" s="65" t="str">
        <f aca="false">IF($AV472="","",IF($T472&lt;&gt;"",$T472,IF($X472="Closed","Closed","Accepted to "&amp;$X472)))</f>
        <v/>
      </c>
      <c r="AX472" s="65" t="str">
        <f aca="false">IF(AND($Y472&lt;&gt;"",$R472&lt;&gt;""),$AF472+ROW()/100000,"")</f>
        <v/>
      </c>
      <c r="AY472" s="65" t="str">
        <f aca="false">IF(AND($Y472&lt;&gt;"",OR($AB472="Overdue",AND($AH472="Critical",$R472&lt;&gt;""))),$AF472+ROW()/100000,"")</f>
        <v/>
      </c>
      <c r="AZ472" s="65" t="str">
        <f aca="false">IF($AH472="Critical",$AF472+ROW()/100000,"")</f>
        <v/>
      </c>
    </row>
    <row r="473" customFormat="false" ht="15" hidden="false" customHeight="false" outlineLevel="0" collapsed="false">
      <c r="A473" s="28"/>
      <c r="B473" s="28"/>
      <c r="C473" s="28"/>
      <c r="D473" s="28"/>
      <c r="E473" s="28"/>
      <c r="F473" s="28"/>
      <c r="G473" s="63"/>
      <c r="H473" s="63"/>
      <c r="I473" s="63"/>
      <c r="J473" s="28"/>
      <c r="K473" s="28"/>
      <c r="L473" s="28"/>
      <c r="M473" s="28"/>
      <c r="N473" s="28"/>
      <c r="O473" s="64"/>
      <c r="P473" s="64"/>
      <c r="Q473" s="64"/>
      <c r="R473" s="28"/>
      <c r="S473" s="63"/>
      <c r="T473" s="64"/>
      <c r="U473" s="63"/>
      <c r="V473" s="64"/>
      <c r="W473" s="28"/>
      <c r="X473" s="65" t="str">
        <f aca="false">IF($A473="","",IF(OR($T473&lt;&gt;"",$U473&lt;&gt;""),"Closed",IFERROR(INDEX(MapStage,MATCH($C473,MapStatus,0)),"Unmapped")))</f>
        <v/>
      </c>
      <c r="Y473" s="65" t="str">
        <f aca="false">IF(OR($X473="",$X473="Closed",$X473="Unmapped"),"",MATCH($X473,StageName,0))</f>
        <v/>
      </c>
      <c r="Z473" s="65" t="str">
        <f aca="false">IF(OR($Y473="",$I473=""),"",$I473-AsOf)</f>
        <v/>
      </c>
      <c r="AA473" s="65" t="str">
        <f aca="false">IF($A473="","",AsOf-$H473)</f>
        <v/>
      </c>
      <c r="AB473" s="65" t="str">
        <f aca="false">IF($A473="","",IF($X473="Closed","Closed",IF($X473="Unmapped","Unmapped",IF($I473="","No target",IF($Z473&lt;0,"Overdue",IF($Z473&lt;=INDEX(StageWindow,$Y473),"At risk","On track"))))))</f>
        <v/>
      </c>
      <c r="AC473" s="65" t="str">
        <f aca="false">IF($Y473="","",IF($AA473&gt;2*INDEX(StageStale,$Y473),"Stale",IF($AA473&gt;INDEX(StageStale,$Y473),"Aging","Fresh")))</f>
        <v/>
      </c>
      <c r="AD473" s="65" t="str">
        <f aca="false">IF($A473="","",IF(OR(ISNUMBER(SEARCH("Reg report",$J473)),ISNUMBER(SEARCH("No human review",$J473)),COUNTIF(TierFuncs,$D473)&gt;0),"High",IF(OR(TRIM($J473)&lt;&gt;"",ISNUMBER(SEARCH("revenue",$K473))),"Medium","Low")))</f>
        <v/>
      </c>
      <c r="AE473" s="65" t="str">
        <f aca="false">IF($A473="","",INDEX(TierDays,MATCH($AD473,TierName,0)))</f>
        <v/>
      </c>
      <c r="AF473" s="65" t="str">
        <f aca="false">IF($A473="","",AsOf-$G473)</f>
        <v/>
      </c>
      <c r="AG473" s="65" t="str">
        <f aca="false">IF($Y473="","",IF($Y473&lt;=5,IF($AF473&gt;$AE473,"Over","Inside"),"Past approval"))</f>
        <v/>
      </c>
      <c r="AH473" s="65" t="str">
        <f aca="false">IF($Y473="","",CHOOSE($Y473,IF(OR(TRIM($F473)="",ISNUMBER(SEARCH("not named",$F473))),"Critical","Good"),IF($O473&lt;&gt;"Y","Critical",IF($Q473&lt;&gt;"Y","Warning","Good")),IF($P473="","Critical",IF($P473="partial","Warning",IF($P473="ready","Good","Critical"))),IF($R473&lt;&gt;"","Critical","Warning"),IF($L473="","Critical",IF($N473="","Warning","Good")),IF($R473&lt;&gt;"","Critical","Warning"),IF($R473&lt;&gt;"","Critical","Warning"),IF($Q473="Y","Good","Critical")))</f>
        <v/>
      </c>
      <c r="AI473" s="65" t="str">
        <f aca="false">IF($Y473="","",CHOOSE($Y473,IF(OR(TRIM($F473)="",ISNUMBER(SEARCH("not named",$F473))),"Name a sponsor accountable for the value",""),IF($O473&lt;&gt;"Y","State the success metric and the stop condition",IF($Q473&lt;&gt;"Y","Set the baseline the benefit will be measured against","")),IF($P473="","Assess data readiness and regulatory impact",IF($P473="partial","Close the known data gaps",IF($P473="ready","","Data is not available; reshape or park"))),IF($R473&lt;&gt;"",IF(OR(ISNUMBER(SEARCH("mrm",$R473)),ISNUMBER(SEARCH("model",$R473)),ISNUMBER(SEARCH("risk",$R473)),ISNUMBER(SEARCH("legal",$R473)),ISNUMBER(SEARCH("complian",$R473))),"Awaiting ","Held at the design gate: ")&amp;$R473,"Map the governance framework for its tier"),IF($L473="","Size the annual benefit",IF($N473="","Score it so it can be ranked against capacity","")),IF($R473&lt;&gt;"","Build held: "&amp;$R473,"In build, not yet through test"),IF($R473&lt;&gt;"","Not ready to scale: "&amp;$R473,"Monitoring and third-party review not yet signed off"),IF($Q473="Y","","Live without a measured baseline to judge it against")))</f>
        <v/>
      </c>
      <c r="AJ473" s="65" t="str">
        <f aca="false">IF($Y473="","",INDEX(StageForum,$Y473))</f>
        <v/>
      </c>
      <c r="AK473" s="65" t="str">
        <f aca="false">IF($Y473="","",IF(OR($X473="Delivery",$X473="Value"),"Committed",IF($N473&lt;&gt;"","Candidate","")))</f>
        <v/>
      </c>
      <c r="AL473" s="65" t="str">
        <f aca="false">IF($AK473&lt;&gt;"Candidate","",COUNTIFS($AK$2:$AK$501,"Candidate",$N$2:$N$501,"&gt;"&amp;$N473)+COUNTIFS($AK$2:$AK$501,"Candidate",$N$2:$N$501,$N473,$A$2:$A$501,"&lt;"&amp;$A473)+1)</f>
        <v/>
      </c>
      <c r="AM473" s="65" t="str">
        <f aca="false">IF($AL473="","",SUMIFS($M$2:$M$501,$AK$2:$AK$501,"Candidate",$AL$2:$AL$501,"&lt;="&amp;$AL473))</f>
        <v/>
      </c>
      <c r="AN473" s="65" t="str">
        <f aca="false">IF($AL473="","",IF($AM473&lt;=CapacityOpen,"Fits","Below line"))</f>
        <v/>
      </c>
      <c r="AO473" s="65" t="str">
        <f aca="false">IF($A473="","",IF($X473="Closed","",IF($X473="Unmapped","Warning",IF(OR($AB473="Overdue",$V473="Y",$AH473="Critical"),"Critical",IF(OR($AB473="At risk",$AC473="Stale",$AG473="Over"),"Warning","")))))</f>
        <v/>
      </c>
      <c r="AP473" s="65" t="str">
        <f aca="false">IF($AO473="","",IF($AO473="Critical",3000,2000)-IF($Z473="",0,$Z473)+ROW()/100000)</f>
        <v/>
      </c>
      <c r="AQ473" s="65" t="str">
        <f aca="false">IF($AO473="","",IF($X473="Unmapped","Status '"&amp;$C473&amp;"' is not in the Config map",IF($V473="Y","Flagged in Jira",IF($AB473="Overdue",-$Z473&amp;" days past its "&amp;$X473&amp;" target",IF($AH473="Critical",$AI473,IF($AB473="At risk","Target in "&amp;$Z473&amp;" days",IF($AC473="Stale","No update in "&amp;$AA473&amp;" days","Past its "&amp;$AE473&amp;"-day tier window")))))))</f>
        <v/>
      </c>
      <c r="AR473" s="65" t="str">
        <f aca="false">IF($AO473="","","draft Jira update for "&amp;$A473)</f>
        <v/>
      </c>
      <c r="AS473" s="65" t="str">
        <f aca="false">IF($A473="","",HYPERLINK(JiraSite&amp;"/browse/"&amp;$A473,"open"))</f>
        <v/>
      </c>
      <c r="AT473" s="65" t="str">
        <f aca="false">IF($Y473="","",$Y473*1000+ROW())</f>
        <v/>
      </c>
      <c r="AU473" s="65" t="str">
        <f aca="false">IF(AND($A473&lt;&gt;"",$G473&gt;=WeekStart),$G473+ROW()/100000,"")</f>
        <v/>
      </c>
      <c r="AV473" s="65" t="str">
        <f aca="false">IF($A473="","",IF(OR(AND($S473&lt;&gt;"",$S473&gt;=WeekStart),AND($U473&lt;&gt;"",$U473&gt;=WeekStart)),MAX($S473,$U473)+ROW()/100000,""))</f>
        <v/>
      </c>
      <c r="AW473" s="65" t="str">
        <f aca="false">IF($AV473="","",IF($T473&lt;&gt;"",$T473,IF($X473="Closed","Closed","Accepted to "&amp;$X473)))</f>
        <v/>
      </c>
      <c r="AX473" s="65" t="str">
        <f aca="false">IF(AND($Y473&lt;&gt;"",$R473&lt;&gt;""),$AF473+ROW()/100000,"")</f>
        <v/>
      </c>
      <c r="AY473" s="65" t="str">
        <f aca="false">IF(AND($Y473&lt;&gt;"",OR($AB473="Overdue",AND($AH473="Critical",$R473&lt;&gt;""))),$AF473+ROW()/100000,"")</f>
        <v/>
      </c>
      <c r="AZ473" s="65" t="str">
        <f aca="false">IF($AH473="Critical",$AF473+ROW()/100000,"")</f>
        <v/>
      </c>
    </row>
    <row r="474" customFormat="false" ht="15" hidden="false" customHeight="false" outlineLevel="0" collapsed="false">
      <c r="A474" s="28"/>
      <c r="B474" s="28"/>
      <c r="C474" s="28"/>
      <c r="D474" s="28"/>
      <c r="E474" s="28"/>
      <c r="F474" s="28"/>
      <c r="G474" s="63"/>
      <c r="H474" s="63"/>
      <c r="I474" s="63"/>
      <c r="J474" s="28"/>
      <c r="K474" s="28"/>
      <c r="L474" s="28"/>
      <c r="M474" s="28"/>
      <c r="N474" s="28"/>
      <c r="O474" s="64"/>
      <c r="P474" s="64"/>
      <c r="Q474" s="64"/>
      <c r="R474" s="28"/>
      <c r="S474" s="63"/>
      <c r="T474" s="64"/>
      <c r="U474" s="63"/>
      <c r="V474" s="64"/>
      <c r="W474" s="28"/>
      <c r="X474" s="65" t="str">
        <f aca="false">IF($A474="","",IF(OR($T474&lt;&gt;"",$U474&lt;&gt;""),"Closed",IFERROR(INDEX(MapStage,MATCH($C474,MapStatus,0)),"Unmapped")))</f>
        <v/>
      </c>
      <c r="Y474" s="65" t="str">
        <f aca="false">IF(OR($X474="",$X474="Closed",$X474="Unmapped"),"",MATCH($X474,StageName,0))</f>
        <v/>
      </c>
      <c r="Z474" s="65" t="str">
        <f aca="false">IF(OR($Y474="",$I474=""),"",$I474-AsOf)</f>
        <v/>
      </c>
      <c r="AA474" s="65" t="str">
        <f aca="false">IF($A474="","",AsOf-$H474)</f>
        <v/>
      </c>
      <c r="AB474" s="65" t="str">
        <f aca="false">IF($A474="","",IF($X474="Closed","Closed",IF($X474="Unmapped","Unmapped",IF($I474="","No target",IF($Z474&lt;0,"Overdue",IF($Z474&lt;=INDEX(StageWindow,$Y474),"At risk","On track"))))))</f>
        <v/>
      </c>
      <c r="AC474" s="65" t="str">
        <f aca="false">IF($Y474="","",IF($AA474&gt;2*INDEX(StageStale,$Y474),"Stale",IF($AA474&gt;INDEX(StageStale,$Y474),"Aging","Fresh")))</f>
        <v/>
      </c>
      <c r="AD474" s="65" t="str">
        <f aca="false">IF($A474="","",IF(OR(ISNUMBER(SEARCH("Reg report",$J474)),ISNUMBER(SEARCH("No human review",$J474)),COUNTIF(TierFuncs,$D474)&gt;0),"High",IF(OR(TRIM($J474)&lt;&gt;"",ISNUMBER(SEARCH("revenue",$K474))),"Medium","Low")))</f>
        <v/>
      </c>
      <c r="AE474" s="65" t="str">
        <f aca="false">IF($A474="","",INDEX(TierDays,MATCH($AD474,TierName,0)))</f>
        <v/>
      </c>
      <c r="AF474" s="65" t="str">
        <f aca="false">IF($A474="","",AsOf-$G474)</f>
        <v/>
      </c>
      <c r="AG474" s="65" t="str">
        <f aca="false">IF($Y474="","",IF($Y474&lt;=5,IF($AF474&gt;$AE474,"Over","Inside"),"Past approval"))</f>
        <v/>
      </c>
      <c r="AH474" s="65" t="str">
        <f aca="false">IF($Y474="","",CHOOSE($Y474,IF(OR(TRIM($F474)="",ISNUMBER(SEARCH("not named",$F474))),"Critical","Good"),IF($O474&lt;&gt;"Y","Critical",IF($Q474&lt;&gt;"Y","Warning","Good")),IF($P474="","Critical",IF($P474="partial","Warning",IF($P474="ready","Good","Critical"))),IF($R474&lt;&gt;"","Critical","Warning"),IF($L474="","Critical",IF($N474="","Warning","Good")),IF($R474&lt;&gt;"","Critical","Warning"),IF($R474&lt;&gt;"","Critical","Warning"),IF($Q474="Y","Good","Critical")))</f>
        <v/>
      </c>
      <c r="AI474" s="65" t="str">
        <f aca="false">IF($Y474="","",CHOOSE($Y474,IF(OR(TRIM($F474)="",ISNUMBER(SEARCH("not named",$F474))),"Name a sponsor accountable for the value",""),IF($O474&lt;&gt;"Y","State the success metric and the stop condition",IF($Q474&lt;&gt;"Y","Set the baseline the benefit will be measured against","")),IF($P474="","Assess data readiness and regulatory impact",IF($P474="partial","Close the known data gaps",IF($P474="ready","","Data is not available; reshape or park"))),IF($R474&lt;&gt;"",IF(OR(ISNUMBER(SEARCH("mrm",$R474)),ISNUMBER(SEARCH("model",$R474)),ISNUMBER(SEARCH("risk",$R474)),ISNUMBER(SEARCH("legal",$R474)),ISNUMBER(SEARCH("complian",$R474))),"Awaiting ","Held at the design gate: ")&amp;$R474,"Map the governance framework for its tier"),IF($L474="","Size the annual benefit",IF($N474="","Score it so it can be ranked against capacity","")),IF($R474&lt;&gt;"","Build held: "&amp;$R474,"In build, not yet through test"),IF($R474&lt;&gt;"","Not ready to scale: "&amp;$R474,"Monitoring and third-party review not yet signed off"),IF($Q474="Y","","Live without a measured baseline to judge it against")))</f>
        <v/>
      </c>
      <c r="AJ474" s="65" t="str">
        <f aca="false">IF($Y474="","",INDEX(StageForum,$Y474))</f>
        <v/>
      </c>
      <c r="AK474" s="65" t="str">
        <f aca="false">IF($Y474="","",IF(OR($X474="Delivery",$X474="Value"),"Committed",IF($N474&lt;&gt;"","Candidate","")))</f>
        <v/>
      </c>
      <c r="AL474" s="65" t="str">
        <f aca="false">IF($AK474&lt;&gt;"Candidate","",COUNTIFS($AK$2:$AK$501,"Candidate",$N$2:$N$501,"&gt;"&amp;$N474)+COUNTIFS($AK$2:$AK$501,"Candidate",$N$2:$N$501,$N474,$A$2:$A$501,"&lt;"&amp;$A474)+1)</f>
        <v/>
      </c>
      <c r="AM474" s="65" t="str">
        <f aca="false">IF($AL474="","",SUMIFS($M$2:$M$501,$AK$2:$AK$501,"Candidate",$AL$2:$AL$501,"&lt;="&amp;$AL474))</f>
        <v/>
      </c>
      <c r="AN474" s="65" t="str">
        <f aca="false">IF($AL474="","",IF($AM474&lt;=CapacityOpen,"Fits","Below line"))</f>
        <v/>
      </c>
      <c r="AO474" s="65" t="str">
        <f aca="false">IF($A474="","",IF($X474="Closed","",IF($X474="Unmapped","Warning",IF(OR($AB474="Overdue",$V474="Y",$AH474="Critical"),"Critical",IF(OR($AB474="At risk",$AC474="Stale",$AG474="Over"),"Warning","")))))</f>
        <v/>
      </c>
      <c r="AP474" s="65" t="str">
        <f aca="false">IF($AO474="","",IF($AO474="Critical",3000,2000)-IF($Z474="",0,$Z474)+ROW()/100000)</f>
        <v/>
      </c>
      <c r="AQ474" s="65" t="str">
        <f aca="false">IF($AO474="","",IF($X474="Unmapped","Status '"&amp;$C474&amp;"' is not in the Config map",IF($V474="Y","Flagged in Jira",IF($AB474="Overdue",-$Z474&amp;" days past its "&amp;$X474&amp;" target",IF($AH474="Critical",$AI474,IF($AB474="At risk","Target in "&amp;$Z474&amp;" days",IF($AC474="Stale","No update in "&amp;$AA474&amp;" days","Past its "&amp;$AE474&amp;"-day tier window")))))))</f>
        <v/>
      </c>
      <c r="AR474" s="65" t="str">
        <f aca="false">IF($AO474="","","draft Jira update for "&amp;$A474)</f>
        <v/>
      </c>
      <c r="AS474" s="65" t="str">
        <f aca="false">IF($A474="","",HYPERLINK(JiraSite&amp;"/browse/"&amp;$A474,"open"))</f>
        <v/>
      </c>
      <c r="AT474" s="65" t="str">
        <f aca="false">IF($Y474="","",$Y474*1000+ROW())</f>
        <v/>
      </c>
      <c r="AU474" s="65" t="str">
        <f aca="false">IF(AND($A474&lt;&gt;"",$G474&gt;=WeekStart),$G474+ROW()/100000,"")</f>
        <v/>
      </c>
      <c r="AV474" s="65" t="str">
        <f aca="false">IF($A474="","",IF(OR(AND($S474&lt;&gt;"",$S474&gt;=WeekStart),AND($U474&lt;&gt;"",$U474&gt;=WeekStart)),MAX($S474,$U474)+ROW()/100000,""))</f>
        <v/>
      </c>
      <c r="AW474" s="65" t="str">
        <f aca="false">IF($AV474="","",IF($T474&lt;&gt;"",$T474,IF($X474="Closed","Closed","Accepted to "&amp;$X474)))</f>
        <v/>
      </c>
      <c r="AX474" s="65" t="str">
        <f aca="false">IF(AND($Y474&lt;&gt;"",$R474&lt;&gt;""),$AF474+ROW()/100000,"")</f>
        <v/>
      </c>
      <c r="AY474" s="65" t="str">
        <f aca="false">IF(AND($Y474&lt;&gt;"",OR($AB474="Overdue",AND($AH474="Critical",$R474&lt;&gt;""))),$AF474+ROW()/100000,"")</f>
        <v/>
      </c>
      <c r="AZ474" s="65" t="str">
        <f aca="false">IF($AH474="Critical",$AF474+ROW()/100000,"")</f>
        <v/>
      </c>
    </row>
    <row r="475" customFormat="false" ht="15" hidden="false" customHeight="false" outlineLevel="0" collapsed="false">
      <c r="A475" s="28"/>
      <c r="B475" s="28"/>
      <c r="C475" s="28"/>
      <c r="D475" s="28"/>
      <c r="E475" s="28"/>
      <c r="F475" s="28"/>
      <c r="G475" s="63"/>
      <c r="H475" s="63"/>
      <c r="I475" s="63"/>
      <c r="J475" s="28"/>
      <c r="K475" s="28"/>
      <c r="L475" s="28"/>
      <c r="M475" s="28"/>
      <c r="N475" s="28"/>
      <c r="O475" s="64"/>
      <c r="P475" s="64"/>
      <c r="Q475" s="64"/>
      <c r="R475" s="28"/>
      <c r="S475" s="63"/>
      <c r="T475" s="64"/>
      <c r="U475" s="63"/>
      <c r="V475" s="64"/>
      <c r="W475" s="28"/>
      <c r="X475" s="65" t="str">
        <f aca="false">IF($A475="","",IF(OR($T475&lt;&gt;"",$U475&lt;&gt;""),"Closed",IFERROR(INDEX(MapStage,MATCH($C475,MapStatus,0)),"Unmapped")))</f>
        <v/>
      </c>
      <c r="Y475" s="65" t="str">
        <f aca="false">IF(OR($X475="",$X475="Closed",$X475="Unmapped"),"",MATCH($X475,StageName,0))</f>
        <v/>
      </c>
      <c r="Z475" s="65" t="str">
        <f aca="false">IF(OR($Y475="",$I475=""),"",$I475-AsOf)</f>
        <v/>
      </c>
      <c r="AA475" s="65" t="str">
        <f aca="false">IF($A475="","",AsOf-$H475)</f>
        <v/>
      </c>
      <c r="AB475" s="65" t="str">
        <f aca="false">IF($A475="","",IF($X475="Closed","Closed",IF($X475="Unmapped","Unmapped",IF($I475="","No target",IF($Z475&lt;0,"Overdue",IF($Z475&lt;=INDEX(StageWindow,$Y475),"At risk","On track"))))))</f>
        <v/>
      </c>
      <c r="AC475" s="65" t="str">
        <f aca="false">IF($Y475="","",IF($AA475&gt;2*INDEX(StageStale,$Y475),"Stale",IF($AA475&gt;INDEX(StageStale,$Y475),"Aging","Fresh")))</f>
        <v/>
      </c>
      <c r="AD475" s="65" t="str">
        <f aca="false">IF($A475="","",IF(OR(ISNUMBER(SEARCH("Reg report",$J475)),ISNUMBER(SEARCH("No human review",$J475)),COUNTIF(TierFuncs,$D475)&gt;0),"High",IF(OR(TRIM($J475)&lt;&gt;"",ISNUMBER(SEARCH("revenue",$K475))),"Medium","Low")))</f>
        <v/>
      </c>
      <c r="AE475" s="65" t="str">
        <f aca="false">IF($A475="","",INDEX(TierDays,MATCH($AD475,TierName,0)))</f>
        <v/>
      </c>
      <c r="AF475" s="65" t="str">
        <f aca="false">IF($A475="","",AsOf-$G475)</f>
        <v/>
      </c>
      <c r="AG475" s="65" t="str">
        <f aca="false">IF($Y475="","",IF($Y475&lt;=5,IF($AF475&gt;$AE475,"Over","Inside"),"Past approval"))</f>
        <v/>
      </c>
      <c r="AH475" s="65" t="str">
        <f aca="false">IF($Y475="","",CHOOSE($Y475,IF(OR(TRIM($F475)="",ISNUMBER(SEARCH("not named",$F475))),"Critical","Good"),IF($O475&lt;&gt;"Y","Critical",IF($Q475&lt;&gt;"Y","Warning","Good")),IF($P475="","Critical",IF($P475="partial","Warning",IF($P475="ready","Good","Critical"))),IF($R475&lt;&gt;"","Critical","Warning"),IF($L475="","Critical",IF($N475="","Warning","Good")),IF($R475&lt;&gt;"","Critical","Warning"),IF($R475&lt;&gt;"","Critical","Warning"),IF($Q475="Y","Good","Critical")))</f>
        <v/>
      </c>
      <c r="AI475" s="65" t="str">
        <f aca="false">IF($Y475="","",CHOOSE($Y475,IF(OR(TRIM($F475)="",ISNUMBER(SEARCH("not named",$F475))),"Name a sponsor accountable for the value",""),IF($O475&lt;&gt;"Y","State the success metric and the stop condition",IF($Q475&lt;&gt;"Y","Set the baseline the benefit will be measured against","")),IF($P475="","Assess data readiness and regulatory impact",IF($P475="partial","Close the known data gaps",IF($P475="ready","","Data is not available; reshape or park"))),IF($R475&lt;&gt;"",IF(OR(ISNUMBER(SEARCH("mrm",$R475)),ISNUMBER(SEARCH("model",$R475)),ISNUMBER(SEARCH("risk",$R475)),ISNUMBER(SEARCH("legal",$R475)),ISNUMBER(SEARCH("complian",$R475))),"Awaiting ","Held at the design gate: ")&amp;$R475,"Map the governance framework for its tier"),IF($L475="","Size the annual benefit",IF($N475="","Score it so it can be ranked against capacity","")),IF($R475&lt;&gt;"","Build held: "&amp;$R475,"In build, not yet through test"),IF($R475&lt;&gt;"","Not ready to scale: "&amp;$R475,"Monitoring and third-party review not yet signed off"),IF($Q475="Y","","Live without a measured baseline to judge it against")))</f>
        <v/>
      </c>
      <c r="AJ475" s="65" t="str">
        <f aca="false">IF($Y475="","",INDEX(StageForum,$Y475))</f>
        <v/>
      </c>
      <c r="AK475" s="65" t="str">
        <f aca="false">IF($Y475="","",IF(OR($X475="Delivery",$X475="Value"),"Committed",IF($N475&lt;&gt;"","Candidate","")))</f>
        <v/>
      </c>
      <c r="AL475" s="65" t="str">
        <f aca="false">IF($AK475&lt;&gt;"Candidate","",COUNTIFS($AK$2:$AK$501,"Candidate",$N$2:$N$501,"&gt;"&amp;$N475)+COUNTIFS($AK$2:$AK$501,"Candidate",$N$2:$N$501,$N475,$A$2:$A$501,"&lt;"&amp;$A475)+1)</f>
        <v/>
      </c>
      <c r="AM475" s="65" t="str">
        <f aca="false">IF($AL475="","",SUMIFS($M$2:$M$501,$AK$2:$AK$501,"Candidate",$AL$2:$AL$501,"&lt;="&amp;$AL475))</f>
        <v/>
      </c>
      <c r="AN475" s="65" t="str">
        <f aca="false">IF($AL475="","",IF($AM475&lt;=CapacityOpen,"Fits","Below line"))</f>
        <v/>
      </c>
      <c r="AO475" s="65" t="str">
        <f aca="false">IF($A475="","",IF($X475="Closed","",IF($X475="Unmapped","Warning",IF(OR($AB475="Overdue",$V475="Y",$AH475="Critical"),"Critical",IF(OR($AB475="At risk",$AC475="Stale",$AG475="Over"),"Warning","")))))</f>
        <v/>
      </c>
      <c r="AP475" s="65" t="str">
        <f aca="false">IF($AO475="","",IF($AO475="Critical",3000,2000)-IF($Z475="",0,$Z475)+ROW()/100000)</f>
        <v/>
      </c>
      <c r="AQ475" s="65" t="str">
        <f aca="false">IF($AO475="","",IF($X475="Unmapped","Status '"&amp;$C475&amp;"' is not in the Config map",IF($V475="Y","Flagged in Jira",IF($AB475="Overdue",-$Z475&amp;" days past its "&amp;$X475&amp;" target",IF($AH475="Critical",$AI475,IF($AB475="At risk","Target in "&amp;$Z475&amp;" days",IF($AC475="Stale","No update in "&amp;$AA475&amp;" days","Past its "&amp;$AE475&amp;"-day tier window")))))))</f>
        <v/>
      </c>
      <c r="AR475" s="65" t="str">
        <f aca="false">IF($AO475="","","draft Jira update for "&amp;$A475)</f>
        <v/>
      </c>
      <c r="AS475" s="65" t="str">
        <f aca="false">IF($A475="","",HYPERLINK(JiraSite&amp;"/browse/"&amp;$A475,"open"))</f>
        <v/>
      </c>
      <c r="AT475" s="65" t="str">
        <f aca="false">IF($Y475="","",$Y475*1000+ROW())</f>
        <v/>
      </c>
      <c r="AU475" s="65" t="str">
        <f aca="false">IF(AND($A475&lt;&gt;"",$G475&gt;=WeekStart),$G475+ROW()/100000,"")</f>
        <v/>
      </c>
      <c r="AV475" s="65" t="str">
        <f aca="false">IF($A475="","",IF(OR(AND($S475&lt;&gt;"",$S475&gt;=WeekStart),AND($U475&lt;&gt;"",$U475&gt;=WeekStart)),MAX($S475,$U475)+ROW()/100000,""))</f>
        <v/>
      </c>
      <c r="AW475" s="65" t="str">
        <f aca="false">IF($AV475="","",IF($T475&lt;&gt;"",$T475,IF($X475="Closed","Closed","Accepted to "&amp;$X475)))</f>
        <v/>
      </c>
      <c r="AX475" s="65" t="str">
        <f aca="false">IF(AND($Y475&lt;&gt;"",$R475&lt;&gt;""),$AF475+ROW()/100000,"")</f>
        <v/>
      </c>
      <c r="AY475" s="65" t="str">
        <f aca="false">IF(AND($Y475&lt;&gt;"",OR($AB475="Overdue",AND($AH475="Critical",$R475&lt;&gt;""))),$AF475+ROW()/100000,"")</f>
        <v/>
      </c>
      <c r="AZ475" s="65" t="str">
        <f aca="false">IF($AH475="Critical",$AF475+ROW()/100000,"")</f>
        <v/>
      </c>
    </row>
    <row r="476" customFormat="false" ht="15" hidden="false" customHeight="false" outlineLevel="0" collapsed="false">
      <c r="A476" s="28"/>
      <c r="B476" s="28"/>
      <c r="C476" s="28"/>
      <c r="D476" s="28"/>
      <c r="E476" s="28"/>
      <c r="F476" s="28"/>
      <c r="G476" s="63"/>
      <c r="H476" s="63"/>
      <c r="I476" s="63"/>
      <c r="J476" s="28"/>
      <c r="K476" s="28"/>
      <c r="L476" s="28"/>
      <c r="M476" s="28"/>
      <c r="N476" s="28"/>
      <c r="O476" s="64"/>
      <c r="P476" s="64"/>
      <c r="Q476" s="64"/>
      <c r="R476" s="28"/>
      <c r="S476" s="63"/>
      <c r="T476" s="64"/>
      <c r="U476" s="63"/>
      <c r="V476" s="64"/>
      <c r="W476" s="28"/>
      <c r="X476" s="65" t="str">
        <f aca="false">IF($A476="","",IF(OR($T476&lt;&gt;"",$U476&lt;&gt;""),"Closed",IFERROR(INDEX(MapStage,MATCH($C476,MapStatus,0)),"Unmapped")))</f>
        <v/>
      </c>
      <c r="Y476" s="65" t="str">
        <f aca="false">IF(OR($X476="",$X476="Closed",$X476="Unmapped"),"",MATCH($X476,StageName,0))</f>
        <v/>
      </c>
      <c r="Z476" s="65" t="str">
        <f aca="false">IF(OR($Y476="",$I476=""),"",$I476-AsOf)</f>
        <v/>
      </c>
      <c r="AA476" s="65" t="str">
        <f aca="false">IF($A476="","",AsOf-$H476)</f>
        <v/>
      </c>
      <c r="AB476" s="65" t="str">
        <f aca="false">IF($A476="","",IF($X476="Closed","Closed",IF($X476="Unmapped","Unmapped",IF($I476="","No target",IF($Z476&lt;0,"Overdue",IF($Z476&lt;=INDEX(StageWindow,$Y476),"At risk","On track"))))))</f>
        <v/>
      </c>
      <c r="AC476" s="65" t="str">
        <f aca="false">IF($Y476="","",IF($AA476&gt;2*INDEX(StageStale,$Y476),"Stale",IF($AA476&gt;INDEX(StageStale,$Y476),"Aging","Fresh")))</f>
        <v/>
      </c>
      <c r="AD476" s="65" t="str">
        <f aca="false">IF($A476="","",IF(OR(ISNUMBER(SEARCH("Reg report",$J476)),ISNUMBER(SEARCH("No human review",$J476)),COUNTIF(TierFuncs,$D476)&gt;0),"High",IF(OR(TRIM($J476)&lt;&gt;"",ISNUMBER(SEARCH("revenue",$K476))),"Medium","Low")))</f>
        <v/>
      </c>
      <c r="AE476" s="65" t="str">
        <f aca="false">IF($A476="","",INDEX(TierDays,MATCH($AD476,TierName,0)))</f>
        <v/>
      </c>
      <c r="AF476" s="65" t="str">
        <f aca="false">IF($A476="","",AsOf-$G476)</f>
        <v/>
      </c>
      <c r="AG476" s="65" t="str">
        <f aca="false">IF($Y476="","",IF($Y476&lt;=5,IF($AF476&gt;$AE476,"Over","Inside"),"Past approval"))</f>
        <v/>
      </c>
      <c r="AH476" s="65" t="str">
        <f aca="false">IF($Y476="","",CHOOSE($Y476,IF(OR(TRIM($F476)="",ISNUMBER(SEARCH("not named",$F476))),"Critical","Good"),IF($O476&lt;&gt;"Y","Critical",IF($Q476&lt;&gt;"Y","Warning","Good")),IF($P476="","Critical",IF($P476="partial","Warning",IF($P476="ready","Good","Critical"))),IF($R476&lt;&gt;"","Critical","Warning"),IF($L476="","Critical",IF($N476="","Warning","Good")),IF($R476&lt;&gt;"","Critical","Warning"),IF($R476&lt;&gt;"","Critical","Warning"),IF($Q476="Y","Good","Critical")))</f>
        <v/>
      </c>
      <c r="AI476" s="65" t="str">
        <f aca="false">IF($Y476="","",CHOOSE($Y476,IF(OR(TRIM($F476)="",ISNUMBER(SEARCH("not named",$F476))),"Name a sponsor accountable for the value",""),IF($O476&lt;&gt;"Y","State the success metric and the stop condition",IF($Q476&lt;&gt;"Y","Set the baseline the benefit will be measured against","")),IF($P476="","Assess data readiness and regulatory impact",IF($P476="partial","Close the known data gaps",IF($P476="ready","","Data is not available; reshape or park"))),IF($R476&lt;&gt;"",IF(OR(ISNUMBER(SEARCH("mrm",$R476)),ISNUMBER(SEARCH("model",$R476)),ISNUMBER(SEARCH("risk",$R476)),ISNUMBER(SEARCH("legal",$R476)),ISNUMBER(SEARCH("complian",$R476))),"Awaiting ","Held at the design gate: ")&amp;$R476,"Map the governance framework for its tier"),IF($L476="","Size the annual benefit",IF($N476="","Score it so it can be ranked against capacity","")),IF($R476&lt;&gt;"","Build held: "&amp;$R476,"In build, not yet through test"),IF($R476&lt;&gt;"","Not ready to scale: "&amp;$R476,"Monitoring and third-party review not yet signed off"),IF($Q476="Y","","Live without a measured baseline to judge it against")))</f>
        <v/>
      </c>
      <c r="AJ476" s="65" t="str">
        <f aca="false">IF($Y476="","",INDEX(StageForum,$Y476))</f>
        <v/>
      </c>
      <c r="AK476" s="65" t="str">
        <f aca="false">IF($Y476="","",IF(OR($X476="Delivery",$X476="Value"),"Committed",IF($N476&lt;&gt;"","Candidate","")))</f>
        <v/>
      </c>
      <c r="AL476" s="65" t="str">
        <f aca="false">IF($AK476&lt;&gt;"Candidate","",COUNTIFS($AK$2:$AK$501,"Candidate",$N$2:$N$501,"&gt;"&amp;$N476)+COUNTIFS($AK$2:$AK$501,"Candidate",$N$2:$N$501,$N476,$A$2:$A$501,"&lt;"&amp;$A476)+1)</f>
        <v/>
      </c>
      <c r="AM476" s="65" t="str">
        <f aca="false">IF($AL476="","",SUMIFS($M$2:$M$501,$AK$2:$AK$501,"Candidate",$AL$2:$AL$501,"&lt;="&amp;$AL476))</f>
        <v/>
      </c>
      <c r="AN476" s="65" t="str">
        <f aca="false">IF($AL476="","",IF($AM476&lt;=CapacityOpen,"Fits","Below line"))</f>
        <v/>
      </c>
      <c r="AO476" s="65" t="str">
        <f aca="false">IF($A476="","",IF($X476="Closed","",IF($X476="Unmapped","Warning",IF(OR($AB476="Overdue",$V476="Y",$AH476="Critical"),"Critical",IF(OR($AB476="At risk",$AC476="Stale",$AG476="Over"),"Warning","")))))</f>
        <v/>
      </c>
      <c r="AP476" s="65" t="str">
        <f aca="false">IF($AO476="","",IF($AO476="Critical",3000,2000)-IF($Z476="",0,$Z476)+ROW()/100000)</f>
        <v/>
      </c>
      <c r="AQ476" s="65" t="str">
        <f aca="false">IF($AO476="","",IF($X476="Unmapped","Status '"&amp;$C476&amp;"' is not in the Config map",IF($V476="Y","Flagged in Jira",IF($AB476="Overdue",-$Z476&amp;" days past its "&amp;$X476&amp;" target",IF($AH476="Critical",$AI476,IF($AB476="At risk","Target in "&amp;$Z476&amp;" days",IF($AC476="Stale","No update in "&amp;$AA476&amp;" days","Past its "&amp;$AE476&amp;"-day tier window")))))))</f>
        <v/>
      </c>
      <c r="AR476" s="65" t="str">
        <f aca="false">IF($AO476="","","draft Jira update for "&amp;$A476)</f>
        <v/>
      </c>
      <c r="AS476" s="65" t="str">
        <f aca="false">IF($A476="","",HYPERLINK(JiraSite&amp;"/browse/"&amp;$A476,"open"))</f>
        <v/>
      </c>
      <c r="AT476" s="65" t="str">
        <f aca="false">IF($Y476="","",$Y476*1000+ROW())</f>
        <v/>
      </c>
      <c r="AU476" s="65" t="str">
        <f aca="false">IF(AND($A476&lt;&gt;"",$G476&gt;=WeekStart),$G476+ROW()/100000,"")</f>
        <v/>
      </c>
      <c r="AV476" s="65" t="str">
        <f aca="false">IF($A476="","",IF(OR(AND($S476&lt;&gt;"",$S476&gt;=WeekStart),AND($U476&lt;&gt;"",$U476&gt;=WeekStart)),MAX($S476,$U476)+ROW()/100000,""))</f>
        <v/>
      </c>
      <c r="AW476" s="65" t="str">
        <f aca="false">IF($AV476="","",IF($T476&lt;&gt;"",$T476,IF($X476="Closed","Closed","Accepted to "&amp;$X476)))</f>
        <v/>
      </c>
      <c r="AX476" s="65" t="str">
        <f aca="false">IF(AND($Y476&lt;&gt;"",$R476&lt;&gt;""),$AF476+ROW()/100000,"")</f>
        <v/>
      </c>
      <c r="AY476" s="65" t="str">
        <f aca="false">IF(AND($Y476&lt;&gt;"",OR($AB476="Overdue",AND($AH476="Critical",$R476&lt;&gt;""))),$AF476+ROW()/100000,"")</f>
        <v/>
      </c>
      <c r="AZ476" s="65" t="str">
        <f aca="false">IF($AH476="Critical",$AF476+ROW()/100000,"")</f>
        <v/>
      </c>
    </row>
    <row r="477" customFormat="false" ht="15" hidden="false" customHeight="false" outlineLevel="0" collapsed="false">
      <c r="A477" s="28"/>
      <c r="B477" s="28"/>
      <c r="C477" s="28"/>
      <c r="D477" s="28"/>
      <c r="E477" s="28"/>
      <c r="F477" s="28"/>
      <c r="G477" s="63"/>
      <c r="H477" s="63"/>
      <c r="I477" s="63"/>
      <c r="J477" s="28"/>
      <c r="K477" s="28"/>
      <c r="L477" s="28"/>
      <c r="M477" s="28"/>
      <c r="N477" s="28"/>
      <c r="O477" s="64"/>
      <c r="P477" s="64"/>
      <c r="Q477" s="64"/>
      <c r="R477" s="28"/>
      <c r="S477" s="63"/>
      <c r="T477" s="64"/>
      <c r="U477" s="63"/>
      <c r="V477" s="64"/>
      <c r="W477" s="28"/>
      <c r="X477" s="65" t="str">
        <f aca="false">IF($A477="","",IF(OR($T477&lt;&gt;"",$U477&lt;&gt;""),"Closed",IFERROR(INDEX(MapStage,MATCH($C477,MapStatus,0)),"Unmapped")))</f>
        <v/>
      </c>
      <c r="Y477" s="65" t="str">
        <f aca="false">IF(OR($X477="",$X477="Closed",$X477="Unmapped"),"",MATCH($X477,StageName,0))</f>
        <v/>
      </c>
      <c r="Z477" s="65" t="str">
        <f aca="false">IF(OR($Y477="",$I477=""),"",$I477-AsOf)</f>
        <v/>
      </c>
      <c r="AA477" s="65" t="str">
        <f aca="false">IF($A477="","",AsOf-$H477)</f>
        <v/>
      </c>
      <c r="AB477" s="65" t="str">
        <f aca="false">IF($A477="","",IF($X477="Closed","Closed",IF($X477="Unmapped","Unmapped",IF($I477="","No target",IF($Z477&lt;0,"Overdue",IF($Z477&lt;=INDEX(StageWindow,$Y477),"At risk","On track"))))))</f>
        <v/>
      </c>
      <c r="AC477" s="65" t="str">
        <f aca="false">IF($Y477="","",IF($AA477&gt;2*INDEX(StageStale,$Y477),"Stale",IF($AA477&gt;INDEX(StageStale,$Y477),"Aging","Fresh")))</f>
        <v/>
      </c>
      <c r="AD477" s="65" t="str">
        <f aca="false">IF($A477="","",IF(OR(ISNUMBER(SEARCH("Reg report",$J477)),ISNUMBER(SEARCH("No human review",$J477)),COUNTIF(TierFuncs,$D477)&gt;0),"High",IF(OR(TRIM($J477)&lt;&gt;"",ISNUMBER(SEARCH("revenue",$K477))),"Medium","Low")))</f>
        <v/>
      </c>
      <c r="AE477" s="65" t="str">
        <f aca="false">IF($A477="","",INDEX(TierDays,MATCH($AD477,TierName,0)))</f>
        <v/>
      </c>
      <c r="AF477" s="65" t="str">
        <f aca="false">IF($A477="","",AsOf-$G477)</f>
        <v/>
      </c>
      <c r="AG477" s="65" t="str">
        <f aca="false">IF($Y477="","",IF($Y477&lt;=5,IF($AF477&gt;$AE477,"Over","Inside"),"Past approval"))</f>
        <v/>
      </c>
      <c r="AH477" s="65" t="str">
        <f aca="false">IF($Y477="","",CHOOSE($Y477,IF(OR(TRIM($F477)="",ISNUMBER(SEARCH("not named",$F477))),"Critical","Good"),IF($O477&lt;&gt;"Y","Critical",IF($Q477&lt;&gt;"Y","Warning","Good")),IF($P477="","Critical",IF($P477="partial","Warning",IF($P477="ready","Good","Critical"))),IF($R477&lt;&gt;"","Critical","Warning"),IF($L477="","Critical",IF($N477="","Warning","Good")),IF($R477&lt;&gt;"","Critical","Warning"),IF($R477&lt;&gt;"","Critical","Warning"),IF($Q477="Y","Good","Critical")))</f>
        <v/>
      </c>
      <c r="AI477" s="65" t="str">
        <f aca="false">IF($Y477="","",CHOOSE($Y477,IF(OR(TRIM($F477)="",ISNUMBER(SEARCH("not named",$F477))),"Name a sponsor accountable for the value",""),IF($O477&lt;&gt;"Y","State the success metric and the stop condition",IF($Q477&lt;&gt;"Y","Set the baseline the benefit will be measured against","")),IF($P477="","Assess data readiness and regulatory impact",IF($P477="partial","Close the known data gaps",IF($P477="ready","","Data is not available; reshape or park"))),IF($R477&lt;&gt;"",IF(OR(ISNUMBER(SEARCH("mrm",$R477)),ISNUMBER(SEARCH("model",$R477)),ISNUMBER(SEARCH("risk",$R477)),ISNUMBER(SEARCH("legal",$R477)),ISNUMBER(SEARCH("complian",$R477))),"Awaiting ","Held at the design gate: ")&amp;$R477,"Map the governance framework for its tier"),IF($L477="","Size the annual benefit",IF($N477="","Score it so it can be ranked against capacity","")),IF($R477&lt;&gt;"","Build held: "&amp;$R477,"In build, not yet through test"),IF($R477&lt;&gt;"","Not ready to scale: "&amp;$R477,"Monitoring and third-party review not yet signed off"),IF($Q477="Y","","Live without a measured baseline to judge it against")))</f>
        <v/>
      </c>
      <c r="AJ477" s="65" t="str">
        <f aca="false">IF($Y477="","",INDEX(StageForum,$Y477))</f>
        <v/>
      </c>
      <c r="AK477" s="65" t="str">
        <f aca="false">IF($Y477="","",IF(OR($X477="Delivery",$X477="Value"),"Committed",IF($N477&lt;&gt;"","Candidate","")))</f>
        <v/>
      </c>
      <c r="AL477" s="65" t="str">
        <f aca="false">IF($AK477&lt;&gt;"Candidate","",COUNTIFS($AK$2:$AK$501,"Candidate",$N$2:$N$501,"&gt;"&amp;$N477)+COUNTIFS($AK$2:$AK$501,"Candidate",$N$2:$N$501,$N477,$A$2:$A$501,"&lt;"&amp;$A477)+1)</f>
        <v/>
      </c>
      <c r="AM477" s="65" t="str">
        <f aca="false">IF($AL477="","",SUMIFS($M$2:$M$501,$AK$2:$AK$501,"Candidate",$AL$2:$AL$501,"&lt;="&amp;$AL477))</f>
        <v/>
      </c>
      <c r="AN477" s="65" t="str">
        <f aca="false">IF($AL477="","",IF($AM477&lt;=CapacityOpen,"Fits","Below line"))</f>
        <v/>
      </c>
      <c r="AO477" s="65" t="str">
        <f aca="false">IF($A477="","",IF($X477="Closed","",IF($X477="Unmapped","Warning",IF(OR($AB477="Overdue",$V477="Y",$AH477="Critical"),"Critical",IF(OR($AB477="At risk",$AC477="Stale",$AG477="Over"),"Warning","")))))</f>
        <v/>
      </c>
      <c r="AP477" s="65" t="str">
        <f aca="false">IF($AO477="","",IF($AO477="Critical",3000,2000)-IF($Z477="",0,$Z477)+ROW()/100000)</f>
        <v/>
      </c>
      <c r="AQ477" s="65" t="str">
        <f aca="false">IF($AO477="","",IF($X477="Unmapped","Status '"&amp;$C477&amp;"' is not in the Config map",IF($V477="Y","Flagged in Jira",IF($AB477="Overdue",-$Z477&amp;" days past its "&amp;$X477&amp;" target",IF($AH477="Critical",$AI477,IF($AB477="At risk","Target in "&amp;$Z477&amp;" days",IF($AC477="Stale","No update in "&amp;$AA477&amp;" days","Past its "&amp;$AE477&amp;"-day tier window")))))))</f>
        <v/>
      </c>
      <c r="AR477" s="65" t="str">
        <f aca="false">IF($AO477="","","draft Jira update for "&amp;$A477)</f>
        <v/>
      </c>
      <c r="AS477" s="65" t="str">
        <f aca="false">IF($A477="","",HYPERLINK(JiraSite&amp;"/browse/"&amp;$A477,"open"))</f>
        <v/>
      </c>
      <c r="AT477" s="65" t="str">
        <f aca="false">IF($Y477="","",$Y477*1000+ROW())</f>
        <v/>
      </c>
      <c r="AU477" s="65" t="str">
        <f aca="false">IF(AND($A477&lt;&gt;"",$G477&gt;=WeekStart),$G477+ROW()/100000,"")</f>
        <v/>
      </c>
      <c r="AV477" s="65" t="str">
        <f aca="false">IF($A477="","",IF(OR(AND($S477&lt;&gt;"",$S477&gt;=WeekStart),AND($U477&lt;&gt;"",$U477&gt;=WeekStart)),MAX($S477,$U477)+ROW()/100000,""))</f>
        <v/>
      </c>
      <c r="AW477" s="65" t="str">
        <f aca="false">IF($AV477="","",IF($T477&lt;&gt;"",$T477,IF($X477="Closed","Closed","Accepted to "&amp;$X477)))</f>
        <v/>
      </c>
      <c r="AX477" s="65" t="str">
        <f aca="false">IF(AND($Y477&lt;&gt;"",$R477&lt;&gt;""),$AF477+ROW()/100000,"")</f>
        <v/>
      </c>
      <c r="AY477" s="65" t="str">
        <f aca="false">IF(AND($Y477&lt;&gt;"",OR($AB477="Overdue",AND($AH477="Critical",$R477&lt;&gt;""))),$AF477+ROW()/100000,"")</f>
        <v/>
      </c>
      <c r="AZ477" s="65" t="str">
        <f aca="false">IF($AH477="Critical",$AF477+ROW()/100000,"")</f>
        <v/>
      </c>
    </row>
    <row r="478" customFormat="false" ht="15" hidden="false" customHeight="false" outlineLevel="0" collapsed="false">
      <c r="A478" s="28"/>
      <c r="B478" s="28"/>
      <c r="C478" s="28"/>
      <c r="D478" s="28"/>
      <c r="E478" s="28"/>
      <c r="F478" s="28"/>
      <c r="G478" s="63"/>
      <c r="H478" s="63"/>
      <c r="I478" s="63"/>
      <c r="J478" s="28"/>
      <c r="K478" s="28"/>
      <c r="L478" s="28"/>
      <c r="M478" s="28"/>
      <c r="N478" s="28"/>
      <c r="O478" s="64"/>
      <c r="P478" s="64"/>
      <c r="Q478" s="64"/>
      <c r="R478" s="28"/>
      <c r="S478" s="63"/>
      <c r="T478" s="64"/>
      <c r="U478" s="63"/>
      <c r="V478" s="64"/>
      <c r="W478" s="28"/>
      <c r="X478" s="65" t="str">
        <f aca="false">IF($A478="","",IF(OR($T478&lt;&gt;"",$U478&lt;&gt;""),"Closed",IFERROR(INDEX(MapStage,MATCH($C478,MapStatus,0)),"Unmapped")))</f>
        <v/>
      </c>
      <c r="Y478" s="65" t="str">
        <f aca="false">IF(OR($X478="",$X478="Closed",$X478="Unmapped"),"",MATCH($X478,StageName,0))</f>
        <v/>
      </c>
      <c r="Z478" s="65" t="str">
        <f aca="false">IF(OR($Y478="",$I478=""),"",$I478-AsOf)</f>
        <v/>
      </c>
      <c r="AA478" s="65" t="str">
        <f aca="false">IF($A478="","",AsOf-$H478)</f>
        <v/>
      </c>
      <c r="AB478" s="65" t="str">
        <f aca="false">IF($A478="","",IF($X478="Closed","Closed",IF($X478="Unmapped","Unmapped",IF($I478="","No target",IF($Z478&lt;0,"Overdue",IF($Z478&lt;=INDEX(StageWindow,$Y478),"At risk","On track"))))))</f>
        <v/>
      </c>
      <c r="AC478" s="65" t="str">
        <f aca="false">IF($Y478="","",IF($AA478&gt;2*INDEX(StageStale,$Y478),"Stale",IF($AA478&gt;INDEX(StageStale,$Y478),"Aging","Fresh")))</f>
        <v/>
      </c>
      <c r="AD478" s="65" t="str">
        <f aca="false">IF($A478="","",IF(OR(ISNUMBER(SEARCH("Reg report",$J478)),ISNUMBER(SEARCH("No human review",$J478)),COUNTIF(TierFuncs,$D478)&gt;0),"High",IF(OR(TRIM($J478)&lt;&gt;"",ISNUMBER(SEARCH("revenue",$K478))),"Medium","Low")))</f>
        <v/>
      </c>
      <c r="AE478" s="65" t="str">
        <f aca="false">IF($A478="","",INDEX(TierDays,MATCH($AD478,TierName,0)))</f>
        <v/>
      </c>
      <c r="AF478" s="65" t="str">
        <f aca="false">IF($A478="","",AsOf-$G478)</f>
        <v/>
      </c>
      <c r="AG478" s="65" t="str">
        <f aca="false">IF($Y478="","",IF($Y478&lt;=5,IF($AF478&gt;$AE478,"Over","Inside"),"Past approval"))</f>
        <v/>
      </c>
      <c r="AH478" s="65" t="str">
        <f aca="false">IF($Y478="","",CHOOSE($Y478,IF(OR(TRIM($F478)="",ISNUMBER(SEARCH("not named",$F478))),"Critical","Good"),IF($O478&lt;&gt;"Y","Critical",IF($Q478&lt;&gt;"Y","Warning","Good")),IF($P478="","Critical",IF($P478="partial","Warning",IF($P478="ready","Good","Critical"))),IF($R478&lt;&gt;"","Critical","Warning"),IF($L478="","Critical",IF($N478="","Warning","Good")),IF($R478&lt;&gt;"","Critical","Warning"),IF($R478&lt;&gt;"","Critical","Warning"),IF($Q478="Y","Good","Critical")))</f>
        <v/>
      </c>
      <c r="AI478" s="65" t="str">
        <f aca="false">IF($Y478="","",CHOOSE($Y478,IF(OR(TRIM($F478)="",ISNUMBER(SEARCH("not named",$F478))),"Name a sponsor accountable for the value",""),IF($O478&lt;&gt;"Y","State the success metric and the stop condition",IF($Q478&lt;&gt;"Y","Set the baseline the benefit will be measured against","")),IF($P478="","Assess data readiness and regulatory impact",IF($P478="partial","Close the known data gaps",IF($P478="ready","","Data is not available; reshape or park"))),IF($R478&lt;&gt;"",IF(OR(ISNUMBER(SEARCH("mrm",$R478)),ISNUMBER(SEARCH("model",$R478)),ISNUMBER(SEARCH("risk",$R478)),ISNUMBER(SEARCH("legal",$R478)),ISNUMBER(SEARCH("complian",$R478))),"Awaiting ","Held at the design gate: ")&amp;$R478,"Map the governance framework for its tier"),IF($L478="","Size the annual benefit",IF($N478="","Score it so it can be ranked against capacity","")),IF($R478&lt;&gt;"","Build held: "&amp;$R478,"In build, not yet through test"),IF($R478&lt;&gt;"","Not ready to scale: "&amp;$R478,"Monitoring and third-party review not yet signed off"),IF($Q478="Y","","Live without a measured baseline to judge it against")))</f>
        <v/>
      </c>
      <c r="AJ478" s="65" t="str">
        <f aca="false">IF($Y478="","",INDEX(StageForum,$Y478))</f>
        <v/>
      </c>
      <c r="AK478" s="65" t="str">
        <f aca="false">IF($Y478="","",IF(OR($X478="Delivery",$X478="Value"),"Committed",IF($N478&lt;&gt;"","Candidate","")))</f>
        <v/>
      </c>
      <c r="AL478" s="65" t="str">
        <f aca="false">IF($AK478&lt;&gt;"Candidate","",COUNTIFS($AK$2:$AK$501,"Candidate",$N$2:$N$501,"&gt;"&amp;$N478)+COUNTIFS($AK$2:$AK$501,"Candidate",$N$2:$N$501,$N478,$A$2:$A$501,"&lt;"&amp;$A478)+1)</f>
        <v/>
      </c>
      <c r="AM478" s="65" t="str">
        <f aca="false">IF($AL478="","",SUMIFS($M$2:$M$501,$AK$2:$AK$501,"Candidate",$AL$2:$AL$501,"&lt;="&amp;$AL478))</f>
        <v/>
      </c>
      <c r="AN478" s="65" t="str">
        <f aca="false">IF($AL478="","",IF($AM478&lt;=CapacityOpen,"Fits","Below line"))</f>
        <v/>
      </c>
      <c r="AO478" s="65" t="str">
        <f aca="false">IF($A478="","",IF($X478="Closed","",IF($X478="Unmapped","Warning",IF(OR($AB478="Overdue",$V478="Y",$AH478="Critical"),"Critical",IF(OR($AB478="At risk",$AC478="Stale",$AG478="Over"),"Warning","")))))</f>
        <v/>
      </c>
      <c r="AP478" s="65" t="str">
        <f aca="false">IF($AO478="","",IF($AO478="Critical",3000,2000)-IF($Z478="",0,$Z478)+ROW()/100000)</f>
        <v/>
      </c>
      <c r="AQ478" s="65" t="str">
        <f aca="false">IF($AO478="","",IF($X478="Unmapped","Status '"&amp;$C478&amp;"' is not in the Config map",IF($V478="Y","Flagged in Jira",IF($AB478="Overdue",-$Z478&amp;" days past its "&amp;$X478&amp;" target",IF($AH478="Critical",$AI478,IF($AB478="At risk","Target in "&amp;$Z478&amp;" days",IF($AC478="Stale","No update in "&amp;$AA478&amp;" days","Past its "&amp;$AE478&amp;"-day tier window")))))))</f>
        <v/>
      </c>
      <c r="AR478" s="65" t="str">
        <f aca="false">IF($AO478="","","draft Jira update for "&amp;$A478)</f>
        <v/>
      </c>
      <c r="AS478" s="65" t="str">
        <f aca="false">IF($A478="","",HYPERLINK(JiraSite&amp;"/browse/"&amp;$A478,"open"))</f>
        <v/>
      </c>
      <c r="AT478" s="65" t="str">
        <f aca="false">IF($Y478="","",$Y478*1000+ROW())</f>
        <v/>
      </c>
      <c r="AU478" s="65" t="str">
        <f aca="false">IF(AND($A478&lt;&gt;"",$G478&gt;=WeekStart),$G478+ROW()/100000,"")</f>
        <v/>
      </c>
      <c r="AV478" s="65" t="str">
        <f aca="false">IF($A478="","",IF(OR(AND($S478&lt;&gt;"",$S478&gt;=WeekStart),AND($U478&lt;&gt;"",$U478&gt;=WeekStart)),MAX($S478,$U478)+ROW()/100000,""))</f>
        <v/>
      </c>
      <c r="AW478" s="65" t="str">
        <f aca="false">IF($AV478="","",IF($T478&lt;&gt;"",$T478,IF($X478="Closed","Closed","Accepted to "&amp;$X478)))</f>
        <v/>
      </c>
      <c r="AX478" s="65" t="str">
        <f aca="false">IF(AND($Y478&lt;&gt;"",$R478&lt;&gt;""),$AF478+ROW()/100000,"")</f>
        <v/>
      </c>
      <c r="AY478" s="65" t="str">
        <f aca="false">IF(AND($Y478&lt;&gt;"",OR($AB478="Overdue",AND($AH478="Critical",$R478&lt;&gt;""))),$AF478+ROW()/100000,"")</f>
        <v/>
      </c>
      <c r="AZ478" s="65" t="str">
        <f aca="false">IF($AH478="Critical",$AF478+ROW()/100000,"")</f>
        <v/>
      </c>
    </row>
    <row r="479" customFormat="false" ht="15" hidden="false" customHeight="false" outlineLevel="0" collapsed="false">
      <c r="A479" s="28"/>
      <c r="B479" s="28"/>
      <c r="C479" s="28"/>
      <c r="D479" s="28"/>
      <c r="E479" s="28"/>
      <c r="F479" s="28"/>
      <c r="G479" s="63"/>
      <c r="H479" s="63"/>
      <c r="I479" s="63"/>
      <c r="J479" s="28"/>
      <c r="K479" s="28"/>
      <c r="L479" s="28"/>
      <c r="M479" s="28"/>
      <c r="N479" s="28"/>
      <c r="O479" s="64"/>
      <c r="P479" s="64"/>
      <c r="Q479" s="64"/>
      <c r="R479" s="28"/>
      <c r="S479" s="63"/>
      <c r="T479" s="64"/>
      <c r="U479" s="63"/>
      <c r="V479" s="64"/>
      <c r="W479" s="28"/>
      <c r="X479" s="65" t="str">
        <f aca="false">IF($A479="","",IF(OR($T479&lt;&gt;"",$U479&lt;&gt;""),"Closed",IFERROR(INDEX(MapStage,MATCH($C479,MapStatus,0)),"Unmapped")))</f>
        <v/>
      </c>
      <c r="Y479" s="65" t="str">
        <f aca="false">IF(OR($X479="",$X479="Closed",$X479="Unmapped"),"",MATCH($X479,StageName,0))</f>
        <v/>
      </c>
      <c r="Z479" s="65" t="str">
        <f aca="false">IF(OR($Y479="",$I479=""),"",$I479-AsOf)</f>
        <v/>
      </c>
      <c r="AA479" s="65" t="str">
        <f aca="false">IF($A479="","",AsOf-$H479)</f>
        <v/>
      </c>
      <c r="AB479" s="65" t="str">
        <f aca="false">IF($A479="","",IF($X479="Closed","Closed",IF($X479="Unmapped","Unmapped",IF($I479="","No target",IF($Z479&lt;0,"Overdue",IF($Z479&lt;=INDEX(StageWindow,$Y479),"At risk","On track"))))))</f>
        <v/>
      </c>
      <c r="AC479" s="65" t="str">
        <f aca="false">IF($Y479="","",IF($AA479&gt;2*INDEX(StageStale,$Y479),"Stale",IF($AA479&gt;INDEX(StageStale,$Y479),"Aging","Fresh")))</f>
        <v/>
      </c>
      <c r="AD479" s="65" t="str">
        <f aca="false">IF($A479="","",IF(OR(ISNUMBER(SEARCH("Reg report",$J479)),ISNUMBER(SEARCH("No human review",$J479)),COUNTIF(TierFuncs,$D479)&gt;0),"High",IF(OR(TRIM($J479)&lt;&gt;"",ISNUMBER(SEARCH("revenue",$K479))),"Medium","Low")))</f>
        <v/>
      </c>
      <c r="AE479" s="65" t="str">
        <f aca="false">IF($A479="","",INDEX(TierDays,MATCH($AD479,TierName,0)))</f>
        <v/>
      </c>
      <c r="AF479" s="65" t="str">
        <f aca="false">IF($A479="","",AsOf-$G479)</f>
        <v/>
      </c>
      <c r="AG479" s="65" t="str">
        <f aca="false">IF($Y479="","",IF($Y479&lt;=5,IF($AF479&gt;$AE479,"Over","Inside"),"Past approval"))</f>
        <v/>
      </c>
      <c r="AH479" s="65" t="str">
        <f aca="false">IF($Y479="","",CHOOSE($Y479,IF(OR(TRIM($F479)="",ISNUMBER(SEARCH("not named",$F479))),"Critical","Good"),IF($O479&lt;&gt;"Y","Critical",IF($Q479&lt;&gt;"Y","Warning","Good")),IF($P479="","Critical",IF($P479="partial","Warning",IF($P479="ready","Good","Critical"))),IF($R479&lt;&gt;"","Critical","Warning"),IF($L479="","Critical",IF($N479="","Warning","Good")),IF($R479&lt;&gt;"","Critical","Warning"),IF($R479&lt;&gt;"","Critical","Warning"),IF($Q479="Y","Good","Critical")))</f>
        <v/>
      </c>
      <c r="AI479" s="65" t="str">
        <f aca="false">IF($Y479="","",CHOOSE($Y479,IF(OR(TRIM($F479)="",ISNUMBER(SEARCH("not named",$F479))),"Name a sponsor accountable for the value",""),IF($O479&lt;&gt;"Y","State the success metric and the stop condition",IF($Q479&lt;&gt;"Y","Set the baseline the benefit will be measured against","")),IF($P479="","Assess data readiness and regulatory impact",IF($P479="partial","Close the known data gaps",IF($P479="ready","","Data is not available; reshape or park"))),IF($R479&lt;&gt;"",IF(OR(ISNUMBER(SEARCH("mrm",$R479)),ISNUMBER(SEARCH("model",$R479)),ISNUMBER(SEARCH("risk",$R479)),ISNUMBER(SEARCH("legal",$R479)),ISNUMBER(SEARCH("complian",$R479))),"Awaiting ","Held at the design gate: ")&amp;$R479,"Map the governance framework for its tier"),IF($L479="","Size the annual benefit",IF($N479="","Score it so it can be ranked against capacity","")),IF($R479&lt;&gt;"","Build held: "&amp;$R479,"In build, not yet through test"),IF($R479&lt;&gt;"","Not ready to scale: "&amp;$R479,"Monitoring and third-party review not yet signed off"),IF($Q479="Y","","Live without a measured baseline to judge it against")))</f>
        <v/>
      </c>
      <c r="AJ479" s="65" t="str">
        <f aca="false">IF($Y479="","",INDEX(StageForum,$Y479))</f>
        <v/>
      </c>
      <c r="AK479" s="65" t="str">
        <f aca="false">IF($Y479="","",IF(OR($X479="Delivery",$X479="Value"),"Committed",IF($N479&lt;&gt;"","Candidate","")))</f>
        <v/>
      </c>
      <c r="AL479" s="65" t="str">
        <f aca="false">IF($AK479&lt;&gt;"Candidate","",COUNTIFS($AK$2:$AK$501,"Candidate",$N$2:$N$501,"&gt;"&amp;$N479)+COUNTIFS($AK$2:$AK$501,"Candidate",$N$2:$N$501,$N479,$A$2:$A$501,"&lt;"&amp;$A479)+1)</f>
        <v/>
      </c>
      <c r="AM479" s="65" t="str">
        <f aca="false">IF($AL479="","",SUMIFS($M$2:$M$501,$AK$2:$AK$501,"Candidate",$AL$2:$AL$501,"&lt;="&amp;$AL479))</f>
        <v/>
      </c>
      <c r="AN479" s="65" t="str">
        <f aca="false">IF($AL479="","",IF($AM479&lt;=CapacityOpen,"Fits","Below line"))</f>
        <v/>
      </c>
      <c r="AO479" s="65" t="str">
        <f aca="false">IF($A479="","",IF($X479="Closed","",IF($X479="Unmapped","Warning",IF(OR($AB479="Overdue",$V479="Y",$AH479="Critical"),"Critical",IF(OR($AB479="At risk",$AC479="Stale",$AG479="Over"),"Warning","")))))</f>
        <v/>
      </c>
      <c r="AP479" s="65" t="str">
        <f aca="false">IF($AO479="","",IF($AO479="Critical",3000,2000)-IF($Z479="",0,$Z479)+ROW()/100000)</f>
        <v/>
      </c>
      <c r="AQ479" s="65" t="str">
        <f aca="false">IF($AO479="","",IF($X479="Unmapped","Status '"&amp;$C479&amp;"' is not in the Config map",IF($V479="Y","Flagged in Jira",IF($AB479="Overdue",-$Z479&amp;" days past its "&amp;$X479&amp;" target",IF($AH479="Critical",$AI479,IF($AB479="At risk","Target in "&amp;$Z479&amp;" days",IF($AC479="Stale","No update in "&amp;$AA479&amp;" days","Past its "&amp;$AE479&amp;"-day tier window")))))))</f>
        <v/>
      </c>
      <c r="AR479" s="65" t="str">
        <f aca="false">IF($AO479="","","draft Jira update for "&amp;$A479)</f>
        <v/>
      </c>
      <c r="AS479" s="65" t="str">
        <f aca="false">IF($A479="","",HYPERLINK(JiraSite&amp;"/browse/"&amp;$A479,"open"))</f>
        <v/>
      </c>
      <c r="AT479" s="65" t="str">
        <f aca="false">IF($Y479="","",$Y479*1000+ROW())</f>
        <v/>
      </c>
      <c r="AU479" s="65" t="str">
        <f aca="false">IF(AND($A479&lt;&gt;"",$G479&gt;=WeekStart),$G479+ROW()/100000,"")</f>
        <v/>
      </c>
      <c r="AV479" s="65" t="str">
        <f aca="false">IF($A479="","",IF(OR(AND($S479&lt;&gt;"",$S479&gt;=WeekStart),AND($U479&lt;&gt;"",$U479&gt;=WeekStart)),MAX($S479,$U479)+ROW()/100000,""))</f>
        <v/>
      </c>
      <c r="AW479" s="65" t="str">
        <f aca="false">IF($AV479="","",IF($T479&lt;&gt;"",$T479,IF($X479="Closed","Closed","Accepted to "&amp;$X479)))</f>
        <v/>
      </c>
      <c r="AX479" s="65" t="str">
        <f aca="false">IF(AND($Y479&lt;&gt;"",$R479&lt;&gt;""),$AF479+ROW()/100000,"")</f>
        <v/>
      </c>
      <c r="AY479" s="65" t="str">
        <f aca="false">IF(AND($Y479&lt;&gt;"",OR($AB479="Overdue",AND($AH479="Critical",$R479&lt;&gt;""))),$AF479+ROW()/100000,"")</f>
        <v/>
      </c>
      <c r="AZ479" s="65" t="str">
        <f aca="false">IF($AH479="Critical",$AF479+ROW()/100000,"")</f>
        <v/>
      </c>
    </row>
    <row r="480" customFormat="false" ht="15" hidden="false" customHeight="false" outlineLevel="0" collapsed="false">
      <c r="A480" s="28"/>
      <c r="B480" s="28"/>
      <c r="C480" s="28"/>
      <c r="D480" s="28"/>
      <c r="E480" s="28"/>
      <c r="F480" s="28"/>
      <c r="G480" s="63"/>
      <c r="H480" s="63"/>
      <c r="I480" s="63"/>
      <c r="J480" s="28"/>
      <c r="K480" s="28"/>
      <c r="L480" s="28"/>
      <c r="M480" s="28"/>
      <c r="N480" s="28"/>
      <c r="O480" s="64"/>
      <c r="P480" s="64"/>
      <c r="Q480" s="64"/>
      <c r="R480" s="28"/>
      <c r="S480" s="63"/>
      <c r="T480" s="64"/>
      <c r="U480" s="63"/>
      <c r="V480" s="64"/>
      <c r="W480" s="28"/>
      <c r="X480" s="65" t="str">
        <f aca="false">IF($A480="","",IF(OR($T480&lt;&gt;"",$U480&lt;&gt;""),"Closed",IFERROR(INDEX(MapStage,MATCH($C480,MapStatus,0)),"Unmapped")))</f>
        <v/>
      </c>
      <c r="Y480" s="65" t="str">
        <f aca="false">IF(OR($X480="",$X480="Closed",$X480="Unmapped"),"",MATCH($X480,StageName,0))</f>
        <v/>
      </c>
      <c r="Z480" s="65" t="str">
        <f aca="false">IF(OR($Y480="",$I480=""),"",$I480-AsOf)</f>
        <v/>
      </c>
      <c r="AA480" s="65" t="str">
        <f aca="false">IF($A480="","",AsOf-$H480)</f>
        <v/>
      </c>
      <c r="AB480" s="65" t="str">
        <f aca="false">IF($A480="","",IF($X480="Closed","Closed",IF($X480="Unmapped","Unmapped",IF($I480="","No target",IF($Z480&lt;0,"Overdue",IF($Z480&lt;=INDEX(StageWindow,$Y480),"At risk","On track"))))))</f>
        <v/>
      </c>
      <c r="AC480" s="65" t="str">
        <f aca="false">IF($Y480="","",IF($AA480&gt;2*INDEX(StageStale,$Y480),"Stale",IF($AA480&gt;INDEX(StageStale,$Y480),"Aging","Fresh")))</f>
        <v/>
      </c>
      <c r="AD480" s="65" t="str">
        <f aca="false">IF($A480="","",IF(OR(ISNUMBER(SEARCH("Reg report",$J480)),ISNUMBER(SEARCH("No human review",$J480)),COUNTIF(TierFuncs,$D480)&gt;0),"High",IF(OR(TRIM($J480)&lt;&gt;"",ISNUMBER(SEARCH("revenue",$K480))),"Medium","Low")))</f>
        <v/>
      </c>
      <c r="AE480" s="65" t="str">
        <f aca="false">IF($A480="","",INDEX(TierDays,MATCH($AD480,TierName,0)))</f>
        <v/>
      </c>
      <c r="AF480" s="65" t="str">
        <f aca="false">IF($A480="","",AsOf-$G480)</f>
        <v/>
      </c>
      <c r="AG480" s="65" t="str">
        <f aca="false">IF($Y480="","",IF($Y480&lt;=5,IF($AF480&gt;$AE480,"Over","Inside"),"Past approval"))</f>
        <v/>
      </c>
      <c r="AH480" s="65" t="str">
        <f aca="false">IF($Y480="","",CHOOSE($Y480,IF(OR(TRIM($F480)="",ISNUMBER(SEARCH("not named",$F480))),"Critical","Good"),IF($O480&lt;&gt;"Y","Critical",IF($Q480&lt;&gt;"Y","Warning","Good")),IF($P480="","Critical",IF($P480="partial","Warning",IF($P480="ready","Good","Critical"))),IF($R480&lt;&gt;"","Critical","Warning"),IF($L480="","Critical",IF($N480="","Warning","Good")),IF($R480&lt;&gt;"","Critical","Warning"),IF($R480&lt;&gt;"","Critical","Warning"),IF($Q480="Y","Good","Critical")))</f>
        <v/>
      </c>
      <c r="AI480" s="65" t="str">
        <f aca="false">IF($Y480="","",CHOOSE($Y480,IF(OR(TRIM($F480)="",ISNUMBER(SEARCH("not named",$F480))),"Name a sponsor accountable for the value",""),IF($O480&lt;&gt;"Y","State the success metric and the stop condition",IF($Q480&lt;&gt;"Y","Set the baseline the benefit will be measured against","")),IF($P480="","Assess data readiness and regulatory impact",IF($P480="partial","Close the known data gaps",IF($P480="ready","","Data is not available; reshape or park"))),IF($R480&lt;&gt;"",IF(OR(ISNUMBER(SEARCH("mrm",$R480)),ISNUMBER(SEARCH("model",$R480)),ISNUMBER(SEARCH("risk",$R480)),ISNUMBER(SEARCH("legal",$R480)),ISNUMBER(SEARCH("complian",$R480))),"Awaiting ","Held at the design gate: ")&amp;$R480,"Map the governance framework for its tier"),IF($L480="","Size the annual benefit",IF($N480="","Score it so it can be ranked against capacity","")),IF($R480&lt;&gt;"","Build held: "&amp;$R480,"In build, not yet through test"),IF($R480&lt;&gt;"","Not ready to scale: "&amp;$R480,"Monitoring and third-party review not yet signed off"),IF($Q480="Y","","Live without a measured baseline to judge it against")))</f>
        <v/>
      </c>
      <c r="AJ480" s="65" t="str">
        <f aca="false">IF($Y480="","",INDEX(StageForum,$Y480))</f>
        <v/>
      </c>
      <c r="AK480" s="65" t="str">
        <f aca="false">IF($Y480="","",IF(OR($X480="Delivery",$X480="Value"),"Committed",IF($N480&lt;&gt;"","Candidate","")))</f>
        <v/>
      </c>
      <c r="AL480" s="65" t="str">
        <f aca="false">IF($AK480&lt;&gt;"Candidate","",COUNTIFS($AK$2:$AK$501,"Candidate",$N$2:$N$501,"&gt;"&amp;$N480)+COUNTIFS($AK$2:$AK$501,"Candidate",$N$2:$N$501,$N480,$A$2:$A$501,"&lt;"&amp;$A480)+1)</f>
        <v/>
      </c>
      <c r="AM480" s="65" t="str">
        <f aca="false">IF($AL480="","",SUMIFS($M$2:$M$501,$AK$2:$AK$501,"Candidate",$AL$2:$AL$501,"&lt;="&amp;$AL480))</f>
        <v/>
      </c>
      <c r="AN480" s="65" t="str">
        <f aca="false">IF($AL480="","",IF($AM480&lt;=CapacityOpen,"Fits","Below line"))</f>
        <v/>
      </c>
      <c r="AO480" s="65" t="str">
        <f aca="false">IF($A480="","",IF($X480="Closed","",IF($X480="Unmapped","Warning",IF(OR($AB480="Overdue",$V480="Y",$AH480="Critical"),"Critical",IF(OR($AB480="At risk",$AC480="Stale",$AG480="Over"),"Warning","")))))</f>
        <v/>
      </c>
      <c r="AP480" s="65" t="str">
        <f aca="false">IF($AO480="","",IF($AO480="Critical",3000,2000)-IF($Z480="",0,$Z480)+ROW()/100000)</f>
        <v/>
      </c>
      <c r="AQ480" s="65" t="str">
        <f aca="false">IF($AO480="","",IF($X480="Unmapped","Status '"&amp;$C480&amp;"' is not in the Config map",IF($V480="Y","Flagged in Jira",IF($AB480="Overdue",-$Z480&amp;" days past its "&amp;$X480&amp;" target",IF($AH480="Critical",$AI480,IF($AB480="At risk","Target in "&amp;$Z480&amp;" days",IF($AC480="Stale","No update in "&amp;$AA480&amp;" days","Past its "&amp;$AE480&amp;"-day tier window")))))))</f>
        <v/>
      </c>
      <c r="AR480" s="65" t="str">
        <f aca="false">IF($AO480="","","draft Jira update for "&amp;$A480)</f>
        <v/>
      </c>
      <c r="AS480" s="65" t="str">
        <f aca="false">IF($A480="","",HYPERLINK(JiraSite&amp;"/browse/"&amp;$A480,"open"))</f>
        <v/>
      </c>
      <c r="AT480" s="65" t="str">
        <f aca="false">IF($Y480="","",$Y480*1000+ROW())</f>
        <v/>
      </c>
      <c r="AU480" s="65" t="str">
        <f aca="false">IF(AND($A480&lt;&gt;"",$G480&gt;=WeekStart),$G480+ROW()/100000,"")</f>
        <v/>
      </c>
      <c r="AV480" s="65" t="str">
        <f aca="false">IF($A480="","",IF(OR(AND($S480&lt;&gt;"",$S480&gt;=WeekStart),AND($U480&lt;&gt;"",$U480&gt;=WeekStart)),MAX($S480,$U480)+ROW()/100000,""))</f>
        <v/>
      </c>
      <c r="AW480" s="65" t="str">
        <f aca="false">IF($AV480="","",IF($T480&lt;&gt;"",$T480,IF($X480="Closed","Closed","Accepted to "&amp;$X480)))</f>
        <v/>
      </c>
      <c r="AX480" s="65" t="str">
        <f aca="false">IF(AND($Y480&lt;&gt;"",$R480&lt;&gt;""),$AF480+ROW()/100000,"")</f>
        <v/>
      </c>
      <c r="AY480" s="65" t="str">
        <f aca="false">IF(AND($Y480&lt;&gt;"",OR($AB480="Overdue",AND($AH480="Critical",$R480&lt;&gt;""))),$AF480+ROW()/100000,"")</f>
        <v/>
      </c>
      <c r="AZ480" s="65" t="str">
        <f aca="false">IF($AH480="Critical",$AF480+ROW()/100000,"")</f>
        <v/>
      </c>
    </row>
    <row r="481" customFormat="false" ht="15" hidden="false" customHeight="false" outlineLevel="0" collapsed="false">
      <c r="A481" s="28"/>
      <c r="B481" s="28"/>
      <c r="C481" s="28"/>
      <c r="D481" s="28"/>
      <c r="E481" s="28"/>
      <c r="F481" s="28"/>
      <c r="G481" s="63"/>
      <c r="H481" s="63"/>
      <c r="I481" s="63"/>
      <c r="J481" s="28"/>
      <c r="K481" s="28"/>
      <c r="L481" s="28"/>
      <c r="M481" s="28"/>
      <c r="N481" s="28"/>
      <c r="O481" s="64"/>
      <c r="P481" s="64"/>
      <c r="Q481" s="64"/>
      <c r="R481" s="28"/>
      <c r="S481" s="63"/>
      <c r="T481" s="64"/>
      <c r="U481" s="63"/>
      <c r="V481" s="64"/>
      <c r="W481" s="28"/>
      <c r="X481" s="65" t="str">
        <f aca="false">IF($A481="","",IF(OR($T481&lt;&gt;"",$U481&lt;&gt;""),"Closed",IFERROR(INDEX(MapStage,MATCH($C481,MapStatus,0)),"Unmapped")))</f>
        <v/>
      </c>
      <c r="Y481" s="65" t="str">
        <f aca="false">IF(OR($X481="",$X481="Closed",$X481="Unmapped"),"",MATCH($X481,StageName,0))</f>
        <v/>
      </c>
      <c r="Z481" s="65" t="str">
        <f aca="false">IF(OR($Y481="",$I481=""),"",$I481-AsOf)</f>
        <v/>
      </c>
      <c r="AA481" s="65" t="str">
        <f aca="false">IF($A481="","",AsOf-$H481)</f>
        <v/>
      </c>
      <c r="AB481" s="65" t="str">
        <f aca="false">IF($A481="","",IF($X481="Closed","Closed",IF($X481="Unmapped","Unmapped",IF($I481="","No target",IF($Z481&lt;0,"Overdue",IF($Z481&lt;=INDEX(StageWindow,$Y481),"At risk","On track"))))))</f>
        <v/>
      </c>
      <c r="AC481" s="65" t="str">
        <f aca="false">IF($Y481="","",IF($AA481&gt;2*INDEX(StageStale,$Y481),"Stale",IF($AA481&gt;INDEX(StageStale,$Y481),"Aging","Fresh")))</f>
        <v/>
      </c>
      <c r="AD481" s="65" t="str">
        <f aca="false">IF($A481="","",IF(OR(ISNUMBER(SEARCH("Reg report",$J481)),ISNUMBER(SEARCH("No human review",$J481)),COUNTIF(TierFuncs,$D481)&gt;0),"High",IF(OR(TRIM($J481)&lt;&gt;"",ISNUMBER(SEARCH("revenue",$K481))),"Medium","Low")))</f>
        <v/>
      </c>
      <c r="AE481" s="65" t="str">
        <f aca="false">IF($A481="","",INDEX(TierDays,MATCH($AD481,TierName,0)))</f>
        <v/>
      </c>
      <c r="AF481" s="65" t="str">
        <f aca="false">IF($A481="","",AsOf-$G481)</f>
        <v/>
      </c>
      <c r="AG481" s="65" t="str">
        <f aca="false">IF($Y481="","",IF($Y481&lt;=5,IF($AF481&gt;$AE481,"Over","Inside"),"Past approval"))</f>
        <v/>
      </c>
      <c r="AH481" s="65" t="str">
        <f aca="false">IF($Y481="","",CHOOSE($Y481,IF(OR(TRIM($F481)="",ISNUMBER(SEARCH("not named",$F481))),"Critical","Good"),IF($O481&lt;&gt;"Y","Critical",IF($Q481&lt;&gt;"Y","Warning","Good")),IF($P481="","Critical",IF($P481="partial","Warning",IF($P481="ready","Good","Critical"))),IF($R481&lt;&gt;"","Critical","Warning"),IF($L481="","Critical",IF($N481="","Warning","Good")),IF($R481&lt;&gt;"","Critical","Warning"),IF($R481&lt;&gt;"","Critical","Warning"),IF($Q481="Y","Good","Critical")))</f>
        <v/>
      </c>
      <c r="AI481" s="65" t="str">
        <f aca="false">IF($Y481="","",CHOOSE($Y481,IF(OR(TRIM($F481)="",ISNUMBER(SEARCH("not named",$F481))),"Name a sponsor accountable for the value",""),IF($O481&lt;&gt;"Y","State the success metric and the stop condition",IF($Q481&lt;&gt;"Y","Set the baseline the benefit will be measured against","")),IF($P481="","Assess data readiness and regulatory impact",IF($P481="partial","Close the known data gaps",IF($P481="ready","","Data is not available; reshape or park"))),IF($R481&lt;&gt;"",IF(OR(ISNUMBER(SEARCH("mrm",$R481)),ISNUMBER(SEARCH("model",$R481)),ISNUMBER(SEARCH("risk",$R481)),ISNUMBER(SEARCH("legal",$R481)),ISNUMBER(SEARCH("complian",$R481))),"Awaiting ","Held at the design gate: ")&amp;$R481,"Map the governance framework for its tier"),IF($L481="","Size the annual benefit",IF($N481="","Score it so it can be ranked against capacity","")),IF($R481&lt;&gt;"","Build held: "&amp;$R481,"In build, not yet through test"),IF($R481&lt;&gt;"","Not ready to scale: "&amp;$R481,"Monitoring and third-party review not yet signed off"),IF($Q481="Y","","Live without a measured baseline to judge it against")))</f>
        <v/>
      </c>
      <c r="AJ481" s="65" t="str">
        <f aca="false">IF($Y481="","",INDEX(StageForum,$Y481))</f>
        <v/>
      </c>
      <c r="AK481" s="65" t="str">
        <f aca="false">IF($Y481="","",IF(OR($X481="Delivery",$X481="Value"),"Committed",IF($N481&lt;&gt;"","Candidate","")))</f>
        <v/>
      </c>
      <c r="AL481" s="65" t="str">
        <f aca="false">IF($AK481&lt;&gt;"Candidate","",COUNTIFS($AK$2:$AK$501,"Candidate",$N$2:$N$501,"&gt;"&amp;$N481)+COUNTIFS($AK$2:$AK$501,"Candidate",$N$2:$N$501,$N481,$A$2:$A$501,"&lt;"&amp;$A481)+1)</f>
        <v/>
      </c>
      <c r="AM481" s="65" t="str">
        <f aca="false">IF($AL481="","",SUMIFS($M$2:$M$501,$AK$2:$AK$501,"Candidate",$AL$2:$AL$501,"&lt;="&amp;$AL481))</f>
        <v/>
      </c>
      <c r="AN481" s="65" t="str">
        <f aca="false">IF($AL481="","",IF($AM481&lt;=CapacityOpen,"Fits","Below line"))</f>
        <v/>
      </c>
      <c r="AO481" s="65" t="str">
        <f aca="false">IF($A481="","",IF($X481="Closed","",IF($X481="Unmapped","Warning",IF(OR($AB481="Overdue",$V481="Y",$AH481="Critical"),"Critical",IF(OR($AB481="At risk",$AC481="Stale",$AG481="Over"),"Warning","")))))</f>
        <v/>
      </c>
      <c r="AP481" s="65" t="str">
        <f aca="false">IF($AO481="","",IF($AO481="Critical",3000,2000)-IF($Z481="",0,$Z481)+ROW()/100000)</f>
        <v/>
      </c>
      <c r="AQ481" s="65" t="str">
        <f aca="false">IF($AO481="","",IF($X481="Unmapped","Status '"&amp;$C481&amp;"' is not in the Config map",IF($V481="Y","Flagged in Jira",IF($AB481="Overdue",-$Z481&amp;" days past its "&amp;$X481&amp;" target",IF($AH481="Critical",$AI481,IF($AB481="At risk","Target in "&amp;$Z481&amp;" days",IF($AC481="Stale","No update in "&amp;$AA481&amp;" days","Past its "&amp;$AE481&amp;"-day tier window")))))))</f>
        <v/>
      </c>
      <c r="AR481" s="65" t="str">
        <f aca="false">IF($AO481="","","draft Jira update for "&amp;$A481)</f>
        <v/>
      </c>
      <c r="AS481" s="65" t="str">
        <f aca="false">IF($A481="","",HYPERLINK(JiraSite&amp;"/browse/"&amp;$A481,"open"))</f>
        <v/>
      </c>
      <c r="AT481" s="65" t="str">
        <f aca="false">IF($Y481="","",$Y481*1000+ROW())</f>
        <v/>
      </c>
      <c r="AU481" s="65" t="str">
        <f aca="false">IF(AND($A481&lt;&gt;"",$G481&gt;=WeekStart),$G481+ROW()/100000,"")</f>
        <v/>
      </c>
      <c r="AV481" s="65" t="str">
        <f aca="false">IF($A481="","",IF(OR(AND($S481&lt;&gt;"",$S481&gt;=WeekStart),AND($U481&lt;&gt;"",$U481&gt;=WeekStart)),MAX($S481,$U481)+ROW()/100000,""))</f>
        <v/>
      </c>
      <c r="AW481" s="65" t="str">
        <f aca="false">IF($AV481="","",IF($T481&lt;&gt;"",$T481,IF($X481="Closed","Closed","Accepted to "&amp;$X481)))</f>
        <v/>
      </c>
      <c r="AX481" s="65" t="str">
        <f aca="false">IF(AND($Y481&lt;&gt;"",$R481&lt;&gt;""),$AF481+ROW()/100000,"")</f>
        <v/>
      </c>
      <c r="AY481" s="65" t="str">
        <f aca="false">IF(AND($Y481&lt;&gt;"",OR($AB481="Overdue",AND($AH481="Critical",$R481&lt;&gt;""))),$AF481+ROW()/100000,"")</f>
        <v/>
      </c>
      <c r="AZ481" s="65" t="str">
        <f aca="false">IF($AH481="Critical",$AF481+ROW()/100000,"")</f>
        <v/>
      </c>
    </row>
    <row r="482" customFormat="false" ht="15" hidden="false" customHeight="false" outlineLevel="0" collapsed="false">
      <c r="A482" s="28"/>
      <c r="B482" s="28"/>
      <c r="C482" s="28"/>
      <c r="D482" s="28"/>
      <c r="E482" s="28"/>
      <c r="F482" s="28"/>
      <c r="G482" s="63"/>
      <c r="H482" s="63"/>
      <c r="I482" s="63"/>
      <c r="J482" s="28"/>
      <c r="K482" s="28"/>
      <c r="L482" s="28"/>
      <c r="M482" s="28"/>
      <c r="N482" s="28"/>
      <c r="O482" s="64"/>
      <c r="P482" s="64"/>
      <c r="Q482" s="64"/>
      <c r="R482" s="28"/>
      <c r="S482" s="63"/>
      <c r="T482" s="64"/>
      <c r="U482" s="63"/>
      <c r="V482" s="64"/>
      <c r="W482" s="28"/>
      <c r="X482" s="65" t="str">
        <f aca="false">IF($A482="","",IF(OR($T482&lt;&gt;"",$U482&lt;&gt;""),"Closed",IFERROR(INDEX(MapStage,MATCH($C482,MapStatus,0)),"Unmapped")))</f>
        <v/>
      </c>
      <c r="Y482" s="65" t="str">
        <f aca="false">IF(OR($X482="",$X482="Closed",$X482="Unmapped"),"",MATCH($X482,StageName,0))</f>
        <v/>
      </c>
      <c r="Z482" s="65" t="str">
        <f aca="false">IF(OR($Y482="",$I482=""),"",$I482-AsOf)</f>
        <v/>
      </c>
      <c r="AA482" s="65" t="str">
        <f aca="false">IF($A482="","",AsOf-$H482)</f>
        <v/>
      </c>
      <c r="AB482" s="65" t="str">
        <f aca="false">IF($A482="","",IF($X482="Closed","Closed",IF($X482="Unmapped","Unmapped",IF($I482="","No target",IF($Z482&lt;0,"Overdue",IF($Z482&lt;=INDEX(StageWindow,$Y482),"At risk","On track"))))))</f>
        <v/>
      </c>
      <c r="AC482" s="65" t="str">
        <f aca="false">IF($Y482="","",IF($AA482&gt;2*INDEX(StageStale,$Y482),"Stale",IF($AA482&gt;INDEX(StageStale,$Y482),"Aging","Fresh")))</f>
        <v/>
      </c>
      <c r="AD482" s="65" t="str">
        <f aca="false">IF($A482="","",IF(OR(ISNUMBER(SEARCH("Reg report",$J482)),ISNUMBER(SEARCH("No human review",$J482)),COUNTIF(TierFuncs,$D482)&gt;0),"High",IF(OR(TRIM($J482)&lt;&gt;"",ISNUMBER(SEARCH("revenue",$K482))),"Medium","Low")))</f>
        <v/>
      </c>
      <c r="AE482" s="65" t="str">
        <f aca="false">IF($A482="","",INDEX(TierDays,MATCH($AD482,TierName,0)))</f>
        <v/>
      </c>
      <c r="AF482" s="65" t="str">
        <f aca="false">IF($A482="","",AsOf-$G482)</f>
        <v/>
      </c>
      <c r="AG482" s="65" t="str">
        <f aca="false">IF($Y482="","",IF($Y482&lt;=5,IF($AF482&gt;$AE482,"Over","Inside"),"Past approval"))</f>
        <v/>
      </c>
      <c r="AH482" s="65" t="str">
        <f aca="false">IF($Y482="","",CHOOSE($Y482,IF(OR(TRIM($F482)="",ISNUMBER(SEARCH("not named",$F482))),"Critical","Good"),IF($O482&lt;&gt;"Y","Critical",IF($Q482&lt;&gt;"Y","Warning","Good")),IF($P482="","Critical",IF($P482="partial","Warning",IF($P482="ready","Good","Critical"))),IF($R482&lt;&gt;"","Critical","Warning"),IF($L482="","Critical",IF($N482="","Warning","Good")),IF($R482&lt;&gt;"","Critical","Warning"),IF($R482&lt;&gt;"","Critical","Warning"),IF($Q482="Y","Good","Critical")))</f>
        <v/>
      </c>
      <c r="AI482" s="65" t="str">
        <f aca="false">IF($Y482="","",CHOOSE($Y482,IF(OR(TRIM($F482)="",ISNUMBER(SEARCH("not named",$F482))),"Name a sponsor accountable for the value",""),IF($O482&lt;&gt;"Y","State the success metric and the stop condition",IF($Q482&lt;&gt;"Y","Set the baseline the benefit will be measured against","")),IF($P482="","Assess data readiness and regulatory impact",IF($P482="partial","Close the known data gaps",IF($P482="ready","","Data is not available; reshape or park"))),IF($R482&lt;&gt;"",IF(OR(ISNUMBER(SEARCH("mrm",$R482)),ISNUMBER(SEARCH("model",$R482)),ISNUMBER(SEARCH("risk",$R482)),ISNUMBER(SEARCH("legal",$R482)),ISNUMBER(SEARCH("complian",$R482))),"Awaiting ","Held at the design gate: ")&amp;$R482,"Map the governance framework for its tier"),IF($L482="","Size the annual benefit",IF($N482="","Score it so it can be ranked against capacity","")),IF($R482&lt;&gt;"","Build held: "&amp;$R482,"In build, not yet through test"),IF($R482&lt;&gt;"","Not ready to scale: "&amp;$R482,"Monitoring and third-party review not yet signed off"),IF($Q482="Y","","Live without a measured baseline to judge it against")))</f>
        <v/>
      </c>
      <c r="AJ482" s="65" t="str">
        <f aca="false">IF($Y482="","",INDEX(StageForum,$Y482))</f>
        <v/>
      </c>
      <c r="AK482" s="65" t="str">
        <f aca="false">IF($Y482="","",IF(OR($X482="Delivery",$X482="Value"),"Committed",IF($N482&lt;&gt;"","Candidate","")))</f>
        <v/>
      </c>
      <c r="AL482" s="65" t="str">
        <f aca="false">IF($AK482&lt;&gt;"Candidate","",COUNTIFS($AK$2:$AK$501,"Candidate",$N$2:$N$501,"&gt;"&amp;$N482)+COUNTIFS($AK$2:$AK$501,"Candidate",$N$2:$N$501,$N482,$A$2:$A$501,"&lt;"&amp;$A482)+1)</f>
        <v/>
      </c>
      <c r="AM482" s="65" t="str">
        <f aca="false">IF($AL482="","",SUMIFS($M$2:$M$501,$AK$2:$AK$501,"Candidate",$AL$2:$AL$501,"&lt;="&amp;$AL482))</f>
        <v/>
      </c>
      <c r="AN482" s="65" t="str">
        <f aca="false">IF($AL482="","",IF($AM482&lt;=CapacityOpen,"Fits","Below line"))</f>
        <v/>
      </c>
      <c r="AO482" s="65" t="str">
        <f aca="false">IF($A482="","",IF($X482="Closed","",IF($X482="Unmapped","Warning",IF(OR($AB482="Overdue",$V482="Y",$AH482="Critical"),"Critical",IF(OR($AB482="At risk",$AC482="Stale",$AG482="Over"),"Warning","")))))</f>
        <v/>
      </c>
      <c r="AP482" s="65" t="str">
        <f aca="false">IF($AO482="","",IF($AO482="Critical",3000,2000)-IF($Z482="",0,$Z482)+ROW()/100000)</f>
        <v/>
      </c>
      <c r="AQ482" s="65" t="str">
        <f aca="false">IF($AO482="","",IF($X482="Unmapped","Status '"&amp;$C482&amp;"' is not in the Config map",IF($V482="Y","Flagged in Jira",IF($AB482="Overdue",-$Z482&amp;" days past its "&amp;$X482&amp;" target",IF($AH482="Critical",$AI482,IF($AB482="At risk","Target in "&amp;$Z482&amp;" days",IF($AC482="Stale","No update in "&amp;$AA482&amp;" days","Past its "&amp;$AE482&amp;"-day tier window")))))))</f>
        <v/>
      </c>
      <c r="AR482" s="65" t="str">
        <f aca="false">IF($AO482="","","draft Jira update for "&amp;$A482)</f>
        <v/>
      </c>
      <c r="AS482" s="65" t="str">
        <f aca="false">IF($A482="","",HYPERLINK(JiraSite&amp;"/browse/"&amp;$A482,"open"))</f>
        <v/>
      </c>
      <c r="AT482" s="65" t="str">
        <f aca="false">IF($Y482="","",$Y482*1000+ROW())</f>
        <v/>
      </c>
      <c r="AU482" s="65" t="str">
        <f aca="false">IF(AND($A482&lt;&gt;"",$G482&gt;=WeekStart),$G482+ROW()/100000,"")</f>
        <v/>
      </c>
      <c r="AV482" s="65" t="str">
        <f aca="false">IF($A482="","",IF(OR(AND($S482&lt;&gt;"",$S482&gt;=WeekStart),AND($U482&lt;&gt;"",$U482&gt;=WeekStart)),MAX($S482,$U482)+ROW()/100000,""))</f>
        <v/>
      </c>
      <c r="AW482" s="65" t="str">
        <f aca="false">IF($AV482="","",IF($T482&lt;&gt;"",$T482,IF($X482="Closed","Closed","Accepted to "&amp;$X482)))</f>
        <v/>
      </c>
      <c r="AX482" s="65" t="str">
        <f aca="false">IF(AND($Y482&lt;&gt;"",$R482&lt;&gt;""),$AF482+ROW()/100000,"")</f>
        <v/>
      </c>
      <c r="AY482" s="65" t="str">
        <f aca="false">IF(AND($Y482&lt;&gt;"",OR($AB482="Overdue",AND($AH482="Critical",$R482&lt;&gt;""))),$AF482+ROW()/100000,"")</f>
        <v/>
      </c>
      <c r="AZ482" s="65" t="str">
        <f aca="false">IF($AH482="Critical",$AF482+ROW()/100000,"")</f>
        <v/>
      </c>
    </row>
    <row r="483" customFormat="false" ht="15" hidden="false" customHeight="false" outlineLevel="0" collapsed="false">
      <c r="A483" s="28"/>
      <c r="B483" s="28"/>
      <c r="C483" s="28"/>
      <c r="D483" s="28"/>
      <c r="E483" s="28"/>
      <c r="F483" s="28"/>
      <c r="G483" s="63"/>
      <c r="H483" s="63"/>
      <c r="I483" s="63"/>
      <c r="J483" s="28"/>
      <c r="K483" s="28"/>
      <c r="L483" s="28"/>
      <c r="M483" s="28"/>
      <c r="N483" s="28"/>
      <c r="O483" s="64"/>
      <c r="P483" s="64"/>
      <c r="Q483" s="64"/>
      <c r="R483" s="28"/>
      <c r="S483" s="63"/>
      <c r="T483" s="64"/>
      <c r="U483" s="63"/>
      <c r="V483" s="64"/>
      <c r="W483" s="28"/>
      <c r="X483" s="65" t="str">
        <f aca="false">IF($A483="","",IF(OR($T483&lt;&gt;"",$U483&lt;&gt;""),"Closed",IFERROR(INDEX(MapStage,MATCH($C483,MapStatus,0)),"Unmapped")))</f>
        <v/>
      </c>
      <c r="Y483" s="65" t="str">
        <f aca="false">IF(OR($X483="",$X483="Closed",$X483="Unmapped"),"",MATCH($X483,StageName,0))</f>
        <v/>
      </c>
      <c r="Z483" s="65" t="str">
        <f aca="false">IF(OR($Y483="",$I483=""),"",$I483-AsOf)</f>
        <v/>
      </c>
      <c r="AA483" s="65" t="str">
        <f aca="false">IF($A483="","",AsOf-$H483)</f>
        <v/>
      </c>
      <c r="AB483" s="65" t="str">
        <f aca="false">IF($A483="","",IF($X483="Closed","Closed",IF($X483="Unmapped","Unmapped",IF($I483="","No target",IF($Z483&lt;0,"Overdue",IF($Z483&lt;=INDEX(StageWindow,$Y483),"At risk","On track"))))))</f>
        <v/>
      </c>
      <c r="AC483" s="65" t="str">
        <f aca="false">IF($Y483="","",IF($AA483&gt;2*INDEX(StageStale,$Y483),"Stale",IF($AA483&gt;INDEX(StageStale,$Y483),"Aging","Fresh")))</f>
        <v/>
      </c>
      <c r="AD483" s="65" t="str">
        <f aca="false">IF($A483="","",IF(OR(ISNUMBER(SEARCH("Reg report",$J483)),ISNUMBER(SEARCH("No human review",$J483)),COUNTIF(TierFuncs,$D483)&gt;0),"High",IF(OR(TRIM($J483)&lt;&gt;"",ISNUMBER(SEARCH("revenue",$K483))),"Medium","Low")))</f>
        <v/>
      </c>
      <c r="AE483" s="65" t="str">
        <f aca="false">IF($A483="","",INDEX(TierDays,MATCH($AD483,TierName,0)))</f>
        <v/>
      </c>
      <c r="AF483" s="65" t="str">
        <f aca="false">IF($A483="","",AsOf-$G483)</f>
        <v/>
      </c>
      <c r="AG483" s="65" t="str">
        <f aca="false">IF($Y483="","",IF($Y483&lt;=5,IF($AF483&gt;$AE483,"Over","Inside"),"Past approval"))</f>
        <v/>
      </c>
      <c r="AH483" s="65" t="str">
        <f aca="false">IF($Y483="","",CHOOSE($Y483,IF(OR(TRIM($F483)="",ISNUMBER(SEARCH("not named",$F483))),"Critical","Good"),IF($O483&lt;&gt;"Y","Critical",IF($Q483&lt;&gt;"Y","Warning","Good")),IF($P483="","Critical",IF($P483="partial","Warning",IF($P483="ready","Good","Critical"))),IF($R483&lt;&gt;"","Critical","Warning"),IF($L483="","Critical",IF($N483="","Warning","Good")),IF($R483&lt;&gt;"","Critical","Warning"),IF($R483&lt;&gt;"","Critical","Warning"),IF($Q483="Y","Good","Critical")))</f>
        <v/>
      </c>
      <c r="AI483" s="65" t="str">
        <f aca="false">IF($Y483="","",CHOOSE($Y483,IF(OR(TRIM($F483)="",ISNUMBER(SEARCH("not named",$F483))),"Name a sponsor accountable for the value",""),IF($O483&lt;&gt;"Y","State the success metric and the stop condition",IF($Q483&lt;&gt;"Y","Set the baseline the benefit will be measured against","")),IF($P483="","Assess data readiness and regulatory impact",IF($P483="partial","Close the known data gaps",IF($P483="ready","","Data is not available; reshape or park"))),IF($R483&lt;&gt;"",IF(OR(ISNUMBER(SEARCH("mrm",$R483)),ISNUMBER(SEARCH("model",$R483)),ISNUMBER(SEARCH("risk",$R483)),ISNUMBER(SEARCH("legal",$R483)),ISNUMBER(SEARCH("complian",$R483))),"Awaiting ","Held at the design gate: ")&amp;$R483,"Map the governance framework for its tier"),IF($L483="","Size the annual benefit",IF($N483="","Score it so it can be ranked against capacity","")),IF($R483&lt;&gt;"","Build held: "&amp;$R483,"In build, not yet through test"),IF($R483&lt;&gt;"","Not ready to scale: "&amp;$R483,"Monitoring and third-party review not yet signed off"),IF($Q483="Y","","Live without a measured baseline to judge it against")))</f>
        <v/>
      </c>
      <c r="AJ483" s="65" t="str">
        <f aca="false">IF($Y483="","",INDEX(StageForum,$Y483))</f>
        <v/>
      </c>
      <c r="AK483" s="65" t="str">
        <f aca="false">IF($Y483="","",IF(OR($X483="Delivery",$X483="Value"),"Committed",IF($N483&lt;&gt;"","Candidate","")))</f>
        <v/>
      </c>
      <c r="AL483" s="65" t="str">
        <f aca="false">IF($AK483&lt;&gt;"Candidate","",COUNTIFS($AK$2:$AK$501,"Candidate",$N$2:$N$501,"&gt;"&amp;$N483)+COUNTIFS($AK$2:$AK$501,"Candidate",$N$2:$N$501,$N483,$A$2:$A$501,"&lt;"&amp;$A483)+1)</f>
        <v/>
      </c>
      <c r="AM483" s="65" t="str">
        <f aca="false">IF($AL483="","",SUMIFS($M$2:$M$501,$AK$2:$AK$501,"Candidate",$AL$2:$AL$501,"&lt;="&amp;$AL483))</f>
        <v/>
      </c>
      <c r="AN483" s="65" t="str">
        <f aca="false">IF($AL483="","",IF($AM483&lt;=CapacityOpen,"Fits","Below line"))</f>
        <v/>
      </c>
      <c r="AO483" s="65" t="str">
        <f aca="false">IF($A483="","",IF($X483="Closed","",IF($X483="Unmapped","Warning",IF(OR($AB483="Overdue",$V483="Y",$AH483="Critical"),"Critical",IF(OR($AB483="At risk",$AC483="Stale",$AG483="Over"),"Warning","")))))</f>
        <v/>
      </c>
      <c r="AP483" s="65" t="str">
        <f aca="false">IF($AO483="","",IF($AO483="Critical",3000,2000)-IF($Z483="",0,$Z483)+ROW()/100000)</f>
        <v/>
      </c>
      <c r="AQ483" s="65" t="str">
        <f aca="false">IF($AO483="","",IF($X483="Unmapped","Status '"&amp;$C483&amp;"' is not in the Config map",IF($V483="Y","Flagged in Jira",IF($AB483="Overdue",-$Z483&amp;" days past its "&amp;$X483&amp;" target",IF($AH483="Critical",$AI483,IF($AB483="At risk","Target in "&amp;$Z483&amp;" days",IF($AC483="Stale","No update in "&amp;$AA483&amp;" days","Past its "&amp;$AE483&amp;"-day tier window")))))))</f>
        <v/>
      </c>
      <c r="AR483" s="65" t="str">
        <f aca="false">IF($AO483="","","draft Jira update for "&amp;$A483)</f>
        <v/>
      </c>
      <c r="AS483" s="65" t="str">
        <f aca="false">IF($A483="","",HYPERLINK(JiraSite&amp;"/browse/"&amp;$A483,"open"))</f>
        <v/>
      </c>
      <c r="AT483" s="65" t="str">
        <f aca="false">IF($Y483="","",$Y483*1000+ROW())</f>
        <v/>
      </c>
      <c r="AU483" s="65" t="str">
        <f aca="false">IF(AND($A483&lt;&gt;"",$G483&gt;=WeekStart),$G483+ROW()/100000,"")</f>
        <v/>
      </c>
      <c r="AV483" s="65" t="str">
        <f aca="false">IF($A483="","",IF(OR(AND($S483&lt;&gt;"",$S483&gt;=WeekStart),AND($U483&lt;&gt;"",$U483&gt;=WeekStart)),MAX($S483,$U483)+ROW()/100000,""))</f>
        <v/>
      </c>
      <c r="AW483" s="65" t="str">
        <f aca="false">IF($AV483="","",IF($T483&lt;&gt;"",$T483,IF($X483="Closed","Closed","Accepted to "&amp;$X483)))</f>
        <v/>
      </c>
      <c r="AX483" s="65" t="str">
        <f aca="false">IF(AND($Y483&lt;&gt;"",$R483&lt;&gt;""),$AF483+ROW()/100000,"")</f>
        <v/>
      </c>
      <c r="AY483" s="65" t="str">
        <f aca="false">IF(AND($Y483&lt;&gt;"",OR($AB483="Overdue",AND($AH483="Critical",$R483&lt;&gt;""))),$AF483+ROW()/100000,"")</f>
        <v/>
      </c>
      <c r="AZ483" s="65" t="str">
        <f aca="false">IF($AH483="Critical",$AF483+ROW()/100000,"")</f>
        <v/>
      </c>
    </row>
    <row r="484" customFormat="false" ht="15" hidden="false" customHeight="false" outlineLevel="0" collapsed="false">
      <c r="A484" s="28"/>
      <c r="B484" s="28"/>
      <c r="C484" s="28"/>
      <c r="D484" s="28"/>
      <c r="E484" s="28"/>
      <c r="F484" s="28"/>
      <c r="G484" s="63"/>
      <c r="H484" s="63"/>
      <c r="I484" s="63"/>
      <c r="J484" s="28"/>
      <c r="K484" s="28"/>
      <c r="L484" s="28"/>
      <c r="M484" s="28"/>
      <c r="N484" s="28"/>
      <c r="O484" s="64"/>
      <c r="P484" s="64"/>
      <c r="Q484" s="64"/>
      <c r="R484" s="28"/>
      <c r="S484" s="63"/>
      <c r="T484" s="64"/>
      <c r="U484" s="63"/>
      <c r="V484" s="64"/>
      <c r="W484" s="28"/>
      <c r="X484" s="65" t="str">
        <f aca="false">IF($A484="","",IF(OR($T484&lt;&gt;"",$U484&lt;&gt;""),"Closed",IFERROR(INDEX(MapStage,MATCH($C484,MapStatus,0)),"Unmapped")))</f>
        <v/>
      </c>
      <c r="Y484" s="65" t="str">
        <f aca="false">IF(OR($X484="",$X484="Closed",$X484="Unmapped"),"",MATCH($X484,StageName,0))</f>
        <v/>
      </c>
      <c r="Z484" s="65" t="str">
        <f aca="false">IF(OR($Y484="",$I484=""),"",$I484-AsOf)</f>
        <v/>
      </c>
      <c r="AA484" s="65" t="str">
        <f aca="false">IF($A484="","",AsOf-$H484)</f>
        <v/>
      </c>
      <c r="AB484" s="65" t="str">
        <f aca="false">IF($A484="","",IF($X484="Closed","Closed",IF($X484="Unmapped","Unmapped",IF($I484="","No target",IF($Z484&lt;0,"Overdue",IF($Z484&lt;=INDEX(StageWindow,$Y484),"At risk","On track"))))))</f>
        <v/>
      </c>
      <c r="AC484" s="65" t="str">
        <f aca="false">IF($Y484="","",IF($AA484&gt;2*INDEX(StageStale,$Y484),"Stale",IF($AA484&gt;INDEX(StageStale,$Y484),"Aging","Fresh")))</f>
        <v/>
      </c>
      <c r="AD484" s="65" t="str">
        <f aca="false">IF($A484="","",IF(OR(ISNUMBER(SEARCH("Reg report",$J484)),ISNUMBER(SEARCH("No human review",$J484)),COUNTIF(TierFuncs,$D484)&gt;0),"High",IF(OR(TRIM($J484)&lt;&gt;"",ISNUMBER(SEARCH("revenue",$K484))),"Medium","Low")))</f>
        <v/>
      </c>
      <c r="AE484" s="65" t="str">
        <f aca="false">IF($A484="","",INDEX(TierDays,MATCH($AD484,TierName,0)))</f>
        <v/>
      </c>
      <c r="AF484" s="65" t="str">
        <f aca="false">IF($A484="","",AsOf-$G484)</f>
        <v/>
      </c>
      <c r="AG484" s="65" t="str">
        <f aca="false">IF($Y484="","",IF($Y484&lt;=5,IF($AF484&gt;$AE484,"Over","Inside"),"Past approval"))</f>
        <v/>
      </c>
      <c r="AH484" s="65" t="str">
        <f aca="false">IF($Y484="","",CHOOSE($Y484,IF(OR(TRIM($F484)="",ISNUMBER(SEARCH("not named",$F484))),"Critical","Good"),IF($O484&lt;&gt;"Y","Critical",IF($Q484&lt;&gt;"Y","Warning","Good")),IF($P484="","Critical",IF($P484="partial","Warning",IF($P484="ready","Good","Critical"))),IF($R484&lt;&gt;"","Critical","Warning"),IF($L484="","Critical",IF($N484="","Warning","Good")),IF($R484&lt;&gt;"","Critical","Warning"),IF($R484&lt;&gt;"","Critical","Warning"),IF($Q484="Y","Good","Critical")))</f>
        <v/>
      </c>
      <c r="AI484" s="65" t="str">
        <f aca="false">IF($Y484="","",CHOOSE($Y484,IF(OR(TRIM($F484)="",ISNUMBER(SEARCH("not named",$F484))),"Name a sponsor accountable for the value",""),IF($O484&lt;&gt;"Y","State the success metric and the stop condition",IF($Q484&lt;&gt;"Y","Set the baseline the benefit will be measured against","")),IF($P484="","Assess data readiness and regulatory impact",IF($P484="partial","Close the known data gaps",IF($P484="ready","","Data is not available; reshape or park"))),IF($R484&lt;&gt;"",IF(OR(ISNUMBER(SEARCH("mrm",$R484)),ISNUMBER(SEARCH("model",$R484)),ISNUMBER(SEARCH("risk",$R484)),ISNUMBER(SEARCH("legal",$R484)),ISNUMBER(SEARCH("complian",$R484))),"Awaiting ","Held at the design gate: ")&amp;$R484,"Map the governance framework for its tier"),IF($L484="","Size the annual benefit",IF($N484="","Score it so it can be ranked against capacity","")),IF($R484&lt;&gt;"","Build held: "&amp;$R484,"In build, not yet through test"),IF($R484&lt;&gt;"","Not ready to scale: "&amp;$R484,"Monitoring and third-party review not yet signed off"),IF($Q484="Y","","Live without a measured baseline to judge it against")))</f>
        <v/>
      </c>
      <c r="AJ484" s="65" t="str">
        <f aca="false">IF($Y484="","",INDEX(StageForum,$Y484))</f>
        <v/>
      </c>
      <c r="AK484" s="65" t="str">
        <f aca="false">IF($Y484="","",IF(OR($X484="Delivery",$X484="Value"),"Committed",IF($N484&lt;&gt;"","Candidate","")))</f>
        <v/>
      </c>
      <c r="AL484" s="65" t="str">
        <f aca="false">IF($AK484&lt;&gt;"Candidate","",COUNTIFS($AK$2:$AK$501,"Candidate",$N$2:$N$501,"&gt;"&amp;$N484)+COUNTIFS($AK$2:$AK$501,"Candidate",$N$2:$N$501,$N484,$A$2:$A$501,"&lt;"&amp;$A484)+1)</f>
        <v/>
      </c>
      <c r="AM484" s="65" t="str">
        <f aca="false">IF($AL484="","",SUMIFS($M$2:$M$501,$AK$2:$AK$501,"Candidate",$AL$2:$AL$501,"&lt;="&amp;$AL484))</f>
        <v/>
      </c>
      <c r="AN484" s="65" t="str">
        <f aca="false">IF($AL484="","",IF($AM484&lt;=CapacityOpen,"Fits","Below line"))</f>
        <v/>
      </c>
      <c r="AO484" s="65" t="str">
        <f aca="false">IF($A484="","",IF($X484="Closed","",IF($X484="Unmapped","Warning",IF(OR($AB484="Overdue",$V484="Y",$AH484="Critical"),"Critical",IF(OR($AB484="At risk",$AC484="Stale",$AG484="Over"),"Warning","")))))</f>
        <v/>
      </c>
      <c r="AP484" s="65" t="str">
        <f aca="false">IF($AO484="","",IF($AO484="Critical",3000,2000)-IF($Z484="",0,$Z484)+ROW()/100000)</f>
        <v/>
      </c>
      <c r="AQ484" s="65" t="str">
        <f aca="false">IF($AO484="","",IF($X484="Unmapped","Status '"&amp;$C484&amp;"' is not in the Config map",IF($V484="Y","Flagged in Jira",IF($AB484="Overdue",-$Z484&amp;" days past its "&amp;$X484&amp;" target",IF($AH484="Critical",$AI484,IF($AB484="At risk","Target in "&amp;$Z484&amp;" days",IF($AC484="Stale","No update in "&amp;$AA484&amp;" days","Past its "&amp;$AE484&amp;"-day tier window")))))))</f>
        <v/>
      </c>
      <c r="AR484" s="65" t="str">
        <f aca="false">IF($AO484="","","draft Jira update for "&amp;$A484)</f>
        <v/>
      </c>
      <c r="AS484" s="65" t="str">
        <f aca="false">IF($A484="","",HYPERLINK(JiraSite&amp;"/browse/"&amp;$A484,"open"))</f>
        <v/>
      </c>
      <c r="AT484" s="65" t="str">
        <f aca="false">IF($Y484="","",$Y484*1000+ROW())</f>
        <v/>
      </c>
      <c r="AU484" s="65" t="str">
        <f aca="false">IF(AND($A484&lt;&gt;"",$G484&gt;=WeekStart),$G484+ROW()/100000,"")</f>
        <v/>
      </c>
      <c r="AV484" s="65" t="str">
        <f aca="false">IF($A484="","",IF(OR(AND($S484&lt;&gt;"",$S484&gt;=WeekStart),AND($U484&lt;&gt;"",$U484&gt;=WeekStart)),MAX($S484,$U484)+ROW()/100000,""))</f>
        <v/>
      </c>
      <c r="AW484" s="65" t="str">
        <f aca="false">IF($AV484="","",IF($T484&lt;&gt;"",$T484,IF($X484="Closed","Closed","Accepted to "&amp;$X484)))</f>
        <v/>
      </c>
      <c r="AX484" s="65" t="str">
        <f aca="false">IF(AND($Y484&lt;&gt;"",$R484&lt;&gt;""),$AF484+ROW()/100000,"")</f>
        <v/>
      </c>
      <c r="AY484" s="65" t="str">
        <f aca="false">IF(AND($Y484&lt;&gt;"",OR($AB484="Overdue",AND($AH484="Critical",$R484&lt;&gt;""))),$AF484+ROW()/100000,"")</f>
        <v/>
      </c>
      <c r="AZ484" s="65" t="str">
        <f aca="false">IF($AH484="Critical",$AF484+ROW()/100000,"")</f>
        <v/>
      </c>
    </row>
    <row r="485" customFormat="false" ht="15" hidden="false" customHeight="false" outlineLevel="0" collapsed="false">
      <c r="A485" s="28"/>
      <c r="B485" s="28"/>
      <c r="C485" s="28"/>
      <c r="D485" s="28"/>
      <c r="E485" s="28"/>
      <c r="F485" s="28"/>
      <c r="G485" s="63"/>
      <c r="H485" s="63"/>
      <c r="I485" s="63"/>
      <c r="J485" s="28"/>
      <c r="K485" s="28"/>
      <c r="L485" s="28"/>
      <c r="M485" s="28"/>
      <c r="N485" s="28"/>
      <c r="O485" s="64"/>
      <c r="P485" s="64"/>
      <c r="Q485" s="64"/>
      <c r="R485" s="28"/>
      <c r="S485" s="63"/>
      <c r="T485" s="64"/>
      <c r="U485" s="63"/>
      <c r="V485" s="64"/>
      <c r="W485" s="28"/>
      <c r="X485" s="65" t="str">
        <f aca="false">IF($A485="","",IF(OR($T485&lt;&gt;"",$U485&lt;&gt;""),"Closed",IFERROR(INDEX(MapStage,MATCH($C485,MapStatus,0)),"Unmapped")))</f>
        <v/>
      </c>
      <c r="Y485" s="65" t="str">
        <f aca="false">IF(OR($X485="",$X485="Closed",$X485="Unmapped"),"",MATCH($X485,StageName,0))</f>
        <v/>
      </c>
      <c r="Z485" s="65" t="str">
        <f aca="false">IF(OR($Y485="",$I485=""),"",$I485-AsOf)</f>
        <v/>
      </c>
      <c r="AA485" s="65" t="str">
        <f aca="false">IF($A485="","",AsOf-$H485)</f>
        <v/>
      </c>
      <c r="AB485" s="65" t="str">
        <f aca="false">IF($A485="","",IF($X485="Closed","Closed",IF($X485="Unmapped","Unmapped",IF($I485="","No target",IF($Z485&lt;0,"Overdue",IF($Z485&lt;=INDEX(StageWindow,$Y485),"At risk","On track"))))))</f>
        <v/>
      </c>
      <c r="AC485" s="65" t="str">
        <f aca="false">IF($Y485="","",IF($AA485&gt;2*INDEX(StageStale,$Y485),"Stale",IF($AA485&gt;INDEX(StageStale,$Y485),"Aging","Fresh")))</f>
        <v/>
      </c>
      <c r="AD485" s="65" t="str">
        <f aca="false">IF($A485="","",IF(OR(ISNUMBER(SEARCH("Reg report",$J485)),ISNUMBER(SEARCH("No human review",$J485)),COUNTIF(TierFuncs,$D485)&gt;0),"High",IF(OR(TRIM($J485)&lt;&gt;"",ISNUMBER(SEARCH("revenue",$K485))),"Medium","Low")))</f>
        <v/>
      </c>
      <c r="AE485" s="65" t="str">
        <f aca="false">IF($A485="","",INDEX(TierDays,MATCH($AD485,TierName,0)))</f>
        <v/>
      </c>
      <c r="AF485" s="65" t="str">
        <f aca="false">IF($A485="","",AsOf-$G485)</f>
        <v/>
      </c>
      <c r="AG485" s="65" t="str">
        <f aca="false">IF($Y485="","",IF($Y485&lt;=5,IF($AF485&gt;$AE485,"Over","Inside"),"Past approval"))</f>
        <v/>
      </c>
      <c r="AH485" s="65" t="str">
        <f aca="false">IF($Y485="","",CHOOSE($Y485,IF(OR(TRIM($F485)="",ISNUMBER(SEARCH("not named",$F485))),"Critical","Good"),IF($O485&lt;&gt;"Y","Critical",IF($Q485&lt;&gt;"Y","Warning","Good")),IF($P485="","Critical",IF($P485="partial","Warning",IF($P485="ready","Good","Critical"))),IF($R485&lt;&gt;"","Critical","Warning"),IF($L485="","Critical",IF($N485="","Warning","Good")),IF($R485&lt;&gt;"","Critical","Warning"),IF($R485&lt;&gt;"","Critical","Warning"),IF($Q485="Y","Good","Critical")))</f>
        <v/>
      </c>
      <c r="AI485" s="65" t="str">
        <f aca="false">IF($Y485="","",CHOOSE($Y485,IF(OR(TRIM($F485)="",ISNUMBER(SEARCH("not named",$F485))),"Name a sponsor accountable for the value",""),IF($O485&lt;&gt;"Y","State the success metric and the stop condition",IF($Q485&lt;&gt;"Y","Set the baseline the benefit will be measured against","")),IF($P485="","Assess data readiness and regulatory impact",IF($P485="partial","Close the known data gaps",IF($P485="ready","","Data is not available; reshape or park"))),IF($R485&lt;&gt;"",IF(OR(ISNUMBER(SEARCH("mrm",$R485)),ISNUMBER(SEARCH("model",$R485)),ISNUMBER(SEARCH("risk",$R485)),ISNUMBER(SEARCH("legal",$R485)),ISNUMBER(SEARCH("complian",$R485))),"Awaiting ","Held at the design gate: ")&amp;$R485,"Map the governance framework for its tier"),IF($L485="","Size the annual benefit",IF($N485="","Score it so it can be ranked against capacity","")),IF($R485&lt;&gt;"","Build held: "&amp;$R485,"In build, not yet through test"),IF($R485&lt;&gt;"","Not ready to scale: "&amp;$R485,"Monitoring and third-party review not yet signed off"),IF($Q485="Y","","Live without a measured baseline to judge it against")))</f>
        <v/>
      </c>
      <c r="AJ485" s="65" t="str">
        <f aca="false">IF($Y485="","",INDEX(StageForum,$Y485))</f>
        <v/>
      </c>
      <c r="AK485" s="65" t="str">
        <f aca="false">IF($Y485="","",IF(OR($X485="Delivery",$X485="Value"),"Committed",IF($N485&lt;&gt;"","Candidate","")))</f>
        <v/>
      </c>
      <c r="AL485" s="65" t="str">
        <f aca="false">IF($AK485&lt;&gt;"Candidate","",COUNTIFS($AK$2:$AK$501,"Candidate",$N$2:$N$501,"&gt;"&amp;$N485)+COUNTIFS($AK$2:$AK$501,"Candidate",$N$2:$N$501,$N485,$A$2:$A$501,"&lt;"&amp;$A485)+1)</f>
        <v/>
      </c>
      <c r="AM485" s="65" t="str">
        <f aca="false">IF($AL485="","",SUMIFS($M$2:$M$501,$AK$2:$AK$501,"Candidate",$AL$2:$AL$501,"&lt;="&amp;$AL485))</f>
        <v/>
      </c>
      <c r="AN485" s="65" t="str">
        <f aca="false">IF($AL485="","",IF($AM485&lt;=CapacityOpen,"Fits","Below line"))</f>
        <v/>
      </c>
      <c r="AO485" s="65" t="str">
        <f aca="false">IF($A485="","",IF($X485="Closed","",IF($X485="Unmapped","Warning",IF(OR($AB485="Overdue",$V485="Y",$AH485="Critical"),"Critical",IF(OR($AB485="At risk",$AC485="Stale",$AG485="Over"),"Warning","")))))</f>
        <v/>
      </c>
      <c r="AP485" s="65" t="str">
        <f aca="false">IF($AO485="","",IF($AO485="Critical",3000,2000)-IF($Z485="",0,$Z485)+ROW()/100000)</f>
        <v/>
      </c>
      <c r="AQ485" s="65" t="str">
        <f aca="false">IF($AO485="","",IF($X485="Unmapped","Status '"&amp;$C485&amp;"' is not in the Config map",IF($V485="Y","Flagged in Jira",IF($AB485="Overdue",-$Z485&amp;" days past its "&amp;$X485&amp;" target",IF($AH485="Critical",$AI485,IF($AB485="At risk","Target in "&amp;$Z485&amp;" days",IF($AC485="Stale","No update in "&amp;$AA485&amp;" days","Past its "&amp;$AE485&amp;"-day tier window")))))))</f>
        <v/>
      </c>
      <c r="AR485" s="65" t="str">
        <f aca="false">IF($AO485="","","draft Jira update for "&amp;$A485)</f>
        <v/>
      </c>
      <c r="AS485" s="65" t="str">
        <f aca="false">IF($A485="","",HYPERLINK(JiraSite&amp;"/browse/"&amp;$A485,"open"))</f>
        <v/>
      </c>
      <c r="AT485" s="65" t="str">
        <f aca="false">IF($Y485="","",$Y485*1000+ROW())</f>
        <v/>
      </c>
      <c r="AU485" s="65" t="str">
        <f aca="false">IF(AND($A485&lt;&gt;"",$G485&gt;=WeekStart),$G485+ROW()/100000,"")</f>
        <v/>
      </c>
      <c r="AV485" s="65" t="str">
        <f aca="false">IF($A485="","",IF(OR(AND($S485&lt;&gt;"",$S485&gt;=WeekStart),AND($U485&lt;&gt;"",$U485&gt;=WeekStart)),MAX($S485,$U485)+ROW()/100000,""))</f>
        <v/>
      </c>
      <c r="AW485" s="65" t="str">
        <f aca="false">IF($AV485="","",IF($T485&lt;&gt;"",$T485,IF($X485="Closed","Closed","Accepted to "&amp;$X485)))</f>
        <v/>
      </c>
      <c r="AX485" s="65" t="str">
        <f aca="false">IF(AND($Y485&lt;&gt;"",$R485&lt;&gt;""),$AF485+ROW()/100000,"")</f>
        <v/>
      </c>
      <c r="AY485" s="65" t="str">
        <f aca="false">IF(AND($Y485&lt;&gt;"",OR($AB485="Overdue",AND($AH485="Critical",$R485&lt;&gt;""))),$AF485+ROW()/100000,"")</f>
        <v/>
      </c>
      <c r="AZ485" s="65" t="str">
        <f aca="false">IF($AH485="Critical",$AF485+ROW()/100000,"")</f>
        <v/>
      </c>
    </row>
    <row r="486" customFormat="false" ht="15" hidden="false" customHeight="false" outlineLevel="0" collapsed="false">
      <c r="A486" s="28"/>
      <c r="B486" s="28"/>
      <c r="C486" s="28"/>
      <c r="D486" s="28"/>
      <c r="E486" s="28"/>
      <c r="F486" s="28"/>
      <c r="G486" s="63"/>
      <c r="H486" s="63"/>
      <c r="I486" s="63"/>
      <c r="J486" s="28"/>
      <c r="K486" s="28"/>
      <c r="L486" s="28"/>
      <c r="M486" s="28"/>
      <c r="N486" s="28"/>
      <c r="O486" s="64"/>
      <c r="P486" s="64"/>
      <c r="Q486" s="64"/>
      <c r="R486" s="28"/>
      <c r="S486" s="63"/>
      <c r="T486" s="64"/>
      <c r="U486" s="63"/>
      <c r="V486" s="64"/>
      <c r="W486" s="28"/>
      <c r="X486" s="65" t="str">
        <f aca="false">IF($A486="","",IF(OR($T486&lt;&gt;"",$U486&lt;&gt;""),"Closed",IFERROR(INDEX(MapStage,MATCH($C486,MapStatus,0)),"Unmapped")))</f>
        <v/>
      </c>
      <c r="Y486" s="65" t="str">
        <f aca="false">IF(OR($X486="",$X486="Closed",$X486="Unmapped"),"",MATCH($X486,StageName,0))</f>
        <v/>
      </c>
      <c r="Z486" s="65" t="str">
        <f aca="false">IF(OR($Y486="",$I486=""),"",$I486-AsOf)</f>
        <v/>
      </c>
      <c r="AA486" s="65" t="str">
        <f aca="false">IF($A486="","",AsOf-$H486)</f>
        <v/>
      </c>
      <c r="AB486" s="65" t="str">
        <f aca="false">IF($A486="","",IF($X486="Closed","Closed",IF($X486="Unmapped","Unmapped",IF($I486="","No target",IF($Z486&lt;0,"Overdue",IF($Z486&lt;=INDEX(StageWindow,$Y486),"At risk","On track"))))))</f>
        <v/>
      </c>
      <c r="AC486" s="65" t="str">
        <f aca="false">IF($Y486="","",IF($AA486&gt;2*INDEX(StageStale,$Y486),"Stale",IF($AA486&gt;INDEX(StageStale,$Y486),"Aging","Fresh")))</f>
        <v/>
      </c>
      <c r="AD486" s="65" t="str">
        <f aca="false">IF($A486="","",IF(OR(ISNUMBER(SEARCH("Reg report",$J486)),ISNUMBER(SEARCH("No human review",$J486)),COUNTIF(TierFuncs,$D486)&gt;0),"High",IF(OR(TRIM($J486)&lt;&gt;"",ISNUMBER(SEARCH("revenue",$K486))),"Medium","Low")))</f>
        <v/>
      </c>
      <c r="AE486" s="65" t="str">
        <f aca="false">IF($A486="","",INDEX(TierDays,MATCH($AD486,TierName,0)))</f>
        <v/>
      </c>
      <c r="AF486" s="65" t="str">
        <f aca="false">IF($A486="","",AsOf-$G486)</f>
        <v/>
      </c>
      <c r="AG486" s="65" t="str">
        <f aca="false">IF($Y486="","",IF($Y486&lt;=5,IF($AF486&gt;$AE486,"Over","Inside"),"Past approval"))</f>
        <v/>
      </c>
      <c r="AH486" s="65" t="str">
        <f aca="false">IF($Y486="","",CHOOSE($Y486,IF(OR(TRIM($F486)="",ISNUMBER(SEARCH("not named",$F486))),"Critical","Good"),IF($O486&lt;&gt;"Y","Critical",IF($Q486&lt;&gt;"Y","Warning","Good")),IF($P486="","Critical",IF($P486="partial","Warning",IF($P486="ready","Good","Critical"))),IF($R486&lt;&gt;"","Critical","Warning"),IF($L486="","Critical",IF($N486="","Warning","Good")),IF($R486&lt;&gt;"","Critical","Warning"),IF($R486&lt;&gt;"","Critical","Warning"),IF($Q486="Y","Good","Critical")))</f>
        <v/>
      </c>
      <c r="AI486" s="65" t="str">
        <f aca="false">IF($Y486="","",CHOOSE($Y486,IF(OR(TRIM($F486)="",ISNUMBER(SEARCH("not named",$F486))),"Name a sponsor accountable for the value",""),IF($O486&lt;&gt;"Y","State the success metric and the stop condition",IF($Q486&lt;&gt;"Y","Set the baseline the benefit will be measured against","")),IF($P486="","Assess data readiness and regulatory impact",IF($P486="partial","Close the known data gaps",IF($P486="ready","","Data is not available; reshape or park"))),IF($R486&lt;&gt;"",IF(OR(ISNUMBER(SEARCH("mrm",$R486)),ISNUMBER(SEARCH("model",$R486)),ISNUMBER(SEARCH("risk",$R486)),ISNUMBER(SEARCH("legal",$R486)),ISNUMBER(SEARCH("complian",$R486))),"Awaiting ","Held at the design gate: ")&amp;$R486,"Map the governance framework for its tier"),IF($L486="","Size the annual benefit",IF($N486="","Score it so it can be ranked against capacity","")),IF($R486&lt;&gt;"","Build held: "&amp;$R486,"In build, not yet through test"),IF($R486&lt;&gt;"","Not ready to scale: "&amp;$R486,"Monitoring and third-party review not yet signed off"),IF($Q486="Y","","Live without a measured baseline to judge it against")))</f>
        <v/>
      </c>
      <c r="AJ486" s="65" t="str">
        <f aca="false">IF($Y486="","",INDEX(StageForum,$Y486))</f>
        <v/>
      </c>
      <c r="AK486" s="65" t="str">
        <f aca="false">IF($Y486="","",IF(OR($X486="Delivery",$X486="Value"),"Committed",IF($N486&lt;&gt;"","Candidate","")))</f>
        <v/>
      </c>
      <c r="AL486" s="65" t="str">
        <f aca="false">IF($AK486&lt;&gt;"Candidate","",COUNTIFS($AK$2:$AK$501,"Candidate",$N$2:$N$501,"&gt;"&amp;$N486)+COUNTIFS($AK$2:$AK$501,"Candidate",$N$2:$N$501,$N486,$A$2:$A$501,"&lt;"&amp;$A486)+1)</f>
        <v/>
      </c>
      <c r="AM486" s="65" t="str">
        <f aca="false">IF($AL486="","",SUMIFS($M$2:$M$501,$AK$2:$AK$501,"Candidate",$AL$2:$AL$501,"&lt;="&amp;$AL486))</f>
        <v/>
      </c>
      <c r="AN486" s="65" t="str">
        <f aca="false">IF($AL486="","",IF($AM486&lt;=CapacityOpen,"Fits","Below line"))</f>
        <v/>
      </c>
      <c r="AO486" s="65" t="str">
        <f aca="false">IF($A486="","",IF($X486="Closed","",IF($X486="Unmapped","Warning",IF(OR($AB486="Overdue",$V486="Y",$AH486="Critical"),"Critical",IF(OR($AB486="At risk",$AC486="Stale",$AG486="Over"),"Warning","")))))</f>
        <v/>
      </c>
      <c r="AP486" s="65" t="str">
        <f aca="false">IF($AO486="","",IF($AO486="Critical",3000,2000)-IF($Z486="",0,$Z486)+ROW()/100000)</f>
        <v/>
      </c>
      <c r="AQ486" s="65" t="str">
        <f aca="false">IF($AO486="","",IF($X486="Unmapped","Status '"&amp;$C486&amp;"' is not in the Config map",IF($V486="Y","Flagged in Jira",IF($AB486="Overdue",-$Z486&amp;" days past its "&amp;$X486&amp;" target",IF($AH486="Critical",$AI486,IF($AB486="At risk","Target in "&amp;$Z486&amp;" days",IF($AC486="Stale","No update in "&amp;$AA486&amp;" days","Past its "&amp;$AE486&amp;"-day tier window")))))))</f>
        <v/>
      </c>
      <c r="AR486" s="65" t="str">
        <f aca="false">IF($AO486="","","draft Jira update for "&amp;$A486)</f>
        <v/>
      </c>
      <c r="AS486" s="65" t="str">
        <f aca="false">IF($A486="","",HYPERLINK(JiraSite&amp;"/browse/"&amp;$A486,"open"))</f>
        <v/>
      </c>
      <c r="AT486" s="65" t="str">
        <f aca="false">IF($Y486="","",$Y486*1000+ROW())</f>
        <v/>
      </c>
      <c r="AU486" s="65" t="str">
        <f aca="false">IF(AND($A486&lt;&gt;"",$G486&gt;=WeekStart),$G486+ROW()/100000,"")</f>
        <v/>
      </c>
      <c r="AV486" s="65" t="str">
        <f aca="false">IF($A486="","",IF(OR(AND($S486&lt;&gt;"",$S486&gt;=WeekStart),AND($U486&lt;&gt;"",$U486&gt;=WeekStart)),MAX($S486,$U486)+ROW()/100000,""))</f>
        <v/>
      </c>
      <c r="AW486" s="65" t="str">
        <f aca="false">IF($AV486="","",IF($T486&lt;&gt;"",$T486,IF($X486="Closed","Closed","Accepted to "&amp;$X486)))</f>
        <v/>
      </c>
      <c r="AX486" s="65" t="str">
        <f aca="false">IF(AND($Y486&lt;&gt;"",$R486&lt;&gt;""),$AF486+ROW()/100000,"")</f>
        <v/>
      </c>
      <c r="AY486" s="65" t="str">
        <f aca="false">IF(AND($Y486&lt;&gt;"",OR($AB486="Overdue",AND($AH486="Critical",$R486&lt;&gt;""))),$AF486+ROW()/100000,"")</f>
        <v/>
      </c>
      <c r="AZ486" s="65" t="str">
        <f aca="false">IF($AH486="Critical",$AF486+ROW()/100000,"")</f>
        <v/>
      </c>
    </row>
    <row r="487" customFormat="false" ht="15" hidden="false" customHeight="false" outlineLevel="0" collapsed="false">
      <c r="A487" s="28"/>
      <c r="B487" s="28"/>
      <c r="C487" s="28"/>
      <c r="D487" s="28"/>
      <c r="E487" s="28"/>
      <c r="F487" s="28"/>
      <c r="G487" s="63"/>
      <c r="H487" s="63"/>
      <c r="I487" s="63"/>
      <c r="J487" s="28"/>
      <c r="K487" s="28"/>
      <c r="L487" s="28"/>
      <c r="M487" s="28"/>
      <c r="N487" s="28"/>
      <c r="O487" s="64"/>
      <c r="P487" s="64"/>
      <c r="Q487" s="64"/>
      <c r="R487" s="28"/>
      <c r="S487" s="63"/>
      <c r="T487" s="64"/>
      <c r="U487" s="63"/>
      <c r="V487" s="64"/>
      <c r="W487" s="28"/>
      <c r="X487" s="65" t="str">
        <f aca="false">IF($A487="","",IF(OR($T487&lt;&gt;"",$U487&lt;&gt;""),"Closed",IFERROR(INDEX(MapStage,MATCH($C487,MapStatus,0)),"Unmapped")))</f>
        <v/>
      </c>
      <c r="Y487" s="65" t="str">
        <f aca="false">IF(OR($X487="",$X487="Closed",$X487="Unmapped"),"",MATCH($X487,StageName,0))</f>
        <v/>
      </c>
      <c r="Z487" s="65" t="str">
        <f aca="false">IF(OR($Y487="",$I487=""),"",$I487-AsOf)</f>
        <v/>
      </c>
      <c r="AA487" s="65" t="str">
        <f aca="false">IF($A487="","",AsOf-$H487)</f>
        <v/>
      </c>
      <c r="AB487" s="65" t="str">
        <f aca="false">IF($A487="","",IF($X487="Closed","Closed",IF($X487="Unmapped","Unmapped",IF($I487="","No target",IF($Z487&lt;0,"Overdue",IF($Z487&lt;=INDEX(StageWindow,$Y487),"At risk","On track"))))))</f>
        <v/>
      </c>
      <c r="AC487" s="65" t="str">
        <f aca="false">IF($Y487="","",IF($AA487&gt;2*INDEX(StageStale,$Y487),"Stale",IF($AA487&gt;INDEX(StageStale,$Y487),"Aging","Fresh")))</f>
        <v/>
      </c>
      <c r="AD487" s="65" t="str">
        <f aca="false">IF($A487="","",IF(OR(ISNUMBER(SEARCH("Reg report",$J487)),ISNUMBER(SEARCH("No human review",$J487)),COUNTIF(TierFuncs,$D487)&gt;0),"High",IF(OR(TRIM($J487)&lt;&gt;"",ISNUMBER(SEARCH("revenue",$K487))),"Medium","Low")))</f>
        <v/>
      </c>
      <c r="AE487" s="65" t="str">
        <f aca="false">IF($A487="","",INDEX(TierDays,MATCH($AD487,TierName,0)))</f>
        <v/>
      </c>
      <c r="AF487" s="65" t="str">
        <f aca="false">IF($A487="","",AsOf-$G487)</f>
        <v/>
      </c>
      <c r="AG487" s="65" t="str">
        <f aca="false">IF($Y487="","",IF($Y487&lt;=5,IF($AF487&gt;$AE487,"Over","Inside"),"Past approval"))</f>
        <v/>
      </c>
      <c r="AH487" s="65" t="str">
        <f aca="false">IF($Y487="","",CHOOSE($Y487,IF(OR(TRIM($F487)="",ISNUMBER(SEARCH("not named",$F487))),"Critical","Good"),IF($O487&lt;&gt;"Y","Critical",IF($Q487&lt;&gt;"Y","Warning","Good")),IF($P487="","Critical",IF($P487="partial","Warning",IF($P487="ready","Good","Critical"))),IF($R487&lt;&gt;"","Critical","Warning"),IF($L487="","Critical",IF($N487="","Warning","Good")),IF($R487&lt;&gt;"","Critical","Warning"),IF($R487&lt;&gt;"","Critical","Warning"),IF($Q487="Y","Good","Critical")))</f>
        <v/>
      </c>
      <c r="AI487" s="65" t="str">
        <f aca="false">IF($Y487="","",CHOOSE($Y487,IF(OR(TRIM($F487)="",ISNUMBER(SEARCH("not named",$F487))),"Name a sponsor accountable for the value",""),IF($O487&lt;&gt;"Y","State the success metric and the stop condition",IF($Q487&lt;&gt;"Y","Set the baseline the benefit will be measured against","")),IF($P487="","Assess data readiness and regulatory impact",IF($P487="partial","Close the known data gaps",IF($P487="ready","","Data is not available; reshape or park"))),IF($R487&lt;&gt;"",IF(OR(ISNUMBER(SEARCH("mrm",$R487)),ISNUMBER(SEARCH("model",$R487)),ISNUMBER(SEARCH("risk",$R487)),ISNUMBER(SEARCH("legal",$R487)),ISNUMBER(SEARCH("complian",$R487))),"Awaiting ","Held at the design gate: ")&amp;$R487,"Map the governance framework for its tier"),IF($L487="","Size the annual benefit",IF($N487="","Score it so it can be ranked against capacity","")),IF($R487&lt;&gt;"","Build held: "&amp;$R487,"In build, not yet through test"),IF($R487&lt;&gt;"","Not ready to scale: "&amp;$R487,"Monitoring and third-party review not yet signed off"),IF($Q487="Y","","Live without a measured baseline to judge it against")))</f>
        <v/>
      </c>
      <c r="AJ487" s="65" t="str">
        <f aca="false">IF($Y487="","",INDEX(StageForum,$Y487))</f>
        <v/>
      </c>
      <c r="AK487" s="65" t="str">
        <f aca="false">IF($Y487="","",IF(OR($X487="Delivery",$X487="Value"),"Committed",IF($N487&lt;&gt;"","Candidate","")))</f>
        <v/>
      </c>
      <c r="AL487" s="65" t="str">
        <f aca="false">IF($AK487&lt;&gt;"Candidate","",COUNTIFS($AK$2:$AK$501,"Candidate",$N$2:$N$501,"&gt;"&amp;$N487)+COUNTIFS($AK$2:$AK$501,"Candidate",$N$2:$N$501,$N487,$A$2:$A$501,"&lt;"&amp;$A487)+1)</f>
        <v/>
      </c>
      <c r="AM487" s="65" t="str">
        <f aca="false">IF($AL487="","",SUMIFS($M$2:$M$501,$AK$2:$AK$501,"Candidate",$AL$2:$AL$501,"&lt;="&amp;$AL487))</f>
        <v/>
      </c>
      <c r="AN487" s="65" t="str">
        <f aca="false">IF($AL487="","",IF($AM487&lt;=CapacityOpen,"Fits","Below line"))</f>
        <v/>
      </c>
      <c r="AO487" s="65" t="str">
        <f aca="false">IF($A487="","",IF($X487="Closed","",IF($X487="Unmapped","Warning",IF(OR($AB487="Overdue",$V487="Y",$AH487="Critical"),"Critical",IF(OR($AB487="At risk",$AC487="Stale",$AG487="Over"),"Warning","")))))</f>
        <v/>
      </c>
      <c r="AP487" s="65" t="str">
        <f aca="false">IF($AO487="","",IF($AO487="Critical",3000,2000)-IF($Z487="",0,$Z487)+ROW()/100000)</f>
        <v/>
      </c>
      <c r="AQ487" s="65" t="str">
        <f aca="false">IF($AO487="","",IF($X487="Unmapped","Status '"&amp;$C487&amp;"' is not in the Config map",IF($V487="Y","Flagged in Jira",IF($AB487="Overdue",-$Z487&amp;" days past its "&amp;$X487&amp;" target",IF($AH487="Critical",$AI487,IF($AB487="At risk","Target in "&amp;$Z487&amp;" days",IF($AC487="Stale","No update in "&amp;$AA487&amp;" days","Past its "&amp;$AE487&amp;"-day tier window")))))))</f>
        <v/>
      </c>
      <c r="AR487" s="65" t="str">
        <f aca="false">IF($AO487="","","draft Jira update for "&amp;$A487)</f>
        <v/>
      </c>
      <c r="AS487" s="65" t="str">
        <f aca="false">IF($A487="","",HYPERLINK(JiraSite&amp;"/browse/"&amp;$A487,"open"))</f>
        <v/>
      </c>
      <c r="AT487" s="65" t="str">
        <f aca="false">IF($Y487="","",$Y487*1000+ROW())</f>
        <v/>
      </c>
      <c r="AU487" s="65" t="str">
        <f aca="false">IF(AND($A487&lt;&gt;"",$G487&gt;=WeekStart),$G487+ROW()/100000,"")</f>
        <v/>
      </c>
      <c r="AV487" s="65" t="str">
        <f aca="false">IF($A487="","",IF(OR(AND($S487&lt;&gt;"",$S487&gt;=WeekStart),AND($U487&lt;&gt;"",$U487&gt;=WeekStart)),MAX($S487,$U487)+ROW()/100000,""))</f>
        <v/>
      </c>
      <c r="AW487" s="65" t="str">
        <f aca="false">IF($AV487="","",IF($T487&lt;&gt;"",$T487,IF($X487="Closed","Closed","Accepted to "&amp;$X487)))</f>
        <v/>
      </c>
      <c r="AX487" s="65" t="str">
        <f aca="false">IF(AND($Y487&lt;&gt;"",$R487&lt;&gt;""),$AF487+ROW()/100000,"")</f>
        <v/>
      </c>
      <c r="AY487" s="65" t="str">
        <f aca="false">IF(AND($Y487&lt;&gt;"",OR($AB487="Overdue",AND($AH487="Critical",$R487&lt;&gt;""))),$AF487+ROW()/100000,"")</f>
        <v/>
      </c>
      <c r="AZ487" s="65" t="str">
        <f aca="false">IF($AH487="Critical",$AF487+ROW()/100000,"")</f>
        <v/>
      </c>
    </row>
    <row r="488" customFormat="false" ht="15" hidden="false" customHeight="false" outlineLevel="0" collapsed="false">
      <c r="A488" s="28"/>
      <c r="B488" s="28"/>
      <c r="C488" s="28"/>
      <c r="D488" s="28"/>
      <c r="E488" s="28"/>
      <c r="F488" s="28"/>
      <c r="G488" s="63"/>
      <c r="H488" s="63"/>
      <c r="I488" s="63"/>
      <c r="J488" s="28"/>
      <c r="K488" s="28"/>
      <c r="L488" s="28"/>
      <c r="M488" s="28"/>
      <c r="N488" s="28"/>
      <c r="O488" s="64"/>
      <c r="P488" s="64"/>
      <c r="Q488" s="64"/>
      <c r="R488" s="28"/>
      <c r="S488" s="63"/>
      <c r="T488" s="64"/>
      <c r="U488" s="63"/>
      <c r="V488" s="64"/>
      <c r="W488" s="28"/>
      <c r="X488" s="65" t="str">
        <f aca="false">IF($A488="","",IF(OR($T488&lt;&gt;"",$U488&lt;&gt;""),"Closed",IFERROR(INDEX(MapStage,MATCH($C488,MapStatus,0)),"Unmapped")))</f>
        <v/>
      </c>
      <c r="Y488" s="65" t="str">
        <f aca="false">IF(OR($X488="",$X488="Closed",$X488="Unmapped"),"",MATCH($X488,StageName,0))</f>
        <v/>
      </c>
      <c r="Z488" s="65" t="str">
        <f aca="false">IF(OR($Y488="",$I488=""),"",$I488-AsOf)</f>
        <v/>
      </c>
      <c r="AA488" s="65" t="str">
        <f aca="false">IF($A488="","",AsOf-$H488)</f>
        <v/>
      </c>
      <c r="AB488" s="65" t="str">
        <f aca="false">IF($A488="","",IF($X488="Closed","Closed",IF($X488="Unmapped","Unmapped",IF($I488="","No target",IF($Z488&lt;0,"Overdue",IF($Z488&lt;=INDEX(StageWindow,$Y488),"At risk","On track"))))))</f>
        <v/>
      </c>
      <c r="AC488" s="65" t="str">
        <f aca="false">IF($Y488="","",IF($AA488&gt;2*INDEX(StageStale,$Y488),"Stale",IF($AA488&gt;INDEX(StageStale,$Y488),"Aging","Fresh")))</f>
        <v/>
      </c>
      <c r="AD488" s="65" t="str">
        <f aca="false">IF($A488="","",IF(OR(ISNUMBER(SEARCH("Reg report",$J488)),ISNUMBER(SEARCH("No human review",$J488)),COUNTIF(TierFuncs,$D488)&gt;0),"High",IF(OR(TRIM($J488)&lt;&gt;"",ISNUMBER(SEARCH("revenue",$K488))),"Medium","Low")))</f>
        <v/>
      </c>
      <c r="AE488" s="65" t="str">
        <f aca="false">IF($A488="","",INDEX(TierDays,MATCH($AD488,TierName,0)))</f>
        <v/>
      </c>
      <c r="AF488" s="65" t="str">
        <f aca="false">IF($A488="","",AsOf-$G488)</f>
        <v/>
      </c>
      <c r="AG488" s="65" t="str">
        <f aca="false">IF($Y488="","",IF($Y488&lt;=5,IF($AF488&gt;$AE488,"Over","Inside"),"Past approval"))</f>
        <v/>
      </c>
      <c r="AH488" s="65" t="str">
        <f aca="false">IF($Y488="","",CHOOSE($Y488,IF(OR(TRIM($F488)="",ISNUMBER(SEARCH("not named",$F488))),"Critical","Good"),IF($O488&lt;&gt;"Y","Critical",IF($Q488&lt;&gt;"Y","Warning","Good")),IF($P488="","Critical",IF($P488="partial","Warning",IF($P488="ready","Good","Critical"))),IF($R488&lt;&gt;"","Critical","Warning"),IF($L488="","Critical",IF($N488="","Warning","Good")),IF($R488&lt;&gt;"","Critical","Warning"),IF($R488&lt;&gt;"","Critical","Warning"),IF($Q488="Y","Good","Critical")))</f>
        <v/>
      </c>
      <c r="AI488" s="65" t="str">
        <f aca="false">IF($Y488="","",CHOOSE($Y488,IF(OR(TRIM($F488)="",ISNUMBER(SEARCH("not named",$F488))),"Name a sponsor accountable for the value",""),IF($O488&lt;&gt;"Y","State the success metric and the stop condition",IF($Q488&lt;&gt;"Y","Set the baseline the benefit will be measured against","")),IF($P488="","Assess data readiness and regulatory impact",IF($P488="partial","Close the known data gaps",IF($P488="ready","","Data is not available; reshape or park"))),IF($R488&lt;&gt;"",IF(OR(ISNUMBER(SEARCH("mrm",$R488)),ISNUMBER(SEARCH("model",$R488)),ISNUMBER(SEARCH("risk",$R488)),ISNUMBER(SEARCH("legal",$R488)),ISNUMBER(SEARCH("complian",$R488))),"Awaiting ","Held at the design gate: ")&amp;$R488,"Map the governance framework for its tier"),IF($L488="","Size the annual benefit",IF($N488="","Score it so it can be ranked against capacity","")),IF($R488&lt;&gt;"","Build held: "&amp;$R488,"In build, not yet through test"),IF($R488&lt;&gt;"","Not ready to scale: "&amp;$R488,"Monitoring and third-party review not yet signed off"),IF($Q488="Y","","Live without a measured baseline to judge it against")))</f>
        <v/>
      </c>
      <c r="AJ488" s="65" t="str">
        <f aca="false">IF($Y488="","",INDEX(StageForum,$Y488))</f>
        <v/>
      </c>
      <c r="AK488" s="65" t="str">
        <f aca="false">IF($Y488="","",IF(OR($X488="Delivery",$X488="Value"),"Committed",IF($N488&lt;&gt;"","Candidate","")))</f>
        <v/>
      </c>
      <c r="AL488" s="65" t="str">
        <f aca="false">IF($AK488&lt;&gt;"Candidate","",COUNTIFS($AK$2:$AK$501,"Candidate",$N$2:$N$501,"&gt;"&amp;$N488)+COUNTIFS($AK$2:$AK$501,"Candidate",$N$2:$N$501,$N488,$A$2:$A$501,"&lt;"&amp;$A488)+1)</f>
        <v/>
      </c>
      <c r="AM488" s="65" t="str">
        <f aca="false">IF($AL488="","",SUMIFS($M$2:$M$501,$AK$2:$AK$501,"Candidate",$AL$2:$AL$501,"&lt;="&amp;$AL488))</f>
        <v/>
      </c>
      <c r="AN488" s="65" t="str">
        <f aca="false">IF($AL488="","",IF($AM488&lt;=CapacityOpen,"Fits","Below line"))</f>
        <v/>
      </c>
      <c r="AO488" s="65" t="str">
        <f aca="false">IF($A488="","",IF($X488="Closed","",IF($X488="Unmapped","Warning",IF(OR($AB488="Overdue",$V488="Y",$AH488="Critical"),"Critical",IF(OR($AB488="At risk",$AC488="Stale",$AG488="Over"),"Warning","")))))</f>
        <v/>
      </c>
      <c r="AP488" s="65" t="str">
        <f aca="false">IF($AO488="","",IF($AO488="Critical",3000,2000)-IF($Z488="",0,$Z488)+ROW()/100000)</f>
        <v/>
      </c>
      <c r="AQ488" s="65" t="str">
        <f aca="false">IF($AO488="","",IF($X488="Unmapped","Status '"&amp;$C488&amp;"' is not in the Config map",IF($V488="Y","Flagged in Jira",IF($AB488="Overdue",-$Z488&amp;" days past its "&amp;$X488&amp;" target",IF($AH488="Critical",$AI488,IF($AB488="At risk","Target in "&amp;$Z488&amp;" days",IF($AC488="Stale","No update in "&amp;$AA488&amp;" days","Past its "&amp;$AE488&amp;"-day tier window")))))))</f>
        <v/>
      </c>
      <c r="AR488" s="65" t="str">
        <f aca="false">IF($AO488="","","draft Jira update for "&amp;$A488)</f>
        <v/>
      </c>
      <c r="AS488" s="65" t="str">
        <f aca="false">IF($A488="","",HYPERLINK(JiraSite&amp;"/browse/"&amp;$A488,"open"))</f>
        <v/>
      </c>
      <c r="AT488" s="65" t="str">
        <f aca="false">IF($Y488="","",$Y488*1000+ROW())</f>
        <v/>
      </c>
      <c r="AU488" s="65" t="str">
        <f aca="false">IF(AND($A488&lt;&gt;"",$G488&gt;=WeekStart),$G488+ROW()/100000,"")</f>
        <v/>
      </c>
      <c r="AV488" s="65" t="str">
        <f aca="false">IF($A488="","",IF(OR(AND($S488&lt;&gt;"",$S488&gt;=WeekStart),AND($U488&lt;&gt;"",$U488&gt;=WeekStart)),MAX($S488,$U488)+ROW()/100000,""))</f>
        <v/>
      </c>
      <c r="AW488" s="65" t="str">
        <f aca="false">IF($AV488="","",IF($T488&lt;&gt;"",$T488,IF($X488="Closed","Closed","Accepted to "&amp;$X488)))</f>
        <v/>
      </c>
      <c r="AX488" s="65" t="str">
        <f aca="false">IF(AND($Y488&lt;&gt;"",$R488&lt;&gt;""),$AF488+ROW()/100000,"")</f>
        <v/>
      </c>
      <c r="AY488" s="65" t="str">
        <f aca="false">IF(AND($Y488&lt;&gt;"",OR($AB488="Overdue",AND($AH488="Critical",$R488&lt;&gt;""))),$AF488+ROW()/100000,"")</f>
        <v/>
      </c>
      <c r="AZ488" s="65" t="str">
        <f aca="false">IF($AH488="Critical",$AF488+ROW()/100000,"")</f>
        <v/>
      </c>
    </row>
    <row r="489" customFormat="false" ht="15" hidden="false" customHeight="false" outlineLevel="0" collapsed="false">
      <c r="A489" s="28"/>
      <c r="B489" s="28"/>
      <c r="C489" s="28"/>
      <c r="D489" s="28"/>
      <c r="E489" s="28"/>
      <c r="F489" s="28"/>
      <c r="G489" s="63"/>
      <c r="H489" s="63"/>
      <c r="I489" s="63"/>
      <c r="J489" s="28"/>
      <c r="K489" s="28"/>
      <c r="L489" s="28"/>
      <c r="M489" s="28"/>
      <c r="N489" s="28"/>
      <c r="O489" s="64"/>
      <c r="P489" s="64"/>
      <c r="Q489" s="64"/>
      <c r="R489" s="28"/>
      <c r="S489" s="63"/>
      <c r="T489" s="64"/>
      <c r="U489" s="63"/>
      <c r="V489" s="64"/>
      <c r="W489" s="28"/>
      <c r="X489" s="65" t="str">
        <f aca="false">IF($A489="","",IF(OR($T489&lt;&gt;"",$U489&lt;&gt;""),"Closed",IFERROR(INDEX(MapStage,MATCH($C489,MapStatus,0)),"Unmapped")))</f>
        <v/>
      </c>
      <c r="Y489" s="65" t="str">
        <f aca="false">IF(OR($X489="",$X489="Closed",$X489="Unmapped"),"",MATCH($X489,StageName,0))</f>
        <v/>
      </c>
      <c r="Z489" s="65" t="str">
        <f aca="false">IF(OR($Y489="",$I489=""),"",$I489-AsOf)</f>
        <v/>
      </c>
      <c r="AA489" s="65" t="str">
        <f aca="false">IF($A489="","",AsOf-$H489)</f>
        <v/>
      </c>
      <c r="AB489" s="65" t="str">
        <f aca="false">IF($A489="","",IF($X489="Closed","Closed",IF($X489="Unmapped","Unmapped",IF($I489="","No target",IF($Z489&lt;0,"Overdue",IF($Z489&lt;=INDEX(StageWindow,$Y489),"At risk","On track"))))))</f>
        <v/>
      </c>
      <c r="AC489" s="65" t="str">
        <f aca="false">IF($Y489="","",IF($AA489&gt;2*INDEX(StageStale,$Y489),"Stale",IF($AA489&gt;INDEX(StageStale,$Y489),"Aging","Fresh")))</f>
        <v/>
      </c>
      <c r="AD489" s="65" t="str">
        <f aca="false">IF($A489="","",IF(OR(ISNUMBER(SEARCH("Reg report",$J489)),ISNUMBER(SEARCH("No human review",$J489)),COUNTIF(TierFuncs,$D489)&gt;0),"High",IF(OR(TRIM($J489)&lt;&gt;"",ISNUMBER(SEARCH("revenue",$K489))),"Medium","Low")))</f>
        <v/>
      </c>
      <c r="AE489" s="65" t="str">
        <f aca="false">IF($A489="","",INDEX(TierDays,MATCH($AD489,TierName,0)))</f>
        <v/>
      </c>
      <c r="AF489" s="65" t="str">
        <f aca="false">IF($A489="","",AsOf-$G489)</f>
        <v/>
      </c>
      <c r="AG489" s="65" t="str">
        <f aca="false">IF($Y489="","",IF($Y489&lt;=5,IF($AF489&gt;$AE489,"Over","Inside"),"Past approval"))</f>
        <v/>
      </c>
      <c r="AH489" s="65" t="str">
        <f aca="false">IF($Y489="","",CHOOSE($Y489,IF(OR(TRIM($F489)="",ISNUMBER(SEARCH("not named",$F489))),"Critical","Good"),IF($O489&lt;&gt;"Y","Critical",IF($Q489&lt;&gt;"Y","Warning","Good")),IF($P489="","Critical",IF($P489="partial","Warning",IF($P489="ready","Good","Critical"))),IF($R489&lt;&gt;"","Critical","Warning"),IF($L489="","Critical",IF($N489="","Warning","Good")),IF($R489&lt;&gt;"","Critical","Warning"),IF($R489&lt;&gt;"","Critical","Warning"),IF($Q489="Y","Good","Critical")))</f>
        <v/>
      </c>
      <c r="AI489" s="65" t="str">
        <f aca="false">IF($Y489="","",CHOOSE($Y489,IF(OR(TRIM($F489)="",ISNUMBER(SEARCH("not named",$F489))),"Name a sponsor accountable for the value",""),IF($O489&lt;&gt;"Y","State the success metric and the stop condition",IF($Q489&lt;&gt;"Y","Set the baseline the benefit will be measured against","")),IF($P489="","Assess data readiness and regulatory impact",IF($P489="partial","Close the known data gaps",IF($P489="ready","","Data is not available; reshape or park"))),IF($R489&lt;&gt;"",IF(OR(ISNUMBER(SEARCH("mrm",$R489)),ISNUMBER(SEARCH("model",$R489)),ISNUMBER(SEARCH("risk",$R489)),ISNUMBER(SEARCH("legal",$R489)),ISNUMBER(SEARCH("complian",$R489))),"Awaiting ","Held at the design gate: ")&amp;$R489,"Map the governance framework for its tier"),IF($L489="","Size the annual benefit",IF($N489="","Score it so it can be ranked against capacity","")),IF($R489&lt;&gt;"","Build held: "&amp;$R489,"In build, not yet through test"),IF($R489&lt;&gt;"","Not ready to scale: "&amp;$R489,"Monitoring and third-party review not yet signed off"),IF($Q489="Y","","Live without a measured baseline to judge it against")))</f>
        <v/>
      </c>
      <c r="AJ489" s="65" t="str">
        <f aca="false">IF($Y489="","",INDEX(StageForum,$Y489))</f>
        <v/>
      </c>
      <c r="AK489" s="65" t="str">
        <f aca="false">IF($Y489="","",IF(OR($X489="Delivery",$X489="Value"),"Committed",IF($N489&lt;&gt;"","Candidate","")))</f>
        <v/>
      </c>
      <c r="AL489" s="65" t="str">
        <f aca="false">IF($AK489&lt;&gt;"Candidate","",COUNTIFS($AK$2:$AK$501,"Candidate",$N$2:$N$501,"&gt;"&amp;$N489)+COUNTIFS($AK$2:$AK$501,"Candidate",$N$2:$N$501,$N489,$A$2:$A$501,"&lt;"&amp;$A489)+1)</f>
        <v/>
      </c>
      <c r="AM489" s="65" t="str">
        <f aca="false">IF($AL489="","",SUMIFS($M$2:$M$501,$AK$2:$AK$501,"Candidate",$AL$2:$AL$501,"&lt;="&amp;$AL489))</f>
        <v/>
      </c>
      <c r="AN489" s="65" t="str">
        <f aca="false">IF($AL489="","",IF($AM489&lt;=CapacityOpen,"Fits","Below line"))</f>
        <v/>
      </c>
      <c r="AO489" s="65" t="str">
        <f aca="false">IF($A489="","",IF($X489="Closed","",IF($X489="Unmapped","Warning",IF(OR($AB489="Overdue",$V489="Y",$AH489="Critical"),"Critical",IF(OR($AB489="At risk",$AC489="Stale",$AG489="Over"),"Warning","")))))</f>
        <v/>
      </c>
      <c r="AP489" s="65" t="str">
        <f aca="false">IF($AO489="","",IF($AO489="Critical",3000,2000)-IF($Z489="",0,$Z489)+ROW()/100000)</f>
        <v/>
      </c>
      <c r="AQ489" s="65" t="str">
        <f aca="false">IF($AO489="","",IF($X489="Unmapped","Status '"&amp;$C489&amp;"' is not in the Config map",IF($V489="Y","Flagged in Jira",IF($AB489="Overdue",-$Z489&amp;" days past its "&amp;$X489&amp;" target",IF($AH489="Critical",$AI489,IF($AB489="At risk","Target in "&amp;$Z489&amp;" days",IF($AC489="Stale","No update in "&amp;$AA489&amp;" days","Past its "&amp;$AE489&amp;"-day tier window")))))))</f>
        <v/>
      </c>
      <c r="AR489" s="65" t="str">
        <f aca="false">IF($AO489="","","draft Jira update for "&amp;$A489)</f>
        <v/>
      </c>
      <c r="AS489" s="65" t="str">
        <f aca="false">IF($A489="","",HYPERLINK(JiraSite&amp;"/browse/"&amp;$A489,"open"))</f>
        <v/>
      </c>
      <c r="AT489" s="65" t="str">
        <f aca="false">IF($Y489="","",$Y489*1000+ROW())</f>
        <v/>
      </c>
      <c r="AU489" s="65" t="str">
        <f aca="false">IF(AND($A489&lt;&gt;"",$G489&gt;=WeekStart),$G489+ROW()/100000,"")</f>
        <v/>
      </c>
      <c r="AV489" s="65" t="str">
        <f aca="false">IF($A489="","",IF(OR(AND($S489&lt;&gt;"",$S489&gt;=WeekStart),AND($U489&lt;&gt;"",$U489&gt;=WeekStart)),MAX($S489,$U489)+ROW()/100000,""))</f>
        <v/>
      </c>
      <c r="AW489" s="65" t="str">
        <f aca="false">IF($AV489="","",IF($T489&lt;&gt;"",$T489,IF($X489="Closed","Closed","Accepted to "&amp;$X489)))</f>
        <v/>
      </c>
      <c r="AX489" s="65" t="str">
        <f aca="false">IF(AND($Y489&lt;&gt;"",$R489&lt;&gt;""),$AF489+ROW()/100000,"")</f>
        <v/>
      </c>
      <c r="AY489" s="65" t="str">
        <f aca="false">IF(AND($Y489&lt;&gt;"",OR($AB489="Overdue",AND($AH489="Critical",$R489&lt;&gt;""))),$AF489+ROW()/100000,"")</f>
        <v/>
      </c>
      <c r="AZ489" s="65" t="str">
        <f aca="false">IF($AH489="Critical",$AF489+ROW()/100000,"")</f>
        <v/>
      </c>
    </row>
    <row r="490" customFormat="false" ht="15" hidden="false" customHeight="false" outlineLevel="0" collapsed="false">
      <c r="A490" s="28"/>
      <c r="B490" s="28"/>
      <c r="C490" s="28"/>
      <c r="D490" s="28"/>
      <c r="E490" s="28"/>
      <c r="F490" s="28"/>
      <c r="G490" s="63"/>
      <c r="H490" s="63"/>
      <c r="I490" s="63"/>
      <c r="J490" s="28"/>
      <c r="K490" s="28"/>
      <c r="L490" s="28"/>
      <c r="M490" s="28"/>
      <c r="N490" s="28"/>
      <c r="O490" s="64"/>
      <c r="P490" s="64"/>
      <c r="Q490" s="64"/>
      <c r="R490" s="28"/>
      <c r="S490" s="63"/>
      <c r="T490" s="64"/>
      <c r="U490" s="63"/>
      <c r="V490" s="64"/>
      <c r="W490" s="28"/>
      <c r="X490" s="65" t="str">
        <f aca="false">IF($A490="","",IF(OR($T490&lt;&gt;"",$U490&lt;&gt;""),"Closed",IFERROR(INDEX(MapStage,MATCH($C490,MapStatus,0)),"Unmapped")))</f>
        <v/>
      </c>
      <c r="Y490" s="65" t="str">
        <f aca="false">IF(OR($X490="",$X490="Closed",$X490="Unmapped"),"",MATCH($X490,StageName,0))</f>
        <v/>
      </c>
      <c r="Z490" s="65" t="str">
        <f aca="false">IF(OR($Y490="",$I490=""),"",$I490-AsOf)</f>
        <v/>
      </c>
      <c r="AA490" s="65" t="str">
        <f aca="false">IF($A490="","",AsOf-$H490)</f>
        <v/>
      </c>
      <c r="AB490" s="65" t="str">
        <f aca="false">IF($A490="","",IF($X490="Closed","Closed",IF($X490="Unmapped","Unmapped",IF($I490="","No target",IF($Z490&lt;0,"Overdue",IF($Z490&lt;=INDEX(StageWindow,$Y490),"At risk","On track"))))))</f>
        <v/>
      </c>
      <c r="AC490" s="65" t="str">
        <f aca="false">IF($Y490="","",IF($AA490&gt;2*INDEX(StageStale,$Y490),"Stale",IF($AA490&gt;INDEX(StageStale,$Y490),"Aging","Fresh")))</f>
        <v/>
      </c>
      <c r="AD490" s="65" t="str">
        <f aca="false">IF($A490="","",IF(OR(ISNUMBER(SEARCH("Reg report",$J490)),ISNUMBER(SEARCH("No human review",$J490)),COUNTIF(TierFuncs,$D490)&gt;0),"High",IF(OR(TRIM($J490)&lt;&gt;"",ISNUMBER(SEARCH("revenue",$K490))),"Medium","Low")))</f>
        <v/>
      </c>
      <c r="AE490" s="65" t="str">
        <f aca="false">IF($A490="","",INDEX(TierDays,MATCH($AD490,TierName,0)))</f>
        <v/>
      </c>
      <c r="AF490" s="65" t="str">
        <f aca="false">IF($A490="","",AsOf-$G490)</f>
        <v/>
      </c>
      <c r="AG490" s="65" t="str">
        <f aca="false">IF($Y490="","",IF($Y490&lt;=5,IF($AF490&gt;$AE490,"Over","Inside"),"Past approval"))</f>
        <v/>
      </c>
      <c r="AH490" s="65" t="str">
        <f aca="false">IF($Y490="","",CHOOSE($Y490,IF(OR(TRIM($F490)="",ISNUMBER(SEARCH("not named",$F490))),"Critical","Good"),IF($O490&lt;&gt;"Y","Critical",IF($Q490&lt;&gt;"Y","Warning","Good")),IF($P490="","Critical",IF($P490="partial","Warning",IF($P490="ready","Good","Critical"))),IF($R490&lt;&gt;"","Critical","Warning"),IF($L490="","Critical",IF($N490="","Warning","Good")),IF($R490&lt;&gt;"","Critical","Warning"),IF($R490&lt;&gt;"","Critical","Warning"),IF($Q490="Y","Good","Critical")))</f>
        <v/>
      </c>
      <c r="AI490" s="65" t="str">
        <f aca="false">IF($Y490="","",CHOOSE($Y490,IF(OR(TRIM($F490)="",ISNUMBER(SEARCH("not named",$F490))),"Name a sponsor accountable for the value",""),IF($O490&lt;&gt;"Y","State the success metric and the stop condition",IF($Q490&lt;&gt;"Y","Set the baseline the benefit will be measured against","")),IF($P490="","Assess data readiness and regulatory impact",IF($P490="partial","Close the known data gaps",IF($P490="ready","","Data is not available; reshape or park"))),IF($R490&lt;&gt;"",IF(OR(ISNUMBER(SEARCH("mrm",$R490)),ISNUMBER(SEARCH("model",$R490)),ISNUMBER(SEARCH("risk",$R490)),ISNUMBER(SEARCH("legal",$R490)),ISNUMBER(SEARCH("complian",$R490))),"Awaiting ","Held at the design gate: ")&amp;$R490,"Map the governance framework for its tier"),IF($L490="","Size the annual benefit",IF($N490="","Score it so it can be ranked against capacity","")),IF($R490&lt;&gt;"","Build held: "&amp;$R490,"In build, not yet through test"),IF($R490&lt;&gt;"","Not ready to scale: "&amp;$R490,"Monitoring and third-party review not yet signed off"),IF($Q490="Y","","Live without a measured baseline to judge it against")))</f>
        <v/>
      </c>
      <c r="AJ490" s="65" t="str">
        <f aca="false">IF($Y490="","",INDEX(StageForum,$Y490))</f>
        <v/>
      </c>
      <c r="AK490" s="65" t="str">
        <f aca="false">IF($Y490="","",IF(OR($X490="Delivery",$X490="Value"),"Committed",IF($N490&lt;&gt;"","Candidate","")))</f>
        <v/>
      </c>
      <c r="AL490" s="65" t="str">
        <f aca="false">IF($AK490&lt;&gt;"Candidate","",COUNTIFS($AK$2:$AK$501,"Candidate",$N$2:$N$501,"&gt;"&amp;$N490)+COUNTIFS($AK$2:$AK$501,"Candidate",$N$2:$N$501,$N490,$A$2:$A$501,"&lt;"&amp;$A490)+1)</f>
        <v/>
      </c>
      <c r="AM490" s="65" t="str">
        <f aca="false">IF($AL490="","",SUMIFS($M$2:$M$501,$AK$2:$AK$501,"Candidate",$AL$2:$AL$501,"&lt;="&amp;$AL490))</f>
        <v/>
      </c>
      <c r="AN490" s="65" t="str">
        <f aca="false">IF($AL490="","",IF($AM490&lt;=CapacityOpen,"Fits","Below line"))</f>
        <v/>
      </c>
      <c r="AO490" s="65" t="str">
        <f aca="false">IF($A490="","",IF($X490="Closed","",IF($X490="Unmapped","Warning",IF(OR($AB490="Overdue",$V490="Y",$AH490="Critical"),"Critical",IF(OR($AB490="At risk",$AC490="Stale",$AG490="Over"),"Warning","")))))</f>
        <v/>
      </c>
      <c r="AP490" s="65" t="str">
        <f aca="false">IF($AO490="","",IF($AO490="Critical",3000,2000)-IF($Z490="",0,$Z490)+ROW()/100000)</f>
        <v/>
      </c>
      <c r="AQ490" s="65" t="str">
        <f aca="false">IF($AO490="","",IF($X490="Unmapped","Status '"&amp;$C490&amp;"' is not in the Config map",IF($V490="Y","Flagged in Jira",IF($AB490="Overdue",-$Z490&amp;" days past its "&amp;$X490&amp;" target",IF($AH490="Critical",$AI490,IF($AB490="At risk","Target in "&amp;$Z490&amp;" days",IF($AC490="Stale","No update in "&amp;$AA490&amp;" days","Past its "&amp;$AE490&amp;"-day tier window")))))))</f>
        <v/>
      </c>
      <c r="AR490" s="65" t="str">
        <f aca="false">IF($AO490="","","draft Jira update for "&amp;$A490)</f>
        <v/>
      </c>
      <c r="AS490" s="65" t="str">
        <f aca="false">IF($A490="","",HYPERLINK(JiraSite&amp;"/browse/"&amp;$A490,"open"))</f>
        <v/>
      </c>
      <c r="AT490" s="65" t="str">
        <f aca="false">IF($Y490="","",$Y490*1000+ROW())</f>
        <v/>
      </c>
      <c r="AU490" s="65" t="str">
        <f aca="false">IF(AND($A490&lt;&gt;"",$G490&gt;=WeekStart),$G490+ROW()/100000,"")</f>
        <v/>
      </c>
      <c r="AV490" s="65" t="str">
        <f aca="false">IF($A490="","",IF(OR(AND($S490&lt;&gt;"",$S490&gt;=WeekStart),AND($U490&lt;&gt;"",$U490&gt;=WeekStart)),MAX($S490,$U490)+ROW()/100000,""))</f>
        <v/>
      </c>
      <c r="AW490" s="65" t="str">
        <f aca="false">IF($AV490="","",IF($T490&lt;&gt;"",$T490,IF($X490="Closed","Closed","Accepted to "&amp;$X490)))</f>
        <v/>
      </c>
      <c r="AX490" s="65" t="str">
        <f aca="false">IF(AND($Y490&lt;&gt;"",$R490&lt;&gt;""),$AF490+ROW()/100000,"")</f>
        <v/>
      </c>
      <c r="AY490" s="65" t="str">
        <f aca="false">IF(AND($Y490&lt;&gt;"",OR($AB490="Overdue",AND($AH490="Critical",$R490&lt;&gt;""))),$AF490+ROW()/100000,"")</f>
        <v/>
      </c>
      <c r="AZ490" s="65" t="str">
        <f aca="false">IF($AH490="Critical",$AF490+ROW()/100000,"")</f>
        <v/>
      </c>
    </row>
    <row r="491" customFormat="false" ht="15" hidden="false" customHeight="false" outlineLevel="0" collapsed="false">
      <c r="A491" s="28"/>
      <c r="B491" s="28"/>
      <c r="C491" s="28"/>
      <c r="D491" s="28"/>
      <c r="E491" s="28"/>
      <c r="F491" s="28"/>
      <c r="G491" s="63"/>
      <c r="H491" s="63"/>
      <c r="I491" s="63"/>
      <c r="J491" s="28"/>
      <c r="K491" s="28"/>
      <c r="L491" s="28"/>
      <c r="M491" s="28"/>
      <c r="N491" s="28"/>
      <c r="O491" s="64"/>
      <c r="P491" s="64"/>
      <c r="Q491" s="64"/>
      <c r="R491" s="28"/>
      <c r="S491" s="63"/>
      <c r="T491" s="64"/>
      <c r="U491" s="63"/>
      <c r="V491" s="64"/>
      <c r="W491" s="28"/>
      <c r="X491" s="65" t="str">
        <f aca="false">IF($A491="","",IF(OR($T491&lt;&gt;"",$U491&lt;&gt;""),"Closed",IFERROR(INDEX(MapStage,MATCH($C491,MapStatus,0)),"Unmapped")))</f>
        <v/>
      </c>
      <c r="Y491" s="65" t="str">
        <f aca="false">IF(OR($X491="",$X491="Closed",$X491="Unmapped"),"",MATCH($X491,StageName,0))</f>
        <v/>
      </c>
      <c r="Z491" s="65" t="str">
        <f aca="false">IF(OR($Y491="",$I491=""),"",$I491-AsOf)</f>
        <v/>
      </c>
      <c r="AA491" s="65" t="str">
        <f aca="false">IF($A491="","",AsOf-$H491)</f>
        <v/>
      </c>
      <c r="AB491" s="65" t="str">
        <f aca="false">IF($A491="","",IF($X491="Closed","Closed",IF($X491="Unmapped","Unmapped",IF($I491="","No target",IF($Z491&lt;0,"Overdue",IF($Z491&lt;=INDEX(StageWindow,$Y491),"At risk","On track"))))))</f>
        <v/>
      </c>
      <c r="AC491" s="65" t="str">
        <f aca="false">IF($Y491="","",IF($AA491&gt;2*INDEX(StageStale,$Y491),"Stale",IF($AA491&gt;INDEX(StageStale,$Y491),"Aging","Fresh")))</f>
        <v/>
      </c>
      <c r="AD491" s="65" t="str">
        <f aca="false">IF($A491="","",IF(OR(ISNUMBER(SEARCH("Reg report",$J491)),ISNUMBER(SEARCH("No human review",$J491)),COUNTIF(TierFuncs,$D491)&gt;0),"High",IF(OR(TRIM($J491)&lt;&gt;"",ISNUMBER(SEARCH("revenue",$K491))),"Medium","Low")))</f>
        <v/>
      </c>
      <c r="AE491" s="65" t="str">
        <f aca="false">IF($A491="","",INDEX(TierDays,MATCH($AD491,TierName,0)))</f>
        <v/>
      </c>
      <c r="AF491" s="65" t="str">
        <f aca="false">IF($A491="","",AsOf-$G491)</f>
        <v/>
      </c>
      <c r="AG491" s="65" t="str">
        <f aca="false">IF($Y491="","",IF($Y491&lt;=5,IF($AF491&gt;$AE491,"Over","Inside"),"Past approval"))</f>
        <v/>
      </c>
      <c r="AH491" s="65" t="str">
        <f aca="false">IF($Y491="","",CHOOSE($Y491,IF(OR(TRIM($F491)="",ISNUMBER(SEARCH("not named",$F491))),"Critical","Good"),IF($O491&lt;&gt;"Y","Critical",IF($Q491&lt;&gt;"Y","Warning","Good")),IF($P491="","Critical",IF($P491="partial","Warning",IF($P491="ready","Good","Critical"))),IF($R491&lt;&gt;"","Critical","Warning"),IF($L491="","Critical",IF($N491="","Warning","Good")),IF($R491&lt;&gt;"","Critical","Warning"),IF($R491&lt;&gt;"","Critical","Warning"),IF($Q491="Y","Good","Critical")))</f>
        <v/>
      </c>
      <c r="AI491" s="65" t="str">
        <f aca="false">IF($Y491="","",CHOOSE($Y491,IF(OR(TRIM($F491)="",ISNUMBER(SEARCH("not named",$F491))),"Name a sponsor accountable for the value",""),IF($O491&lt;&gt;"Y","State the success metric and the stop condition",IF($Q491&lt;&gt;"Y","Set the baseline the benefit will be measured against","")),IF($P491="","Assess data readiness and regulatory impact",IF($P491="partial","Close the known data gaps",IF($P491="ready","","Data is not available; reshape or park"))),IF($R491&lt;&gt;"",IF(OR(ISNUMBER(SEARCH("mrm",$R491)),ISNUMBER(SEARCH("model",$R491)),ISNUMBER(SEARCH("risk",$R491)),ISNUMBER(SEARCH("legal",$R491)),ISNUMBER(SEARCH("complian",$R491))),"Awaiting ","Held at the design gate: ")&amp;$R491,"Map the governance framework for its tier"),IF($L491="","Size the annual benefit",IF($N491="","Score it so it can be ranked against capacity","")),IF($R491&lt;&gt;"","Build held: "&amp;$R491,"In build, not yet through test"),IF($R491&lt;&gt;"","Not ready to scale: "&amp;$R491,"Monitoring and third-party review not yet signed off"),IF($Q491="Y","","Live without a measured baseline to judge it against")))</f>
        <v/>
      </c>
      <c r="AJ491" s="65" t="str">
        <f aca="false">IF($Y491="","",INDEX(StageForum,$Y491))</f>
        <v/>
      </c>
      <c r="AK491" s="65" t="str">
        <f aca="false">IF($Y491="","",IF(OR($X491="Delivery",$X491="Value"),"Committed",IF($N491&lt;&gt;"","Candidate","")))</f>
        <v/>
      </c>
      <c r="AL491" s="65" t="str">
        <f aca="false">IF($AK491&lt;&gt;"Candidate","",COUNTIFS($AK$2:$AK$501,"Candidate",$N$2:$N$501,"&gt;"&amp;$N491)+COUNTIFS($AK$2:$AK$501,"Candidate",$N$2:$N$501,$N491,$A$2:$A$501,"&lt;"&amp;$A491)+1)</f>
        <v/>
      </c>
      <c r="AM491" s="65" t="str">
        <f aca="false">IF($AL491="","",SUMIFS($M$2:$M$501,$AK$2:$AK$501,"Candidate",$AL$2:$AL$501,"&lt;="&amp;$AL491))</f>
        <v/>
      </c>
      <c r="AN491" s="65" t="str">
        <f aca="false">IF($AL491="","",IF($AM491&lt;=CapacityOpen,"Fits","Below line"))</f>
        <v/>
      </c>
      <c r="AO491" s="65" t="str">
        <f aca="false">IF($A491="","",IF($X491="Closed","",IF($X491="Unmapped","Warning",IF(OR($AB491="Overdue",$V491="Y",$AH491="Critical"),"Critical",IF(OR($AB491="At risk",$AC491="Stale",$AG491="Over"),"Warning","")))))</f>
        <v/>
      </c>
      <c r="AP491" s="65" t="str">
        <f aca="false">IF($AO491="","",IF($AO491="Critical",3000,2000)-IF($Z491="",0,$Z491)+ROW()/100000)</f>
        <v/>
      </c>
      <c r="AQ491" s="65" t="str">
        <f aca="false">IF($AO491="","",IF($X491="Unmapped","Status '"&amp;$C491&amp;"' is not in the Config map",IF($V491="Y","Flagged in Jira",IF($AB491="Overdue",-$Z491&amp;" days past its "&amp;$X491&amp;" target",IF($AH491="Critical",$AI491,IF($AB491="At risk","Target in "&amp;$Z491&amp;" days",IF($AC491="Stale","No update in "&amp;$AA491&amp;" days","Past its "&amp;$AE491&amp;"-day tier window")))))))</f>
        <v/>
      </c>
      <c r="AR491" s="65" t="str">
        <f aca="false">IF($AO491="","","draft Jira update for "&amp;$A491)</f>
        <v/>
      </c>
      <c r="AS491" s="65" t="str">
        <f aca="false">IF($A491="","",HYPERLINK(JiraSite&amp;"/browse/"&amp;$A491,"open"))</f>
        <v/>
      </c>
      <c r="AT491" s="65" t="str">
        <f aca="false">IF($Y491="","",$Y491*1000+ROW())</f>
        <v/>
      </c>
      <c r="AU491" s="65" t="str">
        <f aca="false">IF(AND($A491&lt;&gt;"",$G491&gt;=WeekStart),$G491+ROW()/100000,"")</f>
        <v/>
      </c>
      <c r="AV491" s="65" t="str">
        <f aca="false">IF($A491="","",IF(OR(AND($S491&lt;&gt;"",$S491&gt;=WeekStart),AND($U491&lt;&gt;"",$U491&gt;=WeekStart)),MAX($S491,$U491)+ROW()/100000,""))</f>
        <v/>
      </c>
      <c r="AW491" s="65" t="str">
        <f aca="false">IF($AV491="","",IF($T491&lt;&gt;"",$T491,IF($X491="Closed","Closed","Accepted to "&amp;$X491)))</f>
        <v/>
      </c>
      <c r="AX491" s="65" t="str">
        <f aca="false">IF(AND($Y491&lt;&gt;"",$R491&lt;&gt;""),$AF491+ROW()/100000,"")</f>
        <v/>
      </c>
      <c r="AY491" s="65" t="str">
        <f aca="false">IF(AND($Y491&lt;&gt;"",OR($AB491="Overdue",AND($AH491="Critical",$R491&lt;&gt;""))),$AF491+ROW()/100000,"")</f>
        <v/>
      </c>
      <c r="AZ491" s="65" t="str">
        <f aca="false">IF($AH491="Critical",$AF491+ROW()/100000,"")</f>
        <v/>
      </c>
    </row>
    <row r="492" customFormat="false" ht="15" hidden="false" customHeight="false" outlineLevel="0" collapsed="false">
      <c r="A492" s="28"/>
      <c r="B492" s="28"/>
      <c r="C492" s="28"/>
      <c r="D492" s="28"/>
      <c r="E492" s="28"/>
      <c r="F492" s="28"/>
      <c r="G492" s="63"/>
      <c r="H492" s="63"/>
      <c r="I492" s="63"/>
      <c r="J492" s="28"/>
      <c r="K492" s="28"/>
      <c r="L492" s="28"/>
      <c r="M492" s="28"/>
      <c r="N492" s="28"/>
      <c r="O492" s="64"/>
      <c r="P492" s="64"/>
      <c r="Q492" s="64"/>
      <c r="R492" s="28"/>
      <c r="S492" s="63"/>
      <c r="T492" s="64"/>
      <c r="U492" s="63"/>
      <c r="V492" s="64"/>
      <c r="W492" s="28"/>
      <c r="X492" s="65" t="str">
        <f aca="false">IF($A492="","",IF(OR($T492&lt;&gt;"",$U492&lt;&gt;""),"Closed",IFERROR(INDEX(MapStage,MATCH($C492,MapStatus,0)),"Unmapped")))</f>
        <v/>
      </c>
      <c r="Y492" s="65" t="str">
        <f aca="false">IF(OR($X492="",$X492="Closed",$X492="Unmapped"),"",MATCH($X492,StageName,0))</f>
        <v/>
      </c>
      <c r="Z492" s="65" t="str">
        <f aca="false">IF(OR($Y492="",$I492=""),"",$I492-AsOf)</f>
        <v/>
      </c>
      <c r="AA492" s="65" t="str">
        <f aca="false">IF($A492="","",AsOf-$H492)</f>
        <v/>
      </c>
      <c r="AB492" s="65" t="str">
        <f aca="false">IF($A492="","",IF($X492="Closed","Closed",IF($X492="Unmapped","Unmapped",IF($I492="","No target",IF($Z492&lt;0,"Overdue",IF($Z492&lt;=INDEX(StageWindow,$Y492),"At risk","On track"))))))</f>
        <v/>
      </c>
      <c r="AC492" s="65" t="str">
        <f aca="false">IF($Y492="","",IF($AA492&gt;2*INDEX(StageStale,$Y492),"Stale",IF($AA492&gt;INDEX(StageStale,$Y492),"Aging","Fresh")))</f>
        <v/>
      </c>
      <c r="AD492" s="65" t="str">
        <f aca="false">IF($A492="","",IF(OR(ISNUMBER(SEARCH("Reg report",$J492)),ISNUMBER(SEARCH("No human review",$J492)),COUNTIF(TierFuncs,$D492)&gt;0),"High",IF(OR(TRIM($J492)&lt;&gt;"",ISNUMBER(SEARCH("revenue",$K492))),"Medium","Low")))</f>
        <v/>
      </c>
      <c r="AE492" s="65" t="str">
        <f aca="false">IF($A492="","",INDEX(TierDays,MATCH($AD492,TierName,0)))</f>
        <v/>
      </c>
      <c r="AF492" s="65" t="str">
        <f aca="false">IF($A492="","",AsOf-$G492)</f>
        <v/>
      </c>
      <c r="AG492" s="65" t="str">
        <f aca="false">IF($Y492="","",IF($Y492&lt;=5,IF($AF492&gt;$AE492,"Over","Inside"),"Past approval"))</f>
        <v/>
      </c>
      <c r="AH492" s="65" t="str">
        <f aca="false">IF($Y492="","",CHOOSE($Y492,IF(OR(TRIM($F492)="",ISNUMBER(SEARCH("not named",$F492))),"Critical","Good"),IF($O492&lt;&gt;"Y","Critical",IF($Q492&lt;&gt;"Y","Warning","Good")),IF($P492="","Critical",IF($P492="partial","Warning",IF($P492="ready","Good","Critical"))),IF($R492&lt;&gt;"","Critical","Warning"),IF($L492="","Critical",IF($N492="","Warning","Good")),IF($R492&lt;&gt;"","Critical","Warning"),IF($R492&lt;&gt;"","Critical","Warning"),IF($Q492="Y","Good","Critical")))</f>
        <v/>
      </c>
      <c r="AI492" s="65" t="str">
        <f aca="false">IF($Y492="","",CHOOSE($Y492,IF(OR(TRIM($F492)="",ISNUMBER(SEARCH("not named",$F492))),"Name a sponsor accountable for the value",""),IF($O492&lt;&gt;"Y","State the success metric and the stop condition",IF($Q492&lt;&gt;"Y","Set the baseline the benefit will be measured against","")),IF($P492="","Assess data readiness and regulatory impact",IF($P492="partial","Close the known data gaps",IF($P492="ready","","Data is not available; reshape or park"))),IF($R492&lt;&gt;"",IF(OR(ISNUMBER(SEARCH("mrm",$R492)),ISNUMBER(SEARCH("model",$R492)),ISNUMBER(SEARCH("risk",$R492)),ISNUMBER(SEARCH("legal",$R492)),ISNUMBER(SEARCH("complian",$R492))),"Awaiting ","Held at the design gate: ")&amp;$R492,"Map the governance framework for its tier"),IF($L492="","Size the annual benefit",IF($N492="","Score it so it can be ranked against capacity","")),IF($R492&lt;&gt;"","Build held: "&amp;$R492,"In build, not yet through test"),IF($R492&lt;&gt;"","Not ready to scale: "&amp;$R492,"Monitoring and third-party review not yet signed off"),IF($Q492="Y","","Live without a measured baseline to judge it against")))</f>
        <v/>
      </c>
      <c r="AJ492" s="65" t="str">
        <f aca="false">IF($Y492="","",INDEX(StageForum,$Y492))</f>
        <v/>
      </c>
      <c r="AK492" s="65" t="str">
        <f aca="false">IF($Y492="","",IF(OR($X492="Delivery",$X492="Value"),"Committed",IF($N492&lt;&gt;"","Candidate","")))</f>
        <v/>
      </c>
      <c r="AL492" s="65" t="str">
        <f aca="false">IF($AK492&lt;&gt;"Candidate","",COUNTIFS($AK$2:$AK$501,"Candidate",$N$2:$N$501,"&gt;"&amp;$N492)+COUNTIFS($AK$2:$AK$501,"Candidate",$N$2:$N$501,$N492,$A$2:$A$501,"&lt;"&amp;$A492)+1)</f>
        <v/>
      </c>
      <c r="AM492" s="65" t="str">
        <f aca="false">IF($AL492="","",SUMIFS($M$2:$M$501,$AK$2:$AK$501,"Candidate",$AL$2:$AL$501,"&lt;="&amp;$AL492))</f>
        <v/>
      </c>
      <c r="AN492" s="65" t="str">
        <f aca="false">IF($AL492="","",IF($AM492&lt;=CapacityOpen,"Fits","Below line"))</f>
        <v/>
      </c>
      <c r="AO492" s="65" t="str">
        <f aca="false">IF($A492="","",IF($X492="Closed","",IF($X492="Unmapped","Warning",IF(OR($AB492="Overdue",$V492="Y",$AH492="Critical"),"Critical",IF(OR($AB492="At risk",$AC492="Stale",$AG492="Over"),"Warning","")))))</f>
        <v/>
      </c>
      <c r="AP492" s="65" t="str">
        <f aca="false">IF($AO492="","",IF($AO492="Critical",3000,2000)-IF($Z492="",0,$Z492)+ROW()/100000)</f>
        <v/>
      </c>
      <c r="AQ492" s="65" t="str">
        <f aca="false">IF($AO492="","",IF($X492="Unmapped","Status '"&amp;$C492&amp;"' is not in the Config map",IF($V492="Y","Flagged in Jira",IF($AB492="Overdue",-$Z492&amp;" days past its "&amp;$X492&amp;" target",IF($AH492="Critical",$AI492,IF($AB492="At risk","Target in "&amp;$Z492&amp;" days",IF($AC492="Stale","No update in "&amp;$AA492&amp;" days","Past its "&amp;$AE492&amp;"-day tier window")))))))</f>
        <v/>
      </c>
      <c r="AR492" s="65" t="str">
        <f aca="false">IF($AO492="","","draft Jira update for "&amp;$A492)</f>
        <v/>
      </c>
      <c r="AS492" s="65" t="str">
        <f aca="false">IF($A492="","",HYPERLINK(JiraSite&amp;"/browse/"&amp;$A492,"open"))</f>
        <v/>
      </c>
      <c r="AT492" s="65" t="str">
        <f aca="false">IF($Y492="","",$Y492*1000+ROW())</f>
        <v/>
      </c>
      <c r="AU492" s="65" t="str">
        <f aca="false">IF(AND($A492&lt;&gt;"",$G492&gt;=WeekStart),$G492+ROW()/100000,"")</f>
        <v/>
      </c>
      <c r="AV492" s="65" t="str">
        <f aca="false">IF($A492="","",IF(OR(AND($S492&lt;&gt;"",$S492&gt;=WeekStart),AND($U492&lt;&gt;"",$U492&gt;=WeekStart)),MAX($S492,$U492)+ROW()/100000,""))</f>
        <v/>
      </c>
      <c r="AW492" s="65" t="str">
        <f aca="false">IF($AV492="","",IF($T492&lt;&gt;"",$T492,IF($X492="Closed","Closed","Accepted to "&amp;$X492)))</f>
        <v/>
      </c>
      <c r="AX492" s="65" t="str">
        <f aca="false">IF(AND($Y492&lt;&gt;"",$R492&lt;&gt;""),$AF492+ROW()/100000,"")</f>
        <v/>
      </c>
      <c r="AY492" s="65" t="str">
        <f aca="false">IF(AND($Y492&lt;&gt;"",OR($AB492="Overdue",AND($AH492="Critical",$R492&lt;&gt;""))),$AF492+ROW()/100000,"")</f>
        <v/>
      </c>
      <c r="AZ492" s="65" t="str">
        <f aca="false">IF($AH492="Critical",$AF492+ROW()/100000,"")</f>
        <v/>
      </c>
    </row>
    <row r="493" customFormat="false" ht="15" hidden="false" customHeight="false" outlineLevel="0" collapsed="false">
      <c r="A493" s="28"/>
      <c r="B493" s="28"/>
      <c r="C493" s="28"/>
      <c r="D493" s="28"/>
      <c r="E493" s="28"/>
      <c r="F493" s="28"/>
      <c r="G493" s="63"/>
      <c r="H493" s="63"/>
      <c r="I493" s="63"/>
      <c r="J493" s="28"/>
      <c r="K493" s="28"/>
      <c r="L493" s="28"/>
      <c r="M493" s="28"/>
      <c r="N493" s="28"/>
      <c r="O493" s="64"/>
      <c r="P493" s="64"/>
      <c r="Q493" s="64"/>
      <c r="R493" s="28"/>
      <c r="S493" s="63"/>
      <c r="T493" s="64"/>
      <c r="U493" s="63"/>
      <c r="V493" s="64"/>
      <c r="W493" s="28"/>
      <c r="X493" s="65" t="str">
        <f aca="false">IF($A493="","",IF(OR($T493&lt;&gt;"",$U493&lt;&gt;""),"Closed",IFERROR(INDEX(MapStage,MATCH($C493,MapStatus,0)),"Unmapped")))</f>
        <v/>
      </c>
      <c r="Y493" s="65" t="str">
        <f aca="false">IF(OR($X493="",$X493="Closed",$X493="Unmapped"),"",MATCH($X493,StageName,0))</f>
        <v/>
      </c>
      <c r="Z493" s="65" t="str">
        <f aca="false">IF(OR($Y493="",$I493=""),"",$I493-AsOf)</f>
        <v/>
      </c>
      <c r="AA493" s="65" t="str">
        <f aca="false">IF($A493="","",AsOf-$H493)</f>
        <v/>
      </c>
      <c r="AB493" s="65" t="str">
        <f aca="false">IF($A493="","",IF($X493="Closed","Closed",IF($X493="Unmapped","Unmapped",IF($I493="","No target",IF($Z493&lt;0,"Overdue",IF($Z493&lt;=INDEX(StageWindow,$Y493),"At risk","On track"))))))</f>
        <v/>
      </c>
      <c r="AC493" s="65" t="str">
        <f aca="false">IF($Y493="","",IF($AA493&gt;2*INDEX(StageStale,$Y493),"Stale",IF($AA493&gt;INDEX(StageStale,$Y493),"Aging","Fresh")))</f>
        <v/>
      </c>
      <c r="AD493" s="65" t="str">
        <f aca="false">IF($A493="","",IF(OR(ISNUMBER(SEARCH("Reg report",$J493)),ISNUMBER(SEARCH("No human review",$J493)),COUNTIF(TierFuncs,$D493)&gt;0),"High",IF(OR(TRIM($J493)&lt;&gt;"",ISNUMBER(SEARCH("revenue",$K493))),"Medium","Low")))</f>
        <v/>
      </c>
      <c r="AE493" s="65" t="str">
        <f aca="false">IF($A493="","",INDEX(TierDays,MATCH($AD493,TierName,0)))</f>
        <v/>
      </c>
      <c r="AF493" s="65" t="str">
        <f aca="false">IF($A493="","",AsOf-$G493)</f>
        <v/>
      </c>
      <c r="AG493" s="65" t="str">
        <f aca="false">IF($Y493="","",IF($Y493&lt;=5,IF($AF493&gt;$AE493,"Over","Inside"),"Past approval"))</f>
        <v/>
      </c>
      <c r="AH493" s="65" t="str">
        <f aca="false">IF($Y493="","",CHOOSE($Y493,IF(OR(TRIM($F493)="",ISNUMBER(SEARCH("not named",$F493))),"Critical","Good"),IF($O493&lt;&gt;"Y","Critical",IF($Q493&lt;&gt;"Y","Warning","Good")),IF($P493="","Critical",IF($P493="partial","Warning",IF($P493="ready","Good","Critical"))),IF($R493&lt;&gt;"","Critical","Warning"),IF($L493="","Critical",IF($N493="","Warning","Good")),IF($R493&lt;&gt;"","Critical","Warning"),IF($R493&lt;&gt;"","Critical","Warning"),IF($Q493="Y","Good","Critical")))</f>
        <v/>
      </c>
      <c r="AI493" s="65" t="str">
        <f aca="false">IF($Y493="","",CHOOSE($Y493,IF(OR(TRIM($F493)="",ISNUMBER(SEARCH("not named",$F493))),"Name a sponsor accountable for the value",""),IF($O493&lt;&gt;"Y","State the success metric and the stop condition",IF($Q493&lt;&gt;"Y","Set the baseline the benefit will be measured against","")),IF($P493="","Assess data readiness and regulatory impact",IF($P493="partial","Close the known data gaps",IF($P493="ready","","Data is not available; reshape or park"))),IF($R493&lt;&gt;"",IF(OR(ISNUMBER(SEARCH("mrm",$R493)),ISNUMBER(SEARCH("model",$R493)),ISNUMBER(SEARCH("risk",$R493)),ISNUMBER(SEARCH("legal",$R493)),ISNUMBER(SEARCH("complian",$R493))),"Awaiting ","Held at the design gate: ")&amp;$R493,"Map the governance framework for its tier"),IF($L493="","Size the annual benefit",IF($N493="","Score it so it can be ranked against capacity","")),IF($R493&lt;&gt;"","Build held: "&amp;$R493,"In build, not yet through test"),IF($R493&lt;&gt;"","Not ready to scale: "&amp;$R493,"Monitoring and third-party review not yet signed off"),IF($Q493="Y","","Live without a measured baseline to judge it against")))</f>
        <v/>
      </c>
      <c r="AJ493" s="65" t="str">
        <f aca="false">IF($Y493="","",INDEX(StageForum,$Y493))</f>
        <v/>
      </c>
      <c r="AK493" s="65" t="str">
        <f aca="false">IF($Y493="","",IF(OR($X493="Delivery",$X493="Value"),"Committed",IF($N493&lt;&gt;"","Candidate","")))</f>
        <v/>
      </c>
      <c r="AL493" s="65" t="str">
        <f aca="false">IF($AK493&lt;&gt;"Candidate","",COUNTIFS($AK$2:$AK$501,"Candidate",$N$2:$N$501,"&gt;"&amp;$N493)+COUNTIFS($AK$2:$AK$501,"Candidate",$N$2:$N$501,$N493,$A$2:$A$501,"&lt;"&amp;$A493)+1)</f>
        <v/>
      </c>
      <c r="AM493" s="65" t="str">
        <f aca="false">IF($AL493="","",SUMIFS($M$2:$M$501,$AK$2:$AK$501,"Candidate",$AL$2:$AL$501,"&lt;="&amp;$AL493))</f>
        <v/>
      </c>
      <c r="AN493" s="65" t="str">
        <f aca="false">IF($AL493="","",IF($AM493&lt;=CapacityOpen,"Fits","Below line"))</f>
        <v/>
      </c>
      <c r="AO493" s="65" t="str">
        <f aca="false">IF($A493="","",IF($X493="Closed","",IF($X493="Unmapped","Warning",IF(OR($AB493="Overdue",$V493="Y",$AH493="Critical"),"Critical",IF(OR($AB493="At risk",$AC493="Stale",$AG493="Over"),"Warning","")))))</f>
        <v/>
      </c>
      <c r="AP493" s="65" t="str">
        <f aca="false">IF($AO493="","",IF($AO493="Critical",3000,2000)-IF($Z493="",0,$Z493)+ROW()/100000)</f>
        <v/>
      </c>
      <c r="AQ493" s="65" t="str">
        <f aca="false">IF($AO493="","",IF($X493="Unmapped","Status '"&amp;$C493&amp;"' is not in the Config map",IF($V493="Y","Flagged in Jira",IF($AB493="Overdue",-$Z493&amp;" days past its "&amp;$X493&amp;" target",IF($AH493="Critical",$AI493,IF($AB493="At risk","Target in "&amp;$Z493&amp;" days",IF($AC493="Stale","No update in "&amp;$AA493&amp;" days","Past its "&amp;$AE493&amp;"-day tier window")))))))</f>
        <v/>
      </c>
      <c r="AR493" s="65" t="str">
        <f aca="false">IF($AO493="","","draft Jira update for "&amp;$A493)</f>
        <v/>
      </c>
      <c r="AS493" s="65" t="str">
        <f aca="false">IF($A493="","",HYPERLINK(JiraSite&amp;"/browse/"&amp;$A493,"open"))</f>
        <v/>
      </c>
      <c r="AT493" s="65" t="str">
        <f aca="false">IF($Y493="","",$Y493*1000+ROW())</f>
        <v/>
      </c>
      <c r="AU493" s="65" t="str">
        <f aca="false">IF(AND($A493&lt;&gt;"",$G493&gt;=WeekStart),$G493+ROW()/100000,"")</f>
        <v/>
      </c>
      <c r="AV493" s="65" t="str">
        <f aca="false">IF($A493="","",IF(OR(AND($S493&lt;&gt;"",$S493&gt;=WeekStart),AND($U493&lt;&gt;"",$U493&gt;=WeekStart)),MAX($S493,$U493)+ROW()/100000,""))</f>
        <v/>
      </c>
      <c r="AW493" s="65" t="str">
        <f aca="false">IF($AV493="","",IF($T493&lt;&gt;"",$T493,IF($X493="Closed","Closed","Accepted to "&amp;$X493)))</f>
        <v/>
      </c>
      <c r="AX493" s="65" t="str">
        <f aca="false">IF(AND($Y493&lt;&gt;"",$R493&lt;&gt;""),$AF493+ROW()/100000,"")</f>
        <v/>
      </c>
      <c r="AY493" s="65" t="str">
        <f aca="false">IF(AND($Y493&lt;&gt;"",OR($AB493="Overdue",AND($AH493="Critical",$R493&lt;&gt;""))),$AF493+ROW()/100000,"")</f>
        <v/>
      </c>
      <c r="AZ493" s="65" t="str">
        <f aca="false">IF($AH493="Critical",$AF493+ROW()/100000,"")</f>
        <v/>
      </c>
    </row>
    <row r="494" customFormat="false" ht="15" hidden="false" customHeight="false" outlineLevel="0" collapsed="false">
      <c r="A494" s="28"/>
      <c r="B494" s="28"/>
      <c r="C494" s="28"/>
      <c r="D494" s="28"/>
      <c r="E494" s="28"/>
      <c r="F494" s="28"/>
      <c r="G494" s="63"/>
      <c r="H494" s="63"/>
      <c r="I494" s="63"/>
      <c r="J494" s="28"/>
      <c r="K494" s="28"/>
      <c r="L494" s="28"/>
      <c r="M494" s="28"/>
      <c r="N494" s="28"/>
      <c r="O494" s="64"/>
      <c r="P494" s="64"/>
      <c r="Q494" s="64"/>
      <c r="R494" s="28"/>
      <c r="S494" s="63"/>
      <c r="T494" s="64"/>
      <c r="U494" s="63"/>
      <c r="V494" s="64"/>
      <c r="W494" s="28"/>
      <c r="X494" s="65" t="str">
        <f aca="false">IF($A494="","",IF(OR($T494&lt;&gt;"",$U494&lt;&gt;""),"Closed",IFERROR(INDEX(MapStage,MATCH($C494,MapStatus,0)),"Unmapped")))</f>
        <v/>
      </c>
      <c r="Y494" s="65" t="str">
        <f aca="false">IF(OR($X494="",$X494="Closed",$X494="Unmapped"),"",MATCH($X494,StageName,0))</f>
        <v/>
      </c>
      <c r="Z494" s="65" t="str">
        <f aca="false">IF(OR($Y494="",$I494=""),"",$I494-AsOf)</f>
        <v/>
      </c>
      <c r="AA494" s="65" t="str">
        <f aca="false">IF($A494="","",AsOf-$H494)</f>
        <v/>
      </c>
      <c r="AB494" s="65" t="str">
        <f aca="false">IF($A494="","",IF($X494="Closed","Closed",IF($X494="Unmapped","Unmapped",IF($I494="","No target",IF($Z494&lt;0,"Overdue",IF($Z494&lt;=INDEX(StageWindow,$Y494),"At risk","On track"))))))</f>
        <v/>
      </c>
      <c r="AC494" s="65" t="str">
        <f aca="false">IF($Y494="","",IF($AA494&gt;2*INDEX(StageStale,$Y494),"Stale",IF($AA494&gt;INDEX(StageStale,$Y494),"Aging","Fresh")))</f>
        <v/>
      </c>
      <c r="AD494" s="65" t="str">
        <f aca="false">IF($A494="","",IF(OR(ISNUMBER(SEARCH("Reg report",$J494)),ISNUMBER(SEARCH("No human review",$J494)),COUNTIF(TierFuncs,$D494)&gt;0),"High",IF(OR(TRIM($J494)&lt;&gt;"",ISNUMBER(SEARCH("revenue",$K494))),"Medium","Low")))</f>
        <v/>
      </c>
      <c r="AE494" s="65" t="str">
        <f aca="false">IF($A494="","",INDEX(TierDays,MATCH($AD494,TierName,0)))</f>
        <v/>
      </c>
      <c r="AF494" s="65" t="str">
        <f aca="false">IF($A494="","",AsOf-$G494)</f>
        <v/>
      </c>
      <c r="AG494" s="65" t="str">
        <f aca="false">IF($Y494="","",IF($Y494&lt;=5,IF($AF494&gt;$AE494,"Over","Inside"),"Past approval"))</f>
        <v/>
      </c>
      <c r="AH494" s="65" t="str">
        <f aca="false">IF($Y494="","",CHOOSE($Y494,IF(OR(TRIM($F494)="",ISNUMBER(SEARCH("not named",$F494))),"Critical","Good"),IF($O494&lt;&gt;"Y","Critical",IF($Q494&lt;&gt;"Y","Warning","Good")),IF($P494="","Critical",IF($P494="partial","Warning",IF($P494="ready","Good","Critical"))),IF($R494&lt;&gt;"","Critical","Warning"),IF($L494="","Critical",IF($N494="","Warning","Good")),IF($R494&lt;&gt;"","Critical","Warning"),IF($R494&lt;&gt;"","Critical","Warning"),IF($Q494="Y","Good","Critical")))</f>
        <v/>
      </c>
      <c r="AI494" s="65" t="str">
        <f aca="false">IF($Y494="","",CHOOSE($Y494,IF(OR(TRIM($F494)="",ISNUMBER(SEARCH("not named",$F494))),"Name a sponsor accountable for the value",""),IF($O494&lt;&gt;"Y","State the success metric and the stop condition",IF($Q494&lt;&gt;"Y","Set the baseline the benefit will be measured against","")),IF($P494="","Assess data readiness and regulatory impact",IF($P494="partial","Close the known data gaps",IF($P494="ready","","Data is not available; reshape or park"))),IF($R494&lt;&gt;"",IF(OR(ISNUMBER(SEARCH("mrm",$R494)),ISNUMBER(SEARCH("model",$R494)),ISNUMBER(SEARCH("risk",$R494)),ISNUMBER(SEARCH("legal",$R494)),ISNUMBER(SEARCH("complian",$R494))),"Awaiting ","Held at the design gate: ")&amp;$R494,"Map the governance framework for its tier"),IF($L494="","Size the annual benefit",IF($N494="","Score it so it can be ranked against capacity","")),IF($R494&lt;&gt;"","Build held: "&amp;$R494,"In build, not yet through test"),IF($R494&lt;&gt;"","Not ready to scale: "&amp;$R494,"Monitoring and third-party review not yet signed off"),IF($Q494="Y","","Live without a measured baseline to judge it against")))</f>
        <v/>
      </c>
      <c r="AJ494" s="65" t="str">
        <f aca="false">IF($Y494="","",INDEX(StageForum,$Y494))</f>
        <v/>
      </c>
      <c r="AK494" s="65" t="str">
        <f aca="false">IF($Y494="","",IF(OR($X494="Delivery",$X494="Value"),"Committed",IF($N494&lt;&gt;"","Candidate","")))</f>
        <v/>
      </c>
      <c r="AL494" s="65" t="str">
        <f aca="false">IF($AK494&lt;&gt;"Candidate","",COUNTIFS($AK$2:$AK$501,"Candidate",$N$2:$N$501,"&gt;"&amp;$N494)+COUNTIFS($AK$2:$AK$501,"Candidate",$N$2:$N$501,$N494,$A$2:$A$501,"&lt;"&amp;$A494)+1)</f>
        <v/>
      </c>
      <c r="AM494" s="65" t="str">
        <f aca="false">IF($AL494="","",SUMIFS($M$2:$M$501,$AK$2:$AK$501,"Candidate",$AL$2:$AL$501,"&lt;="&amp;$AL494))</f>
        <v/>
      </c>
      <c r="AN494" s="65" t="str">
        <f aca="false">IF($AL494="","",IF($AM494&lt;=CapacityOpen,"Fits","Below line"))</f>
        <v/>
      </c>
      <c r="AO494" s="65" t="str">
        <f aca="false">IF($A494="","",IF($X494="Closed","",IF($X494="Unmapped","Warning",IF(OR($AB494="Overdue",$V494="Y",$AH494="Critical"),"Critical",IF(OR($AB494="At risk",$AC494="Stale",$AG494="Over"),"Warning","")))))</f>
        <v/>
      </c>
      <c r="AP494" s="65" t="str">
        <f aca="false">IF($AO494="","",IF($AO494="Critical",3000,2000)-IF($Z494="",0,$Z494)+ROW()/100000)</f>
        <v/>
      </c>
      <c r="AQ494" s="65" t="str">
        <f aca="false">IF($AO494="","",IF($X494="Unmapped","Status '"&amp;$C494&amp;"' is not in the Config map",IF($V494="Y","Flagged in Jira",IF($AB494="Overdue",-$Z494&amp;" days past its "&amp;$X494&amp;" target",IF($AH494="Critical",$AI494,IF($AB494="At risk","Target in "&amp;$Z494&amp;" days",IF($AC494="Stale","No update in "&amp;$AA494&amp;" days","Past its "&amp;$AE494&amp;"-day tier window")))))))</f>
        <v/>
      </c>
      <c r="AR494" s="65" t="str">
        <f aca="false">IF($AO494="","","draft Jira update for "&amp;$A494)</f>
        <v/>
      </c>
      <c r="AS494" s="65" t="str">
        <f aca="false">IF($A494="","",HYPERLINK(JiraSite&amp;"/browse/"&amp;$A494,"open"))</f>
        <v/>
      </c>
      <c r="AT494" s="65" t="str">
        <f aca="false">IF($Y494="","",$Y494*1000+ROW())</f>
        <v/>
      </c>
      <c r="AU494" s="65" t="str">
        <f aca="false">IF(AND($A494&lt;&gt;"",$G494&gt;=WeekStart),$G494+ROW()/100000,"")</f>
        <v/>
      </c>
      <c r="AV494" s="65" t="str">
        <f aca="false">IF($A494="","",IF(OR(AND($S494&lt;&gt;"",$S494&gt;=WeekStart),AND($U494&lt;&gt;"",$U494&gt;=WeekStart)),MAX($S494,$U494)+ROW()/100000,""))</f>
        <v/>
      </c>
      <c r="AW494" s="65" t="str">
        <f aca="false">IF($AV494="","",IF($T494&lt;&gt;"",$T494,IF($X494="Closed","Closed","Accepted to "&amp;$X494)))</f>
        <v/>
      </c>
      <c r="AX494" s="65" t="str">
        <f aca="false">IF(AND($Y494&lt;&gt;"",$R494&lt;&gt;""),$AF494+ROW()/100000,"")</f>
        <v/>
      </c>
      <c r="AY494" s="65" t="str">
        <f aca="false">IF(AND($Y494&lt;&gt;"",OR($AB494="Overdue",AND($AH494="Critical",$R494&lt;&gt;""))),$AF494+ROW()/100000,"")</f>
        <v/>
      </c>
      <c r="AZ494" s="65" t="str">
        <f aca="false">IF($AH494="Critical",$AF494+ROW()/100000,"")</f>
        <v/>
      </c>
    </row>
    <row r="495" customFormat="false" ht="15" hidden="false" customHeight="false" outlineLevel="0" collapsed="false">
      <c r="A495" s="28"/>
      <c r="B495" s="28"/>
      <c r="C495" s="28"/>
      <c r="D495" s="28"/>
      <c r="E495" s="28"/>
      <c r="F495" s="28"/>
      <c r="G495" s="63"/>
      <c r="H495" s="63"/>
      <c r="I495" s="63"/>
      <c r="J495" s="28"/>
      <c r="K495" s="28"/>
      <c r="L495" s="28"/>
      <c r="M495" s="28"/>
      <c r="N495" s="28"/>
      <c r="O495" s="64"/>
      <c r="P495" s="64"/>
      <c r="Q495" s="64"/>
      <c r="R495" s="28"/>
      <c r="S495" s="63"/>
      <c r="T495" s="64"/>
      <c r="U495" s="63"/>
      <c r="V495" s="64"/>
      <c r="W495" s="28"/>
      <c r="X495" s="65" t="str">
        <f aca="false">IF($A495="","",IF(OR($T495&lt;&gt;"",$U495&lt;&gt;""),"Closed",IFERROR(INDEX(MapStage,MATCH($C495,MapStatus,0)),"Unmapped")))</f>
        <v/>
      </c>
      <c r="Y495" s="65" t="str">
        <f aca="false">IF(OR($X495="",$X495="Closed",$X495="Unmapped"),"",MATCH($X495,StageName,0))</f>
        <v/>
      </c>
      <c r="Z495" s="65" t="str">
        <f aca="false">IF(OR($Y495="",$I495=""),"",$I495-AsOf)</f>
        <v/>
      </c>
      <c r="AA495" s="65" t="str">
        <f aca="false">IF($A495="","",AsOf-$H495)</f>
        <v/>
      </c>
      <c r="AB495" s="65" t="str">
        <f aca="false">IF($A495="","",IF($X495="Closed","Closed",IF($X495="Unmapped","Unmapped",IF($I495="","No target",IF($Z495&lt;0,"Overdue",IF($Z495&lt;=INDEX(StageWindow,$Y495),"At risk","On track"))))))</f>
        <v/>
      </c>
      <c r="AC495" s="65" t="str">
        <f aca="false">IF($Y495="","",IF($AA495&gt;2*INDEX(StageStale,$Y495),"Stale",IF($AA495&gt;INDEX(StageStale,$Y495),"Aging","Fresh")))</f>
        <v/>
      </c>
      <c r="AD495" s="65" t="str">
        <f aca="false">IF($A495="","",IF(OR(ISNUMBER(SEARCH("Reg report",$J495)),ISNUMBER(SEARCH("No human review",$J495)),COUNTIF(TierFuncs,$D495)&gt;0),"High",IF(OR(TRIM($J495)&lt;&gt;"",ISNUMBER(SEARCH("revenue",$K495))),"Medium","Low")))</f>
        <v/>
      </c>
      <c r="AE495" s="65" t="str">
        <f aca="false">IF($A495="","",INDEX(TierDays,MATCH($AD495,TierName,0)))</f>
        <v/>
      </c>
      <c r="AF495" s="65" t="str">
        <f aca="false">IF($A495="","",AsOf-$G495)</f>
        <v/>
      </c>
      <c r="AG495" s="65" t="str">
        <f aca="false">IF($Y495="","",IF($Y495&lt;=5,IF($AF495&gt;$AE495,"Over","Inside"),"Past approval"))</f>
        <v/>
      </c>
      <c r="AH495" s="65" t="str">
        <f aca="false">IF($Y495="","",CHOOSE($Y495,IF(OR(TRIM($F495)="",ISNUMBER(SEARCH("not named",$F495))),"Critical","Good"),IF($O495&lt;&gt;"Y","Critical",IF($Q495&lt;&gt;"Y","Warning","Good")),IF($P495="","Critical",IF($P495="partial","Warning",IF($P495="ready","Good","Critical"))),IF($R495&lt;&gt;"","Critical","Warning"),IF($L495="","Critical",IF($N495="","Warning","Good")),IF($R495&lt;&gt;"","Critical","Warning"),IF($R495&lt;&gt;"","Critical","Warning"),IF($Q495="Y","Good","Critical")))</f>
        <v/>
      </c>
      <c r="AI495" s="65" t="str">
        <f aca="false">IF($Y495="","",CHOOSE($Y495,IF(OR(TRIM($F495)="",ISNUMBER(SEARCH("not named",$F495))),"Name a sponsor accountable for the value",""),IF($O495&lt;&gt;"Y","State the success metric and the stop condition",IF($Q495&lt;&gt;"Y","Set the baseline the benefit will be measured against","")),IF($P495="","Assess data readiness and regulatory impact",IF($P495="partial","Close the known data gaps",IF($P495="ready","","Data is not available; reshape or park"))),IF($R495&lt;&gt;"",IF(OR(ISNUMBER(SEARCH("mrm",$R495)),ISNUMBER(SEARCH("model",$R495)),ISNUMBER(SEARCH("risk",$R495)),ISNUMBER(SEARCH("legal",$R495)),ISNUMBER(SEARCH("complian",$R495))),"Awaiting ","Held at the design gate: ")&amp;$R495,"Map the governance framework for its tier"),IF($L495="","Size the annual benefit",IF($N495="","Score it so it can be ranked against capacity","")),IF($R495&lt;&gt;"","Build held: "&amp;$R495,"In build, not yet through test"),IF($R495&lt;&gt;"","Not ready to scale: "&amp;$R495,"Monitoring and third-party review not yet signed off"),IF($Q495="Y","","Live without a measured baseline to judge it against")))</f>
        <v/>
      </c>
      <c r="AJ495" s="65" t="str">
        <f aca="false">IF($Y495="","",INDEX(StageForum,$Y495))</f>
        <v/>
      </c>
      <c r="AK495" s="65" t="str">
        <f aca="false">IF($Y495="","",IF(OR($X495="Delivery",$X495="Value"),"Committed",IF($N495&lt;&gt;"","Candidate","")))</f>
        <v/>
      </c>
      <c r="AL495" s="65" t="str">
        <f aca="false">IF($AK495&lt;&gt;"Candidate","",COUNTIFS($AK$2:$AK$501,"Candidate",$N$2:$N$501,"&gt;"&amp;$N495)+COUNTIFS($AK$2:$AK$501,"Candidate",$N$2:$N$501,$N495,$A$2:$A$501,"&lt;"&amp;$A495)+1)</f>
        <v/>
      </c>
      <c r="AM495" s="65" t="str">
        <f aca="false">IF($AL495="","",SUMIFS($M$2:$M$501,$AK$2:$AK$501,"Candidate",$AL$2:$AL$501,"&lt;="&amp;$AL495))</f>
        <v/>
      </c>
      <c r="AN495" s="65" t="str">
        <f aca="false">IF($AL495="","",IF($AM495&lt;=CapacityOpen,"Fits","Below line"))</f>
        <v/>
      </c>
      <c r="AO495" s="65" t="str">
        <f aca="false">IF($A495="","",IF($X495="Closed","",IF($X495="Unmapped","Warning",IF(OR($AB495="Overdue",$V495="Y",$AH495="Critical"),"Critical",IF(OR($AB495="At risk",$AC495="Stale",$AG495="Over"),"Warning","")))))</f>
        <v/>
      </c>
      <c r="AP495" s="65" t="str">
        <f aca="false">IF($AO495="","",IF($AO495="Critical",3000,2000)-IF($Z495="",0,$Z495)+ROW()/100000)</f>
        <v/>
      </c>
      <c r="AQ495" s="65" t="str">
        <f aca="false">IF($AO495="","",IF($X495="Unmapped","Status '"&amp;$C495&amp;"' is not in the Config map",IF($V495="Y","Flagged in Jira",IF($AB495="Overdue",-$Z495&amp;" days past its "&amp;$X495&amp;" target",IF($AH495="Critical",$AI495,IF($AB495="At risk","Target in "&amp;$Z495&amp;" days",IF($AC495="Stale","No update in "&amp;$AA495&amp;" days","Past its "&amp;$AE495&amp;"-day tier window")))))))</f>
        <v/>
      </c>
      <c r="AR495" s="65" t="str">
        <f aca="false">IF($AO495="","","draft Jira update for "&amp;$A495)</f>
        <v/>
      </c>
      <c r="AS495" s="65" t="str">
        <f aca="false">IF($A495="","",HYPERLINK(JiraSite&amp;"/browse/"&amp;$A495,"open"))</f>
        <v/>
      </c>
      <c r="AT495" s="65" t="str">
        <f aca="false">IF($Y495="","",$Y495*1000+ROW())</f>
        <v/>
      </c>
      <c r="AU495" s="65" t="str">
        <f aca="false">IF(AND($A495&lt;&gt;"",$G495&gt;=WeekStart),$G495+ROW()/100000,"")</f>
        <v/>
      </c>
      <c r="AV495" s="65" t="str">
        <f aca="false">IF($A495="","",IF(OR(AND($S495&lt;&gt;"",$S495&gt;=WeekStart),AND($U495&lt;&gt;"",$U495&gt;=WeekStart)),MAX($S495,$U495)+ROW()/100000,""))</f>
        <v/>
      </c>
      <c r="AW495" s="65" t="str">
        <f aca="false">IF($AV495="","",IF($T495&lt;&gt;"",$T495,IF($X495="Closed","Closed","Accepted to "&amp;$X495)))</f>
        <v/>
      </c>
      <c r="AX495" s="65" t="str">
        <f aca="false">IF(AND($Y495&lt;&gt;"",$R495&lt;&gt;""),$AF495+ROW()/100000,"")</f>
        <v/>
      </c>
      <c r="AY495" s="65" t="str">
        <f aca="false">IF(AND($Y495&lt;&gt;"",OR($AB495="Overdue",AND($AH495="Critical",$R495&lt;&gt;""))),$AF495+ROW()/100000,"")</f>
        <v/>
      </c>
      <c r="AZ495" s="65" t="str">
        <f aca="false">IF($AH495="Critical",$AF495+ROW()/100000,"")</f>
        <v/>
      </c>
    </row>
    <row r="496" customFormat="false" ht="15" hidden="false" customHeight="false" outlineLevel="0" collapsed="false">
      <c r="A496" s="28"/>
      <c r="B496" s="28"/>
      <c r="C496" s="28"/>
      <c r="D496" s="28"/>
      <c r="E496" s="28"/>
      <c r="F496" s="28"/>
      <c r="G496" s="63"/>
      <c r="H496" s="63"/>
      <c r="I496" s="63"/>
      <c r="J496" s="28"/>
      <c r="K496" s="28"/>
      <c r="L496" s="28"/>
      <c r="M496" s="28"/>
      <c r="N496" s="28"/>
      <c r="O496" s="64"/>
      <c r="P496" s="64"/>
      <c r="Q496" s="64"/>
      <c r="R496" s="28"/>
      <c r="S496" s="63"/>
      <c r="T496" s="64"/>
      <c r="U496" s="63"/>
      <c r="V496" s="64"/>
      <c r="W496" s="28"/>
      <c r="X496" s="65" t="str">
        <f aca="false">IF($A496="","",IF(OR($T496&lt;&gt;"",$U496&lt;&gt;""),"Closed",IFERROR(INDEX(MapStage,MATCH($C496,MapStatus,0)),"Unmapped")))</f>
        <v/>
      </c>
      <c r="Y496" s="65" t="str">
        <f aca="false">IF(OR($X496="",$X496="Closed",$X496="Unmapped"),"",MATCH($X496,StageName,0))</f>
        <v/>
      </c>
      <c r="Z496" s="65" t="str">
        <f aca="false">IF(OR($Y496="",$I496=""),"",$I496-AsOf)</f>
        <v/>
      </c>
      <c r="AA496" s="65" t="str">
        <f aca="false">IF($A496="","",AsOf-$H496)</f>
        <v/>
      </c>
      <c r="AB496" s="65" t="str">
        <f aca="false">IF($A496="","",IF($X496="Closed","Closed",IF($X496="Unmapped","Unmapped",IF($I496="","No target",IF($Z496&lt;0,"Overdue",IF($Z496&lt;=INDEX(StageWindow,$Y496),"At risk","On track"))))))</f>
        <v/>
      </c>
      <c r="AC496" s="65" t="str">
        <f aca="false">IF($Y496="","",IF($AA496&gt;2*INDEX(StageStale,$Y496),"Stale",IF($AA496&gt;INDEX(StageStale,$Y496),"Aging","Fresh")))</f>
        <v/>
      </c>
      <c r="AD496" s="65" t="str">
        <f aca="false">IF($A496="","",IF(OR(ISNUMBER(SEARCH("Reg report",$J496)),ISNUMBER(SEARCH("No human review",$J496)),COUNTIF(TierFuncs,$D496)&gt;0),"High",IF(OR(TRIM($J496)&lt;&gt;"",ISNUMBER(SEARCH("revenue",$K496))),"Medium","Low")))</f>
        <v/>
      </c>
      <c r="AE496" s="65" t="str">
        <f aca="false">IF($A496="","",INDEX(TierDays,MATCH($AD496,TierName,0)))</f>
        <v/>
      </c>
      <c r="AF496" s="65" t="str">
        <f aca="false">IF($A496="","",AsOf-$G496)</f>
        <v/>
      </c>
      <c r="AG496" s="65" t="str">
        <f aca="false">IF($Y496="","",IF($Y496&lt;=5,IF($AF496&gt;$AE496,"Over","Inside"),"Past approval"))</f>
        <v/>
      </c>
      <c r="AH496" s="65" t="str">
        <f aca="false">IF($Y496="","",CHOOSE($Y496,IF(OR(TRIM($F496)="",ISNUMBER(SEARCH("not named",$F496))),"Critical","Good"),IF($O496&lt;&gt;"Y","Critical",IF($Q496&lt;&gt;"Y","Warning","Good")),IF($P496="","Critical",IF($P496="partial","Warning",IF($P496="ready","Good","Critical"))),IF($R496&lt;&gt;"","Critical","Warning"),IF($L496="","Critical",IF($N496="","Warning","Good")),IF($R496&lt;&gt;"","Critical","Warning"),IF($R496&lt;&gt;"","Critical","Warning"),IF($Q496="Y","Good","Critical")))</f>
        <v/>
      </c>
      <c r="AI496" s="65" t="str">
        <f aca="false">IF($Y496="","",CHOOSE($Y496,IF(OR(TRIM($F496)="",ISNUMBER(SEARCH("not named",$F496))),"Name a sponsor accountable for the value",""),IF($O496&lt;&gt;"Y","State the success metric and the stop condition",IF($Q496&lt;&gt;"Y","Set the baseline the benefit will be measured against","")),IF($P496="","Assess data readiness and regulatory impact",IF($P496="partial","Close the known data gaps",IF($P496="ready","","Data is not available; reshape or park"))),IF($R496&lt;&gt;"",IF(OR(ISNUMBER(SEARCH("mrm",$R496)),ISNUMBER(SEARCH("model",$R496)),ISNUMBER(SEARCH("risk",$R496)),ISNUMBER(SEARCH("legal",$R496)),ISNUMBER(SEARCH("complian",$R496))),"Awaiting ","Held at the design gate: ")&amp;$R496,"Map the governance framework for its tier"),IF($L496="","Size the annual benefit",IF($N496="","Score it so it can be ranked against capacity","")),IF($R496&lt;&gt;"","Build held: "&amp;$R496,"In build, not yet through test"),IF($R496&lt;&gt;"","Not ready to scale: "&amp;$R496,"Monitoring and third-party review not yet signed off"),IF($Q496="Y","","Live without a measured baseline to judge it against")))</f>
        <v/>
      </c>
      <c r="AJ496" s="65" t="str">
        <f aca="false">IF($Y496="","",INDEX(StageForum,$Y496))</f>
        <v/>
      </c>
      <c r="AK496" s="65" t="str">
        <f aca="false">IF($Y496="","",IF(OR($X496="Delivery",$X496="Value"),"Committed",IF($N496&lt;&gt;"","Candidate","")))</f>
        <v/>
      </c>
      <c r="AL496" s="65" t="str">
        <f aca="false">IF($AK496&lt;&gt;"Candidate","",COUNTIFS($AK$2:$AK$501,"Candidate",$N$2:$N$501,"&gt;"&amp;$N496)+COUNTIFS($AK$2:$AK$501,"Candidate",$N$2:$N$501,$N496,$A$2:$A$501,"&lt;"&amp;$A496)+1)</f>
        <v/>
      </c>
      <c r="AM496" s="65" t="str">
        <f aca="false">IF($AL496="","",SUMIFS($M$2:$M$501,$AK$2:$AK$501,"Candidate",$AL$2:$AL$501,"&lt;="&amp;$AL496))</f>
        <v/>
      </c>
      <c r="AN496" s="65" t="str">
        <f aca="false">IF($AL496="","",IF($AM496&lt;=CapacityOpen,"Fits","Below line"))</f>
        <v/>
      </c>
      <c r="AO496" s="65" t="str">
        <f aca="false">IF($A496="","",IF($X496="Closed","",IF($X496="Unmapped","Warning",IF(OR($AB496="Overdue",$V496="Y",$AH496="Critical"),"Critical",IF(OR($AB496="At risk",$AC496="Stale",$AG496="Over"),"Warning","")))))</f>
        <v/>
      </c>
      <c r="AP496" s="65" t="str">
        <f aca="false">IF($AO496="","",IF($AO496="Critical",3000,2000)-IF($Z496="",0,$Z496)+ROW()/100000)</f>
        <v/>
      </c>
      <c r="AQ496" s="65" t="str">
        <f aca="false">IF($AO496="","",IF($X496="Unmapped","Status '"&amp;$C496&amp;"' is not in the Config map",IF($V496="Y","Flagged in Jira",IF($AB496="Overdue",-$Z496&amp;" days past its "&amp;$X496&amp;" target",IF($AH496="Critical",$AI496,IF($AB496="At risk","Target in "&amp;$Z496&amp;" days",IF($AC496="Stale","No update in "&amp;$AA496&amp;" days","Past its "&amp;$AE496&amp;"-day tier window")))))))</f>
        <v/>
      </c>
      <c r="AR496" s="65" t="str">
        <f aca="false">IF($AO496="","","draft Jira update for "&amp;$A496)</f>
        <v/>
      </c>
      <c r="AS496" s="65" t="str">
        <f aca="false">IF($A496="","",HYPERLINK(JiraSite&amp;"/browse/"&amp;$A496,"open"))</f>
        <v/>
      </c>
      <c r="AT496" s="65" t="str">
        <f aca="false">IF($Y496="","",$Y496*1000+ROW())</f>
        <v/>
      </c>
      <c r="AU496" s="65" t="str">
        <f aca="false">IF(AND($A496&lt;&gt;"",$G496&gt;=WeekStart),$G496+ROW()/100000,"")</f>
        <v/>
      </c>
      <c r="AV496" s="65" t="str">
        <f aca="false">IF($A496="","",IF(OR(AND($S496&lt;&gt;"",$S496&gt;=WeekStart),AND($U496&lt;&gt;"",$U496&gt;=WeekStart)),MAX($S496,$U496)+ROW()/100000,""))</f>
        <v/>
      </c>
      <c r="AW496" s="65" t="str">
        <f aca="false">IF($AV496="","",IF($T496&lt;&gt;"",$T496,IF($X496="Closed","Closed","Accepted to "&amp;$X496)))</f>
        <v/>
      </c>
      <c r="AX496" s="65" t="str">
        <f aca="false">IF(AND($Y496&lt;&gt;"",$R496&lt;&gt;""),$AF496+ROW()/100000,"")</f>
        <v/>
      </c>
      <c r="AY496" s="65" t="str">
        <f aca="false">IF(AND($Y496&lt;&gt;"",OR($AB496="Overdue",AND($AH496="Critical",$R496&lt;&gt;""))),$AF496+ROW()/100000,"")</f>
        <v/>
      </c>
      <c r="AZ496" s="65" t="str">
        <f aca="false">IF($AH496="Critical",$AF496+ROW()/100000,"")</f>
        <v/>
      </c>
    </row>
    <row r="497" customFormat="false" ht="15" hidden="false" customHeight="false" outlineLevel="0" collapsed="false">
      <c r="A497" s="28"/>
      <c r="B497" s="28"/>
      <c r="C497" s="28"/>
      <c r="D497" s="28"/>
      <c r="E497" s="28"/>
      <c r="F497" s="28"/>
      <c r="G497" s="63"/>
      <c r="H497" s="63"/>
      <c r="I497" s="63"/>
      <c r="J497" s="28"/>
      <c r="K497" s="28"/>
      <c r="L497" s="28"/>
      <c r="M497" s="28"/>
      <c r="N497" s="28"/>
      <c r="O497" s="64"/>
      <c r="P497" s="64"/>
      <c r="Q497" s="64"/>
      <c r="R497" s="28"/>
      <c r="S497" s="63"/>
      <c r="T497" s="64"/>
      <c r="U497" s="63"/>
      <c r="V497" s="64"/>
      <c r="W497" s="28"/>
      <c r="X497" s="65" t="str">
        <f aca="false">IF($A497="","",IF(OR($T497&lt;&gt;"",$U497&lt;&gt;""),"Closed",IFERROR(INDEX(MapStage,MATCH($C497,MapStatus,0)),"Unmapped")))</f>
        <v/>
      </c>
      <c r="Y497" s="65" t="str">
        <f aca="false">IF(OR($X497="",$X497="Closed",$X497="Unmapped"),"",MATCH($X497,StageName,0))</f>
        <v/>
      </c>
      <c r="Z497" s="65" t="str">
        <f aca="false">IF(OR($Y497="",$I497=""),"",$I497-AsOf)</f>
        <v/>
      </c>
      <c r="AA497" s="65" t="str">
        <f aca="false">IF($A497="","",AsOf-$H497)</f>
        <v/>
      </c>
      <c r="AB497" s="65" t="str">
        <f aca="false">IF($A497="","",IF($X497="Closed","Closed",IF($X497="Unmapped","Unmapped",IF($I497="","No target",IF($Z497&lt;0,"Overdue",IF($Z497&lt;=INDEX(StageWindow,$Y497),"At risk","On track"))))))</f>
        <v/>
      </c>
      <c r="AC497" s="65" t="str">
        <f aca="false">IF($Y497="","",IF($AA497&gt;2*INDEX(StageStale,$Y497),"Stale",IF($AA497&gt;INDEX(StageStale,$Y497),"Aging","Fresh")))</f>
        <v/>
      </c>
      <c r="AD497" s="65" t="str">
        <f aca="false">IF($A497="","",IF(OR(ISNUMBER(SEARCH("Reg report",$J497)),ISNUMBER(SEARCH("No human review",$J497)),COUNTIF(TierFuncs,$D497)&gt;0),"High",IF(OR(TRIM($J497)&lt;&gt;"",ISNUMBER(SEARCH("revenue",$K497))),"Medium","Low")))</f>
        <v/>
      </c>
      <c r="AE497" s="65" t="str">
        <f aca="false">IF($A497="","",INDEX(TierDays,MATCH($AD497,TierName,0)))</f>
        <v/>
      </c>
      <c r="AF497" s="65" t="str">
        <f aca="false">IF($A497="","",AsOf-$G497)</f>
        <v/>
      </c>
      <c r="AG497" s="65" t="str">
        <f aca="false">IF($Y497="","",IF($Y497&lt;=5,IF($AF497&gt;$AE497,"Over","Inside"),"Past approval"))</f>
        <v/>
      </c>
      <c r="AH497" s="65" t="str">
        <f aca="false">IF($Y497="","",CHOOSE($Y497,IF(OR(TRIM($F497)="",ISNUMBER(SEARCH("not named",$F497))),"Critical","Good"),IF($O497&lt;&gt;"Y","Critical",IF($Q497&lt;&gt;"Y","Warning","Good")),IF($P497="","Critical",IF($P497="partial","Warning",IF($P497="ready","Good","Critical"))),IF($R497&lt;&gt;"","Critical","Warning"),IF($L497="","Critical",IF($N497="","Warning","Good")),IF($R497&lt;&gt;"","Critical","Warning"),IF($R497&lt;&gt;"","Critical","Warning"),IF($Q497="Y","Good","Critical")))</f>
        <v/>
      </c>
      <c r="AI497" s="65" t="str">
        <f aca="false">IF($Y497="","",CHOOSE($Y497,IF(OR(TRIM($F497)="",ISNUMBER(SEARCH("not named",$F497))),"Name a sponsor accountable for the value",""),IF($O497&lt;&gt;"Y","State the success metric and the stop condition",IF($Q497&lt;&gt;"Y","Set the baseline the benefit will be measured against","")),IF($P497="","Assess data readiness and regulatory impact",IF($P497="partial","Close the known data gaps",IF($P497="ready","","Data is not available; reshape or park"))),IF($R497&lt;&gt;"",IF(OR(ISNUMBER(SEARCH("mrm",$R497)),ISNUMBER(SEARCH("model",$R497)),ISNUMBER(SEARCH("risk",$R497)),ISNUMBER(SEARCH("legal",$R497)),ISNUMBER(SEARCH("complian",$R497))),"Awaiting ","Held at the design gate: ")&amp;$R497,"Map the governance framework for its tier"),IF($L497="","Size the annual benefit",IF($N497="","Score it so it can be ranked against capacity","")),IF($R497&lt;&gt;"","Build held: "&amp;$R497,"In build, not yet through test"),IF($R497&lt;&gt;"","Not ready to scale: "&amp;$R497,"Monitoring and third-party review not yet signed off"),IF($Q497="Y","","Live without a measured baseline to judge it against")))</f>
        <v/>
      </c>
      <c r="AJ497" s="65" t="str">
        <f aca="false">IF($Y497="","",INDEX(StageForum,$Y497))</f>
        <v/>
      </c>
      <c r="AK497" s="65" t="str">
        <f aca="false">IF($Y497="","",IF(OR($X497="Delivery",$X497="Value"),"Committed",IF($N497&lt;&gt;"","Candidate","")))</f>
        <v/>
      </c>
      <c r="AL497" s="65" t="str">
        <f aca="false">IF($AK497&lt;&gt;"Candidate","",COUNTIFS($AK$2:$AK$501,"Candidate",$N$2:$N$501,"&gt;"&amp;$N497)+COUNTIFS($AK$2:$AK$501,"Candidate",$N$2:$N$501,$N497,$A$2:$A$501,"&lt;"&amp;$A497)+1)</f>
        <v/>
      </c>
      <c r="AM497" s="65" t="str">
        <f aca="false">IF($AL497="","",SUMIFS($M$2:$M$501,$AK$2:$AK$501,"Candidate",$AL$2:$AL$501,"&lt;="&amp;$AL497))</f>
        <v/>
      </c>
      <c r="AN497" s="65" t="str">
        <f aca="false">IF($AL497="","",IF($AM497&lt;=CapacityOpen,"Fits","Below line"))</f>
        <v/>
      </c>
      <c r="AO497" s="65" t="str">
        <f aca="false">IF($A497="","",IF($X497="Closed","",IF($X497="Unmapped","Warning",IF(OR($AB497="Overdue",$V497="Y",$AH497="Critical"),"Critical",IF(OR($AB497="At risk",$AC497="Stale",$AG497="Over"),"Warning","")))))</f>
        <v/>
      </c>
      <c r="AP497" s="65" t="str">
        <f aca="false">IF($AO497="","",IF($AO497="Critical",3000,2000)-IF($Z497="",0,$Z497)+ROW()/100000)</f>
        <v/>
      </c>
      <c r="AQ497" s="65" t="str">
        <f aca="false">IF($AO497="","",IF($X497="Unmapped","Status '"&amp;$C497&amp;"' is not in the Config map",IF($V497="Y","Flagged in Jira",IF($AB497="Overdue",-$Z497&amp;" days past its "&amp;$X497&amp;" target",IF($AH497="Critical",$AI497,IF($AB497="At risk","Target in "&amp;$Z497&amp;" days",IF($AC497="Stale","No update in "&amp;$AA497&amp;" days","Past its "&amp;$AE497&amp;"-day tier window")))))))</f>
        <v/>
      </c>
      <c r="AR497" s="65" t="str">
        <f aca="false">IF($AO497="","","draft Jira update for "&amp;$A497)</f>
        <v/>
      </c>
      <c r="AS497" s="65" t="str">
        <f aca="false">IF($A497="","",HYPERLINK(JiraSite&amp;"/browse/"&amp;$A497,"open"))</f>
        <v/>
      </c>
      <c r="AT497" s="65" t="str">
        <f aca="false">IF($Y497="","",$Y497*1000+ROW())</f>
        <v/>
      </c>
      <c r="AU497" s="65" t="str">
        <f aca="false">IF(AND($A497&lt;&gt;"",$G497&gt;=WeekStart),$G497+ROW()/100000,"")</f>
        <v/>
      </c>
      <c r="AV497" s="65" t="str">
        <f aca="false">IF($A497="","",IF(OR(AND($S497&lt;&gt;"",$S497&gt;=WeekStart),AND($U497&lt;&gt;"",$U497&gt;=WeekStart)),MAX($S497,$U497)+ROW()/100000,""))</f>
        <v/>
      </c>
      <c r="AW497" s="65" t="str">
        <f aca="false">IF($AV497="","",IF($T497&lt;&gt;"",$T497,IF($X497="Closed","Closed","Accepted to "&amp;$X497)))</f>
        <v/>
      </c>
      <c r="AX497" s="65" t="str">
        <f aca="false">IF(AND($Y497&lt;&gt;"",$R497&lt;&gt;""),$AF497+ROW()/100000,"")</f>
        <v/>
      </c>
      <c r="AY497" s="65" t="str">
        <f aca="false">IF(AND($Y497&lt;&gt;"",OR($AB497="Overdue",AND($AH497="Critical",$R497&lt;&gt;""))),$AF497+ROW()/100000,"")</f>
        <v/>
      </c>
      <c r="AZ497" s="65" t="str">
        <f aca="false">IF($AH497="Critical",$AF497+ROW()/100000,"")</f>
        <v/>
      </c>
    </row>
    <row r="498" customFormat="false" ht="15" hidden="false" customHeight="false" outlineLevel="0" collapsed="false">
      <c r="A498" s="28"/>
      <c r="B498" s="28"/>
      <c r="C498" s="28"/>
      <c r="D498" s="28"/>
      <c r="E498" s="28"/>
      <c r="F498" s="28"/>
      <c r="G498" s="63"/>
      <c r="H498" s="63"/>
      <c r="I498" s="63"/>
      <c r="J498" s="28"/>
      <c r="K498" s="28"/>
      <c r="L498" s="28"/>
      <c r="M498" s="28"/>
      <c r="N498" s="28"/>
      <c r="O498" s="64"/>
      <c r="P498" s="64"/>
      <c r="Q498" s="64"/>
      <c r="R498" s="28"/>
      <c r="S498" s="63"/>
      <c r="T498" s="64"/>
      <c r="U498" s="63"/>
      <c r="V498" s="64"/>
      <c r="W498" s="28"/>
      <c r="X498" s="65" t="str">
        <f aca="false">IF($A498="","",IF(OR($T498&lt;&gt;"",$U498&lt;&gt;""),"Closed",IFERROR(INDEX(MapStage,MATCH($C498,MapStatus,0)),"Unmapped")))</f>
        <v/>
      </c>
      <c r="Y498" s="65" t="str">
        <f aca="false">IF(OR($X498="",$X498="Closed",$X498="Unmapped"),"",MATCH($X498,StageName,0))</f>
        <v/>
      </c>
      <c r="Z498" s="65" t="str">
        <f aca="false">IF(OR($Y498="",$I498=""),"",$I498-AsOf)</f>
        <v/>
      </c>
      <c r="AA498" s="65" t="str">
        <f aca="false">IF($A498="","",AsOf-$H498)</f>
        <v/>
      </c>
      <c r="AB498" s="65" t="str">
        <f aca="false">IF($A498="","",IF($X498="Closed","Closed",IF($X498="Unmapped","Unmapped",IF($I498="","No target",IF($Z498&lt;0,"Overdue",IF($Z498&lt;=INDEX(StageWindow,$Y498),"At risk","On track"))))))</f>
        <v/>
      </c>
      <c r="AC498" s="65" t="str">
        <f aca="false">IF($Y498="","",IF($AA498&gt;2*INDEX(StageStale,$Y498),"Stale",IF($AA498&gt;INDEX(StageStale,$Y498),"Aging","Fresh")))</f>
        <v/>
      </c>
      <c r="AD498" s="65" t="str">
        <f aca="false">IF($A498="","",IF(OR(ISNUMBER(SEARCH("Reg report",$J498)),ISNUMBER(SEARCH("No human review",$J498)),COUNTIF(TierFuncs,$D498)&gt;0),"High",IF(OR(TRIM($J498)&lt;&gt;"",ISNUMBER(SEARCH("revenue",$K498))),"Medium","Low")))</f>
        <v/>
      </c>
      <c r="AE498" s="65" t="str">
        <f aca="false">IF($A498="","",INDEX(TierDays,MATCH($AD498,TierName,0)))</f>
        <v/>
      </c>
      <c r="AF498" s="65" t="str">
        <f aca="false">IF($A498="","",AsOf-$G498)</f>
        <v/>
      </c>
      <c r="AG498" s="65" t="str">
        <f aca="false">IF($Y498="","",IF($Y498&lt;=5,IF($AF498&gt;$AE498,"Over","Inside"),"Past approval"))</f>
        <v/>
      </c>
      <c r="AH498" s="65" t="str">
        <f aca="false">IF($Y498="","",CHOOSE($Y498,IF(OR(TRIM($F498)="",ISNUMBER(SEARCH("not named",$F498))),"Critical","Good"),IF($O498&lt;&gt;"Y","Critical",IF($Q498&lt;&gt;"Y","Warning","Good")),IF($P498="","Critical",IF($P498="partial","Warning",IF($P498="ready","Good","Critical"))),IF($R498&lt;&gt;"","Critical","Warning"),IF($L498="","Critical",IF($N498="","Warning","Good")),IF($R498&lt;&gt;"","Critical","Warning"),IF($R498&lt;&gt;"","Critical","Warning"),IF($Q498="Y","Good","Critical")))</f>
        <v/>
      </c>
      <c r="AI498" s="65" t="str">
        <f aca="false">IF($Y498="","",CHOOSE($Y498,IF(OR(TRIM($F498)="",ISNUMBER(SEARCH("not named",$F498))),"Name a sponsor accountable for the value",""),IF($O498&lt;&gt;"Y","State the success metric and the stop condition",IF($Q498&lt;&gt;"Y","Set the baseline the benefit will be measured against","")),IF($P498="","Assess data readiness and regulatory impact",IF($P498="partial","Close the known data gaps",IF($P498="ready","","Data is not available; reshape or park"))),IF($R498&lt;&gt;"",IF(OR(ISNUMBER(SEARCH("mrm",$R498)),ISNUMBER(SEARCH("model",$R498)),ISNUMBER(SEARCH("risk",$R498)),ISNUMBER(SEARCH("legal",$R498)),ISNUMBER(SEARCH("complian",$R498))),"Awaiting ","Held at the design gate: ")&amp;$R498,"Map the governance framework for its tier"),IF($L498="","Size the annual benefit",IF($N498="","Score it so it can be ranked against capacity","")),IF($R498&lt;&gt;"","Build held: "&amp;$R498,"In build, not yet through test"),IF($R498&lt;&gt;"","Not ready to scale: "&amp;$R498,"Monitoring and third-party review not yet signed off"),IF($Q498="Y","","Live without a measured baseline to judge it against")))</f>
        <v/>
      </c>
      <c r="AJ498" s="65" t="str">
        <f aca="false">IF($Y498="","",INDEX(StageForum,$Y498))</f>
        <v/>
      </c>
      <c r="AK498" s="65" t="str">
        <f aca="false">IF($Y498="","",IF(OR($X498="Delivery",$X498="Value"),"Committed",IF($N498&lt;&gt;"","Candidate","")))</f>
        <v/>
      </c>
      <c r="AL498" s="65" t="str">
        <f aca="false">IF($AK498&lt;&gt;"Candidate","",COUNTIFS($AK$2:$AK$501,"Candidate",$N$2:$N$501,"&gt;"&amp;$N498)+COUNTIFS($AK$2:$AK$501,"Candidate",$N$2:$N$501,$N498,$A$2:$A$501,"&lt;"&amp;$A498)+1)</f>
        <v/>
      </c>
      <c r="AM498" s="65" t="str">
        <f aca="false">IF($AL498="","",SUMIFS($M$2:$M$501,$AK$2:$AK$501,"Candidate",$AL$2:$AL$501,"&lt;="&amp;$AL498))</f>
        <v/>
      </c>
      <c r="AN498" s="65" t="str">
        <f aca="false">IF($AL498="","",IF($AM498&lt;=CapacityOpen,"Fits","Below line"))</f>
        <v/>
      </c>
      <c r="AO498" s="65" t="str">
        <f aca="false">IF($A498="","",IF($X498="Closed","",IF($X498="Unmapped","Warning",IF(OR($AB498="Overdue",$V498="Y",$AH498="Critical"),"Critical",IF(OR($AB498="At risk",$AC498="Stale",$AG498="Over"),"Warning","")))))</f>
        <v/>
      </c>
      <c r="AP498" s="65" t="str">
        <f aca="false">IF($AO498="","",IF($AO498="Critical",3000,2000)-IF($Z498="",0,$Z498)+ROW()/100000)</f>
        <v/>
      </c>
      <c r="AQ498" s="65" t="str">
        <f aca="false">IF($AO498="","",IF($X498="Unmapped","Status '"&amp;$C498&amp;"' is not in the Config map",IF($V498="Y","Flagged in Jira",IF($AB498="Overdue",-$Z498&amp;" days past its "&amp;$X498&amp;" target",IF($AH498="Critical",$AI498,IF($AB498="At risk","Target in "&amp;$Z498&amp;" days",IF($AC498="Stale","No update in "&amp;$AA498&amp;" days","Past its "&amp;$AE498&amp;"-day tier window")))))))</f>
        <v/>
      </c>
      <c r="AR498" s="65" t="str">
        <f aca="false">IF($AO498="","","draft Jira update for "&amp;$A498)</f>
        <v/>
      </c>
      <c r="AS498" s="65" t="str">
        <f aca="false">IF($A498="","",HYPERLINK(JiraSite&amp;"/browse/"&amp;$A498,"open"))</f>
        <v/>
      </c>
      <c r="AT498" s="65" t="str">
        <f aca="false">IF($Y498="","",$Y498*1000+ROW())</f>
        <v/>
      </c>
      <c r="AU498" s="65" t="str">
        <f aca="false">IF(AND($A498&lt;&gt;"",$G498&gt;=WeekStart),$G498+ROW()/100000,"")</f>
        <v/>
      </c>
      <c r="AV498" s="65" t="str">
        <f aca="false">IF($A498="","",IF(OR(AND($S498&lt;&gt;"",$S498&gt;=WeekStart),AND($U498&lt;&gt;"",$U498&gt;=WeekStart)),MAX($S498,$U498)+ROW()/100000,""))</f>
        <v/>
      </c>
      <c r="AW498" s="65" t="str">
        <f aca="false">IF($AV498="","",IF($T498&lt;&gt;"",$T498,IF($X498="Closed","Closed","Accepted to "&amp;$X498)))</f>
        <v/>
      </c>
      <c r="AX498" s="65" t="str">
        <f aca="false">IF(AND($Y498&lt;&gt;"",$R498&lt;&gt;""),$AF498+ROW()/100000,"")</f>
        <v/>
      </c>
      <c r="AY498" s="65" t="str">
        <f aca="false">IF(AND($Y498&lt;&gt;"",OR($AB498="Overdue",AND($AH498="Critical",$R498&lt;&gt;""))),$AF498+ROW()/100000,"")</f>
        <v/>
      </c>
      <c r="AZ498" s="65" t="str">
        <f aca="false">IF($AH498="Critical",$AF498+ROW()/100000,"")</f>
        <v/>
      </c>
    </row>
    <row r="499" customFormat="false" ht="15" hidden="false" customHeight="false" outlineLevel="0" collapsed="false">
      <c r="A499" s="28"/>
      <c r="B499" s="28"/>
      <c r="C499" s="28"/>
      <c r="D499" s="28"/>
      <c r="E499" s="28"/>
      <c r="F499" s="28"/>
      <c r="G499" s="63"/>
      <c r="H499" s="63"/>
      <c r="I499" s="63"/>
      <c r="J499" s="28"/>
      <c r="K499" s="28"/>
      <c r="L499" s="28"/>
      <c r="M499" s="28"/>
      <c r="N499" s="28"/>
      <c r="O499" s="64"/>
      <c r="P499" s="64"/>
      <c r="Q499" s="64"/>
      <c r="R499" s="28"/>
      <c r="S499" s="63"/>
      <c r="T499" s="64"/>
      <c r="U499" s="63"/>
      <c r="V499" s="64"/>
      <c r="W499" s="28"/>
      <c r="X499" s="65" t="str">
        <f aca="false">IF($A499="","",IF(OR($T499&lt;&gt;"",$U499&lt;&gt;""),"Closed",IFERROR(INDEX(MapStage,MATCH($C499,MapStatus,0)),"Unmapped")))</f>
        <v/>
      </c>
      <c r="Y499" s="65" t="str">
        <f aca="false">IF(OR($X499="",$X499="Closed",$X499="Unmapped"),"",MATCH($X499,StageName,0))</f>
        <v/>
      </c>
      <c r="Z499" s="65" t="str">
        <f aca="false">IF(OR($Y499="",$I499=""),"",$I499-AsOf)</f>
        <v/>
      </c>
      <c r="AA499" s="65" t="str">
        <f aca="false">IF($A499="","",AsOf-$H499)</f>
        <v/>
      </c>
      <c r="AB499" s="65" t="str">
        <f aca="false">IF($A499="","",IF($X499="Closed","Closed",IF($X499="Unmapped","Unmapped",IF($I499="","No target",IF($Z499&lt;0,"Overdue",IF($Z499&lt;=INDEX(StageWindow,$Y499),"At risk","On track"))))))</f>
        <v/>
      </c>
      <c r="AC499" s="65" t="str">
        <f aca="false">IF($Y499="","",IF($AA499&gt;2*INDEX(StageStale,$Y499),"Stale",IF($AA499&gt;INDEX(StageStale,$Y499),"Aging","Fresh")))</f>
        <v/>
      </c>
      <c r="AD499" s="65" t="str">
        <f aca="false">IF($A499="","",IF(OR(ISNUMBER(SEARCH("Reg report",$J499)),ISNUMBER(SEARCH("No human review",$J499)),COUNTIF(TierFuncs,$D499)&gt;0),"High",IF(OR(TRIM($J499)&lt;&gt;"",ISNUMBER(SEARCH("revenue",$K499))),"Medium","Low")))</f>
        <v/>
      </c>
      <c r="AE499" s="65" t="str">
        <f aca="false">IF($A499="","",INDEX(TierDays,MATCH($AD499,TierName,0)))</f>
        <v/>
      </c>
      <c r="AF499" s="65" t="str">
        <f aca="false">IF($A499="","",AsOf-$G499)</f>
        <v/>
      </c>
      <c r="AG499" s="65" t="str">
        <f aca="false">IF($Y499="","",IF($Y499&lt;=5,IF($AF499&gt;$AE499,"Over","Inside"),"Past approval"))</f>
        <v/>
      </c>
      <c r="AH499" s="65" t="str">
        <f aca="false">IF($Y499="","",CHOOSE($Y499,IF(OR(TRIM($F499)="",ISNUMBER(SEARCH("not named",$F499))),"Critical","Good"),IF($O499&lt;&gt;"Y","Critical",IF($Q499&lt;&gt;"Y","Warning","Good")),IF($P499="","Critical",IF($P499="partial","Warning",IF($P499="ready","Good","Critical"))),IF($R499&lt;&gt;"","Critical","Warning"),IF($L499="","Critical",IF($N499="","Warning","Good")),IF($R499&lt;&gt;"","Critical","Warning"),IF($R499&lt;&gt;"","Critical","Warning"),IF($Q499="Y","Good","Critical")))</f>
        <v/>
      </c>
      <c r="AI499" s="65" t="str">
        <f aca="false">IF($Y499="","",CHOOSE($Y499,IF(OR(TRIM($F499)="",ISNUMBER(SEARCH("not named",$F499))),"Name a sponsor accountable for the value",""),IF($O499&lt;&gt;"Y","State the success metric and the stop condition",IF($Q499&lt;&gt;"Y","Set the baseline the benefit will be measured against","")),IF($P499="","Assess data readiness and regulatory impact",IF($P499="partial","Close the known data gaps",IF($P499="ready","","Data is not available; reshape or park"))),IF($R499&lt;&gt;"",IF(OR(ISNUMBER(SEARCH("mrm",$R499)),ISNUMBER(SEARCH("model",$R499)),ISNUMBER(SEARCH("risk",$R499)),ISNUMBER(SEARCH("legal",$R499)),ISNUMBER(SEARCH("complian",$R499))),"Awaiting ","Held at the design gate: ")&amp;$R499,"Map the governance framework for its tier"),IF($L499="","Size the annual benefit",IF($N499="","Score it so it can be ranked against capacity","")),IF($R499&lt;&gt;"","Build held: "&amp;$R499,"In build, not yet through test"),IF($R499&lt;&gt;"","Not ready to scale: "&amp;$R499,"Monitoring and third-party review not yet signed off"),IF($Q499="Y","","Live without a measured baseline to judge it against")))</f>
        <v/>
      </c>
      <c r="AJ499" s="65" t="str">
        <f aca="false">IF($Y499="","",INDEX(StageForum,$Y499))</f>
        <v/>
      </c>
      <c r="AK499" s="65" t="str">
        <f aca="false">IF($Y499="","",IF(OR($X499="Delivery",$X499="Value"),"Committed",IF($N499&lt;&gt;"","Candidate","")))</f>
        <v/>
      </c>
      <c r="AL499" s="65" t="str">
        <f aca="false">IF($AK499&lt;&gt;"Candidate","",COUNTIFS($AK$2:$AK$501,"Candidate",$N$2:$N$501,"&gt;"&amp;$N499)+COUNTIFS($AK$2:$AK$501,"Candidate",$N$2:$N$501,$N499,$A$2:$A$501,"&lt;"&amp;$A499)+1)</f>
        <v/>
      </c>
      <c r="AM499" s="65" t="str">
        <f aca="false">IF($AL499="","",SUMIFS($M$2:$M$501,$AK$2:$AK$501,"Candidate",$AL$2:$AL$501,"&lt;="&amp;$AL499))</f>
        <v/>
      </c>
      <c r="AN499" s="65" t="str">
        <f aca="false">IF($AL499="","",IF($AM499&lt;=CapacityOpen,"Fits","Below line"))</f>
        <v/>
      </c>
      <c r="AO499" s="65" t="str">
        <f aca="false">IF($A499="","",IF($X499="Closed","",IF($X499="Unmapped","Warning",IF(OR($AB499="Overdue",$V499="Y",$AH499="Critical"),"Critical",IF(OR($AB499="At risk",$AC499="Stale",$AG499="Over"),"Warning","")))))</f>
        <v/>
      </c>
      <c r="AP499" s="65" t="str">
        <f aca="false">IF($AO499="","",IF($AO499="Critical",3000,2000)-IF($Z499="",0,$Z499)+ROW()/100000)</f>
        <v/>
      </c>
      <c r="AQ499" s="65" t="str">
        <f aca="false">IF($AO499="","",IF($X499="Unmapped","Status '"&amp;$C499&amp;"' is not in the Config map",IF($V499="Y","Flagged in Jira",IF($AB499="Overdue",-$Z499&amp;" days past its "&amp;$X499&amp;" target",IF($AH499="Critical",$AI499,IF($AB499="At risk","Target in "&amp;$Z499&amp;" days",IF($AC499="Stale","No update in "&amp;$AA499&amp;" days","Past its "&amp;$AE499&amp;"-day tier window")))))))</f>
        <v/>
      </c>
      <c r="AR499" s="65" t="str">
        <f aca="false">IF($AO499="","","draft Jira update for "&amp;$A499)</f>
        <v/>
      </c>
      <c r="AS499" s="65" t="str">
        <f aca="false">IF($A499="","",HYPERLINK(JiraSite&amp;"/browse/"&amp;$A499,"open"))</f>
        <v/>
      </c>
      <c r="AT499" s="65" t="str">
        <f aca="false">IF($Y499="","",$Y499*1000+ROW())</f>
        <v/>
      </c>
      <c r="AU499" s="65" t="str">
        <f aca="false">IF(AND($A499&lt;&gt;"",$G499&gt;=WeekStart),$G499+ROW()/100000,"")</f>
        <v/>
      </c>
      <c r="AV499" s="65" t="str">
        <f aca="false">IF($A499="","",IF(OR(AND($S499&lt;&gt;"",$S499&gt;=WeekStart),AND($U499&lt;&gt;"",$U499&gt;=WeekStart)),MAX($S499,$U499)+ROW()/100000,""))</f>
        <v/>
      </c>
      <c r="AW499" s="65" t="str">
        <f aca="false">IF($AV499="","",IF($T499&lt;&gt;"",$T499,IF($X499="Closed","Closed","Accepted to "&amp;$X499)))</f>
        <v/>
      </c>
      <c r="AX499" s="65" t="str">
        <f aca="false">IF(AND($Y499&lt;&gt;"",$R499&lt;&gt;""),$AF499+ROW()/100000,"")</f>
        <v/>
      </c>
      <c r="AY499" s="65" t="str">
        <f aca="false">IF(AND($Y499&lt;&gt;"",OR($AB499="Overdue",AND($AH499="Critical",$R499&lt;&gt;""))),$AF499+ROW()/100000,"")</f>
        <v/>
      </c>
      <c r="AZ499" s="65" t="str">
        <f aca="false">IF($AH499="Critical",$AF499+ROW()/100000,"")</f>
        <v/>
      </c>
    </row>
    <row r="500" customFormat="false" ht="15" hidden="false" customHeight="false" outlineLevel="0" collapsed="false">
      <c r="A500" s="28"/>
      <c r="B500" s="28"/>
      <c r="C500" s="28"/>
      <c r="D500" s="28"/>
      <c r="E500" s="28"/>
      <c r="F500" s="28"/>
      <c r="G500" s="63"/>
      <c r="H500" s="63"/>
      <c r="I500" s="63"/>
      <c r="J500" s="28"/>
      <c r="K500" s="28"/>
      <c r="L500" s="28"/>
      <c r="M500" s="28"/>
      <c r="N500" s="28"/>
      <c r="O500" s="64"/>
      <c r="P500" s="64"/>
      <c r="Q500" s="64"/>
      <c r="R500" s="28"/>
      <c r="S500" s="63"/>
      <c r="T500" s="64"/>
      <c r="U500" s="63"/>
      <c r="V500" s="64"/>
      <c r="W500" s="28"/>
      <c r="X500" s="65" t="str">
        <f aca="false">IF($A500="","",IF(OR($T500&lt;&gt;"",$U500&lt;&gt;""),"Closed",IFERROR(INDEX(MapStage,MATCH($C500,MapStatus,0)),"Unmapped")))</f>
        <v/>
      </c>
      <c r="Y500" s="65" t="str">
        <f aca="false">IF(OR($X500="",$X500="Closed",$X500="Unmapped"),"",MATCH($X500,StageName,0))</f>
        <v/>
      </c>
      <c r="Z500" s="65" t="str">
        <f aca="false">IF(OR($Y500="",$I500=""),"",$I500-AsOf)</f>
        <v/>
      </c>
      <c r="AA500" s="65" t="str">
        <f aca="false">IF($A500="","",AsOf-$H500)</f>
        <v/>
      </c>
      <c r="AB500" s="65" t="str">
        <f aca="false">IF($A500="","",IF($X500="Closed","Closed",IF($X500="Unmapped","Unmapped",IF($I500="","No target",IF($Z500&lt;0,"Overdue",IF($Z500&lt;=INDEX(StageWindow,$Y500),"At risk","On track"))))))</f>
        <v/>
      </c>
      <c r="AC500" s="65" t="str">
        <f aca="false">IF($Y500="","",IF($AA500&gt;2*INDEX(StageStale,$Y500),"Stale",IF($AA500&gt;INDEX(StageStale,$Y500),"Aging","Fresh")))</f>
        <v/>
      </c>
      <c r="AD500" s="65" t="str">
        <f aca="false">IF($A500="","",IF(OR(ISNUMBER(SEARCH("Reg report",$J500)),ISNUMBER(SEARCH("No human review",$J500)),COUNTIF(TierFuncs,$D500)&gt;0),"High",IF(OR(TRIM($J500)&lt;&gt;"",ISNUMBER(SEARCH("revenue",$K500))),"Medium","Low")))</f>
        <v/>
      </c>
      <c r="AE500" s="65" t="str">
        <f aca="false">IF($A500="","",INDEX(TierDays,MATCH($AD500,TierName,0)))</f>
        <v/>
      </c>
      <c r="AF500" s="65" t="str">
        <f aca="false">IF($A500="","",AsOf-$G500)</f>
        <v/>
      </c>
      <c r="AG500" s="65" t="str">
        <f aca="false">IF($Y500="","",IF($Y500&lt;=5,IF($AF500&gt;$AE500,"Over","Inside"),"Past approval"))</f>
        <v/>
      </c>
      <c r="AH500" s="65" t="str">
        <f aca="false">IF($Y500="","",CHOOSE($Y500,IF(OR(TRIM($F500)="",ISNUMBER(SEARCH("not named",$F500))),"Critical","Good"),IF($O500&lt;&gt;"Y","Critical",IF($Q500&lt;&gt;"Y","Warning","Good")),IF($P500="","Critical",IF($P500="partial","Warning",IF($P500="ready","Good","Critical"))),IF($R500&lt;&gt;"","Critical","Warning"),IF($L500="","Critical",IF($N500="","Warning","Good")),IF($R500&lt;&gt;"","Critical","Warning"),IF($R500&lt;&gt;"","Critical","Warning"),IF($Q500="Y","Good","Critical")))</f>
        <v/>
      </c>
      <c r="AI500" s="65" t="str">
        <f aca="false">IF($Y500="","",CHOOSE($Y500,IF(OR(TRIM($F500)="",ISNUMBER(SEARCH("not named",$F500))),"Name a sponsor accountable for the value",""),IF($O500&lt;&gt;"Y","State the success metric and the stop condition",IF($Q500&lt;&gt;"Y","Set the baseline the benefit will be measured against","")),IF($P500="","Assess data readiness and regulatory impact",IF($P500="partial","Close the known data gaps",IF($P500="ready","","Data is not available; reshape or park"))),IF($R500&lt;&gt;"",IF(OR(ISNUMBER(SEARCH("mrm",$R500)),ISNUMBER(SEARCH("model",$R500)),ISNUMBER(SEARCH("risk",$R500)),ISNUMBER(SEARCH("legal",$R500)),ISNUMBER(SEARCH("complian",$R500))),"Awaiting ","Held at the design gate: ")&amp;$R500,"Map the governance framework for its tier"),IF($L500="","Size the annual benefit",IF($N500="","Score it so it can be ranked against capacity","")),IF($R500&lt;&gt;"","Build held: "&amp;$R500,"In build, not yet through test"),IF($R500&lt;&gt;"","Not ready to scale: "&amp;$R500,"Monitoring and third-party review not yet signed off"),IF($Q500="Y","","Live without a measured baseline to judge it against")))</f>
        <v/>
      </c>
      <c r="AJ500" s="65" t="str">
        <f aca="false">IF($Y500="","",INDEX(StageForum,$Y500))</f>
        <v/>
      </c>
      <c r="AK500" s="65" t="str">
        <f aca="false">IF($Y500="","",IF(OR($X500="Delivery",$X500="Value"),"Committed",IF($N500&lt;&gt;"","Candidate","")))</f>
        <v/>
      </c>
      <c r="AL500" s="65" t="str">
        <f aca="false">IF($AK500&lt;&gt;"Candidate","",COUNTIFS($AK$2:$AK$501,"Candidate",$N$2:$N$501,"&gt;"&amp;$N500)+COUNTIFS($AK$2:$AK$501,"Candidate",$N$2:$N$501,$N500,$A$2:$A$501,"&lt;"&amp;$A500)+1)</f>
        <v/>
      </c>
      <c r="AM500" s="65" t="str">
        <f aca="false">IF($AL500="","",SUMIFS($M$2:$M$501,$AK$2:$AK$501,"Candidate",$AL$2:$AL$501,"&lt;="&amp;$AL500))</f>
        <v/>
      </c>
      <c r="AN500" s="65" t="str">
        <f aca="false">IF($AL500="","",IF($AM500&lt;=CapacityOpen,"Fits","Below line"))</f>
        <v/>
      </c>
      <c r="AO500" s="65" t="str">
        <f aca="false">IF($A500="","",IF($X500="Closed","",IF($X500="Unmapped","Warning",IF(OR($AB500="Overdue",$V500="Y",$AH500="Critical"),"Critical",IF(OR($AB500="At risk",$AC500="Stale",$AG500="Over"),"Warning","")))))</f>
        <v/>
      </c>
      <c r="AP500" s="65" t="str">
        <f aca="false">IF($AO500="","",IF($AO500="Critical",3000,2000)-IF($Z500="",0,$Z500)+ROW()/100000)</f>
        <v/>
      </c>
      <c r="AQ500" s="65" t="str">
        <f aca="false">IF($AO500="","",IF($X500="Unmapped","Status '"&amp;$C500&amp;"' is not in the Config map",IF($V500="Y","Flagged in Jira",IF($AB500="Overdue",-$Z500&amp;" days past its "&amp;$X500&amp;" target",IF($AH500="Critical",$AI500,IF($AB500="At risk","Target in "&amp;$Z500&amp;" days",IF($AC500="Stale","No update in "&amp;$AA500&amp;" days","Past its "&amp;$AE500&amp;"-day tier window")))))))</f>
        <v/>
      </c>
      <c r="AR500" s="65" t="str">
        <f aca="false">IF($AO500="","","draft Jira update for "&amp;$A500)</f>
        <v/>
      </c>
      <c r="AS500" s="65" t="str">
        <f aca="false">IF($A500="","",HYPERLINK(JiraSite&amp;"/browse/"&amp;$A500,"open"))</f>
        <v/>
      </c>
      <c r="AT500" s="65" t="str">
        <f aca="false">IF($Y500="","",$Y500*1000+ROW())</f>
        <v/>
      </c>
      <c r="AU500" s="65" t="str">
        <f aca="false">IF(AND($A500&lt;&gt;"",$G500&gt;=WeekStart),$G500+ROW()/100000,"")</f>
        <v/>
      </c>
      <c r="AV500" s="65" t="str">
        <f aca="false">IF($A500="","",IF(OR(AND($S500&lt;&gt;"",$S500&gt;=WeekStart),AND($U500&lt;&gt;"",$U500&gt;=WeekStart)),MAX($S500,$U500)+ROW()/100000,""))</f>
        <v/>
      </c>
      <c r="AW500" s="65" t="str">
        <f aca="false">IF($AV500="","",IF($T500&lt;&gt;"",$T500,IF($X500="Closed","Closed","Accepted to "&amp;$X500)))</f>
        <v/>
      </c>
      <c r="AX500" s="65" t="str">
        <f aca="false">IF(AND($Y500&lt;&gt;"",$R500&lt;&gt;""),$AF500+ROW()/100000,"")</f>
        <v/>
      </c>
      <c r="AY500" s="65" t="str">
        <f aca="false">IF(AND($Y500&lt;&gt;"",OR($AB500="Overdue",AND($AH500="Critical",$R500&lt;&gt;""))),$AF500+ROW()/100000,"")</f>
        <v/>
      </c>
      <c r="AZ500" s="65" t="str">
        <f aca="false">IF($AH500="Critical",$AF500+ROW()/100000,"")</f>
        <v/>
      </c>
    </row>
    <row r="501" customFormat="false" ht="15" hidden="false" customHeight="false" outlineLevel="0" collapsed="false">
      <c r="A501" s="28"/>
      <c r="B501" s="28"/>
      <c r="C501" s="28"/>
      <c r="D501" s="28"/>
      <c r="E501" s="28"/>
      <c r="F501" s="28"/>
      <c r="G501" s="63"/>
      <c r="H501" s="63"/>
      <c r="I501" s="63"/>
      <c r="J501" s="28"/>
      <c r="K501" s="28"/>
      <c r="L501" s="28"/>
      <c r="M501" s="28"/>
      <c r="N501" s="28"/>
      <c r="O501" s="64"/>
      <c r="P501" s="64"/>
      <c r="Q501" s="64"/>
      <c r="R501" s="28"/>
      <c r="S501" s="63"/>
      <c r="T501" s="64"/>
      <c r="U501" s="63"/>
      <c r="V501" s="64"/>
      <c r="W501" s="28"/>
      <c r="X501" s="65" t="str">
        <f aca="false">IF($A501="","",IF(OR($T501&lt;&gt;"",$U501&lt;&gt;""),"Closed",IFERROR(INDEX(MapStage,MATCH($C501,MapStatus,0)),"Unmapped")))</f>
        <v/>
      </c>
      <c r="Y501" s="65" t="str">
        <f aca="false">IF(OR($X501="",$X501="Closed",$X501="Unmapped"),"",MATCH($X501,StageName,0))</f>
        <v/>
      </c>
      <c r="Z501" s="65" t="str">
        <f aca="false">IF(OR($Y501="",$I501=""),"",$I501-AsOf)</f>
        <v/>
      </c>
      <c r="AA501" s="65" t="str">
        <f aca="false">IF($A501="","",AsOf-$H501)</f>
        <v/>
      </c>
      <c r="AB501" s="65" t="str">
        <f aca="false">IF($A501="","",IF($X501="Closed","Closed",IF($X501="Unmapped","Unmapped",IF($I501="","No target",IF($Z501&lt;0,"Overdue",IF($Z501&lt;=INDEX(StageWindow,$Y501),"At risk","On track"))))))</f>
        <v/>
      </c>
      <c r="AC501" s="65" t="str">
        <f aca="false">IF($Y501="","",IF($AA501&gt;2*INDEX(StageStale,$Y501),"Stale",IF($AA501&gt;INDEX(StageStale,$Y501),"Aging","Fresh")))</f>
        <v/>
      </c>
      <c r="AD501" s="65" t="str">
        <f aca="false">IF($A501="","",IF(OR(ISNUMBER(SEARCH("Reg report",$J501)),ISNUMBER(SEARCH("No human review",$J501)),COUNTIF(TierFuncs,$D501)&gt;0),"High",IF(OR(TRIM($J501)&lt;&gt;"",ISNUMBER(SEARCH("revenue",$K501))),"Medium","Low")))</f>
        <v/>
      </c>
      <c r="AE501" s="65" t="str">
        <f aca="false">IF($A501="","",INDEX(TierDays,MATCH($AD501,TierName,0)))</f>
        <v/>
      </c>
      <c r="AF501" s="65" t="str">
        <f aca="false">IF($A501="","",AsOf-$G501)</f>
        <v/>
      </c>
      <c r="AG501" s="65" t="str">
        <f aca="false">IF($Y501="","",IF($Y501&lt;=5,IF($AF501&gt;$AE501,"Over","Inside"),"Past approval"))</f>
        <v/>
      </c>
      <c r="AH501" s="65" t="str">
        <f aca="false">IF($Y501="","",CHOOSE($Y501,IF(OR(TRIM($F501)="",ISNUMBER(SEARCH("not named",$F501))),"Critical","Good"),IF($O501&lt;&gt;"Y","Critical",IF($Q501&lt;&gt;"Y","Warning","Good")),IF($P501="","Critical",IF($P501="partial","Warning",IF($P501="ready","Good","Critical"))),IF($R501&lt;&gt;"","Critical","Warning"),IF($L501="","Critical",IF($N501="","Warning","Good")),IF($R501&lt;&gt;"","Critical","Warning"),IF($R501&lt;&gt;"","Critical","Warning"),IF($Q501="Y","Good","Critical")))</f>
        <v/>
      </c>
      <c r="AI501" s="65" t="str">
        <f aca="false">IF($Y501="","",CHOOSE($Y501,IF(OR(TRIM($F501)="",ISNUMBER(SEARCH("not named",$F501))),"Name a sponsor accountable for the value",""),IF($O501&lt;&gt;"Y","State the success metric and the stop condition",IF($Q501&lt;&gt;"Y","Set the baseline the benefit will be measured against","")),IF($P501="","Assess data readiness and regulatory impact",IF($P501="partial","Close the known data gaps",IF($P501="ready","","Data is not available; reshape or park"))),IF($R501&lt;&gt;"",IF(OR(ISNUMBER(SEARCH("mrm",$R501)),ISNUMBER(SEARCH("model",$R501)),ISNUMBER(SEARCH("risk",$R501)),ISNUMBER(SEARCH("legal",$R501)),ISNUMBER(SEARCH("complian",$R501))),"Awaiting ","Held at the design gate: ")&amp;$R501,"Map the governance framework for its tier"),IF($L501="","Size the annual benefit",IF($N501="","Score it so it can be ranked against capacity","")),IF($R501&lt;&gt;"","Build held: "&amp;$R501,"In build, not yet through test"),IF($R501&lt;&gt;"","Not ready to scale: "&amp;$R501,"Monitoring and third-party review not yet signed off"),IF($Q501="Y","","Live without a measured baseline to judge it against")))</f>
        <v/>
      </c>
      <c r="AJ501" s="65" t="str">
        <f aca="false">IF($Y501="","",INDEX(StageForum,$Y501))</f>
        <v/>
      </c>
      <c r="AK501" s="65" t="str">
        <f aca="false">IF($Y501="","",IF(OR($X501="Delivery",$X501="Value"),"Committed",IF($N501&lt;&gt;"","Candidate","")))</f>
        <v/>
      </c>
      <c r="AL501" s="65" t="str">
        <f aca="false">IF($AK501&lt;&gt;"Candidate","",COUNTIFS($AK$2:$AK$501,"Candidate",$N$2:$N$501,"&gt;"&amp;$N501)+COUNTIFS($AK$2:$AK$501,"Candidate",$N$2:$N$501,$N501,$A$2:$A$501,"&lt;"&amp;$A501)+1)</f>
        <v/>
      </c>
      <c r="AM501" s="65" t="str">
        <f aca="false">IF($AL501="","",SUMIFS($M$2:$M$501,$AK$2:$AK$501,"Candidate",$AL$2:$AL$501,"&lt;="&amp;$AL501))</f>
        <v/>
      </c>
      <c r="AN501" s="65" t="str">
        <f aca="false">IF($AL501="","",IF($AM501&lt;=CapacityOpen,"Fits","Below line"))</f>
        <v/>
      </c>
      <c r="AO501" s="65" t="str">
        <f aca="false">IF($A501="","",IF($X501="Closed","",IF($X501="Unmapped","Warning",IF(OR($AB501="Overdue",$V501="Y",$AH501="Critical"),"Critical",IF(OR($AB501="At risk",$AC501="Stale",$AG501="Over"),"Warning","")))))</f>
        <v/>
      </c>
      <c r="AP501" s="65" t="str">
        <f aca="false">IF($AO501="","",IF($AO501="Critical",3000,2000)-IF($Z501="",0,$Z501)+ROW()/100000)</f>
        <v/>
      </c>
      <c r="AQ501" s="65" t="str">
        <f aca="false">IF($AO501="","",IF($X501="Unmapped","Status '"&amp;$C501&amp;"' is not in the Config map",IF($V501="Y","Flagged in Jira",IF($AB501="Overdue",-$Z501&amp;" days past its "&amp;$X501&amp;" target",IF($AH501="Critical",$AI501,IF($AB501="At risk","Target in "&amp;$Z501&amp;" days",IF($AC501="Stale","No update in "&amp;$AA501&amp;" days","Past its "&amp;$AE501&amp;"-day tier window")))))))</f>
        <v/>
      </c>
      <c r="AR501" s="65" t="str">
        <f aca="false">IF($AO501="","","draft Jira update for "&amp;$A501)</f>
        <v/>
      </c>
      <c r="AS501" s="65" t="str">
        <f aca="false">IF($A501="","",HYPERLINK(JiraSite&amp;"/browse/"&amp;$A501,"open"))</f>
        <v/>
      </c>
      <c r="AT501" s="65" t="str">
        <f aca="false">IF($Y501="","",$Y501*1000+ROW())</f>
        <v/>
      </c>
      <c r="AU501" s="65" t="str">
        <f aca="false">IF(AND($A501&lt;&gt;"",$G501&gt;=WeekStart),$G501+ROW()/100000,"")</f>
        <v/>
      </c>
      <c r="AV501" s="65" t="str">
        <f aca="false">IF($A501="","",IF(OR(AND($S501&lt;&gt;"",$S501&gt;=WeekStart),AND($U501&lt;&gt;"",$U501&gt;=WeekStart)),MAX($S501,$U501)+ROW()/100000,""))</f>
        <v/>
      </c>
      <c r="AW501" s="65" t="str">
        <f aca="false">IF($AV501="","",IF($T501&lt;&gt;"",$T501,IF($X501="Closed","Closed","Accepted to "&amp;$X501)))</f>
        <v/>
      </c>
      <c r="AX501" s="65" t="str">
        <f aca="false">IF(AND($Y501&lt;&gt;"",$R501&lt;&gt;""),$AF501+ROW()/100000,"")</f>
        <v/>
      </c>
      <c r="AY501" s="65" t="str">
        <f aca="false">IF(AND($Y501&lt;&gt;"",OR($AB501="Overdue",AND($AH501="Critical",$R501&lt;&gt;""))),$AF501+ROW()/100000,"")</f>
        <v/>
      </c>
      <c r="AZ501" s="65" t="str">
        <f aca="false">IF($AH501="Critical",$AF501+ROW()/100000,"")</f>
        <v/>
      </c>
    </row>
  </sheetData>
  <autoFilter ref="A1:AZ501"/>
  <conditionalFormatting sqref="AB2:AB501">
    <cfRule type="cellIs" priority="2" operator="equal" aboveAverage="0" equalAverage="0" bottom="0" percent="0" rank="0" text="" dxfId="1">
      <formula>"Critical"</formula>
    </cfRule>
    <cfRule type="cellIs" priority="3" operator="equal" aboveAverage="0" equalAverage="0" bottom="0" percent="0" rank="0" text="" dxfId="1">
      <formula>"Overdue"</formula>
    </cfRule>
    <cfRule type="cellIs" priority="4" operator="equal" aboveAverage="0" equalAverage="0" bottom="0" percent="0" rank="0" text="" dxfId="1">
      <formula>"Red"</formula>
    </cfRule>
    <cfRule type="cellIs" priority="5" operator="equal" aboveAverage="0" equalAverage="0" bottom="0" percent="0" rank="0" text="" dxfId="1">
      <formula>"Stale"</formula>
    </cfRule>
    <cfRule type="cellIs" priority="6" operator="equal" aboveAverage="0" equalAverage="0" bottom="0" percent="0" rank="0" text="" dxfId="2">
      <formula>"Warning"</formula>
    </cfRule>
    <cfRule type="cellIs" priority="7" operator="equal" aboveAverage="0" equalAverage="0" bottom="0" percent="0" rank="0" text="" dxfId="2">
      <formula>"At risk"</formula>
    </cfRule>
    <cfRule type="cellIs" priority="8" operator="equal" aboveAverage="0" equalAverage="0" bottom="0" percent="0" rank="0" text="" dxfId="2">
      <formula>"Amber"</formula>
    </cfRule>
    <cfRule type="cellIs" priority="9" operator="equal" aboveAverage="0" equalAverage="0" bottom="0" percent="0" rank="0" text="" dxfId="2">
      <formula>"Aging"</formula>
    </cfRule>
    <cfRule type="cellIs" priority="10" operator="equal" aboveAverage="0" equalAverage="0" bottom="0" percent="0" rank="0" text="" dxfId="2">
      <formula>"Over"</formula>
    </cfRule>
    <cfRule type="cellIs" priority="11" operator="equal" aboveAverage="0" equalAverage="0" bottom="0" percent="0" rank="0" text="" dxfId="2">
      <formula>"Unmapped"</formula>
    </cfRule>
    <cfRule type="cellIs" priority="12" operator="equal" aboveAverage="0" equalAverage="0" bottom="0" percent="0" rank="0" text="" dxfId="2">
      <formula>"Below line"</formula>
    </cfRule>
    <cfRule type="cellIs" priority="13" operator="equal" aboveAverage="0" equalAverage="0" bottom="0" percent="0" rank="0" text="" dxfId="3">
      <formula>"On track"</formula>
    </cfRule>
    <cfRule type="cellIs" priority="14" operator="equal" aboveAverage="0" equalAverage="0" bottom="0" percent="0" rank="0" text="" dxfId="3">
      <formula>"Good"</formula>
    </cfRule>
    <cfRule type="cellIs" priority="15" operator="equal" aboveAverage="0" equalAverage="0" bottom="0" percent="0" rank="0" text="" dxfId="3">
      <formula>"Green"</formula>
    </cfRule>
    <cfRule type="cellIs" priority="16" operator="equal" aboveAverage="0" equalAverage="0" bottom="0" percent="0" rank="0" text="" dxfId="3">
      <formula>"Fresh"</formula>
    </cfRule>
    <cfRule type="cellIs" priority="17" operator="equal" aboveAverage="0" equalAverage="0" bottom="0" percent="0" rank="0" text="" dxfId="3">
      <formula>"Fits"</formula>
    </cfRule>
    <cfRule type="cellIs" priority="18" operator="equal" aboveAverage="0" equalAverage="0" bottom="0" percent="0" rank="0" text="" dxfId="3">
      <formula>"Passed"</formula>
    </cfRule>
    <cfRule type="cellIs" priority="19" operator="equal" aboveAverage="0" equalAverage="0" bottom="0" percent="0" rank="0" text="" dxfId="3">
      <formula>"Inside"</formula>
    </cfRule>
    <cfRule type="cellIs" priority="20" operator="equal" aboveAverage="0" equalAverage="0" bottom="0" percent="0" rank="0" text="" dxfId="4">
      <formula>"Pending"</formula>
    </cfRule>
    <cfRule type="cellIs" priority="21" operator="equal" aboveAverage="0" equalAverage="0" bottom="0" percent="0" rank="0" text="" dxfId="4">
      <formula>"Closed"</formula>
    </cfRule>
    <cfRule type="cellIs" priority="22" operator="equal" aboveAverage="0" equalAverage="0" bottom="0" percent="0" rank="0" text="" dxfId="4">
      <formula>"Committed"</formula>
    </cfRule>
  </conditionalFormatting>
  <conditionalFormatting sqref="AC2:AC501">
    <cfRule type="cellIs" priority="23" operator="equal" aboveAverage="0" equalAverage="0" bottom="0" percent="0" rank="0" text="" dxfId="1">
      <formula>"Critical"</formula>
    </cfRule>
    <cfRule type="cellIs" priority="24" operator="equal" aboveAverage="0" equalAverage="0" bottom="0" percent="0" rank="0" text="" dxfId="1">
      <formula>"Overdue"</formula>
    </cfRule>
    <cfRule type="cellIs" priority="25" operator="equal" aboveAverage="0" equalAverage="0" bottom="0" percent="0" rank="0" text="" dxfId="1">
      <formula>"Red"</formula>
    </cfRule>
    <cfRule type="cellIs" priority="26" operator="equal" aboveAverage="0" equalAverage="0" bottom="0" percent="0" rank="0" text="" dxfId="1">
      <formula>"Stale"</formula>
    </cfRule>
    <cfRule type="cellIs" priority="27" operator="equal" aboveAverage="0" equalAverage="0" bottom="0" percent="0" rank="0" text="" dxfId="2">
      <formula>"Warning"</formula>
    </cfRule>
    <cfRule type="cellIs" priority="28" operator="equal" aboveAverage="0" equalAverage="0" bottom="0" percent="0" rank="0" text="" dxfId="2">
      <formula>"At risk"</formula>
    </cfRule>
    <cfRule type="cellIs" priority="29" operator="equal" aboveAverage="0" equalAverage="0" bottom="0" percent="0" rank="0" text="" dxfId="2">
      <formula>"Amber"</formula>
    </cfRule>
    <cfRule type="cellIs" priority="30" operator="equal" aboveAverage="0" equalAverage="0" bottom="0" percent="0" rank="0" text="" dxfId="2">
      <formula>"Aging"</formula>
    </cfRule>
    <cfRule type="cellIs" priority="31" operator="equal" aboveAverage="0" equalAverage="0" bottom="0" percent="0" rank="0" text="" dxfId="2">
      <formula>"Over"</formula>
    </cfRule>
    <cfRule type="cellIs" priority="32" operator="equal" aboveAverage="0" equalAverage="0" bottom="0" percent="0" rank="0" text="" dxfId="2">
      <formula>"Unmapped"</formula>
    </cfRule>
    <cfRule type="cellIs" priority="33" operator="equal" aboveAverage="0" equalAverage="0" bottom="0" percent="0" rank="0" text="" dxfId="2">
      <formula>"Below line"</formula>
    </cfRule>
    <cfRule type="cellIs" priority="34" operator="equal" aboveAverage="0" equalAverage="0" bottom="0" percent="0" rank="0" text="" dxfId="3">
      <formula>"On track"</formula>
    </cfRule>
    <cfRule type="cellIs" priority="35" operator="equal" aboveAverage="0" equalAverage="0" bottom="0" percent="0" rank="0" text="" dxfId="3">
      <formula>"Good"</formula>
    </cfRule>
    <cfRule type="cellIs" priority="36" operator="equal" aboveAverage="0" equalAverage="0" bottom="0" percent="0" rank="0" text="" dxfId="3">
      <formula>"Green"</formula>
    </cfRule>
    <cfRule type="cellIs" priority="37" operator="equal" aboveAverage="0" equalAverage="0" bottom="0" percent="0" rank="0" text="" dxfId="3">
      <formula>"Fresh"</formula>
    </cfRule>
    <cfRule type="cellIs" priority="38" operator="equal" aboveAverage="0" equalAverage="0" bottom="0" percent="0" rank="0" text="" dxfId="3">
      <formula>"Fits"</formula>
    </cfRule>
    <cfRule type="cellIs" priority="39" operator="equal" aboveAverage="0" equalAverage="0" bottom="0" percent="0" rank="0" text="" dxfId="3">
      <formula>"Passed"</formula>
    </cfRule>
    <cfRule type="cellIs" priority="40" operator="equal" aboveAverage="0" equalAverage="0" bottom="0" percent="0" rank="0" text="" dxfId="3">
      <formula>"Inside"</formula>
    </cfRule>
    <cfRule type="cellIs" priority="41" operator="equal" aboveAverage="0" equalAverage="0" bottom="0" percent="0" rank="0" text="" dxfId="4">
      <formula>"Pending"</formula>
    </cfRule>
    <cfRule type="cellIs" priority="42" operator="equal" aboveAverage="0" equalAverage="0" bottom="0" percent="0" rank="0" text="" dxfId="4">
      <formula>"Closed"</formula>
    </cfRule>
    <cfRule type="cellIs" priority="43" operator="equal" aboveAverage="0" equalAverage="0" bottom="0" percent="0" rank="0" text="" dxfId="4">
      <formula>"Committed"</formula>
    </cfRule>
  </conditionalFormatting>
  <conditionalFormatting sqref="AH2:AH501">
    <cfRule type="cellIs" priority="44" operator="equal" aboveAverage="0" equalAverage="0" bottom="0" percent="0" rank="0" text="" dxfId="1">
      <formula>"Critical"</formula>
    </cfRule>
    <cfRule type="cellIs" priority="45" operator="equal" aboveAverage="0" equalAverage="0" bottom="0" percent="0" rank="0" text="" dxfId="1">
      <formula>"Overdue"</formula>
    </cfRule>
    <cfRule type="cellIs" priority="46" operator="equal" aboveAverage="0" equalAverage="0" bottom="0" percent="0" rank="0" text="" dxfId="1">
      <formula>"Red"</formula>
    </cfRule>
    <cfRule type="cellIs" priority="47" operator="equal" aboveAverage="0" equalAverage="0" bottom="0" percent="0" rank="0" text="" dxfId="1">
      <formula>"Stale"</formula>
    </cfRule>
    <cfRule type="cellIs" priority="48" operator="equal" aboveAverage="0" equalAverage="0" bottom="0" percent="0" rank="0" text="" dxfId="2">
      <formula>"Warning"</formula>
    </cfRule>
    <cfRule type="cellIs" priority="49" operator="equal" aboveAverage="0" equalAverage="0" bottom="0" percent="0" rank="0" text="" dxfId="2">
      <formula>"At risk"</formula>
    </cfRule>
    <cfRule type="cellIs" priority="50" operator="equal" aboveAverage="0" equalAverage="0" bottom="0" percent="0" rank="0" text="" dxfId="2">
      <formula>"Amber"</formula>
    </cfRule>
    <cfRule type="cellIs" priority="51" operator="equal" aboveAverage="0" equalAverage="0" bottom="0" percent="0" rank="0" text="" dxfId="2">
      <formula>"Aging"</formula>
    </cfRule>
    <cfRule type="cellIs" priority="52" operator="equal" aboveAverage="0" equalAverage="0" bottom="0" percent="0" rank="0" text="" dxfId="2">
      <formula>"Over"</formula>
    </cfRule>
    <cfRule type="cellIs" priority="53" operator="equal" aboveAverage="0" equalAverage="0" bottom="0" percent="0" rank="0" text="" dxfId="2">
      <formula>"Unmapped"</formula>
    </cfRule>
    <cfRule type="cellIs" priority="54" operator="equal" aboveAverage="0" equalAverage="0" bottom="0" percent="0" rank="0" text="" dxfId="2">
      <formula>"Below line"</formula>
    </cfRule>
    <cfRule type="cellIs" priority="55" operator="equal" aboveAverage="0" equalAverage="0" bottom="0" percent="0" rank="0" text="" dxfId="3">
      <formula>"On track"</formula>
    </cfRule>
    <cfRule type="cellIs" priority="56" operator="equal" aboveAverage="0" equalAverage="0" bottom="0" percent="0" rank="0" text="" dxfId="3">
      <formula>"Good"</formula>
    </cfRule>
    <cfRule type="cellIs" priority="57" operator="equal" aboveAverage="0" equalAverage="0" bottom="0" percent="0" rank="0" text="" dxfId="3">
      <formula>"Green"</formula>
    </cfRule>
    <cfRule type="cellIs" priority="58" operator="equal" aboveAverage="0" equalAverage="0" bottom="0" percent="0" rank="0" text="" dxfId="3">
      <formula>"Fresh"</formula>
    </cfRule>
    <cfRule type="cellIs" priority="59" operator="equal" aboveAverage="0" equalAverage="0" bottom="0" percent="0" rank="0" text="" dxfId="3">
      <formula>"Fits"</formula>
    </cfRule>
    <cfRule type="cellIs" priority="60" operator="equal" aboveAverage="0" equalAverage="0" bottom="0" percent="0" rank="0" text="" dxfId="3">
      <formula>"Passed"</formula>
    </cfRule>
    <cfRule type="cellIs" priority="61" operator="equal" aboveAverage="0" equalAverage="0" bottom="0" percent="0" rank="0" text="" dxfId="3">
      <formula>"Inside"</formula>
    </cfRule>
    <cfRule type="cellIs" priority="62" operator="equal" aboveAverage="0" equalAverage="0" bottom="0" percent="0" rank="0" text="" dxfId="4">
      <formula>"Pending"</formula>
    </cfRule>
    <cfRule type="cellIs" priority="63" operator="equal" aboveAverage="0" equalAverage="0" bottom="0" percent="0" rank="0" text="" dxfId="4">
      <formula>"Closed"</formula>
    </cfRule>
    <cfRule type="cellIs" priority="64" operator="equal" aboveAverage="0" equalAverage="0" bottom="0" percent="0" rank="0" text="" dxfId="4">
      <formula>"Committed"</formula>
    </cfRule>
  </conditionalFormatting>
  <conditionalFormatting sqref="AG2:AG501">
    <cfRule type="cellIs" priority="65" operator="equal" aboveAverage="0" equalAverage="0" bottom="0" percent="0" rank="0" text="" dxfId="1">
      <formula>"Critical"</formula>
    </cfRule>
    <cfRule type="cellIs" priority="66" operator="equal" aboveAverage="0" equalAverage="0" bottom="0" percent="0" rank="0" text="" dxfId="1">
      <formula>"Overdue"</formula>
    </cfRule>
    <cfRule type="cellIs" priority="67" operator="equal" aboveAverage="0" equalAverage="0" bottom="0" percent="0" rank="0" text="" dxfId="1">
      <formula>"Red"</formula>
    </cfRule>
    <cfRule type="cellIs" priority="68" operator="equal" aboveAverage="0" equalAverage="0" bottom="0" percent="0" rank="0" text="" dxfId="1">
      <formula>"Stale"</formula>
    </cfRule>
    <cfRule type="cellIs" priority="69" operator="equal" aboveAverage="0" equalAverage="0" bottom="0" percent="0" rank="0" text="" dxfId="2">
      <formula>"Warning"</formula>
    </cfRule>
    <cfRule type="cellIs" priority="70" operator="equal" aboveAverage="0" equalAverage="0" bottom="0" percent="0" rank="0" text="" dxfId="2">
      <formula>"At risk"</formula>
    </cfRule>
    <cfRule type="cellIs" priority="71" operator="equal" aboveAverage="0" equalAverage="0" bottom="0" percent="0" rank="0" text="" dxfId="2">
      <formula>"Amber"</formula>
    </cfRule>
    <cfRule type="cellIs" priority="72" operator="equal" aboveAverage="0" equalAverage="0" bottom="0" percent="0" rank="0" text="" dxfId="2">
      <formula>"Aging"</formula>
    </cfRule>
    <cfRule type="cellIs" priority="73" operator="equal" aboveAverage="0" equalAverage="0" bottom="0" percent="0" rank="0" text="" dxfId="2">
      <formula>"Over"</formula>
    </cfRule>
    <cfRule type="cellIs" priority="74" operator="equal" aboveAverage="0" equalAverage="0" bottom="0" percent="0" rank="0" text="" dxfId="2">
      <formula>"Unmapped"</formula>
    </cfRule>
    <cfRule type="cellIs" priority="75" operator="equal" aboveAverage="0" equalAverage="0" bottom="0" percent="0" rank="0" text="" dxfId="2">
      <formula>"Below line"</formula>
    </cfRule>
    <cfRule type="cellIs" priority="76" operator="equal" aboveAverage="0" equalAverage="0" bottom="0" percent="0" rank="0" text="" dxfId="3">
      <formula>"On track"</formula>
    </cfRule>
    <cfRule type="cellIs" priority="77" operator="equal" aboveAverage="0" equalAverage="0" bottom="0" percent="0" rank="0" text="" dxfId="3">
      <formula>"Good"</formula>
    </cfRule>
    <cfRule type="cellIs" priority="78" operator="equal" aboveAverage="0" equalAverage="0" bottom="0" percent="0" rank="0" text="" dxfId="3">
      <formula>"Green"</formula>
    </cfRule>
    <cfRule type="cellIs" priority="79" operator="equal" aboveAverage="0" equalAverage="0" bottom="0" percent="0" rank="0" text="" dxfId="3">
      <formula>"Fresh"</formula>
    </cfRule>
    <cfRule type="cellIs" priority="80" operator="equal" aboveAverage="0" equalAverage="0" bottom="0" percent="0" rank="0" text="" dxfId="3">
      <formula>"Fits"</formula>
    </cfRule>
    <cfRule type="cellIs" priority="81" operator="equal" aboveAverage="0" equalAverage="0" bottom="0" percent="0" rank="0" text="" dxfId="3">
      <formula>"Passed"</formula>
    </cfRule>
    <cfRule type="cellIs" priority="82" operator="equal" aboveAverage="0" equalAverage="0" bottom="0" percent="0" rank="0" text="" dxfId="3">
      <formula>"Inside"</formula>
    </cfRule>
    <cfRule type="cellIs" priority="83" operator="equal" aboveAverage="0" equalAverage="0" bottom="0" percent="0" rank="0" text="" dxfId="4">
      <formula>"Pending"</formula>
    </cfRule>
    <cfRule type="cellIs" priority="84" operator="equal" aboveAverage="0" equalAverage="0" bottom="0" percent="0" rank="0" text="" dxfId="4">
      <formula>"Closed"</formula>
    </cfRule>
    <cfRule type="cellIs" priority="85" operator="equal" aboveAverage="0" equalAverage="0" bottom="0" percent="0" rank="0" text="" dxfId="4">
      <formula>"Committed"</formula>
    </cfRule>
  </conditionalFormatting>
  <conditionalFormatting sqref="AN2:AN501">
    <cfRule type="cellIs" priority="86" operator="equal" aboveAverage="0" equalAverage="0" bottom="0" percent="0" rank="0" text="" dxfId="1">
      <formula>"Critical"</formula>
    </cfRule>
    <cfRule type="cellIs" priority="87" operator="equal" aboveAverage="0" equalAverage="0" bottom="0" percent="0" rank="0" text="" dxfId="1">
      <formula>"Overdue"</formula>
    </cfRule>
    <cfRule type="cellIs" priority="88" operator="equal" aboveAverage="0" equalAverage="0" bottom="0" percent="0" rank="0" text="" dxfId="1">
      <formula>"Red"</formula>
    </cfRule>
    <cfRule type="cellIs" priority="89" operator="equal" aboveAverage="0" equalAverage="0" bottom="0" percent="0" rank="0" text="" dxfId="1">
      <formula>"Stale"</formula>
    </cfRule>
    <cfRule type="cellIs" priority="90" operator="equal" aboveAverage="0" equalAverage="0" bottom="0" percent="0" rank="0" text="" dxfId="2">
      <formula>"Warning"</formula>
    </cfRule>
    <cfRule type="cellIs" priority="91" operator="equal" aboveAverage="0" equalAverage="0" bottom="0" percent="0" rank="0" text="" dxfId="2">
      <formula>"At risk"</formula>
    </cfRule>
    <cfRule type="cellIs" priority="92" operator="equal" aboveAverage="0" equalAverage="0" bottom="0" percent="0" rank="0" text="" dxfId="2">
      <formula>"Amber"</formula>
    </cfRule>
    <cfRule type="cellIs" priority="93" operator="equal" aboveAverage="0" equalAverage="0" bottom="0" percent="0" rank="0" text="" dxfId="2">
      <formula>"Aging"</formula>
    </cfRule>
    <cfRule type="cellIs" priority="94" operator="equal" aboveAverage="0" equalAverage="0" bottom="0" percent="0" rank="0" text="" dxfId="2">
      <formula>"Over"</formula>
    </cfRule>
    <cfRule type="cellIs" priority="95" operator="equal" aboveAverage="0" equalAverage="0" bottom="0" percent="0" rank="0" text="" dxfId="2">
      <formula>"Unmapped"</formula>
    </cfRule>
    <cfRule type="cellIs" priority="96" operator="equal" aboveAverage="0" equalAverage="0" bottom="0" percent="0" rank="0" text="" dxfId="2">
      <formula>"Below line"</formula>
    </cfRule>
    <cfRule type="cellIs" priority="97" operator="equal" aboveAverage="0" equalAverage="0" bottom="0" percent="0" rank="0" text="" dxfId="3">
      <formula>"On track"</formula>
    </cfRule>
    <cfRule type="cellIs" priority="98" operator="equal" aboveAverage="0" equalAverage="0" bottom="0" percent="0" rank="0" text="" dxfId="3">
      <formula>"Good"</formula>
    </cfRule>
    <cfRule type="cellIs" priority="99" operator="equal" aboveAverage="0" equalAverage="0" bottom="0" percent="0" rank="0" text="" dxfId="3">
      <formula>"Green"</formula>
    </cfRule>
    <cfRule type="cellIs" priority="100" operator="equal" aboveAverage="0" equalAverage="0" bottom="0" percent="0" rank="0" text="" dxfId="3">
      <formula>"Fresh"</formula>
    </cfRule>
    <cfRule type="cellIs" priority="101" operator="equal" aboveAverage="0" equalAverage="0" bottom="0" percent="0" rank="0" text="" dxfId="3">
      <formula>"Fits"</formula>
    </cfRule>
    <cfRule type="cellIs" priority="102" operator="equal" aboveAverage="0" equalAverage="0" bottom="0" percent="0" rank="0" text="" dxfId="3">
      <formula>"Passed"</formula>
    </cfRule>
    <cfRule type="cellIs" priority="103" operator="equal" aboveAverage="0" equalAverage="0" bottom="0" percent="0" rank="0" text="" dxfId="3">
      <formula>"Inside"</formula>
    </cfRule>
    <cfRule type="cellIs" priority="104" operator="equal" aboveAverage="0" equalAverage="0" bottom="0" percent="0" rank="0" text="" dxfId="4">
      <formula>"Pending"</formula>
    </cfRule>
    <cfRule type="cellIs" priority="105" operator="equal" aboveAverage="0" equalAverage="0" bottom="0" percent="0" rank="0" text="" dxfId="4">
      <formula>"Closed"</formula>
    </cfRule>
    <cfRule type="cellIs" priority="106" operator="equal" aboveAverage="0" equalAverage="0" bottom="0" percent="0" rank="0" text="" dxfId="4">
      <formula>"Committed"</formula>
    </cfRule>
  </conditionalFormatting>
  <conditionalFormatting sqref="AO2:AO501">
    <cfRule type="cellIs" priority="107" operator="equal" aboveAverage="0" equalAverage="0" bottom="0" percent="0" rank="0" text="" dxfId="1">
      <formula>"Critical"</formula>
    </cfRule>
    <cfRule type="cellIs" priority="108" operator="equal" aboveAverage="0" equalAverage="0" bottom="0" percent="0" rank="0" text="" dxfId="1">
      <formula>"Overdue"</formula>
    </cfRule>
    <cfRule type="cellIs" priority="109" operator="equal" aboveAverage="0" equalAverage="0" bottom="0" percent="0" rank="0" text="" dxfId="1">
      <formula>"Red"</formula>
    </cfRule>
    <cfRule type="cellIs" priority="110" operator="equal" aboveAverage="0" equalAverage="0" bottom="0" percent="0" rank="0" text="" dxfId="1">
      <formula>"Stale"</formula>
    </cfRule>
    <cfRule type="cellIs" priority="111" operator="equal" aboveAverage="0" equalAverage="0" bottom="0" percent="0" rank="0" text="" dxfId="2">
      <formula>"Warning"</formula>
    </cfRule>
    <cfRule type="cellIs" priority="112" operator="equal" aboveAverage="0" equalAverage="0" bottom="0" percent="0" rank="0" text="" dxfId="2">
      <formula>"At risk"</formula>
    </cfRule>
    <cfRule type="cellIs" priority="113" operator="equal" aboveAverage="0" equalAverage="0" bottom="0" percent="0" rank="0" text="" dxfId="2">
      <formula>"Amber"</formula>
    </cfRule>
    <cfRule type="cellIs" priority="114" operator="equal" aboveAverage="0" equalAverage="0" bottom="0" percent="0" rank="0" text="" dxfId="2">
      <formula>"Aging"</formula>
    </cfRule>
    <cfRule type="cellIs" priority="115" operator="equal" aboveAverage="0" equalAverage="0" bottom="0" percent="0" rank="0" text="" dxfId="2">
      <formula>"Over"</formula>
    </cfRule>
    <cfRule type="cellIs" priority="116" operator="equal" aboveAverage="0" equalAverage="0" bottom="0" percent="0" rank="0" text="" dxfId="2">
      <formula>"Unmapped"</formula>
    </cfRule>
    <cfRule type="cellIs" priority="117" operator="equal" aboveAverage="0" equalAverage="0" bottom="0" percent="0" rank="0" text="" dxfId="2">
      <formula>"Below line"</formula>
    </cfRule>
    <cfRule type="cellIs" priority="118" operator="equal" aboveAverage="0" equalAverage="0" bottom="0" percent="0" rank="0" text="" dxfId="3">
      <formula>"On track"</formula>
    </cfRule>
    <cfRule type="cellIs" priority="119" operator="equal" aboveAverage="0" equalAverage="0" bottom="0" percent="0" rank="0" text="" dxfId="3">
      <formula>"Good"</formula>
    </cfRule>
    <cfRule type="cellIs" priority="120" operator="equal" aboveAverage="0" equalAverage="0" bottom="0" percent="0" rank="0" text="" dxfId="3">
      <formula>"Green"</formula>
    </cfRule>
    <cfRule type="cellIs" priority="121" operator="equal" aboveAverage="0" equalAverage="0" bottom="0" percent="0" rank="0" text="" dxfId="3">
      <formula>"Fresh"</formula>
    </cfRule>
    <cfRule type="cellIs" priority="122" operator="equal" aboveAverage="0" equalAverage="0" bottom="0" percent="0" rank="0" text="" dxfId="3">
      <formula>"Fits"</formula>
    </cfRule>
    <cfRule type="cellIs" priority="123" operator="equal" aboveAverage="0" equalAverage="0" bottom="0" percent="0" rank="0" text="" dxfId="3">
      <formula>"Passed"</formula>
    </cfRule>
    <cfRule type="cellIs" priority="124" operator="equal" aboveAverage="0" equalAverage="0" bottom="0" percent="0" rank="0" text="" dxfId="3">
      <formula>"Inside"</formula>
    </cfRule>
    <cfRule type="cellIs" priority="125" operator="equal" aboveAverage="0" equalAverage="0" bottom="0" percent="0" rank="0" text="" dxfId="4">
      <formula>"Pending"</formula>
    </cfRule>
    <cfRule type="cellIs" priority="126" operator="equal" aboveAverage="0" equalAverage="0" bottom="0" percent="0" rank="0" text="" dxfId="4">
      <formula>"Closed"</formula>
    </cfRule>
    <cfRule type="cellIs" priority="127" operator="equal" aboveAverage="0" equalAverage="0" bottom="0" percent="0" rank="0" text="" dxfId="4">
      <formula>"Committed"</formula>
    </cfRule>
  </conditionalFormatting>
  <dataValidations count="3">
    <dataValidation allowBlank="true" error="Pick one of: ready, partial, none" errorStyle="stop" errorTitle="Not on the list" operator="between" showDropDown="false" showErrorMessage="true" showInputMessage="false" sqref="P2:P501" type="list">
      <formula1>"ready,partial,none"</formula1>
      <formula2>0</formula2>
    </dataValidation>
    <dataValidation allowBlank="true" error="Pick one of: Y" errorStyle="stop" errorTitle="Not on the list" operator="between" showDropDown="false" showErrorMessage="true" showInputMessage="false" sqref="O2:O501 Q2:Q501 V2:V501" type="list">
      <formula1>"Y"</formula1>
      <formula2>0</formula2>
    </dataValidation>
    <dataValidation allowBlank="true" error="Pick one of: Declined, Transferred" errorStyle="stop" errorTitle="Not on the list" operator="between" showDropDown="false" showErrorMessage="true" showInputMessage="false" sqref="T2:T501" type="list">
      <formula1>"Declined,Transferred"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S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5"/>
    <col collapsed="false" customWidth="true" hidden="false" outlineLevel="0" max="5" min="5" style="0" width="56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30"/>
    <col collapsed="false" customWidth="true" hidden="false" outlineLevel="0" max="19" min="16" style="0" width="8"/>
  </cols>
  <sheetData>
    <row r="1" customFormat="false" ht="30" hidden="false" customHeight="true" outlineLevel="0" collapsed="false">
      <c r="A1" s="61" t="s">
        <v>7</v>
      </c>
      <c r="B1" s="61" t="s">
        <v>27</v>
      </c>
      <c r="C1" s="61" t="s">
        <v>8</v>
      </c>
      <c r="D1" s="61" t="s">
        <v>9</v>
      </c>
      <c r="E1" s="61" t="s">
        <v>10</v>
      </c>
      <c r="F1" s="61" t="s">
        <v>14</v>
      </c>
      <c r="G1" s="61" t="s">
        <v>278</v>
      </c>
      <c r="H1" s="61" t="s">
        <v>279</v>
      </c>
      <c r="I1" s="61" t="s">
        <v>280</v>
      </c>
      <c r="J1" s="61" t="s">
        <v>13</v>
      </c>
      <c r="K1" s="62" t="s">
        <v>156</v>
      </c>
      <c r="L1" s="62" t="s">
        <v>281</v>
      </c>
      <c r="M1" s="62" t="s">
        <v>12</v>
      </c>
      <c r="N1" s="62" t="s">
        <v>282</v>
      </c>
      <c r="O1" s="62" t="s">
        <v>15</v>
      </c>
      <c r="P1" s="62" t="s">
        <v>283</v>
      </c>
      <c r="Q1" s="62" t="s">
        <v>284</v>
      </c>
      <c r="R1" s="62" t="s">
        <v>285</v>
      </c>
      <c r="S1" s="62" t="s">
        <v>286</v>
      </c>
    </row>
    <row r="2" customFormat="false" ht="15" hidden="false" customHeight="false" outlineLevel="0" collapsed="false">
      <c r="A2" s="28" t="s">
        <v>287</v>
      </c>
      <c r="B2" s="63" t="n">
        <v>46273</v>
      </c>
      <c r="C2" s="64" t="s">
        <v>288</v>
      </c>
      <c r="D2" s="28" t="s">
        <v>289</v>
      </c>
      <c r="E2" s="28" t="s">
        <v>290</v>
      </c>
      <c r="F2" s="28" t="s">
        <v>291</v>
      </c>
      <c r="G2" s="64" t="s">
        <v>292</v>
      </c>
      <c r="H2" s="64" t="s">
        <v>293</v>
      </c>
      <c r="I2" s="28"/>
      <c r="J2" s="28"/>
      <c r="K2" s="65" t="str">
        <f aca="false">IF($A2="","",IF(OR($C2="Decision",$C2="Conflict"),IF(COUNTIFS($I$2:$I$1001,$A2,$C$2:$C$1001,"Resolved")=0,"Open","Closed"),IF(AND($H2="Unconfirmed",OR($C2="New",$C2="Know")),IF(COUNTIFS($I$2:$I$1001,$A2,$C$2:$C$1001,"Confirmed")=0,"Unconfirmed","Confirmed"),"Logged")))</f>
        <v>Logged</v>
      </c>
      <c r="L2" s="65" t="n">
        <f aca="false">IF($A2="","",AsOf-$B2)</f>
        <v>24</v>
      </c>
      <c r="M2" s="65" t="str">
        <f aca="false">IF($K2="Open",IF($C2="Conflict","Critical",IF($L2&gt;=DecisionCritical,"Critical",IF($L2&gt;=DecisionWarn,"Warning","On track"))),IF($K2="Unconfirmed",IF($L2&gt;=UnconfirmedWarn,"Warning","On track"),""))</f>
        <v/>
      </c>
      <c r="N2" s="65" t="str">
        <f aca="false">IF($M2="","",IF($M2="Critical",3000,IF($M2="Warning",2000,1000))+$L2+ROW()/100000)</f>
        <v/>
      </c>
      <c r="O2" s="65" t="str">
        <f aca="false">IF($K2="Open",IF($C2="Conflict","decide "&amp;$A2&amp;": &lt;which version stands&gt;","decide "&amp;$A2&amp;": &lt;outcome&gt;"),IF($K2="Unconfirmed","confirm "&amp;$A2,""))</f>
        <v/>
      </c>
      <c r="P2" s="65" t="str">
        <f aca="false">IF(AND($C2="New",$B2&gt;=WeekStart),$B2+ROW()/100000,"")</f>
        <v/>
      </c>
      <c r="Q2" s="65" t="str">
        <f aca="false">IF(AND($C2="Know",$B2&gt;=WeekStart),$B2+ROW()/100000,"")</f>
        <v/>
      </c>
      <c r="R2" s="65" t="str">
        <f aca="false">IF(AND($K2="Open",$C2="Decision"),$L2+ROW()/100000,"")</f>
        <v/>
      </c>
      <c r="S2" s="65" t="str">
        <f aca="false">IF(AND($J2&lt;&gt;"",$J2=UCSel),$B2+ROW()/100000,"")</f>
        <v/>
      </c>
    </row>
    <row r="3" customFormat="false" ht="15" hidden="false" customHeight="false" outlineLevel="0" collapsed="false">
      <c r="A3" s="28" t="s">
        <v>294</v>
      </c>
      <c r="B3" s="63" t="n">
        <v>46276</v>
      </c>
      <c r="C3" s="64" t="s">
        <v>295</v>
      </c>
      <c r="D3" s="28" t="s">
        <v>296</v>
      </c>
      <c r="E3" s="28" t="s">
        <v>297</v>
      </c>
      <c r="F3" s="28" t="s">
        <v>298</v>
      </c>
      <c r="G3" s="64" t="s">
        <v>299</v>
      </c>
      <c r="H3" s="64" t="s">
        <v>293</v>
      </c>
      <c r="I3" s="28"/>
      <c r="J3" s="28"/>
      <c r="K3" s="65" t="str">
        <f aca="false">IF($A3="","",IF(OR($C3="Decision",$C3="Conflict"),IF(COUNTIFS($I$2:$I$1001,$A3,$C$2:$C$1001,"Resolved")=0,"Open","Closed"),IF(AND($H3="Unconfirmed",OR($C3="New",$C3="Know")),IF(COUNTIFS($I$2:$I$1001,$A3,$C$2:$C$1001,"Confirmed")=0,"Unconfirmed","Confirmed"),"Logged")))</f>
        <v>Logged</v>
      </c>
      <c r="L3" s="65" t="n">
        <f aca="false">IF($A3="","",AsOf-$B3)</f>
        <v>21</v>
      </c>
      <c r="M3" s="65" t="str">
        <f aca="false">IF($K3="Open",IF($C3="Conflict","Critical",IF($L3&gt;=DecisionCritical,"Critical",IF($L3&gt;=DecisionWarn,"Warning","On track"))),IF($K3="Unconfirmed",IF($L3&gt;=UnconfirmedWarn,"Warning","On track"),""))</f>
        <v/>
      </c>
      <c r="N3" s="65" t="str">
        <f aca="false">IF($M3="","",IF($M3="Critical",3000,IF($M3="Warning",2000,1000))+$L3+ROW()/100000)</f>
        <v/>
      </c>
      <c r="O3" s="65" t="str">
        <f aca="false">IF($K3="Open",IF($C3="Conflict","decide "&amp;$A3&amp;": &lt;which version stands&gt;","decide "&amp;$A3&amp;": &lt;outcome&gt;"),IF($K3="Unconfirmed","confirm "&amp;$A3,""))</f>
        <v/>
      </c>
      <c r="P3" s="65" t="str">
        <f aca="false">IF(AND($C3="New",$B3&gt;=WeekStart),$B3+ROW()/100000,"")</f>
        <v/>
      </c>
      <c r="Q3" s="65" t="str">
        <f aca="false">IF(AND($C3="Know",$B3&gt;=WeekStart),$B3+ROW()/100000,"")</f>
        <v/>
      </c>
      <c r="R3" s="65" t="str">
        <f aca="false">IF(AND($K3="Open",$C3="Decision"),$L3+ROW()/100000,"")</f>
        <v/>
      </c>
      <c r="S3" s="65" t="str">
        <f aca="false">IF(AND($J3&lt;&gt;"",$J3=UCSel),$B3+ROW()/100000,"")</f>
        <v/>
      </c>
    </row>
    <row r="4" customFormat="false" ht="15" hidden="false" customHeight="false" outlineLevel="0" collapsed="false">
      <c r="A4" s="28" t="s">
        <v>300</v>
      </c>
      <c r="B4" s="63" t="n">
        <v>46278</v>
      </c>
      <c r="C4" s="64" t="s">
        <v>177</v>
      </c>
      <c r="D4" s="28" t="s">
        <v>190</v>
      </c>
      <c r="E4" s="28" t="s">
        <v>301</v>
      </c>
      <c r="F4" s="28" t="s">
        <v>185</v>
      </c>
      <c r="G4" s="64" t="s">
        <v>292</v>
      </c>
      <c r="H4" s="64" t="s">
        <v>293</v>
      </c>
      <c r="I4" s="28"/>
      <c r="J4" s="28" t="s">
        <v>181</v>
      </c>
      <c r="K4" s="65" t="str">
        <f aca="false">IF($A4="","",IF(OR($C4="Decision",$C4="Conflict"),IF(COUNTIFS($I$2:$I$1001,$A4,$C$2:$C$1001,"Resolved")=0,"Open","Closed"),IF(AND($H4="Unconfirmed",OR($C4="New",$C4="Know")),IF(COUNTIFS($I$2:$I$1001,$A4,$C$2:$C$1001,"Confirmed")=0,"Unconfirmed","Confirmed"),"Logged")))</f>
        <v>Closed</v>
      </c>
      <c r="L4" s="65" t="n">
        <f aca="false">IF($A4="","",AsOf-$B4)</f>
        <v>19</v>
      </c>
      <c r="M4" s="65" t="str">
        <f aca="false">IF($K4="Open",IF($C4="Conflict","Critical",IF($L4&gt;=DecisionCritical,"Critical",IF($L4&gt;=DecisionWarn,"Warning","On track"))),IF($K4="Unconfirmed",IF($L4&gt;=UnconfirmedWarn,"Warning","On track"),""))</f>
        <v/>
      </c>
      <c r="N4" s="65" t="str">
        <f aca="false">IF($M4="","",IF($M4="Critical",3000,IF($M4="Warning",2000,1000))+$L4+ROW()/100000)</f>
        <v/>
      </c>
      <c r="O4" s="65" t="str">
        <f aca="false">IF($K4="Open",IF($C4="Conflict","decide "&amp;$A4&amp;": &lt;which version stands&gt;","decide "&amp;$A4&amp;": &lt;outcome&gt;"),IF($K4="Unconfirmed","confirm "&amp;$A4,""))</f>
        <v/>
      </c>
      <c r="P4" s="65" t="str">
        <f aca="false">IF(AND($C4="New",$B4&gt;=WeekStart),$B4+ROW()/100000,"")</f>
        <v/>
      </c>
      <c r="Q4" s="65" t="str">
        <f aca="false">IF(AND($C4="Know",$B4&gt;=WeekStart),$B4+ROW()/100000,"")</f>
        <v/>
      </c>
      <c r="R4" s="65" t="str">
        <f aca="false">IF(AND($K4="Open",$C4="Decision"),$L4+ROW()/100000,"")</f>
        <v/>
      </c>
      <c r="S4" s="65" t="str">
        <f aca="false">IF(AND($J4&lt;&gt;"",$J4=UCSel),$B4+ROW()/100000,"")</f>
        <v/>
      </c>
    </row>
    <row r="5" customFormat="false" ht="15" hidden="false" customHeight="false" outlineLevel="0" collapsed="false">
      <c r="A5" s="28" t="s">
        <v>302</v>
      </c>
      <c r="B5" s="63" t="n">
        <v>46280</v>
      </c>
      <c r="C5" s="64" t="s">
        <v>288</v>
      </c>
      <c r="D5" s="28" t="s">
        <v>222</v>
      </c>
      <c r="E5" s="28" t="s">
        <v>303</v>
      </c>
      <c r="F5" s="28" t="s">
        <v>219</v>
      </c>
      <c r="G5" s="64" t="s">
        <v>299</v>
      </c>
      <c r="H5" s="64" t="s">
        <v>293</v>
      </c>
      <c r="I5" s="28"/>
      <c r="J5" s="28" t="s">
        <v>215</v>
      </c>
      <c r="K5" s="65" t="str">
        <f aca="false">IF($A5="","",IF(OR($C5="Decision",$C5="Conflict"),IF(COUNTIFS($I$2:$I$1001,$A5,$C$2:$C$1001,"Resolved")=0,"Open","Closed"),IF(AND($H5="Unconfirmed",OR($C5="New",$C5="Know")),IF(COUNTIFS($I$2:$I$1001,$A5,$C$2:$C$1001,"Confirmed")=0,"Unconfirmed","Confirmed"),"Logged")))</f>
        <v>Logged</v>
      </c>
      <c r="L5" s="65" t="n">
        <f aca="false">IF($A5="","",AsOf-$B5)</f>
        <v>17</v>
      </c>
      <c r="M5" s="65" t="str">
        <f aca="false">IF($K5="Open",IF($C5="Conflict","Critical",IF($L5&gt;=DecisionCritical,"Critical",IF($L5&gt;=DecisionWarn,"Warning","On track"))),IF($K5="Unconfirmed",IF($L5&gt;=UnconfirmedWarn,"Warning","On track"),""))</f>
        <v/>
      </c>
      <c r="N5" s="65" t="str">
        <f aca="false">IF($M5="","",IF($M5="Critical",3000,IF($M5="Warning",2000,1000))+$L5+ROW()/100000)</f>
        <v/>
      </c>
      <c r="O5" s="65" t="str">
        <f aca="false">IF($K5="Open",IF($C5="Conflict","decide "&amp;$A5&amp;": &lt;which version stands&gt;","decide "&amp;$A5&amp;": &lt;outcome&gt;"),IF($K5="Unconfirmed","confirm "&amp;$A5,""))</f>
        <v/>
      </c>
      <c r="P5" s="65" t="str">
        <f aca="false">IF(AND($C5="New",$B5&gt;=WeekStart),$B5+ROW()/100000,"")</f>
        <v/>
      </c>
      <c r="Q5" s="65" t="str">
        <f aca="false">IF(AND($C5="Know",$B5&gt;=WeekStart),$B5+ROW()/100000,"")</f>
        <v/>
      </c>
      <c r="R5" s="65" t="str">
        <f aca="false">IF(AND($K5="Open",$C5="Decision"),$L5+ROW()/100000,"")</f>
        <v/>
      </c>
      <c r="S5" s="65" t="str">
        <f aca="false">IF(AND($J5&lt;&gt;"",$J5=UCSel),$B5+ROW()/100000,"")</f>
        <v/>
      </c>
    </row>
    <row r="6" customFormat="false" ht="15" hidden="false" customHeight="false" outlineLevel="0" collapsed="false">
      <c r="A6" s="28" t="s">
        <v>304</v>
      </c>
      <c r="B6" s="63" t="n">
        <v>46283</v>
      </c>
      <c r="C6" s="64" t="s">
        <v>295</v>
      </c>
      <c r="D6" s="28" t="s">
        <v>277</v>
      </c>
      <c r="E6" s="28" t="s">
        <v>305</v>
      </c>
      <c r="F6" s="28" t="s">
        <v>306</v>
      </c>
      <c r="G6" s="64" t="s">
        <v>307</v>
      </c>
      <c r="H6" s="64" t="s">
        <v>308</v>
      </c>
      <c r="I6" s="28"/>
      <c r="J6" s="28"/>
      <c r="K6" s="65" t="str">
        <f aca="false">IF($A6="","",IF(OR($C6="Decision",$C6="Conflict"),IF(COUNTIFS($I$2:$I$1001,$A6,$C$2:$C$1001,"Resolved")=0,"Open","Closed"),IF(AND($H6="Unconfirmed",OR($C6="New",$C6="Know")),IF(COUNTIFS($I$2:$I$1001,$A6,$C$2:$C$1001,"Confirmed")=0,"Unconfirmed","Confirmed"),"Logged")))</f>
        <v>Confirmed</v>
      </c>
      <c r="L6" s="65" t="n">
        <f aca="false">IF($A6="","",AsOf-$B6)</f>
        <v>14</v>
      </c>
      <c r="M6" s="65" t="str">
        <f aca="false">IF($K6="Open",IF($C6="Conflict","Critical",IF($L6&gt;=DecisionCritical,"Critical",IF($L6&gt;=DecisionWarn,"Warning","On track"))),IF($K6="Unconfirmed",IF($L6&gt;=UnconfirmedWarn,"Warning","On track"),""))</f>
        <v/>
      </c>
      <c r="N6" s="65" t="str">
        <f aca="false">IF($M6="","",IF($M6="Critical",3000,IF($M6="Warning",2000,1000))+$L6+ROW()/100000)</f>
        <v/>
      </c>
      <c r="O6" s="65" t="str">
        <f aca="false">IF($K6="Open",IF($C6="Conflict","decide "&amp;$A6&amp;": &lt;which version stands&gt;","decide "&amp;$A6&amp;": &lt;outcome&gt;"),IF($K6="Unconfirmed","confirm "&amp;$A6,""))</f>
        <v/>
      </c>
      <c r="P6" s="65" t="str">
        <f aca="false">IF(AND($C6="New",$B6&gt;=WeekStart),$B6+ROW()/100000,"")</f>
        <v/>
      </c>
      <c r="Q6" s="65" t="str">
        <f aca="false">IF(AND($C6="Know",$B6&gt;=WeekStart),$B6+ROW()/100000,"")</f>
        <v/>
      </c>
      <c r="R6" s="65" t="str">
        <f aca="false">IF(AND($K6="Open",$C6="Decision"),$L6+ROW()/100000,"")</f>
        <v/>
      </c>
      <c r="S6" s="65" t="str">
        <f aca="false">IF(AND($J6&lt;&gt;"",$J6=UCSel),$B6+ROW()/100000,"")</f>
        <v/>
      </c>
    </row>
    <row r="7" customFormat="false" ht="15" hidden="false" customHeight="false" outlineLevel="0" collapsed="false">
      <c r="A7" s="28" t="s">
        <v>309</v>
      </c>
      <c r="B7" s="63" t="n">
        <v>46285</v>
      </c>
      <c r="C7" s="64" t="s">
        <v>310</v>
      </c>
      <c r="D7" s="28" t="s">
        <v>190</v>
      </c>
      <c r="E7" s="28" t="s">
        <v>311</v>
      </c>
      <c r="F7" s="28" t="s">
        <v>186</v>
      </c>
      <c r="G7" s="64" t="s">
        <v>292</v>
      </c>
      <c r="H7" s="64" t="s">
        <v>293</v>
      </c>
      <c r="I7" s="28" t="s">
        <v>300</v>
      </c>
      <c r="J7" s="28" t="s">
        <v>181</v>
      </c>
      <c r="K7" s="65" t="str">
        <f aca="false">IF($A7="","",IF(OR($C7="Decision",$C7="Conflict"),IF(COUNTIFS($I$2:$I$1001,$A7,$C$2:$C$1001,"Resolved")=0,"Open","Closed"),IF(AND($H7="Unconfirmed",OR($C7="New",$C7="Know")),IF(COUNTIFS($I$2:$I$1001,$A7,$C$2:$C$1001,"Confirmed")=0,"Unconfirmed","Confirmed"),"Logged")))</f>
        <v>Logged</v>
      </c>
      <c r="L7" s="65" t="n">
        <f aca="false">IF($A7="","",AsOf-$B7)</f>
        <v>12</v>
      </c>
      <c r="M7" s="65" t="str">
        <f aca="false">IF($K7="Open",IF($C7="Conflict","Critical",IF($L7&gt;=DecisionCritical,"Critical",IF($L7&gt;=DecisionWarn,"Warning","On track"))),IF($K7="Unconfirmed",IF($L7&gt;=UnconfirmedWarn,"Warning","On track"),""))</f>
        <v/>
      </c>
      <c r="N7" s="65" t="str">
        <f aca="false">IF($M7="","",IF($M7="Critical",3000,IF($M7="Warning",2000,1000))+$L7+ROW()/100000)</f>
        <v/>
      </c>
      <c r="O7" s="65" t="str">
        <f aca="false">IF($K7="Open",IF($C7="Conflict","decide "&amp;$A7&amp;": &lt;which version stands&gt;","decide "&amp;$A7&amp;": &lt;outcome&gt;"),IF($K7="Unconfirmed","confirm "&amp;$A7,""))</f>
        <v/>
      </c>
      <c r="P7" s="65" t="str">
        <f aca="false">IF(AND($C7="New",$B7&gt;=WeekStart),$B7+ROW()/100000,"")</f>
        <v/>
      </c>
      <c r="Q7" s="65" t="str">
        <f aca="false">IF(AND($C7="Know",$B7&gt;=WeekStart),$B7+ROW()/100000,"")</f>
        <v/>
      </c>
      <c r="R7" s="65" t="str">
        <f aca="false">IF(AND($K7="Open",$C7="Decision"),$L7+ROW()/100000,"")</f>
        <v/>
      </c>
      <c r="S7" s="65" t="str">
        <f aca="false">IF(AND($J7&lt;&gt;"",$J7=UCSel),$B7+ROW()/100000,"")</f>
        <v/>
      </c>
    </row>
    <row r="8" customFormat="false" ht="15" hidden="false" customHeight="false" outlineLevel="0" collapsed="false">
      <c r="A8" s="28" t="s">
        <v>312</v>
      </c>
      <c r="B8" s="63" t="n">
        <v>46286</v>
      </c>
      <c r="C8" s="64" t="s">
        <v>177</v>
      </c>
      <c r="D8" s="28" t="s">
        <v>289</v>
      </c>
      <c r="E8" s="28" t="s">
        <v>313</v>
      </c>
      <c r="F8" s="28" t="s">
        <v>103</v>
      </c>
      <c r="G8" s="64" t="s">
        <v>292</v>
      </c>
      <c r="H8" s="64" t="s">
        <v>293</v>
      </c>
      <c r="I8" s="28"/>
      <c r="J8" s="28" t="s">
        <v>245</v>
      </c>
      <c r="K8" s="65" t="str">
        <f aca="false">IF($A8="","",IF(OR($C8="Decision",$C8="Conflict"),IF(COUNTIFS($I$2:$I$1001,$A8,$C$2:$C$1001,"Resolved")=0,"Open","Closed"),IF(AND($H8="Unconfirmed",OR($C8="New",$C8="Know")),IF(COUNTIFS($I$2:$I$1001,$A8,$C$2:$C$1001,"Confirmed")=0,"Unconfirmed","Confirmed"),"Logged")))</f>
        <v>Open</v>
      </c>
      <c r="L8" s="65" t="n">
        <f aca="false">IF($A8="","",AsOf-$B8)</f>
        <v>11</v>
      </c>
      <c r="M8" s="65" t="str">
        <f aca="false">IF($K8="Open",IF($C8="Conflict","Critical",IF($L8&gt;=DecisionCritical,"Critical",IF($L8&gt;=DecisionWarn,"Warning","On track"))),IF($K8="Unconfirmed",IF($L8&gt;=UnconfirmedWarn,"Warning","On track"),""))</f>
        <v>Critical</v>
      </c>
      <c r="N8" s="65" t="n">
        <f aca="false">IF($M8="","",IF($M8="Critical",3000,IF($M8="Warning",2000,1000))+$L8+ROW()/100000)</f>
        <v>3011.00008</v>
      </c>
      <c r="O8" s="65" t="str">
        <f aca="false">IF($K8="Open",IF($C8="Conflict","decide "&amp;$A8&amp;": &lt;which version stands&gt;","decide "&amp;$A8&amp;": &lt;outcome&gt;"),IF($K8="Unconfirmed","confirm "&amp;$A8,""))</f>
        <v>decide INV-0007: &lt;outcome&gt;</v>
      </c>
      <c r="P8" s="65" t="str">
        <f aca="false">IF(AND($C8="New",$B8&gt;=WeekStart),$B8+ROW()/100000,"")</f>
        <v/>
      </c>
      <c r="Q8" s="65" t="str">
        <f aca="false">IF(AND($C8="Know",$B8&gt;=WeekStart),$B8+ROW()/100000,"")</f>
        <v/>
      </c>
      <c r="R8" s="65" t="n">
        <f aca="false">IF(AND($K8="Open",$C8="Decision"),$L8+ROW()/100000,"")</f>
        <v>11.00008</v>
      </c>
      <c r="S8" s="65" t="str">
        <f aca="false">IF(AND($J8&lt;&gt;"",$J8=UCSel),$B8+ROW()/100000,"")</f>
        <v/>
      </c>
    </row>
    <row r="9" customFormat="false" ht="15" hidden="false" customHeight="false" outlineLevel="0" collapsed="false">
      <c r="A9" s="28" t="s">
        <v>314</v>
      </c>
      <c r="B9" s="63" t="n">
        <v>46287</v>
      </c>
      <c r="C9" s="64" t="s">
        <v>293</v>
      </c>
      <c r="D9" s="28" t="s">
        <v>277</v>
      </c>
      <c r="E9" s="28" t="s">
        <v>315</v>
      </c>
      <c r="F9" s="28" t="s">
        <v>306</v>
      </c>
      <c r="G9" s="64" t="s">
        <v>299</v>
      </c>
      <c r="H9" s="64" t="s">
        <v>293</v>
      </c>
      <c r="I9" s="28" t="s">
        <v>304</v>
      </c>
      <c r="J9" s="28"/>
      <c r="K9" s="65" t="str">
        <f aca="false">IF($A9="","",IF(OR($C9="Decision",$C9="Conflict"),IF(COUNTIFS($I$2:$I$1001,$A9,$C$2:$C$1001,"Resolved")=0,"Open","Closed"),IF(AND($H9="Unconfirmed",OR($C9="New",$C9="Know")),IF(COUNTIFS($I$2:$I$1001,$A9,$C$2:$C$1001,"Confirmed")=0,"Unconfirmed","Confirmed"),"Logged")))</f>
        <v>Logged</v>
      </c>
      <c r="L9" s="65" t="n">
        <f aca="false">IF($A9="","",AsOf-$B9)</f>
        <v>10</v>
      </c>
      <c r="M9" s="65" t="str">
        <f aca="false">IF($K9="Open",IF($C9="Conflict","Critical",IF($L9&gt;=DecisionCritical,"Critical",IF($L9&gt;=DecisionWarn,"Warning","On track"))),IF($K9="Unconfirmed",IF($L9&gt;=UnconfirmedWarn,"Warning","On track"),""))</f>
        <v/>
      </c>
      <c r="N9" s="65" t="str">
        <f aca="false">IF($M9="","",IF($M9="Critical",3000,IF($M9="Warning",2000,1000))+$L9+ROW()/100000)</f>
        <v/>
      </c>
      <c r="O9" s="65" t="str">
        <f aca="false">IF($K9="Open",IF($C9="Conflict","decide "&amp;$A9&amp;": &lt;which version stands&gt;","decide "&amp;$A9&amp;": &lt;outcome&gt;"),IF($K9="Unconfirmed","confirm "&amp;$A9,""))</f>
        <v/>
      </c>
      <c r="P9" s="65" t="str">
        <f aca="false">IF(AND($C9="New",$B9&gt;=WeekStart),$B9+ROW()/100000,"")</f>
        <v/>
      </c>
      <c r="Q9" s="65" t="str">
        <f aca="false">IF(AND($C9="Know",$B9&gt;=WeekStart),$B9+ROW()/100000,"")</f>
        <v/>
      </c>
      <c r="R9" s="65" t="str">
        <f aca="false">IF(AND($K9="Open",$C9="Decision"),$L9+ROW()/100000,"")</f>
        <v/>
      </c>
      <c r="S9" s="65" t="str">
        <f aca="false">IF(AND($J9&lt;&gt;"",$J9=UCSel),$B9+ROW()/100000,"")</f>
        <v/>
      </c>
    </row>
    <row r="10" customFormat="false" ht="15" hidden="false" customHeight="false" outlineLevel="0" collapsed="false">
      <c r="A10" s="28" t="s">
        <v>316</v>
      </c>
      <c r="B10" s="63" t="n">
        <v>46288</v>
      </c>
      <c r="C10" s="64" t="s">
        <v>177</v>
      </c>
      <c r="D10" s="28" t="s">
        <v>205</v>
      </c>
      <c r="E10" s="28" t="s">
        <v>317</v>
      </c>
      <c r="F10" s="28" t="s">
        <v>201</v>
      </c>
      <c r="G10" s="64" t="s">
        <v>292</v>
      </c>
      <c r="H10" s="64" t="s">
        <v>293</v>
      </c>
      <c r="I10" s="28"/>
      <c r="J10" s="28" t="s">
        <v>135</v>
      </c>
      <c r="K10" s="65" t="str">
        <f aca="false">IF($A10="","",IF(OR($C10="Decision",$C10="Conflict"),IF(COUNTIFS($I$2:$I$1001,$A10,$C$2:$C$1001,"Resolved")=0,"Open","Closed"),IF(AND($H10="Unconfirmed",OR($C10="New",$C10="Know")),IF(COUNTIFS($I$2:$I$1001,$A10,$C$2:$C$1001,"Confirmed")=0,"Unconfirmed","Confirmed"),"Logged")))</f>
        <v>Open</v>
      </c>
      <c r="L10" s="65" t="n">
        <f aca="false">IF($A10="","",AsOf-$B10)</f>
        <v>9</v>
      </c>
      <c r="M10" s="65" t="str">
        <f aca="false">IF($K10="Open",IF($C10="Conflict","Critical",IF($L10&gt;=DecisionCritical,"Critical",IF($L10&gt;=DecisionWarn,"Warning","On track"))),IF($K10="Unconfirmed",IF($L10&gt;=UnconfirmedWarn,"Warning","On track"),""))</f>
        <v>Critical</v>
      </c>
      <c r="N10" s="65" t="n">
        <f aca="false">IF($M10="","",IF($M10="Critical",3000,IF($M10="Warning",2000,1000))+$L10+ROW()/100000)</f>
        <v>3009.0001</v>
      </c>
      <c r="O10" s="65" t="str">
        <f aca="false">IF($K10="Open",IF($C10="Conflict","decide "&amp;$A10&amp;": &lt;which version stands&gt;","decide "&amp;$A10&amp;": &lt;outcome&gt;"),IF($K10="Unconfirmed","confirm "&amp;$A10,""))</f>
        <v>decide INV-0009: &lt;outcome&gt;</v>
      </c>
      <c r="P10" s="65" t="str">
        <f aca="false">IF(AND($C10="New",$B10&gt;=WeekStart),$B10+ROW()/100000,"")</f>
        <v/>
      </c>
      <c r="Q10" s="65" t="str">
        <f aca="false">IF(AND($C10="Know",$B10&gt;=WeekStart),$B10+ROW()/100000,"")</f>
        <v/>
      </c>
      <c r="R10" s="65" t="n">
        <f aca="false">IF(AND($K10="Open",$C10="Decision"),$L10+ROW()/100000,"")</f>
        <v>9.0001</v>
      </c>
      <c r="S10" s="66" t="n">
        <f aca="false">IF(AND($J10&lt;&gt;"",$J10=UCSel),$B10+ROW()/100000,"")</f>
        <v>46288.0001</v>
      </c>
    </row>
    <row r="11" customFormat="false" ht="15" hidden="false" customHeight="false" outlineLevel="0" collapsed="false">
      <c r="A11" s="28" t="s">
        <v>318</v>
      </c>
      <c r="B11" s="63" t="n">
        <v>46289</v>
      </c>
      <c r="C11" s="64" t="s">
        <v>295</v>
      </c>
      <c r="D11" s="28" t="s">
        <v>214</v>
      </c>
      <c r="E11" s="28" t="s">
        <v>319</v>
      </c>
      <c r="F11" s="28" t="s">
        <v>209</v>
      </c>
      <c r="G11" s="64" t="s">
        <v>299</v>
      </c>
      <c r="H11" s="64" t="s">
        <v>293</v>
      </c>
      <c r="I11" s="28"/>
      <c r="J11" s="28" t="s">
        <v>206</v>
      </c>
      <c r="K11" s="65" t="str">
        <f aca="false">IF($A11="","",IF(OR($C11="Decision",$C11="Conflict"),IF(COUNTIFS($I$2:$I$1001,$A11,$C$2:$C$1001,"Resolved")=0,"Open","Closed"),IF(AND($H11="Unconfirmed",OR($C11="New",$C11="Know")),IF(COUNTIFS($I$2:$I$1001,$A11,$C$2:$C$1001,"Confirmed")=0,"Unconfirmed","Confirmed"),"Logged")))</f>
        <v>Logged</v>
      </c>
      <c r="L11" s="65" t="n">
        <f aca="false">IF($A11="","",AsOf-$B11)</f>
        <v>8</v>
      </c>
      <c r="M11" s="65" t="str">
        <f aca="false">IF($K11="Open",IF($C11="Conflict","Critical",IF($L11&gt;=DecisionCritical,"Critical",IF($L11&gt;=DecisionWarn,"Warning","On track"))),IF($K11="Unconfirmed",IF($L11&gt;=UnconfirmedWarn,"Warning","On track"),""))</f>
        <v/>
      </c>
      <c r="N11" s="65" t="str">
        <f aca="false">IF($M11="","",IF($M11="Critical",3000,IF($M11="Warning",2000,1000))+$L11+ROW()/100000)</f>
        <v/>
      </c>
      <c r="O11" s="65" t="str">
        <f aca="false">IF($K11="Open",IF($C11="Conflict","decide "&amp;$A11&amp;": &lt;which version stands&gt;","decide "&amp;$A11&amp;": &lt;outcome&gt;"),IF($K11="Unconfirmed","confirm "&amp;$A11,""))</f>
        <v/>
      </c>
      <c r="P11" s="65" t="str">
        <f aca="false">IF(AND($C11="New",$B11&gt;=WeekStart),$B11+ROW()/100000,"")</f>
        <v/>
      </c>
      <c r="Q11" s="65" t="str">
        <f aca="false">IF(AND($C11="Know",$B11&gt;=WeekStart),$B11+ROW()/100000,"")</f>
        <v/>
      </c>
      <c r="R11" s="65" t="str">
        <f aca="false">IF(AND($K11="Open",$C11="Decision"),$L11+ROW()/100000,"")</f>
        <v/>
      </c>
      <c r="S11" s="65" t="str">
        <f aca="false">IF(AND($J11&lt;&gt;"",$J11=UCSel),$B11+ROW()/100000,"")</f>
        <v/>
      </c>
    </row>
    <row r="12" customFormat="false" ht="15" hidden="false" customHeight="false" outlineLevel="0" collapsed="false">
      <c r="A12" s="28" t="s">
        <v>320</v>
      </c>
      <c r="B12" s="63" t="n">
        <v>46290</v>
      </c>
      <c r="C12" s="64" t="s">
        <v>288</v>
      </c>
      <c r="D12" s="28" t="s">
        <v>289</v>
      </c>
      <c r="E12" s="28" t="s">
        <v>321</v>
      </c>
      <c r="F12" s="28" t="s">
        <v>291</v>
      </c>
      <c r="G12" s="64" t="s">
        <v>292</v>
      </c>
      <c r="H12" s="64" t="s">
        <v>293</v>
      </c>
      <c r="I12" s="28"/>
      <c r="J12" s="28"/>
      <c r="K12" s="65" t="str">
        <f aca="false">IF($A12="","",IF(OR($C12="Decision",$C12="Conflict"),IF(COUNTIFS($I$2:$I$1001,$A12,$C$2:$C$1001,"Resolved")=0,"Open","Closed"),IF(AND($H12="Unconfirmed",OR($C12="New",$C12="Know")),IF(COUNTIFS($I$2:$I$1001,$A12,$C$2:$C$1001,"Confirmed")=0,"Unconfirmed","Confirmed"),"Logged")))</f>
        <v>Logged</v>
      </c>
      <c r="L12" s="65" t="n">
        <f aca="false">IF($A12="","",AsOf-$B12)</f>
        <v>7</v>
      </c>
      <c r="M12" s="65" t="str">
        <f aca="false">IF($K12="Open",IF($C12="Conflict","Critical",IF($L12&gt;=DecisionCritical,"Critical",IF($L12&gt;=DecisionWarn,"Warning","On track"))),IF($K12="Unconfirmed",IF($L12&gt;=UnconfirmedWarn,"Warning","On track"),""))</f>
        <v/>
      </c>
      <c r="N12" s="65" t="str">
        <f aca="false">IF($M12="","",IF($M12="Critical",3000,IF($M12="Warning",2000,1000))+$L12+ROW()/100000)</f>
        <v/>
      </c>
      <c r="O12" s="65" t="str">
        <f aca="false">IF($K12="Open",IF($C12="Conflict","decide "&amp;$A12&amp;": &lt;which version stands&gt;","decide "&amp;$A12&amp;": &lt;outcome&gt;"),IF($K12="Unconfirmed","confirm "&amp;$A12,""))</f>
        <v/>
      </c>
      <c r="P12" s="65" t="str">
        <f aca="false">IF(AND($C12="New",$B12&gt;=WeekStart),$B12+ROW()/100000,"")</f>
        <v/>
      </c>
      <c r="Q12" s="65" t="str">
        <f aca="false">IF(AND($C12="Know",$B12&gt;=WeekStart),$B12+ROW()/100000,"")</f>
        <v/>
      </c>
      <c r="R12" s="65" t="str">
        <f aca="false">IF(AND($K12="Open",$C12="Decision"),$L12+ROW()/100000,"")</f>
        <v/>
      </c>
      <c r="S12" s="65" t="str">
        <f aca="false">IF(AND($J12&lt;&gt;"",$J12=UCSel),$B12+ROW()/100000,"")</f>
        <v/>
      </c>
    </row>
    <row r="13" customFormat="false" ht="15" hidden="false" customHeight="false" outlineLevel="0" collapsed="false">
      <c r="A13" s="28" t="s">
        <v>322</v>
      </c>
      <c r="B13" s="63" t="n">
        <v>46291</v>
      </c>
      <c r="C13" s="64" t="s">
        <v>295</v>
      </c>
      <c r="D13" s="28" t="s">
        <v>296</v>
      </c>
      <c r="E13" s="28" t="s">
        <v>323</v>
      </c>
      <c r="F13" s="28" t="s">
        <v>298</v>
      </c>
      <c r="G13" s="64" t="s">
        <v>324</v>
      </c>
      <c r="H13" s="64" t="s">
        <v>308</v>
      </c>
      <c r="I13" s="28"/>
      <c r="J13" s="28"/>
      <c r="K13" s="65" t="str">
        <f aca="false">IF($A13="","",IF(OR($C13="Decision",$C13="Conflict"),IF(COUNTIFS($I$2:$I$1001,$A13,$C$2:$C$1001,"Resolved")=0,"Open","Closed"),IF(AND($H13="Unconfirmed",OR($C13="New",$C13="Know")),IF(COUNTIFS($I$2:$I$1001,$A13,$C$2:$C$1001,"Confirmed")=0,"Unconfirmed","Confirmed"),"Logged")))</f>
        <v>Unconfirmed</v>
      </c>
      <c r="L13" s="65" t="n">
        <f aca="false">IF($A13="","",AsOf-$B13)</f>
        <v>6</v>
      </c>
      <c r="M13" s="65" t="str">
        <f aca="false">IF($K13="Open",IF($C13="Conflict","Critical",IF($L13&gt;=DecisionCritical,"Critical",IF($L13&gt;=DecisionWarn,"Warning","On track"))),IF($K13="Unconfirmed",IF($L13&gt;=UnconfirmedWarn,"Warning","On track"),""))</f>
        <v>Warning</v>
      </c>
      <c r="N13" s="65" t="n">
        <f aca="false">IF($M13="","",IF($M13="Critical",3000,IF($M13="Warning",2000,1000))+$L13+ROW()/100000)</f>
        <v>2006.00013</v>
      </c>
      <c r="O13" s="65" t="str">
        <f aca="false">IF($K13="Open",IF($C13="Conflict","decide "&amp;$A13&amp;": &lt;which version stands&gt;","decide "&amp;$A13&amp;": &lt;outcome&gt;"),IF($K13="Unconfirmed","confirm "&amp;$A13,""))</f>
        <v>confirm INV-0012</v>
      </c>
      <c r="P13" s="65" t="str">
        <f aca="false">IF(AND($C13="New",$B13&gt;=WeekStart),$B13+ROW()/100000,"")</f>
        <v/>
      </c>
      <c r="Q13" s="65" t="str">
        <f aca="false">IF(AND($C13="Know",$B13&gt;=WeekStart),$B13+ROW()/100000,"")</f>
        <v/>
      </c>
      <c r="R13" s="65" t="str">
        <f aca="false">IF(AND($K13="Open",$C13="Decision"),$L13+ROW()/100000,"")</f>
        <v/>
      </c>
      <c r="S13" s="65" t="str">
        <f aca="false">IF(AND($J13&lt;&gt;"",$J13=UCSel),$B13+ROW()/100000,"")</f>
        <v/>
      </c>
    </row>
    <row r="14" customFormat="false" ht="15" hidden="false" customHeight="false" outlineLevel="0" collapsed="false">
      <c r="A14" s="28" t="s">
        <v>325</v>
      </c>
      <c r="B14" s="63" t="n">
        <v>46292</v>
      </c>
      <c r="C14" s="64" t="s">
        <v>326</v>
      </c>
      <c r="D14" s="28" t="s">
        <v>205</v>
      </c>
      <c r="E14" s="28" t="s">
        <v>327</v>
      </c>
      <c r="F14" s="28" t="s">
        <v>328</v>
      </c>
      <c r="G14" s="64" t="s">
        <v>299</v>
      </c>
      <c r="H14" s="64" t="s">
        <v>308</v>
      </c>
      <c r="I14" s="28" t="s">
        <v>316</v>
      </c>
      <c r="J14" s="28" t="s">
        <v>135</v>
      </c>
      <c r="K14" s="65" t="str">
        <f aca="false">IF($A14="","",IF(OR($C14="Decision",$C14="Conflict"),IF(COUNTIFS($I$2:$I$1001,$A14,$C$2:$C$1001,"Resolved")=0,"Open","Closed"),IF(AND($H14="Unconfirmed",OR($C14="New",$C14="Know")),IF(COUNTIFS($I$2:$I$1001,$A14,$C$2:$C$1001,"Confirmed")=0,"Unconfirmed","Confirmed"),"Logged")))</f>
        <v>Open</v>
      </c>
      <c r="L14" s="65" t="n">
        <f aca="false">IF($A14="","",AsOf-$B14)</f>
        <v>5</v>
      </c>
      <c r="M14" s="65" t="str">
        <f aca="false">IF($K14="Open",IF($C14="Conflict","Critical",IF($L14&gt;=DecisionCritical,"Critical",IF($L14&gt;=DecisionWarn,"Warning","On track"))),IF($K14="Unconfirmed",IF($L14&gt;=UnconfirmedWarn,"Warning","On track"),""))</f>
        <v>Critical</v>
      </c>
      <c r="N14" s="65" t="n">
        <f aca="false">IF($M14="","",IF($M14="Critical",3000,IF($M14="Warning",2000,1000))+$L14+ROW()/100000)</f>
        <v>3005.00014</v>
      </c>
      <c r="O14" s="65" t="str">
        <f aca="false">IF($K14="Open",IF($C14="Conflict","decide "&amp;$A14&amp;": &lt;which version stands&gt;","decide "&amp;$A14&amp;": &lt;outcome&gt;"),IF($K14="Unconfirmed","confirm "&amp;$A14,""))</f>
        <v>decide INV-0013: &lt;which version stands&gt;</v>
      </c>
      <c r="P14" s="65" t="str">
        <f aca="false">IF(AND($C14="New",$B14&gt;=WeekStart),$B14+ROW()/100000,"")</f>
        <v/>
      </c>
      <c r="Q14" s="65" t="str">
        <f aca="false">IF(AND($C14="Know",$B14&gt;=WeekStart),$B14+ROW()/100000,"")</f>
        <v/>
      </c>
      <c r="R14" s="65" t="str">
        <f aca="false">IF(AND($K14="Open",$C14="Decision"),$L14+ROW()/100000,"")</f>
        <v/>
      </c>
      <c r="S14" s="66" t="n">
        <f aca="false">IF(AND($J14&lt;&gt;"",$J14=UCSel),$B14+ROW()/100000,"")</f>
        <v>46292.00014</v>
      </c>
    </row>
    <row r="15" customFormat="false" ht="15" hidden="false" customHeight="false" outlineLevel="0" collapsed="false">
      <c r="A15" s="28" t="s">
        <v>329</v>
      </c>
      <c r="B15" s="63" t="n">
        <v>46293</v>
      </c>
      <c r="C15" s="64" t="s">
        <v>177</v>
      </c>
      <c r="D15" s="28" t="s">
        <v>289</v>
      </c>
      <c r="E15" s="28" t="s">
        <v>330</v>
      </c>
      <c r="F15" s="28" t="s">
        <v>232</v>
      </c>
      <c r="G15" s="64" t="s">
        <v>292</v>
      </c>
      <c r="H15" s="64" t="s">
        <v>293</v>
      </c>
      <c r="I15" s="28"/>
      <c r="J15" s="28" t="s">
        <v>256</v>
      </c>
      <c r="K15" s="65" t="str">
        <f aca="false">IF($A15="","",IF(OR($C15="Decision",$C15="Conflict"),IF(COUNTIFS($I$2:$I$1001,$A15,$C$2:$C$1001,"Resolved")=0,"Open","Closed"),IF(AND($H15="Unconfirmed",OR($C15="New",$C15="Know")),IF(COUNTIFS($I$2:$I$1001,$A15,$C$2:$C$1001,"Confirmed")=0,"Unconfirmed","Confirmed"),"Logged")))</f>
        <v>Open</v>
      </c>
      <c r="L15" s="65" t="n">
        <f aca="false">IF($A15="","",AsOf-$B15)</f>
        <v>4</v>
      </c>
      <c r="M15" s="65" t="str">
        <f aca="false">IF($K15="Open",IF($C15="Conflict","Critical",IF($L15&gt;=DecisionCritical,"Critical",IF($L15&gt;=DecisionWarn,"Warning","On track"))),IF($K15="Unconfirmed",IF($L15&gt;=UnconfirmedWarn,"Warning","On track"),""))</f>
        <v>Warning</v>
      </c>
      <c r="N15" s="65" t="n">
        <f aca="false">IF($M15="","",IF($M15="Critical",3000,IF($M15="Warning",2000,1000))+$L15+ROW()/100000)</f>
        <v>2004.00015</v>
      </c>
      <c r="O15" s="65" t="str">
        <f aca="false">IF($K15="Open",IF($C15="Conflict","decide "&amp;$A15&amp;": &lt;which version stands&gt;","decide "&amp;$A15&amp;": &lt;outcome&gt;"),IF($K15="Unconfirmed","confirm "&amp;$A15,""))</f>
        <v>decide INV-0014: &lt;outcome&gt;</v>
      </c>
      <c r="P15" s="65" t="str">
        <f aca="false">IF(AND($C15="New",$B15&gt;=WeekStart),$B15+ROW()/100000,"")</f>
        <v/>
      </c>
      <c r="Q15" s="65" t="str">
        <f aca="false">IF(AND($C15="Know",$B15&gt;=WeekStart),$B15+ROW()/100000,"")</f>
        <v/>
      </c>
      <c r="R15" s="65" t="n">
        <f aca="false">IF(AND($K15="Open",$C15="Decision"),$L15+ROW()/100000,"")</f>
        <v>4.00015</v>
      </c>
      <c r="S15" s="65" t="str">
        <f aca="false">IF(AND($J15&lt;&gt;"",$J15=UCSel),$B15+ROW()/100000,"")</f>
        <v/>
      </c>
    </row>
    <row r="16" customFormat="false" ht="15" hidden="false" customHeight="false" outlineLevel="0" collapsed="false">
      <c r="A16" s="28" t="s">
        <v>331</v>
      </c>
      <c r="B16" s="63" t="n">
        <v>46294</v>
      </c>
      <c r="C16" s="64" t="s">
        <v>288</v>
      </c>
      <c r="D16" s="28" t="s">
        <v>240</v>
      </c>
      <c r="E16" s="28" t="s">
        <v>332</v>
      </c>
      <c r="F16" s="28" t="s">
        <v>239</v>
      </c>
      <c r="G16" s="64" t="s">
        <v>307</v>
      </c>
      <c r="H16" s="64" t="s">
        <v>308</v>
      </c>
      <c r="I16" s="28"/>
      <c r="J16" s="28" t="s">
        <v>235</v>
      </c>
      <c r="K16" s="65" t="str">
        <f aca="false">IF($A16="","",IF(OR($C16="Decision",$C16="Conflict"),IF(COUNTIFS($I$2:$I$1001,$A16,$C$2:$C$1001,"Resolved")=0,"Open","Closed"),IF(AND($H16="Unconfirmed",OR($C16="New",$C16="Know")),IF(COUNTIFS($I$2:$I$1001,$A16,$C$2:$C$1001,"Confirmed")=0,"Unconfirmed","Confirmed"),"Logged")))</f>
        <v>Unconfirmed</v>
      </c>
      <c r="L16" s="65" t="n">
        <f aca="false">IF($A16="","",AsOf-$B16)</f>
        <v>3</v>
      </c>
      <c r="M16" s="65" t="str">
        <f aca="false">IF($K16="Open",IF($C16="Conflict","Critical",IF($L16&gt;=DecisionCritical,"Critical",IF($L16&gt;=DecisionWarn,"Warning","On track"))),IF($K16="Unconfirmed",IF($L16&gt;=UnconfirmedWarn,"Warning","On track"),""))</f>
        <v>On track</v>
      </c>
      <c r="N16" s="65" t="n">
        <f aca="false">IF($M16="","",IF($M16="Critical",3000,IF($M16="Warning",2000,1000))+$L16+ROW()/100000)</f>
        <v>1003.00016</v>
      </c>
      <c r="O16" s="65" t="str">
        <f aca="false">IF($K16="Open",IF($C16="Conflict","decide "&amp;$A16&amp;": &lt;which version stands&gt;","decide "&amp;$A16&amp;": &lt;outcome&gt;"),IF($K16="Unconfirmed","confirm "&amp;$A16,""))</f>
        <v>confirm INV-0015</v>
      </c>
      <c r="P16" s="66" t="n">
        <f aca="false">IF(AND($C16="New",$B16&gt;=WeekStart),$B16+ROW()/100000,"")</f>
        <v>46294.00016</v>
      </c>
      <c r="Q16" s="65" t="str">
        <f aca="false">IF(AND($C16="Know",$B16&gt;=WeekStart),$B16+ROW()/100000,"")</f>
        <v/>
      </c>
      <c r="R16" s="65" t="str">
        <f aca="false">IF(AND($K16="Open",$C16="Decision"),$L16+ROW()/100000,"")</f>
        <v/>
      </c>
      <c r="S16" s="65" t="str">
        <f aca="false">IF(AND($J16&lt;&gt;"",$J16=UCSel),$B16+ROW()/100000,"")</f>
        <v/>
      </c>
    </row>
    <row r="17" customFormat="false" ht="15" hidden="false" customHeight="false" outlineLevel="0" collapsed="false">
      <c r="A17" s="28" t="s">
        <v>333</v>
      </c>
      <c r="B17" s="63" t="n">
        <v>46295</v>
      </c>
      <c r="C17" s="64" t="s">
        <v>177</v>
      </c>
      <c r="D17" s="28" t="s">
        <v>222</v>
      </c>
      <c r="E17" s="28" t="s">
        <v>334</v>
      </c>
      <c r="F17" s="28" t="s">
        <v>219</v>
      </c>
      <c r="G17" s="64" t="s">
        <v>299</v>
      </c>
      <c r="H17" s="64" t="s">
        <v>293</v>
      </c>
      <c r="I17" s="28"/>
      <c r="J17" s="28" t="s">
        <v>215</v>
      </c>
      <c r="K17" s="65" t="str">
        <f aca="false">IF($A17="","",IF(OR($C17="Decision",$C17="Conflict"),IF(COUNTIFS($I$2:$I$1001,$A17,$C$2:$C$1001,"Resolved")=0,"Open","Closed"),IF(AND($H17="Unconfirmed",OR($C17="New",$C17="Know")),IF(COUNTIFS($I$2:$I$1001,$A17,$C$2:$C$1001,"Confirmed")=0,"Unconfirmed","Confirmed"),"Logged")))</f>
        <v>Open</v>
      </c>
      <c r="L17" s="65" t="n">
        <f aca="false">IF($A17="","",AsOf-$B17)</f>
        <v>2</v>
      </c>
      <c r="M17" s="65" t="str">
        <f aca="false">IF($K17="Open",IF($C17="Conflict","Critical",IF($L17&gt;=DecisionCritical,"Critical",IF($L17&gt;=DecisionWarn,"Warning","On track"))),IF($K17="Unconfirmed",IF($L17&gt;=UnconfirmedWarn,"Warning","On track"),""))</f>
        <v>On track</v>
      </c>
      <c r="N17" s="65" t="n">
        <f aca="false">IF($M17="","",IF($M17="Critical",3000,IF($M17="Warning",2000,1000))+$L17+ROW()/100000)</f>
        <v>1002.00017</v>
      </c>
      <c r="O17" s="65" t="str">
        <f aca="false">IF($K17="Open",IF($C17="Conflict","decide "&amp;$A17&amp;": &lt;which version stands&gt;","decide "&amp;$A17&amp;": &lt;outcome&gt;"),IF($K17="Unconfirmed","confirm "&amp;$A17,""))</f>
        <v>decide INV-0016: &lt;outcome&gt;</v>
      </c>
      <c r="P17" s="65" t="str">
        <f aca="false">IF(AND($C17="New",$B17&gt;=WeekStart),$B17+ROW()/100000,"")</f>
        <v/>
      </c>
      <c r="Q17" s="65" t="str">
        <f aca="false">IF(AND($C17="Know",$B17&gt;=WeekStart),$B17+ROW()/100000,"")</f>
        <v/>
      </c>
      <c r="R17" s="65" t="n">
        <f aca="false">IF(AND($K17="Open",$C17="Decision"),$L17+ROW()/100000,"")</f>
        <v>2.00017</v>
      </c>
      <c r="S17" s="65" t="str">
        <f aca="false">IF(AND($J17&lt;&gt;"",$J17=UCSel),$B17+ROW()/100000,"")</f>
        <v/>
      </c>
    </row>
    <row r="18" customFormat="false" ht="15" hidden="false" customHeight="false" outlineLevel="0" collapsed="false">
      <c r="A18" s="28" t="s">
        <v>335</v>
      </c>
      <c r="B18" s="63" t="n">
        <v>46296</v>
      </c>
      <c r="C18" s="64" t="s">
        <v>295</v>
      </c>
      <c r="D18" s="28" t="s">
        <v>289</v>
      </c>
      <c r="E18" s="28" t="s">
        <v>336</v>
      </c>
      <c r="F18" s="28" t="s">
        <v>232</v>
      </c>
      <c r="G18" s="64" t="s">
        <v>337</v>
      </c>
      <c r="H18" s="64" t="s">
        <v>293</v>
      </c>
      <c r="I18" s="28"/>
      <c r="J18" s="28"/>
      <c r="K18" s="65" t="str">
        <f aca="false">IF($A18="","",IF(OR($C18="Decision",$C18="Conflict"),IF(COUNTIFS($I$2:$I$1001,$A18,$C$2:$C$1001,"Resolved")=0,"Open","Closed"),IF(AND($H18="Unconfirmed",OR($C18="New",$C18="Know")),IF(COUNTIFS($I$2:$I$1001,$A18,$C$2:$C$1001,"Confirmed")=0,"Unconfirmed","Confirmed"),"Logged")))</f>
        <v>Logged</v>
      </c>
      <c r="L18" s="65" t="n">
        <f aca="false">IF($A18="","",AsOf-$B18)</f>
        <v>1</v>
      </c>
      <c r="M18" s="65" t="str">
        <f aca="false">IF($K18="Open",IF($C18="Conflict","Critical",IF($L18&gt;=DecisionCritical,"Critical",IF($L18&gt;=DecisionWarn,"Warning","On track"))),IF($K18="Unconfirmed",IF($L18&gt;=UnconfirmedWarn,"Warning","On track"),""))</f>
        <v/>
      </c>
      <c r="N18" s="65" t="str">
        <f aca="false">IF($M18="","",IF($M18="Critical",3000,IF($M18="Warning",2000,1000))+$L18+ROW()/100000)</f>
        <v/>
      </c>
      <c r="O18" s="65" t="str">
        <f aca="false">IF($K18="Open",IF($C18="Conflict","decide "&amp;$A18&amp;": &lt;which version stands&gt;","decide "&amp;$A18&amp;": &lt;outcome&gt;"),IF($K18="Unconfirmed","confirm "&amp;$A18,""))</f>
        <v/>
      </c>
      <c r="P18" s="65" t="str">
        <f aca="false">IF(AND($C18="New",$B18&gt;=WeekStart),$B18+ROW()/100000,"")</f>
        <v/>
      </c>
      <c r="Q18" s="66" t="n">
        <f aca="false">IF(AND($C18="Know",$B18&gt;=WeekStart),$B18+ROW()/100000,"")</f>
        <v>46296.00018</v>
      </c>
      <c r="R18" s="65" t="str">
        <f aca="false">IF(AND($K18="Open",$C18="Decision"),$L18+ROW()/100000,"")</f>
        <v/>
      </c>
      <c r="S18" s="65" t="str">
        <f aca="false">IF(AND($J18&lt;&gt;"",$J18=UCSel),$B18+ROW()/100000,"")</f>
        <v/>
      </c>
    </row>
    <row r="19" customFormat="false" ht="15" hidden="false" customHeight="false" outlineLevel="0" collapsed="false">
      <c r="A19" s="28" t="s">
        <v>338</v>
      </c>
      <c r="B19" s="63" t="n">
        <v>46297</v>
      </c>
      <c r="C19" s="64" t="s">
        <v>288</v>
      </c>
      <c r="D19" s="28" t="s">
        <v>205</v>
      </c>
      <c r="E19" s="28" t="s">
        <v>339</v>
      </c>
      <c r="F19" s="28" t="s">
        <v>244</v>
      </c>
      <c r="G19" s="64" t="s">
        <v>173</v>
      </c>
      <c r="H19" s="64" t="s">
        <v>293</v>
      </c>
      <c r="I19" s="28"/>
      <c r="J19" s="28" t="s">
        <v>241</v>
      </c>
      <c r="K19" s="65" t="str">
        <f aca="false">IF($A19="","",IF(OR($C19="Decision",$C19="Conflict"),IF(COUNTIFS($I$2:$I$1001,$A19,$C$2:$C$1001,"Resolved")=0,"Open","Closed"),IF(AND($H19="Unconfirmed",OR($C19="New",$C19="Know")),IF(COUNTIFS($I$2:$I$1001,$A19,$C$2:$C$1001,"Confirmed")=0,"Unconfirmed","Confirmed"),"Logged")))</f>
        <v>Logged</v>
      </c>
      <c r="L19" s="65" t="n">
        <f aca="false">IF($A19="","",AsOf-$B19)</f>
        <v>0</v>
      </c>
      <c r="M19" s="65" t="str">
        <f aca="false">IF($K19="Open",IF($C19="Conflict","Critical",IF($L19&gt;=DecisionCritical,"Critical",IF($L19&gt;=DecisionWarn,"Warning","On track"))),IF($K19="Unconfirmed",IF($L19&gt;=UnconfirmedWarn,"Warning","On track"),""))</f>
        <v/>
      </c>
      <c r="N19" s="65" t="str">
        <f aca="false">IF($M19="","",IF($M19="Critical",3000,IF($M19="Warning",2000,1000))+$L19+ROW()/100000)</f>
        <v/>
      </c>
      <c r="O19" s="65" t="str">
        <f aca="false">IF($K19="Open",IF($C19="Conflict","decide "&amp;$A19&amp;": &lt;which version stands&gt;","decide "&amp;$A19&amp;": &lt;outcome&gt;"),IF($K19="Unconfirmed","confirm "&amp;$A19,""))</f>
        <v/>
      </c>
      <c r="P19" s="66" t="n">
        <f aca="false">IF(AND($C19="New",$B19&gt;=WeekStart),$B19+ROW()/100000,"")</f>
        <v>46297.00019</v>
      </c>
      <c r="Q19" s="65" t="str">
        <f aca="false">IF(AND($C19="Know",$B19&gt;=WeekStart),$B19+ROW()/100000,"")</f>
        <v/>
      </c>
      <c r="R19" s="65" t="str">
        <f aca="false">IF(AND($K19="Open",$C19="Decision"),$L19+ROW()/100000,"")</f>
        <v/>
      </c>
      <c r="S19" s="65" t="str">
        <f aca="false">IF(AND($J19&lt;&gt;"",$J19=UCSel),$B19+ROW()/100000,"")</f>
        <v/>
      </c>
    </row>
    <row r="20" customFormat="false" ht="15" hidden="false" customHeight="false" outlineLevel="0" collapsed="false">
      <c r="A20" s="28"/>
      <c r="B20" s="63"/>
      <c r="C20" s="64"/>
      <c r="D20" s="28"/>
      <c r="E20" s="28"/>
      <c r="F20" s="28"/>
      <c r="G20" s="64"/>
      <c r="H20" s="64"/>
      <c r="I20" s="28"/>
      <c r="J20" s="28"/>
      <c r="K20" s="65" t="str">
        <f aca="false">IF($A20="","",IF(OR($C20="Decision",$C20="Conflict"),IF(COUNTIFS($I$2:$I$1001,$A20,$C$2:$C$1001,"Resolved")=0,"Open","Closed"),IF(AND($H20="Unconfirmed",OR($C20="New",$C20="Know")),IF(COUNTIFS($I$2:$I$1001,$A20,$C$2:$C$1001,"Confirmed")=0,"Unconfirmed","Confirmed"),"Logged")))</f>
        <v/>
      </c>
      <c r="L20" s="65" t="str">
        <f aca="false">IF($A20="","",AsOf-$B20)</f>
        <v/>
      </c>
      <c r="M20" s="65" t="str">
        <f aca="false">IF($K20="Open",IF($C20="Conflict","Critical",IF($L20&gt;=DecisionCritical,"Critical",IF($L20&gt;=DecisionWarn,"Warning","On track"))),IF($K20="Unconfirmed",IF($L20&gt;=UnconfirmedWarn,"Warning","On track"),""))</f>
        <v/>
      </c>
      <c r="N20" s="65" t="str">
        <f aca="false">IF($M20="","",IF($M20="Critical",3000,IF($M20="Warning",2000,1000))+$L20+ROW()/100000)</f>
        <v/>
      </c>
      <c r="O20" s="65" t="str">
        <f aca="false">IF($K20="Open",IF($C20="Conflict","decide "&amp;$A20&amp;": &lt;which version stands&gt;","decide "&amp;$A20&amp;": &lt;outcome&gt;"),IF($K20="Unconfirmed","confirm "&amp;$A20,""))</f>
        <v/>
      </c>
      <c r="P20" s="65" t="str">
        <f aca="false">IF(AND($C20="New",$B20&gt;=WeekStart),$B20+ROW()/100000,"")</f>
        <v/>
      </c>
      <c r="Q20" s="65" t="str">
        <f aca="false">IF(AND($C20="Know",$B20&gt;=WeekStart),$B20+ROW()/100000,"")</f>
        <v/>
      </c>
      <c r="R20" s="65" t="str">
        <f aca="false">IF(AND($K20="Open",$C20="Decision"),$L20+ROW()/100000,"")</f>
        <v/>
      </c>
      <c r="S20" s="65" t="str">
        <f aca="false">IF(AND($J20&lt;&gt;"",$J20=UCSel),$B20+ROW()/100000,"")</f>
        <v/>
      </c>
    </row>
    <row r="21" customFormat="false" ht="15" hidden="false" customHeight="false" outlineLevel="0" collapsed="false">
      <c r="A21" s="28"/>
      <c r="B21" s="63"/>
      <c r="C21" s="64"/>
      <c r="D21" s="28"/>
      <c r="E21" s="28"/>
      <c r="F21" s="28"/>
      <c r="G21" s="64"/>
      <c r="H21" s="64"/>
      <c r="I21" s="28"/>
      <c r="J21" s="28"/>
      <c r="K21" s="65" t="str">
        <f aca="false">IF($A21="","",IF(OR($C21="Decision",$C21="Conflict"),IF(COUNTIFS($I$2:$I$1001,$A21,$C$2:$C$1001,"Resolved")=0,"Open","Closed"),IF(AND($H21="Unconfirmed",OR($C21="New",$C21="Know")),IF(COUNTIFS($I$2:$I$1001,$A21,$C$2:$C$1001,"Confirmed")=0,"Unconfirmed","Confirmed"),"Logged")))</f>
        <v/>
      </c>
      <c r="L21" s="65" t="str">
        <f aca="false">IF($A21="","",AsOf-$B21)</f>
        <v/>
      </c>
      <c r="M21" s="65" t="str">
        <f aca="false">IF($K21="Open",IF($C21="Conflict","Critical",IF($L21&gt;=DecisionCritical,"Critical",IF($L21&gt;=DecisionWarn,"Warning","On track"))),IF($K21="Unconfirmed",IF($L21&gt;=UnconfirmedWarn,"Warning","On track"),""))</f>
        <v/>
      </c>
      <c r="N21" s="65" t="str">
        <f aca="false">IF($M21="","",IF($M21="Critical",3000,IF($M21="Warning",2000,1000))+$L21+ROW()/100000)</f>
        <v/>
      </c>
      <c r="O21" s="65" t="str">
        <f aca="false">IF($K21="Open",IF($C21="Conflict","decide "&amp;$A21&amp;": &lt;which version stands&gt;","decide "&amp;$A21&amp;": &lt;outcome&gt;"),IF($K21="Unconfirmed","confirm "&amp;$A21,""))</f>
        <v/>
      </c>
      <c r="P21" s="65" t="str">
        <f aca="false">IF(AND($C21="New",$B21&gt;=WeekStart),$B21+ROW()/100000,"")</f>
        <v/>
      </c>
      <c r="Q21" s="65" t="str">
        <f aca="false">IF(AND($C21="Know",$B21&gt;=WeekStart),$B21+ROW()/100000,"")</f>
        <v/>
      </c>
      <c r="R21" s="65" t="str">
        <f aca="false">IF(AND($K21="Open",$C21="Decision"),$L21+ROW()/100000,"")</f>
        <v/>
      </c>
      <c r="S21" s="65" t="str">
        <f aca="false">IF(AND($J21&lt;&gt;"",$J21=UCSel),$B21+ROW()/100000,"")</f>
        <v/>
      </c>
    </row>
    <row r="22" customFormat="false" ht="15" hidden="false" customHeight="false" outlineLevel="0" collapsed="false">
      <c r="A22" s="28"/>
      <c r="B22" s="63"/>
      <c r="C22" s="64"/>
      <c r="D22" s="28"/>
      <c r="E22" s="28"/>
      <c r="F22" s="28"/>
      <c r="G22" s="64"/>
      <c r="H22" s="64"/>
      <c r="I22" s="28"/>
      <c r="J22" s="28"/>
      <c r="K22" s="65" t="str">
        <f aca="false">IF($A22="","",IF(OR($C22="Decision",$C22="Conflict"),IF(COUNTIFS($I$2:$I$1001,$A22,$C$2:$C$1001,"Resolved")=0,"Open","Closed"),IF(AND($H22="Unconfirmed",OR($C22="New",$C22="Know")),IF(COUNTIFS($I$2:$I$1001,$A22,$C$2:$C$1001,"Confirmed")=0,"Unconfirmed","Confirmed"),"Logged")))</f>
        <v/>
      </c>
      <c r="L22" s="65" t="str">
        <f aca="false">IF($A22="","",AsOf-$B22)</f>
        <v/>
      </c>
      <c r="M22" s="65" t="str">
        <f aca="false">IF($K22="Open",IF($C22="Conflict","Critical",IF($L22&gt;=DecisionCritical,"Critical",IF($L22&gt;=DecisionWarn,"Warning","On track"))),IF($K22="Unconfirmed",IF($L22&gt;=UnconfirmedWarn,"Warning","On track"),""))</f>
        <v/>
      </c>
      <c r="N22" s="65" t="str">
        <f aca="false">IF($M22="","",IF($M22="Critical",3000,IF($M22="Warning",2000,1000))+$L22+ROW()/100000)</f>
        <v/>
      </c>
      <c r="O22" s="65" t="str">
        <f aca="false">IF($K22="Open",IF($C22="Conflict","decide "&amp;$A22&amp;": &lt;which version stands&gt;","decide "&amp;$A22&amp;": &lt;outcome&gt;"),IF($K22="Unconfirmed","confirm "&amp;$A22,""))</f>
        <v/>
      </c>
      <c r="P22" s="65" t="str">
        <f aca="false">IF(AND($C22="New",$B22&gt;=WeekStart),$B22+ROW()/100000,"")</f>
        <v/>
      </c>
      <c r="Q22" s="65" t="str">
        <f aca="false">IF(AND($C22="Know",$B22&gt;=WeekStart),$B22+ROW()/100000,"")</f>
        <v/>
      </c>
      <c r="R22" s="65" t="str">
        <f aca="false">IF(AND($K22="Open",$C22="Decision"),$L22+ROW()/100000,"")</f>
        <v/>
      </c>
      <c r="S22" s="65" t="str">
        <f aca="false">IF(AND($J22&lt;&gt;"",$J22=UCSel),$B22+ROW()/100000,"")</f>
        <v/>
      </c>
    </row>
    <row r="23" customFormat="false" ht="15" hidden="false" customHeight="false" outlineLevel="0" collapsed="false">
      <c r="A23" s="28"/>
      <c r="B23" s="63"/>
      <c r="C23" s="64"/>
      <c r="D23" s="28"/>
      <c r="E23" s="28"/>
      <c r="F23" s="28"/>
      <c r="G23" s="64"/>
      <c r="H23" s="64"/>
      <c r="I23" s="28"/>
      <c r="J23" s="28"/>
      <c r="K23" s="65" t="str">
        <f aca="false">IF($A23="","",IF(OR($C23="Decision",$C23="Conflict"),IF(COUNTIFS($I$2:$I$1001,$A23,$C$2:$C$1001,"Resolved")=0,"Open","Closed"),IF(AND($H23="Unconfirmed",OR($C23="New",$C23="Know")),IF(COUNTIFS($I$2:$I$1001,$A23,$C$2:$C$1001,"Confirmed")=0,"Unconfirmed","Confirmed"),"Logged")))</f>
        <v/>
      </c>
      <c r="L23" s="65" t="str">
        <f aca="false">IF($A23="","",AsOf-$B23)</f>
        <v/>
      </c>
      <c r="M23" s="65" t="str">
        <f aca="false">IF($K23="Open",IF($C23="Conflict","Critical",IF($L23&gt;=DecisionCritical,"Critical",IF($L23&gt;=DecisionWarn,"Warning","On track"))),IF($K23="Unconfirmed",IF($L23&gt;=UnconfirmedWarn,"Warning","On track"),""))</f>
        <v/>
      </c>
      <c r="N23" s="65" t="str">
        <f aca="false">IF($M23="","",IF($M23="Critical",3000,IF($M23="Warning",2000,1000))+$L23+ROW()/100000)</f>
        <v/>
      </c>
      <c r="O23" s="65" t="str">
        <f aca="false">IF($K23="Open",IF($C23="Conflict","decide "&amp;$A23&amp;": &lt;which version stands&gt;","decide "&amp;$A23&amp;": &lt;outcome&gt;"),IF($K23="Unconfirmed","confirm "&amp;$A23,""))</f>
        <v/>
      </c>
      <c r="P23" s="65" t="str">
        <f aca="false">IF(AND($C23="New",$B23&gt;=WeekStart),$B23+ROW()/100000,"")</f>
        <v/>
      </c>
      <c r="Q23" s="65" t="str">
        <f aca="false">IF(AND($C23="Know",$B23&gt;=WeekStart),$B23+ROW()/100000,"")</f>
        <v/>
      </c>
      <c r="R23" s="65" t="str">
        <f aca="false">IF(AND($K23="Open",$C23="Decision"),$L23+ROW()/100000,"")</f>
        <v/>
      </c>
      <c r="S23" s="65" t="str">
        <f aca="false">IF(AND($J23&lt;&gt;"",$J23=UCSel),$B23+ROW()/100000,"")</f>
        <v/>
      </c>
    </row>
    <row r="24" customFormat="false" ht="15" hidden="false" customHeight="false" outlineLevel="0" collapsed="false">
      <c r="A24" s="28"/>
      <c r="B24" s="63"/>
      <c r="C24" s="64"/>
      <c r="D24" s="28"/>
      <c r="E24" s="28"/>
      <c r="F24" s="28"/>
      <c r="G24" s="64"/>
      <c r="H24" s="64"/>
      <c r="I24" s="28"/>
      <c r="J24" s="28"/>
      <c r="K24" s="65" t="str">
        <f aca="false">IF($A24="","",IF(OR($C24="Decision",$C24="Conflict"),IF(COUNTIFS($I$2:$I$1001,$A24,$C$2:$C$1001,"Resolved")=0,"Open","Closed"),IF(AND($H24="Unconfirmed",OR($C24="New",$C24="Know")),IF(COUNTIFS($I$2:$I$1001,$A24,$C$2:$C$1001,"Confirmed")=0,"Unconfirmed","Confirmed"),"Logged")))</f>
        <v/>
      </c>
      <c r="L24" s="65" t="str">
        <f aca="false">IF($A24="","",AsOf-$B24)</f>
        <v/>
      </c>
      <c r="M24" s="65" t="str">
        <f aca="false">IF($K24="Open",IF($C24="Conflict","Critical",IF($L24&gt;=DecisionCritical,"Critical",IF($L24&gt;=DecisionWarn,"Warning","On track"))),IF($K24="Unconfirmed",IF($L24&gt;=UnconfirmedWarn,"Warning","On track"),""))</f>
        <v/>
      </c>
      <c r="N24" s="65" t="str">
        <f aca="false">IF($M24="","",IF($M24="Critical",3000,IF($M24="Warning",2000,1000))+$L24+ROW()/100000)</f>
        <v/>
      </c>
      <c r="O24" s="65" t="str">
        <f aca="false">IF($K24="Open",IF($C24="Conflict","decide "&amp;$A24&amp;": &lt;which version stands&gt;","decide "&amp;$A24&amp;": &lt;outcome&gt;"),IF($K24="Unconfirmed","confirm "&amp;$A24,""))</f>
        <v/>
      </c>
      <c r="P24" s="65" t="str">
        <f aca="false">IF(AND($C24="New",$B24&gt;=WeekStart),$B24+ROW()/100000,"")</f>
        <v/>
      </c>
      <c r="Q24" s="65" t="str">
        <f aca="false">IF(AND($C24="Know",$B24&gt;=WeekStart),$B24+ROW()/100000,"")</f>
        <v/>
      </c>
      <c r="R24" s="65" t="str">
        <f aca="false">IF(AND($K24="Open",$C24="Decision"),$L24+ROW()/100000,"")</f>
        <v/>
      </c>
      <c r="S24" s="65" t="str">
        <f aca="false">IF(AND($J24&lt;&gt;"",$J24=UCSel),$B24+ROW()/100000,"")</f>
        <v/>
      </c>
    </row>
    <row r="25" customFormat="false" ht="15" hidden="false" customHeight="false" outlineLevel="0" collapsed="false">
      <c r="A25" s="28"/>
      <c r="B25" s="63"/>
      <c r="C25" s="64"/>
      <c r="D25" s="28"/>
      <c r="E25" s="28"/>
      <c r="F25" s="28"/>
      <c r="G25" s="64"/>
      <c r="H25" s="64"/>
      <c r="I25" s="28"/>
      <c r="J25" s="28"/>
      <c r="K25" s="65" t="str">
        <f aca="false">IF($A25="","",IF(OR($C25="Decision",$C25="Conflict"),IF(COUNTIFS($I$2:$I$1001,$A25,$C$2:$C$1001,"Resolved")=0,"Open","Closed"),IF(AND($H25="Unconfirmed",OR($C25="New",$C25="Know")),IF(COUNTIFS($I$2:$I$1001,$A25,$C$2:$C$1001,"Confirmed")=0,"Unconfirmed","Confirmed"),"Logged")))</f>
        <v/>
      </c>
      <c r="L25" s="65" t="str">
        <f aca="false">IF($A25="","",AsOf-$B25)</f>
        <v/>
      </c>
      <c r="M25" s="65" t="str">
        <f aca="false">IF($K25="Open",IF($C25="Conflict","Critical",IF($L25&gt;=DecisionCritical,"Critical",IF($L25&gt;=DecisionWarn,"Warning","On track"))),IF($K25="Unconfirmed",IF($L25&gt;=UnconfirmedWarn,"Warning","On track"),""))</f>
        <v/>
      </c>
      <c r="N25" s="65" t="str">
        <f aca="false">IF($M25="","",IF($M25="Critical",3000,IF($M25="Warning",2000,1000))+$L25+ROW()/100000)</f>
        <v/>
      </c>
      <c r="O25" s="65" t="str">
        <f aca="false">IF($K25="Open",IF($C25="Conflict","decide "&amp;$A25&amp;": &lt;which version stands&gt;","decide "&amp;$A25&amp;": &lt;outcome&gt;"),IF($K25="Unconfirmed","confirm "&amp;$A25,""))</f>
        <v/>
      </c>
      <c r="P25" s="65" t="str">
        <f aca="false">IF(AND($C25="New",$B25&gt;=WeekStart),$B25+ROW()/100000,"")</f>
        <v/>
      </c>
      <c r="Q25" s="65" t="str">
        <f aca="false">IF(AND($C25="Know",$B25&gt;=WeekStart),$B25+ROW()/100000,"")</f>
        <v/>
      </c>
      <c r="R25" s="65" t="str">
        <f aca="false">IF(AND($K25="Open",$C25="Decision"),$L25+ROW()/100000,"")</f>
        <v/>
      </c>
      <c r="S25" s="65" t="str">
        <f aca="false">IF(AND($J25&lt;&gt;"",$J25=UCSel),$B25+ROW()/100000,"")</f>
        <v/>
      </c>
    </row>
    <row r="26" customFormat="false" ht="15" hidden="false" customHeight="false" outlineLevel="0" collapsed="false">
      <c r="A26" s="28"/>
      <c r="B26" s="63"/>
      <c r="C26" s="64"/>
      <c r="D26" s="28"/>
      <c r="E26" s="28"/>
      <c r="F26" s="28"/>
      <c r="G26" s="64"/>
      <c r="H26" s="64"/>
      <c r="I26" s="28"/>
      <c r="J26" s="28"/>
      <c r="K26" s="65" t="str">
        <f aca="false">IF($A26="","",IF(OR($C26="Decision",$C26="Conflict"),IF(COUNTIFS($I$2:$I$1001,$A26,$C$2:$C$1001,"Resolved")=0,"Open","Closed"),IF(AND($H26="Unconfirmed",OR($C26="New",$C26="Know")),IF(COUNTIFS($I$2:$I$1001,$A26,$C$2:$C$1001,"Confirmed")=0,"Unconfirmed","Confirmed"),"Logged")))</f>
        <v/>
      </c>
      <c r="L26" s="65" t="str">
        <f aca="false">IF($A26="","",AsOf-$B26)</f>
        <v/>
      </c>
      <c r="M26" s="65" t="str">
        <f aca="false">IF($K26="Open",IF($C26="Conflict","Critical",IF($L26&gt;=DecisionCritical,"Critical",IF($L26&gt;=DecisionWarn,"Warning","On track"))),IF($K26="Unconfirmed",IF($L26&gt;=UnconfirmedWarn,"Warning","On track"),""))</f>
        <v/>
      </c>
      <c r="N26" s="65" t="str">
        <f aca="false">IF($M26="","",IF($M26="Critical",3000,IF($M26="Warning",2000,1000))+$L26+ROW()/100000)</f>
        <v/>
      </c>
      <c r="O26" s="65" t="str">
        <f aca="false">IF($K26="Open",IF($C26="Conflict","decide "&amp;$A26&amp;": &lt;which version stands&gt;","decide "&amp;$A26&amp;": &lt;outcome&gt;"),IF($K26="Unconfirmed","confirm "&amp;$A26,""))</f>
        <v/>
      </c>
      <c r="P26" s="65" t="str">
        <f aca="false">IF(AND($C26="New",$B26&gt;=WeekStart),$B26+ROW()/100000,"")</f>
        <v/>
      </c>
      <c r="Q26" s="65" t="str">
        <f aca="false">IF(AND($C26="Know",$B26&gt;=WeekStart),$B26+ROW()/100000,"")</f>
        <v/>
      </c>
      <c r="R26" s="65" t="str">
        <f aca="false">IF(AND($K26="Open",$C26="Decision"),$L26+ROW()/100000,"")</f>
        <v/>
      </c>
      <c r="S26" s="65" t="str">
        <f aca="false">IF(AND($J26&lt;&gt;"",$J26=UCSel),$B26+ROW()/100000,"")</f>
        <v/>
      </c>
    </row>
    <row r="27" customFormat="false" ht="15" hidden="false" customHeight="false" outlineLevel="0" collapsed="false">
      <c r="A27" s="28"/>
      <c r="B27" s="63"/>
      <c r="C27" s="64"/>
      <c r="D27" s="28"/>
      <c r="E27" s="28"/>
      <c r="F27" s="28"/>
      <c r="G27" s="64"/>
      <c r="H27" s="64"/>
      <c r="I27" s="28"/>
      <c r="J27" s="28"/>
      <c r="K27" s="65" t="str">
        <f aca="false">IF($A27="","",IF(OR($C27="Decision",$C27="Conflict"),IF(COUNTIFS($I$2:$I$1001,$A27,$C$2:$C$1001,"Resolved")=0,"Open","Closed"),IF(AND($H27="Unconfirmed",OR($C27="New",$C27="Know")),IF(COUNTIFS($I$2:$I$1001,$A27,$C$2:$C$1001,"Confirmed")=0,"Unconfirmed","Confirmed"),"Logged")))</f>
        <v/>
      </c>
      <c r="L27" s="65" t="str">
        <f aca="false">IF($A27="","",AsOf-$B27)</f>
        <v/>
      </c>
      <c r="M27" s="65" t="str">
        <f aca="false">IF($K27="Open",IF($C27="Conflict","Critical",IF($L27&gt;=DecisionCritical,"Critical",IF($L27&gt;=DecisionWarn,"Warning","On track"))),IF($K27="Unconfirmed",IF($L27&gt;=UnconfirmedWarn,"Warning","On track"),""))</f>
        <v/>
      </c>
      <c r="N27" s="65" t="str">
        <f aca="false">IF($M27="","",IF($M27="Critical",3000,IF($M27="Warning",2000,1000))+$L27+ROW()/100000)</f>
        <v/>
      </c>
      <c r="O27" s="65" t="str">
        <f aca="false">IF($K27="Open",IF($C27="Conflict","decide "&amp;$A27&amp;": &lt;which version stands&gt;","decide "&amp;$A27&amp;": &lt;outcome&gt;"),IF($K27="Unconfirmed","confirm "&amp;$A27,""))</f>
        <v/>
      </c>
      <c r="P27" s="65" t="str">
        <f aca="false">IF(AND($C27="New",$B27&gt;=WeekStart),$B27+ROW()/100000,"")</f>
        <v/>
      </c>
      <c r="Q27" s="65" t="str">
        <f aca="false">IF(AND($C27="Know",$B27&gt;=WeekStart),$B27+ROW()/100000,"")</f>
        <v/>
      </c>
      <c r="R27" s="65" t="str">
        <f aca="false">IF(AND($K27="Open",$C27="Decision"),$L27+ROW()/100000,"")</f>
        <v/>
      </c>
      <c r="S27" s="65" t="str">
        <f aca="false">IF(AND($J27&lt;&gt;"",$J27=UCSel),$B27+ROW()/100000,"")</f>
        <v/>
      </c>
    </row>
    <row r="28" customFormat="false" ht="15" hidden="false" customHeight="false" outlineLevel="0" collapsed="false">
      <c r="A28" s="28"/>
      <c r="B28" s="63"/>
      <c r="C28" s="64"/>
      <c r="D28" s="28"/>
      <c r="E28" s="28"/>
      <c r="F28" s="28"/>
      <c r="G28" s="64"/>
      <c r="H28" s="64"/>
      <c r="I28" s="28"/>
      <c r="J28" s="28"/>
      <c r="K28" s="65" t="str">
        <f aca="false">IF($A28="","",IF(OR($C28="Decision",$C28="Conflict"),IF(COUNTIFS($I$2:$I$1001,$A28,$C$2:$C$1001,"Resolved")=0,"Open","Closed"),IF(AND($H28="Unconfirmed",OR($C28="New",$C28="Know")),IF(COUNTIFS($I$2:$I$1001,$A28,$C$2:$C$1001,"Confirmed")=0,"Unconfirmed","Confirmed"),"Logged")))</f>
        <v/>
      </c>
      <c r="L28" s="65" t="str">
        <f aca="false">IF($A28="","",AsOf-$B28)</f>
        <v/>
      </c>
      <c r="M28" s="65" t="str">
        <f aca="false">IF($K28="Open",IF($C28="Conflict","Critical",IF($L28&gt;=DecisionCritical,"Critical",IF($L28&gt;=DecisionWarn,"Warning","On track"))),IF($K28="Unconfirmed",IF($L28&gt;=UnconfirmedWarn,"Warning","On track"),""))</f>
        <v/>
      </c>
      <c r="N28" s="65" t="str">
        <f aca="false">IF($M28="","",IF($M28="Critical",3000,IF($M28="Warning",2000,1000))+$L28+ROW()/100000)</f>
        <v/>
      </c>
      <c r="O28" s="65" t="str">
        <f aca="false">IF($K28="Open",IF($C28="Conflict","decide "&amp;$A28&amp;": &lt;which version stands&gt;","decide "&amp;$A28&amp;": &lt;outcome&gt;"),IF($K28="Unconfirmed","confirm "&amp;$A28,""))</f>
        <v/>
      </c>
      <c r="P28" s="65" t="str">
        <f aca="false">IF(AND($C28="New",$B28&gt;=WeekStart),$B28+ROW()/100000,"")</f>
        <v/>
      </c>
      <c r="Q28" s="65" t="str">
        <f aca="false">IF(AND($C28="Know",$B28&gt;=WeekStart),$B28+ROW()/100000,"")</f>
        <v/>
      </c>
      <c r="R28" s="65" t="str">
        <f aca="false">IF(AND($K28="Open",$C28="Decision"),$L28+ROW()/100000,"")</f>
        <v/>
      </c>
      <c r="S28" s="65" t="str">
        <f aca="false">IF(AND($J28&lt;&gt;"",$J28=UCSel),$B28+ROW()/100000,"")</f>
        <v/>
      </c>
    </row>
    <row r="29" customFormat="false" ht="15" hidden="false" customHeight="false" outlineLevel="0" collapsed="false">
      <c r="A29" s="28"/>
      <c r="B29" s="63"/>
      <c r="C29" s="64"/>
      <c r="D29" s="28"/>
      <c r="E29" s="28"/>
      <c r="F29" s="28"/>
      <c r="G29" s="64"/>
      <c r="H29" s="64"/>
      <c r="I29" s="28"/>
      <c r="J29" s="28"/>
      <c r="K29" s="65" t="str">
        <f aca="false">IF($A29="","",IF(OR($C29="Decision",$C29="Conflict"),IF(COUNTIFS($I$2:$I$1001,$A29,$C$2:$C$1001,"Resolved")=0,"Open","Closed"),IF(AND($H29="Unconfirmed",OR($C29="New",$C29="Know")),IF(COUNTIFS($I$2:$I$1001,$A29,$C$2:$C$1001,"Confirmed")=0,"Unconfirmed","Confirmed"),"Logged")))</f>
        <v/>
      </c>
      <c r="L29" s="65" t="str">
        <f aca="false">IF($A29="","",AsOf-$B29)</f>
        <v/>
      </c>
      <c r="M29" s="65" t="str">
        <f aca="false">IF($K29="Open",IF($C29="Conflict","Critical",IF($L29&gt;=DecisionCritical,"Critical",IF($L29&gt;=DecisionWarn,"Warning","On track"))),IF($K29="Unconfirmed",IF($L29&gt;=UnconfirmedWarn,"Warning","On track"),""))</f>
        <v/>
      </c>
      <c r="N29" s="65" t="str">
        <f aca="false">IF($M29="","",IF($M29="Critical",3000,IF($M29="Warning",2000,1000))+$L29+ROW()/100000)</f>
        <v/>
      </c>
      <c r="O29" s="65" t="str">
        <f aca="false">IF($K29="Open",IF($C29="Conflict","decide "&amp;$A29&amp;": &lt;which version stands&gt;","decide "&amp;$A29&amp;": &lt;outcome&gt;"),IF($K29="Unconfirmed","confirm "&amp;$A29,""))</f>
        <v/>
      </c>
      <c r="P29" s="65" t="str">
        <f aca="false">IF(AND($C29="New",$B29&gt;=WeekStart),$B29+ROW()/100000,"")</f>
        <v/>
      </c>
      <c r="Q29" s="65" t="str">
        <f aca="false">IF(AND($C29="Know",$B29&gt;=WeekStart),$B29+ROW()/100000,"")</f>
        <v/>
      </c>
      <c r="R29" s="65" t="str">
        <f aca="false">IF(AND($K29="Open",$C29="Decision"),$L29+ROW()/100000,"")</f>
        <v/>
      </c>
      <c r="S29" s="65" t="str">
        <f aca="false">IF(AND($J29&lt;&gt;"",$J29=UCSel),$B29+ROW()/100000,"")</f>
        <v/>
      </c>
    </row>
    <row r="30" customFormat="false" ht="15" hidden="false" customHeight="false" outlineLevel="0" collapsed="false">
      <c r="A30" s="28"/>
      <c r="B30" s="63"/>
      <c r="C30" s="64"/>
      <c r="D30" s="28"/>
      <c r="E30" s="28"/>
      <c r="F30" s="28"/>
      <c r="G30" s="64"/>
      <c r="H30" s="64"/>
      <c r="I30" s="28"/>
      <c r="J30" s="28"/>
      <c r="K30" s="65" t="str">
        <f aca="false">IF($A30="","",IF(OR($C30="Decision",$C30="Conflict"),IF(COUNTIFS($I$2:$I$1001,$A30,$C$2:$C$1001,"Resolved")=0,"Open","Closed"),IF(AND($H30="Unconfirmed",OR($C30="New",$C30="Know")),IF(COUNTIFS($I$2:$I$1001,$A30,$C$2:$C$1001,"Confirmed")=0,"Unconfirmed","Confirmed"),"Logged")))</f>
        <v/>
      </c>
      <c r="L30" s="65" t="str">
        <f aca="false">IF($A30="","",AsOf-$B30)</f>
        <v/>
      </c>
      <c r="M30" s="65" t="str">
        <f aca="false">IF($K30="Open",IF($C30="Conflict","Critical",IF($L30&gt;=DecisionCritical,"Critical",IF($L30&gt;=DecisionWarn,"Warning","On track"))),IF($K30="Unconfirmed",IF($L30&gt;=UnconfirmedWarn,"Warning","On track"),""))</f>
        <v/>
      </c>
      <c r="N30" s="65" t="str">
        <f aca="false">IF($M30="","",IF($M30="Critical",3000,IF($M30="Warning",2000,1000))+$L30+ROW()/100000)</f>
        <v/>
      </c>
      <c r="O30" s="65" t="str">
        <f aca="false">IF($K30="Open",IF($C30="Conflict","decide "&amp;$A30&amp;": &lt;which version stands&gt;","decide "&amp;$A30&amp;": &lt;outcome&gt;"),IF($K30="Unconfirmed","confirm "&amp;$A30,""))</f>
        <v/>
      </c>
      <c r="P30" s="65" t="str">
        <f aca="false">IF(AND($C30="New",$B30&gt;=WeekStart),$B30+ROW()/100000,"")</f>
        <v/>
      </c>
      <c r="Q30" s="65" t="str">
        <f aca="false">IF(AND($C30="Know",$B30&gt;=WeekStart),$B30+ROW()/100000,"")</f>
        <v/>
      </c>
      <c r="R30" s="65" t="str">
        <f aca="false">IF(AND($K30="Open",$C30="Decision"),$L30+ROW()/100000,"")</f>
        <v/>
      </c>
      <c r="S30" s="65" t="str">
        <f aca="false">IF(AND($J30&lt;&gt;"",$J30=UCSel),$B30+ROW()/100000,"")</f>
        <v/>
      </c>
    </row>
    <row r="31" customFormat="false" ht="15" hidden="false" customHeight="false" outlineLevel="0" collapsed="false">
      <c r="A31" s="28"/>
      <c r="B31" s="63"/>
      <c r="C31" s="64"/>
      <c r="D31" s="28"/>
      <c r="E31" s="28"/>
      <c r="F31" s="28"/>
      <c r="G31" s="64"/>
      <c r="H31" s="64"/>
      <c r="I31" s="28"/>
      <c r="J31" s="28"/>
      <c r="K31" s="65" t="str">
        <f aca="false">IF($A31="","",IF(OR($C31="Decision",$C31="Conflict"),IF(COUNTIFS($I$2:$I$1001,$A31,$C$2:$C$1001,"Resolved")=0,"Open","Closed"),IF(AND($H31="Unconfirmed",OR($C31="New",$C31="Know")),IF(COUNTIFS($I$2:$I$1001,$A31,$C$2:$C$1001,"Confirmed")=0,"Unconfirmed","Confirmed"),"Logged")))</f>
        <v/>
      </c>
      <c r="L31" s="65" t="str">
        <f aca="false">IF($A31="","",AsOf-$B31)</f>
        <v/>
      </c>
      <c r="M31" s="65" t="str">
        <f aca="false">IF($K31="Open",IF($C31="Conflict","Critical",IF($L31&gt;=DecisionCritical,"Critical",IF($L31&gt;=DecisionWarn,"Warning","On track"))),IF($K31="Unconfirmed",IF($L31&gt;=UnconfirmedWarn,"Warning","On track"),""))</f>
        <v/>
      </c>
      <c r="N31" s="65" t="str">
        <f aca="false">IF($M31="","",IF($M31="Critical",3000,IF($M31="Warning",2000,1000))+$L31+ROW()/100000)</f>
        <v/>
      </c>
      <c r="O31" s="65" t="str">
        <f aca="false">IF($K31="Open",IF($C31="Conflict","decide "&amp;$A31&amp;": &lt;which version stands&gt;","decide "&amp;$A31&amp;": &lt;outcome&gt;"),IF($K31="Unconfirmed","confirm "&amp;$A31,""))</f>
        <v/>
      </c>
      <c r="P31" s="65" t="str">
        <f aca="false">IF(AND($C31="New",$B31&gt;=WeekStart),$B31+ROW()/100000,"")</f>
        <v/>
      </c>
      <c r="Q31" s="65" t="str">
        <f aca="false">IF(AND($C31="Know",$B31&gt;=WeekStart),$B31+ROW()/100000,"")</f>
        <v/>
      </c>
      <c r="R31" s="65" t="str">
        <f aca="false">IF(AND($K31="Open",$C31="Decision"),$L31+ROW()/100000,"")</f>
        <v/>
      </c>
      <c r="S31" s="65" t="str">
        <f aca="false">IF(AND($J31&lt;&gt;"",$J31=UCSel),$B31+ROW()/100000,"")</f>
        <v/>
      </c>
    </row>
    <row r="32" customFormat="false" ht="15" hidden="false" customHeight="false" outlineLevel="0" collapsed="false">
      <c r="A32" s="28"/>
      <c r="B32" s="63"/>
      <c r="C32" s="64"/>
      <c r="D32" s="28"/>
      <c r="E32" s="28"/>
      <c r="F32" s="28"/>
      <c r="G32" s="64"/>
      <c r="H32" s="64"/>
      <c r="I32" s="28"/>
      <c r="J32" s="28"/>
      <c r="K32" s="65" t="str">
        <f aca="false">IF($A32="","",IF(OR($C32="Decision",$C32="Conflict"),IF(COUNTIFS($I$2:$I$1001,$A32,$C$2:$C$1001,"Resolved")=0,"Open","Closed"),IF(AND($H32="Unconfirmed",OR($C32="New",$C32="Know")),IF(COUNTIFS($I$2:$I$1001,$A32,$C$2:$C$1001,"Confirmed")=0,"Unconfirmed","Confirmed"),"Logged")))</f>
        <v/>
      </c>
      <c r="L32" s="65" t="str">
        <f aca="false">IF($A32="","",AsOf-$B32)</f>
        <v/>
      </c>
      <c r="M32" s="65" t="str">
        <f aca="false">IF($K32="Open",IF($C32="Conflict","Critical",IF($L32&gt;=DecisionCritical,"Critical",IF($L32&gt;=DecisionWarn,"Warning","On track"))),IF($K32="Unconfirmed",IF($L32&gt;=UnconfirmedWarn,"Warning","On track"),""))</f>
        <v/>
      </c>
      <c r="N32" s="65" t="str">
        <f aca="false">IF($M32="","",IF($M32="Critical",3000,IF($M32="Warning",2000,1000))+$L32+ROW()/100000)</f>
        <v/>
      </c>
      <c r="O32" s="65" t="str">
        <f aca="false">IF($K32="Open",IF($C32="Conflict","decide "&amp;$A32&amp;": &lt;which version stands&gt;","decide "&amp;$A32&amp;": &lt;outcome&gt;"),IF($K32="Unconfirmed","confirm "&amp;$A32,""))</f>
        <v/>
      </c>
      <c r="P32" s="65" t="str">
        <f aca="false">IF(AND($C32="New",$B32&gt;=WeekStart),$B32+ROW()/100000,"")</f>
        <v/>
      </c>
      <c r="Q32" s="65" t="str">
        <f aca="false">IF(AND($C32="Know",$B32&gt;=WeekStart),$B32+ROW()/100000,"")</f>
        <v/>
      </c>
      <c r="R32" s="65" t="str">
        <f aca="false">IF(AND($K32="Open",$C32="Decision"),$L32+ROW()/100000,"")</f>
        <v/>
      </c>
      <c r="S32" s="65" t="str">
        <f aca="false">IF(AND($J32&lt;&gt;"",$J32=UCSel),$B32+ROW()/100000,"")</f>
        <v/>
      </c>
    </row>
    <row r="33" customFormat="false" ht="15" hidden="false" customHeight="false" outlineLevel="0" collapsed="false">
      <c r="A33" s="28"/>
      <c r="B33" s="63"/>
      <c r="C33" s="64"/>
      <c r="D33" s="28"/>
      <c r="E33" s="28"/>
      <c r="F33" s="28"/>
      <c r="G33" s="64"/>
      <c r="H33" s="64"/>
      <c r="I33" s="28"/>
      <c r="J33" s="28"/>
      <c r="K33" s="65" t="str">
        <f aca="false">IF($A33="","",IF(OR($C33="Decision",$C33="Conflict"),IF(COUNTIFS($I$2:$I$1001,$A33,$C$2:$C$1001,"Resolved")=0,"Open","Closed"),IF(AND($H33="Unconfirmed",OR($C33="New",$C33="Know")),IF(COUNTIFS($I$2:$I$1001,$A33,$C$2:$C$1001,"Confirmed")=0,"Unconfirmed","Confirmed"),"Logged")))</f>
        <v/>
      </c>
      <c r="L33" s="65" t="str">
        <f aca="false">IF($A33="","",AsOf-$B33)</f>
        <v/>
      </c>
      <c r="M33" s="65" t="str">
        <f aca="false">IF($K33="Open",IF($C33="Conflict","Critical",IF($L33&gt;=DecisionCritical,"Critical",IF($L33&gt;=DecisionWarn,"Warning","On track"))),IF($K33="Unconfirmed",IF($L33&gt;=UnconfirmedWarn,"Warning","On track"),""))</f>
        <v/>
      </c>
      <c r="N33" s="65" t="str">
        <f aca="false">IF($M33="","",IF($M33="Critical",3000,IF($M33="Warning",2000,1000))+$L33+ROW()/100000)</f>
        <v/>
      </c>
      <c r="O33" s="65" t="str">
        <f aca="false">IF($K33="Open",IF($C33="Conflict","decide "&amp;$A33&amp;": &lt;which version stands&gt;","decide "&amp;$A33&amp;": &lt;outcome&gt;"),IF($K33="Unconfirmed","confirm "&amp;$A33,""))</f>
        <v/>
      </c>
      <c r="P33" s="65" t="str">
        <f aca="false">IF(AND($C33="New",$B33&gt;=WeekStart),$B33+ROW()/100000,"")</f>
        <v/>
      </c>
      <c r="Q33" s="65" t="str">
        <f aca="false">IF(AND($C33="Know",$B33&gt;=WeekStart),$B33+ROW()/100000,"")</f>
        <v/>
      </c>
      <c r="R33" s="65" t="str">
        <f aca="false">IF(AND($K33="Open",$C33="Decision"),$L33+ROW()/100000,"")</f>
        <v/>
      </c>
      <c r="S33" s="65" t="str">
        <f aca="false">IF(AND($J33&lt;&gt;"",$J33=UCSel),$B33+ROW()/100000,"")</f>
        <v/>
      </c>
    </row>
    <row r="34" customFormat="false" ht="15" hidden="false" customHeight="false" outlineLevel="0" collapsed="false">
      <c r="A34" s="28"/>
      <c r="B34" s="63"/>
      <c r="C34" s="64"/>
      <c r="D34" s="28"/>
      <c r="E34" s="28"/>
      <c r="F34" s="28"/>
      <c r="G34" s="64"/>
      <c r="H34" s="64"/>
      <c r="I34" s="28"/>
      <c r="J34" s="28"/>
      <c r="K34" s="65" t="str">
        <f aca="false">IF($A34="","",IF(OR($C34="Decision",$C34="Conflict"),IF(COUNTIFS($I$2:$I$1001,$A34,$C$2:$C$1001,"Resolved")=0,"Open","Closed"),IF(AND($H34="Unconfirmed",OR($C34="New",$C34="Know")),IF(COUNTIFS($I$2:$I$1001,$A34,$C$2:$C$1001,"Confirmed")=0,"Unconfirmed","Confirmed"),"Logged")))</f>
        <v/>
      </c>
      <c r="L34" s="65" t="str">
        <f aca="false">IF($A34="","",AsOf-$B34)</f>
        <v/>
      </c>
      <c r="M34" s="65" t="str">
        <f aca="false">IF($K34="Open",IF($C34="Conflict","Critical",IF($L34&gt;=DecisionCritical,"Critical",IF($L34&gt;=DecisionWarn,"Warning","On track"))),IF($K34="Unconfirmed",IF($L34&gt;=UnconfirmedWarn,"Warning","On track"),""))</f>
        <v/>
      </c>
      <c r="N34" s="65" t="str">
        <f aca="false">IF($M34="","",IF($M34="Critical",3000,IF($M34="Warning",2000,1000))+$L34+ROW()/100000)</f>
        <v/>
      </c>
      <c r="O34" s="65" t="str">
        <f aca="false">IF($K34="Open",IF($C34="Conflict","decide "&amp;$A34&amp;": &lt;which version stands&gt;","decide "&amp;$A34&amp;": &lt;outcome&gt;"),IF($K34="Unconfirmed","confirm "&amp;$A34,""))</f>
        <v/>
      </c>
      <c r="P34" s="65" t="str">
        <f aca="false">IF(AND($C34="New",$B34&gt;=WeekStart),$B34+ROW()/100000,"")</f>
        <v/>
      </c>
      <c r="Q34" s="65" t="str">
        <f aca="false">IF(AND($C34="Know",$B34&gt;=WeekStart),$B34+ROW()/100000,"")</f>
        <v/>
      </c>
      <c r="R34" s="65" t="str">
        <f aca="false">IF(AND($K34="Open",$C34="Decision"),$L34+ROW()/100000,"")</f>
        <v/>
      </c>
      <c r="S34" s="65" t="str">
        <f aca="false">IF(AND($J34&lt;&gt;"",$J34=UCSel),$B34+ROW()/100000,"")</f>
        <v/>
      </c>
    </row>
    <row r="35" customFormat="false" ht="15" hidden="false" customHeight="false" outlineLevel="0" collapsed="false">
      <c r="A35" s="28"/>
      <c r="B35" s="63"/>
      <c r="C35" s="64"/>
      <c r="D35" s="28"/>
      <c r="E35" s="28"/>
      <c r="F35" s="28"/>
      <c r="G35" s="64"/>
      <c r="H35" s="64"/>
      <c r="I35" s="28"/>
      <c r="J35" s="28"/>
      <c r="K35" s="65" t="str">
        <f aca="false">IF($A35="","",IF(OR($C35="Decision",$C35="Conflict"),IF(COUNTIFS($I$2:$I$1001,$A35,$C$2:$C$1001,"Resolved")=0,"Open","Closed"),IF(AND($H35="Unconfirmed",OR($C35="New",$C35="Know")),IF(COUNTIFS($I$2:$I$1001,$A35,$C$2:$C$1001,"Confirmed")=0,"Unconfirmed","Confirmed"),"Logged")))</f>
        <v/>
      </c>
      <c r="L35" s="65" t="str">
        <f aca="false">IF($A35="","",AsOf-$B35)</f>
        <v/>
      </c>
      <c r="M35" s="65" t="str">
        <f aca="false">IF($K35="Open",IF($C35="Conflict","Critical",IF($L35&gt;=DecisionCritical,"Critical",IF($L35&gt;=DecisionWarn,"Warning","On track"))),IF($K35="Unconfirmed",IF($L35&gt;=UnconfirmedWarn,"Warning","On track"),""))</f>
        <v/>
      </c>
      <c r="N35" s="65" t="str">
        <f aca="false">IF($M35="","",IF($M35="Critical",3000,IF($M35="Warning",2000,1000))+$L35+ROW()/100000)</f>
        <v/>
      </c>
      <c r="O35" s="65" t="str">
        <f aca="false">IF($K35="Open",IF($C35="Conflict","decide "&amp;$A35&amp;": &lt;which version stands&gt;","decide "&amp;$A35&amp;": &lt;outcome&gt;"),IF($K35="Unconfirmed","confirm "&amp;$A35,""))</f>
        <v/>
      </c>
      <c r="P35" s="65" t="str">
        <f aca="false">IF(AND($C35="New",$B35&gt;=WeekStart),$B35+ROW()/100000,"")</f>
        <v/>
      </c>
      <c r="Q35" s="65" t="str">
        <f aca="false">IF(AND($C35="Know",$B35&gt;=WeekStart),$B35+ROW()/100000,"")</f>
        <v/>
      </c>
      <c r="R35" s="65" t="str">
        <f aca="false">IF(AND($K35="Open",$C35="Decision"),$L35+ROW()/100000,"")</f>
        <v/>
      </c>
      <c r="S35" s="65" t="str">
        <f aca="false">IF(AND($J35&lt;&gt;"",$J35=UCSel),$B35+ROW()/100000,"")</f>
        <v/>
      </c>
    </row>
    <row r="36" customFormat="false" ht="15" hidden="false" customHeight="false" outlineLevel="0" collapsed="false">
      <c r="A36" s="28"/>
      <c r="B36" s="63"/>
      <c r="C36" s="64"/>
      <c r="D36" s="28"/>
      <c r="E36" s="28"/>
      <c r="F36" s="28"/>
      <c r="G36" s="64"/>
      <c r="H36" s="64"/>
      <c r="I36" s="28"/>
      <c r="J36" s="28"/>
      <c r="K36" s="65" t="str">
        <f aca="false">IF($A36="","",IF(OR($C36="Decision",$C36="Conflict"),IF(COUNTIFS($I$2:$I$1001,$A36,$C$2:$C$1001,"Resolved")=0,"Open","Closed"),IF(AND($H36="Unconfirmed",OR($C36="New",$C36="Know")),IF(COUNTIFS($I$2:$I$1001,$A36,$C$2:$C$1001,"Confirmed")=0,"Unconfirmed","Confirmed"),"Logged")))</f>
        <v/>
      </c>
      <c r="L36" s="65" t="str">
        <f aca="false">IF($A36="","",AsOf-$B36)</f>
        <v/>
      </c>
      <c r="M36" s="65" t="str">
        <f aca="false">IF($K36="Open",IF($C36="Conflict","Critical",IF($L36&gt;=DecisionCritical,"Critical",IF($L36&gt;=DecisionWarn,"Warning","On track"))),IF($K36="Unconfirmed",IF($L36&gt;=UnconfirmedWarn,"Warning","On track"),""))</f>
        <v/>
      </c>
      <c r="N36" s="65" t="str">
        <f aca="false">IF($M36="","",IF($M36="Critical",3000,IF($M36="Warning",2000,1000))+$L36+ROW()/100000)</f>
        <v/>
      </c>
      <c r="O36" s="65" t="str">
        <f aca="false">IF($K36="Open",IF($C36="Conflict","decide "&amp;$A36&amp;": &lt;which version stands&gt;","decide "&amp;$A36&amp;": &lt;outcome&gt;"),IF($K36="Unconfirmed","confirm "&amp;$A36,""))</f>
        <v/>
      </c>
      <c r="P36" s="65" t="str">
        <f aca="false">IF(AND($C36="New",$B36&gt;=WeekStart),$B36+ROW()/100000,"")</f>
        <v/>
      </c>
      <c r="Q36" s="65" t="str">
        <f aca="false">IF(AND($C36="Know",$B36&gt;=WeekStart),$B36+ROW()/100000,"")</f>
        <v/>
      </c>
      <c r="R36" s="65" t="str">
        <f aca="false">IF(AND($K36="Open",$C36="Decision"),$L36+ROW()/100000,"")</f>
        <v/>
      </c>
      <c r="S36" s="65" t="str">
        <f aca="false">IF(AND($J36&lt;&gt;"",$J36=UCSel),$B36+ROW()/100000,"")</f>
        <v/>
      </c>
    </row>
    <row r="37" customFormat="false" ht="15" hidden="false" customHeight="false" outlineLevel="0" collapsed="false">
      <c r="A37" s="28"/>
      <c r="B37" s="63"/>
      <c r="C37" s="64"/>
      <c r="D37" s="28"/>
      <c r="E37" s="28"/>
      <c r="F37" s="28"/>
      <c r="G37" s="64"/>
      <c r="H37" s="64"/>
      <c r="I37" s="28"/>
      <c r="J37" s="28"/>
      <c r="K37" s="65" t="str">
        <f aca="false">IF($A37="","",IF(OR($C37="Decision",$C37="Conflict"),IF(COUNTIFS($I$2:$I$1001,$A37,$C$2:$C$1001,"Resolved")=0,"Open","Closed"),IF(AND($H37="Unconfirmed",OR($C37="New",$C37="Know")),IF(COUNTIFS($I$2:$I$1001,$A37,$C$2:$C$1001,"Confirmed")=0,"Unconfirmed","Confirmed"),"Logged")))</f>
        <v/>
      </c>
      <c r="L37" s="65" t="str">
        <f aca="false">IF($A37="","",AsOf-$B37)</f>
        <v/>
      </c>
      <c r="M37" s="65" t="str">
        <f aca="false">IF($K37="Open",IF($C37="Conflict","Critical",IF($L37&gt;=DecisionCritical,"Critical",IF($L37&gt;=DecisionWarn,"Warning","On track"))),IF($K37="Unconfirmed",IF($L37&gt;=UnconfirmedWarn,"Warning","On track"),""))</f>
        <v/>
      </c>
      <c r="N37" s="65" t="str">
        <f aca="false">IF($M37="","",IF($M37="Critical",3000,IF($M37="Warning",2000,1000))+$L37+ROW()/100000)</f>
        <v/>
      </c>
      <c r="O37" s="65" t="str">
        <f aca="false">IF($K37="Open",IF($C37="Conflict","decide "&amp;$A37&amp;": &lt;which version stands&gt;","decide "&amp;$A37&amp;": &lt;outcome&gt;"),IF($K37="Unconfirmed","confirm "&amp;$A37,""))</f>
        <v/>
      </c>
      <c r="P37" s="65" t="str">
        <f aca="false">IF(AND($C37="New",$B37&gt;=WeekStart),$B37+ROW()/100000,"")</f>
        <v/>
      </c>
      <c r="Q37" s="65" t="str">
        <f aca="false">IF(AND($C37="Know",$B37&gt;=WeekStart),$B37+ROW()/100000,"")</f>
        <v/>
      </c>
      <c r="R37" s="65" t="str">
        <f aca="false">IF(AND($K37="Open",$C37="Decision"),$L37+ROW()/100000,"")</f>
        <v/>
      </c>
      <c r="S37" s="65" t="str">
        <f aca="false">IF(AND($J37&lt;&gt;"",$J37=UCSel),$B37+ROW()/100000,"")</f>
        <v/>
      </c>
    </row>
    <row r="38" customFormat="false" ht="15" hidden="false" customHeight="false" outlineLevel="0" collapsed="false">
      <c r="A38" s="28"/>
      <c r="B38" s="63"/>
      <c r="C38" s="64"/>
      <c r="D38" s="28"/>
      <c r="E38" s="28"/>
      <c r="F38" s="28"/>
      <c r="G38" s="64"/>
      <c r="H38" s="64"/>
      <c r="I38" s="28"/>
      <c r="J38" s="28"/>
      <c r="K38" s="65" t="str">
        <f aca="false">IF($A38="","",IF(OR($C38="Decision",$C38="Conflict"),IF(COUNTIFS($I$2:$I$1001,$A38,$C$2:$C$1001,"Resolved")=0,"Open","Closed"),IF(AND($H38="Unconfirmed",OR($C38="New",$C38="Know")),IF(COUNTIFS($I$2:$I$1001,$A38,$C$2:$C$1001,"Confirmed")=0,"Unconfirmed","Confirmed"),"Logged")))</f>
        <v/>
      </c>
      <c r="L38" s="65" t="str">
        <f aca="false">IF($A38="","",AsOf-$B38)</f>
        <v/>
      </c>
      <c r="M38" s="65" t="str">
        <f aca="false">IF($K38="Open",IF($C38="Conflict","Critical",IF($L38&gt;=DecisionCritical,"Critical",IF($L38&gt;=DecisionWarn,"Warning","On track"))),IF($K38="Unconfirmed",IF($L38&gt;=UnconfirmedWarn,"Warning","On track"),""))</f>
        <v/>
      </c>
      <c r="N38" s="65" t="str">
        <f aca="false">IF($M38="","",IF($M38="Critical",3000,IF($M38="Warning",2000,1000))+$L38+ROW()/100000)</f>
        <v/>
      </c>
      <c r="O38" s="65" t="str">
        <f aca="false">IF($K38="Open",IF($C38="Conflict","decide "&amp;$A38&amp;": &lt;which version stands&gt;","decide "&amp;$A38&amp;": &lt;outcome&gt;"),IF($K38="Unconfirmed","confirm "&amp;$A38,""))</f>
        <v/>
      </c>
      <c r="P38" s="65" t="str">
        <f aca="false">IF(AND($C38="New",$B38&gt;=WeekStart),$B38+ROW()/100000,"")</f>
        <v/>
      </c>
      <c r="Q38" s="65" t="str">
        <f aca="false">IF(AND($C38="Know",$B38&gt;=WeekStart),$B38+ROW()/100000,"")</f>
        <v/>
      </c>
      <c r="R38" s="65" t="str">
        <f aca="false">IF(AND($K38="Open",$C38="Decision"),$L38+ROW()/100000,"")</f>
        <v/>
      </c>
      <c r="S38" s="65" t="str">
        <f aca="false">IF(AND($J38&lt;&gt;"",$J38=UCSel),$B38+ROW()/100000,"")</f>
        <v/>
      </c>
    </row>
    <row r="39" customFormat="false" ht="15" hidden="false" customHeight="false" outlineLevel="0" collapsed="false">
      <c r="A39" s="28"/>
      <c r="B39" s="63"/>
      <c r="C39" s="64"/>
      <c r="D39" s="28"/>
      <c r="E39" s="28"/>
      <c r="F39" s="28"/>
      <c r="G39" s="64"/>
      <c r="H39" s="64"/>
      <c r="I39" s="28"/>
      <c r="J39" s="28"/>
      <c r="K39" s="65" t="str">
        <f aca="false">IF($A39="","",IF(OR($C39="Decision",$C39="Conflict"),IF(COUNTIFS($I$2:$I$1001,$A39,$C$2:$C$1001,"Resolved")=0,"Open","Closed"),IF(AND($H39="Unconfirmed",OR($C39="New",$C39="Know")),IF(COUNTIFS($I$2:$I$1001,$A39,$C$2:$C$1001,"Confirmed")=0,"Unconfirmed","Confirmed"),"Logged")))</f>
        <v/>
      </c>
      <c r="L39" s="65" t="str">
        <f aca="false">IF($A39="","",AsOf-$B39)</f>
        <v/>
      </c>
      <c r="M39" s="65" t="str">
        <f aca="false">IF($K39="Open",IF($C39="Conflict","Critical",IF($L39&gt;=DecisionCritical,"Critical",IF($L39&gt;=DecisionWarn,"Warning","On track"))),IF($K39="Unconfirmed",IF($L39&gt;=UnconfirmedWarn,"Warning","On track"),""))</f>
        <v/>
      </c>
      <c r="N39" s="65" t="str">
        <f aca="false">IF($M39="","",IF($M39="Critical",3000,IF($M39="Warning",2000,1000))+$L39+ROW()/100000)</f>
        <v/>
      </c>
      <c r="O39" s="65" t="str">
        <f aca="false">IF($K39="Open",IF($C39="Conflict","decide "&amp;$A39&amp;": &lt;which version stands&gt;","decide "&amp;$A39&amp;": &lt;outcome&gt;"),IF($K39="Unconfirmed","confirm "&amp;$A39,""))</f>
        <v/>
      </c>
      <c r="P39" s="65" t="str">
        <f aca="false">IF(AND($C39="New",$B39&gt;=WeekStart),$B39+ROW()/100000,"")</f>
        <v/>
      </c>
      <c r="Q39" s="65" t="str">
        <f aca="false">IF(AND($C39="Know",$B39&gt;=WeekStart),$B39+ROW()/100000,"")</f>
        <v/>
      </c>
      <c r="R39" s="65" t="str">
        <f aca="false">IF(AND($K39="Open",$C39="Decision"),$L39+ROW()/100000,"")</f>
        <v/>
      </c>
      <c r="S39" s="65" t="str">
        <f aca="false">IF(AND($J39&lt;&gt;"",$J39=UCSel),$B39+ROW()/100000,"")</f>
        <v/>
      </c>
    </row>
    <row r="40" customFormat="false" ht="15" hidden="false" customHeight="false" outlineLevel="0" collapsed="false">
      <c r="A40" s="28"/>
      <c r="B40" s="63"/>
      <c r="C40" s="64"/>
      <c r="D40" s="28"/>
      <c r="E40" s="28"/>
      <c r="F40" s="28"/>
      <c r="G40" s="64"/>
      <c r="H40" s="64"/>
      <c r="I40" s="28"/>
      <c r="J40" s="28"/>
      <c r="K40" s="65" t="str">
        <f aca="false">IF($A40="","",IF(OR($C40="Decision",$C40="Conflict"),IF(COUNTIFS($I$2:$I$1001,$A40,$C$2:$C$1001,"Resolved")=0,"Open","Closed"),IF(AND($H40="Unconfirmed",OR($C40="New",$C40="Know")),IF(COUNTIFS($I$2:$I$1001,$A40,$C$2:$C$1001,"Confirmed")=0,"Unconfirmed","Confirmed"),"Logged")))</f>
        <v/>
      </c>
      <c r="L40" s="65" t="str">
        <f aca="false">IF($A40="","",AsOf-$B40)</f>
        <v/>
      </c>
      <c r="M40" s="65" t="str">
        <f aca="false">IF($K40="Open",IF($C40="Conflict","Critical",IF($L40&gt;=DecisionCritical,"Critical",IF($L40&gt;=DecisionWarn,"Warning","On track"))),IF($K40="Unconfirmed",IF($L40&gt;=UnconfirmedWarn,"Warning","On track"),""))</f>
        <v/>
      </c>
      <c r="N40" s="65" t="str">
        <f aca="false">IF($M40="","",IF($M40="Critical",3000,IF($M40="Warning",2000,1000))+$L40+ROW()/100000)</f>
        <v/>
      </c>
      <c r="O40" s="65" t="str">
        <f aca="false">IF($K40="Open",IF($C40="Conflict","decide "&amp;$A40&amp;": &lt;which version stands&gt;","decide "&amp;$A40&amp;": &lt;outcome&gt;"),IF($K40="Unconfirmed","confirm "&amp;$A40,""))</f>
        <v/>
      </c>
      <c r="P40" s="65" t="str">
        <f aca="false">IF(AND($C40="New",$B40&gt;=WeekStart),$B40+ROW()/100000,"")</f>
        <v/>
      </c>
      <c r="Q40" s="65" t="str">
        <f aca="false">IF(AND($C40="Know",$B40&gt;=WeekStart),$B40+ROW()/100000,"")</f>
        <v/>
      </c>
      <c r="R40" s="65" t="str">
        <f aca="false">IF(AND($K40="Open",$C40="Decision"),$L40+ROW()/100000,"")</f>
        <v/>
      </c>
      <c r="S40" s="65" t="str">
        <f aca="false">IF(AND($J40&lt;&gt;"",$J40=UCSel),$B40+ROW()/100000,"")</f>
        <v/>
      </c>
    </row>
    <row r="41" customFormat="false" ht="15" hidden="false" customHeight="false" outlineLevel="0" collapsed="false">
      <c r="A41" s="28"/>
      <c r="B41" s="63"/>
      <c r="C41" s="64"/>
      <c r="D41" s="28"/>
      <c r="E41" s="28"/>
      <c r="F41" s="28"/>
      <c r="G41" s="64"/>
      <c r="H41" s="64"/>
      <c r="I41" s="28"/>
      <c r="J41" s="28"/>
      <c r="K41" s="65" t="str">
        <f aca="false">IF($A41="","",IF(OR($C41="Decision",$C41="Conflict"),IF(COUNTIFS($I$2:$I$1001,$A41,$C$2:$C$1001,"Resolved")=0,"Open","Closed"),IF(AND($H41="Unconfirmed",OR($C41="New",$C41="Know")),IF(COUNTIFS($I$2:$I$1001,$A41,$C$2:$C$1001,"Confirmed")=0,"Unconfirmed","Confirmed"),"Logged")))</f>
        <v/>
      </c>
      <c r="L41" s="65" t="str">
        <f aca="false">IF($A41="","",AsOf-$B41)</f>
        <v/>
      </c>
      <c r="M41" s="65" t="str">
        <f aca="false">IF($K41="Open",IF($C41="Conflict","Critical",IF($L41&gt;=DecisionCritical,"Critical",IF($L41&gt;=DecisionWarn,"Warning","On track"))),IF($K41="Unconfirmed",IF($L41&gt;=UnconfirmedWarn,"Warning","On track"),""))</f>
        <v/>
      </c>
      <c r="N41" s="65" t="str">
        <f aca="false">IF($M41="","",IF($M41="Critical",3000,IF($M41="Warning",2000,1000))+$L41+ROW()/100000)</f>
        <v/>
      </c>
      <c r="O41" s="65" t="str">
        <f aca="false">IF($K41="Open",IF($C41="Conflict","decide "&amp;$A41&amp;": &lt;which version stands&gt;","decide "&amp;$A41&amp;": &lt;outcome&gt;"),IF($K41="Unconfirmed","confirm "&amp;$A41,""))</f>
        <v/>
      </c>
      <c r="P41" s="65" t="str">
        <f aca="false">IF(AND($C41="New",$B41&gt;=WeekStart),$B41+ROW()/100000,"")</f>
        <v/>
      </c>
      <c r="Q41" s="65" t="str">
        <f aca="false">IF(AND($C41="Know",$B41&gt;=WeekStart),$B41+ROW()/100000,"")</f>
        <v/>
      </c>
      <c r="R41" s="65" t="str">
        <f aca="false">IF(AND($K41="Open",$C41="Decision"),$L41+ROW()/100000,"")</f>
        <v/>
      </c>
      <c r="S41" s="65" t="str">
        <f aca="false">IF(AND($J41&lt;&gt;"",$J41=UCSel),$B41+ROW()/100000,"")</f>
        <v/>
      </c>
    </row>
    <row r="42" customFormat="false" ht="15" hidden="false" customHeight="false" outlineLevel="0" collapsed="false">
      <c r="A42" s="28"/>
      <c r="B42" s="63"/>
      <c r="C42" s="64"/>
      <c r="D42" s="28"/>
      <c r="E42" s="28"/>
      <c r="F42" s="28"/>
      <c r="G42" s="64"/>
      <c r="H42" s="64"/>
      <c r="I42" s="28"/>
      <c r="J42" s="28"/>
      <c r="K42" s="65" t="str">
        <f aca="false">IF($A42="","",IF(OR($C42="Decision",$C42="Conflict"),IF(COUNTIFS($I$2:$I$1001,$A42,$C$2:$C$1001,"Resolved")=0,"Open","Closed"),IF(AND($H42="Unconfirmed",OR($C42="New",$C42="Know")),IF(COUNTIFS($I$2:$I$1001,$A42,$C$2:$C$1001,"Confirmed")=0,"Unconfirmed","Confirmed"),"Logged")))</f>
        <v/>
      </c>
      <c r="L42" s="65" t="str">
        <f aca="false">IF($A42="","",AsOf-$B42)</f>
        <v/>
      </c>
      <c r="M42" s="65" t="str">
        <f aca="false">IF($K42="Open",IF($C42="Conflict","Critical",IF($L42&gt;=DecisionCritical,"Critical",IF($L42&gt;=DecisionWarn,"Warning","On track"))),IF($K42="Unconfirmed",IF($L42&gt;=UnconfirmedWarn,"Warning","On track"),""))</f>
        <v/>
      </c>
      <c r="N42" s="65" t="str">
        <f aca="false">IF($M42="","",IF($M42="Critical",3000,IF($M42="Warning",2000,1000))+$L42+ROW()/100000)</f>
        <v/>
      </c>
      <c r="O42" s="65" t="str">
        <f aca="false">IF($K42="Open",IF($C42="Conflict","decide "&amp;$A42&amp;": &lt;which version stands&gt;","decide "&amp;$A42&amp;": &lt;outcome&gt;"),IF($K42="Unconfirmed","confirm "&amp;$A42,""))</f>
        <v/>
      </c>
      <c r="P42" s="65" t="str">
        <f aca="false">IF(AND($C42="New",$B42&gt;=WeekStart),$B42+ROW()/100000,"")</f>
        <v/>
      </c>
      <c r="Q42" s="65" t="str">
        <f aca="false">IF(AND($C42="Know",$B42&gt;=WeekStart),$B42+ROW()/100000,"")</f>
        <v/>
      </c>
      <c r="R42" s="65" t="str">
        <f aca="false">IF(AND($K42="Open",$C42="Decision"),$L42+ROW()/100000,"")</f>
        <v/>
      </c>
      <c r="S42" s="65" t="str">
        <f aca="false">IF(AND($J42&lt;&gt;"",$J42=UCSel),$B42+ROW()/100000,"")</f>
        <v/>
      </c>
    </row>
    <row r="43" customFormat="false" ht="15" hidden="false" customHeight="false" outlineLevel="0" collapsed="false">
      <c r="A43" s="28"/>
      <c r="B43" s="63"/>
      <c r="C43" s="64"/>
      <c r="D43" s="28"/>
      <c r="E43" s="28"/>
      <c r="F43" s="28"/>
      <c r="G43" s="64"/>
      <c r="H43" s="64"/>
      <c r="I43" s="28"/>
      <c r="J43" s="28"/>
      <c r="K43" s="65" t="str">
        <f aca="false">IF($A43="","",IF(OR($C43="Decision",$C43="Conflict"),IF(COUNTIFS($I$2:$I$1001,$A43,$C$2:$C$1001,"Resolved")=0,"Open","Closed"),IF(AND($H43="Unconfirmed",OR($C43="New",$C43="Know")),IF(COUNTIFS($I$2:$I$1001,$A43,$C$2:$C$1001,"Confirmed")=0,"Unconfirmed","Confirmed"),"Logged")))</f>
        <v/>
      </c>
      <c r="L43" s="65" t="str">
        <f aca="false">IF($A43="","",AsOf-$B43)</f>
        <v/>
      </c>
      <c r="M43" s="65" t="str">
        <f aca="false">IF($K43="Open",IF($C43="Conflict","Critical",IF($L43&gt;=DecisionCritical,"Critical",IF($L43&gt;=DecisionWarn,"Warning","On track"))),IF($K43="Unconfirmed",IF($L43&gt;=UnconfirmedWarn,"Warning","On track"),""))</f>
        <v/>
      </c>
      <c r="N43" s="65" t="str">
        <f aca="false">IF($M43="","",IF($M43="Critical",3000,IF($M43="Warning",2000,1000))+$L43+ROW()/100000)</f>
        <v/>
      </c>
      <c r="O43" s="65" t="str">
        <f aca="false">IF($K43="Open",IF($C43="Conflict","decide "&amp;$A43&amp;": &lt;which version stands&gt;","decide "&amp;$A43&amp;": &lt;outcome&gt;"),IF($K43="Unconfirmed","confirm "&amp;$A43,""))</f>
        <v/>
      </c>
      <c r="P43" s="65" t="str">
        <f aca="false">IF(AND($C43="New",$B43&gt;=WeekStart),$B43+ROW()/100000,"")</f>
        <v/>
      </c>
      <c r="Q43" s="65" t="str">
        <f aca="false">IF(AND($C43="Know",$B43&gt;=WeekStart),$B43+ROW()/100000,"")</f>
        <v/>
      </c>
      <c r="R43" s="65" t="str">
        <f aca="false">IF(AND($K43="Open",$C43="Decision"),$L43+ROW()/100000,"")</f>
        <v/>
      </c>
      <c r="S43" s="65" t="str">
        <f aca="false">IF(AND($J43&lt;&gt;"",$J43=UCSel),$B43+ROW()/100000,"")</f>
        <v/>
      </c>
    </row>
    <row r="44" customFormat="false" ht="15" hidden="false" customHeight="false" outlineLevel="0" collapsed="false">
      <c r="A44" s="28"/>
      <c r="B44" s="63"/>
      <c r="C44" s="64"/>
      <c r="D44" s="28"/>
      <c r="E44" s="28"/>
      <c r="F44" s="28"/>
      <c r="G44" s="64"/>
      <c r="H44" s="64"/>
      <c r="I44" s="28"/>
      <c r="J44" s="28"/>
      <c r="K44" s="65" t="str">
        <f aca="false">IF($A44="","",IF(OR($C44="Decision",$C44="Conflict"),IF(COUNTIFS($I$2:$I$1001,$A44,$C$2:$C$1001,"Resolved")=0,"Open","Closed"),IF(AND($H44="Unconfirmed",OR($C44="New",$C44="Know")),IF(COUNTIFS($I$2:$I$1001,$A44,$C$2:$C$1001,"Confirmed")=0,"Unconfirmed","Confirmed"),"Logged")))</f>
        <v/>
      </c>
      <c r="L44" s="65" t="str">
        <f aca="false">IF($A44="","",AsOf-$B44)</f>
        <v/>
      </c>
      <c r="M44" s="65" t="str">
        <f aca="false">IF($K44="Open",IF($C44="Conflict","Critical",IF($L44&gt;=DecisionCritical,"Critical",IF($L44&gt;=DecisionWarn,"Warning","On track"))),IF($K44="Unconfirmed",IF($L44&gt;=UnconfirmedWarn,"Warning","On track"),""))</f>
        <v/>
      </c>
      <c r="N44" s="65" t="str">
        <f aca="false">IF($M44="","",IF($M44="Critical",3000,IF($M44="Warning",2000,1000))+$L44+ROW()/100000)</f>
        <v/>
      </c>
      <c r="O44" s="65" t="str">
        <f aca="false">IF($K44="Open",IF($C44="Conflict","decide "&amp;$A44&amp;": &lt;which version stands&gt;","decide "&amp;$A44&amp;": &lt;outcome&gt;"),IF($K44="Unconfirmed","confirm "&amp;$A44,""))</f>
        <v/>
      </c>
      <c r="P44" s="65" t="str">
        <f aca="false">IF(AND($C44="New",$B44&gt;=WeekStart),$B44+ROW()/100000,"")</f>
        <v/>
      </c>
      <c r="Q44" s="65" t="str">
        <f aca="false">IF(AND($C44="Know",$B44&gt;=WeekStart),$B44+ROW()/100000,"")</f>
        <v/>
      </c>
      <c r="R44" s="65" t="str">
        <f aca="false">IF(AND($K44="Open",$C44="Decision"),$L44+ROW()/100000,"")</f>
        <v/>
      </c>
      <c r="S44" s="65" t="str">
        <f aca="false">IF(AND($J44&lt;&gt;"",$J44=UCSel),$B44+ROW()/100000,"")</f>
        <v/>
      </c>
    </row>
    <row r="45" customFormat="false" ht="15" hidden="false" customHeight="false" outlineLevel="0" collapsed="false">
      <c r="A45" s="28"/>
      <c r="B45" s="63"/>
      <c r="C45" s="64"/>
      <c r="D45" s="28"/>
      <c r="E45" s="28"/>
      <c r="F45" s="28"/>
      <c r="G45" s="64"/>
      <c r="H45" s="64"/>
      <c r="I45" s="28"/>
      <c r="J45" s="28"/>
      <c r="K45" s="65" t="str">
        <f aca="false">IF($A45="","",IF(OR($C45="Decision",$C45="Conflict"),IF(COUNTIFS($I$2:$I$1001,$A45,$C$2:$C$1001,"Resolved")=0,"Open","Closed"),IF(AND($H45="Unconfirmed",OR($C45="New",$C45="Know")),IF(COUNTIFS($I$2:$I$1001,$A45,$C$2:$C$1001,"Confirmed")=0,"Unconfirmed","Confirmed"),"Logged")))</f>
        <v/>
      </c>
      <c r="L45" s="65" t="str">
        <f aca="false">IF($A45="","",AsOf-$B45)</f>
        <v/>
      </c>
      <c r="M45" s="65" t="str">
        <f aca="false">IF($K45="Open",IF($C45="Conflict","Critical",IF($L45&gt;=DecisionCritical,"Critical",IF($L45&gt;=DecisionWarn,"Warning","On track"))),IF($K45="Unconfirmed",IF($L45&gt;=UnconfirmedWarn,"Warning","On track"),""))</f>
        <v/>
      </c>
      <c r="N45" s="65" t="str">
        <f aca="false">IF($M45="","",IF($M45="Critical",3000,IF($M45="Warning",2000,1000))+$L45+ROW()/100000)</f>
        <v/>
      </c>
      <c r="O45" s="65" t="str">
        <f aca="false">IF($K45="Open",IF($C45="Conflict","decide "&amp;$A45&amp;": &lt;which version stands&gt;","decide "&amp;$A45&amp;": &lt;outcome&gt;"),IF($K45="Unconfirmed","confirm "&amp;$A45,""))</f>
        <v/>
      </c>
      <c r="P45" s="65" t="str">
        <f aca="false">IF(AND($C45="New",$B45&gt;=WeekStart),$B45+ROW()/100000,"")</f>
        <v/>
      </c>
      <c r="Q45" s="65" t="str">
        <f aca="false">IF(AND($C45="Know",$B45&gt;=WeekStart),$B45+ROW()/100000,"")</f>
        <v/>
      </c>
      <c r="R45" s="65" t="str">
        <f aca="false">IF(AND($K45="Open",$C45="Decision"),$L45+ROW()/100000,"")</f>
        <v/>
      </c>
      <c r="S45" s="65" t="str">
        <f aca="false">IF(AND($J45&lt;&gt;"",$J45=UCSel),$B45+ROW()/100000,"")</f>
        <v/>
      </c>
    </row>
    <row r="46" customFormat="false" ht="15" hidden="false" customHeight="false" outlineLevel="0" collapsed="false">
      <c r="A46" s="28"/>
      <c r="B46" s="63"/>
      <c r="C46" s="64"/>
      <c r="D46" s="28"/>
      <c r="E46" s="28"/>
      <c r="F46" s="28"/>
      <c r="G46" s="64"/>
      <c r="H46" s="64"/>
      <c r="I46" s="28"/>
      <c r="J46" s="28"/>
      <c r="K46" s="65" t="str">
        <f aca="false">IF($A46="","",IF(OR($C46="Decision",$C46="Conflict"),IF(COUNTIFS($I$2:$I$1001,$A46,$C$2:$C$1001,"Resolved")=0,"Open","Closed"),IF(AND($H46="Unconfirmed",OR($C46="New",$C46="Know")),IF(COUNTIFS($I$2:$I$1001,$A46,$C$2:$C$1001,"Confirmed")=0,"Unconfirmed","Confirmed"),"Logged")))</f>
        <v/>
      </c>
      <c r="L46" s="65" t="str">
        <f aca="false">IF($A46="","",AsOf-$B46)</f>
        <v/>
      </c>
      <c r="M46" s="65" t="str">
        <f aca="false">IF($K46="Open",IF($C46="Conflict","Critical",IF($L46&gt;=DecisionCritical,"Critical",IF($L46&gt;=DecisionWarn,"Warning","On track"))),IF($K46="Unconfirmed",IF($L46&gt;=UnconfirmedWarn,"Warning","On track"),""))</f>
        <v/>
      </c>
      <c r="N46" s="65" t="str">
        <f aca="false">IF($M46="","",IF($M46="Critical",3000,IF($M46="Warning",2000,1000))+$L46+ROW()/100000)</f>
        <v/>
      </c>
      <c r="O46" s="65" t="str">
        <f aca="false">IF($K46="Open",IF($C46="Conflict","decide "&amp;$A46&amp;": &lt;which version stands&gt;","decide "&amp;$A46&amp;": &lt;outcome&gt;"),IF($K46="Unconfirmed","confirm "&amp;$A46,""))</f>
        <v/>
      </c>
      <c r="P46" s="65" t="str">
        <f aca="false">IF(AND($C46="New",$B46&gt;=WeekStart),$B46+ROW()/100000,"")</f>
        <v/>
      </c>
      <c r="Q46" s="65" t="str">
        <f aca="false">IF(AND($C46="Know",$B46&gt;=WeekStart),$B46+ROW()/100000,"")</f>
        <v/>
      </c>
      <c r="R46" s="65" t="str">
        <f aca="false">IF(AND($K46="Open",$C46="Decision"),$L46+ROW()/100000,"")</f>
        <v/>
      </c>
      <c r="S46" s="65" t="str">
        <f aca="false">IF(AND($J46&lt;&gt;"",$J46=UCSel),$B46+ROW()/100000,"")</f>
        <v/>
      </c>
    </row>
    <row r="47" customFormat="false" ht="15" hidden="false" customHeight="false" outlineLevel="0" collapsed="false">
      <c r="A47" s="28"/>
      <c r="B47" s="63"/>
      <c r="C47" s="64"/>
      <c r="D47" s="28"/>
      <c r="E47" s="28"/>
      <c r="F47" s="28"/>
      <c r="G47" s="64"/>
      <c r="H47" s="64"/>
      <c r="I47" s="28"/>
      <c r="J47" s="28"/>
      <c r="K47" s="65" t="str">
        <f aca="false">IF($A47="","",IF(OR($C47="Decision",$C47="Conflict"),IF(COUNTIFS($I$2:$I$1001,$A47,$C$2:$C$1001,"Resolved")=0,"Open","Closed"),IF(AND($H47="Unconfirmed",OR($C47="New",$C47="Know")),IF(COUNTIFS($I$2:$I$1001,$A47,$C$2:$C$1001,"Confirmed")=0,"Unconfirmed","Confirmed"),"Logged")))</f>
        <v/>
      </c>
      <c r="L47" s="65" t="str">
        <f aca="false">IF($A47="","",AsOf-$B47)</f>
        <v/>
      </c>
      <c r="M47" s="65" t="str">
        <f aca="false">IF($K47="Open",IF($C47="Conflict","Critical",IF($L47&gt;=DecisionCritical,"Critical",IF($L47&gt;=DecisionWarn,"Warning","On track"))),IF($K47="Unconfirmed",IF($L47&gt;=UnconfirmedWarn,"Warning","On track"),""))</f>
        <v/>
      </c>
      <c r="N47" s="65" t="str">
        <f aca="false">IF($M47="","",IF($M47="Critical",3000,IF($M47="Warning",2000,1000))+$L47+ROW()/100000)</f>
        <v/>
      </c>
      <c r="O47" s="65" t="str">
        <f aca="false">IF($K47="Open",IF($C47="Conflict","decide "&amp;$A47&amp;": &lt;which version stands&gt;","decide "&amp;$A47&amp;": &lt;outcome&gt;"),IF($K47="Unconfirmed","confirm "&amp;$A47,""))</f>
        <v/>
      </c>
      <c r="P47" s="65" t="str">
        <f aca="false">IF(AND($C47="New",$B47&gt;=WeekStart),$B47+ROW()/100000,"")</f>
        <v/>
      </c>
      <c r="Q47" s="65" t="str">
        <f aca="false">IF(AND($C47="Know",$B47&gt;=WeekStart),$B47+ROW()/100000,"")</f>
        <v/>
      </c>
      <c r="R47" s="65" t="str">
        <f aca="false">IF(AND($K47="Open",$C47="Decision"),$L47+ROW()/100000,"")</f>
        <v/>
      </c>
      <c r="S47" s="65" t="str">
        <f aca="false">IF(AND($J47&lt;&gt;"",$J47=UCSel),$B47+ROW()/100000,"")</f>
        <v/>
      </c>
    </row>
    <row r="48" customFormat="false" ht="15" hidden="false" customHeight="false" outlineLevel="0" collapsed="false">
      <c r="A48" s="28"/>
      <c r="B48" s="63"/>
      <c r="C48" s="64"/>
      <c r="D48" s="28"/>
      <c r="E48" s="28"/>
      <c r="F48" s="28"/>
      <c r="G48" s="64"/>
      <c r="H48" s="64"/>
      <c r="I48" s="28"/>
      <c r="J48" s="28"/>
      <c r="K48" s="65" t="str">
        <f aca="false">IF($A48="","",IF(OR($C48="Decision",$C48="Conflict"),IF(COUNTIFS($I$2:$I$1001,$A48,$C$2:$C$1001,"Resolved")=0,"Open","Closed"),IF(AND($H48="Unconfirmed",OR($C48="New",$C48="Know")),IF(COUNTIFS($I$2:$I$1001,$A48,$C$2:$C$1001,"Confirmed")=0,"Unconfirmed","Confirmed"),"Logged")))</f>
        <v/>
      </c>
      <c r="L48" s="65" t="str">
        <f aca="false">IF($A48="","",AsOf-$B48)</f>
        <v/>
      </c>
      <c r="M48" s="65" t="str">
        <f aca="false">IF($K48="Open",IF($C48="Conflict","Critical",IF($L48&gt;=DecisionCritical,"Critical",IF($L48&gt;=DecisionWarn,"Warning","On track"))),IF($K48="Unconfirmed",IF($L48&gt;=UnconfirmedWarn,"Warning","On track"),""))</f>
        <v/>
      </c>
      <c r="N48" s="65" t="str">
        <f aca="false">IF($M48="","",IF($M48="Critical",3000,IF($M48="Warning",2000,1000))+$L48+ROW()/100000)</f>
        <v/>
      </c>
      <c r="O48" s="65" t="str">
        <f aca="false">IF($K48="Open",IF($C48="Conflict","decide "&amp;$A48&amp;": &lt;which version stands&gt;","decide "&amp;$A48&amp;": &lt;outcome&gt;"),IF($K48="Unconfirmed","confirm "&amp;$A48,""))</f>
        <v/>
      </c>
      <c r="P48" s="65" t="str">
        <f aca="false">IF(AND($C48="New",$B48&gt;=WeekStart),$B48+ROW()/100000,"")</f>
        <v/>
      </c>
      <c r="Q48" s="65" t="str">
        <f aca="false">IF(AND($C48="Know",$B48&gt;=WeekStart),$B48+ROW()/100000,"")</f>
        <v/>
      </c>
      <c r="R48" s="65" t="str">
        <f aca="false">IF(AND($K48="Open",$C48="Decision"),$L48+ROW()/100000,"")</f>
        <v/>
      </c>
      <c r="S48" s="65" t="str">
        <f aca="false">IF(AND($J48&lt;&gt;"",$J48=UCSel),$B48+ROW()/100000,"")</f>
        <v/>
      </c>
    </row>
    <row r="49" customFormat="false" ht="15" hidden="false" customHeight="false" outlineLevel="0" collapsed="false">
      <c r="A49" s="28"/>
      <c r="B49" s="63"/>
      <c r="C49" s="64"/>
      <c r="D49" s="28"/>
      <c r="E49" s="28"/>
      <c r="F49" s="28"/>
      <c r="G49" s="64"/>
      <c r="H49" s="64"/>
      <c r="I49" s="28"/>
      <c r="J49" s="28"/>
      <c r="K49" s="65" t="str">
        <f aca="false">IF($A49="","",IF(OR($C49="Decision",$C49="Conflict"),IF(COUNTIFS($I$2:$I$1001,$A49,$C$2:$C$1001,"Resolved")=0,"Open","Closed"),IF(AND($H49="Unconfirmed",OR($C49="New",$C49="Know")),IF(COUNTIFS($I$2:$I$1001,$A49,$C$2:$C$1001,"Confirmed")=0,"Unconfirmed","Confirmed"),"Logged")))</f>
        <v/>
      </c>
      <c r="L49" s="65" t="str">
        <f aca="false">IF($A49="","",AsOf-$B49)</f>
        <v/>
      </c>
      <c r="M49" s="65" t="str">
        <f aca="false">IF($K49="Open",IF($C49="Conflict","Critical",IF($L49&gt;=DecisionCritical,"Critical",IF($L49&gt;=DecisionWarn,"Warning","On track"))),IF($K49="Unconfirmed",IF($L49&gt;=UnconfirmedWarn,"Warning","On track"),""))</f>
        <v/>
      </c>
      <c r="N49" s="65" t="str">
        <f aca="false">IF($M49="","",IF($M49="Critical",3000,IF($M49="Warning",2000,1000))+$L49+ROW()/100000)</f>
        <v/>
      </c>
      <c r="O49" s="65" t="str">
        <f aca="false">IF($K49="Open",IF($C49="Conflict","decide "&amp;$A49&amp;": &lt;which version stands&gt;","decide "&amp;$A49&amp;": &lt;outcome&gt;"),IF($K49="Unconfirmed","confirm "&amp;$A49,""))</f>
        <v/>
      </c>
      <c r="P49" s="65" t="str">
        <f aca="false">IF(AND($C49="New",$B49&gt;=WeekStart),$B49+ROW()/100000,"")</f>
        <v/>
      </c>
      <c r="Q49" s="65" t="str">
        <f aca="false">IF(AND($C49="Know",$B49&gt;=WeekStart),$B49+ROW()/100000,"")</f>
        <v/>
      </c>
      <c r="R49" s="65" t="str">
        <f aca="false">IF(AND($K49="Open",$C49="Decision"),$L49+ROW()/100000,"")</f>
        <v/>
      </c>
      <c r="S49" s="65" t="str">
        <f aca="false">IF(AND($J49&lt;&gt;"",$J49=UCSel),$B49+ROW()/100000,"")</f>
        <v/>
      </c>
    </row>
    <row r="50" customFormat="false" ht="15" hidden="false" customHeight="false" outlineLevel="0" collapsed="false">
      <c r="A50" s="28"/>
      <c r="B50" s="63"/>
      <c r="C50" s="64"/>
      <c r="D50" s="28"/>
      <c r="E50" s="28"/>
      <c r="F50" s="28"/>
      <c r="G50" s="64"/>
      <c r="H50" s="64"/>
      <c r="I50" s="28"/>
      <c r="J50" s="28"/>
      <c r="K50" s="65" t="str">
        <f aca="false">IF($A50="","",IF(OR($C50="Decision",$C50="Conflict"),IF(COUNTIFS($I$2:$I$1001,$A50,$C$2:$C$1001,"Resolved")=0,"Open","Closed"),IF(AND($H50="Unconfirmed",OR($C50="New",$C50="Know")),IF(COUNTIFS($I$2:$I$1001,$A50,$C$2:$C$1001,"Confirmed")=0,"Unconfirmed","Confirmed"),"Logged")))</f>
        <v/>
      </c>
      <c r="L50" s="65" t="str">
        <f aca="false">IF($A50="","",AsOf-$B50)</f>
        <v/>
      </c>
      <c r="M50" s="65" t="str">
        <f aca="false">IF($K50="Open",IF($C50="Conflict","Critical",IF($L50&gt;=DecisionCritical,"Critical",IF($L50&gt;=DecisionWarn,"Warning","On track"))),IF($K50="Unconfirmed",IF($L50&gt;=UnconfirmedWarn,"Warning","On track"),""))</f>
        <v/>
      </c>
      <c r="N50" s="65" t="str">
        <f aca="false">IF($M50="","",IF($M50="Critical",3000,IF($M50="Warning",2000,1000))+$L50+ROW()/100000)</f>
        <v/>
      </c>
      <c r="O50" s="65" t="str">
        <f aca="false">IF($K50="Open",IF($C50="Conflict","decide "&amp;$A50&amp;": &lt;which version stands&gt;","decide "&amp;$A50&amp;": &lt;outcome&gt;"),IF($K50="Unconfirmed","confirm "&amp;$A50,""))</f>
        <v/>
      </c>
      <c r="P50" s="65" t="str">
        <f aca="false">IF(AND($C50="New",$B50&gt;=WeekStart),$B50+ROW()/100000,"")</f>
        <v/>
      </c>
      <c r="Q50" s="65" t="str">
        <f aca="false">IF(AND($C50="Know",$B50&gt;=WeekStart),$B50+ROW()/100000,"")</f>
        <v/>
      </c>
      <c r="R50" s="65" t="str">
        <f aca="false">IF(AND($K50="Open",$C50="Decision"),$L50+ROW()/100000,"")</f>
        <v/>
      </c>
      <c r="S50" s="65" t="str">
        <f aca="false">IF(AND($J50&lt;&gt;"",$J50=UCSel),$B50+ROW()/100000,"")</f>
        <v/>
      </c>
    </row>
    <row r="51" customFormat="false" ht="15" hidden="false" customHeight="false" outlineLevel="0" collapsed="false">
      <c r="A51" s="28"/>
      <c r="B51" s="63"/>
      <c r="C51" s="64"/>
      <c r="D51" s="28"/>
      <c r="E51" s="28"/>
      <c r="F51" s="28"/>
      <c r="G51" s="64"/>
      <c r="H51" s="64"/>
      <c r="I51" s="28"/>
      <c r="J51" s="28"/>
      <c r="K51" s="65" t="str">
        <f aca="false">IF($A51="","",IF(OR($C51="Decision",$C51="Conflict"),IF(COUNTIFS($I$2:$I$1001,$A51,$C$2:$C$1001,"Resolved")=0,"Open","Closed"),IF(AND($H51="Unconfirmed",OR($C51="New",$C51="Know")),IF(COUNTIFS($I$2:$I$1001,$A51,$C$2:$C$1001,"Confirmed")=0,"Unconfirmed","Confirmed"),"Logged")))</f>
        <v/>
      </c>
      <c r="L51" s="65" t="str">
        <f aca="false">IF($A51="","",AsOf-$B51)</f>
        <v/>
      </c>
      <c r="M51" s="65" t="str">
        <f aca="false">IF($K51="Open",IF($C51="Conflict","Critical",IF($L51&gt;=DecisionCritical,"Critical",IF($L51&gt;=DecisionWarn,"Warning","On track"))),IF($K51="Unconfirmed",IF($L51&gt;=UnconfirmedWarn,"Warning","On track"),""))</f>
        <v/>
      </c>
      <c r="N51" s="65" t="str">
        <f aca="false">IF($M51="","",IF($M51="Critical",3000,IF($M51="Warning",2000,1000))+$L51+ROW()/100000)</f>
        <v/>
      </c>
      <c r="O51" s="65" t="str">
        <f aca="false">IF($K51="Open",IF($C51="Conflict","decide "&amp;$A51&amp;": &lt;which version stands&gt;","decide "&amp;$A51&amp;": &lt;outcome&gt;"),IF($K51="Unconfirmed","confirm "&amp;$A51,""))</f>
        <v/>
      </c>
      <c r="P51" s="65" t="str">
        <f aca="false">IF(AND($C51="New",$B51&gt;=WeekStart),$B51+ROW()/100000,"")</f>
        <v/>
      </c>
      <c r="Q51" s="65" t="str">
        <f aca="false">IF(AND($C51="Know",$B51&gt;=WeekStart),$B51+ROW()/100000,"")</f>
        <v/>
      </c>
      <c r="R51" s="65" t="str">
        <f aca="false">IF(AND($K51="Open",$C51="Decision"),$L51+ROW()/100000,"")</f>
        <v/>
      </c>
      <c r="S51" s="65" t="str">
        <f aca="false">IF(AND($J51&lt;&gt;"",$J51=UCSel),$B51+ROW()/100000,"")</f>
        <v/>
      </c>
    </row>
    <row r="52" customFormat="false" ht="15" hidden="false" customHeight="false" outlineLevel="0" collapsed="false">
      <c r="A52" s="28"/>
      <c r="B52" s="63"/>
      <c r="C52" s="64"/>
      <c r="D52" s="28"/>
      <c r="E52" s="28"/>
      <c r="F52" s="28"/>
      <c r="G52" s="64"/>
      <c r="H52" s="64"/>
      <c r="I52" s="28"/>
      <c r="J52" s="28"/>
      <c r="K52" s="65" t="str">
        <f aca="false">IF($A52="","",IF(OR($C52="Decision",$C52="Conflict"),IF(COUNTIFS($I$2:$I$1001,$A52,$C$2:$C$1001,"Resolved")=0,"Open","Closed"),IF(AND($H52="Unconfirmed",OR($C52="New",$C52="Know")),IF(COUNTIFS($I$2:$I$1001,$A52,$C$2:$C$1001,"Confirmed")=0,"Unconfirmed","Confirmed"),"Logged")))</f>
        <v/>
      </c>
      <c r="L52" s="65" t="str">
        <f aca="false">IF($A52="","",AsOf-$B52)</f>
        <v/>
      </c>
      <c r="M52" s="65" t="str">
        <f aca="false">IF($K52="Open",IF($C52="Conflict","Critical",IF($L52&gt;=DecisionCritical,"Critical",IF($L52&gt;=DecisionWarn,"Warning","On track"))),IF($K52="Unconfirmed",IF($L52&gt;=UnconfirmedWarn,"Warning","On track"),""))</f>
        <v/>
      </c>
      <c r="N52" s="65" t="str">
        <f aca="false">IF($M52="","",IF($M52="Critical",3000,IF($M52="Warning",2000,1000))+$L52+ROW()/100000)</f>
        <v/>
      </c>
      <c r="O52" s="65" t="str">
        <f aca="false">IF($K52="Open",IF($C52="Conflict","decide "&amp;$A52&amp;": &lt;which version stands&gt;","decide "&amp;$A52&amp;": &lt;outcome&gt;"),IF($K52="Unconfirmed","confirm "&amp;$A52,""))</f>
        <v/>
      </c>
      <c r="P52" s="65" t="str">
        <f aca="false">IF(AND($C52="New",$B52&gt;=WeekStart),$B52+ROW()/100000,"")</f>
        <v/>
      </c>
      <c r="Q52" s="65" t="str">
        <f aca="false">IF(AND($C52="Know",$B52&gt;=WeekStart),$B52+ROW()/100000,"")</f>
        <v/>
      </c>
      <c r="R52" s="65" t="str">
        <f aca="false">IF(AND($K52="Open",$C52="Decision"),$L52+ROW()/100000,"")</f>
        <v/>
      </c>
      <c r="S52" s="65" t="str">
        <f aca="false">IF(AND($J52&lt;&gt;"",$J52=UCSel),$B52+ROW()/100000,"")</f>
        <v/>
      </c>
    </row>
    <row r="53" customFormat="false" ht="15" hidden="false" customHeight="false" outlineLevel="0" collapsed="false">
      <c r="A53" s="28"/>
      <c r="B53" s="63"/>
      <c r="C53" s="64"/>
      <c r="D53" s="28"/>
      <c r="E53" s="28"/>
      <c r="F53" s="28"/>
      <c r="G53" s="64"/>
      <c r="H53" s="64"/>
      <c r="I53" s="28"/>
      <c r="J53" s="28"/>
      <c r="K53" s="65" t="str">
        <f aca="false">IF($A53="","",IF(OR($C53="Decision",$C53="Conflict"),IF(COUNTIFS($I$2:$I$1001,$A53,$C$2:$C$1001,"Resolved")=0,"Open","Closed"),IF(AND($H53="Unconfirmed",OR($C53="New",$C53="Know")),IF(COUNTIFS($I$2:$I$1001,$A53,$C$2:$C$1001,"Confirmed")=0,"Unconfirmed","Confirmed"),"Logged")))</f>
        <v/>
      </c>
      <c r="L53" s="65" t="str">
        <f aca="false">IF($A53="","",AsOf-$B53)</f>
        <v/>
      </c>
      <c r="M53" s="65" t="str">
        <f aca="false">IF($K53="Open",IF($C53="Conflict","Critical",IF($L53&gt;=DecisionCritical,"Critical",IF($L53&gt;=DecisionWarn,"Warning","On track"))),IF($K53="Unconfirmed",IF($L53&gt;=UnconfirmedWarn,"Warning","On track"),""))</f>
        <v/>
      </c>
      <c r="N53" s="65" t="str">
        <f aca="false">IF($M53="","",IF($M53="Critical",3000,IF($M53="Warning",2000,1000))+$L53+ROW()/100000)</f>
        <v/>
      </c>
      <c r="O53" s="65" t="str">
        <f aca="false">IF($K53="Open",IF($C53="Conflict","decide "&amp;$A53&amp;": &lt;which version stands&gt;","decide "&amp;$A53&amp;": &lt;outcome&gt;"),IF($K53="Unconfirmed","confirm "&amp;$A53,""))</f>
        <v/>
      </c>
      <c r="P53" s="65" t="str">
        <f aca="false">IF(AND($C53="New",$B53&gt;=WeekStart),$B53+ROW()/100000,"")</f>
        <v/>
      </c>
      <c r="Q53" s="65" t="str">
        <f aca="false">IF(AND($C53="Know",$B53&gt;=WeekStart),$B53+ROW()/100000,"")</f>
        <v/>
      </c>
      <c r="R53" s="65" t="str">
        <f aca="false">IF(AND($K53="Open",$C53="Decision"),$L53+ROW()/100000,"")</f>
        <v/>
      </c>
      <c r="S53" s="65" t="str">
        <f aca="false">IF(AND($J53&lt;&gt;"",$J53=UCSel),$B53+ROW()/100000,"")</f>
        <v/>
      </c>
    </row>
    <row r="54" customFormat="false" ht="15" hidden="false" customHeight="false" outlineLevel="0" collapsed="false">
      <c r="A54" s="28"/>
      <c r="B54" s="63"/>
      <c r="C54" s="64"/>
      <c r="D54" s="28"/>
      <c r="E54" s="28"/>
      <c r="F54" s="28"/>
      <c r="G54" s="64"/>
      <c r="H54" s="64"/>
      <c r="I54" s="28"/>
      <c r="J54" s="28"/>
      <c r="K54" s="65" t="str">
        <f aca="false">IF($A54="","",IF(OR($C54="Decision",$C54="Conflict"),IF(COUNTIFS($I$2:$I$1001,$A54,$C$2:$C$1001,"Resolved")=0,"Open","Closed"),IF(AND($H54="Unconfirmed",OR($C54="New",$C54="Know")),IF(COUNTIFS($I$2:$I$1001,$A54,$C$2:$C$1001,"Confirmed")=0,"Unconfirmed","Confirmed"),"Logged")))</f>
        <v/>
      </c>
      <c r="L54" s="65" t="str">
        <f aca="false">IF($A54="","",AsOf-$B54)</f>
        <v/>
      </c>
      <c r="M54" s="65" t="str">
        <f aca="false">IF($K54="Open",IF($C54="Conflict","Critical",IF($L54&gt;=DecisionCritical,"Critical",IF($L54&gt;=DecisionWarn,"Warning","On track"))),IF($K54="Unconfirmed",IF($L54&gt;=UnconfirmedWarn,"Warning","On track"),""))</f>
        <v/>
      </c>
      <c r="N54" s="65" t="str">
        <f aca="false">IF($M54="","",IF($M54="Critical",3000,IF($M54="Warning",2000,1000))+$L54+ROW()/100000)</f>
        <v/>
      </c>
      <c r="O54" s="65" t="str">
        <f aca="false">IF($K54="Open",IF($C54="Conflict","decide "&amp;$A54&amp;": &lt;which version stands&gt;","decide "&amp;$A54&amp;": &lt;outcome&gt;"),IF($K54="Unconfirmed","confirm "&amp;$A54,""))</f>
        <v/>
      </c>
      <c r="P54" s="65" t="str">
        <f aca="false">IF(AND($C54="New",$B54&gt;=WeekStart),$B54+ROW()/100000,"")</f>
        <v/>
      </c>
      <c r="Q54" s="65" t="str">
        <f aca="false">IF(AND($C54="Know",$B54&gt;=WeekStart),$B54+ROW()/100000,"")</f>
        <v/>
      </c>
      <c r="R54" s="65" t="str">
        <f aca="false">IF(AND($K54="Open",$C54="Decision"),$L54+ROW()/100000,"")</f>
        <v/>
      </c>
      <c r="S54" s="65" t="str">
        <f aca="false">IF(AND($J54&lt;&gt;"",$J54=UCSel),$B54+ROW()/100000,"")</f>
        <v/>
      </c>
    </row>
    <row r="55" customFormat="false" ht="15" hidden="false" customHeight="false" outlineLevel="0" collapsed="false">
      <c r="A55" s="28"/>
      <c r="B55" s="63"/>
      <c r="C55" s="64"/>
      <c r="D55" s="28"/>
      <c r="E55" s="28"/>
      <c r="F55" s="28"/>
      <c r="G55" s="64"/>
      <c r="H55" s="64"/>
      <c r="I55" s="28"/>
      <c r="J55" s="28"/>
      <c r="K55" s="65" t="str">
        <f aca="false">IF($A55="","",IF(OR($C55="Decision",$C55="Conflict"),IF(COUNTIFS($I$2:$I$1001,$A55,$C$2:$C$1001,"Resolved")=0,"Open","Closed"),IF(AND($H55="Unconfirmed",OR($C55="New",$C55="Know")),IF(COUNTIFS($I$2:$I$1001,$A55,$C$2:$C$1001,"Confirmed")=0,"Unconfirmed","Confirmed"),"Logged")))</f>
        <v/>
      </c>
      <c r="L55" s="65" t="str">
        <f aca="false">IF($A55="","",AsOf-$B55)</f>
        <v/>
      </c>
      <c r="M55" s="65" t="str">
        <f aca="false">IF($K55="Open",IF($C55="Conflict","Critical",IF($L55&gt;=DecisionCritical,"Critical",IF($L55&gt;=DecisionWarn,"Warning","On track"))),IF($K55="Unconfirmed",IF($L55&gt;=UnconfirmedWarn,"Warning","On track"),""))</f>
        <v/>
      </c>
      <c r="N55" s="65" t="str">
        <f aca="false">IF($M55="","",IF($M55="Critical",3000,IF($M55="Warning",2000,1000))+$L55+ROW()/100000)</f>
        <v/>
      </c>
      <c r="O55" s="65" t="str">
        <f aca="false">IF($K55="Open",IF($C55="Conflict","decide "&amp;$A55&amp;": &lt;which version stands&gt;","decide "&amp;$A55&amp;": &lt;outcome&gt;"),IF($K55="Unconfirmed","confirm "&amp;$A55,""))</f>
        <v/>
      </c>
      <c r="P55" s="65" t="str">
        <f aca="false">IF(AND($C55="New",$B55&gt;=WeekStart),$B55+ROW()/100000,"")</f>
        <v/>
      </c>
      <c r="Q55" s="65" t="str">
        <f aca="false">IF(AND($C55="Know",$B55&gt;=WeekStart),$B55+ROW()/100000,"")</f>
        <v/>
      </c>
      <c r="R55" s="65" t="str">
        <f aca="false">IF(AND($K55="Open",$C55="Decision"),$L55+ROW()/100000,"")</f>
        <v/>
      </c>
      <c r="S55" s="65" t="str">
        <f aca="false">IF(AND($J55&lt;&gt;"",$J55=UCSel),$B55+ROW()/100000,"")</f>
        <v/>
      </c>
    </row>
    <row r="56" customFormat="false" ht="15" hidden="false" customHeight="false" outlineLevel="0" collapsed="false">
      <c r="A56" s="28"/>
      <c r="B56" s="63"/>
      <c r="C56" s="64"/>
      <c r="D56" s="28"/>
      <c r="E56" s="28"/>
      <c r="F56" s="28"/>
      <c r="G56" s="64"/>
      <c r="H56" s="64"/>
      <c r="I56" s="28"/>
      <c r="J56" s="28"/>
      <c r="K56" s="65" t="str">
        <f aca="false">IF($A56="","",IF(OR($C56="Decision",$C56="Conflict"),IF(COUNTIFS($I$2:$I$1001,$A56,$C$2:$C$1001,"Resolved")=0,"Open","Closed"),IF(AND($H56="Unconfirmed",OR($C56="New",$C56="Know")),IF(COUNTIFS($I$2:$I$1001,$A56,$C$2:$C$1001,"Confirmed")=0,"Unconfirmed","Confirmed"),"Logged")))</f>
        <v/>
      </c>
      <c r="L56" s="65" t="str">
        <f aca="false">IF($A56="","",AsOf-$B56)</f>
        <v/>
      </c>
      <c r="M56" s="65" t="str">
        <f aca="false">IF($K56="Open",IF($C56="Conflict","Critical",IF($L56&gt;=DecisionCritical,"Critical",IF($L56&gt;=DecisionWarn,"Warning","On track"))),IF($K56="Unconfirmed",IF($L56&gt;=UnconfirmedWarn,"Warning","On track"),""))</f>
        <v/>
      </c>
      <c r="N56" s="65" t="str">
        <f aca="false">IF($M56="","",IF($M56="Critical",3000,IF($M56="Warning",2000,1000))+$L56+ROW()/100000)</f>
        <v/>
      </c>
      <c r="O56" s="65" t="str">
        <f aca="false">IF($K56="Open",IF($C56="Conflict","decide "&amp;$A56&amp;": &lt;which version stands&gt;","decide "&amp;$A56&amp;": &lt;outcome&gt;"),IF($K56="Unconfirmed","confirm "&amp;$A56,""))</f>
        <v/>
      </c>
      <c r="P56" s="65" t="str">
        <f aca="false">IF(AND($C56="New",$B56&gt;=WeekStart),$B56+ROW()/100000,"")</f>
        <v/>
      </c>
      <c r="Q56" s="65" t="str">
        <f aca="false">IF(AND($C56="Know",$B56&gt;=WeekStart),$B56+ROW()/100000,"")</f>
        <v/>
      </c>
      <c r="R56" s="65" t="str">
        <f aca="false">IF(AND($K56="Open",$C56="Decision"),$L56+ROW()/100000,"")</f>
        <v/>
      </c>
      <c r="S56" s="65" t="str">
        <f aca="false">IF(AND($J56&lt;&gt;"",$J56=UCSel),$B56+ROW()/100000,"")</f>
        <v/>
      </c>
    </row>
    <row r="57" customFormat="false" ht="15" hidden="false" customHeight="false" outlineLevel="0" collapsed="false">
      <c r="A57" s="28"/>
      <c r="B57" s="63"/>
      <c r="C57" s="64"/>
      <c r="D57" s="28"/>
      <c r="E57" s="28"/>
      <c r="F57" s="28"/>
      <c r="G57" s="64"/>
      <c r="H57" s="64"/>
      <c r="I57" s="28"/>
      <c r="J57" s="28"/>
      <c r="K57" s="65" t="str">
        <f aca="false">IF($A57="","",IF(OR($C57="Decision",$C57="Conflict"),IF(COUNTIFS($I$2:$I$1001,$A57,$C$2:$C$1001,"Resolved")=0,"Open","Closed"),IF(AND($H57="Unconfirmed",OR($C57="New",$C57="Know")),IF(COUNTIFS($I$2:$I$1001,$A57,$C$2:$C$1001,"Confirmed")=0,"Unconfirmed","Confirmed"),"Logged")))</f>
        <v/>
      </c>
      <c r="L57" s="65" t="str">
        <f aca="false">IF($A57="","",AsOf-$B57)</f>
        <v/>
      </c>
      <c r="M57" s="65" t="str">
        <f aca="false">IF($K57="Open",IF($C57="Conflict","Critical",IF($L57&gt;=DecisionCritical,"Critical",IF($L57&gt;=DecisionWarn,"Warning","On track"))),IF($K57="Unconfirmed",IF($L57&gt;=UnconfirmedWarn,"Warning","On track"),""))</f>
        <v/>
      </c>
      <c r="N57" s="65" t="str">
        <f aca="false">IF($M57="","",IF($M57="Critical",3000,IF($M57="Warning",2000,1000))+$L57+ROW()/100000)</f>
        <v/>
      </c>
      <c r="O57" s="65" t="str">
        <f aca="false">IF($K57="Open",IF($C57="Conflict","decide "&amp;$A57&amp;": &lt;which version stands&gt;","decide "&amp;$A57&amp;": &lt;outcome&gt;"),IF($K57="Unconfirmed","confirm "&amp;$A57,""))</f>
        <v/>
      </c>
      <c r="P57" s="65" t="str">
        <f aca="false">IF(AND($C57="New",$B57&gt;=WeekStart),$B57+ROW()/100000,"")</f>
        <v/>
      </c>
      <c r="Q57" s="65" t="str">
        <f aca="false">IF(AND($C57="Know",$B57&gt;=WeekStart),$B57+ROW()/100000,"")</f>
        <v/>
      </c>
      <c r="R57" s="65" t="str">
        <f aca="false">IF(AND($K57="Open",$C57="Decision"),$L57+ROW()/100000,"")</f>
        <v/>
      </c>
      <c r="S57" s="65" t="str">
        <f aca="false">IF(AND($J57&lt;&gt;"",$J57=UCSel),$B57+ROW()/100000,"")</f>
        <v/>
      </c>
    </row>
    <row r="58" customFormat="false" ht="15" hidden="false" customHeight="false" outlineLevel="0" collapsed="false">
      <c r="A58" s="28"/>
      <c r="B58" s="63"/>
      <c r="C58" s="64"/>
      <c r="D58" s="28"/>
      <c r="E58" s="28"/>
      <c r="F58" s="28"/>
      <c r="G58" s="64"/>
      <c r="H58" s="64"/>
      <c r="I58" s="28"/>
      <c r="J58" s="28"/>
      <c r="K58" s="65" t="str">
        <f aca="false">IF($A58="","",IF(OR($C58="Decision",$C58="Conflict"),IF(COUNTIFS($I$2:$I$1001,$A58,$C$2:$C$1001,"Resolved")=0,"Open","Closed"),IF(AND($H58="Unconfirmed",OR($C58="New",$C58="Know")),IF(COUNTIFS($I$2:$I$1001,$A58,$C$2:$C$1001,"Confirmed")=0,"Unconfirmed","Confirmed"),"Logged")))</f>
        <v/>
      </c>
      <c r="L58" s="65" t="str">
        <f aca="false">IF($A58="","",AsOf-$B58)</f>
        <v/>
      </c>
      <c r="M58" s="65" t="str">
        <f aca="false">IF($K58="Open",IF($C58="Conflict","Critical",IF($L58&gt;=DecisionCritical,"Critical",IF($L58&gt;=DecisionWarn,"Warning","On track"))),IF($K58="Unconfirmed",IF($L58&gt;=UnconfirmedWarn,"Warning","On track"),""))</f>
        <v/>
      </c>
      <c r="N58" s="65" t="str">
        <f aca="false">IF($M58="","",IF($M58="Critical",3000,IF($M58="Warning",2000,1000))+$L58+ROW()/100000)</f>
        <v/>
      </c>
      <c r="O58" s="65" t="str">
        <f aca="false">IF($K58="Open",IF($C58="Conflict","decide "&amp;$A58&amp;": &lt;which version stands&gt;","decide "&amp;$A58&amp;": &lt;outcome&gt;"),IF($K58="Unconfirmed","confirm "&amp;$A58,""))</f>
        <v/>
      </c>
      <c r="P58" s="65" t="str">
        <f aca="false">IF(AND($C58="New",$B58&gt;=WeekStart),$B58+ROW()/100000,"")</f>
        <v/>
      </c>
      <c r="Q58" s="65" t="str">
        <f aca="false">IF(AND($C58="Know",$B58&gt;=WeekStart),$B58+ROW()/100000,"")</f>
        <v/>
      </c>
      <c r="R58" s="65" t="str">
        <f aca="false">IF(AND($K58="Open",$C58="Decision"),$L58+ROW()/100000,"")</f>
        <v/>
      </c>
      <c r="S58" s="65" t="str">
        <f aca="false">IF(AND($J58&lt;&gt;"",$J58=UCSel),$B58+ROW()/100000,"")</f>
        <v/>
      </c>
    </row>
    <row r="59" customFormat="false" ht="15" hidden="false" customHeight="false" outlineLevel="0" collapsed="false">
      <c r="A59" s="28"/>
      <c r="B59" s="63"/>
      <c r="C59" s="64"/>
      <c r="D59" s="28"/>
      <c r="E59" s="28"/>
      <c r="F59" s="28"/>
      <c r="G59" s="64"/>
      <c r="H59" s="64"/>
      <c r="I59" s="28"/>
      <c r="J59" s="28"/>
      <c r="K59" s="65" t="str">
        <f aca="false">IF($A59="","",IF(OR($C59="Decision",$C59="Conflict"),IF(COUNTIFS($I$2:$I$1001,$A59,$C$2:$C$1001,"Resolved")=0,"Open","Closed"),IF(AND($H59="Unconfirmed",OR($C59="New",$C59="Know")),IF(COUNTIFS($I$2:$I$1001,$A59,$C$2:$C$1001,"Confirmed")=0,"Unconfirmed","Confirmed"),"Logged")))</f>
        <v/>
      </c>
      <c r="L59" s="65" t="str">
        <f aca="false">IF($A59="","",AsOf-$B59)</f>
        <v/>
      </c>
      <c r="M59" s="65" t="str">
        <f aca="false">IF($K59="Open",IF($C59="Conflict","Critical",IF($L59&gt;=DecisionCritical,"Critical",IF($L59&gt;=DecisionWarn,"Warning","On track"))),IF($K59="Unconfirmed",IF($L59&gt;=UnconfirmedWarn,"Warning","On track"),""))</f>
        <v/>
      </c>
      <c r="N59" s="65" t="str">
        <f aca="false">IF($M59="","",IF($M59="Critical",3000,IF($M59="Warning",2000,1000))+$L59+ROW()/100000)</f>
        <v/>
      </c>
      <c r="O59" s="65" t="str">
        <f aca="false">IF($K59="Open",IF($C59="Conflict","decide "&amp;$A59&amp;": &lt;which version stands&gt;","decide "&amp;$A59&amp;": &lt;outcome&gt;"),IF($K59="Unconfirmed","confirm "&amp;$A59,""))</f>
        <v/>
      </c>
      <c r="P59" s="65" t="str">
        <f aca="false">IF(AND($C59="New",$B59&gt;=WeekStart),$B59+ROW()/100000,"")</f>
        <v/>
      </c>
      <c r="Q59" s="65" t="str">
        <f aca="false">IF(AND($C59="Know",$B59&gt;=WeekStart),$B59+ROW()/100000,"")</f>
        <v/>
      </c>
      <c r="R59" s="65" t="str">
        <f aca="false">IF(AND($K59="Open",$C59="Decision"),$L59+ROW()/100000,"")</f>
        <v/>
      </c>
      <c r="S59" s="65" t="str">
        <f aca="false">IF(AND($J59&lt;&gt;"",$J59=UCSel),$B59+ROW()/100000,"")</f>
        <v/>
      </c>
    </row>
    <row r="60" customFormat="false" ht="15" hidden="false" customHeight="false" outlineLevel="0" collapsed="false">
      <c r="A60" s="28"/>
      <c r="B60" s="63"/>
      <c r="C60" s="64"/>
      <c r="D60" s="28"/>
      <c r="E60" s="28"/>
      <c r="F60" s="28"/>
      <c r="G60" s="64"/>
      <c r="H60" s="64"/>
      <c r="I60" s="28"/>
      <c r="J60" s="28"/>
      <c r="K60" s="65" t="str">
        <f aca="false">IF($A60="","",IF(OR($C60="Decision",$C60="Conflict"),IF(COUNTIFS($I$2:$I$1001,$A60,$C$2:$C$1001,"Resolved")=0,"Open","Closed"),IF(AND($H60="Unconfirmed",OR($C60="New",$C60="Know")),IF(COUNTIFS($I$2:$I$1001,$A60,$C$2:$C$1001,"Confirmed")=0,"Unconfirmed","Confirmed"),"Logged")))</f>
        <v/>
      </c>
      <c r="L60" s="65" t="str">
        <f aca="false">IF($A60="","",AsOf-$B60)</f>
        <v/>
      </c>
      <c r="M60" s="65" t="str">
        <f aca="false">IF($K60="Open",IF($C60="Conflict","Critical",IF($L60&gt;=DecisionCritical,"Critical",IF($L60&gt;=DecisionWarn,"Warning","On track"))),IF($K60="Unconfirmed",IF($L60&gt;=UnconfirmedWarn,"Warning","On track"),""))</f>
        <v/>
      </c>
      <c r="N60" s="65" t="str">
        <f aca="false">IF($M60="","",IF($M60="Critical",3000,IF($M60="Warning",2000,1000))+$L60+ROW()/100000)</f>
        <v/>
      </c>
      <c r="O60" s="65" t="str">
        <f aca="false">IF($K60="Open",IF($C60="Conflict","decide "&amp;$A60&amp;": &lt;which version stands&gt;","decide "&amp;$A60&amp;": &lt;outcome&gt;"),IF($K60="Unconfirmed","confirm "&amp;$A60,""))</f>
        <v/>
      </c>
      <c r="P60" s="65" t="str">
        <f aca="false">IF(AND($C60="New",$B60&gt;=WeekStart),$B60+ROW()/100000,"")</f>
        <v/>
      </c>
      <c r="Q60" s="65" t="str">
        <f aca="false">IF(AND($C60="Know",$B60&gt;=WeekStart),$B60+ROW()/100000,"")</f>
        <v/>
      </c>
      <c r="R60" s="65" t="str">
        <f aca="false">IF(AND($K60="Open",$C60="Decision"),$L60+ROW()/100000,"")</f>
        <v/>
      </c>
      <c r="S60" s="65" t="str">
        <f aca="false">IF(AND($J60&lt;&gt;"",$J60=UCSel),$B60+ROW()/100000,"")</f>
        <v/>
      </c>
    </row>
    <row r="61" customFormat="false" ht="15" hidden="false" customHeight="false" outlineLevel="0" collapsed="false">
      <c r="A61" s="28"/>
      <c r="B61" s="63"/>
      <c r="C61" s="64"/>
      <c r="D61" s="28"/>
      <c r="E61" s="28"/>
      <c r="F61" s="28"/>
      <c r="G61" s="64"/>
      <c r="H61" s="64"/>
      <c r="I61" s="28"/>
      <c r="J61" s="28"/>
      <c r="K61" s="65" t="str">
        <f aca="false">IF($A61="","",IF(OR($C61="Decision",$C61="Conflict"),IF(COUNTIFS($I$2:$I$1001,$A61,$C$2:$C$1001,"Resolved")=0,"Open","Closed"),IF(AND($H61="Unconfirmed",OR($C61="New",$C61="Know")),IF(COUNTIFS($I$2:$I$1001,$A61,$C$2:$C$1001,"Confirmed")=0,"Unconfirmed","Confirmed"),"Logged")))</f>
        <v/>
      </c>
      <c r="L61" s="65" t="str">
        <f aca="false">IF($A61="","",AsOf-$B61)</f>
        <v/>
      </c>
      <c r="M61" s="65" t="str">
        <f aca="false">IF($K61="Open",IF($C61="Conflict","Critical",IF($L61&gt;=DecisionCritical,"Critical",IF($L61&gt;=DecisionWarn,"Warning","On track"))),IF($K61="Unconfirmed",IF($L61&gt;=UnconfirmedWarn,"Warning","On track"),""))</f>
        <v/>
      </c>
      <c r="N61" s="65" t="str">
        <f aca="false">IF($M61="","",IF($M61="Critical",3000,IF($M61="Warning",2000,1000))+$L61+ROW()/100000)</f>
        <v/>
      </c>
      <c r="O61" s="65" t="str">
        <f aca="false">IF($K61="Open",IF($C61="Conflict","decide "&amp;$A61&amp;": &lt;which version stands&gt;","decide "&amp;$A61&amp;": &lt;outcome&gt;"),IF($K61="Unconfirmed","confirm "&amp;$A61,""))</f>
        <v/>
      </c>
      <c r="P61" s="65" t="str">
        <f aca="false">IF(AND($C61="New",$B61&gt;=WeekStart),$B61+ROW()/100000,"")</f>
        <v/>
      </c>
      <c r="Q61" s="65" t="str">
        <f aca="false">IF(AND($C61="Know",$B61&gt;=WeekStart),$B61+ROW()/100000,"")</f>
        <v/>
      </c>
      <c r="R61" s="65" t="str">
        <f aca="false">IF(AND($K61="Open",$C61="Decision"),$L61+ROW()/100000,"")</f>
        <v/>
      </c>
      <c r="S61" s="65" t="str">
        <f aca="false">IF(AND($J61&lt;&gt;"",$J61=UCSel),$B61+ROW()/100000,"")</f>
        <v/>
      </c>
    </row>
    <row r="62" customFormat="false" ht="15" hidden="false" customHeight="false" outlineLevel="0" collapsed="false">
      <c r="A62" s="28"/>
      <c r="B62" s="63"/>
      <c r="C62" s="64"/>
      <c r="D62" s="28"/>
      <c r="E62" s="28"/>
      <c r="F62" s="28"/>
      <c r="G62" s="64"/>
      <c r="H62" s="64"/>
      <c r="I62" s="28"/>
      <c r="J62" s="28"/>
      <c r="K62" s="65" t="str">
        <f aca="false">IF($A62="","",IF(OR($C62="Decision",$C62="Conflict"),IF(COUNTIFS($I$2:$I$1001,$A62,$C$2:$C$1001,"Resolved")=0,"Open","Closed"),IF(AND($H62="Unconfirmed",OR($C62="New",$C62="Know")),IF(COUNTIFS($I$2:$I$1001,$A62,$C$2:$C$1001,"Confirmed")=0,"Unconfirmed","Confirmed"),"Logged")))</f>
        <v/>
      </c>
      <c r="L62" s="65" t="str">
        <f aca="false">IF($A62="","",AsOf-$B62)</f>
        <v/>
      </c>
      <c r="M62" s="65" t="str">
        <f aca="false">IF($K62="Open",IF($C62="Conflict","Critical",IF($L62&gt;=DecisionCritical,"Critical",IF($L62&gt;=DecisionWarn,"Warning","On track"))),IF($K62="Unconfirmed",IF($L62&gt;=UnconfirmedWarn,"Warning","On track"),""))</f>
        <v/>
      </c>
      <c r="N62" s="65" t="str">
        <f aca="false">IF($M62="","",IF($M62="Critical",3000,IF($M62="Warning",2000,1000))+$L62+ROW()/100000)</f>
        <v/>
      </c>
      <c r="O62" s="65" t="str">
        <f aca="false">IF($K62="Open",IF($C62="Conflict","decide "&amp;$A62&amp;": &lt;which version stands&gt;","decide "&amp;$A62&amp;": &lt;outcome&gt;"),IF($K62="Unconfirmed","confirm "&amp;$A62,""))</f>
        <v/>
      </c>
      <c r="P62" s="65" t="str">
        <f aca="false">IF(AND($C62="New",$B62&gt;=WeekStart),$B62+ROW()/100000,"")</f>
        <v/>
      </c>
      <c r="Q62" s="65" t="str">
        <f aca="false">IF(AND($C62="Know",$B62&gt;=WeekStart),$B62+ROW()/100000,"")</f>
        <v/>
      </c>
      <c r="R62" s="65" t="str">
        <f aca="false">IF(AND($K62="Open",$C62="Decision"),$L62+ROW()/100000,"")</f>
        <v/>
      </c>
      <c r="S62" s="65" t="str">
        <f aca="false">IF(AND($J62&lt;&gt;"",$J62=UCSel),$B62+ROW()/100000,"")</f>
        <v/>
      </c>
    </row>
    <row r="63" customFormat="false" ht="15" hidden="false" customHeight="false" outlineLevel="0" collapsed="false">
      <c r="A63" s="28"/>
      <c r="B63" s="63"/>
      <c r="C63" s="64"/>
      <c r="D63" s="28"/>
      <c r="E63" s="28"/>
      <c r="F63" s="28"/>
      <c r="G63" s="64"/>
      <c r="H63" s="64"/>
      <c r="I63" s="28"/>
      <c r="J63" s="28"/>
      <c r="K63" s="65" t="str">
        <f aca="false">IF($A63="","",IF(OR($C63="Decision",$C63="Conflict"),IF(COUNTIFS($I$2:$I$1001,$A63,$C$2:$C$1001,"Resolved")=0,"Open","Closed"),IF(AND($H63="Unconfirmed",OR($C63="New",$C63="Know")),IF(COUNTIFS($I$2:$I$1001,$A63,$C$2:$C$1001,"Confirmed")=0,"Unconfirmed","Confirmed"),"Logged")))</f>
        <v/>
      </c>
      <c r="L63" s="65" t="str">
        <f aca="false">IF($A63="","",AsOf-$B63)</f>
        <v/>
      </c>
      <c r="M63" s="65" t="str">
        <f aca="false">IF($K63="Open",IF($C63="Conflict","Critical",IF($L63&gt;=DecisionCritical,"Critical",IF($L63&gt;=DecisionWarn,"Warning","On track"))),IF($K63="Unconfirmed",IF($L63&gt;=UnconfirmedWarn,"Warning","On track"),""))</f>
        <v/>
      </c>
      <c r="N63" s="65" t="str">
        <f aca="false">IF($M63="","",IF($M63="Critical",3000,IF($M63="Warning",2000,1000))+$L63+ROW()/100000)</f>
        <v/>
      </c>
      <c r="O63" s="65" t="str">
        <f aca="false">IF($K63="Open",IF($C63="Conflict","decide "&amp;$A63&amp;": &lt;which version stands&gt;","decide "&amp;$A63&amp;": &lt;outcome&gt;"),IF($K63="Unconfirmed","confirm "&amp;$A63,""))</f>
        <v/>
      </c>
      <c r="P63" s="65" t="str">
        <f aca="false">IF(AND($C63="New",$B63&gt;=WeekStart),$B63+ROW()/100000,"")</f>
        <v/>
      </c>
      <c r="Q63" s="65" t="str">
        <f aca="false">IF(AND($C63="Know",$B63&gt;=WeekStart),$B63+ROW()/100000,"")</f>
        <v/>
      </c>
      <c r="R63" s="65" t="str">
        <f aca="false">IF(AND($K63="Open",$C63="Decision"),$L63+ROW()/100000,"")</f>
        <v/>
      </c>
      <c r="S63" s="65" t="str">
        <f aca="false">IF(AND($J63&lt;&gt;"",$J63=UCSel),$B63+ROW()/100000,"")</f>
        <v/>
      </c>
    </row>
    <row r="64" customFormat="false" ht="15" hidden="false" customHeight="false" outlineLevel="0" collapsed="false">
      <c r="A64" s="28"/>
      <c r="B64" s="63"/>
      <c r="C64" s="64"/>
      <c r="D64" s="28"/>
      <c r="E64" s="28"/>
      <c r="F64" s="28"/>
      <c r="G64" s="64"/>
      <c r="H64" s="64"/>
      <c r="I64" s="28"/>
      <c r="J64" s="28"/>
      <c r="K64" s="65" t="str">
        <f aca="false">IF($A64="","",IF(OR($C64="Decision",$C64="Conflict"),IF(COUNTIFS($I$2:$I$1001,$A64,$C$2:$C$1001,"Resolved")=0,"Open","Closed"),IF(AND($H64="Unconfirmed",OR($C64="New",$C64="Know")),IF(COUNTIFS($I$2:$I$1001,$A64,$C$2:$C$1001,"Confirmed")=0,"Unconfirmed","Confirmed"),"Logged")))</f>
        <v/>
      </c>
      <c r="L64" s="65" t="str">
        <f aca="false">IF($A64="","",AsOf-$B64)</f>
        <v/>
      </c>
      <c r="M64" s="65" t="str">
        <f aca="false">IF($K64="Open",IF($C64="Conflict","Critical",IF($L64&gt;=DecisionCritical,"Critical",IF($L64&gt;=DecisionWarn,"Warning","On track"))),IF($K64="Unconfirmed",IF($L64&gt;=UnconfirmedWarn,"Warning","On track"),""))</f>
        <v/>
      </c>
      <c r="N64" s="65" t="str">
        <f aca="false">IF($M64="","",IF($M64="Critical",3000,IF($M64="Warning",2000,1000))+$L64+ROW()/100000)</f>
        <v/>
      </c>
      <c r="O64" s="65" t="str">
        <f aca="false">IF($K64="Open",IF($C64="Conflict","decide "&amp;$A64&amp;": &lt;which version stands&gt;","decide "&amp;$A64&amp;": &lt;outcome&gt;"),IF($K64="Unconfirmed","confirm "&amp;$A64,""))</f>
        <v/>
      </c>
      <c r="P64" s="65" t="str">
        <f aca="false">IF(AND($C64="New",$B64&gt;=WeekStart),$B64+ROW()/100000,"")</f>
        <v/>
      </c>
      <c r="Q64" s="65" t="str">
        <f aca="false">IF(AND($C64="Know",$B64&gt;=WeekStart),$B64+ROW()/100000,"")</f>
        <v/>
      </c>
      <c r="R64" s="65" t="str">
        <f aca="false">IF(AND($K64="Open",$C64="Decision"),$L64+ROW()/100000,"")</f>
        <v/>
      </c>
      <c r="S64" s="65" t="str">
        <f aca="false">IF(AND($J64&lt;&gt;"",$J64=UCSel),$B64+ROW()/100000,"")</f>
        <v/>
      </c>
    </row>
    <row r="65" customFormat="false" ht="15" hidden="false" customHeight="false" outlineLevel="0" collapsed="false">
      <c r="A65" s="28"/>
      <c r="B65" s="63"/>
      <c r="C65" s="64"/>
      <c r="D65" s="28"/>
      <c r="E65" s="28"/>
      <c r="F65" s="28"/>
      <c r="G65" s="64"/>
      <c r="H65" s="64"/>
      <c r="I65" s="28"/>
      <c r="J65" s="28"/>
      <c r="K65" s="65" t="str">
        <f aca="false">IF($A65="","",IF(OR($C65="Decision",$C65="Conflict"),IF(COUNTIFS($I$2:$I$1001,$A65,$C$2:$C$1001,"Resolved")=0,"Open","Closed"),IF(AND($H65="Unconfirmed",OR($C65="New",$C65="Know")),IF(COUNTIFS($I$2:$I$1001,$A65,$C$2:$C$1001,"Confirmed")=0,"Unconfirmed","Confirmed"),"Logged")))</f>
        <v/>
      </c>
      <c r="L65" s="65" t="str">
        <f aca="false">IF($A65="","",AsOf-$B65)</f>
        <v/>
      </c>
      <c r="M65" s="65" t="str">
        <f aca="false">IF($K65="Open",IF($C65="Conflict","Critical",IF($L65&gt;=DecisionCritical,"Critical",IF($L65&gt;=DecisionWarn,"Warning","On track"))),IF($K65="Unconfirmed",IF($L65&gt;=UnconfirmedWarn,"Warning","On track"),""))</f>
        <v/>
      </c>
      <c r="N65" s="65" t="str">
        <f aca="false">IF($M65="","",IF($M65="Critical",3000,IF($M65="Warning",2000,1000))+$L65+ROW()/100000)</f>
        <v/>
      </c>
      <c r="O65" s="65" t="str">
        <f aca="false">IF($K65="Open",IF($C65="Conflict","decide "&amp;$A65&amp;": &lt;which version stands&gt;","decide "&amp;$A65&amp;": &lt;outcome&gt;"),IF($K65="Unconfirmed","confirm "&amp;$A65,""))</f>
        <v/>
      </c>
      <c r="P65" s="65" t="str">
        <f aca="false">IF(AND($C65="New",$B65&gt;=WeekStart),$B65+ROW()/100000,"")</f>
        <v/>
      </c>
      <c r="Q65" s="65" t="str">
        <f aca="false">IF(AND($C65="Know",$B65&gt;=WeekStart),$B65+ROW()/100000,"")</f>
        <v/>
      </c>
      <c r="R65" s="65" t="str">
        <f aca="false">IF(AND($K65="Open",$C65="Decision"),$L65+ROW()/100000,"")</f>
        <v/>
      </c>
      <c r="S65" s="65" t="str">
        <f aca="false">IF(AND($J65&lt;&gt;"",$J65=UCSel),$B65+ROW()/100000,"")</f>
        <v/>
      </c>
    </row>
    <row r="66" customFormat="false" ht="15" hidden="false" customHeight="false" outlineLevel="0" collapsed="false">
      <c r="A66" s="28"/>
      <c r="B66" s="63"/>
      <c r="C66" s="64"/>
      <c r="D66" s="28"/>
      <c r="E66" s="28"/>
      <c r="F66" s="28"/>
      <c r="G66" s="64"/>
      <c r="H66" s="64"/>
      <c r="I66" s="28"/>
      <c r="J66" s="28"/>
      <c r="K66" s="65" t="str">
        <f aca="false">IF($A66="","",IF(OR($C66="Decision",$C66="Conflict"),IF(COUNTIFS($I$2:$I$1001,$A66,$C$2:$C$1001,"Resolved")=0,"Open","Closed"),IF(AND($H66="Unconfirmed",OR($C66="New",$C66="Know")),IF(COUNTIFS($I$2:$I$1001,$A66,$C$2:$C$1001,"Confirmed")=0,"Unconfirmed","Confirmed"),"Logged")))</f>
        <v/>
      </c>
      <c r="L66" s="65" t="str">
        <f aca="false">IF($A66="","",AsOf-$B66)</f>
        <v/>
      </c>
      <c r="M66" s="65" t="str">
        <f aca="false">IF($K66="Open",IF($C66="Conflict","Critical",IF($L66&gt;=DecisionCritical,"Critical",IF($L66&gt;=DecisionWarn,"Warning","On track"))),IF($K66="Unconfirmed",IF($L66&gt;=UnconfirmedWarn,"Warning","On track"),""))</f>
        <v/>
      </c>
      <c r="N66" s="65" t="str">
        <f aca="false">IF($M66="","",IF($M66="Critical",3000,IF($M66="Warning",2000,1000))+$L66+ROW()/100000)</f>
        <v/>
      </c>
      <c r="O66" s="65" t="str">
        <f aca="false">IF($K66="Open",IF($C66="Conflict","decide "&amp;$A66&amp;": &lt;which version stands&gt;","decide "&amp;$A66&amp;": &lt;outcome&gt;"),IF($K66="Unconfirmed","confirm "&amp;$A66,""))</f>
        <v/>
      </c>
      <c r="P66" s="65" t="str">
        <f aca="false">IF(AND($C66="New",$B66&gt;=WeekStart),$B66+ROW()/100000,"")</f>
        <v/>
      </c>
      <c r="Q66" s="65" t="str">
        <f aca="false">IF(AND($C66="Know",$B66&gt;=WeekStart),$B66+ROW()/100000,"")</f>
        <v/>
      </c>
      <c r="R66" s="65" t="str">
        <f aca="false">IF(AND($K66="Open",$C66="Decision"),$L66+ROW()/100000,"")</f>
        <v/>
      </c>
      <c r="S66" s="65" t="str">
        <f aca="false">IF(AND($J66&lt;&gt;"",$J66=UCSel),$B66+ROW()/100000,"")</f>
        <v/>
      </c>
    </row>
    <row r="67" customFormat="false" ht="15" hidden="false" customHeight="false" outlineLevel="0" collapsed="false">
      <c r="A67" s="28"/>
      <c r="B67" s="63"/>
      <c r="C67" s="64"/>
      <c r="D67" s="28"/>
      <c r="E67" s="28"/>
      <c r="F67" s="28"/>
      <c r="G67" s="64"/>
      <c r="H67" s="64"/>
      <c r="I67" s="28"/>
      <c r="J67" s="28"/>
      <c r="K67" s="65" t="str">
        <f aca="false">IF($A67="","",IF(OR($C67="Decision",$C67="Conflict"),IF(COUNTIFS($I$2:$I$1001,$A67,$C$2:$C$1001,"Resolved")=0,"Open","Closed"),IF(AND($H67="Unconfirmed",OR($C67="New",$C67="Know")),IF(COUNTIFS($I$2:$I$1001,$A67,$C$2:$C$1001,"Confirmed")=0,"Unconfirmed","Confirmed"),"Logged")))</f>
        <v/>
      </c>
      <c r="L67" s="65" t="str">
        <f aca="false">IF($A67="","",AsOf-$B67)</f>
        <v/>
      </c>
      <c r="M67" s="65" t="str">
        <f aca="false">IF($K67="Open",IF($C67="Conflict","Critical",IF($L67&gt;=DecisionCritical,"Critical",IF($L67&gt;=DecisionWarn,"Warning","On track"))),IF($K67="Unconfirmed",IF($L67&gt;=UnconfirmedWarn,"Warning","On track"),""))</f>
        <v/>
      </c>
      <c r="N67" s="65" t="str">
        <f aca="false">IF($M67="","",IF($M67="Critical",3000,IF($M67="Warning",2000,1000))+$L67+ROW()/100000)</f>
        <v/>
      </c>
      <c r="O67" s="65" t="str">
        <f aca="false">IF($K67="Open",IF($C67="Conflict","decide "&amp;$A67&amp;": &lt;which version stands&gt;","decide "&amp;$A67&amp;": &lt;outcome&gt;"),IF($K67="Unconfirmed","confirm "&amp;$A67,""))</f>
        <v/>
      </c>
      <c r="P67" s="65" t="str">
        <f aca="false">IF(AND($C67="New",$B67&gt;=WeekStart),$B67+ROW()/100000,"")</f>
        <v/>
      </c>
      <c r="Q67" s="65" t="str">
        <f aca="false">IF(AND($C67="Know",$B67&gt;=WeekStart),$B67+ROW()/100000,"")</f>
        <v/>
      </c>
      <c r="R67" s="65" t="str">
        <f aca="false">IF(AND($K67="Open",$C67="Decision"),$L67+ROW()/100000,"")</f>
        <v/>
      </c>
      <c r="S67" s="65" t="str">
        <f aca="false">IF(AND($J67&lt;&gt;"",$J67=UCSel),$B67+ROW()/100000,"")</f>
        <v/>
      </c>
    </row>
    <row r="68" customFormat="false" ht="15" hidden="false" customHeight="false" outlineLevel="0" collapsed="false">
      <c r="A68" s="28"/>
      <c r="B68" s="63"/>
      <c r="C68" s="64"/>
      <c r="D68" s="28"/>
      <c r="E68" s="28"/>
      <c r="F68" s="28"/>
      <c r="G68" s="64"/>
      <c r="H68" s="64"/>
      <c r="I68" s="28"/>
      <c r="J68" s="28"/>
      <c r="K68" s="65" t="str">
        <f aca="false">IF($A68="","",IF(OR($C68="Decision",$C68="Conflict"),IF(COUNTIFS($I$2:$I$1001,$A68,$C$2:$C$1001,"Resolved")=0,"Open","Closed"),IF(AND($H68="Unconfirmed",OR($C68="New",$C68="Know")),IF(COUNTIFS($I$2:$I$1001,$A68,$C$2:$C$1001,"Confirmed")=0,"Unconfirmed","Confirmed"),"Logged")))</f>
        <v/>
      </c>
      <c r="L68" s="65" t="str">
        <f aca="false">IF($A68="","",AsOf-$B68)</f>
        <v/>
      </c>
      <c r="M68" s="65" t="str">
        <f aca="false">IF($K68="Open",IF($C68="Conflict","Critical",IF($L68&gt;=DecisionCritical,"Critical",IF($L68&gt;=DecisionWarn,"Warning","On track"))),IF($K68="Unconfirmed",IF($L68&gt;=UnconfirmedWarn,"Warning","On track"),""))</f>
        <v/>
      </c>
      <c r="N68" s="65" t="str">
        <f aca="false">IF($M68="","",IF($M68="Critical",3000,IF($M68="Warning",2000,1000))+$L68+ROW()/100000)</f>
        <v/>
      </c>
      <c r="O68" s="65" t="str">
        <f aca="false">IF($K68="Open",IF($C68="Conflict","decide "&amp;$A68&amp;": &lt;which version stands&gt;","decide "&amp;$A68&amp;": &lt;outcome&gt;"),IF($K68="Unconfirmed","confirm "&amp;$A68,""))</f>
        <v/>
      </c>
      <c r="P68" s="65" t="str">
        <f aca="false">IF(AND($C68="New",$B68&gt;=WeekStart),$B68+ROW()/100000,"")</f>
        <v/>
      </c>
      <c r="Q68" s="65" t="str">
        <f aca="false">IF(AND($C68="Know",$B68&gt;=WeekStart),$B68+ROW()/100000,"")</f>
        <v/>
      </c>
      <c r="R68" s="65" t="str">
        <f aca="false">IF(AND($K68="Open",$C68="Decision"),$L68+ROW()/100000,"")</f>
        <v/>
      </c>
      <c r="S68" s="65" t="str">
        <f aca="false">IF(AND($J68&lt;&gt;"",$J68=UCSel),$B68+ROW()/100000,"")</f>
        <v/>
      </c>
    </row>
    <row r="69" customFormat="false" ht="15" hidden="false" customHeight="false" outlineLevel="0" collapsed="false">
      <c r="A69" s="28"/>
      <c r="B69" s="63"/>
      <c r="C69" s="64"/>
      <c r="D69" s="28"/>
      <c r="E69" s="28"/>
      <c r="F69" s="28"/>
      <c r="G69" s="64"/>
      <c r="H69" s="64"/>
      <c r="I69" s="28"/>
      <c r="J69" s="28"/>
      <c r="K69" s="65" t="str">
        <f aca="false">IF($A69="","",IF(OR($C69="Decision",$C69="Conflict"),IF(COUNTIFS($I$2:$I$1001,$A69,$C$2:$C$1001,"Resolved")=0,"Open","Closed"),IF(AND($H69="Unconfirmed",OR($C69="New",$C69="Know")),IF(COUNTIFS($I$2:$I$1001,$A69,$C$2:$C$1001,"Confirmed")=0,"Unconfirmed","Confirmed"),"Logged")))</f>
        <v/>
      </c>
      <c r="L69" s="65" t="str">
        <f aca="false">IF($A69="","",AsOf-$B69)</f>
        <v/>
      </c>
      <c r="M69" s="65" t="str">
        <f aca="false">IF($K69="Open",IF($C69="Conflict","Critical",IF($L69&gt;=DecisionCritical,"Critical",IF($L69&gt;=DecisionWarn,"Warning","On track"))),IF($K69="Unconfirmed",IF($L69&gt;=UnconfirmedWarn,"Warning","On track"),""))</f>
        <v/>
      </c>
      <c r="N69" s="65" t="str">
        <f aca="false">IF($M69="","",IF($M69="Critical",3000,IF($M69="Warning",2000,1000))+$L69+ROW()/100000)</f>
        <v/>
      </c>
      <c r="O69" s="65" t="str">
        <f aca="false">IF($K69="Open",IF($C69="Conflict","decide "&amp;$A69&amp;": &lt;which version stands&gt;","decide "&amp;$A69&amp;": &lt;outcome&gt;"),IF($K69="Unconfirmed","confirm "&amp;$A69,""))</f>
        <v/>
      </c>
      <c r="P69" s="65" t="str">
        <f aca="false">IF(AND($C69="New",$B69&gt;=WeekStart),$B69+ROW()/100000,"")</f>
        <v/>
      </c>
      <c r="Q69" s="65" t="str">
        <f aca="false">IF(AND($C69="Know",$B69&gt;=WeekStart),$B69+ROW()/100000,"")</f>
        <v/>
      </c>
      <c r="R69" s="65" t="str">
        <f aca="false">IF(AND($K69="Open",$C69="Decision"),$L69+ROW()/100000,"")</f>
        <v/>
      </c>
      <c r="S69" s="65" t="str">
        <f aca="false">IF(AND($J69&lt;&gt;"",$J69=UCSel),$B69+ROW()/100000,"")</f>
        <v/>
      </c>
    </row>
    <row r="70" customFormat="false" ht="15" hidden="false" customHeight="false" outlineLevel="0" collapsed="false">
      <c r="A70" s="28"/>
      <c r="B70" s="63"/>
      <c r="C70" s="64"/>
      <c r="D70" s="28"/>
      <c r="E70" s="28"/>
      <c r="F70" s="28"/>
      <c r="G70" s="64"/>
      <c r="H70" s="64"/>
      <c r="I70" s="28"/>
      <c r="J70" s="28"/>
      <c r="K70" s="65" t="str">
        <f aca="false">IF($A70="","",IF(OR($C70="Decision",$C70="Conflict"),IF(COUNTIFS($I$2:$I$1001,$A70,$C$2:$C$1001,"Resolved")=0,"Open","Closed"),IF(AND($H70="Unconfirmed",OR($C70="New",$C70="Know")),IF(COUNTIFS($I$2:$I$1001,$A70,$C$2:$C$1001,"Confirmed")=0,"Unconfirmed","Confirmed"),"Logged")))</f>
        <v/>
      </c>
      <c r="L70" s="65" t="str">
        <f aca="false">IF($A70="","",AsOf-$B70)</f>
        <v/>
      </c>
      <c r="M70" s="65" t="str">
        <f aca="false">IF($K70="Open",IF($C70="Conflict","Critical",IF($L70&gt;=DecisionCritical,"Critical",IF($L70&gt;=DecisionWarn,"Warning","On track"))),IF($K70="Unconfirmed",IF($L70&gt;=UnconfirmedWarn,"Warning","On track"),""))</f>
        <v/>
      </c>
      <c r="N70" s="65" t="str">
        <f aca="false">IF($M70="","",IF($M70="Critical",3000,IF($M70="Warning",2000,1000))+$L70+ROW()/100000)</f>
        <v/>
      </c>
      <c r="O70" s="65" t="str">
        <f aca="false">IF($K70="Open",IF($C70="Conflict","decide "&amp;$A70&amp;": &lt;which version stands&gt;","decide "&amp;$A70&amp;": &lt;outcome&gt;"),IF($K70="Unconfirmed","confirm "&amp;$A70,""))</f>
        <v/>
      </c>
      <c r="P70" s="65" t="str">
        <f aca="false">IF(AND($C70="New",$B70&gt;=WeekStart),$B70+ROW()/100000,"")</f>
        <v/>
      </c>
      <c r="Q70" s="65" t="str">
        <f aca="false">IF(AND($C70="Know",$B70&gt;=WeekStart),$B70+ROW()/100000,"")</f>
        <v/>
      </c>
      <c r="R70" s="65" t="str">
        <f aca="false">IF(AND($K70="Open",$C70="Decision"),$L70+ROW()/100000,"")</f>
        <v/>
      </c>
      <c r="S70" s="65" t="str">
        <f aca="false">IF(AND($J70&lt;&gt;"",$J70=UCSel),$B70+ROW()/100000,"")</f>
        <v/>
      </c>
    </row>
    <row r="71" customFormat="false" ht="15" hidden="false" customHeight="false" outlineLevel="0" collapsed="false">
      <c r="A71" s="28"/>
      <c r="B71" s="63"/>
      <c r="C71" s="64"/>
      <c r="D71" s="28"/>
      <c r="E71" s="28"/>
      <c r="F71" s="28"/>
      <c r="G71" s="64"/>
      <c r="H71" s="64"/>
      <c r="I71" s="28"/>
      <c r="J71" s="28"/>
      <c r="K71" s="65" t="str">
        <f aca="false">IF($A71="","",IF(OR($C71="Decision",$C71="Conflict"),IF(COUNTIFS($I$2:$I$1001,$A71,$C$2:$C$1001,"Resolved")=0,"Open","Closed"),IF(AND($H71="Unconfirmed",OR($C71="New",$C71="Know")),IF(COUNTIFS($I$2:$I$1001,$A71,$C$2:$C$1001,"Confirmed")=0,"Unconfirmed","Confirmed"),"Logged")))</f>
        <v/>
      </c>
      <c r="L71" s="65" t="str">
        <f aca="false">IF($A71="","",AsOf-$B71)</f>
        <v/>
      </c>
      <c r="M71" s="65" t="str">
        <f aca="false">IF($K71="Open",IF($C71="Conflict","Critical",IF($L71&gt;=DecisionCritical,"Critical",IF($L71&gt;=DecisionWarn,"Warning","On track"))),IF($K71="Unconfirmed",IF($L71&gt;=UnconfirmedWarn,"Warning","On track"),""))</f>
        <v/>
      </c>
      <c r="N71" s="65" t="str">
        <f aca="false">IF($M71="","",IF($M71="Critical",3000,IF($M71="Warning",2000,1000))+$L71+ROW()/100000)</f>
        <v/>
      </c>
      <c r="O71" s="65" t="str">
        <f aca="false">IF($K71="Open",IF($C71="Conflict","decide "&amp;$A71&amp;": &lt;which version stands&gt;","decide "&amp;$A71&amp;": &lt;outcome&gt;"),IF($K71="Unconfirmed","confirm "&amp;$A71,""))</f>
        <v/>
      </c>
      <c r="P71" s="65" t="str">
        <f aca="false">IF(AND($C71="New",$B71&gt;=WeekStart),$B71+ROW()/100000,"")</f>
        <v/>
      </c>
      <c r="Q71" s="65" t="str">
        <f aca="false">IF(AND($C71="Know",$B71&gt;=WeekStart),$B71+ROW()/100000,"")</f>
        <v/>
      </c>
      <c r="R71" s="65" t="str">
        <f aca="false">IF(AND($K71="Open",$C71="Decision"),$L71+ROW()/100000,"")</f>
        <v/>
      </c>
      <c r="S71" s="65" t="str">
        <f aca="false">IF(AND($J71&lt;&gt;"",$J71=UCSel),$B71+ROW()/100000,"")</f>
        <v/>
      </c>
    </row>
    <row r="72" customFormat="false" ht="15" hidden="false" customHeight="false" outlineLevel="0" collapsed="false">
      <c r="A72" s="28"/>
      <c r="B72" s="63"/>
      <c r="C72" s="64"/>
      <c r="D72" s="28"/>
      <c r="E72" s="28"/>
      <c r="F72" s="28"/>
      <c r="G72" s="64"/>
      <c r="H72" s="64"/>
      <c r="I72" s="28"/>
      <c r="J72" s="28"/>
      <c r="K72" s="65" t="str">
        <f aca="false">IF($A72="","",IF(OR($C72="Decision",$C72="Conflict"),IF(COUNTIFS($I$2:$I$1001,$A72,$C$2:$C$1001,"Resolved")=0,"Open","Closed"),IF(AND($H72="Unconfirmed",OR($C72="New",$C72="Know")),IF(COUNTIFS($I$2:$I$1001,$A72,$C$2:$C$1001,"Confirmed")=0,"Unconfirmed","Confirmed"),"Logged")))</f>
        <v/>
      </c>
      <c r="L72" s="65" t="str">
        <f aca="false">IF($A72="","",AsOf-$B72)</f>
        <v/>
      </c>
      <c r="M72" s="65" t="str">
        <f aca="false">IF($K72="Open",IF($C72="Conflict","Critical",IF($L72&gt;=DecisionCritical,"Critical",IF($L72&gt;=DecisionWarn,"Warning","On track"))),IF($K72="Unconfirmed",IF($L72&gt;=UnconfirmedWarn,"Warning","On track"),""))</f>
        <v/>
      </c>
      <c r="N72" s="65" t="str">
        <f aca="false">IF($M72="","",IF($M72="Critical",3000,IF($M72="Warning",2000,1000))+$L72+ROW()/100000)</f>
        <v/>
      </c>
      <c r="O72" s="65" t="str">
        <f aca="false">IF($K72="Open",IF($C72="Conflict","decide "&amp;$A72&amp;": &lt;which version stands&gt;","decide "&amp;$A72&amp;": &lt;outcome&gt;"),IF($K72="Unconfirmed","confirm "&amp;$A72,""))</f>
        <v/>
      </c>
      <c r="P72" s="65" t="str">
        <f aca="false">IF(AND($C72="New",$B72&gt;=WeekStart),$B72+ROW()/100000,"")</f>
        <v/>
      </c>
      <c r="Q72" s="65" t="str">
        <f aca="false">IF(AND($C72="Know",$B72&gt;=WeekStart),$B72+ROW()/100000,"")</f>
        <v/>
      </c>
      <c r="R72" s="65" t="str">
        <f aca="false">IF(AND($K72="Open",$C72="Decision"),$L72+ROW()/100000,"")</f>
        <v/>
      </c>
      <c r="S72" s="65" t="str">
        <f aca="false">IF(AND($J72&lt;&gt;"",$J72=UCSel),$B72+ROW()/100000,"")</f>
        <v/>
      </c>
    </row>
    <row r="73" customFormat="false" ht="15" hidden="false" customHeight="false" outlineLevel="0" collapsed="false">
      <c r="A73" s="28"/>
      <c r="B73" s="63"/>
      <c r="C73" s="64"/>
      <c r="D73" s="28"/>
      <c r="E73" s="28"/>
      <c r="F73" s="28"/>
      <c r="G73" s="64"/>
      <c r="H73" s="64"/>
      <c r="I73" s="28"/>
      <c r="J73" s="28"/>
      <c r="K73" s="65" t="str">
        <f aca="false">IF($A73="","",IF(OR($C73="Decision",$C73="Conflict"),IF(COUNTIFS($I$2:$I$1001,$A73,$C$2:$C$1001,"Resolved")=0,"Open","Closed"),IF(AND($H73="Unconfirmed",OR($C73="New",$C73="Know")),IF(COUNTIFS($I$2:$I$1001,$A73,$C$2:$C$1001,"Confirmed")=0,"Unconfirmed","Confirmed"),"Logged")))</f>
        <v/>
      </c>
      <c r="L73" s="65" t="str">
        <f aca="false">IF($A73="","",AsOf-$B73)</f>
        <v/>
      </c>
      <c r="M73" s="65" t="str">
        <f aca="false">IF($K73="Open",IF($C73="Conflict","Critical",IF($L73&gt;=DecisionCritical,"Critical",IF($L73&gt;=DecisionWarn,"Warning","On track"))),IF($K73="Unconfirmed",IF($L73&gt;=UnconfirmedWarn,"Warning","On track"),""))</f>
        <v/>
      </c>
      <c r="N73" s="65" t="str">
        <f aca="false">IF($M73="","",IF($M73="Critical",3000,IF($M73="Warning",2000,1000))+$L73+ROW()/100000)</f>
        <v/>
      </c>
      <c r="O73" s="65" t="str">
        <f aca="false">IF($K73="Open",IF($C73="Conflict","decide "&amp;$A73&amp;": &lt;which version stands&gt;","decide "&amp;$A73&amp;": &lt;outcome&gt;"),IF($K73="Unconfirmed","confirm "&amp;$A73,""))</f>
        <v/>
      </c>
      <c r="P73" s="65" t="str">
        <f aca="false">IF(AND($C73="New",$B73&gt;=WeekStart),$B73+ROW()/100000,"")</f>
        <v/>
      </c>
      <c r="Q73" s="65" t="str">
        <f aca="false">IF(AND($C73="Know",$B73&gt;=WeekStart),$B73+ROW()/100000,"")</f>
        <v/>
      </c>
      <c r="R73" s="65" t="str">
        <f aca="false">IF(AND($K73="Open",$C73="Decision"),$L73+ROW()/100000,"")</f>
        <v/>
      </c>
      <c r="S73" s="65" t="str">
        <f aca="false">IF(AND($J73&lt;&gt;"",$J73=UCSel),$B73+ROW()/100000,"")</f>
        <v/>
      </c>
    </row>
    <row r="74" customFormat="false" ht="15" hidden="false" customHeight="false" outlineLevel="0" collapsed="false">
      <c r="A74" s="28"/>
      <c r="B74" s="63"/>
      <c r="C74" s="64"/>
      <c r="D74" s="28"/>
      <c r="E74" s="28"/>
      <c r="F74" s="28"/>
      <c r="G74" s="64"/>
      <c r="H74" s="64"/>
      <c r="I74" s="28"/>
      <c r="J74" s="28"/>
      <c r="K74" s="65" t="str">
        <f aca="false">IF($A74="","",IF(OR($C74="Decision",$C74="Conflict"),IF(COUNTIFS($I$2:$I$1001,$A74,$C$2:$C$1001,"Resolved")=0,"Open","Closed"),IF(AND($H74="Unconfirmed",OR($C74="New",$C74="Know")),IF(COUNTIFS($I$2:$I$1001,$A74,$C$2:$C$1001,"Confirmed")=0,"Unconfirmed","Confirmed"),"Logged")))</f>
        <v/>
      </c>
      <c r="L74" s="65" t="str">
        <f aca="false">IF($A74="","",AsOf-$B74)</f>
        <v/>
      </c>
      <c r="M74" s="65" t="str">
        <f aca="false">IF($K74="Open",IF($C74="Conflict","Critical",IF($L74&gt;=DecisionCritical,"Critical",IF($L74&gt;=DecisionWarn,"Warning","On track"))),IF($K74="Unconfirmed",IF($L74&gt;=UnconfirmedWarn,"Warning","On track"),""))</f>
        <v/>
      </c>
      <c r="N74" s="65" t="str">
        <f aca="false">IF($M74="","",IF($M74="Critical",3000,IF($M74="Warning",2000,1000))+$L74+ROW()/100000)</f>
        <v/>
      </c>
      <c r="O74" s="65" t="str">
        <f aca="false">IF($K74="Open",IF($C74="Conflict","decide "&amp;$A74&amp;": &lt;which version stands&gt;","decide "&amp;$A74&amp;": &lt;outcome&gt;"),IF($K74="Unconfirmed","confirm "&amp;$A74,""))</f>
        <v/>
      </c>
      <c r="P74" s="65" t="str">
        <f aca="false">IF(AND($C74="New",$B74&gt;=WeekStart),$B74+ROW()/100000,"")</f>
        <v/>
      </c>
      <c r="Q74" s="65" t="str">
        <f aca="false">IF(AND($C74="Know",$B74&gt;=WeekStart),$B74+ROW()/100000,"")</f>
        <v/>
      </c>
      <c r="R74" s="65" t="str">
        <f aca="false">IF(AND($K74="Open",$C74="Decision"),$L74+ROW()/100000,"")</f>
        <v/>
      </c>
      <c r="S74" s="65" t="str">
        <f aca="false">IF(AND($J74&lt;&gt;"",$J74=UCSel),$B74+ROW()/100000,"")</f>
        <v/>
      </c>
    </row>
    <row r="75" customFormat="false" ht="15" hidden="false" customHeight="false" outlineLevel="0" collapsed="false">
      <c r="A75" s="28"/>
      <c r="B75" s="63"/>
      <c r="C75" s="64"/>
      <c r="D75" s="28"/>
      <c r="E75" s="28"/>
      <c r="F75" s="28"/>
      <c r="G75" s="64"/>
      <c r="H75" s="64"/>
      <c r="I75" s="28"/>
      <c r="J75" s="28"/>
      <c r="K75" s="65" t="str">
        <f aca="false">IF($A75="","",IF(OR($C75="Decision",$C75="Conflict"),IF(COUNTIFS($I$2:$I$1001,$A75,$C$2:$C$1001,"Resolved")=0,"Open","Closed"),IF(AND($H75="Unconfirmed",OR($C75="New",$C75="Know")),IF(COUNTIFS($I$2:$I$1001,$A75,$C$2:$C$1001,"Confirmed")=0,"Unconfirmed","Confirmed"),"Logged")))</f>
        <v/>
      </c>
      <c r="L75" s="65" t="str">
        <f aca="false">IF($A75="","",AsOf-$B75)</f>
        <v/>
      </c>
      <c r="M75" s="65" t="str">
        <f aca="false">IF($K75="Open",IF($C75="Conflict","Critical",IF($L75&gt;=DecisionCritical,"Critical",IF($L75&gt;=DecisionWarn,"Warning","On track"))),IF($K75="Unconfirmed",IF($L75&gt;=UnconfirmedWarn,"Warning","On track"),""))</f>
        <v/>
      </c>
      <c r="N75" s="65" t="str">
        <f aca="false">IF($M75="","",IF($M75="Critical",3000,IF($M75="Warning",2000,1000))+$L75+ROW()/100000)</f>
        <v/>
      </c>
      <c r="O75" s="65" t="str">
        <f aca="false">IF($K75="Open",IF($C75="Conflict","decide "&amp;$A75&amp;": &lt;which version stands&gt;","decide "&amp;$A75&amp;": &lt;outcome&gt;"),IF($K75="Unconfirmed","confirm "&amp;$A75,""))</f>
        <v/>
      </c>
      <c r="P75" s="65" t="str">
        <f aca="false">IF(AND($C75="New",$B75&gt;=WeekStart),$B75+ROW()/100000,"")</f>
        <v/>
      </c>
      <c r="Q75" s="65" t="str">
        <f aca="false">IF(AND($C75="Know",$B75&gt;=WeekStart),$B75+ROW()/100000,"")</f>
        <v/>
      </c>
      <c r="R75" s="65" t="str">
        <f aca="false">IF(AND($K75="Open",$C75="Decision"),$L75+ROW()/100000,"")</f>
        <v/>
      </c>
      <c r="S75" s="65" t="str">
        <f aca="false">IF(AND($J75&lt;&gt;"",$J75=UCSel),$B75+ROW()/100000,"")</f>
        <v/>
      </c>
    </row>
    <row r="76" customFormat="false" ht="15" hidden="false" customHeight="false" outlineLevel="0" collapsed="false">
      <c r="A76" s="28"/>
      <c r="B76" s="63"/>
      <c r="C76" s="64"/>
      <c r="D76" s="28"/>
      <c r="E76" s="28"/>
      <c r="F76" s="28"/>
      <c r="G76" s="64"/>
      <c r="H76" s="64"/>
      <c r="I76" s="28"/>
      <c r="J76" s="28"/>
      <c r="K76" s="65" t="str">
        <f aca="false">IF($A76="","",IF(OR($C76="Decision",$C76="Conflict"),IF(COUNTIFS($I$2:$I$1001,$A76,$C$2:$C$1001,"Resolved")=0,"Open","Closed"),IF(AND($H76="Unconfirmed",OR($C76="New",$C76="Know")),IF(COUNTIFS($I$2:$I$1001,$A76,$C$2:$C$1001,"Confirmed")=0,"Unconfirmed","Confirmed"),"Logged")))</f>
        <v/>
      </c>
      <c r="L76" s="65" t="str">
        <f aca="false">IF($A76="","",AsOf-$B76)</f>
        <v/>
      </c>
      <c r="M76" s="65" t="str">
        <f aca="false">IF($K76="Open",IF($C76="Conflict","Critical",IF($L76&gt;=DecisionCritical,"Critical",IF($L76&gt;=DecisionWarn,"Warning","On track"))),IF($K76="Unconfirmed",IF($L76&gt;=UnconfirmedWarn,"Warning","On track"),""))</f>
        <v/>
      </c>
      <c r="N76" s="65" t="str">
        <f aca="false">IF($M76="","",IF($M76="Critical",3000,IF($M76="Warning",2000,1000))+$L76+ROW()/100000)</f>
        <v/>
      </c>
      <c r="O76" s="65" t="str">
        <f aca="false">IF($K76="Open",IF($C76="Conflict","decide "&amp;$A76&amp;": &lt;which version stands&gt;","decide "&amp;$A76&amp;": &lt;outcome&gt;"),IF($K76="Unconfirmed","confirm "&amp;$A76,""))</f>
        <v/>
      </c>
      <c r="P76" s="65" t="str">
        <f aca="false">IF(AND($C76="New",$B76&gt;=WeekStart),$B76+ROW()/100000,"")</f>
        <v/>
      </c>
      <c r="Q76" s="65" t="str">
        <f aca="false">IF(AND($C76="Know",$B76&gt;=WeekStart),$B76+ROW()/100000,"")</f>
        <v/>
      </c>
      <c r="R76" s="65" t="str">
        <f aca="false">IF(AND($K76="Open",$C76="Decision"),$L76+ROW()/100000,"")</f>
        <v/>
      </c>
      <c r="S76" s="65" t="str">
        <f aca="false">IF(AND($J76&lt;&gt;"",$J76=UCSel),$B76+ROW()/100000,"")</f>
        <v/>
      </c>
    </row>
    <row r="77" customFormat="false" ht="15" hidden="false" customHeight="false" outlineLevel="0" collapsed="false">
      <c r="A77" s="28"/>
      <c r="B77" s="63"/>
      <c r="C77" s="64"/>
      <c r="D77" s="28"/>
      <c r="E77" s="28"/>
      <c r="F77" s="28"/>
      <c r="G77" s="64"/>
      <c r="H77" s="64"/>
      <c r="I77" s="28"/>
      <c r="J77" s="28"/>
      <c r="K77" s="65" t="str">
        <f aca="false">IF($A77="","",IF(OR($C77="Decision",$C77="Conflict"),IF(COUNTIFS($I$2:$I$1001,$A77,$C$2:$C$1001,"Resolved")=0,"Open","Closed"),IF(AND($H77="Unconfirmed",OR($C77="New",$C77="Know")),IF(COUNTIFS($I$2:$I$1001,$A77,$C$2:$C$1001,"Confirmed")=0,"Unconfirmed","Confirmed"),"Logged")))</f>
        <v/>
      </c>
      <c r="L77" s="65" t="str">
        <f aca="false">IF($A77="","",AsOf-$B77)</f>
        <v/>
      </c>
      <c r="M77" s="65" t="str">
        <f aca="false">IF($K77="Open",IF($C77="Conflict","Critical",IF($L77&gt;=DecisionCritical,"Critical",IF($L77&gt;=DecisionWarn,"Warning","On track"))),IF($K77="Unconfirmed",IF($L77&gt;=UnconfirmedWarn,"Warning","On track"),""))</f>
        <v/>
      </c>
      <c r="N77" s="65" t="str">
        <f aca="false">IF($M77="","",IF($M77="Critical",3000,IF($M77="Warning",2000,1000))+$L77+ROW()/100000)</f>
        <v/>
      </c>
      <c r="O77" s="65" t="str">
        <f aca="false">IF($K77="Open",IF($C77="Conflict","decide "&amp;$A77&amp;": &lt;which version stands&gt;","decide "&amp;$A77&amp;": &lt;outcome&gt;"),IF($K77="Unconfirmed","confirm "&amp;$A77,""))</f>
        <v/>
      </c>
      <c r="P77" s="65" t="str">
        <f aca="false">IF(AND($C77="New",$B77&gt;=WeekStart),$B77+ROW()/100000,"")</f>
        <v/>
      </c>
      <c r="Q77" s="65" t="str">
        <f aca="false">IF(AND($C77="Know",$B77&gt;=WeekStart),$B77+ROW()/100000,"")</f>
        <v/>
      </c>
      <c r="R77" s="65" t="str">
        <f aca="false">IF(AND($K77="Open",$C77="Decision"),$L77+ROW()/100000,"")</f>
        <v/>
      </c>
      <c r="S77" s="65" t="str">
        <f aca="false">IF(AND($J77&lt;&gt;"",$J77=UCSel),$B77+ROW()/100000,"")</f>
        <v/>
      </c>
    </row>
    <row r="78" customFormat="false" ht="15" hidden="false" customHeight="false" outlineLevel="0" collapsed="false">
      <c r="A78" s="28"/>
      <c r="B78" s="63"/>
      <c r="C78" s="64"/>
      <c r="D78" s="28"/>
      <c r="E78" s="28"/>
      <c r="F78" s="28"/>
      <c r="G78" s="64"/>
      <c r="H78" s="64"/>
      <c r="I78" s="28"/>
      <c r="J78" s="28"/>
      <c r="K78" s="65" t="str">
        <f aca="false">IF($A78="","",IF(OR($C78="Decision",$C78="Conflict"),IF(COUNTIFS($I$2:$I$1001,$A78,$C$2:$C$1001,"Resolved")=0,"Open","Closed"),IF(AND($H78="Unconfirmed",OR($C78="New",$C78="Know")),IF(COUNTIFS($I$2:$I$1001,$A78,$C$2:$C$1001,"Confirmed")=0,"Unconfirmed","Confirmed"),"Logged")))</f>
        <v/>
      </c>
      <c r="L78" s="65" t="str">
        <f aca="false">IF($A78="","",AsOf-$B78)</f>
        <v/>
      </c>
      <c r="M78" s="65" t="str">
        <f aca="false">IF($K78="Open",IF($C78="Conflict","Critical",IF($L78&gt;=DecisionCritical,"Critical",IF($L78&gt;=DecisionWarn,"Warning","On track"))),IF($K78="Unconfirmed",IF($L78&gt;=UnconfirmedWarn,"Warning","On track"),""))</f>
        <v/>
      </c>
      <c r="N78" s="65" t="str">
        <f aca="false">IF($M78="","",IF($M78="Critical",3000,IF($M78="Warning",2000,1000))+$L78+ROW()/100000)</f>
        <v/>
      </c>
      <c r="O78" s="65" t="str">
        <f aca="false">IF($K78="Open",IF($C78="Conflict","decide "&amp;$A78&amp;": &lt;which version stands&gt;","decide "&amp;$A78&amp;": &lt;outcome&gt;"),IF($K78="Unconfirmed","confirm "&amp;$A78,""))</f>
        <v/>
      </c>
      <c r="P78" s="65" t="str">
        <f aca="false">IF(AND($C78="New",$B78&gt;=WeekStart),$B78+ROW()/100000,"")</f>
        <v/>
      </c>
      <c r="Q78" s="65" t="str">
        <f aca="false">IF(AND($C78="Know",$B78&gt;=WeekStart),$B78+ROW()/100000,"")</f>
        <v/>
      </c>
      <c r="R78" s="65" t="str">
        <f aca="false">IF(AND($K78="Open",$C78="Decision"),$L78+ROW()/100000,"")</f>
        <v/>
      </c>
      <c r="S78" s="65" t="str">
        <f aca="false">IF(AND($J78&lt;&gt;"",$J78=UCSel),$B78+ROW()/100000,"")</f>
        <v/>
      </c>
    </row>
    <row r="79" customFormat="false" ht="15" hidden="false" customHeight="false" outlineLevel="0" collapsed="false">
      <c r="A79" s="28"/>
      <c r="B79" s="63"/>
      <c r="C79" s="64"/>
      <c r="D79" s="28"/>
      <c r="E79" s="28"/>
      <c r="F79" s="28"/>
      <c r="G79" s="64"/>
      <c r="H79" s="64"/>
      <c r="I79" s="28"/>
      <c r="J79" s="28"/>
      <c r="K79" s="65" t="str">
        <f aca="false">IF($A79="","",IF(OR($C79="Decision",$C79="Conflict"),IF(COUNTIFS($I$2:$I$1001,$A79,$C$2:$C$1001,"Resolved")=0,"Open","Closed"),IF(AND($H79="Unconfirmed",OR($C79="New",$C79="Know")),IF(COUNTIFS($I$2:$I$1001,$A79,$C$2:$C$1001,"Confirmed")=0,"Unconfirmed","Confirmed"),"Logged")))</f>
        <v/>
      </c>
      <c r="L79" s="65" t="str">
        <f aca="false">IF($A79="","",AsOf-$B79)</f>
        <v/>
      </c>
      <c r="M79" s="65" t="str">
        <f aca="false">IF($K79="Open",IF($C79="Conflict","Critical",IF($L79&gt;=DecisionCritical,"Critical",IF($L79&gt;=DecisionWarn,"Warning","On track"))),IF($K79="Unconfirmed",IF($L79&gt;=UnconfirmedWarn,"Warning","On track"),""))</f>
        <v/>
      </c>
      <c r="N79" s="65" t="str">
        <f aca="false">IF($M79="","",IF($M79="Critical",3000,IF($M79="Warning",2000,1000))+$L79+ROW()/100000)</f>
        <v/>
      </c>
      <c r="O79" s="65" t="str">
        <f aca="false">IF($K79="Open",IF($C79="Conflict","decide "&amp;$A79&amp;": &lt;which version stands&gt;","decide "&amp;$A79&amp;": &lt;outcome&gt;"),IF($K79="Unconfirmed","confirm "&amp;$A79,""))</f>
        <v/>
      </c>
      <c r="P79" s="65" t="str">
        <f aca="false">IF(AND($C79="New",$B79&gt;=WeekStart),$B79+ROW()/100000,"")</f>
        <v/>
      </c>
      <c r="Q79" s="65" t="str">
        <f aca="false">IF(AND($C79="Know",$B79&gt;=WeekStart),$B79+ROW()/100000,"")</f>
        <v/>
      </c>
      <c r="R79" s="65" t="str">
        <f aca="false">IF(AND($K79="Open",$C79="Decision"),$L79+ROW()/100000,"")</f>
        <v/>
      </c>
      <c r="S79" s="65" t="str">
        <f aca="false">IF(AND($J79&lt;&gt;"",$J79=UCSel),$B79+ROW()/100000,"")</f>
        <v/>
      </c>
    </row>
    <row r="80" customFormat="false" ht="15" hidden="false" customHeight="false" outlineLevel="0" collapsed="false">
      <c r="A80" s="28"/>
      <c r="B80" s="63"/>
      <c r="C80" s="64"/>
      <c r="D80" s="28"/>
      <c r="E80" s="28"/>
      <c r="F80" s="28"/>
      <c r="G80" s="64"/>
      <c r="H80" s="64"/>
      <c r="I80" s="28"/>
      <c r="J80" s="28"/>
      <c r="K80" s="65" t="str">
        <f aca="false">IF($A80="","",IF(OR($C80="Decision",$C80="Conflict"),IF(COUNTIFS($I$2:$I$1001,$A80,$C$2:$C$1001,"Resolved")=0,"Open","Closed"),IF(AND($H80="Unconfirmed",OR($C80="New",$C80="Know")),IF(COUNTIFS($I$2:$I$1001,$A80,$C$2:$C$1001,"Confirmed")=0,"Unconfirmed","Confirmed"),"Logged")))</f>
        <v/>
      </c>
      <c r="L80" s="65" t="str">
        <f aca="false">IF($A80="","",AsOf-$B80)</f>
        <v/>
      </c>
      <c r="M80" s="65" t="str">
        <f aca="false">IF($K80="Open",IF($C80="Conflict","Critical",IF($L80&gt;=DecisionCritical,"Critical",IF($L80&gt;=DecisionWarn,"Warning","On track"))),IF($K80="Unconfirmed",IF($L80&gt;=UnconfirmedWarn,"Warning","On track"),""))</f>
        <v/>
      </c>
      <c r="N80" s="65" t="str">
        <f aca="false">IF($M80="","",IF($M80="Critical",3000,IF($M80="Warning",2000,1000))+$L80+ROW()/100000)</f>
        <v/>
      </c>
      <c r="O80" s="65" t="str">
        <f aca="false">IF($K80="Open",IF($C80="Conflict","decide "&amp;$A80&amp;": &lt;which version stands&gt;","decide "&amp;$A80&amp;": &lt;outcome&gt;"),IF($K80="Unconfirmed","confirm "&amp;$A80,""))</f>
        <v/>
      </c>
      <c r="P80" s="65" t="str">
        <f aca="false">IF(AND($C80="New",$B80&gt;=WeekStart),$B80+ROW()/100000,"")</f>
        <v/>
      </c>
      <c r="Q80" s="65" t="str">
        <f aca="false">IF(AND($C80="Know",$B80&gt;=WeekStart),$B80+ROW()/100000,"")</f>
        <v/>
      </c>
      <c r="R80" s="65" t="str">
        <f aca="false">IF(AND($K80="Open",$C80="Decision"),$L80+ROW()/100000,"")</f>
        <v/>
      </c>
      <c r="S80" s="65" t="str">
        <f aca="false">IF(AND($J80&lt;&gt;"",$J80=UCSel),$B80+ROW()/100000,"")</f>
        <v/>
      </c>
    </row>
    <row r="81" customFormat="false" ht="15" hidden="false" customHeight="false" outlineLevel="0" collapsed="false">
      <c r="A81" s="28"/>
      <c r="B81" s="63"/>
      <c r="C81" s="64"/>
      <c r="D81" s="28"/>
      <c r="E81" s="28"/>
      <c r="F81" s="28"/>
      <c r="G81" s="64"/>
      <c r="H81" s="64"/>
      <c r="I81" s="28"/>
      <c r="J81" s="28"/>
      <c r="K81" s="65" t="str">
        <f aca="false">IF($A81="","",IF(OR($C81="Decision",$C81="Conflict"),IF(COUNTIFS($I$2:$I$1001,$A81,$C$2:$C$1001,"Resolved")=0,"Open","Closed"),IF(AND($H81="Unconfirmed",OR($C81="New",$C81="Know")),IF(COUNTIFS($I$2:$I$1001,$A81,$C$2:$C$1001,"Confirmed")=0,"Unconfirmed","Confirmed"),"Logged")))</f>
        <v/>
      </c>
      <c r="L81" s="65" t="str">
        <f aca="false">IF($A81="","",AsOf-$B81)</f>
        <v/>
      </c>
      <c r="M81" s="65" t="str">
        <f aca="false">IF($K81="Open",IF($C81="Conflict","Critical",IF($L81&gt;=DecisionCritical,"Critical",IF($L81&gt;=DecisionWarn,"Warning","On track"))),IF($K81="Unconfirmed",IF($L81&gt;=UnconfirmedWarn,"Warning","On track"),""))</f>
        <v/>
      </c>
      <c r="N81" s="65" t="str">
        <f aca="false">IF($M81="","",IF($M81="Critical",3000,IF($M81="Warning",2000,1000))+$L81+ROW()/100000)</f>
        <v/>
      </c>
      <c r="O81" s="65" t="str">
        <f aca="false">IF($K81="Open",IF($C81="Conflict","decide "&amp;$A81&amp;": &lt;which version stands&gt;","decide "&amp;$A81&amp;": &lt;outcome&gt;"),IF($K81="Unconfirmed","confirm "&amp;$A81,""))</f>
        <v/>
      </c>
      <c r="P81" s="65" t="str">
        <f aca="false">IF(AND($C81="New",$B81&gt;=WeekStart),$B81+ROW()/100000,"")</f>
        <v/>
      </c>
      <c r="Q81" s="65" t="str">
        <f aca="false">IF(AND($C81="Know",$B81&gt;=WeekStart),$B81+ROW()/100000,"")</f>
        <v/>
      </c>
      <c r="R81" s="65" t="str">
        <f aca="false">IF(AND($K81="Open",$C81="Decision"),$L81+ROW()/100000,"")</f>
        <v/>
      </c>
      <c r="S81" s="65" t="str">
        <f aca="false">IF(AND($J81&lt;&gt;"",$J81=UCSel),$B81+ROW()/100000,"")</f>
        <v/>
      </c>
    </row>
    <row r="82" customFormat="false" ht="15" hidden="false" customHeight="false" outlineLevel="0" collapsed="false">
      <c r="A82" s="28"/>
      <c r="B82" s="63"/>
      <c r="C82" s="64"/>
      <c r="D82" s="28"/>
      <c r="E82" s="28"/>
      <c r="F82" s="28"/>
      <c r="G82" s="64"/>
      <c r="H82" s="64"/>
      <c r="I82" s="28"/>
      <c r="J82" s="28"/>
      <c r="K82" s="65" t="str">
        <f aca="false">IF($A82="","",IF(OR($C82="Decision",$C82="Conflict"),IF(COUNTIFS($I$2:$I$1001,$A82,$C$2:$C$1001,"Resolved")=0,"Open","Closed"),IF(AND($H82="Unconfirmed",OR($C82="New",$C82="Know")),IF(COUNTIFS($I$2:$I$1001,$A82,$C$2:$C$1001,"Confirmed")=0,"Unconfirmed","Confirmed"),"Logged")))</f>
        <v/>
      </c>
      <c r="L82" s="65" t="str">
        <f aca="false">IF($A82="","",AsOf-$B82)</f>
        <v/>
      </c>
      <c r="M82" s="65" t="str">
        <f aca="false">IF($K82="Open",IF($C82="Conflict","Critical",IF($L82&gt;=DecisionCritical,"Critical",IF($L82&gt;=DecisionWarn,"Warning","On track"))),IF($K82="Unconfirmed",IF($L82&gt;=UnconfirmedWarn,"Warning","On track"),""))</f>
        <v/>
      </c>
      <c r="N82" s="65" t="str">
        <f aca="false">IF($M82="","",IF($M82="Critical",3000,IF($M82="Warning",2000,1000))+$L82+ROW()/100000)</f>
        <v/>
      </c>
      <c r="O82" s="65" t="str">
        <f aca="false">IF($K82="Open",IF($C82="Conflict","decide "&amp;$A82&amp;": &lt;which version stands&gt;","decide "&amp;$A82&amp;": &lt;outcome&gt;"),IF($K82="Unconfirmed","confirm "&amp;$A82,""))</f>
        <v/>
      </c>
      <c r="P82" s="65" t="str">
        <f aca="false">IF(AND($C82="New",$B82&gt;=WeekStart),$B82+ROW()/100000,"")</f>
        <v/>
      </c>
      <c r="Q82" s="65" t="str">
        <f aca="false">IF(AND($C82="Know",$B82&gt;=WeekStart),$B82+ROW()/100000,"")</f>
        <v/>
      </c>
      <c r="R82" s="65" t="str">
        <f aca="false">IF(AND($K82="Open",$C82="Decision"),$L82+ROW()/100000,"")</f>
        <v/>
      </c>
      <c r="S82" s="65" t="str">
        <f aca="false">IF(AND($J82&lt;&gt;"",$J82=UCSel),$B82+ROW()/100000,"")</f>
        <v/>
      </c>
    </row>
    <row r="83" customFormat="false" ht="15" hidden="false" customHeight="false" outlineLevel="0" collapsed="false">
      <c r="A83" s="28"/>
      <c r="B83" s="63"/>
      <c r="C83" s="64"/>
      <c r="D83" s="28"/>
      <c r="E83" s="28"/>
      <c r="F83" s="28"/>
      <c r="G83" s="64"/>
      <c r="H83" s="64"/>
      <c r="I83" s="28"/>
      <c r="J83" s="28"/>
      <c r="K83" s="65" t="str">
        <f aca="false">IF($A83="","",IF(OR($C83="Decision",$C83="Conflict"),IF(COUNTIFS($I$2:$I$1001,$A83,$C$2:$C$1001,"Resolved")=0,"Open","Closed"),IF(AND($H83="Unconfirmed",OR($C83="New",$C83="Know")),IF(COUNTIFS($I$2:$I$1001,$A83,$C$2:$C$1001,"Confirmed")=0,"Unconfirmed","Confirmed"),"Logged")))</f>
        <v/>
      </c>
      <c r="L83" s="65" t="str">
        <f aca="false">IF($A83="","",AsOf-$B83)</f>
        <v/>
      </c>
      <c r="M83" s="65" t="str">
        <f aca="false">IF($K83="Open",IF($C83="Conflict","Critical",IF($L83&gt;=DecisionCritical,"Critical",IF($L83&gt;=DecisionWarn,"Warning","On track"))),IF($K83="Unconfirmed",IF($L83&gt;=UnconfirmedWarn,"Warning","On track"),""))</f>
        <v/>
      </c>
      <c r="N83" s="65" t="str">
        <f aca="false">IF($M83="","",IF($M83="Critical",3000,IF($M83="Warning",2000,1000))+$L83+ROW()/100000)</f>
        <v/>
      </c>
      <c r="O83" s="65" t="str">
        <f aca="false">IF($K83="Open",IF($C83="Conflict","decide "&amp;$A83&amp;": &lt;which version stands&gt;","decide "&amp;$A83&amp;": &lt;outcome&gt;"),IF($K83="Unconfirmed","confirm "&amp;$A83,""))</f>
        <v/>
      </c>
      <c r="P83" s="65" t="str">
        <f aca="false">IF(AND($C83="New",$B83&gt;=WeekStart),$B83+ROW()/100000,"")</f>
        <v/>
      </c>
      <c r="Q83" s="65" t="str">
        <f aca="false">IF(AND($C83="Know",$B83&gt;=WeekStart),$B83+ROW()/100000,"")</f>
        <v/>
      </c>
      <c r="R83" s="65" t="str">
        <f aca="false">IF(AND($K83="Open",$C83="Decision"),$L83+ROW()/100000,"")</f>
        <v/>
      </c>
      <c r="S83" s="65" t="str">
        <f aca="false">IF(AND($J83&lt;&gt;"",$J83=UCSel),$B83+ROW()/100000,"")</f>
        <v/>
      </c>
    </row>
    <row r="84" customFormat="false" ht="15" hidden="false" customHeight="false" outlineLevel="0" collapsed="false">
      <c r="A84" s="28"/>
      <c r="B84" s="63"/>
      <c r="C84" s="64"/>
      <c r="D84" s="28"/>
      <c r="E84" s="28"/>
      <c r="F84" s="28"/>
      <c r="G84" s="64"/>
      <c r="H84" s="64"/>
      <c r="I84" s="28"/>
      <c r="J84" s="28"/>
      <c r="K84" s="65" t="str">
        <f aca="false">IF($A84="","",IF(OR($C84="Decision",$C84="Conflict"),IF(COUNTIFS($I$2:$I$1001,$A84,$C$2:$C$1001,"Resolved")=0,"Open","Closed"),IF(AND($H84="Unconfirmed",OR($C84="New",$C84="Know")),IF(COUNTIFS($I$2:$I$1001,$A84,$C$2:$C$1001,"Confirmed")=0,"Unconfirmed","Confirmed"),"Logged")))</f>
        <v/>
      </c>
      <c r="L84" s="65" t="str">
        <f aca="false">IF($A84="","",AsOf-$B84)</f>
        <v/>
      </c>
      <c r="M84" s="65" t="str">
        <f aca="false">IF($K84="Open",IF($C84="Conflict","Critical",IF($L84&gt;=DecisionCritical,"Critical",IF($L84&gt;=DecisionWarn,"Warning","On track"))),IF($K84="Unconfirmed",IF($L84&gt;=UnconfirmedWarn,"Warning","On track"),""))</f>
        <v/>
      </c>
      <c r="N84" s="65" t="str">
        <f aca="false">IF($M84="","",IF($M84="Critical",3000,IF($M84="Warning",2000,1000))+$L84+ROW()/100000)</f>
        <v/>
      </c>
      <c r="O84" s="65" t="str">
        <f aca="false">IF($K84="Open",IF($C84="Conflict","decide "&amp;$A84&amp;": &lt;which version stands&gt;","decide "&amp;$A84&amp;": &lt;outcome&gt;"),IF($K84="Unconfirmed","confirm "&amp;$A84,""))</f>
        <v/>
      </c>
      <c r="P84" s="65" t="str">
        <f aca="false">IF(AND($C84="New",$B84&gt;=WeekStart),$B84+ROW()/100000,"")</f>
        <v/>
      </c>
      <c r="Q84" s="65" t="str">
        <f aca="false">IF(AND($C84="Know",$B84&gt;=WeekStart),$B84+ROW()/100000,"")</f>
        <v/>
      </c>
      <c r="R84" s="65" t="str">
        <f aca="false">IF(AND($K84="Open",$C84="Decision"),$L84+ROW()/100000,"")</f>
        <v/>
      </c>
      <c r="S84" s="65" t="str">
        <f aca="false">IF(AND($J84&lt;&gt;"",$J84=UCSel),$B84+ROW()/100000,"")</f>
        <v/>
      </c>
    </row>
    <row r="85" customFormat="false" ht="15" hidden="false" customHeight="false" outlineLevel="0" collapsed="false">
      <c r="A85" s="28"/>
      <c r="B85" s="63"/>
      <c r="C85" s="64"/>
      <c r="D85" s="28"/>
      <c r="E85" s="28"/>
      <c r="F85" s="28"/>
      <c r="G85" s="64"/>
      <c r="H85" s="64"/>
      <c r="I85" s="28"/>
      <c r="J85" s="28"/>
      <c r="K85" s="65" t="str">
        <f aca="false">IF($A85="","",IF(OR($C85="Decision",$C85="Conflict"),IF(COUNTIFS($I$2:$I$1001,$A85,$C$2:$C$1001,"Resolved")=0,"Open","Closed"),IF(AND($H85="Unconfirmed",OR($C85="New",$C85="Know")),IF(COUNTIFS($I$2:$I$1001,$A85,$C$2:$C$1001,"Confirmed")=0,"Unconfirmed","Confirmed"),"Logged")))</f>
        <v/>
      </c>
      <c r="L85" s="65" t="str">
        <f aca="false">IF($A85="","",AsOf-$B85)</f>
        <v/>
      </c>
      <c r="M85" s="65" t="str">
        <f aca="false">IF($K85="Open",IF($C85="Conflict","Critical",IF($L85&gt;=DecisionCritical,"Critical",IF($L85&gt;=DecisionWarn,"Warning","On track"))),IF($K85="Unconfirmed",IF($L85&gt;=UnconfirmedWarn,"Warning","On track"),""))</f>
        <v/>
      </c>
      <c r="N85" s="65" t="str">
        <f aca="false">IF($M85="","",IF($M85="Critical",3000,IF($M85="Warning",2000,1000))+$L85+ROW()/100000)</f>
        <v/>
      </c>
      <c r="O85" s="65" t="str">
        <f aca="false">IF($K85="Open",IF($C85="Conflict","decide "&amp;$A85&amp;": &lt;which version stands&gt;","decide "&amp;$A85&amp;": &lt;outcome&gt;"),IF($K85="Unconfirmed","confirm "&amp;$A85,""))</f>
        <v/>
      </c>
      <c r="P85" s="65" t="str">
        <f aca="false">IF(AND($C85="New",$B85&gt;=WeekStart),$B85+ROW()/100000,"")</f>
        <v/>
      </c>
      <c r="Q85" s="65" t="str">
        <f aca="false">IF(AND($C85="Know",$B85&gt;=WeekStart),$B85+ROW()/100000,"")</f>
        <v/>
      </c>
      <c r="R85" s="65" t="str">
        <f aca="false">IF(AND($K85="Open",$C85="Decision"),$L85+ROW()/100000,"")</f>
        <v/>
      </c>
      <c r="S85" s="65" t="str">
        <f aca="false">IF(AND($J85&lt;&gt;"",$J85=UCSel),$B85+ROW()/100000,"")</f>
        <v/>
      </c>
    </row>
    <row r="86" customFormat="false" ht="15" hidden="false" customHeight="false" outlineLevel="0" collapsed="false">
      <c r="A86" s="28"/>
      <c r="B86" s="63"/>
      <c r="C86" s="64"/>
      <c r="D86" s="28"/>
      <c r="E86" s="28"/>
      <c r="F86" s="28"/>
      <c r="G86" s="64"/>
      <c r="H86" s="64"/>
      <c r="I86" s="28"/>
      <c r="J86" s="28"/>
      <c r="K86" s="65" t="str">
        <f aca="false">IF($A86="","",IF(OR($C86="Decision",$C86="Conflict"),IF(COUNTIFS($I$2:$I$1001,$A86,$C$2:$C$1001,"Resolved")=0,"Open","Closed"),IF(AND($H86="Unconfirmed",OR($C86="New",$C86="Know")),IF(COUNTIFS($I$2:$I$1001,$A86,$C$2:$C$1001,"Confirmed")=0,"Unconfirmed","Confirmed"),"Logged")))</f>
        <v/>
      </c>
      <c r="L86" s="65" t="str">
        <f aca="false">IF($A86="","",AsOf-$B86)</f>
        <v/>
      </c>
      <c r="M86" s="65" t="str">
        <f aca="false">IF($K86="Open",IF($C86="Conflict","Critical",IF($L86&gt;=DecisionCritical,"Critical",IF($L86&gt;=DecisionWarn,"Warning","On track"))),IF($K86="Unconfirmed",IF($L86&gt;=UnconfirmedWarn,"Warning","On track"),""))</f>
        <v/>
      </c>
      <c r="N86" s="65" t="str">
        <f aca="false">IF($M86="","",IF($M86="Critical",3000,IF($M86="Warning",2000,1000))+$L86+ROW()/100000)</f>
        <v/>
      </c>
      <c r="O86" s="65" t="str">
        <f aca="false">IF($K86="Open",IF($C86="Conflict","decide "&amp;$A86&amp;": &lt;which version stands&gt;","decide "&amp;$A86&amp;": &lt;outcome&gt;"),IF($K86="Unconfirmed","confirm "&amp;$A86,""))</f>
        <v/>
      </c>
      <c r="P86" s="65" t="str">
        <f aca="false">IF(AND($C86="New",$B86&gt;=WeekStart),$B86+ROW()/100000,"")</f>
        <v/>
      </c>
      <c r="Q86" s="65" t="str">
        <f aca="false">IF(AND($C86="Know",$B86&gt;=WeekStart),$B86+ROW()/100000,"")</f>
        <v/>
      </c>
      <c r="R86" s="65" t="str">
        <f aca="false">IF(AND($K86="Open",$C86="Decision"),$L86+ROW()/100000,"")</f>
        <v/>
      </c>
      <c r="S86" s="65" t="str">
        <f aca="false">IF(AND($J86&lt;&gt;"",$J86=UCSel),$B86+ROW()/100000,"")</f>
        <v/>
      </c>
    </row>
    <row r="87" customFormat="false" ht="15" hidden="false" customHeight="false" outlineLevel="0" collapsed="false">
      <c r="A87" s="28"/>
      <c r="B87" s="63"/>
      <c r="C87" s="64"/>
      <c r="D87" s="28"/>
      <c r="E87" s="28"/>
      <c r="F87" s="28"/>
      <c r="G87" s="64"/>
      <c r="H87" s="64"/>
      <c r="I87" s="28"/>
      <c r="J87" s="28"/>
      <c r="K87" s="65" t="str">
        <f aca="false">IF($A87="","",IF(OR($C87="Decision",$C87="Conflict"),IF(COUNTIFS($I$2:$I$1001,$A87,$C$2:$C$1001,"Resolved")=0,"Open","Closed"),IF(AND($H87="Unconfirmed",OR($C87="New",$C87="Know")),IF(COUNTIFS($I$2:$I$1001,$A87,$C$2:$C$1001,"Confirmed")=0,"Unconfirmed","Confirmed"),"Logged")))</f>
        <v/>
      </c>
      <c r="L87" s="65" t="str">
        <f aca="false">IF($A87="","",AsOf-$B87)</f>
        <v/>
      </c>
      <c r="M87" s="65" t="str">
        <f aca="false">IF($K87="Open",IF($C87="Conflict","Critical",IF($L87&gt;=DecisionCritical,"Critical",IF($L87&gt;=DecisionWarn,"Warning","On track"))),IF($K87="Unconfirmed",IF($L87&gt;=UnconfirmedWarn,"Warning","On track"),""))</f>
        <v/>
      </c>
      <c r="N87" s="65" t="str">
        <f aca="false">IF($M87="","",IF($M87="Critical",3000,IF($M87="Warning",2000,1000))+$L87+ROW()/100000)</f>
        <v/>
      </c>
      <c r="O87" s="65" t="str">
        <f aca="false">IF($K87="Open",IF($C87="Conflict","decide "&amp;$A87&amp;": &lt;which version stands&gt;","decide "&amp;$A87&amp;": &lt;outcome&gt;"),IF($K87="Unconfirmed","confirm "&amp;$A87,""))</f>
        <v/>
      </c>
      <c r="P87" s="65" t="str">
        <f aca="false">IF(AND($C87="New",$B87&gt;=WeekStart),$B87+ROW()/100000,"")</f>
        <v/>
      </c>
      <c r="Q87" s="65" t="str">
        <f aca="false">IF(AND($C87="Know",$B87&gt;=WeekStart),$B87+ROW()/100000,"")</f>
        <v/>
      </c>
      <c r="R87" s="65" t="str">
        <f aca="false">IF(AND($K87="Open",$C87="Decision"),$L87+ROW()/100000,"")</f>
        <v/>
      </c>
      <c r="S87" s="65" t="str">
        <f aca="false">IF(AND($J87&lt;&gt;"",$J87=UCSel),$B87+ROW()/100000,"")</f>
        <v/>
      </c>
    </row>
    <row r="88" customFormat="false" ht="15" hidden="false" customHeight="false" outlineLevel="0" collapsed="false">
      <c r="A88" s="28"/>
      <c r="B88" s="63"/>
      <c r="C88" s="64"/>
      <c r="D88" s="28"/>
      <c r="E88" s="28"/>
      <c r="F88" s="28"/>
      <c r="G88" s="64"/>
      <c r="H88" s="64"/>
      <c r="I88" s="28"/>
      <c r="J88" s="28"/>
      <c r="K88" s="65" t="str">
        <f aca="false">IF($A88="","",IF(OR($C88="Decision",$C88="Conflict"),IF(COUNTIFS($I$2:$I$1001,$A88,$C$2:$C$1001,"Resolved")=0,"Open","Closed"),IF(AND($H88="Unconfirmed",OR($C88="New",$C88="Know")),IF(COUNTIFS($I$2:$I$1001,$A88,$C$2:$C$1001,"Confirmed")=0,"Unconfirmed","Confirmed"),"Logged")))</f>
        <v/>
      </c>
      <c r="L88" s="65" t="str">
        <f aca="false">IF($A88="","",AsOf-$B88)</f>
        <v/>
      </c>
      <c r="M88" s="65" t="str">
        <f aca="false">IF($K88="Open",IF($C88="Conflict","Critical",IF($L88&gt;=DecisionCritical,"Critical",IF($L88&gt;=DecisionWarn,"Warning","On track"))),IF($K88="Unconfirmed",IF($L88&gt;=UnconfirmedWarn,"Warning","On track"),""))</f>
        <v/>
      </c>
      <c r="N88" s="65" t="str">
        <f aca="false">IF($M88="","",IF($M88="Critical",3000,IF($M88="Warning",2000,1000))+$L88+ROW()/100000)</f>
        <v/>
      </c>
      <c r="O88" s="65" t="str">
        <f aca="false">IF($K88="Open",IF($C88="Conflict","decide "&amp;$A88&amp;": &lt;which version stands&gt;","decide "&amp;$A88&amp;": &lt;outcome&gt;"),IF($K88="Unconfirmed","confirm "&amp;$A88,""))</f>
        <v/>
      </c>
      <c r="P88" s="65" t="str">
        <f aca="false">IF(AND($C88="New",$B88&gt;=WeekStart),$B88+ROW()/100000,"")</f>
        <v/>
      </c>
      <c r="Q88" s="65" t="str">
        <f aca="false">IF(AND($C88="Know",$B88&gt;=WeekStart),$B88+ROW()/100000,"")</f>
        <v/>
      </c>
      <c r="R88" s="65" t="str">
        <f aca="false">IF(AND($K88="Open",$C88="Decision"),$L88+ROW()/100000,"")</f>
        <v/>
      </c>
      <c r="S88" s="65" t="str">
        <f aca="false">IF(AND($J88&lt;&gt;"",$J88=UCSel),$B88+ROW()/100000,"")</f>
        <v/>
      </c>
    </row>
    <row r="89" customFormat="false" ht="15" hidden="false" customHeight="false" outlineLevel="0" collapsed="false">
      <c r="A89" s="28"/>
      <c r="B89" s="63"/>
      <c r="C89" s="64"/>
      <c r="D89" s="28"/>
      <c r="E89" s="28"/>
      <c r="F89" s="28"/>
      <c r="G89" s="64"/>
      <c r="H89" s="64"/>
      <c r="I89" s="28"/>
      <c r="J89" s="28"/>
      <c r="K89" s="65" t="str">
        <f aca="false">IF($A89="","",IF(OR($C89="Decision",$C89="Conflict"),IF(COUNTIFS($I$2:$I$1001,$A89,$C$2:$C$1001,"Resolved")=0,"Open","Closed"),IF(AND($H89="Unconfirmed",OR($C89="New",$C89="Know")),IF(COUNTIFS($I$2:$I$1001,$A89,$C$2:$C$1001,"Confirmed")=0,"Unconfirmed","Confirmed"),"Logged")))</f>
        <v/>
      </c>
      <c r="L89" s="65" t="str">
        <f aca="false">IF($A89="","",AsOf-$B89)</f>
        <v/>
      </c>
      <c r="M89" s="65" t="str">
        <f aca="false">IF($K89="Open",IF($C89="Conflict","Critical",IF($L89&gt;=DecisionCritical,"Critical",IF($L89&gt;=DecisionWarn,"Warning","On track"))),IF($K89="Unconfirmed",IF($L89&gt;=UnconfirmedWarn,"Warning","On track"),""))</f>
        <v/>
      </c>
      <c r="N89" s="65" t="str">
        <f aca="false">IF($M89="","",IF($M89="Critical",3000,IF($M89="Warning",2000,1000))+$L89+ROW()/100000)</f>
        <v/>
      </c>
      <c r="O89" s="65" t="str">
        <f aca="false">IF($K89="Open",IF($C89="Conflict","decide "&amp;$A89&amp;": &lt;which version stands&gt;","decide "&amp;$A89&amp;": &lt;outcome&gt;"),IF($K89="Unconfirmed","confirm "&amp;$A89,""))</f>
        <v/>
      </c>
      <c r="P89" s="65" t="str">
        <f aca="false">IF(AND($C89="New",$B89&gt;=WeekStart),$B89+ROW()/100000,"")</f>
        <v/>
      </c>
      <c r="Q89" s="65" t="str">
        <f aca="false">IF(AND($C89="Know",$B89&gt;=WeekStart),$B89+ROW()/100000,"")</f>
        <v/>
      </c>
      <c r="R89" s="65" t="str">
        <f aca="false">IF(AND($K89="Open",$C89="Decision"),$L89+ROW()/100000,"")</f>
        <v/>
      </c>
      <c r="S89" s="65" t="str">
        <f aca="false">IF(AND($J89&lt;&gt;"",$J89=UCSel),$B89+ROW()/100000,"")</f>
        <v/>
      </c>
    </row>
    <row r="90" customFormat="false" ht="15" hidden="false" customHeight="false" outlineLevel="0" collapsed="false">
      <c r="A90" s="28"/>
      <c r="B90" s="63"/>
      <c r="C90" s="64"/>
      <c r="D90" s="28"/>
      <c r="E90" s="28"/>
      <c r="F90" s="28"/>
      <c r="G90" s="64"/>
      <c r="H90" s="64"/>
      <c r="I90" s="28"/>
      <c r="J90" s="28"/>
      <c r="K90" s="65" t="str">
        <f aca="false">IF($A90="","",IF(OR($C90="Decision",$C90="Conflict"),IF(COUNTIFS($I$2:$I$1001,$A90,$C$2:$C$1001,"Resolved")=0,"Open","Closed"),IF(AND($H90="Unconfirmed",OR($C90="New",$C90="Know")),IF(COUNTIFS($I$2:$I$1001,$A90,$C$2:$C$1001,"Confirmed")=0,"Unconfirmed","Confirmed"),"Logged")))</f>
        <v/>
      </c>
      <c r="L90" s="65" t="str">
        <f aca="false">IF($A90="","",AsOf-$B90)</f>
        <v/>
      </c>
      <c r="M90" s="65" t="str">
        <f aca="false">IF($K90="Open",IF($C90="Conflict","Critical",IF($L90&gt;=DecisionCritical,"Critical",IF($L90&gt;=DecisionWarn,"Warning","On track"))),IF($K90="Unconfirmed",IF($L90&gt;=UnconfirmedWarn,"Warning","On track"),""))</f>
        <v/>
      </c>
      <c r="N90" s="65" t="str">
        <f aca="false">IF($M90="","",IF($M90="Critical",3000,IF($M90="Warning",2000,1000))+$L90+ROW()/100000)</f>
        <v/>
      </c>
      <c r="O90" s="65" t="str">
        <f aca="false">IF($K90="Open",IF($C90="Conflict","decide "&amp;$A90&amp;": &lt;which version stands&gt;","decide "&amp;$A90&amp;": &lt;outcome&gt;"),IF($K90="Unconfirmed","confirm "&amp;$A90,""))</f>
        <v/>
      </c>
      <c r="P90" s="65" t="str">
        <f aca="false">IF(AND($C90="New",$B90&gt;=WeekStart),$B90+ROW()/100000,"")</f>
        <v/>
      </c>
      <c r="Q90" s="65" t="str">
        <f aca="false">IF(AND($C90="Know",$B90&gt;=WeekStart),$B90+ROW()/100000,"")</f>
        <v/>
      </c>
      <c r="R90" s="65" t="str">
        <f aca="false">IF(AND($K90="Open",$C90="Decision"),$L90+ROW()/100000,"")</f>
        <v/>
      </c>
      <c r="S90" s="65" t="str">
        <f aca="false">IF(AND($J90&lt;&gt;"",$J90=UCSel),$B90+ROW()/100000,"")</f>
        <v/>
      </c>
    </row>
    <row r="91" customFormat="false" ht="15" hidden="false" customHeight="false" outlineLevel="0" collapsed="false">
      <c r="A91" s="28"/>
      <c r="B91" s="63"/>
      <c r="C91" s="64"/>
      <c r="D91" s="28"/>
      <c r="E91" s="28"/>
      <c r="F91" s="28"/>
      <c r="G91" s="64"/>
      <c r="H91" s="64"/>
      <c r="I91" s="28"/>
      <c r="J91" s="28"/>
      <c r="K91" s="65" t="str">
        <f aca="false">IF($A91="","",IF(OR($C91="Decision",$C91="Conflict"),IF(COUNTIFS($I$2:$I$1001,$A91,$C$2:$C$1001,"Resolved")=0,"Open","Closed"),IF(AND($H91="Unconfirmed",OR($C91="New",$C91="Know")),IF(COUNTIFS($I$2:$I$1001,$A91,$C$2:$C$1001,"Confirmed")=0,"Unconfirmed","Confirmed"),"Logged")))</f>
        <v/>
      </c>
      <c r="L91" s="65" t="str">
        <f aca="false">IF($A91="","",AsOf-$B91)</f>
        <v/>
      </c>
      <c r="M91" s="65" t="str">
        <f aca="false">IF($K91="Open",IF($C91="Conflict","Critical",IF($L91&gt;=DecisionCritical,"Critical",IF($L91&gt;=DecisionWarn,"Warning","On track"))),IF($K91="Unconfirmed",IF($L91&gt;=UnconfirmedWarn,"Warning","On track"),""))</f>
        <v/>
      </c>
      <c r="N91" s="65" t="str">
        <f aca="false">IF($M91="","",IF($M91="Critical",3000,IF($M91="Warning",2000,1000))+$L91+ROW()/100000)</f>
        <v/>
      </c>
      <c r="O91" s="65" t="str">
        <f aca="false">IF($K91="Open",IF($C91="Conflict","decide "&amp;$A91&amp;": &lt;which version stands&gt;","decide "&amp;$A91&amp;": &lt;outcome&gt;"),IF($K91="Unconfirmed","confirm "&amp;$A91,""))</f>
        <v/>
      </c>
      <c r="P91" s="65" t="str">
        <f aca="false">IF(AND($C91="New",$B91&gt;=WeekStart),$B91+ROW()/100000,"")</f>
        <v/>
      </c>
      <c r="Q91" s="65" t="str">
        <f aca="false">IF(AND($C91="Know",$B91&gt;=WeekStart),$B91+ROW()/100000,"")</f>
        <v/>
      </c>
      <c r="R91" s="65" t="str">
        <f aca="false">IF(AND($K91="Open",$C91="Decision"),$L91+ROW()/100000,"")</f>
        <v/>
      </c>
      <c r="S91" s="65" t="str">
        <f aca="false">IF(AND($J91&lt;&gt;"",$J91=UCSel),$B91+ROW()/100000,"")</f>
        <v/>
      </c>
    </row>
    <row r="92" customFormat="false" ht="15" hidden="false" customHeight="false" outlineLevel="0" collapsed="false">
      <c r="A92" s="28"/>
      <c r="B92" s="63"/>
      <c r="C92" s="64"/>
      <c r="D92" s="28"/>
      <c r="E92" s="28"/>
      <c r="F92" s="28"/>
      <c r="G92" s="64"/>
      <c r="H92" s="64"/>
      <c r="I92" s="28"/>
      <c r="J92" s="28"/>
      <c r="K92" s="65" t="str">
        <f aca="false">IF($A92="","",IF(OR($C92="Decision",$C92="Conflict"),IF(COUNTIFS($I$2:$I$1001,$A92,$C$2:$C$1001,"Resolved")=0,"Open","Closed"),IF(AND($H92="Unconfirmed",OR($C92="New",$C92="Know")),IF(COUNTIFS($I$2:$I$1001,$A92,$C$2:$C$1001,"Confirmed")=0,"Unconfirmed","Confirmed"),"Logged")))</f>
        <v/>
      </c>
      <c r="L92" s="65" t="str">
        <f aca="false">IF($A92="","",AsOf-$B92)</f>
        <v/>
      </c>
      <c r="M92" s="65" t="str">
        <f aca="false">IF($K92="Open",IF($C92="Conflict","Critical",IF($L92&gt;=DecisionCritical,"Critical",IF($L92&gt;=DecisionWarn,"Warning","On track"))),IF($K92="Unconfirmed",IF($L92&gt;=UnconfirmedWarn,"Warning","On track"),""))</f>
        <v/>
      </c>
      <c r="N92" s="65" t="str">
        <f aca="false">IF($M92="","",IF($M92="Critical",3000,IF($M92="Warning",2000,1000))+$L92+ROW()/100000)</f>
        <v/>
      </c>
      <c r="O92" s="65" t="str">
        <f aca="false">IF($K92="Open",IF($C92="Conflict","decide "&amp;$A92&amp;": &lt;which version stands&gt;","decide "&amp;$A92&amp;": &lt;outcome&gt;"),IF($K92="Unconfirmed","confirm "&amp;$A92,""))</f>
        <v/>
      </c>
      <c r="P92" s="65" t="str">
        <f aca="false">IF(AND($C92="New",$B92&gt;=WeekStart),$B92+ROW()/100000,"")</f>
        <v/>
      </c>
      <c r="Q92" s="65" t="str">
        <f aca="false">IF(AND($C92="Know",$B92&gt;=WeekStart),$B92+ROW()/100000,"")</f>
        <v/>
      </c>
      <c r="R92" s="65" t="str">
        <f aca="false">IF(AND($K92="Open",$C92="Decision"),$L92+ROW()/100000,"")</f>
        <v/>
      </c>
      <c r="S92" s="65" t="str">
        <f aca="false">IF(AND($J92&lt;&gt;"",$J92=UCSel),$B92+ROW()/100000,"")</f>
        <v/>
      </c>
    </row>
    <row r="93" customFormat="false" ht="15" hidden="false" customHeight="false" outlineLevel="0" collapsed="false">
      <c r="A93" s="28"/>
      <c r="B93" s="63"/>
      <c r="C93" s="64"/>
      <c r="D93" s="28"/>
      <c r="E93" s="28"/>
      <c r="F93" s="28"/>
      <c r="G93" s="64"/>
      <c r="H93" s="64"/>
      <c r="I93" s="28"/>
      <c r="J93" s="28"/>
      <c r="K93" s="65" t="str">
        <f aca="false">IF($A93="","",IF(OR($C93="Decision",$C93="Conflict"),IF(COUNTIFS($I$2:$I$1001,$A93,$C$2:$C$1001,"Resolved")=0,"Open","Closed"),IF(AND($H93="Unconfirmed",OR($C93="New",$C93="Know")),IF(COUNTIFS($I$2:$I$1001,$A93,$C$2:$C$1001,"Confirmed")=0,"Unconfirmed","Confirmed"),"Logged")))</f>
        <v/>
      </c>
      <c r="L93" s="65" t="str">
        <f aca="false">IF($A93="","",AsOf-$B93)</f>
        <v/>
      </c>
      <c r="M93" s="65" t="str">
        <f aca="false">IF($K93="Open",IF($C93="Conflict","Critical",IF($L93&gt;=DecisionCritical,"Critical",IF($L93&gt;=DecisionWarn,"Warning","On track"))),IF($K93="Unconfirmed",IF($L93&gt;=UnconfirmedWarn,"Warning","On track"),""))</f>
        <v/>
      </c>
      <c r="N93" s="65" t="str">
        <f aca="false">IF($M93="","",IF($M93="Critical",3000,IF($M93="Warning",2000,1000))+$L93+ROW()/100000)</f>
        <v/>
      </c>
      <c r="O93" s="65" t="str">
        <f aca="false">IF($K93="Open",IF($C93="Conflict","decide "&amp;$A93&amp;": &lt;which version stands&gt;","decide "&amp;$A93&amp;": &lt;outcome&gt;"),IF($K93="Unconfirmed","confirm "&amp;$A93,""))</f>
        <v/>
      </c>
      <c r="P93" s="65" t="str">
        <f aca="false">IF(AND($C93="New",$B93&gt;=WeekStart),$B93+ROW()/100000,"")</f>
        <v/>
      </c>
      <c r="Q93" s="65" t="str">
        <f aca="false">IF(AND($C93="Know",$B93&gt;=WeekStart),$B93+ROW()/100000,"")</f>
        <v/>
      </c>
      <c r="R93" s="65" t="str">
        <f aca="false">IF(AND($K93="Open",$C93="Decision"),$L93+ROW()/100000,"")</f>
        <v/>
      </c>
      <c r="S93" s="65" t="str">
        <f aca="false">IF(AND($J93&lt;&gt;"",$J93=UCSel),$B93+ROW()/100000,"")</f>
        <v/>
      </c>
    </row>
    <row r="94" customFormat="false" ht="15" hidden="false" customHeight="false" outlineLevel="0" collapsed="false">
      <c r="A94" s="28"/>
      <c r="B94" s="63"/>
      <c r="C94" s="64"/>
      <c r="D94" s="28"/>
      <c r="E94" s="28"/>
      <c r="F94" s="28"/>
      <c r="G94" s="64"/>
      <c r="H94" s="64"/>
      <c r="I94" s="28"/>
      <c r="J94" s="28"/>
      <c r="K94" s="65" t="str">
        <f aca="false">IF($A94="","",IF(OR($C94="Decision",$C94="Conflict"),IF(COUNTIFS($I$2:$I$1001,$A94,$C$2:$C$1001,"Resolved")=0,"Open","Closed"),IF(AND($H94="Unconfirmed",OR($C94="New",$C94="Know")),IF(COUNTIFS($I$2:$I$1001,$A94,$C$2:$C$1001,"Confirmed")=0,"Unconfirmed","Confirmed"),"Logged")))</f>
        <v/>
      </c>
      <c r="L94" s="65" t="str">
        <f aca="false">IF($A94="","",AsOf-$B94)</f>
        <v/>
      </c>
      <c r="M94" s="65" t="str">
        <f aca="false">IF($K94="Open",IF($C94="Conflict","Critical",IF($L94&gt;=DecisionCritical,"Critical",IF($L94&gt;=DecisionWarn,"Warning","On track"))),IF($K94="Unconfirmed",IF($L94&gt;=UnconfirmedWarn,"Warning","On track"),""))</f>
        <v/>
      </c>
      <c r="N94" s="65" t="str">
        <f aca="false">IF($M94="","",IF($M94="Critical",3000,IF($M94="Warning",2000,1000))+$L94+ROW()/100000)</f>
        <v/>
      </c>
      <c r="O94" s="65" t="str">
        <f aca="false">IF($K94="Open",IF($C94="Conflict","decide "&amp;$A94&amp;": &lt;which version stands&gt;","decide "&amp;$A94&amp;": &lt;outcome&gt;"),IF($K94="Unconfirmed","confirm "&amp;$A94,""))</f>
        <v/>
      </c>
      <c r="P94" s="65" t="str">
        <f aca="false">IF(AND($C94="New",$B94&gt;=WeekStart),$B94+ROW()/100000,"")</f>
        <v/>
      </c>
      <c r="Q94" s="65" t="str">
        <f aca="false">IF(AND($C94="Know",$B94&gt;=WeekStart),$B94+ROW()/100000,"")</f>
        <v/>
      </c>
      <c r="R94" s="65" t="str">
        <f aca="false">IF(AND($K94="Open",$C94="Decision"),$L94+ROW()/100000,"")</f>
        <v/>
      </c>
      <c r="S94" s="65" t="str">
        <f aca="false">IF(AND($J94&lt;&gt;"",$J94=UCSel),$B94+ROW()/100000,"")</f>
        <v/>
      </c>
    </row>
    <row r="95" customFormat="false" ht="15" hidden="false" customHeight="false" outlineLevel="0" collapsed="false">
      <c r="A95" s="28"/>
      <c r="B95" s="63"/>
      <c r="C95" s="64"/>
      <c r="D95" s="28"/>
      <c r="E95" s="28"/>
      <c r="F95" s="28"/>
      <c r="G95" s="64"/>
      <c r="H95" s="64"/>
      <c r="I95" s="28"/>
      <c r="J95" s="28"/>
      <c r="K95" s="65" t="str">
        <f aca="false">IF($A95="","",IF(OR($C95="Decision",$C95="Conflict"),IF(COUNTIFS($I$2:$I$1001,$A95,$C$2:$C$1001,"Resolved")=0,"Open","Closed"),IF(AND($H95="Unconfirmed",OR($C95="New",$C95="Know")),IF(COUNTIFS($I$2:$I$1001,$A95,$C$2:$C$1001,"Confirmed")=0,"Unconfirmed","Confirmed"),"Logged")))</f>
        <v/>
      </c>
      <c r="L95" s="65" t="str">
        <f aca="false">IF($A95="","",AsOf-$B95)</f>
        <v/>
      </c>
      <c r="M95" s="65" t="str">
        <f aca="false">IF($K95="Open",IF($C95="Conflict","Critical",IF($L95&gt;=DecisionCritical,"Critical",IF($L95&gt;=DecisionWarn,"Warning","On track"))),IF($K95="Unconfirmed",IF($L95&gt;=UnconfirmedWarn,"Warning","On track"),""))</f>
        <v/>
      </c>
      <c r="N95" s="65" t="str">
        <f aca="false">IF($M95="","",IF($M95="Critical",3000,IF($M95="Warning",2000,1000))+$L95+ROW()/100000)</f>
        <v/>
      </c>
      <c r="O95" s="65" t="str">
        <f aca="false">IF($K95="Open",IF($C95="Conflict","decide "&amp;$A95&amp;": &lt;which version stands&gt;","decide "&amp;$A95&amp;": &lt;outcome&gt;"),IF($K95="Unconfirmed","confirm "&amp;$A95,""))</f>
        <v/>
      </c>
      <c r="P95" s="65" t="str">
        <f aca="false">IF(AND($C95="New",$B95&gt;=WeekStart),$B95+ROW()/100000,"")</f>
        <v/>
      </c>
      <c r="Q95" s="65" t="str">
        <f aca="false">IF(AND($C95="Know",$B95&gt;=WeekStart),$B95+ROW()/100000,"")</f>
        <v/>
      </c>
      <c r="R95" s="65" t="str">
        <f aca="false">IF(AND($K95="Open",$C95="Decision"),$L95+ROW()/100000,"")</f>
        <v/>
      </c>
      <c r="S95" s="65" t="str">
        <f aca="false">IF(AND($J95&lt;&gt;"",$J95=UCSel),$B95+ROW()/100000,"")</f>
        <v/>
      </c>
    </row>
    <row r="96" customFormat="false" ht="15" hidden="false" customHeight="false" outlineLevel="0" collapsed="false">
      <c r="A96" s="28"/>
      <c r="B96" s="63"/>
      <c r="C96" s="64"/>
      <c r="D96" s="28"/>
      <c r="E96" s="28"/>
      <c r="F96" s="28"/>
      <c r="G96" s="64"/>
      <c r="H96" s="64"/>
      <c r="I96" s="28"/>
      <c r="J96" s="28"/>
      <c r="K96" s="65" t="str">
        <f aca="false">IF($A96="","",IF(OR($C96="Decision",$C96="Conflict"),IF(COUNTIFS($I$2:$I$1001,$A96,$C$2:$C$1001,"Resolved")=0,"Open","Closed"),IF(AND($H96="Unconfirmed",OR($C96="New",$C96="Know")),IF(COUNTIFS($I$2:$I$1001,$A96,$C$2:$C$1001,"Confirmed")=0,"Unconfirmed","Confirmed"),"Logged")))</f>
        <v/>
      </c>
      <c r="L96" s="65" t="str">
        <f aca="false">IF($A96="","",AsOf-$B96)</f>
        <v/>
      </c>
      <c r="M96" s="65" t="str">
        <f aca="false">IF($K96="Open",IF($C96="Conflict","Critical",IF($L96&gt;=DecisionCritical,"Critical",IF($L96&gt;=DecisionWarn,"Warning","On track"))),IF($K96="Unconfirmed",IF($L96&gt;=UnconfirmedWarn,"Warning","On track"),""))</f>
        <v/>
      </c>
      <c r="N96" s="65" t="str">
        <f aca="false">IF($M96="","",IF($M96="Critical",3000,IF($M96="Warning",2000,1000))+$L96+ROW()/100000)</f>
        <v/>
      </c>
      <c r="O96" s="65" t="str">
        <f aca="false">IF($K96="Open",IF($C96="Conflict","decide "&amp;$A96&amp;": &lt;which version stands&gt;","decide "&amp;$A96&amp;": &lt;outcome&gt;"),IF($K96="Unconfirmed","confirm "&amp;$A96,""))</f>
        <v/>
      </c>
      <c r="P96" s="65" t="str">
        <f aca="false">IF(AND($C96="New",$B96&gt;=WeekStart),$B96+ROW()/100000,"")</f>
        <v/>
      </c>
      <c r="Q96" s="65" t="str">
        <f aca="false">IF(AND($C96="Know",$B96&gt;=WeekStart),$B96+ROW()/100000,"")</f>
        <v/>
      </c>
      <c r="R96" s="65" t="str">
        <f aca="false">IF(AND($K96="Open",$C96="Decision"),$L96+ROW()/100000,"")</f>
        <v/>
      </c>
      <c r="S96" s="65" t="str">
        <f aca="false">IF(AND($J96&lt;&gt;"",$J96=UCSel),$B96+ROW()/100000,"")</f>
        <v/>
      </c>
    </row>
    <row r="97" customFormat="false" ht="15" hidden="false" customHeight="false" outlineLevel="0" collapsed="false">
      <c r="A97" s="28"/>
      <c r="B97" s="63"/>
      <c r="C97" s="64"/>
      <c r="D97" s="28"/>
      <c r="E97" s="28"/>
      <c r="F97" s="28"/>
      <c r="G97" s="64"/>
      <c r="H97" s="64"/>
      <c r="I97" s="28"/>
      <c r="J97" s="28"/>
      <c r="K97" s="65" t="str">
        <f aca="false">IF($A97="","",IF(OR($C97="Decision",$C97="Conflict"),IF(COUNTIFS($I$2:$I$1001,$A97,$C$2:$C$1001,"Resolved")=0,"Open","Closed"),IF(AND($H97="Unconfirmed",OR($C97="New",$C97="Know")),IF(COUNTIFS($I$2:$I$1001,$A97,$C$2:$C$1001,"Confirmed")=0,"Unconfirmed","Confirmed"),"Logged")))</f>
        <v/>
      </c>
      <c r="L97" s="65" t="str">
        <f aca="false">IF($A97="","",AsOf-$B97)</f>
        <v/>
      </c>
      <c r="M97" s="65" t="str">
        <f aca="false">IF($K97="Open",IF($C97="Conflict","Critical",IF($L97&gt;=DecisionCritical,"Critical",IF($L97&gt;=DecisionWarn,"Warning","On track"))),IF($K97="Unconfirmed",IF($L97&gt;=UnconfirmedWarn,"Warning","On track"),""))</f>
        <v/>
      </c>
      <c r="N97" s="65" t="str">
        <f aca="false">IF($M97="","",IF($M97="Critical",3000,IF($M97="Warning",2000,1000))+$L97+ROW()/100000)</f>
        <v/>
      </c>
      <c r="O97" s="65" t="str">
        <f aca="false">IF($K97="Open",IF($C97="Conflict","decide "&amp;$A97&amp;": &lt;which version stands&gt;","decide "&amp;$A97&amp;": &lt;outcome&gt;"),IF($K97="Unconfirmed","confirm "&amp;$A97,""))</f>
        <v/>
      </c>
      <c r="P97" s="65" t="str">
        <f aca="false">IF(AND($C97="New",$B97&gt;=WeekStart),$B97+ROW()/100000,"")</f>
        <v/>
      </c>
      <c r="Q97" s="65" t="str">
        <f aca="false">IF(AND($C97="Know",$B97&gt;=WeekStart),$B97+ROW()/100000,"")</f>
        <v/>
      </c>
      <c r="R97" s="65" t="str">
        <f aca="false">IF(AND($K97="Open",$C97="Decision"),$L97+ROW()/100000,"")</f>
        <v/>
      </c>
      <c r="S97" s="65" t="str">
        <f aca="false">IF(AND($J97&lt;&gt;"",$J97=UCSel),$B97+ROW()/100000,"")</f>
        <v/>
      </c>
    </row>
    <row r="98" customFormat="false" ht="15" hidden="false" customHeight="false" outlineLevel="0" collapsed="false">
      <c r="A98" s="28"/>
      <c r="B98" s="63"/>
      <c r="C98" s="64"/>
      <c r="D98" s="28"/>
      <c r="E98" s="28"/>
      <c r="F98" s="28"/>
      <c r="G98" s="64"/>
      <c r="H98" s="64"/>
      <c r="I98" s="28"/>
      <c r="J98" s="28"/>
      <c r="K98" s="65" t="str">
        <f aca="false">IF($A98="","",IF(OR($C98="Decision",$C98="Conflict"),IF(COUNTIFS($I$2:$I$1001,$A98,$C$2:$C$1001,"Resolved")=0,"Open","Closed"),IF(AND($H98="Unconfirmed",OR($C98="New",$C98="Know")),IF(COUNTIFS($I$2:$I$1001,$A98,$C$2:$C$1001,"Confirmed")=0,"Unconfirmed","Confirmed"),"Logged")))</f>
        <v/>
      </c>
      <c r="L98" s="65" t="str">
        <f aca="false">IF($A98="","",AsOf-$B98)</f>
        <v/>
      </c>
      <c r="M98" s="65" t="str">
        <f aca="false">IF($K98="Open",IF($C98="Conflict","Critical",IF($L98&gt;=DecisionCritical,"Critical",IF($L98&gt;=DecisionWarn,"Warning","On track"))),IF($K98="Unconfirmed",IF($L98&gt;=UnconfirmedWarn,"Warning","On track"),""))</f>
        <v/>
      </c>
      <c r="N98" s="65" t="str">
        <f aca="false">IF($M98="","",IF($M98="Critical",3000,IF($M98="Warning",2000,1000))+$L98+ROW()/100000)</f>
        <v/>
      </c>
      <c r="O98" s="65" t="str">
        <f aca="false">IF($K98="Open",IF($C98="Conflict","decide "&amp;$A98&amp;": &lt;which version stands&gt;","decide "&amp;$A98&amp;": &lt;outcome&gt;"),IF($K98="Unconfirmed","confirm "&amp;$A98,""))</f>
        <v/>
      </c>
      <c r="P98" s="65" t="str">
        <f aca="false">IF(AND($C98="New",$B98&gt;=WeekStart),$B98+ROW()/100000,"")</f>
        <v/>
      </c>
      <c r="Q98" s="65" t="str">
        <f aca="false">IF(AND($C98="Know",$B98&gt;=WeekStart),$B98+ROW()/100000,"")</f>
        <v/>
      </c>
      <c r="R98" s="65" t="str">
        <f aca="false">IF(AND($K98="Open",$C98="Decision"),$L98+ROW()/100000,"")</f>
        <v/>
      </c>
      <c r="S98" s="65" t="str">
        <f aca="false">IF(AND($J98&lt;&gt;"",$J98=UCSel),$B98+ROW()/100000,"")</f>
        <v/>
      </c>
    </row>
    <row r="99" customFormat="false" ht="15" hidden="false" customHeight="false" outlineLevel="0" collapsed="false">
      <c r="A99" s="28"/>
      <c r="B99" s="63"/>
      <c r="C99" s="64"/>
      <c r="D99" s="28"/>
      <c r="E99" s="28"/>
      <c r="F99" s="28"/>
      <c r="G99" s="64"/>
      <c r="H99" s="64"/>
      <c r="I99" s="28"/>
      <c r="J99" s="28"/>
      <c r="K99" s="65" t="str">
        <f aca="false">IF($A99="","",IF(OR($C99="Decision",$C99="Conflict"),IF(COUNTIFS($I$2:$I$1001,$A99,$C$2:$C$1001,"Resolved")=0,"Open","Closed"),IF(AND($H99="Unconfirmed",OR($C99="New",$C99="Know")),IF(COUNTIFS($I$2:$I$1001,$A99,$C$2:$C$1001,"Confirmed")=0,"Unconfirmed","Confirmed"),"Logged")))</f>
        <v/>
      </c>
      <c r="L99" s="65" t="str">
        <f aca="false">IF($A99="","",AsOf-$B99)</f>
        <v/>
      </c>
      <c r="M99" s="65" t="str">
        <f aca="false">IF($K99="Open",IF($C99="Conflict","Critical",IF($L99&gt;=DecisionCritical,"Critical",IF($L99&gt;=DecisionWarn,"Warning","On track"))),IF($K99="Unconfirmed",IF($L99&gt;=UnconfirmedWarn,"Warning","On track"),""))</f>
        <v/>
      </c>
      <c r="N99" s="65" t="str">
        <f aca="false">IF($M99="","",IF($M99="Critical",3000,IF($M99="Warning",2000,1000))+$L99+ROW()/100000)</f>
        <v/>
      </c>
      <c r="O99" s="65" t="str">
        <f aca="false">IF($K99="Open",IF($C99="Conflict","decide "&amp;$A99&amp;": &lt;which version stands&gt;","decide "&amp;$A99&amp;": &lt;outcome&gt;"),IF($K99="Unconfirmed","confirm "&amp;$A99,""))</f>
        <v/>
      </c>
      <c r="P99" s="65" t="str">
        <f aca="false">IF(AND($C99="New",$B99&gt;=WeekStart),$B99+ROW()/100000,"")</f>
        <v/>
      </c>
      <c r="Q99" s="65" t="str">
        <f aca="false">IF(AND($C99="Know",$B99&gt;=WeekStart),$B99+ROW()/100000,"")</f>
        <v/>
      </c>
      <c r="R99" s="65" t="str">
        <f aca="false">IF(AND($K99="Open",$C99="Decision"),$L99+ROW()/100000,"")</f>
        <v/>
      </c>
      <c r="S99" s="65" t="str">
        <f aca="false">IF(AND($J99&lt;&gt;"",$J99=UCSel),$B99+ROW()/100000,"")</f>
        <v/>
      </c>
    </row>
    <row r="100" customFormat="false" ht="15" hidden="false" customHeight="false" outlineLevel="0" collapsed="false">
      <c r="A100" s="28"/>
      <c r="B100" s="63"/>
      <c r="C100" s="64"/>
      <c r="D100" s="28"/>
      <c r="E100" s="28"/>
      <c r="F100" s="28"/>
      <c r="G100" s="64"/>
      <c r="H100" s="64"/>
      <c r="I100" s="28"/>
      <c r="J100" s="28"/>
      <c r="K100" s="65" t="str">
        <f aca="false">IF($A100="","",IF(OR($C100="Decision",$C100="Conflict"),IF(COUNTIFS($I$2:$I$1001,$A100,$C$2:$C$1001,"Resolved")=0,"Open","Closed"),IF(AND($H100="Unconfirmed",OR($C100="New",$C100="Know")),IF(COUNTIFS($I$2:$I$1001,$A100,$C$2:$C$1001,"Confirmed")=0,"Unconfirmed","Confirmed"),"Logged")))</f>
        <v/>
      </c>
      <c r="L100" s="65" t="str">
        <f aca="false">IF($A100="","",AsOf-$B100)</f>
        <v/>
      </c>
      <c r="M100" s="65" t="str">
        <f aca="false">IF($K100="Open",IF($C100="Conflict","Critical",IF($L100&gt;=DecisionCritical,"Critical",IF($L100&gt;=DecisionWarn,"Warning","On track"))),IF($K100="Unconfirmed",IF($L100&gt;=UnconfirmedWarn,"Warning","On track"),""))</f>
        <v/>
      </c>
      <c r="N100" s="65" t="str">
        <f aca="false">IF($M100="","",IF($M100="Critical",3000,IF($M100="Warning",2000,1000))+$L100+ROW()/100000)</f>
        <v/>
      </c>
      <c r="O100" s="65" t="str">
        <f aca="false">IF($K100="Open",IF($C100="Conflict","decide "&amp;$A100&amp;": &lt;which version stands&gt;","decide "&amp;$A100&amp;": &lt;outcome&gt;"),IF($K100="Unconfirmed","confirm "&amp;$A100,""))</f>
        <v/>
      </c>
      <c r="P100" s="65" t="str">
        <f aca="false">IF(AND($C100="New",$B100&gt;=WeekStart),$B100+ROW()/100000,"")</f>
        <v/>
      </c>
      <c r="Q100" s="65" t="str">
        <f aca="false">IF(AND($C100="Know",$B100&gt;=WeekStart),$B100+ROW()/100000,"")</f>
        <v/>
      </c>
      <c r="R100" s="65" t="str">
        <f aca="false">IF(AND($K100="Open",$C100="Decision"),$L100+ROW()/100000,"")</f>
        <v/>
      </c>
      <c r="S100" s="65" t="str">
        <f aca="false">IF(AND($J100&lt;&gt;"",$J100=UCSel),$B100+ROW()/100000,"")</f>
        <v/>
      </c>
    </row>
    <row r="101" customFormat="false" ht="15" hidden="false" customHeight="false" outlineLevel="0" collapsed="false">
      <c r="A101" s="28"/>
      <c r="B101" s="63"/>
      <c r="C101" s="64"/>
      <c r="D101" s="28"/>
      <c r="E101" s="28"/>
      <c r="F101" s="28"/>
      <c r="G101" s="64"/>
      <c r="H101" s="64"/>
      <c r="I101" s="28"/>
      <c r="J101" s="28"/>
      <c r="K101" s="65" t="str">
        <f aca="false">IF($A101="","",IF(OR($C101="Decision",$C101="Conflict"),IF(COUNTIFS($I$2:$I$1001,$A101,$C$2:$C$1001,"Resolved")=0,"Open","Closed"),IF(AND($H101="Unconfirmed",OR($C101="New",$C101="Know")),IF(COUNTIFS($I$2:$I$1001,$A101,$C$2:$C$1001,"Confirmed")=0,"Unconfirmed","Confirmed"),"Logged")))</f>
        <v/>
      </c>
      <c r="L101" s="65" t="str">
        <f aca="false">IF($A101="","",AsOf-$B101)</f>
        <v/>
      </c>
      <c r="M101" s="65" t="str">
        <f aca="false">IF($K101="Open",IF($C101="Conflict","Critical",IF($L101&gt;=DecisionCritical,"Critical",IF($L101&gt;=DecisionWarn,"Warning","On track"))),IF($K101="Unconfirmed",IF($L101&gt;=UnconfirmedWarn,"Warning","On track"),""))</f>
        <v/>
      </c>
      <c r="N101" s="65" t="str">
        <f aca="false">IF($M101="","",IF($M101="Critical",3000,IF($M101="Warning",2000,1000))+$L101+ROW()/100000)</f>
        <v/>
      </c>
      <c r="O101" s="65" t="str">
        <f aca="false">IF($K101="Open",IF($C101="Conflict","decide "&amp;$A101&amp;": &lt;which version stands&gt;","decide "&amp;$A101&amp;": &lt;outcome&gt;"),IF($K101="Unconfirmed","confirm "&amp;$A101,""))</f>
        <v/>
      </c>
      <c r="P101" s="65" t="str">
        <f aca="false">IF(AND($C101="New",$B101&gt;=WeekStart),$B101+ROW()/100000,"")</f>
        <v/>
      </c>
      <c r="Q101" s="65" t="str">
        <f aca="false">IF(AND($C101="Know",$B101&gt;=WeekStart),$B101+ROW()/100000,"")</f>
        <v/>
      </c>
      <c r="R101" s="65" t="str">
        <f aca="false">IF(AND($K101="Open",$C101="Decision"),$L101+ROW()/100000,"")</f>
        <v/>
      </c>
      <c r="S101" s="65" t="str">
        <f aca="false">IF(AND($J101&lt;&gt;"",$J101=UCSel),$B101+ROW()/100000,"")</f>
        <v/>
      </c>
    </row>
    <row r="102" customFormat="false" ht="15" hidden="false" customHeight="false" outlineLevel="0" collapsed="false">
      <c r="A102" s="28"/>
      <c r="B102" s="63"/>
      <c r="C102" s="64"/>
      <c r="D102" s="28"/>
      <c r="E102" s="28"/>
      <c r="F102" s="28"/>
      <c r="G102" s="64"/>
      <c r="H102" s="64"/>
      <c r="I102" s="28"/>
      <c r="J102" s="28"/>
      <c r="K102" s="65" t="str">
        <f aca="false">IF($A102="","",IF(OR($C102="Decision",$C102="Conflict"),IF(COUNTIFS($I$2:$I$1001,$A102,$C$2:$C$1001,"Resolved")=0,"Open","Closed"),IF(AND($H102="Unconfirmed",OR($C102="New",$C102="Know")),IF(COUNTIFS($I$2:$I$1001,$A102,$C$2:$C$1001,"Confirmed")=0,"Unconfirmed","Confirmed"),"Logged")))</f>
        <v/>
      </c>
      <c r="L102" s="65" t="str">
        <f aca="false">IF($A102="","",AsOf-$B102)</f>
        <v/>
      </c>
      <c r="M102" s="65" t="str">
        <f aca="false">IF($K102="Open",IF($C102="Conflict","Critical",IF($L102&gt;=DecisionCritical,"Critical",IF($L102&gt;=DecisionWarn,"Warning","On track"))),IF($K102="Unconfirmed",IF($L102&gt;=UnconfirmedWarn,"Warning","On track"),""))</f>
        <v/>
      </c>
      <c r="N102" s="65" t="str">
        <f aca="false">IF($M102="","",IF($M102="Critical",3000,IF($M102="Warning",2000,1000))+$L102+ROW()/100000)</f>
        <v/>
      </c>
      <c r="O102" s="65" t="str">
        <f aca="false">IF($K102="Open",IF($C102="Conflict","decide "&amp;$A102&amp;": &lt;which version stands&gt;","decide "&amp;$A102&amp;": &lt;outcome&gt;"),IF($K102="Unconfirmed","confirm "&amp;$A102,""))</f>
        <v/>
      </c>
      <c r="P102" s="65" t="str">
        <f aca="false">IF(AND($C102="New",$B102&gt;=WeekStart),$B102+ROW()/100000,"")</f>
        <v/>
      </c>
      <c r="Q102" s="65" t="str">
        <f aca="false">IF(AND($C102="Know",$B102&gt;=WeekStart),$B102+ROW()/100000,"")</f>
        <v/>
      </c>
      <c r="R102" s="65" t="str">
        <f aca="false">IF(AND($K102="Open",$C102="Decision"),$L102+ROW()/100000,"")</f>
        <v/>
      </c>
      <c r="S102" s="65" t="str">
        <f aca="false">IF(AND($J102&lt;&gt;"",$J102=UCSel),$B102+ROW()/100000,"")</f>
        <v/>
      </c>
    </row>
    <row r="103" customFormat="false" ht="15" hidden="false" customHeight="false" outlineLevel="0" collapsed="false">
      <c r="A103" s="28"/>
      <c r="B103" s="63"/>
      <c r="C103" s="64"/>
      <c r="D103" s="28"/>
      <c r="E103" s="28"/>
      <c r="F103" s="28"/>
      <c r="G103" s="64"/>
      <c r="H103" s="64"/>
      <c r="I103" s="28"/>
      <c r="J103" s="28"/>
      <c r="K103" s="65" t="str">
        <f aca="false">IF($A103="","",IF(OR($C103="Decision",$C103="Conflict"),IF(COUNTIFS($I$2:$I$1001,$A103,$C$2:$C$1001,"Resolved")=0,"Open","Closed"),IF(AND($H103="Unconfirmed",OR($C103="New",$C103="Know")),IF(COUNTIFS($I$2:$I$1001,$A103,$C$2:$C$1001,"Confirmed")=0,"Unconfirmed","Confirmed"),"Logged")))</f>
        <v/>
      </c>
      <c r="L103" s="65" t="str">
        <f aca="false">IF($A103="","",AsOf-$B103)</f>
        <v/>
      </c>
      <c r="M103" s="65" t="str">
        <f aca="false">IF($K103="Open",IF($C103="Conflict","Critical",IF($L103&gt;=DecisionCritical,"Critical",IF($L103&gt;=DecisionWarn,"Warning","On track"))),IF($K103="Unconfirmed",IF($L103&gt;=UnconfirmedWarn,"Warning","On track"),""))</f>
        <v/>
      </c>
      <c r="N103" s="65" t="str">
        <f aca="false">IF($M103="","",IF($M103="Critical",3000,IF($M103="Warning",2000,1000))+$L103+ROW()/100000)</f>
        <v/>
      </c>
      <c r="O103" s="65" t="str">
        <f aca="false">IF($K103="Open",IF($C103="Conflict","decide "&amp;$A103&amp;": &lt;which version stands&gt;","decide "&amp;$A103&amp;": &lt;outcome&gt;"),IF($K103="Unconfirmed","confirm "&amp;$A103,""))</f>
        <v/>
      </c>
      <c r="P103" s="65" t="str">
        <f aca="false">IF(AND($C103="New",$B103&gt;=WeekStart),$B103+ROW()/100000,"")</f>
        <v/>
      </c>
      <c r="Q103" s="65" t="str">
        <f aca="false">IF(AND($C103="Know",$B103&gt;=WeekStart),$B103+ROW()/100000,"")</f>
        <v/>
      </c>
      <c r="R103" s="65" t="str">
        <f aca="false">IF(AND($K103="Open",$C103="Decision"),$L103+ROW()/100000,"")</f>
        <v/>
      </c>
      <c r="S103" s="65" t="str">
        <f aca="false">IF(AND($J103&lt;&gt;"",$J103=UCSel),$B103+ROW()/100000,"")</f>
        <v/>
      </c>
    </row>
    <row r="104" customFormat="false" ht="15" hidden="false" customHeight="false" outlineLevel="0" collapsed="false">
      <c r="A104" s="28"/>
      <c r="B104" s="63"/>
      <c r="C104" s="64"/>
      <c r="D104" s="28"/>
      <c r="E104" s="28"/>
      <c r="F104" s="28"/>
      <c r="G104" s="64"/>
      <c r="H104" s="64"/>
      <c r="I104" s="28"/>
      <c r="J104" s="28"/>
      <c r="K104" s="65" t="str">
        <f aca="false">IF($A104="","",IF(OR($C104="Decision",$C104="Conflict"),IF(COUNTIFS($I$2:$I$1001,$A104,$C$2:$C$1001,"Resolved")=0,"Open","Closed"),IF(AND($H104="Unconfirmed",OR($C104="New",$C104="Know")),IF(COUNTIFS($I$2:$I$1001,$A104,$C$2:$C$1001,"Confirmed")=0,"Unconfirmed","Confirmed"),"Logged")))</f>
        <v/>
      </c>
      <c r="L104" s="65" t="str">
        <f aca="false">IF($A104="","",AsOf-$B104)</f>
        <v/>
      </c>
      <c r="M104" s="65" t="str">
        <f aca="false">IF($K104="Open",IF($C104="Conflict","Critical",IF($L104&gt;=DecisionCritical,"Critical",IF($L104&gt;=DecisionWarn,"Warning","On track"))),IF($K104="Unconfirmed",IF($L104&gt;=UnconfirmedWarn,"Warning","On track"),""))</f>
        <v/>
      </c>
      <c r="N104" s="65" t="str">
        <f aca="false">IF($M104="","",IF($M104="Critical",3000,IF($M104="Warning",2000,1000))+$L104+ROW()/100000)</f>
        <v/>
      </c>
      <c r="O104" s="65" t="str">
        <f aca="false">IF($K104="Open",IF($C104="Conflict","decide "&amp;$A104&amp;": &lt;which version stands&gt;","decide "&amp;$A104&amp;": &lt;outcome&gt;"),IF($K104="Unconfirmed","confirm "&amp;$A104,""))</f>
        <v/>
      </c>
      <c r="P104" s="65" t="str">
        <f aca="false">IF(AND($C104="New",$B104&gt;=WeekStart),$B104+ROW()/100000,"")</f>
        <v/>
      </c>
      <c r="Q104" s="65" t="str">
        <f aca="false">IF(AND($C104="Know",$B104&gt;=WeekStart),$B104+ROW()/100000,"")</f>
        <v/>
      </c>
      <c r="R104" s="65" t="str">
        <f aca="false">IF(AND($K104="Open",$C104="Decision"),$L104+ROW()/100000,"")</f>
        <v/>
      </c>
      <c r="S104" s="65" t="str">
        <f aca="false">IF(AND($J104&lt;&gt;"",$J104=UCSel),$B104+ROW()/100000,"")</f>
        <v/>
      </c>
    </row>
    <row r="105" customFormat="false" ht="15" hidden="false" customHeight="false" outlineLevel="0" collapsed="false">
      <c r="A105" s="28"/>
      <c r="B105" s="63"/>
      <c r="C105" s="64"/>
      <c r="D105" s="28"/>
      <c r="E105" s="28"/>
      <c r="F105" s="28"/>
      <c r="G105" s="64"/>
      <c r="H105" s="64"/>
      <c r="I105" s="28"/>
      <c r="J105" s="28"/>
      <c r="K105" s="65" t="str">
        <f aca="false">IF($A105="","",IF(OR($C105="Decision",$C105="Conflict"),IF(COUNTIFS($I$2:$I$1001,$A105,$C$2:$C$1001,"Resolved")=0,"Open","Closed"),IF(AND($H105="Unconfirmed",OR($C105="New",$C105="Know")),IF(COUNTIFS($I$2:$I$1001,$A105,$C$2:$C$1001,"Confirmed")=0,"Unconfirmed","Confirmed"),"Logged")))</f>
        <v/>
      </c>
      <c r="L105" s="65" t="str">
        <f aca="false">IF($A105="","",AsOf-$B105)</f>
        <v/>
      </c>
      <c r="M105" s="65" t="str">
        <f aca="false">IF($K105="Open",IF($C105="Conflict","Critical",IF($L105&gt;=DecisionCritical,"Critical",IF($L105&gt;=DecisionWarn,"Warning","On track"))),IF($K105="Unconfirmed",IF($L105&gt;=UnconfirmedWarn,"Warning","On track"),""))</f>
        <v/>
      </c>
      <c r="N105" s="65" t="str">
        <f aca="false">IF($M105="","",IF($M105="Critical",3000,IF($M105="Warning",2000,1000))+$L105+ROW()/100000)</f>
        <v/>
      </c>
      <c r="O105" s="65" t="str">
        <f aca="false">IF($K105="Open",IF($C105="Conflict","decide "&amp;$A105&amp;": &lt;which version stands&gt;","decide "&amp;$A105&amp;": &lt;outcome&gt;"),IF($K105="Unconfirmed","confirm "&amp;$A105,""))</f>
        <v/>
      </c>
      <c r="P105" s="65" t="str">
        <f aca="false">IF(AND($C105="New",$B105&gt;=WeekStart),$B105+ROW()/100000,"")</f>
        <v/>
      </c>
      <c r="Q105" s="65" t="str">
        <f aca="false">IF(AND($C105="Know",$B105&gt;=WeekStart),$B105+ROW()/100000,"")</f>
        <v/>
      </c>
      <c r="R105" s="65" t="str">
        <f aca="false">IF(AND($K105="Open",$C105="Decision"),$L105+ROW()/100000,"")</f>
        <v/>
      </c>
      <c r="S105" s="65" t="str">
        <f aca="false">IF(AND($J105&lt;&gt;"",$J105=UCSel),$B105+ROW()/100000,"")</f>
        <v/>
      </c>
    </row>
    <row r="106" customFormat="false" ht="15" hidden="false" customHeight="false" outlineLevel="0" collapsed="false">
      <c r="A106" s="28"/>
      <c r="B106" s="63"/>
      <c r="C106" s="64"/>
      <c r="D106" s="28"/>
      <c r="E106" s="28"/>
      <c r="F106" s="28"/>
      <c r="G106" s="64"/>
      <c r="H106" s="64"/>
      <c r="I106" s="28"/>
      <c r="J106" s="28"/>
      <c r="K106" s="65" t="str">
        <f aca="false">IF($A106="","",IF(OR($C106="Decision",$C106="Conflict"),IF(COUNTIFS($I$2:$I$1001,$A106,$C$2:$C$1001,"Resolved")=0,"Open","Closed"),IF(AND($H106="Unconfirmed",OR($C106="New",$C106="Know")),IF(COUNTIFS($I$2:$I$1001,$A106,$C$2:$C$1001,"Confirmed")=0,"Unconfirmed","Confirmed"),"Logged")))</f>
        <v/>
      </c>
      <c r="L106" s="65" t="str">
        <f aca="false">IF($A106="","",AsOf-$B106)</f>
        <v/>
      </c>
      <c r="M106" s="65" t="str">
        <f aca="false">IF($K106="Open",IF($C106="Conflict","Critical",IF($L106&gt;=DecisionCritical,"Critical",IF($L106&gt;=DecisionWarn,"Warning","On track"))),IF($K106="Unconfirmed",IF($L106&gt;=UnconfirmedWarn,"Warning","On track"),""))</f>
        <v/>
      </c>
      <c r="N106" s="65" t="str">
        <f aca="false">IF($M106="","",IF($M106="Critical",3000,IF($M106="Warning",2000,1000))+$L106+ROW()/100000)</f>
        <v/>
      </c>
      <c r="O106" s="65" t="str">
        <f aca="false">IF($K106="Open",IF($C106="Conflict","decide "&amp;$A106&amp;": &lt;which version stands&gt;","decide "&amp;$A106&amp;": &lt;outcome&gt;"),IF($K106="Unconfirmed","confirm "&amp;$A106,""))</f>
        <v/>
      </c>
      <c r="P106" s="65" t="str">
        <f aca="false">IF(AND($C106="New",$B106&gt;=WeekStart),$B106+ROW()/100000,"")</f>
        <v/>
      </c>
      <c r="Q106" s="65" t="str">
        <f aca="false">IF(AND($C106="Know",$B106&gt;=WeekStart),$B106+ROW()/100000,"")</f>
        <v/>
      </c>
      <c r="R106" s="65" t="str">
        <f aca="false">IF(AND($K106="Open",$C106="Decision"),$L106+ROW()/100000,"")</f>
        <v/>
      </c>
      <c r="S106" s="65" t="str">
        <f aca="false">IF(AND($J106&lt;&gt;"",$J106=UCSel),$B106+ROW()/100000,"")</f>
        <v/>
      </c>
    </row>
    <row r="107" customFormat="false" ht="15" hidden="false" customHeight="false" outlineLevel="0" collapsed="false">
      <c r="A107" s="28"/>
      <c r="B107" s="63"/>
      <c r="C107" s="64"/>
      <c r="D107" s="28"/>
      <c r="E107" s="28"/>
      <c r="F107" s="28"/>
      <c r="G107" s="64"/>
      <c r="H107" s="64"/>
      <c r="I107" s="28"/>
      <c r="J107" s="28"/>
      <c r="K107" s="65" t="str">
        <f aca="false">IF($A107="","",IF(OR($C107="Decision",$C107="Conflict"),IF(COUNTIFS($I$2:$I$1001,$A107,$C$2:$C$1001,"Resolved")=0,"Open","Closed"),IF(AND($H107="Unconfirmed",OR($C107="New",$C107="Know")),IF(COUNTIFS($I$2:$I$1001,$A107,$C$2:$C$1001,"Confirmed")=0,"Unconfirmed","Confirmed"),"Logged")))</f>
        <v/>
      </c>
      <c r="L107" s="65" t="str">
        <f aca="false">IF($A107="","",AsOf-$B107)</f>
        <v/>
      </c>
      <c r="M107" s="65" t="str">
        <f aca="false">IF($K107="Open",IF($C107="Conflict","Critical",IF($L107&gt;=DecisionCritical,"Critical",IF($L107&gt;=DecisionWarn,"Warning","On track"))),IF($K107="Unconfirmed",IF($L107&gt;=UnconfirmedWarn,"Warning","On track"),""))</f>
        <v/>
      </c>
      <c r="N107" s="65" t="str">
        <f aca="false">IF($M107="","",IF($M107="Critical",3000,IF($M107="Warning",2000,1000))+$L107+ROW()/100000)</f>
        <v/>
      </c>
      <c r="O107" s="65" t="str">
        <f aca="false">IF($K107="Open",IF($C107="Conflict","decide "&amp;$A107&amp;": &lt;which version stands&gt;","decide "&amp;$A107&amp;": &lt;outcome&gt;"),IF($K107="Unconfirmed","confirm "&amp;$A107,""))</f>
        <v/>
      </c>
      <c r="P107" s="65" t="str">
        <f aca="false">IF(AND($C107="New",$B107&gt;=WeekStart),$B107+ROW()/100000,"")</f>
        <v/>
      </c>
      <c r="Q107" s="65" t="str">
        <f aca="false">IF(AND($C107="Know",$B107&gt;=WeekStart),$B107+ROW()/100000,"")</f>
        <v/>
      </c>
      <c r="R107" s="65" t="str">
        <f aca="false">IF(AND($K107="Open",$C107="Decision"),$L107+ROW()/100000,"")</f>
        <v/>
      </c>
      <c r="S107" s="65" t="str">
        <f aca="false">IF(AND($J107&lt;&gt;"",$J107=UCSel),$B107+ROW()/100000,"")</f>
        <v/>
      </c>
    </row>
    <row r="108" customFormat="false" ht="15" hidden="false" customHeight="false" outlineLevel="0" collapsed="false">
      <c r="A108" s="28"/>
      <c r="B108" s="63"/>
      <c r="C108" s="64"/>
      <c r="D108" s="28"/>
      <c r="E108" s="28"/>
      <c r="F108" s="28"/>
      <c r="G108" s="64"/>
      <c r="H108" s="64"/>
      <c r="I108" s="28"/>
      <c r="J108" s="28"/>
      <c r="K108" s="65" t="str">
        <f aca="false">IF($A108="","",IF(OR($C108="Decision",$C108="Conflict"),IF(COUNTIFS($I$2:$I$1001,$A108,$C$2:$C$1001,"Resolved")=0,"Open","Closed"),IF(AND($H108="Unconfirmed",OR($C108="New",$C108="Know")),IF(COUNTIFS($I$2:$I$1001,$A108,$C$2:$C$1001,"Confirmed")=0,"Unconfirmed","Confirmed"),"Logged")))</f>
        <v/>
      </c>
      <c r="L108" s="65" t="str">
        <f aca="false">IF($A108="","",AsOf-$B108)</f>
        <v/>
      </c>
      <c r="M108" s="65" t="str">
        <f aca="false">IF($K108="Open",IF($C108="Conflict","Critical",IF($L108&gt;=DecisionCritical,"Critical",IF($L108&gt;=DecisionWarn,"Warning","On track"))),IF($K108="Unconfirmed",IF($L108&gt;=UnconfirmedWarn,"Warning","On track"),""))</f>
        <v/>
      </c>
      <c r="N108" s="65" t="str">
        <f aca="false">IF($M108="","",IF($M108="Critical",3000,IF($M108="Warning",2000,1000))+$L108+ROW()/100000)</f>
        <v/>
      </c>
      <c r="O108" s="65" t="str">
        <f aca="false">IF($K108="Open",IF($C108="Conflict","decide "&amp;$A108&amp;": &lt;which version stands&gt;","decide "&amp;$A108&amp;": &lt;outcome&gt;"),IF($K108="Unconfirmed","confirm "&amp;$A108,""))</f>
        <v/>
      </c>
      <c r="P108" s="65" t="str">
        <f aca="false">IF(AND($C108="New",$B108&gt;=WeekStart),$B108+ROW()/100000,"")</f>
        <v/>
      </c>
      <c r="Q108" s="65" t="str">
        <f aca="false">IF(AND($C108="Know",$B108&gt;=WeekStart),$B108+ROW()/100000,"")</f>
        <v/>
      </c>
      <c r="R108" s="65" t="str">
        <f aca="false">IF(AND($K108="Open",$C108="Decision"),$L108+ROW()/100000,"")</f>
        <v/>
      </c>
      <c r="S108" s="65" t="str">
        <f aca="false">IF(AND($J108&lt;&gt;"",$J108=UCSel),$B108+ROW()/100000,"")</f>
        <v/>
      </c>
    </row>
    <row r="109" customFormat="false" ht="15" hidden="false" customHeight="false" outlineLevel="0" collapsed="false">
      <c r="A109" s="28"/>
      <c r="B109" s="63"/>
      <c r="C109" s="64"/>
      <c r="D109" s="28"/>
      <c r="E109" s="28"/>
      <c r="F109" s="28"/>
      <c r="G109" s="64"/>
      <c r="H109" s="64"/>
      <c r="I109" s="28"/>
      <c r="J109" s="28"/>
      <c r="K109" s="65" t="str">
        <f aca="false">IF($A109="","",IF(OR($C109="Decision",$C109="Conflict"),IF(COUNTIFS($I$2:$I$1001,$A109,$C$2:$C$1001,"Resolved")=0,"Open","Closed"),IF(AND($H109="Unconfirmed",OR($C109="New",$C109="Know")),IF(COUNTIFS($I$2:$I$1001,$A109,$C$2:$C$1001,"Confirmed")=0,"Unconfirmed","Confirmed"),"Logged")))</f>
        <v/>
      </c>
      <c r="L109" s="65" t="str">
        <f aca="false">IF($A109="","",AsOf-$B109)</f>
        <v/>
      </c>
      <c r="M109" s="65" t="str">
        <f aca="false">IF($K109="Open",IF($C109="Conflict","Critical",IF($L109&gt;=DecisionCritical,"Critical",IF($L109&gt;=DecisionWarn,"Warning","On track"))),IF($K109="Unconfirmed",IF($L109&gt;=UnconfirmedWarn,"Warning","On track"),""))</f>
        <v/>
      </c>
      <c r="N109" s="65" t="str">
        <f aca="false">IF($M109="","",IF($M109="Critical",3000,IF($M109="Warning",2000,1000))+$L109+ROW()/100000)</f>
        <v/>
      </c>
      <c r="O109" s="65" t="str">
        <f aca="false">IF($K109="Open",IF($C109="Conflict","decide "&amp;$A109&amp;": &lt;which version stands&gt;","decide "&amp;$A109&amp;": &lt;outcome&gt;"),IF($K109="Unconfirmed","confirm "&amp;$A109,""))</f>
        <v/>
      </c>
      <c r="P109" s="65" t="str">
        <f aca="false">IF(AND($C109="New",$B109&gt;=WeekStart),$B109+ROW()/100000,"")</f>
        <v/>
      </c>
      <c r="Q109" s="65" t="str">
        <f aca="false">IF(AND($C109="Know",$B109&gt;=WeekStart),$B109+ROW()/100000,"")</f>
        <v/>
      </c>
      <c r="R109" s="65" t="str">
        <f aca="false">IF(AND($K109="Open",$C109="Decision"),$L109+ROW()/100000,"")</f>
        <v/>
      </c>
      <c r="S109" s="65" t="str">
        <f aca="false">IF(AND($J109&lt;&gt;"",$J109=UCSel),$B109+ROW()/100000,"")</f>
        <v/>
      </c>
    </row>
    <row r="110" customFormat="false" ht="15" hidden="false" customHeight="false" outlineLevel="0" collapsed="false">
      <c r="A110" s="28"/>
      <c r="B110" s="63"/>
      <c r="C110" s="64"/>
      <c r="D110" s="28"/>
      <c r="E110" s="28"/>
      <c r="F110" s="28"/>
      <c r="G110" s="64"/>
      <c r="H110" s="64"/>
      <c r="I110" s="28"/>
      <c r="J110" s="28"/>
      <c r="K110" s="65" t="str">
        <f aca="false">IF($A110="","",IF(OR($C110="Decision",$C110="Conflict"),IF(COUNTIFS($I$2:$I$1001,$A110,$C$2:$C$1001,"Resolved")=0,"Open","Closed"),IF(AND($H110="Unconfirmed",OR($C110="New",$C110="Know")),IF(COUNTIFS($I$2:$I$1001,$A110,$C$2:$C$1001,"Confirmed")=0,"Unconfirmed","Confirmed"),"Logged")))</f>
        <v/>
      </c>
      <c r="L110" s="65" t="str">
        <f aca="false">IF($A110="","",AsOf-$B110)</f>
        <v/>
      </c>
      <c r="M110" s="65" t="str">
        <f aca="false">IF($K110="Open",IF($C110="Conflict","Critical",IF($L110&gt;=DecisionCritical,"Critical",IF($L110&gt;=DecisionWarn,"Warning","On track"))),IF($K110="Unconfirmed",IF($L110&gt;=UnconfirmedWarn,"Warning","On track"),""))</f>
        <v/>
      </c>
      <c r="N110" s="65" t="str">
        <f aca="false">IF($M110="","",IF($M110="Critical",3000,IF($M110="Warning",2000,1000))+$L110+ROW()/100000)</f>
        <v/>
      </c>
      <c r="O110" s="65" t="str">
        <f aca="false">IF($K110="Open",IF($C110="Conflict","decide "&amp;$A110&amp;": &lt;which version stands&gt;","decide "&amp;$A110&amp;": &lt;outcome&gt;"),IF($K110="Unconfirmed","confirm "&amp;$A110,""))</f>
        <v/>
      </c>
      <c r="P110" s="65" t="str">
        <f aca="false">IF(AND($C110="New",$B110&gt;=WeekStart),$B110+ROW()/100000,"")</f>
        <v/>
      </c>
      <c r="Q110" s="65" t="str">
        <f aca="false">IF(AND($C110="Know",$B110&gt;=WeekStart),$B110+ROW()/100000,"")</f>
        <v/>
      </c>
      <c r="R110" s="65" t="str">
        <f aca="false">IF(AND($K110="Open",$C110="Decision"),$L110+ROW()/100000,"")</f>
        <v/>
      </c>
      <c r="S110" s="65" t="str">
        <f aca="false">IF(AND($J110&lt;&gt;"",$J110=UCSel),$B110+ROW()/100000,"")</f>
        <v/>
      </c>
    </row>
    <row r="111" customFormat="false" ht="15" hidden="false" customHeight="false" outlineLevel="0" collapsed="false">
      <c r="A111" s="28"/>
      <c r="B111" s="63"/>
      <c r="C111" s="64"/>
      <c r="D111" s="28"/>
      <c r="E111" s="28"/>
      <c r="F111" s="28"/>
      <c r="G111" s="64"/>
      <c r="H111" s="64"/>
      <c r="I111" s="28"/>
      <c r="J111" s="28"/>
      <c r="K111" s="65" t="str">
        <f aca="false">IF($A111="","",IF(OR($C111="Decision",$C111="Conflict"),IF(COUNTIFS($I$2:$I$1001,$A111,$C$2:$C$1001,"Resolved")=0,"Open","Closed"),IF(AND($H111="Unconfirmed",OR($C111="New",$C111="Know")),IF(COUNTIFS($I$2:$I$1001,$A111,$C$2:$C$1001,"Confirmed")=0,"Unconfirmed","Confirmed"),"Logged")))</f>
        <v/>
      </c>
      <c r="L111" s="65" t="str">
        <f aca="false">IF($A111="","",AsOf-$B111)</f>
        <v/>
      </c>
      <c r="M111" s="65" t="str">
        <f aca="false">IF($K111="Open",IF($C111="Conflict","Critical",IF($L111&gt;=DecisionCritical,"Critical",IF($L111&gt;=DecisionWarn,"Warning","On track"))),IF($K111="Unconfirmed",IF($L111&gt;=UnconfirmedWarn,"Warning","On track"),""))</f>
        <v/>
      </c>
      <c r="N111" s="65" t="str">
        <f aca="false">IF($M111="","",IF($M111="Critical",3000,IF($M111="Warning",2000,1000))+$L111+ROW()/100000)</f>
        <v/>
      </c>
      <c r="O111" s="65" t="str">
        <f aca="false">IF($K111="Open",IF($C111="Conflict","decide "&amp;$A111&amp;": &lt;which version stands&gt;","decide "&amp;$A111&amp;": &lt;outcome&gt;"),IF($K111="Unconfirmed","confirm "&amp;$A111,""))</f>
        <v/>
      </c>
      <c r="P111" s="65" t="str">
        <f aca="false">IF(AND($C111="New",$B111&gt;=WeekStart),$B111+ROW()/100000,"")</f>
        <v/>
      </c>
      <c r="Q111" s="65" t="str">
        <f aca="false">IF(AND($C111="Know",$B111&gt;=WeekStart),$B111+ROW()/100000,"")</f>
        <v/>
      </c>
      <c r="R111" s="65" t="str">
        <f aca="false">IF(AND($K111="Open",$C111="Decision"),$L111+ROW()/100000,"")</f>
        <v/>
      </c>
      <c r="S111" s="65" t="str">
        <f aca="false">IF(AND($J111&lt;&gt;"",$J111=UCSel),$B111+ROW()/100000,"")</f>
        <v/>
      </c>
    </row>
    <row r="112" customFormat="false" ht="15" hidden="false" customHeight="false" outlineLevel="0" collapsed="false">
      <c r="A112" s="28"/>
      <c r="B112" s="63"/>
      <c r="C112" s="64"/>
      <c r="D112" s="28"/>
      <c r="E112" s="28"/>
      <c r="F112" s="28"/>
      <c r="G112" s="64"/>
      <c r="H112" s="64"/>
      <c r="I112" s="28"/>
      <c r="J112" s="28"/>
      <c r="K112" s="65" t="str">
        <f aca="false">IF($A112="","",IF(OR($C112="Decision",$C112="Conflict"),IF(COUNTIFS($I$2:$I$1001,$A112,$C$2:$C$1001,"Resolved")=0,"Open","Closed"),IF(AND($H112="Unconfirmed",OR($C112="New",$C112="Know")),IF(COUNTIFS($I$2:$I$1001,$A112,$C$2:$C$1001,"Confirmed")=0,"Unconfirmed","Confirmed"),"Logged")))</f>
        <v/>
      </c>
      <c r="L112" s="65" t="str">
        <f aca="false">IF($A112="","",AsOf-$B112)</f>
        <v/>
      </c>
      <c r="M112" s="65" t="str">
        <f aca="false">IF($K112="Open",IF($C112="Conflict","Critical",IF($L112&gt;=DecisionCritical,"Critical",IF($L112&gt;=DecisionWarn,"Warning","On track"))),IF($K112="Unconfirmed",IF($L112&gt;=UnconfirmedWarn,"Warning","On track"),""))</f>
        <v/>
      </c>
      <c r="N112" s="65" t="str">
        <f aca="false">IF($M112="","",IF($M112="Critical",3000,IF($M112="Warning",2000,1000))+$L112+ROW()/100000)</f>
        <v/>
      </c>
      <c r="O112" s="65" t="str">
        <f aca="false">IF($K112="Open",IF($C112="Conflict","decide "&amp;$A112&amp;": &lt;which version stands&gt;","decide "&amp;$A112&amp;": &lt;outcome&gt;"),IF($K112="Unconfirmed","confirm "&amp;$A112,""))</f>
        <v/>
      </c>
      <c r="P112" s="65" t="str">
        <f aca="false">IF(AND($C112="New",$B112&gt;=WeekStart),$B112+ROW()/100000,"")</f>
        <v/>
      </c>
      <c r="Q112" s="65" t="str">
        <f aca="false">IF(AND($C112="Know",$B112&gt;=WeekStart),$B112+ROW()/100000,"")</f>
        <v/>
      </c>
      <c r="R112" s="65" t="str">
        <f aca="false">IF(AND($K112="Open",$C112="Decision"),$L112+ROW()/100000,"")</f>
        <v/>
      </c>
      <c r="S112" s="65" t="str">
        <f aca="false">IF(AND($J112&lt;&gt;"",$J112=UCSel),$B112+ROW()/100000,"")</f>
        <v/>
      </c>
    </row>
    <row r="113" customFormat="false" ht="15" hidden="false" customHeight="false" outlineLevel="0" collapsed="false">
      <c r="A113" s="28"/>
      <c r="B113" s="63"/>
      <c r="C113" s="64"/>
      <c r="D113" s="28"/>
      <c r="E113" s="28"/>
      <c r="F113" s="28"/>
      <c r="G113" s="64"/>
      <c r="H113" s="64"/>
      <c r="I113" s="28"/>
      <c r="J113" s="28"/>
      <c r="K113" s="65" t="str">
        <f aca="false">IF($A113="","",IF(OR($C113="Decision",$C113="Conflict"),IF(COUNTIFS($I$2:$I$1001,$A113,$C$2:$C$1001,"Resolved")=0,"Open","Closed"),IF(AND($H113="Unconfirmed",OR($C113="New",$C113="Know")),IF(COUNTIFS($I$2:$I$1001,$A113,$C$2:$C$1001,"Confirmed")=0,"Unconfirmed","Confirmed"),"Logged")))</f>
        <v/>
      </c>
      <c r="L113" s="65" t="str">
        <f aca="false">IF($A113="","",AsOf-$B113)</f>
        <v/>
      </c>
      <c r="M113" s="65" t="str">
        <f aca="false">IF($K113="Open",IF($C113="Conflict","Critical",IF($L113&gt;=DecisionCritical,"Critical",IF($L113&gt;=DecisionWarn,"Warning","On track"))),IF($K113="Unconfirmed",IF($L113&gt;=UnconfirmedWarn,"Warning","On track"),""))</f>
        <v/>
      </c>
      <c r="N113" s="65" t="str">
        <f aca="false">IF($M113="","",IF($M113="Critical",3000,IF($M113="Warning",2000,1000))+$L113+ROW()/100000)</f>
        <v/>
      </c>
      <c r="O113" s="65" t="str">
        <f aca="false">IF($K113="Open",IF($C113="Conflict","decide "&amp;$A113&amp;": &lt;which version stands&gt;","decide "&amp;$A113&amp;": &lt;outcome&gt;"),IF($K113="Unconfirmed","confirm "&amp;$A113,""))</f>
        <v/>
      </c>
      <c r="P113" s="65" t="str">
        <f aca="false">IF(AND($C113="New",$B113&gt;=WeekStart),$B113+ROW()/100000,"")</f>
        <v/>
      </c>
      <c r="Q113" s="65" t="str">
        <f aca="false">IF(AND($C113="Know",$B113&gt;=WeekStart),$B113+ROW()/100000,"")</f>
        <v/>
      </c>
      <c r="R113" s="65" t="str">
        <f aca="false">IF(AND($K113="Open",$C113="Decision"),$L113+ROW()/100000,"")</f>
        <v/>
      </c>
      <c r="S113" s="65" t="str">
        <f aca="false">IF(AND($J113&lt;&gt;"",$J113=UCSel),$B113+ROW()/100000,"")</f>
        <v/>
      </c>
    </row>
    <row r="114" customFormat="false" ht="15" hidden="false" customHeight="false" outlineLevel="0" collapsed="false">
      <c r="A114" s="28"/>
      <c r="B114" s="63"/>
      <c r="C114" s="64"/>
      <c r="D114" s="28"/>
      <c r="E114" s="28"/>
      <c r="F114" s="28"/>
      <c r="G114" s="64"/>
      <c r="H114" s="64"/>
      <c r="I114" s="28"/>
      <c r="J114" s="28"/>
      <c r="K114" s="65" t="str">
        <f aca="false">IF($A114="","",IF(OR($C114="Decision",$C114="Conflict"),IF(COUNTIFS($I$2:$I$1001,$A114,$C$2:$C$1001,"Resolved")=0,"Open","Closed"),IF(AND($H114="Unconfirmed",OR($C114="New",$C114="Know")),IF(COUNTIFS($I$2:$I$1001,$A114,$C$2:$C$1001,"Confirmed")=0,"Unconfirmed","Confirmed"),"Logged")))</f>
        <v/>
      </c>
      <c r="L114" s="65" t="str">
        <f aca="false">IF($A114="","",AsOf-$B114)</f>
        <v/>
      </c>
      <c r="M114" s="65" t="str">
        <f aca="false">IF($K114="Open",IF($C114="Conflict","Critical",IF($L114&gt;=DecisionCritical,"Critical",IF($L114&gt;=DecisionWarn,"Warning","On track"))),IF($K114="Unconfirmed",IF($L114&gt;=UnconfirmedWarn,"Warning","On track"),""))</f>
        <v/>
      </c>
      <c r="N114" s="65" t="str">
        <f aca="false">IF($M114="","",IF($M114="Critical",3000,IF($M114="Warning",2000,1000))+$L114+ROW()/100000)</f>
        <v/>
      </c>
      <c r="O114" s="65" t="str">
        <f aca="false">IF($K114="Open",IF($C114="Conflict","decide "&amp;$A114&amp;": &lt;which version stands&gt;","decide "&amp;$A114&amp;": &lt;outcome&gt;"),IF($K114="Unconfirmed","confirm "&amp;$A114,""))</f>
        <v/>
      </c>
      <c r="P114" s="65" t="str">
        <f aca="false">IF(AND($C114="New",$B114&gt;=WeekStart),$B114+ROW()/100000,"")</f>
        <v/>
      </c>
      <c r="Q114" s="65" t="str">
        <f aca="false">IF(AND($C114="Know",$B114&gt;=WeekStart),$B114+ROW()/100000,"")</f>
        <v/>
      </c>
      <c r="R114" s="65" t="str">
        <f aca="false">IF(AND($K114="Open",$C114="Decision"),$L114+ROW()/100000,"")</f>
        <v/>
      </c>
      <c r="S114" s="65" t="str">
        <f aca="false">IF(AND($J114&lt;&gt;"",$J114=UCSel),$B114+ROW()/100000,"")</f>
        <v/>
      </c>
    </row>
    <row r="115" customFormat="false" ht="15" hidden="false" customHeight="false" outlineLevel="0" collapsed="false">
      <c r="A115" s="28"/>
      <c r="B115" s="63"/>
      <c r="C115" s="64"/>
      <c r="D115" s="28"/>
      <c r="E115" s="28"/>
      <c r="F115" s="28"/>
      <c r="G115" s="64"/>
      <c r="H115" s="64"/>
      <c r="I115" s="28"/>
      <c r="J115" s="28"/>
      <c r="K115" s="65" t="str">
        <f aca="false">IF($A115="","",IF(OR($C115="Decision",$C115="Conflict"),IF(COUNTIFS($I$2:$I$1001,$A115,$C$2:$C$1001,"Resolved")=0,"Open","Closed"),IF(AND($H115="Unconfirmed",OR($C115="New",$C115="Know")),IF(COUNTIFS($I$2:$I$1001,$A115,$C$2:$C$1001,"Confirmed")=0,"Unconfirmed","Confirmed"),"Logged")))</f>
        <v/>
      </c>
      <c r="L115" s="65" t="str">
        <f aca="false">IF($A115="","",AsOf-$B115)</f>
        <v/>
      </c>
      <c r="M115" s="65" t="str">
        <f aca="false">IF($K115="Open",IF($C115="Conflict","Critical",IF($L115&gt;=DecisionCritical,"Critical",IF($L115&gt;=DecisionWarn,"Warning","On track"))),IF($K115="Unconfirmed",IF($L115&gt;=UnconfirmedWarn,"Warning","On track"),""))</f>
        <v/>
      </c>
      <c r="N115" s="65" t="str">
        <f aca="false">IF($M115="","",IF($M115="Critical",3000,IF($M115="Warning",2000,1000))+$L115+ROW()/100000)</f>
        <v/>
      </c>
      <c r="O115" s="65" t="str">
        <f aca="false">IF($K115="Open",IF($C115="Conflict","decide "&amp;$A115&amp;": &lt;which version stands&gt;","decide "&amp;$A115&amp;": &lt;outcome&gt;"),IF($K115="Unconfirmed","confirm "&amp;$A115,""))</f>
        <v/>
      </c>
      <c r="P115" s="65" t="str">
        <f aca="false">IF(AND($C115="New",$B115&gt;=WeekStart),$B115+ROW()/100000,"")</f>
        <v/>
      </c>
      <c r="Q115" s="65" t="str">
        <f aca="false">IF(AND($C115="Know",$B115&gt;=WeekStart),$B115+ROW()/100000,"")</f>
        <v/>
      </c>
      <c r="R115" s="65" t="str">
        <f aca="false">IF(AND($K115="Open",$C115="Decision"),$L115+ROW()/100000,"")</f>
        <v/>
      </c>
      <c r="S115" s="65" t="str">
        <f aca="false">IF(AND($J115&lt;&gt;"",$J115=UCSel),$B115+ROW()/100000,"")</f>
        <v/>
      </c>
    </row>
    <row r="116" customFormat="false" ht="15" hidden="false" customHeight="false" outlineLevel="0" collapsed="false">
      <c r="A116" s="28"/>
      <c r="B116" s="63"/>
      <c r="C116" s="64"/>
      <c r="D116" s="28"/>
      <c r="E116" s="28"/>
      <c r="F116" s="28"/>
      <c r="G116" s="64"/>
      <c r="H116" s="64"/>
      <c r="I116" s="28"/>
      <c r="J116" s="28"/>
      <c r="K116" s="65" t="str">
        <f aca="false">IF($A116="","",IF(OR($C116="Decision",$C116="Conflict"),IF(COUNTIFS($I$2:$I$1001,$A116,$C$2:$C$1001,"Resolved")=0,"Open","Closed"),IF(AND($H116="Unconfirmed",OR($C116="New",$C116="Know")),IF(COUNTIFS($I$2:$I$1001,$A116,$C$2:$C$1001,"Confirmed")=0,"Unconfirmed","Confirmed"),"Logged")))</f>
        <v/>
      </c>
      <c r="L116" s="65" t="str">
        <f aca="false">IF($A116="","",AsOf-$B116)</f>
        <v/>
      </c>
      <c r="M116" s="65" t="str">
        <f aca="false">IF($K116="Open",IF($C116="Conflict","Critical",IF($L116&gt;=DecisionCritical,"Critical",IF($L116&gt;=DecisionWarn,"Warning","On track"))),IF($K116="Unconfirmed",IF($L116&gt;=UnconfirmedWarn,"Warning","On track"),""))</f>
        <v/>
      </c>
      <c r="N116" s="65" t="str">
        <f aca="false">IF($M116="","",IF($M116="Critical",3000,IF($M116="Warning",2000,1000))+$L116+ROW()/100000)</f>
        <v/>
      </c>
      <c r="O116" s="65" t="str">
        <f aca="false">IF($K116="Open",IF($C116="Conflict","decide "&amp;$A116&amp;": &lt;which version stands&gt;","decide "&amp;$A116&amp;": &lt;outcome&gt;"),IF($K116="Unconfirmed","confirm "&amp;$A116,""))</f>
        <v/>
      </c>
      <c r="P116" s="65" t="str">
        <f aca="false">IF(AND($C116="New",$B116&gt;=WeekStart),$B116+ROW()/100000,"")</f>
        <v/>
      </c>
      <c r="Q116" s="65" t="str">
        <f aca="false">IF(AND($C116="Know",$B116&gt;=WeekStart),$B116+ROW()/100000,"")</f>
        <v/>
      </c>
      <c r="R116" s="65" t="str">
        <f aca="false">IF(AND($K116="Open",$C116="Decision"),$L116+ROW()/100000,"")</f>
        <v/>
      </c>
      <c r="S116" s="65" t="str">
        <f aca="false">IF(AND($J116&lt;&gt;"",$J116=UCSel),$B116+ROW()/100000,"")</f>
        <v/>
      </c>
    </row>
    <row r="117" customFormat="false" ht="15" hidden="false" customHeight="false" outlineLevel="0" collapsed="false">
      <c r="A117" s="28"/>
      <c r="B117" s="63"/>
      <c r="C117" s="64"/>
      <c r="D117" s="28"/>
      <c r="E117" s="28"/>
      <c r="F117" s="28"/>
      <c r="G117" s="64"/>
      <c r="H117" s="64"/>
      <c r="I117" s="28"/>
      <c r="J117" s="28"/>
      <c r="K117" s="65" t="str">
        <f aca="false">IF($A117="","",IF(OR($C117="Decision",$C117="Conflict"),IF(COUNTIFS($I$2:$I$1001,$A117,$C$2:$C$1001,"Resolved")=0,"Open","Closed"),IF(AND($H117="Unconfirmed",OR($C117="New",$C117="Know")),IF(COUNTIFS($I$2:$I$1001,$A117,$C$2:$C$1001,"Confirmed")=0,"Unconfirmed","Confirmed"),"Logged")))</f>
        <v/>
      </c>
      <c r="L117" s="65" t="str">
        <f aca="false">IF($A117="","",AsOf-$B117)</f>
        <v/>
      </c>
      <c r="M117" s="65" t="str">
        <f aca="false">IF($K117="Open",IF($C117="Conflict","Critical",IF($L117&gt;=DecisionCritical,"Critical",IF($L117&gt;=DecisionWarn,"Warning","On track"))),IF($K117="Unconfirmed",IF($L117&gt;=UnconfirmedWarn,"Warning","On track"),""))</f>
        <v/>
      </c>
      <c r="N117" s="65" t="str">
        <f aca="false">IF($M117="","",IF($M117="Critical",3000,IF($M117="Warning",2000,1000))+$L117+ROW()/100000)</f>
        <v/>
      </c>
      <c r="O117" s="65" t="str">
        <f aca="false">IF($K117="Open",IF($C117="Conflict","decide "&amp;$A117&amp;": &lt;which version stands&gt;","decide "&amp;$A117&amp;": &lt;outcome&gt;"),IF($K117="Unconfirmed","confirm "&amp;$A117,""))</f>
        <v/>
      </c>
      <c r="P117" s="65" t="str">
        <f aca="false">IF(AND($C117="New",$B117&gt;=WeekStart),$B117+ROW()/100000,"")</f>
        <v/>
      </c>
      <c r="Q117" s="65" t="str">
        <f aca="false">IF(AND($C117="Know",$B117&gt;=WeekStart),$B117+ROW()/100000,"")</f>
        <v/>
      </c>
      <c r="R117" s="65" t="str">
        <f aca="false">IF(AND($K117="Open",$C117="Decision"),$L117+ROW()/100000,"")</f>
        <v/>
      </c>
      <c r="S117" s="65" t="str">
        <f aca="false">IF(AND($J117&lt;&gt;"",$J117=UCSel),$B117+ROW()/100000,"")</f>
        <v/>
      </c>
    </row>
    <row r="118" customFormat="false" ht="15" hidden="false" customHeight="false" outlineLevel="0" collapsed="false">
      <c r="A118" s="28"/>
      <c r="B118" s="63"/>
      <c r="C118" s="64"/>
      <c r="D118" s="28"/>
      <c r="E118" s="28"/>
      <c r="F118" s="28"/>
      <c r="G118" s="64"/>
      <c r="H118" s="64"/>
      <c r="I118" s="28"/>
      <c r="J118" s="28"/>
      <c r="K118" s="65" t="str">
        <f aca="false">IF($A118="","",IF(OR($C118="Decision",$C118="Conflict"),IF(COUNTIFS($I$2:$I$1001,$A118,$C$2:$C$1001,"Resolved")=0,"Open","Closed"),IF(AND($H118="Unconfirmed",OR($C118="New",$C118="Know")),IF(COUNTIFS($I$2:$I$1001,$A118,$C$2:$C$1001,"Confirmed")=0,"Unconfirmed","Confirmed"),"Logged")))</f>
        <v/>
      </c>
      <c r="L118" s="65" t="str">
        <f aca="false">IF($A118="","",AsOf-$B118)</f>
        <v/>
      </c>
      <c r="M118" s="65" t="str">
        <f aca="false">IF($K118="Open",IF($C118="Conflict","Critical",IF($L118&gt;=DecisionCritical,"Critical",IF($L118&gt;=DecisionWarn,"Warning","On track"))),IF($K118="Unconfirmed",IF($L118&gt;=UnconfirmedWarn,"Warning","On track"),""))</f>
        <v/>
      </c>
      <c r="N118" s="65" t="str">
        <f aca="false">IF($M118="","",IF($M118="Critical",3000,IF($M118="Warning",2000,1000))+$L118+ROW()/100000)</f>
        <v/>
      </c>
      <c r="O118" s="65" t="str">
        <f aca="false">IF($K118="Open",IF($C118="Conflict","decide "&amp;$A118&amp;": &lt;which version stands&gt;","decide "&amp;$A118&amp;": &lt;outcome&gt;"),IF($K118="Unconfirmed","confirm "&amp;$A118,""))</f>
        <v/>
      </c>
      <c r="P118" s="65" t="str">
        <f aca="false">IF(AND($C118="New",$B118&gt;=WeekStart),$B118+ROW()/100000,"")</f>
        <v/>
      </c>
      <c r="Q118" s="65" t="str">
        <f aca="false">IF(AND($C118="Know",$B118&gt;=WeekStart),$B118+ROW()/100000,"")</f>
        <v/>
      </c>
      <c r="R118" s="65" t="str">
        <f aca="false">IF(AND($K118="Open",$C118="Decision"),$L118+ROW()/100000,"")</f>
        <v/>
      </c>
      <c r="S118" s="65" t="str">
        <f aca="false">IF(AND($J118&lt;&gt;"",$J118=UCSel),$B118+ROW()/100000,"")</f>
        <v/>
      </c>
    </row>
    <row r="119" customFormat="false" ht="15" hidden="false" customHeight="false" outlineLevel="0" collapsed="false">
      <c r="A119" s="28"/>
      <c r="B119" s="63"/>
      <c r="C119" s="64"/>
      <c r="D119" s="28"/>
      <c r="E119" s="28"/>
      <c r="F119" s="28"/>
      <c r="G119" s="64"/>
      <c r="H119" s="64"/>
      <c r="I119" s="28"/>
      <c r="J119" s="28"/>
      <c r="K119" s="65" t="str">
        <f aca="false">IF($A119="","",IF(OR($C119="Decision",$C119="Conflict"),IF(COUNTIFS($I$2:$I$1001,$A119,$C$2:$C$1001,"Resolved")=0,"Open","Closed"),IF(AND($H119="Unconfirmed",OR($C119="New",$C119="Know")),IF(COUNTIFS($I$2:$I$1001,$A119,$C$2:$C$1001,"Confirmed")=0,"Unconfirmed","Confirmed"),"Logged")))</f>
        <v/>
      </c>
      <c r="L119" s="65" t="str">
        <f aca="false">IF($A119="","",AsOf-$B119)</f>
        <v/>
      </c>
      <c r="M119" s="65" t="str">
        <f aca="false">IF($K119="Open",IF($C119="Conflict","Critical",IF($L119&gt;=DecisionCritical,"Critical",IF($L119&gt;=DecisionWarn,"Warning","On track"))),IF($K119="Unconfirmed",IF($L119&gt;=UnconfirmedWarn,"Warning","On track"),""))</f>
        <v/>
      </c>
      <c r="N119" s="65" t="str">
        <f aca="false">IF($M119="","",IF($M119="Critical",3000,IF($M119="Warning",2000,1000))+$L119+ROW()/100000)</f>
        <v/>
      </c>
      <c r="O119" s="65" t="str">
        <f aca="false">IF($K119="Open",IF($C119="Conflict","decide "&amp;$A119&amp;": &lt;which version stands&gt;","decide "&amp;$A119&amp;": &lt;outcome&gt;"),IF($K119="Unconfirmed","confirm "&amp;$A119,""))</f>
        <v/>
      </c>
      <c r="P119" s="65" t="str">
        <f aca="false">IF(AND($C119="New",$B119&gt;=WeekStart),$B119+ROW()/100000,"")</f>
        <v/>
      </c>
      <c r="Q119" s="65" t="str">
        <f aca="false">IF(AND($C119="Know",$B119&gt;=WeekStart),$B119+ROW()/100000,"")</f>
        <v/>
      </c>
      <c r="R119" s="65" t="str">
        <f aca="false">IF(AND($K119="Open",$C119="Decision"),$L119+ROW()/100000,"")</f>
        <v/>
      </c>
      <c r="S119" s="65" t="str">
        <f aca="false">IF(AND($J119&lt;&gt;"",$J119=UCSel),$B119+ROW()/100000,"")</f>
        <v/>
      </c>
    </row>
    <row r="120" customFormat="false" ht="15" hidden="false" customHeight="false" outlineLevel="0" collapsed="false">
      <c r="A120" s="28"/>
      <c r="B120" s="63"/>
      <c r="C120" s="64"/>
      <c r="D120" s="28"/>
      <c r="E120" s="28"/>
      <c r="F120" s="28"/>
      <c r="G120" s="64"/>
      <c r="H120" s="64"/>
      <c r="I120" s="28"/>
      <c r="J120" s="28"/>
      <c r="K120" s="65" t="str">
        <f aca="false">IF($A120="","",IF(OR($C120="Decision",$C120="Conflict"),IF(COUNTIFS($I$2:$I$1001,$A120,$C$2:$C$1001,"Resolved")=0,"Open","Closed"),IF(AND($H120="Unconfirmed",OR($C120="New",$C120="Know")),IF(COUNTIFS($I$2:$I$1001,$A120,$C$2:$C$1001,"Confirmed")=0,"Unconfirmed","Confirmed"),"Logged")))</f>
        <v/>
      </c>
      <c r="L120" s="65" t="str">
        <f aca="false">IF($A120="","",AsOf-$B120)</f>
        <v/>
      </c>
      <c r="M120" s="65" t="str">
        <f aca="false">IF($K120="Open",IF($C120="Conflict","Critical",IF($L120&gt;=DecisionCritical,"Critical",IF($L120&gt;=DecisionWarn,"Warning","On track"))),IF($K120="Unconfirmed",IF($L120&gt;=UnconfirmedWarn,"Warning","On track"),""))</f>
        <v/>
      </c>
      <c r="N120" s="65" t="str">
        <f aca="false">IF($M120="","",IF($M120="Critical",3000,IF($M120="Warning",2000,1000))+$L120+ROW()/100000)</f>
        <v/>
      </c>
      <c r="O120" s="65" t="str">
        <f aca="false">IF($K120="Open",IF($C120="Conflict","decide "&amp;$A120&amp;": &lt;which version stands&gt;","decide "&amp;$A120&amp;": &lt;outcome&gt;"),IF($K120="Unconfirmed","confirm "&amp;$A120,""))</f>
        <v/>
      </c>
      <c r="P120" s="65" t="str">
        <f aca="false">IF(AND($C120="New",$B120&gt;=WeekStart),$B120+ROW()/100000,"")</f>
        <v/>
      </c>
      <c r="Q120" s="65" t="str">
        <f aca="false">IF(AND($C120="Know",$B120&gt;=WeekStart),$B120+ROW()/100000,"")</f>
        <v/>
      </c>
      <c r="R120" s="65" t="str">
        <f aca="false">IF(AND($K120="Open",$C120="Decision"),$L120+ROW()/100000,"")</f>
        <v/>
      </c>
      <c r="S120" s="65" t="str">
        <f aca="false">IF(AND($J120&lt;&gt;"",$J120=UCSel),$B120+ROW()/100000,"")</f>
        <v/>
      </c>
    </row>
    <row r="121" customFormat="false" ht="15" hidden="false" customHeight="false" outlineLevel="0" collapsed="false">
      <c r="A121" s="28"/>
      <c r="B121" s="63"/>
      <c r="C121" s="64"/>
      <c r="D121" s="28"/>
      <c r="E121" s="28"/>
      <c r="F121" s="28"/>
      <c r="G121" s="64"/>
      <c r="H121" s="64"/>
      <c r="I121" s="28"/>
      <c r="J121" s="28"/>
      <c r="K121" s="65" t="str">
        <f aca="false">IF($A121="","",IF(OR($C121="Decision",$C121="Conflict"),IF(COUNTIFS($I$2:$I$1001,$A121,$C$2:$C$1001,"Resolved")=0,"Open","Closed"),IF(AND($H121="Unconfirmed",OR($C121="New",$C121="Know")),IF(COUNTIFS($I$2:$I$1001,$A121,$C$2:$C$1001,"Confirmed")=0,"Unconfirmed","Confirmed"),"Logged")))</f>
        <v/>
      </c>
      <c r="L121" s="65" t="str">
        <f aca="false">IF($A121="","",AsOf-$B121)</f>
        <v/>
      </c>
      <c r="M121" s="65" t="str">
        <f aca="false">IF($K121="Open",IF($C121="Conflict","Critical",IF($L121&gt;=DecisionCritical,"Critical",IF($L121&gt;=DecisionWarn,"Warning","On track"))),IF($K121="Unconfirmed",IF($L121&gt;=UnconfirmedWarn,"Warning","On track"),""))</f>
        <v/>
      </c>
      <c r="N121" s="65" t="str">
        <f aca="false">IF($M121="","",IF($M121="Critical",3000,IF($M121="Warning",2000,1000))+$L121+ROW()/100000)</f>
        <v/>
      </c>
      <c r="O121" s="65" t="str">
        <f aca="false">IF($K121="Open",IF($C121="Conflict","decide "&amp;$A121&amp;": &lt;which version stands&gt;","decide "&amp;$A121&amp;": &lt;outcome&gt;"),IF($K121="Unconfirmed","confirm "&amp;$A121,""))</f>
        <v/>
      </c>
      <c r="P121" s="65" t="str">
        <f aca="false">IF(AND($C121="New",$B121&gt;=WeekStart),$B121+ROW()/100000,"")</f>
        <v/>
      </c>
      <c r="Q121" s="65" t="str">
        <f aca="false">IF(AND($C121="Know",$B121&gt;=WeekStart),$B121+ROW()/100000,"")</f>
        <v/>
      </c>
      <c r="R121" s="65" t="str">
        <f aca="false">IF(AND($K121="Open",$C121="Decision"),$L121+ROW()/100000,"")</f>
        <v/>
      </c>
      <c r="S121" s="65" t="str">
        <f aca="false">IF(AND($J121&lt;&gt;"",$J121=UCSel),$B121+ROW()/100000,"")</f>
        <v/>
      </c>
    </row>
    <row r="122" customFormat="false" ht="15" hidden="false" customHeight="false" outlineLevel="0" collapsed="false">
      <c r="A122" s="28"/>
      <c r="B122" s="63"/>
      <c r="C122" s="64"/>
      <c r="D122" s="28"/>
      <c r="E122" s="28"/>
      <c r="F122" s="28"/>
      <c r="G122" s="64"/>
      <c r="H122" s="64"/>
      <c r="I122" s="28"/>
      <c r="J122" s="28"/>
      <c r="K122" s="65" t="str">
        <f aca="false">IF($A122="","",IF(OR($C122="Decision",$C122="Conflict"),IF(COUNTIFS($I$2:$I$1001,$A122,$C$2:$C$1001,"Resolved")=0,"Open","Closed"),IF(AND($H122="Unconfirmed",OR($C122="New",$C122="Know")),IF(COUNTIFS($I$2:$I$1001,$A122,$C$2:$C$1001,"Confirmed")=0,"Unconfirmed","Confirmed"),"Logged")))</f>
        <v/>
      </c>
      <c r="L122" s="65" t="str">
        <f aca="false">IF($A122="","",AsOf-$B122)</f>
        <v/>
      </c>
      <c r="M122" s="65" t="str">
        <f aca="false">IF($K122="Open",IF($C122="Conflict","Critical",IF($L122&gt;=DecisionCritical,"Critical",IF($L122&gt;=DecisionWarn,"Warning","On track"))),IF($K122="Unconfirmed",IF($L122&gt;=UnconfirmedWarn,"Warning","On track"),""))</f>
        <v/>
      </c>
      <c r="N122" s="65" t="str">
        <f aca="false">IF($M122="","",IF($M122="Critical",3000,IF($M122="Warning",2000,1000))+$L122+ROW()/100000)</f>
        <v/>
      </c>
      <c r="O122" s="65" t="str">
        <f aca="false">IF($K122="Open",IF($C122="Conflict","decide "&amp;$A122&amp;": &lt;which version stands&gt;","decide "&amp;$A122&amp;": &lt;outcome&gt;"),IF($K122="Unconfirmed","confirm "&amp;$A122,""))</f>
        <v/>
      </c>
      <c r="P122" s="65" t="str">
        <f aca="false">IF(AND($C122="New",$B122&gt;=WeekStart),$B122+ROW()/100000,"")</f>
        <v/>
      </c>
      <c r="Q122" s="65" t="str">
        <f aca="false">IF(AND($C122="Know",$B122&gt;=WeekStart),$B122+ROW()/100000,"")</f>
        <v/>
      </c>
      <c r="R122" s="65" t="str">
        <f aca="false">IF(AND($K122="Open",$C122="Decision"),$L122+ROW()/100000,"")</f>
        <v/>
      </c>
      <c r="S122" s="65" t="str">
        <f aca="false">IF(AND($J122&lt;&gt;"",$J122=UCSel),$B122+ROW()/100000,"")</f>
        <v/>
      </c>
    </row>
    <row r="123" customFormat="false" ht="15" hidden="false" customHeight="false" outlineLevel="0" collapsed="false">
      <c r="A123" s="28"/>
      <c r="B123" s="63"/>
      <c r="C123" s="64"/>
      <c r="D123" s="28"/>
      <c r="E123" s="28"/>
      <c r="F123" s="28"/>
      <c r="G123" s="64"/>
      <c r="H123" s="64"/>
      <c r="I123" s="28"/>
      <c r="J123" s="28"/>
      <c r="K123" s="65" t="str">
        <f aca="false">IF($A123="","",IF(OR($C123="Decision",$C123="Conflict"),IF(COUNTIFS($I$2:$I$1001,$A123,$C$2:$C$1001,"Resolved")=0,"Open","Closed"),IF(AND($H123="Unconfirmed",OR($C123="New",$C123="Know")),IF(COUNTIFS($I$2:$I$1001,$A123,$C$2:$C$1001,"Confirmed")=0,"Unconfirmed","Confirmed"),"Logged")))</f>
        <v/>
      </c>
      <c r="L123" s="65" t="str">
        <f aca="false">IF($A123="","",AsOf-$B123)</f>
        <v/>
      </c>
      <c r="M123" s="65" t="str">
        <f aca="false">IF($K123="Open",IF($C123="Conflict","Critical",IF($L123&gt;=DecisionCritical,"Critical",IF($L123&gt;=DecisionWarn,"Warning","On track"))),IF($K123="Unconfirmed",IF($L123&gt;=UnconfirmedWarn,"Warning","On track"),""))</f>
        <v/>
      </c>
      <c r="N123" s="65" t="str">
        <f aca="false">IF($M123="","",IF($M123="Critical",3000,IF($M123="Warning",2000,1000))+$L123+ROW()/100000)</f>
        <v/>
      </c>
      <c r="O123" s="65" t="str">
        <f aca="false">IF($K123="Open",IF($C123="Conflict","decide "&amp;$A123&amp;": &lt;which version stands&gt;","decide "&amp;$A123&amp;": &lt;outcome&gt;"),IF($K123="Unconfirmed","confirm "&amp;$A123,""))</f>
        <v/>
      </c>
      <c r="P123" s="65" t="str">
        <f aca="false">IF(AND($C123="New",$B123&gt;=WeekStart),$B123+ROW()/100000,"")</f>
        <v/>
      </c>
      <c r="Q123" s="65" t="str">
        <f aca="false">IF(AND($C123="Know",$B123&gt;=WeekStart),$B123+ROW()/100000,"")</f>
        <v/>
      </c>
      <c r="R123" s="65" t="str">
        <f aca="false">IF(AND($K123="Open",$C123="Decision"),$L123+ROW()/100000,"")</f>
        <v/>
      </c>
      <c r="S123" s="65" t="str">
        <f aca="false">IF(AND($J123&lt;&gt;"",$J123=UCSel),$B123+ROW()/100000,"")</f>
        <v/>
      </c>
    </row>
    <row r="124" customFormat="false" ht="15" hidden="false" customHeight="false" outlineLevel="0" collapsed="false">
      <c r="A124" s="28"/>
      <c r="B124" s="63"/>
      <c r="C124" s="64"/>
      <c r="D124" s="28"/>
      <c r="E124" s="28"/>
      <c r="F124" s="28"/>
      <c r="G124" s="64"/>
      <c r="H124" s="64"/>
      <c r="I124" s="28"/>
      <c r="J124" s="28"/>
      <c r="K124" s="65" t="str">
        <f aca="false">IF($A124="","",IF(OR($C124="Decision",$C124="Conflict"),IF(COUNTIFS($I$2:$I$1001,$A124,$C$2:$C$1001,"Resolved")=0,"Open","Closed"),IF(AND($H124="Unconfirmed",OR($C124="New",$C124="Know")),IF(COUNTIFS($I$2:$I$1001,$A124,$C$2:$C$1001,"Confirmed")=0,"Unconfirmed","Confirmed"),"Logged")))</f>
        <v/>
      </c>
      <c r="L124" s="65" t="str">
        <f aca="false">IF($A124="","",AsOf-$B124)</f>
        <v/>
      </c>
      <c r="M124" s="65" t="str">
        <f aca="false">IF($K124="Open",IF($C124="Conflict","Critical",IF($L124&gt;=DecisionCritical,"Critical",IF($L124&gt;=DecisionWarn,"Warning","On track"))),IF($K124="Unconfirmed",IF($L124&gt;=UnconfirmedWarn,"Warning","On track"),""))</f>
        <v/>
      </c>
      <c r="N124" s="65" t="str">
        <f aca="false">IF($M124="","",IF($M124="Critical",3000,IF($M124="Warning",2000,1000))+$L124+ROW()/100000)</f>
        <v/>
      </c>
      <c r="O124" s="65" t="str">
        <f aca="false">IF($K124="Open",IF($C124="Conflict","decide "&amp;$A124&amp;": &lt;which version stands&gt;","decide "&amp;$A124&amp;": &lt;outcome&gt;"),IF($K124="Unconfirmed","confirm "&amp;$A124,""))</f>
        <v/>
      </c>
      <c r="P124" s="65" t="str">
        <f aca="false">IF(AND($C124="New",$B124&gt;=WeekStart),$B124+ROW()/100000,"")</f>
        <v/>
      </c>
      <c r="Q124" s="65" t="str">
        <f aca="false">IF(AND($C124="Know",$B124&gt;=WeekStart),$B124+ROW()/100000,"")</f>
        <v/>
      </c>
      <c r="R124" s="65" t="str">
        <f aca="false">IF(AND($K124="Open",$C124="Decision"),$L124+ROW()/100000,"")</f>
        <v/>
      </c>
      <c r="S124" s="65" t="str">
        <f aca="false">IF(AND($J124&lt;&gt;"",$J124=UCSel),$B124+ROW()/100000,"")</f>
        <v/>
      </c>
    </row>
    <row r="125" customFormat="false" ht="15" hidden="false" customHeight="false" outlineLevel="0" collapsed="false">
      <c r="A125" s="28"/>
      <c r="B125" s="63"/>
      <c r="C125" s="64"/>
      <c r="D125" s="28"/>
      <c r="E125" s="28"/>
      <c r="F125" s="28"/>
      <c r="G125" s="64"/>
      <c r="H125" s="64"/>
      <c r="I125" s="28"/>
      <c r="J125" s="28"/>
      <c r="K125" s="65" t="str">
        <f aca="false">IF($A125="","",IF(OR($C125="Decision",$C125="Conflict"),IF(COUNTIFS($I$2:$I$1001,$A125,$C$2:$C$1001,"Resolved")=0,"Open","Closed"),IF(AND($H125="Unconfirmed",OR($C125="New",$C125="Know")),IF(COUNTIFS($I$2:$I$1001,$A125,$C$2:$C$1001,"Confirmed")=0,"Unconfirmed","Confirmed"),"Logged")))</f>
        <v/>
      </c>
      <c r="L125" s="65" t="str">
        <f aca="false">IF($A125="","",AsOf-$B125)</f>
        <v/>
      </c>
      <c r="M125" s="65" t="str">
        <f aca="false">IF($K125="Open",IF($C125="Conflict","Critical",IF($L125&gt;=DecisionCritical,"Critical",IF($L125&gt;=DecisionWarn,"Warning","On track"))),IF($K125="Unconfirmed",IF($L125&gt;=UnconfirmedWarn,"Warning","On track"),""))</f>
        <v/>
      </c>
      <c r="N125" s="65" t="str">
        <f aca="false">IF($M125="","",IF($M125="Critical",3000,IF($M125="Warning",2000,1000))+$L125+ROW()/100000)</f>
        <v/>
      </c>
      <c r="O125" s="65" t="str">
        <f aca="false">IF($K125="Open",IF($C125="Conflict","decide "&amp;$A125&amp;": &lt;which version stands&gt;","decide "&amp;$A125&amp;": &lt;outcome&gt;"),IF($K125="Unconfirmed","confirm "&amp;$A125,""))</f>
        <v/>
      </c>
      <c r="P125" s="65" t="str">
        <f aca="false">IF(AND($C125="New",$B125&gt;=WeekStart),$B125+ROW()/100000,"")</f>
        <v/>
      </c>
      <c r="Q125" s="65" t="str">
        <f aca="false">IF(AND($C125="Know",$B125&gt;=WeekStart),$B125+ROW()/100000,"")</f>
        <v/>
      </c>
      <c r="R125" s="65" t="str">
        <f aca="false">IF(AND($K125="Open",$C125="Decision"),$L125+ROW()/100000,"")</f>
        <v/>
      </c>
      <c r="S125" s="65" t="str">
        <f aca="false">IF(AND($J125&lt;&gt;"",$J125=UCSel),$B125+ROW()/100000,"")</f>
        <v/>
      </c>
    </row>
    <row r="126" customFormat="false" ht="15" hidden="false" customHeight="false" outlineLevel="0" collapsed="false">
      <c r="A126" s="28"/>
      <c r="B126" s="63"/>
      <c r="C126" s="64"/>
      <c r="D126" s="28"/>
      <c r="E126" s="28"/>
      <c r="F126" s="28"/>
      <c r="G126" s="64"/>
      <c r="H126" s="64"/>
      <c r="I126" s="28"/>
      <c r="J126" s="28"/>
      <c r="K126" s="65" t="str">
        <f aca="false">IF($A126="","",IF(OR($C126="Decision",$C126="Conflict"),IF(COUNTIFS($I$2:$I$1001,$A126,$C$2:$C$1001,"Resolved")=0,"Open","Closed"),IF(AND($H126="Unconfirmed",OR($C126="New",$C126="Know")),IF(COUNTIFS($I$2:$I$1001,$A126,$C$2:$C$1001,"Confirmed")=0,"Unconfirmed","Confirmed"),"Logged")))</f>
        <v/>
      </c>
      <c r="L126" s="65" t="str">
        <f aca="false">IF($A126="","",AsOf-$B126)</f>
        <v/>
      </c>
      <c r="M126" s="65" t="str">
        <f aca="false">IF($K126="Open",IF($C126="Conflict","Critical",IF($L126&gt;=DecisionCritical,"Critical",IF($L126&gt;=DecisionWarn,"Warning","On track"))),IF($K126="Unconfirmed",IF($L126&gt;=UnconfirmedWarn,"Warning","On track"),""))</f>
        <v/>
      </c>
      <c r="N126" s="65" t="str">
        <f aca="false">IF($M126="","",IF($M126="Critical",3000,IF($M126="Warning",2000,1000))+$L126+ROW()/100000)</f>
        <v/>
      </c>
      <c r="O126" s="65" t="str">
        <f aca="false">IF($K126="Open",IF($C126="Conflict","decide "&amp;$A126&amp;": &lt;which version stands&gt;","decide "&amp;$A126&amp;": &lt;outcome&gt;"),IF($K126="Unconfirmed","confirm "&amp;$A126,""))</f>
        <v/>
      </c>
      <c r="P126" s="65" t="str">
        <f aca="false">IF(AND($C126="New",$B126&gt;=WeekStart),$B126+ROW()/100000,"")</f>
        <v/>
      </c>
      <c r="Q126" s="65" t="str">
        <f aca="false">IF(AND($C126="Know",$B126&gt;=WeekStart),$B126+ROW()/100000,"")</f>
        <v/>
      </c>
      <c r="R126" s="65" t="str">
        <f aca="false">IF(AND($K126="Open",$C126="Decision"),$L126+ROW()/100000,"")</f>
        <v/>
      </c>
      <c r="S126" s="65" t="str">
        <f aca="false">IF(AND($J126&lt;&gt;"",$J126=UCSel),$B126+ROW()/100000,"")</f>
        <v/>
      </c>
    </row>
    <row r="127" customFormat="false" ht="15" hidden="false" customHeight="false" outlineLevel="0" collapsed="false">
      <c r="A127" s="28"/>
      <c r="B127" s="63"/>
      <c r="C127" s="64"/>
      <c r="D127" s="28"/>
      <c r="E127" s="28"/>
      <c r="F127" s="28"/>
      <c r="G127" s="64"/>
      <c r="H127" s="64"/>
      <c r="I127" s="28"/>
      <c r="J127" s="28"/>
      <c r="K127" s="65" t="str">
        <f aca="false">IF($A127="","",IF(OR($C127="Decision",$C127="Conflict"),IF(COUNTIFS($I$2:$I$1001,$A127,$C$2:$C$1001,"Resolved")=0,"Open","Closed"),IF(AND($H127="Unconfirmed",OR($C127="New",$C127="Know")),IF(COUNTIFS($I$2:$I$1001,$A127,$C$2:$C$1001,"Confirmed")=0,"Unconfirmed","Confirmed"),"Logged")))</f>
        <v/>
      </c>
      <c r="L127" s="65" t="str">
        <f aca="false">IF($A127="","",AsOf-$B127)</f>
        <v/>
      </c>
      <c r="M127" s="65" t="str">
        <f aca="false">IF($K127="Open",IF($C127="Conflict","Critical",IF($L127&gt;=DecisionCritical,"Critical",IF($L127&gt;=DecisionWarn,"Warning","On track"))),IF($K127="Unconfirmed",IF($L127&gt;=UnconfirmedWarn,"Warning","On track"),""))</f>
        <v/>
      </c>
      <c r="N127" s="65" t="str">
        <f aca="false">IF($M127="","",IF($M127="Critical",3000,IF($M127="Warning",2000,1000))+$L127+ROW()/100000)</f>
        <v/>
      </c>
      <c r="O127" s="65" t="str">
        <f aca="false">IF($K127="Open",IF($C127="Conflict","decide "&amp;$A127&amp;": &lt;which version stands&gt;","decide "&amp;$A127&amp;": &lt;outcome&gt;"),IF($K127="Unconfirmed","confirm "&amp;$A127,""))</f>
        <v/>
      </c>
      <c r="P127" s="65" t="str">
        <f aca="false">IF(AND($C127="New",$B127&gt;=WeekStart),$B127+ROW()/100000,"")</f>
        <v/>
      </c>
      <c r="Q127" s="65" t="str">
        <f aca="false">IF(AND($C127="Know",$B127&gt;=WeekStart),$B127+ROW()/100000,"")</f>
        <v/>
      </c>
      <c r="R127" s="65" t="str">
        <f aca="false">IF(AND($K127="Open",$C127="Decision"),$L127+ROW()/100000,"")</f>
        <v/>
      </c>
      <c r="S127" s="65" t="str">
        <f aca="false">IF(AND($J127&lt;&gt;"",$J127=UCSel),$B127+ROW()/100000,"")</f>
        <v/>
      </c>
    </row>
    <row r="128" customFormat="false" ht="15" hidden="false" customHeight="false" outlineLevel="0" collapsed="false">
      <c r="A128" s="28"/>
      <c r="B128" s="63"/>
      <c r="C128" s="64"/>
      <c r="D128" s="28"/>
      <c r="E128" s="28"/>
      <c r="F128" s="28"/>
      <c r="G128" s="64"/>
      <c r="H128" s="64"/>
      <c r="I128" s="28"/>
      <c r="J128" s="28"/>
      <c r="K128" s="65" t="str">
        <f aca="false">IF($A128="","",IF(OR($C128="Decision",$C128="Conflict"),IF(COUNTIFS($I$2:$I$1001,$A128,$C$2:$C$1001,"Resolved")=0,"Open","Closed"),IF(AND($H128="Unconfirmed",OR($C128="New",$C128="Know")),IF(COUNTIFS($I$2:$I$1001,$A128,$C$2:$C$1001,"Confirmed")=0,"Unconfirmed","Confirmed"),"Logged")))</f>
        <v/>
      </c>
      <c r="L128" s="65" t="str">
        <f aca="false">IF($A128="","",AsOf-$B128)</f>
        <v/>
      </c>
      <c r="M128" s="65" t="str">
        <f aca="false">IF($K128="Open",IF($C128="Conflict","Critical",IF($L128&gt;=DecisionCritical,"Critical",IF($L128&gt;=DecisionWarn,"Warning","On track"))),IF($K128="Unconfirmed",IF($L128&gt;=UnconfirmedWarn,"Warning","On track"),""))</f>
        <v/>
      </c>
      <c r="N128" s="65" t="str">
        <f aca="false">IF($M128="","",IF($M128="Critical",3000,IF($M128="Warning",2000,1000))+$L128+ROW()/100000)</f>
        <v/>
      </c>
      <c r="O128" s="65" t="str">
        <f aca="false">IF($K128="Open",IF($C128="Conflict","decide "&amp;$A128&amp;": &lt;which version stands&gt;","decide "&amp;$A128&amp;": &lt;outcome&gt;"),IF($K128="Unconfirmed","confirm "&amp;$A128,""))</f>
        <v/>
      </c>
      <c r="P128" s="65" t="str">
        <f aca="false">IF(AND($C128="New",$B128&gt;=WeekStart),$B128+ROW()/100000,"")</f>
        <v/>
      </c>
      <c r="Q128" s="65" t="str">
        <f aca="false">IF(AND($C128="Know",$B128&gt;=WeekStart),$B128+ROW()/100000,"")</f>
        <v/>
      </c>
      <c r="R128" s="65" t="str">
        <f aca="false">IF(AND($K128="Open",$C128="Decision"),$L128+ROW()/100000,"")</f>
        <v/>
      </c>
      <c r="S128" s="65" t="str">
        <f aca="false">IF(AND($J128&lt;&gt;"",$J128=UCSel),$B128+ROW()/100000,"")</f>
        <v/>
      </c>
    </row>
    <row r="129" customFormat="false" ht="15" hidden="false" customHeight="false" outlineLevel="0" collapsed="false">
      <c r="A129" s="28"/>
      <c r="B129" s="63"/>
      <c r="C129" s="64"/>
      <c r="D129" s="28"/>
      <c r="E129" s="28"/>
      <c r="F129" s="28"/>
      <c r="G129" s="64"/>
      <c r="H129" s="64"/>
      <c r="I129" s="28"/>
      <c r="J129" s="28"/>
      <c r="K129" s="65" t="str">
        <f aca="false">IF($A129="","",IF(OR($C129="Decision",$C129="Conflict"),IF(COUNTIFS($I$2:$I$1001,$A129,$C$2:$C$1001,"Resolved")=0,"Open","Closed"),IF(AND($H129="Unconfirmed",OR($C129="New",$C129="Know")),IF(COUNTIFS($I$2:$I$1001,$A129,$C$2:$C$1001,"Confirmed")=0,"Unconfirmed","Confirmed"),"Logged")))</f>
        <v/>
      </c>
      <c r="L129" s="65" t="str">
        <f aca="false">IF($A129="","",AsOf-$B129)</f>
        <v/>
      </c>
      <c r="M129" s="65" t="str">
        <f aca="false">IF($K129="Open",IF($C129="Conflict","Critical",IF($L129&gt;=DecisionCritical,"Critical",IF($L129&gt;=DecisionWarn,"Warning","On track"))),IF($K129="Unconfirmed",IF($L129&gt;=UnconfirmedWarn,"Warning","On track"),""))</f>
        <v/>
      </c>
      <c r="N129" s="65" t="str">
        <f aca="false">IF($M129="","",IF($M129="Critical",3000,IF($M129="Warning",2000,1000))+$L129+ROW()/100000)</f>
        <v/>
      </c>
      <c r="O129" s="65" t="str">
        <f aca="false">IF($K129="Open",IF($C129="Conflict","decide "&amp;$A129&amp;": &lt;which version stands&gt;","decide "&amp;$A129&amp;": &lt;outcome&gt;"),IF($K129="Unconfirmed","confirm "&amp;$A129,""))</f>
        <v/>
      </c>
      <c r="P129" s="65" t="str">
        <f aca="false">IF(AND($C129="New",$B129&gt;=WeekStart),$B129+ROW()/100000,"")</f>
        <v/>
      </c>
      <c r="Q129" s="65" t="str">
        <f aca="false">IF(AND($C129="Know",$B129&gt;=WeekStart),$B129+ROW()/100000,"")</f>
        <v/>
      </c>
      <c r="R129" s="65" t="str">
        <f aca="false">IF(AND($K129="Open",$C129="Decision"),$L129+ROW()/100000,"")</f>
        <v/>
      </c>
      <c r="S129" s="65" t="str">
        <f aca="false">IF(AND($J129&lt;&gt;"",$J129=UCSel),$B129+ROW()/100000,"")</f>
        <v/>
      </c>
    </row>
    <row r="130" customFormat="false" ht="15" hidden="false" customHeight="false" outlineLevel="0" collapsed="false">
      <c r="A130" s="28"/>
      <c r="B130" s="63"/>
      <c r="C130" s="64"/>
      <c r="D130" s="28"/>
      <c r="E130" s="28"/>
      <c r="F130" s="28"/>
      <c r="G130" s="64"/>
      <c r="H130" s="64"/>
      <c r="I130" s="28"/>
      <c r="J130" s="28"/>
      <c r="K130" s="65" t="str">
        <f aca="false">IF($A130="","",IF(OR($C130="Decision",$C130="Conflict"),IF(COUNTIFS($I$2:$I$1001,$A130,$C$2:$C$1001,"Resolved")=0,"Open","Closed"),IF(AND($H130="Unconfirmed",OR($C130="New",$C130="Know")),IF(COUNTIFS($I$2:$I$1001,$A130,$C$2:$C$1001,"Confirmed")=0,"Unconfirmed","Confirmed"),"Logged")))</f>
        <v/>
      </c>
      <c r="L130" s="65" t="str">
        <f aca="false">IF($A130="","",AsOf-$B130)</f>
        <v/>
      </c>
      <c r="M130" s="65" t="str">
        <f aca="false">IF($K130="Open",IF($C130="Conflict","Critical",IF($L130&gt;=DecisionCritical,"Critical",IF($L130&gt;=DecisionWarn,"Warning","On track"))),IF($K130="Unconfirmed",IF($L130&gt;=UnconfirmedWarn,"Warning","On track"),""))</f>
        <v/>
      </c>
      <c r="N130" s="65" t="str">
        <f aca="false">IF($M130="","",IF($M130="Critical",3000,IF($M130="Warning",2000,1000))+$L130+ROW()/100000)</f>
        <v/>
      </c>
      <c r="O130" s="65" t="str">
        <f aca="false">IF($K130="Open",IF($C130="Conflict","decide "&amp;$A130&amp;": &lt;which version stands&gt;","decide "&amp;$A130&amp;": &lt;outcome&gt;"),IF($K130="Unconfirmed","confirm "&amp;$A130,""))</f>
        <v/>
      </c>
      <c r="P130" s="65" t="str">
        <f aca="false">IF(AND($C130="New",$B130&gt;=WeekStart),$B130+ROW()/100000,"")</f>
        <v/>
      </c>
      <c r="Q130" s="65" t="str">
        <f aca="false">IF(AND($C130="Know",$B130&gt;=WeekStart),$B130+ROW()/100000,"")</f>
        <v/>
      </c>
      <c r="R130" s="65" t="str">
        <f aca="false">IF(AND($K130="Open",$C130="Decision"),$L130+ROW()/100000,"")</f>
        <v/>
      </c>
      <c r="S130" s="65" t="str">
        <f aca="false">IF(AND($J130&lt;&gt;"",$J130=UCSel),$B130+ROW()/100000,"")</f>
        <v/>
      </c>
    </row>
    <row r="131" customFormat="false" ht="15" hidden="false" customHeight="false" outlineLevel="0" collapsed="false">
      <c r="A131" s="28"/>
      <c r="B131" s="63"/>
      <c r="C131" s="64"/>
      <c r="D131" s="28"/>
      <c r="E131" s="28"/>
      <c r="F131" s="28"/>
      <c r="G131" s="64"/>
      <c r="H131" s="64"/>
      <c r="I131" s="28"/>
      <c r="J131" s="28"/>
      <c r="K131" s="65" t="str">
        <f aca="false">IF($A131="","",IF(OR($C131="Decision",$C131="Conflict"),IF(COUNTIFS($I$2:$I$1001,$A131,$C$2:$C$1001,"Resolved")=0,"Open","Closed"),IF(AND($H131="Unconfirmed",OR($C131="New",$C131="Know")),IF(COUNTIFS($I$2:$I$1001,$A131,$C$2:$C$1001,"Confirmed")=0,"Unconfirmed","Confirmed"),"Logged")))</f>
        <v/>
      </c>
      <c r="L131" s="65" t="str">
        <f aca="false">IF($A131="","",AsOf-$B131)</f>
        <v/>
      </c>
      <c r="M131" s="65" t="str">
        <f aca="false">IF($K131="Open",IF($C131="Conflict","Critical",IF($L131&gt;=DecisionCritical,"Critical",IF($L131&gt;=DecisionWarn,"Warning","On track"))),IF($K131="Unconfirmed",IF($L131&gt;=UnconfirmedWarn,"Warning","On track"),""))</f>
        <v/>
      </c>
      <c r="N131" s="65" t="str">
        <f aca="false">IF($M131="","",IF($M131="Critical",3000,IF($M131="Warning",2000,1000))+$L131+ROW()/100000)</f>
        <v/>
      </c>
      <c r="O131" s="65" t="str">
        <f aca="false">IF($K131="Open",IF($C131="Conflict","decide "&amp;$A131&amp;": &lt;which version stands&gt;","decide "&amp;$A131&amp;": &lt;outcome&gt;"),IF($K131="Unconfirmed","confirm "&amp;$A131,""))</f>
        <v/>
      </c>
      <c r="P131" s="65" t="str">
        <f aca="false">IF(AND($C131="New",$B131&gt;=WeekStart),$B131+ROW()/100000,"")</f>
        <v/>
      </c>
      <c r="Q131" s="65" t="str">
        <f aca="false">IF(AND($C131="Know",$B131&gt;=WeekStart),$B131+ROW()/100000,"")</f>
        <v/>
      </c>
      <c r="R131" s="65" t="str">
        <f aca="false">IF(AND($K131="Open",$C131="Decision"),$L131+ROW()/100000,"")</f>
        <v/>
      </c>
      <c r="S131" s="65" t="str">
        <f aca="false">IF(AND($J131&lt;&gt;"",$J131=UCSel),$B131+ROW()/100000,"")</f>
        <v/>
      </c>
    </row>
    <row r="132" customFormat="false" ht="15" hidden="false" customHeight="false" outlineLevel="0" collapsed="false">
      <c r="A132" s="28"/>
      <c r="B132" s="63"/>
      <c r="C132" s="64"/>
      <c r="D132" s="28"/>
      <c r="E132" s="28"/>
      <c r="F132" s="28"/>
      <c r="G132" s="64"/>
      <c r="H132" s="64"/>
      <c r="I132" s="28"/>
      <c r="J132" s="28"/>
      <c r="K132" s="65" t="str">
        <f aca="false">IF($A132="","",IF(OR($C132="Decision",$C132="Conflict"),IF(COUNTIFS($I$2:$I$1001,$A132,$C$2:$C$1001,"Resolved")=0,"Open","Closed"),IF(AND($H132="Unconfirmed",OR($C132="New",$C132="Know")),IF(COUNTIFS($I$2:$I$1001,$A132,$C$2:$C$1001,"Confirmed")=0,"Unconfirmed","Confirmed"),"Logged")))</f>
        <v/>
      </c>
      <c r="L132" s="65" t="str">
        <f aca="false">IF($A132="","",AsOf-$B132)</f>
        <v/>
      </c>
      <c r="M132" s="65" t="str">
        <f aca="false">IF($K132="Open",IF($C132="Conflict","Critical",IF($L132&gt;=DecisionCritical,"Critical",IF($L132&gt;=DecisionWarn,"Warning","On track"))),IF($K132="Unconfirmed",IF($L132&gt;=UnconfirmedWarn,"Warning","On track"),""))</f>
        <v/>
      </c>
      <c r="N132" s="65" t="str">
        <f aca="false">IF($M132="","",IF($M132="Critical",3000,IF($M132="Warning",2000,1000))+$L132+ROW()/100000)</f>
        <v/>
      </c>
      <c r="O132" s="65" t="str">
        <f aca="false">IF($K132="Open",IF($C132="Conflict","decide "&amp;$A132&amp;": &lt;which version stands&gt;","decide "&amp;$A132&amp;": &lt;outcome&gt;"),IF($K132="Unconfirmed","confirm "&amp;$A132,""))</f>
        <v/>
      </c>
      <c r="P132" s="65" t="str">
        <f aca="false">IF(AND($C132="New",$B132&gt;=WeekStart),$B132+ROW()/100000,"")</f>
        <v/>
      </c>
      <c r="Q132" s="65" t="str">
        <f aca="false">IF(AND($C132="Know",$B132&gt;=WeekStart),$B132+ROW()/100000,"")</f>
        <v/>
      </c>
      <c r="R132" s="65" t="str">
        <f aca="false">IF(AND($K132="Open",$C132="Decision"),$L132+ROW()/100000,"")</f>
        <v/>
      </c>
      <c r="S132" s="65" t="str">
        <f aca="false">IF(AND($J132&lt;&gt;"",$J132=UCSel),$B132+ROW()/100000,"")</f>
        <v/>
      </c>
    </row>
    <row r="133" customFormat="false" ht="15" hidden="false" customHeight="false" outlineLevel="0" collapsed="false">
      <c r="A133" s="28"/>
      <c r="B133" s="63"/>
      <c r="C133" s="64"/>
      <c r="D133" s="28"/>
      <c r="E133" s="28"/>
      <c r="F133" s="28"/>
      <c r="G133" s="64"/>
      <c r="H133" s="64"/>
      <c r="I133" s="28"/>
      <c r="J133" s="28"/>
      <c r="K133" s="65" t="str">
        <f aca="false">IF($A133="","",IF(OR($C133="Decision",$C133="Conflict"),IF(COUNTIFS($I$2:$I$1001,$A133,$C$2:$C$1001,"Resolved")=0,"Open","Closed"),IF(AND($H133="Unconfirmed",OR($C133="New",$C133="Know")),IF(COUNTIFS($I$2:$I$1001,$A133,$C$2:$C$1001,"Confirmed")=0,"Unconfirmed","Confirmed"),"Logged")))</f>
        <v/>
      </c>
      <c r="L133" s="65" t="str">
        <f aca="false">IF($A133="","",AsOf-$B133)</f>
        <v/>
      </c>
      <c r="M133" s="65" t="str">
        <f aca="false">IF($K133="Open",IF($C133="Conflict","Critical",IF($L133&gt;=DecisionCritical,"Critical",IF($L133&gt;=DecisionWarn,"Warning","On track"))),IF($K133="Unconfirmed",IF($L133&gt;=UnconfirmedWarn,"Warning","On track"),""))</f>
        <v/>
      </c>
      <c r="N133" s="65" t="str">
        <f aca="false">IF($M133="","",IF($M133="Critical",3000,IF($M133="Warning",2000,1000))+$L133+ROW()/100000)</f>
        <v/>
      </c>
      <c r="O133" s="65" t="str">
        <f aca="false">IF($K133="Open",IF($C133="Conflict","decide "&amp;$A133&amp;": &lt;which version stands&gt;","decide "&amp;$A133&amp;": &lt;outcome&gt;"),IF($K133="Unconfirmed","confirm "&amp;$A133,""))</f>
        <v/>
      </c>
      <c r="P133" s="65" t="str">
        <f aca="false">IF(AND($C133="New",$B133&gt;=WeekStart),$B133+ROW()/100000,"")</f>
        <v/>
      </c>
      <c r="Q133" s="65" t="str">
        <f aca="false">IF(AND($C133="Know",$B133&gt;=WeekStart),$B133+ROW()/100000,"")</f>
        <v/>
      </c>
      <c r="R133" s="65" t="str">
        <f aca="false">IF(AND($K133="Open",$C133="Decision"),$L133+ROW()/100000,"")</f>
        <v/>
      </c>
      <c r="S133" s="65" t="str">
        <f aca="false">IF(AND($J133&lt;&gt;"",$J133=UCSel),$B133+ROW()/100000,"")</f>
        <v/>
      </c>
    </row>
    <row r="134" customFormat="false" ht="15" hidden="false" customHeight="false" outlineLevel="0" collapsed="false">
      <c r="A134" s="28"/>
      <c r="B134" s="63"/>
      <c r="C134" s="64"/>
      <c r="D134" s="28"/>
      <c r="E134" s="28"/>
      <c r="F134" s="28"/>
      <c r="G134" s="64"/>
      <c r="H134" s="64"/>
      <c r="I134" s="28"/>
      <c r="J134" s="28"/>
      <c r="K134" s="65" t="str">
        <f aca="false">IF($A134="","",IF(OR($C134="Decision",$C134="Conflict"),IF(COUNTIFS($I$2:$I$1001,$A134,$C$2:$C$1001,"Resolved")=0,"Open","Closed"),IF(AND($H134="Unconfirmed",OR($C134="New",$C134="Know")),IF(COUNTIFS($I$2:$I$1001,$A134,$C$2:$C$1001,"Confirmed")=0,"Unconfirmed","Confirmed"),"Logged")))</f>
        <v/>
      </c>
      <c r="L134" s="65" t="str">
        <f aca="false">IF($A134="","",AsOf-$B134)</f>
        <v/>
      </c>
      <c r="M134" s="65" t="str">
        <f aca="false">IF($K134="Open",IF($C134="Conflict","Critical",IF($L134&gt;=DecisionCritical,"Critical",IF($L134&gt;=DecisionWarn,"Warning","On track"))),IF($K134="Unconfirmed",IF($L134&gt;=UnconfirmedWarn,"Warning","On track"),""))</f>
        <v/>
      </c>
      <c r="N134" s="65" t="str">
        <f aca="false">IF($M134="","",IF($M134="Critical",3000,IF($M134="Warning",2000,1000))+$L134+ROW()/100000)</f>
        <v/>
      </c>
      <c r="O134" s="65" t="str">
        <f aca="false">IF($K134="Open",IF($C134="Conflict","decide "&amp;$A134&amp;": &lt;which version stands&gt;","decide "&amp;$A134&amp;": &lt;outcome&gt;"),IF($K134="Unconfirmed","confirm "&amp;$A134,""))</f>
        <v/>
      </c>
      <c r="P134" s="65" t="str">
        <f aca="false">IF(AND($C134="New",$B134&gt;=WeekStart),$B134+ROW()/100000,"")</f>
        <v/>
      </c>
      <c r="Q134" s="65" t="str">
        <f aca="false">IF(AND($C134="Know",$B134&gt;=WeekStart),$B134+ROW()/100000,"")</f>
        <v/>
      </c>
      <c r="R134" s="65" t="str">
        <f aca="false">IF(AND($K134="Open",$C134="Decision"),$L134+ROW()/100000,"")</f>
        <v/>
      </c>
      <c r="S134" s="65" t="str">
        <f aca="false">IF(AND($J134&lt;&gt;"",$J134=UCSel),$B134+ROW()/100000,"")</f>
        <v/>
      </c>
    </row>
    <row r="135" customFormat="false" ht="15" hidden="false" customHeight="false" outlineLevel="0" collapsed="false">
      <c r="A135" s="28"/>
      <c r="B135" s="63"/>
      <c r="C135" s="64"/>
      <c r="D135" s="28"/>
      <c r="E135" s="28"/>
      <c r="F135" s="28"/>
      <c r="G135" s="64"/>
      <c r="H135" s="64"/>
      <c r="I135" s="28"/>
      <c r="J135" s="28"/>
      <c r="K135" s="65" t="str">
        <f aca="false">IF($A135="","",IF(OR($C135="Decision",$C135="Conflict"),IF(COUNTIFS($I$2:$I$1001,$A135,$C$2:$C$1001,"Resolved")=0,"Open","Closed"),IF(AND($H135="Unconfirmed",OR($C135="New",$C135="Know")),IF(COUNTIFS($I$2:$I$1001,$A135,$C$2:$C$1001,"Confirmed")=0,"Unconfirmed","Confirmed"),"Logged")))</f>
        <v/>
      </c>
      <c r="L135" s="65" t="str">
        <f aca="false">IF($A135="","",AsOf-$B135)</f>
        <v/>
      </c>
      <c r="M135" s="65" t="str">
        <f aca="false">IF($K135="Open",IF($C135="Conflict","Critical",IF($L135&gt;=DecisionCritical,"Critical",IF($L135&gt;=DecisionWarn,"Warning","On track"))),IF($K135="Unconfirmed",IF($L135&gt;=UnconfirmedWarn,"Warning","On track"),""))</f>
        <v/>
      </c>
      <c r="N135" s="65" t="str">
        <f aca="false">IF($M135="","",IF($M135="Critical",3000,IF($M135="Warning",2000,1000))+$L135+ROW()/100000)</f>
        <v/>
      </c>
      <c r="O135" s="65" t="str">
        <f aca="false">IF($K135="Open",IF($C135="Conflict","decide "&amp;$A135&amp;": &lt;which version stands&gt;","decide "&amp;$A135&amp;": &lt;outcome&gt;"),IF($K135="Unconfirmed","confirm "&amp;$A135,""))</f>
        <v/>
      </c>
      <c r="P135" s="65" t="str">
        <f aca="false">IF(AND($C135="New",$B135&gt;=WeekStart),$B135+ROW()/100000,"")</f>
        <v/>
      </c>
      <c r="Q135" s="65" t="str">
        <f aca="false">IF(AND($C135="Know",$B135&gt;=WeekStart),$B135+ROW()/100000,"")</f>
        <v/>
      </c>
      <c r="R135" s="65" t="str">
        <f aca="false">IF(AND($K135="Open",$C135="Decision"),$L135+ROW()/100000,"")</f>
        <v/>
      </c>
      <c r="S135" s="65" t="str">
        <f aca="false">IF(AND($J135&lt;&gt;"",$J135=UCSel),$B135+ROW()/100000,"")</f>
        <v/>
      </c>
    </row>
    <row r="136" customFormat="false" ht="15" hidden="false" customHeight="false" outlineLevel="0" collapsed="false">
      <c r="A136" s="28"/>
      <c r="B136" s="63"/>
      <c r="C136" s="64"/>
      <c r="D136" s="28"/>
      <c r="E136" s="28"/>
      <c r="F136" s="28"/>
      <c r="G136" s="64"/>
      <c r="H136" s="64"/>
      <c r="I136" s="28"/>
      <c r="J136" s="28"/>
      <c r="K136" s="65" t="str">
        <f aca="false">IF($A136="","",IF(OR($C136="Decision",$C136="Conflict"),IF(COUNTIFS($I$2:$I$1001,$A136,$C$2:$C$1001,"Resolved")=0,"Open","Closed"),IF(AND($H136="Unconfirmed",OR($C136="New",$C136="Know")),IF(COUNTIFS($I$2:$I$1001,$A136,$C$2:$C$1001,"Confirmed")=0,"Unconfirmed","Confirmed"),"Logged")))</f>
        <v/>
      </c>
      <c r="L136" s="65" t="str">
        <f aca="false">IF($A136="","",AsOf-$B136)</f>
        <v/>
      </c>
      <c r="M136" s="65" t="str">
        <f aca="false">IF($K136="Open",IF($C136="Conflict","Critical",IF($L136&gt;=DecisionCritical,"Critical",IF($L136&gt;=DecisionWarn,"Warning","On track"))),IF($K136="Unconfirmed",IF($L136&gt;=UnconfirmedWarn,"Warning","On track"),""))</f>
        <v/>
      </c>
      <c r="N136" s="65" t="str">
        <f aca="false">IF($M136="","",IF($M136="Critical",3000,IF($M136="Warning",2000,1000))+$L136+ROW()/100000)</f>
        <v/>
      </c>
      <c r="O136" s="65" t="str">
        <f aca="false">IF($K136="Open",IF($C136="Conflict","decide "&amp;$A136&amp;": &lt;which version stands&gt;","decide "&amp;$A136&amp;": &lt;outcome&gt;"),IF($K136="Unconfirmed","confirm "&amp;$A136,""))</f>
        <v/>
      </c>
      <c r="P136" s="65" t="str">
        <f aca="false">IF(AND($C136="New",$B136&gt;=WeekStart),$B136+ROW()/100000,"")</f>
        <v/>
      </c>
      <c r="Q136" s="65" t="str">
        <f aca="false">IF(AND($C136="Know",$B136&gt;=WeekStart),$B136+ROW()/100000,"")</f>
        <v/>
      </c>
      <c r="R136" s="65" t="str">
        <f aca="false">IF(AND($K136="Open",$C136="Decision"),$L136+ROW()/100000,"")</f>
        <v/>
      </c>
      <c r="S136" s="65" t="str">
        <f aca="false">IF(AND($J136&lt;&gt;"",$J136=UCSel),$B136+ROW()/100000,"")</f>
        <v/>
      </c>
    </row>
    <row r="137" customFormat="false" ht="15" hidden="false" customHeight="false" outlineLevel="0" collapsed="false">
      <c r="A137" s="28"/>
      <c r="B137" s="63"/>
      <c r="C137" s="64"/>
      <c r="D137" s="28"/>
      <c r="E137" s="28"/>
      <c r="F137" s="28"/>
      <c r="G137" s="64"/>
      <c r="H137" s="64"/>
      <c r="I137" s="28"/>
      <c r="J137" s="28"/>
      <c r="K137" s="65" t="str">
        <f aca="false">IF($A137="","",IF(OR($C137="Decision",$C137="Conflict"),IF(COUNTIFS($I$2:$I$1001,$A137,$C$2:$C$1001,"Resolved")=0,"Open","Closed"),IF(AND($H137="Unconfirmed",OR($C137="New",$C137="Know")),IF(COUNTIFS($I$2:$I$1001,$A137,$C$2:$C$1001,"Confirmed")=0,"Unconfirmed","Confirmed"),"Logged")))</f>
        <v/>
      </c>
      <c r="L137" s="65" t="str">
        <f aca="false">IF($A137="","",AsOf-$B137)</f>
        <v/>
      </c>
      <c r="M137" s="65" t="str">
        <f aca="false">IF($K137="Open",IF($C137="Conflict","Critical",IF($L137&gt;=DecisionCritical,"Critical",IF($L137&gt;=DecisionWarn,"Warning","On track"))),IF($K137="Unconfirmed",IF($L137&gt;=UnconfirmedWarn,"Warning","On track"),""))</f>
        <v/>
      </c>
      <c r="N137" s="65" t="str">
        <f aca="false">IF($M137="","",IF($M137="Critical",3000,IF($M137="Warning",2000,1000))+$L137+ROW()/100000)</f>
        <v/>
      </c>
      <c r="O137" s="65" t="str">
        <f aca="false">IF($K137="Open",IF($C137="Conflict","decide "&amp;$A137&amp;": &lt;which version stands&gt;","decide "&amp;$A137&amp;": &lt;outcome&gt;"),IF($K137="Unconfirmed","confirm "&amp;$A137,""))</f>
        <v/>
      </c>
      <c r="P137" s="65" t="str">
        <f aca="false">IF(AND($C137="New",$B137&gt;=WeekStart),$B137+ROW()/100000,"")</f>
        <v/>
      </c>
      <c r="Q137" s="65" t="str">
        <f aca="false">IF(AND($C137="Know",$B137&gt;=WeekStart),$B137+ROW()/100000,"")</f>
        <v/>
      </c>
      <c r="R137" s="65" t="str">
        <f aca="false">IF(AND($K137="Open",$C137="Decision"),$L137+ROW()/100000,"")</f>
        <v/>
      </c>
      <c r="S137" s="65" t="str">
        <f aca="false">IF(AND($J137&lt;&gt;"",$J137=UCSel),$B137+ROW()/100000,"")</f>
        <v/>
      </c>
    </row>
    <row r="138" customFormat="false" ht="15" hidden="false" customHeight="false" outlineLevel="0" collapsed="false">
      <c r="A138" s="28"/>
      <c r="B138" s="63"/>
      <c r="C138" s="64"/>
      <c r="D138" s="28"/>
      <c r="E138" s="28"/>
      <c r="F138" s="28"/>
      <c r="G138" s="64"/>
      <c r="H138" s="64"/>
      <c r="I138" s="28"/>
      <c r="J138" s="28"/>
      <c r="K138" s="65" t="str">
        <f aca="false">IF($A138="","",IF(OR($C138="Decision",$C138="Conflict"),IF(COUNTIFS($I$2:$I$1001,$A138,$C$2:$C$1001,"Resolved")=0,"Open","Closed"),IF(AND($H138="Unconfirmed",OR($C138="New",$C138="Know")),IF(COUNTIFS($I$2:$I$1001,$A138,$C$2:$C$1001,"Confirmed")=0,"Unconfirmed","Confirmed"),"Logged")))</f>
        <v/>
      </c>
      <c r="L138" s="65" t="str">
        <f aca="false">IF($A138="","",AsOf-$B138)</f>
        <v/>
      </c>
      <c r="M138" s="65" t="str">
        <f aca="false">IF($K138="Open",IF($C138="Conflict","Critical",IF($L138&gt;=DecisionCritical,"Critical",IF($L138&gt;=DecisionWarn,"Warning","On track"))),IF($K138="Unconfirmed",IF($L138&gt;=UnconfirmedWarn,"Warning","On track"),""))</f>
        <v/>
      </c>
      <c r="N138" s="65" t="str">
        <f aca="false">IF($M138="","",IF($M138="Critical",3000,IF($M138="Warning",2000,1000))+$L138+ROW()/100000)</f>
        <v/>
      </c>
      <c r="O138" s="65" t="str">
        <f aca="false">IF($K138="Open",IF($C138="Conflict","decide "&amp;$A138&amp;": &lt;which version stands&gt;","decide "&amp;$A138&amp;": &lt;outcome&gt;"),IF($K138="Unconfirmed","confirm "&amp;$A138,""))</f>
        <v/>
      </c>
      <c r="P138" s="65" t="str">
        <f aca="false">IF(AND($C138="New",$B138&gt;=WeekStart),$B138+ROW()/100000,"")</f>
        <v/>
      </c>
      <c r="Q138" s="65" t="str">
        <f aca="false">IF(AND($C138="Know",$B138&gt;=WeekStart),$B138+ROW()/100000,"")</f>
        <v/>
      </c>
      <c r="R138" s="65" t="str">
        <f aca="false">IF(AND($K138="Open",$C138="Decision"),$L138+ROW()/100000,"")</f>
        <v/>
      </c>
      <c r="S138" s="65" t="str">
        <f aca="false">IF(AND($J138&lt;&gt;"",$J138=UCSel),$B138+ROW()/100000,"")</f>
        <v/>
      </c>
    </row>
    <row r="139" customFormat="false" ht="15" hidden="false" customHeight="false" outlineLevel="0" collapsed="false">
      <c r="A139" s="28"/>
      <c r="B139" s="63"/>
      <c r="C139" s="64"/>
      <c r="D139" s="28"/>
      <c r="E139" s="28"/>
      <c r="F139" s="28"/>
      <c r="G139" s="64"/>
      <c r="H139" s="64"/>
      <c r="I139" s="28"/>
      <c r="J139" s="28"/>
      <c r="K139" s="65" t="str">
        <f aca="false">IF($A139="","",IF(OR($C139="Decision",$C139="Conflict"),IF(COUNTIFS($I$2:$I$1001,$A139,$C$2:$C$1001,"Resolved")=0,"Open","Closed"),IF(AND($H139="Unconfirmed",OR($C139="New",$C139="Know")),IF(COUNTIFS($I$2:$I$1001,$A139,$C$2:$C$1001,"Confirmed")=0,"Unconfirmed","Confirmed"),"Logged")))</f>
        <v/>
      </c>
      <c r="L139" s="65" t="str">
        <f aca="false">IF($A139="","",AsOf-$B139)</f>
        <v/>
      </c>
      <c r="M139" s="65" t="str">
        <f aca="false">IF($K139="Open",IF($C139="Conflict","Critical",IF($L139&gt;=DecisionCritical,"Critical",IF($L139&gt;=DecisionWarn,"Warning","On track"))),IF($K139="Unconfirmed",IF($L139&gt;=UnconfirmedWarn,"Warning","On track"),""))</f>
        <v/>
      </c>
      <c r="N139" s="65" t="str">
        <f aca="false">IF($M139="","",IF($M139="Critical",3000,IF($M139="Warning",2000,1000))+$L139+ROW()/100000)</f>
        <v/>
      </c>
      <c r="O139" s="65" t="str">
        <f aca="false">IF($K139="Open",IF($C139="Conflict","decide "&amp;$A139&amp;": &lt;which version stands&gt;","decide "&amp;$A139&amp;": &lt;outcome&gt;"),IF($K139="Unconfirmed","confirm "&amp;$A139,""))</f>
        <v/>
      </c>
      <c r="P139" s="65" t="str">
        <f aca="false">IF(AND($C139="New",$B139&gt;=WeekStart),$B139+ROW()/100000,"")</f>
        <v/>
      </c>
      <c r="Q139" s="65" t="str">
        <f aca="false">IF(AND($C139="Know",$B139&gt;=WeekStart),$B139+ROW()/100000,"")</f>
        <v/>
      </c>
      <c r="R139" s="65" t="str">
        <f aca="false">IF(AND($K139="Open",$C139="Decision"),$L139+ROW()/100000,"")</f>
        <v/>
      </c>
      <c r="S139" s="65" t="str">
        <f aca="false">IF(AND($J139&lt;&gt;"",$J139=UCSel),$B139+ROW()/100000,"")</f>
        <v/>
      </c>
    </row>
    <row r="140" customFormat="false" ht="15" hidden="false" customHeight="false" outlineLevel="0" collapsed="false">
      <c r="A140" s="28"/>
      <c r="B140" s="63"/>
      <c r="C140" s="64"/>
      <c r="D140" s="28"/>
      <c r="E140" s="28"/>
      <c r="F140" s="28"/>
      <c r="G140" s="64"/>
      <c r="H140" s="64"/>
      <c r="I140" s="28"/>
      <c r="J140" s="28"/>
      <c r="K140" s="65" t="str">
        <f aca="false">IF($A140="","",IF(OR($C140="Decision",$C140="Conflict"),IF(COUNTIFS($I$2:$I$1001,$A140,$C$2:$C$1001,"Resolved")=0,"Open","Closed"),IF(AND($H140="Unconfirmed",OR($C140="New",$C140="Know")),IF(COUNTIFS($I$2:$I$1001,$A140,$C$2:$C$1001,"Confirmed")=0,"Unconfirmed","Confirmed"),"Logged")))</f>
        <v/>
      </c>
      <c r="L140" s="65" t="str">
        <f aca="false">IF($A140="","",AsOf-$B140)</f>
        <v/>
      </c>
      <c r="M140" s="65" t="str">
        <f aca="false">IF($K140="Open",IF($C140="Conflict","Critical",IF($L140&gt;=DecisionCritical,"Critical",IF($L140&gt;=DecisionWarn,"Warning","On track"))),IF($K140="Unconfirmed",IF($L140&gt;=UnconfirmedWarn,"Warning","On track"),""))</f>
        <v/>
      </c>
      <c r="N140" s="65" t="str">
        <f aca="false">IF($M140="","",IF($M140="Critical",3000,IF($M140="Warning",2000,1000))+$L140+ROW()/100000)</f>
        <v/>
      </c>
      <c r="O140" s="65" t="str">
        <f aca="false">IF($K140="Open",IF($C140="Conflict","decide "&amp;$A140&amp;": &lt;which version stands&gt;","decide "&amp;$A140&amp;": &lt;outcome&gt;"),IF($K140="Unconfirmed","confirm "&amp;$A140,""))</f>
        <v/>
      </c>
      <c r="P140" s="65" t="str">
        <f aca="false">IF(AND($C140="New",$B140&gt;=WeekStart),$B140+ROW()/100000,"")</f>
        <v/>
      </c>
      <c r="Q140" s="65" t="str">
        <f aca="false">IF(AND($C140="Know",$B140&gt;=WeekStart),$B140+ROW()/100000,"")</f>
        <v/>
      </c>
      <c r="R140" s="65" t="str">
        <f aca="false">IF(AND($K140="Open",$C140="Decision"),$L140+ROW()/100000,"")</f>
        <v/>
      </c>
      <c r="S140" s="65" t="str">
        <f aca="false">IF(AND($J140&lt;&gt;"",$J140=UCSel),$B140+ROW()/100000,"")</f>
        <v/>
      </c>
    </row>
    <row r="141" customFormat="false" ht="15" hidden="false" customHeight="false" outlineLevel="0" collapsed="false">
      <c r="A141" s="28"/>
      <c r="B141" s="63"/>
      <c r="C141" s="64"/>
      <c r="D141" s="28"/>
      <c r="E141" s="28"/>
      <c r="F141" s="28"/>
      <c r="G141" s="64"/>
      <c r="H141" s="64"/>
      <c r="I141" s="28"/>
      <c r="J141" s="28"/>
      <c r="K141" s="65" t="str">
        <f aca="false">IF($A141="","",IF(OR($C141="Decision",$C141="Conflict"),IF(COUNTIFS($I$2:$I$1001,$A141,$C$2:$C$1001,"Resolved")=0,"Open","Closed"),IF(AND($H141="Unconfirmed",OR($C141="New",$C141="Know")),IF(COUNTIFS($I$2:$I$1001,$A141,$C$2:$C$1001,"Confirmed")=0,"Unconfirmed","Confirmed"),"Logged")))</f>
        <v/>
      </c>
      <c r="L141" s="65" t="str">
        <f aca="false">IF($A141="","",AsOf-$B141)</f>
        <v/>
      </c>
      <c r="M141" s="65" t="str">
        <f aca="false">IF($K141="Open",IF($C141="Conflict","Critical",IF($L141&gt;=DecisionCritical,"Critical",IF($L141&gt;=DecisionWarn,"Warning","On track"))),IF($K141="Unconfirmed",IF($L141&gt;=UnconfirmedWarn,"Warning","On track"),""))</f>
        <v/>
      </c>
      <c r="N141" s="65" t="str">
        <f aca="false">IF($M141="","",IF($M141="Critical",3000,IF($M141="Warning",2000,1000))+$L141+ROW()/100000)</f>
        <v/>
      </c>
      <c r="O141" s="65" t="str">
        <f aca="false">IF($K141="Open",IF($C141="Conflict","decide "&amp;$A141&amp;": &lt;which version stands&gt;","decide "&amp;$A141&amp;": &lt;outcome&gt;"),IF($K141="Unconfirmed","confirm "&amp;$A141,""))</f>
        <v/>
      </c>
      <c r="P141" s="65" t="str">
        <f aca="false">IF(AND($C141="New",$B141&gt;=WeekStart),$B141+ROW()/100000,"")</f>
        <v/>
      </c>
      <c r="Q141" s="65" t="str">
        <f aca="false">IF(AND($C141="Know",$B141&gt;=WeekStart),$B141+ROW()/100000,"")</f>
        <v/>
      </c>
      <c r="R141" s="65" t="str">
        <f aca="false">IF(AND($K141="Open",$C141="Decision"),$L141+ROW()/100000,"")</f>
        <v/>
      </c>
      <c r="S141" s="65" t="str">
        <f aca="false">IF(AND($J141&lt;&gt;"",$J141=UCSel),$B141+ROW()/100000,"")</f>
        <v/>
      </c>
    </row>
    <row r="142" customFormat="false" ht="15" hidden="false" customHeight="false" outlineLevel="0" collapsed="false">
      <c r="A142" s="28"/>
      <c r="B142" s="63"/>
      <c r="C142" s="64"/>
      <c r="D142" s="28"/>
      <c r="E142" s="28"/>
      <c r="F142" s="28"/>
      <c r="G142" s="64"/>
      <c r="H142" s="64"/>
      <c r="I142" s="28"/>
      <c r="J142" s="28"/>
      <c r="K142" s="65" t="str">
        <f aca="false">IF($A142="","",IF(OR($C142="Decision",$C142="Conflict"),IF(COUNTIFS($I$2:$I$1001,$A142,$C$2:$C$1001,"Resolved")=0,"Open","Closed"),IF(AND($H142="Unconfirmed",OR($C142="New",$C142="Know")),IF(COUNTIFS($I$2:$I$1001,$A142,$C$2:$C$1001,"Confirmed")=0,"Unconfirmed","Confirmed"),"Logged")))</f>
        <v/>
      </c>
      <c r="L142" s="65" t="str">
        <f aca="false">IF($A142="","",AsOf-$B142)</f>
        <v/>
      </c>
      <c r="M142" s="65" t="str">
        <f aca="false">IF($K142="Open",IF($C142="Conflict","Critical",IF($L142&gt;=DecisionCritical,"Critical",IF($L142&gt;=DecisionWarn,"Warning","On track"))),IF($K142="Unconfirmed",IF($L142&gt;=UnconfirmedWarn,"Warning","On track"),""))</f>
        <v/>
      </c>
      <c r="N142" s="65" t="str">
        <f aca="false">IF($M142="","",IF($M142="Critical",3000,IF($M142="Warning",2000,1000))+$L142+ROW()/100000)</f>
        <v/>
      </c>
      <c r="O142" s="65" t="str">
        <f aca="false">IF($K142="Open",IF($C142="Conflict","decide "&amp;$A142&amp;": &lt;which version stands&gt;","decide "&amp;$A142&amp;": &lt;outcome&gt;"),IF($K142="Unconfirmed","confirm "&amp;$A142,""))</f>
        <v/>
      </c>
      <c r="P142" s="65" t="str">
        <f aca="false">IF(AND($C142="New",$B142&gt;=WeekStart),$B142+ROW()/100000,"")</f>
        <v/>
      </c>
      <c r="Q142" s="65" t="str">
        <f aca="false">IF(AND($C142="Know",$B142&gt;=WeekStart),$B142+ROW()/100000,"")</f>
        <v/>
      </c>
      <c r="R142" s="65" t="str">
        <f aca="false">IF(AND($K142="Open",$C142="Decision"),$L142+ROW()/100000,"")</f>
        <v/>
      </c>
      <c r="S142" s="65" t="str">
        <f aca="false">IF(AND($J142&lt;&gt;"",$J142=UCSel),$B142+ROW()/100000,"")</f>
        <v/>
      </c>
    </row>
    <row r="143" customFormat="false" ht="15" hidden="false" customHeight="false" outlineLevel="0" collapsed="false">
      <c r="A143" s="28"/>
      <c r="B143" s="63"/>
      <c r="C143" s="64"/>
      <c r="D143" s="28"/>
      <c r="E143" s="28"/>
      <c r="F143" s="28"/>
      <c r="G143" s="64"/>
      <c r="H143" s="64"/>
      <c r="I143" s="28"/>
      <c r="J143" s="28"/>
      <c r="K143" s="65" t="str">
        <f aca="false">IF($A143="","",IF(OR($C143="Decision",$C143="Conflict"),IF(COUNTIFS($I$2:$I$1001,$A143,$C$2:$C$1001,"Resolved")=0,"Open","Closed"),IF(AND($H143="Unconfirmed",OR($C143="New",$C143="Know")),IF(COUNTIFS($I$2:$I$1001,$A143,$C$2:$C$1001,"Confirmed")=0,"Unconfirmed","Confirmed"),"Logged")))</f>
        <v/>
      </c>
      <c r="L143" s="65" t="str">
        <f aca="false">IF($A143="","",AsOf-$B143)</f>
        <v/>
      </c>
      <c r="M143" s="65" t="str">
        <f aca="false">IF($K143="Open",IF($C143="Conflict","Critical",IF($L143&gt;=DecisionCritical,"Critical",IF($L143&gt;=DecisionWarn,"Warning","On track"))),IF($K143="Unconfirmed",IF($L143&gt;=UnconfirmedWarn,"Warning","On track"),""))</f>
        <v/>
      </c>
      <c r="N143" s="65" t="str">
        <f aca="false">IF($M143="","",IF($M143="Critical",3000,IF($M143="Warning",2000,1000))+$L143+ROW()/100000)</f>
        <v/>
      </c>
      <c r="O143" s="65" t="str">
        <f aca="false">IF($K143="Open",IF($C143="Conflict","decide "&amp;$A143&amp;": &lt;which version stands&gt;","decide "&amp;$A143&amp;": &lt;outcome&gt;"),IF($K143="Unconfirmed","confirm "&amp;$A143,""))</f>
        <v/>
      </c>
      <c r="P143" s="65" t="str">
        <f aca="false">IF(AND($C143="New",$B143&gt;=WeekStart),$B143+ROW()/100000,"")</f>
        <v/>
      </c>
      <c r="Q143" s="65" t="str">
        <f aca="false">IF(AND($C143="Know",$B143&gt;=WeekStart),$B143+ROW()/100000,"")</f>
        <v/>
      </c>
      <c r="R143" s="65" t="str">
        <f aca="false">IF(AND($K143="Open",$C143="Decision"),$L143+ROW()/100000,"")</f>
        <v/>
      </c>
      <c r="S143" s="65" t="str">
        <f aca="false">IF(AND($J143&lt;&gt;"",$J143=UCSel),$B143+ROW()/100000,"")</f>
        <v/>
      </c>
    </row>
    <row r="144" customFormat="false" ht="15" hidden="false" customHeight="false" outlineLevel="0" collapsed="false">
      <c r="A144" s="28"/>
      <c r="B144" s="63"/>
      <c r="C144" s="64"/>
      <c r="D144" s="28"/>
      <c r="E144" s="28"/>
      <c r="F144" s="28"/>
      <c r="G144" s="64"/>
      <c r="H144" s="64"/>
      <c r="I144" s="28"/>
      <c r="J144" s="28"/>
      <c r="K144" s="65" t="str">
        <f aca="false">IF($A144="","",IF(OR($C144="Decision",$C144="Conflict"),IF(COUNTIFS($I$2:$I$1001,$A144,$C$2:$C$1001,"Resolved")=0,"Open","Closed"),IF(AND($H144="Unconfirmed",OR($C144="New",$C144="Know")),IF(COUNTIFS($I$2:$I$1001,$A144,$C$2:$C$1001,"Confirmed")=0,"Unconfirmed","Confirmed"),"Logged")))</f>
        <v/>
      </c>
      <c r="L144" s="65" t="str">
        <f aca="false">IF($A144="","",AsOf-$B144)</f>
        <v/>
      </c>
      <c r="M144" s="65" t="str">
        <f aca="false">IF($K144="Open",IF($C144="Conflict","Critical",IF($L144&gt;=DecisionCritical,"Critical",IF($L144&gt;=DecisionWarn,"Warning","On track"))),IF($K144="Unconfirmed",IF($L144&gt;=UnconfirmedWarn,"Warning","On track"),""))</f>
        <v/>
      </c>
      <c r="N144" s="65" t="str">
        <f aca="false">IF($M144="","",IF($M144="Critical",3000,IF($M144="Warning",2000,1000))+$L144+ROW()/100000)</f>
        <v/>
      </c>
      <c r="O144" s="65" t="str">
        <f aca="false">IF($K144="Open",IF($C144="Conflict","decide "&amp;$A144&amp;": &lt;which version stands&gt;","decide "&amp;$A144&amp;": &lt;outcome&gt;"),IF($K144="Unconfirmed","confirm "&amp;$A144,""))</f>
        <v/>
      </c>
      <c r="P144" s="65" t="str">
        <f aca="false">IF(AND($C144="New",$B144&gt;=WeekStart),$B144+ROW()/100000,"")</f>
        <v/>
      </c>
      <c r="Q144" s="65" t="str">
        <f aca="false">IF(AND($C144="Know",$B144&gt;=WeekStart),$B144+ROW()/100000,"")</f>
        <v/>
      </c>
      <c r="R144" s="65" t="str">
        <f aca="false">IF(AND($K144="Open",$C144="Decision"),$L144+ROW()/100000,"")</f>
        <v/>
      </c>
      <c r="S144" s="65" t="str">
        <f aca="false">IF(AND($J144&lt;&gt;"",$J144=UCSel),$B144+ROW()/100000,"")</f>
        <v/>
      </c>
    </row>
    <row r="145" customFormat="false" ht="15" hidden="false" customHeight="false" outlineLevel="0" collapsed="false">
      <c r="A145" s="28"/>
      <c r="B145" s="63"/>
      <c r="C145" s="64"/>
      <c r="D145" s="28"/>
      <c r="E145" s="28"/>
      <c r="F145" s="28"/>
      <c r="G145" s="64"/>
      <c r="H145" s="64"/>
      <c r="I145" s="28"/>
      <c r="J145" s="28"/>
      <c r="K145" s="65" t="str">
        <f aca="false">IF($A145="","",IF(OR($C145="Decision",$C145="Conflict"),IF(COUNTIFS($I$2:$I$1001,$A145,$C$2:$C$1001,"Resolved")=0,"Open","Closed"),IF(AND($H145="Unconfirmed",OR($C145="New",$C145="Know")),IF(COUNTIFS($I$2:$I$1001,$A145,$C$2:$C$1001,"Confirmed")=0,"Unconfirmed","Confirmed"),"Logged")))</f>
        <v/>
      </c>
      <c r="L145" s="65" t="str">
        <f aca="false">IF($A145="","",AsOf-$B145)</f>
        <v/>
      </c>
      <c r="M145" s="65" t="str">
        <f aca="false">IF($K145="Open",IF($C145="Conflict","Critical",IF($L145&gt;=DecisionCritical,"Critical",IF($L145&gt;=DecisionWarn,"Warning","On track"))),IF($K145="Unconfirmed",IF($L145&gt;=UnconfirmedWarn,"Warning","On track"),""))</f>
        <v/>
      </c>
      <c r="N145" s="65" t="str">
        <f aca="false">IF($M145="","",IF($M145="Critical",3000,IF($M145="Warning",2000,1000))+$L145+ROW()/100000)</f>
        <v/>
      </c>
      <c r="O145" s="65" t="str">
        <f aca="false">IF($K145="Open",IF($C145="Conflict","decide "&amp;$A145&amp;": &lt;which version stands&gt;","decide "&amp;$A145&amp;": &lt;outcome&gt;"),IF($K145="Unconfirmed","confirm "&amp;$A145,""))</f>
        <v/>
      </c>
      <c r="P145" s="65" t="str">
        <f aca="false">IF(AND($C145="New",$B145&gt;=WeekStart),$B145+ROW()/100000,"")</f>
        <v/>
      </c>
      <c r="Q145" s="65" t="str">
        <f aca="false">IF(AND($C145="Know",$B145&gt;=WeekStart),$B145+ROW()/100000,"")</f>
        <v/>
      </c>
      <c r="R145" s="65" t="str">
        <f aca="false">IF(AND($K145="Open",$C145="Decision"),$L145+ROW()/100000,"")</f>
        <v/>
      </c>
      <c r="S145" s="65" t="str">
        <f aca="false">IF(AND($J145&lt;&gt;"",$J145=UCSel),$B145+ROW()/100000,"")</f>
        <v/>
      </c>
    </row>
    <row r="146" customFormat="false" ht="15" hidden="false" customHeight="false" outlineLevel="0" collapsed="false">
      <c r="A146" s="28"/>
      <c r="B146" s="63"/>
      <c r="C146" s="64"/>
      <c r="D146" s="28"/>
      <c r="E146" s="28"/>
      <c r="F146" s="28"/>
      <c r="G146" s="64"/>
      <c r="H146" s="64"/>
      <c r="I146" s="28"/>
      <c r="J146" s="28"/>
      <c r="K146" s="65" t="str">
        <f aca="false">IF($A146="","",IF(OR($C146="Decision",$C146="Conflict"),IF(COUNTIFS($I$2:$I$1001,$A146,$C$2:$C$1001,"Resolved")=0,"Open","Closed"),IF(AND($H146="Unconfirmed",OR($C146="New",$C146="Know")),IF(COUNTIFS($I$2:$I$1001,$A146,$C$2:$C$1001,"Confirmed")=0,"Unconfirmed","Confirmed"),"Logged")))</f>
        <v/>
      </c>
      <c r="L146" s="65" t="str">
        <f aca="false">IF($A146="","",AsOf-$B146)</f>
        <v/>
      </c>
      <c r="M146" s="65" t="str">
        <f aca="false">IF($K146="Open",IF($C146="Conflict","Critical",IF($L146&gt;=DecisionCritical,"Critical",IF($L146&gt;=DecisionWarn,"Warning","On track"))),IF($K146="Unconfirmed",IF($L146&gt;=UnconfirmedWarn,"Warning","On track"),""))</f>
        <v/>
      </c>
      <c r="N146" s="65" t="str">
        <f aca="false">IF($M146="","",IF($M146="Critical",3000,IF($M146="Warning",2000,1000))+$L146+ROW()/100000)</f>
        <v/>
      </c>
      <c r="O146" s="65" t="str">
        <f aca="false">IF($K146="Open",IF($C146="Conflict","decide "&amp;$A146&amp;": &lt;which version stands&gt;","decide "&amp;$A146&amp;": &lt;outcome&gt;"),IF($K146="Unconfirmed","confirm "&amp;$A146,""))</f>
        <v/>
      </c>
      <c r="P146" s="65" t="str">
        <f aca="false">IF(AND($C146="New",$B146&gt;=WeekStart),$B146+ROW()/100000,"")</f>
        <v/>
      </c>
      <c r="Q146" s="65" t="str">
        <f aca="false">IF(AND($C146="Know",$B146&gt;=WeekStart),$B146+ROW()/100000,"")</f>
        <v/>
      </c>
      <c r="R146" s="65" t="str">
        <f aca="false">IF(AND($K146="Open",$C146="Decision"),$L146+ROW()/100000,"")</f>
        <v/>
      </c>
      <c r="S146" s="65" t="str">
        <f aca="false">IF(AND($J146&lt;&gt;"",$J146=UCSel),$B146+ROW()/100000,"")</f>
        <v/>
      </c>
    </row>
    <row r="147" customFormat="false" ht="15" hidden="false" customHeight="false" outlineLevel="0" collapsed="false">
      <c r="A147" s="28"/>
      <c r="B147" s="63"/>
      <c r="C147" s="64"/>
      <c r="D147" s="28"/>
      <c r="E147" s="28"/>
      <c r="F147" s="28"/>
      <c r="G147" s="64"/>
      <c r="H147" s="64"/>
      <c r="I147" s="28"/>
      <c r="J147" s="28"/>
      <c r="K147" s="65" t="str">
        <f aca="false">IF($A147="","",IF(OR($C147="Decision",$C147="Conflict"),IF(COUNTIFS($I$2:$I$1001,$A147,$C$2:$C$1001,"Resolved")=0,"Open","Closed"),IF(AND($H147="Unconfirmed",OR($C147="New",$C147="Know")),IF(COUNTIFS($I$2:$I$1001,$A147,$C$2:$C$1001,"Confirmed")=0,"Unconfirmed","Confirmed"),"Logged")))</f>
        <v/>
      </c>
      <c r="L147" s="65" t="str">
        <f aca="false">IF($A147="","",AsOf-$B147)</f>
        <v/>
      </c>
      <c r="M147" s="65" t="str">
        <f aca="false">IF($K147="Open",IF($C147="Conflict","Critical",IF($L147&gt;=DecisionCritical,"Critical",IF($L147&gt;=DecisionWarn,"Warning","On track"))),IF($K147="Unconfirmed",IF($L147&gt;=UnconfirmedWarn,"Warning","On track"),""))</f>
        <v/>
      </c>
      <c r="N147" s="65" t="str">
        <f aca="false">IF($M147="","",IF($M147="Critical",3000,IF($M147="Warning",2000,1000))+$L147+ROW()/100000)</f>
        <v/>
      </c>
      <c r="O147" s="65" t="str">
        <f aca="false">IF($K147="Open",IF($C147="Conflict","decide "&amp;$A147&amp;": &lt;which version stands&gt;","decide "&amp;$A147&amp;": &lt;outcome&gt;"),IF($K147="Unconfirmed","confirm "&amp;$A147,""))</f>
        <v/>
      </c>
      <c r="P147" s="65" t="str">
        <f aca="false">IF(AND($C147="New",$B147&gt;=WeekStart),$B147+ROW()/100000,"")</f>
        <v/>
      </c>
      <c r="Q147" s="65" t="str">
        <f aca="false">IF(AND($C147="Know",$B147&gt;=WeekStart),$B147+ROW()/100000,"")</f>
        <v/>
      </c>
      <c r="R147" s="65" t="str">
        <f aca="false">IF(AND($K147="Open",$C147="Decision"),$L147+ROW()/100000,"")</f>
        <v/>
      </c>
      <c r="S147" s="65" t="str">
        <f aca="false">IF(AND($J147&lt;&gt;"",$J147=UCSel),$B147+ROW()/100000,"")</f>
        <v/>
      </c>
    </row>
    <row r="148" customFormat="false" ht="15" hidden="false" customHeight="false" outlineLevel="0" collapsed="false">
      <c r="A148" s="28"/>
      <c r="B148" s="63"/>
      <c r="C148" s="64"/>
      <c r="D148" s="28"/>
      <c r="E148" s="28"/>
      <c r="F148" s="28"/>
      <c r="G148" s="64"/>
      <c r="H148" s="64"/>
      <c r="I148" s="28"/>
      <c r="J148" s="28"/>
      <c r="K148" s="65" t="str">
        <f aca="false">IF($A148="","",IF(OR($C148="Decision",$C148="Conflict"),IF(COUNTIFS($I$2:$I$1001,$A148,$C$2:$C$1001,"Resolved")=0,"Open","Closed"),IF(AND($H148="Unconfirmed",OR($C148="New",$C148="Know")),IF(COUNTIFS($I$2:$I$1001,$A148,$C$2:$C$1001,"Confirmed")=0,"Unconfirmed","Confirmed"),"Logged")))</f>
        <v/>
      </c>
      <c r="L148" s="65" t="str">
        <f aca="false">IF($A148="","",AsOf-$B148)</f>
        <v/>
      </c>
      <c r="M148" s="65" t="str">
        <f aca="false">IF($K148="Open",IF($C148="Conflict","Critical",IF($L148&gt;=DecisionCritical,"Critical",IF($L148&gt;=DecisionWarn,"Warning","On track"))),IF($K148="Unconfirmed",IF($L148&gt;=UnconfirmedWarn,"Warning","On track"),""))</f>
        <v/>
      </c>
      <c r="N148" s="65" t="str">
        <f aca="false">IF($M148="","",IF($M148="Critical",3000,IF($M148="Warning",2000,1000))+$L148+ROW()/100000)</f>
        <v/>
      </c>
      <c r="O148" s="65" t="str">
        <f aca="false">IF($K148="Open",IF($C148="Conflict","decide "&amp;$A148&amp;": &lt;which version stands&gt;","decide "&amp;$A148&amp;": &lt;outcome&gt;"),IF($K148="Unconfirmed","confirm "&amp;$A148,""))</f>
        <v/>
      </c>
      <c r="P148" s="65" t="str">
        <f aca="false">IF(AND($C148="New",$B148&gt;=WeekStart),$B148+ROW()/100000,"")</f>
        <v/>
      </c>
      <c r="Q148" s="65" t="str">
        <f aca="false">IF(AND($C148="Know",$B148&gt;=WeekStart),$B148+ROW()/100000,"")</f>
        <v/>
      </c>
      <c r="R148" s="65" t="str">
        <f aca="false">IF(AND($K148="Open",$C148="Decision"),$L148+ROW()/100000,"")</f>
        <v/>
      </c>
      <c r="S148" s="65" t="str">
        <f aca="false">IF(AND($J148&lt;&gt;"",$J148=UCSel),$B148+ROW()/100000,"")</f>
        <v/>
      </c>
    </row>
    <row r="149" customFormat="false" ht="15" hidden="false" customHeight="false" outlineLevel="0" collapsed="false">
      <c r="A149" s="28"/>
      <c r="B149" s="63"/>
      <c r="C149" s="64"/>
      <c r="D149" s="28"/>
      <c r="E149" s="28"/>
      <c r="F149" s="28"/>
      <c r="G149" s="64"/>
      <c r="H149" s="64"/>
      <c r="I149" s="28"/>
      <c r="J149" s="28"/>
      <c r="K149" s="65" t="str">
        <f aca="false">IF($A149="","",IF(OR($C149="Decision",$C149="Conflict"),IF(COUNTIFS($I$2:$I$1001,$A149,$C$2:$C$1001,"Resolved")=0,"Open","Closed"),IF(AND($H149="Unconfirmed",OR($C149="New",$C149="Know")),IF(COUNTIFS($I$2:$I$1001,$A149,$C$2:$C$1001,"Confirmed")=0,"Unconfirmed","Confirmed"),"Logged")))</f>
        <v/>
      </c>
      <c r="L149" s="65" t="str">
        <f aca="false">IF($A149="","",AsOf-$B149)</f>
        <v/>
      </c>
      <c r="M149" s="65" t="str">
        <f aca="false">IF($K149="Open",IF($C149="Conflict","Critical",IF($L149&gt;=DecisionCritical,"Critical",IF($L149&gt;=DecisionWarn,"Warning","On track"))),IF($K149="Unconfirmed",IF($L149&gt;=UnconfirmedWarn,"Warning","On track"),""))</f>
        <v/>
      </c>
      <c r="N149" s="65" t="str">
        <f aca="false">IF($M149="","",IF($M149="Critical",3000,IF($M149="Warning",2000,1000))+$L149+ROW()/100000)</f>
        <v/>
      </c>
      <c r="O149" s="65" t="str">
        <f aca="false">IF($K149="Open",IF($C149="Conflict","decide "&amp;$A149&amp;": &lt;which version stands&gt;","decide "&amp;$A149&amp;": &lt;outcome&gt;"),IF($K149="Unconfirmed","confirm "&amp;$A149,""))</f>
        <v/>
      </c>
      <c r="P149" s="65" t="str">
        <f aca="false">IF(AND($C149="New",$B149&gt;=WeekStart),$B149+ROW()/100000,"")</f>
        <v/>
      </c>
      <c r="Q149" s="65" t="str">
        <f aca="false">IF(AND($C149="Know",$B149&gt;=WeekStart),$B149+ROW()/100000,"")</f>
        <v/>
      </c>
      <c r="R149" s="65" t="str">
        <f aca="false">IF(AND($K149="Open",$C149="Decision"),$L149+ROW()/100000,"")</f>
        <v/>
      </c>
      <c r="S149" s="65" t="str">
        <f aca="false">IF(AND($J149&lt;&gt;"",$J149=UCSel),$B149+ROW()/100000,"")</f>
        <v/>
      </c>
    </row>
    <row r="150" customFormat="false" ht="15" hidden="false" customHeight="false" outlineLevel="0" collapsed="false">
      <c r="A150" s="28"/>
      <c r="B150" s="63"/>
      <c r="C150" s="64"/>
      <c r="D150" s="28"/>
      <c r="E150" s="28"/>
      <c r="F150" s="28"/>
      <c r="G150" s="64"/>
      <c r="H150" s="64"/>
      <c r="I150" s="28"/>
      <c r="J150" s="28"/>
      <c r="K150" s="65" t="str">
        <f aca="false">IF($A150="","",IF(OR($C150="Decision",$C150="Conflict"),IF(COUNTIFS($I$2:$I$1001,$A150,$C$2:$C$1001,"Resolved")=0,"Open","Closed"),IF(AND($H150="Unconfirmed",OR($C150="New",$C150="Know")),IF(COUNTIFS($I$2:$I$1001,$A150,$C$2:$C$1001,"Confirmed")=0,"Unconfirmed","Confirmed"),"Logged")))</f>
        <v/>
      </c>
      <c r="L150" s="65" t="str">
        <f aca="false">IF($A150="","",AsOf-$B150)</f>
        <v/>
      </c>
      <c r="M150" s="65" t="str">
        <f aca="false">IF($K150="Open",IF($C150="Conflict","Critical",IF($L150&gt;=DecisionCritical,"Critical",IF($L150&gt;=DecisionWarn,"Warning","On track"))),IF($K150="Unconfirmed",IF($L150&gt;=UnconfirmedWarn,"Warning","On track"),""))</f>
        <v/>
      </c>
      <c r="N150" s="65" t="str">
        <f aca="false">IF($M150="","",IF($M150="Critical",3000,IF($M150="Warning",2000,1000))+$L150+ROW()/100000)</f>
        <v/>
      </c>
      <c r="O150" s="65" t="str">
        <f aca="false">IF($K150="Open",IF($C150="Conflict","decide "&amp;$A150&amp;": &lt;which version stands&gt;","decide "&amp;$A150&amp;": &lt;outcome&gt;"),IF($K150="Unconfirmed","confirm "&amp;$A150,""))</f>
        <v/>
      </c>
      <c r="P150" s="65" t="str">
        <f aca="false">IF(AND($C150="New",$B150&gt;=WeekStart),$B150+ROW()/100000,"")</f>
        <v/>
      </c>
      <c r="Q150" s="65" t="str">
        <f aca="false">IF(AND($C150="Know",$B150&gt;=WeekStart),$B150+ROW()/100000,"")</f>
        <v/>
      </c>
      <c r="R150" s="65" t="str">
        <f aca="false">IF(AND($K150="Open",$C150="Decision"),$L150+ROW()/100000,"")</f>
        <v/>
      </c>
      <c r="S150" s="65" t="str">
        <f aca="false">IF(AND($J150&lt;&gt;"",$J150=UCSel),$B150+ROW()/100000,"")</f>
        <v/>
      </c>
    </row>
    <row r="151" customFormat="false" ht="15" hidden="false" customHeight="false" outlineLevel="0" collapsed="false">
      <c r="A151" s="28"/>
      <c r="B151" s="63"/>
      <c r="C151" s="64"/>
      <c r="D151" s="28"/>
      <c r="E151" s="28"/>
      <c r="F151" s="28"/>
      <c r="G151" s="64"/>
      <c r="H151" s="64"/>
      <c r="I151" s="28"/>
      <c r="J151" s="28"/>
      <c r="K151" s="65" t="str">
        <f aca="false">IF($A151="","",IF(OR($C151="Decision",$C151="Conflict"),IF(COUNTIFS($I$2:$I$1001,$A151,$C$2:$C$1001,"Resolved")=0,"Open","Closed"),IF(AND($H151="Unconfirmed",OR($C151="New",$C151="Know")),IF(COUNTIFS($I$2:$I$1001,$A151,$C$2:$C$1001,"Confirmed")=0,"Unconfirmed","Confirmed"),"Logged")))</f>
        <v/>
      </c>
      <c r="L151" s="65" t="str">
        <f aca="false">IF($A151="","",AsOf-$B151)</f>
        <v/>
      </c>
      <c r="M151" s="65" t="str">
        <f aca="false">IF($K151="Open",IF($C151="Conflict","Critical",IF($L151&gt;=DecisionCritical,"Critical",IF($L151&gt;=DecisionWarn,"Warning","On track"))),IF($K151="Unconfirmed",IF($L151&gt;=UnconfirmedWarn,"Warning","On track"),""))</f>
        <v/>
      </c>
      <c r="N151" s="65" t="str">
        <f aca="false">IF($M151="","",IF($M151="Critical",3000,IF($M151="Warning",2000,1000))+$L151+ROW()/100000)</f>
        <v/>
      </c>
      <c r="O151" s="65" t="str">
        <f aca="false">IF($K151="Open",IF($C151="Conflict","decide "&amp;$A151&amp;": &lt;which version stands&gt;","decide "&amp;$A151&amp;": &lt;outcome&gt;"),IF($K151="Unconfirmed","confirm "&amp;$A151,""))</f>
        <v/>
      </c>
      <c r="P151" s="65" t="str">
        <f aca="false">IF(AND($C151="New",$B151&gt;=WeekStart),$B151+ROW()/100000,"")</f>
        <v/>
      </c>
      <c r="Q151" s="65" t="str">
        <f aca="false">IF(AND($C151="Know",$B151&gt;=WeekStart),$B151+ROW()/100000,"")</f>
        <v/>
      </c>
      <c r="R151" s="65" t="str">
        <f aca="false">IF(AND($K151="Open",$C151="Decision"),$L151+ROW()/100000,"")</f>
        <v/>
      </c>
      <c r="S151" s="65" t="str">
        <f aca="false">IF(AND($J151&lt;&gt;"",$J151=UCSel),$B151+ROW()/100000,"")</f>
        <v/>
      </c>
    </row>
    <row r="152" customFormat="false" ht="15" hidden="false" customHeight="false" outlineLevel="0" collapsed="false">
      <c r="A152" s="28"/>
      <c r="B152" s="63"/>
      <c r="C152" s="64"/>
      <c r="D152" s="28"/>
      <c r="E152" s="28"/>
      <c r="F152" s="28"/>
      <c r="G152" s="64"/>
      <c r="H152" s="64"/>
      <c r="I152" s="28"/>
      <c r="J152" s="28"/>
      <c r="K152" s="65" t="str">
        <f aca="false">IF($A152="","",IF(OR($C152="Decision",$C152="Conflict"),IF(COUNTIFS($I$2:$I$1001,$A152,$C$2:$C$1001,"Resolved")=0,"Open","Closed"),IF(AND($H152="Unconfirmed",OR($C152="New",$C152="Know")),IF(COUNTIFS($I$2:$I$1001,$A152,$C$2:$C$1001,"Confirmed")=0,"Unconfirmed","Confirmed"),"Logged")))</f>
        <v/>
      </c>
      <c r="L152" s="65" t="str">
        <f aca="false">IF($A152="","",AsOf-$B152)</f>
        <v/>
      </c>
      <c r="M152" s="65" t="str">
        <f aca="false">IF($K152="Open",IF($C152="Conflict","Critical",IF($L152&gt;=DecisionCritical,"Critical",IF($L152&gt;=DecisionWarn,"Warning","On track"))),IF($K152="Unconfirmed",IF($L152&gt;=UnconfirmedWarn,"Warning","On track"),""))</f>
        <v/>
      </c>
      <c r="N152" s="65" t="str">
        <f aca="false">IF($M152="","",IF($M152="Critical",3000,IF($M152="Warning",2000,1000))+$L152+ROW()/100000)</f>
        <v/>
      </c>
      <c r="O152" s="65" t="str">
        <f aca="false">IF($K152="Open",IF($C152="Conflict","decide "&amp;$A152&amp;": &lt;which version stands&gt;","decide "&amp;$A152&amp;": &lt;outcome&gt;"),IF($K152="Unconfirmed","confirm "&amp;$A152,""))</f>
        <v/>
      </c>
      <c r="P152" s="65" t="str">
        <f aca="false">IF(AND($C152="New",$B152&gt;=WeekStart),$B152+ROW()/100000,"")</f>
        <v/>
      </c>
      <c r="Q152" s="65" t="str">
        <f aca="false">IF(AND($C152="Know",$B152&gt;=WeekStart),$B152+ROW()/100000,"")</f>
        <v/>
      </c>
      <c r="R152" s="65" t="str">
        <f aca="false">IF(AND($K152="Open",$C152="Decision"),$L152+ROW()/100000,"")</f>
        <v/>
      </c>
      <c r="S152" s="65" t="str">
        <f aca="false">IF(AND($J152&lt;&gt;"",$J152=UCSel),$B152+ROW()/100000,"")</f>
        <v/>
      </c>
    </row>
    <row r="153" customFormat="false" ht="15" hidden="false" customHeight="false" outlineLevel="0" collapsed="false">
      <c r="A153" s="28"/>
      <c r="B153" s="63"/>
      <c r="C153" s="64"/>
      <c r="D153" s="28"/>
      <c r="E153" s="28"/>
      <c r="F153" s="28"/>
      <c r="G153" s="64"/>
      <c r="H153" s="64"/>
      <c r="I153" s="28"/>
      <c r="J153" s="28"/>
      <c r="K153" s="65" t="str">
        <f aca="false">IF($A153="","",IF(OR($C153="Decision",$C153="Conflict"),IF(COUNTIFS($I$2:$I$1001,$A153,$C$2:$C$1001,"Resolved")=0,"Open","Closed"),IF(AND($H153="Unconfirmed",OR($C153="New",$C153="Know")),IF(COUNTIFS($I$2:$I$1001,$A153,$C$2:$C$1001,"Confirmed")=0,"Unconfirmed","Confirmed"),"Logged")))</f>
        <v/>
      </c>
      <c r="L153" s="65" t="str">
        <f aca="false">IF($A153="","",AsOf-$B153)</f>
        <v/>
      </c>
      <c r="M153" s="65" t="str">
        <f aca="false">IF($K153="Open",IF($C153="Conflict","Critical",IF($L153&gt;=DecisionCritical,"Critical",IF($L153&gt;=DecisionWarn,"Warning","On track"))),IF($K153="Unconfirmed",IF($L153&gt;=UnconfirmedWarn,"Warning","On track"),""))</f>
        <v/>
      </c>
      <c r="N153" s="65" t="str">
        <f aca="false">IF($M153="","",IF($M153="Critical",3000,IF($M153="Warning",2000,1000))+$L153+ROW()/100000)</f>
        <v/>
      </c>
      <c r="O153" s="65" t="str">
        <f aca="false">IF($K153="Open",IF($C153="Conflict","decide "&amp;$A153&amp;": &lt;which version stands&gt;","decide "&amp;$A153&amp;": &lt;outcome&gt;"),IF($K153="Unconfirmed","confirm "&amp;$A153,""))</f>
        <v/>
      </c>
      <c r="P153" s="65" t="str">
        <f aca="false">IF(AND($C153="New",$B153&gt;=WeekStart),$B153+ROW()/100000,"")</f>
        <v/>
      </c>
      <c r="Q153" s="65" t="str">
        <f aca="false">IF(AND($C153="Know",$B153&gt;=WeekStart),$B153+ROW()/100000,"")</f>
        <v/>
      </c>
      <c r="R153" s="65" t="str">
        <f aca="false">IF(AND($K153="Open",$C153="Decision"),$L153+ROW()/100000,"")</f>
        <v/>
      </c>
      <c r="S153" s="65" t="str">
        <f aca="false">IF(AND($J153&lt;&gt;"",$J153=UCSel),$B153+ROW()/100000,"")</f>
        <v/>
      </c>
    </row>
    <row r="154" customFormat="false" ht="15" hidden="false" customHeight="false" outlineLevel="0" collapsed="false">
      <c r="A154" s="28"/>
      <c r="B154" s="63"/>
      <c r="C154" s="64"/>
      <c r="D154" s="28"/>
      <c r="E154" s="28"/>
      <c r="F154" s="28"/>
      <c r="G154" s="64"/>
      <c r="H154" s="64"/>
      <c r="I154" s="28"/>
      <c r="J154" s="28"/>
      <c r="K154" s="65" t="str">
        <f aca="false">IF($A154="","",IF(OR($C154="Decision",$C154="Conflict"),IF(COUNTIFS($I$2:$I$1001,$A154,$C$2:$C$1001,"Resolved")=0,"Open","Closed"),IF(AND($H154="Unconfirmed",OR($C154="New",$C154="Know")),IF(COUNTIFS($I$2:$I$1001,$A154,$C$2:$C$1001,"Confirmed")=0,"Unconfirmed","Confirmed"),"Logged")))</f>
        <v/>
      </c>
      <c r="L154" s="65" t="str">
        <f aca="false">IF($A154="","",AsOf-$B154)</f>
        <v/>
      </c>
      <c r="M154" s="65" t="str">
        <f aca="false">IF($K154="Open",IF($C154="Conflict","Critical",IF($L154&gt;=DecisionCritical,"Critical",IF($L154&gt;=DecisionWarn,"Warning","On track"))),IF($K154="Unconfirmed",IF($L154&gt;=UnconfirmedWarn,"Warning","On track"),""))</f>
        <v/>
      </c>
      <c r="N154" s="65" t="str">
        <f aca="false">IF($M154="","",IF($M154="Critical",3000,IF($M154="Warning",2000,1000))+$L154+ROW()/100000)</f>
        <v/>
      </c>
      <c r="O154" s="65" t="str">
        <f aca="false">IF($K154="Open",IF($C154="Conflict","decide "&amp;$A154&amp;": &lt;which version stands&gt;","decide "&amp;$A154&amp;": &lt;outcome&gt;"),IF($K154="Unconfirmed","confirm "&amp;$A154,""))</f>
        <v/>
      </c>
      <c r="P154" s="65" t="str">
        <f aca="false">IF(AND($C154="New",$B154&gt;=WeekStart),$B154+ROW()/100000,"")</f>
        <v/>
      </c>
      <c r="Q154" s="65" t="str">
        <f aca="false">IF(AND($C154="Know",$B154&gt;=WeekStart),$B154+ROW()/100000,"")</f>
        <v/>
      </c>
      <c r="R154" s="65" t="str">
        <f aca="false">IF(AND($K154="Open",$C154="Decision"),$L154+ROW()/100000,"")</f>
        <v/>
      </c>
      <c r="S154" s="65" t="str">
        <f aca="false">IF(AND($J154&lt;&gt;"",$J154=UCSel),$B154+ROW()/100000,"")</f>
        <v/>
      </c>
    </row>
    <row r="155" customFormat="false" ht="15" hidden="false" customHeight="false" outlineLevel="0" collapsed="false">
      <c r="A155" s="28"/>
      <c r="B155" s="63"/>
      <c r="C155" s="64"/>
      <c r="D155" s="28"/>
      <c r="E155" s="28"/>
      <c r="F155" s="28"/>
      <c r="G155" s="64"/>
      <c r="H155" s="64"/>
      <c r="I155" s="28"/>
      <c r="J155" s="28"/>
      <c r="K155" s="65" t="str">
        <f aca="false">IF($A155="","",IF(OR($C155="Decision",$C155="Conflict"),IF(COUNTIFS($I$2:$I$1001,$A155,$C$2:$C$1001,"Resolved")=0,"Open","Closed"),IF(AND($H155="Unconfirmed",OR($C155="New",$C155="Know")),IF(COUNTIFS($I$2:$I$1001,$A155,$C$2:$C$1001,"Confirmed")=0,"Unconfirmed","Confirmed"),"Logged")))</f>
        <v/>
      </c>
      <c r="L155" s="65" t="str">
        <f aca="false">IF($A155="","",AsOf-$B155)</f>
        <v/>
      </c>
      <c r="M155" s="65" t="str">
        <f aca="false">IF($K155="Open",IF($C155="Conflict","Critical",IF($L155&gt;=DecisionCritical,"Critical",IF($L155&gt;=DecisionWarn,"Warning","On track"))),IF($K155="Unconfirmed",IF($L155&gt;=UnconfirmedWarn,"Warning","On track"),""))</f>
        <v/>
      </c>
      <c r="N155" s="65" t="str">
        <f aca="false">IF($M155="","",IF($M155="Critical",3000,IF($M155="Warning",2000,1000))+$L155+ROW()/100000)</f>
        <v/>
      </c>
      <c r="O155" s="65" t="str">
        <f aca="false">IF($K155="Open",IF($C155="Conflict","decide "&amp;$A155&amp;": &lt;which version stands&gt;","decide "&amp;$A155&amp;": &lt;outcome&gt;"),IF($K155="Unconfirmed","confirm "&amp;$A155,""))</f>
        <v/>
      </c>
      <c r="P155" s="65" t="str">
        <f aca="false">IF(AND($C155="New",$B155&gt;=WeekStart),$B155+ROW()/100000,"")</f>
        <v/>
      </c>
      <c r="Q155" s="65" t="str">
        <f aca="false">IF(AND($C155="Know",$B155&gt;=WeekStart),$B155+ROW()/100000,"")</f>
        <v/>
      </c>
      <c r="R155" s="65" t="str">
        <f aca="false">IF(AND($K155="Open",$C155="Decision"),$L155+ROW()/100000,"")</f>
        <v/>
      </c>
      <c r="S155" s="65" t="str">
        <f aca="false">IF(AND($J155&lt;&gt;"",$J155=UCSel),$B155+ROW()/100000,"")</f>
        <v/>
      </c>
    </row>
    <row r="156" customFormat="false" ht="15" hidden="false" customHeight="false" outlineLevel="0" collapsed="false">
      <c r="A156" s="28"/>
      <c r="B156" s="63"/>
      <c r="C156" s="64"/>
      <c r="D156" s="28"/>
      <c r="E156" s="28"/>
      <c r="F156" s="28"/>
      <c r="G156" s="64"/>
      <c r="H156" s="64"/>
      <c r="I156" s="28"/>
      <c r="J156" s="28"/>
      <c r="K156" s="65" t="str">
        <f aca="false">IF($A156="","",IF(OR($C156="Decision",$C156="Conflict"),IF(COUNTIFS($I$2:$I$1001,$A156,$C$2:$C$1001,"Resolved")=0,"Open","Closed"),IF(AND($H156="Unconfirmed",OR($C156="New",$C156="Know")),IF(COUNTIFS($I$2:$I$1001,$A156,$C$2:$C$1001,"Confirmed")=0,"Unconfirmed","Confirmed"),"Logged")))</f>
        <v/>
      </c>
      <c r="L156" s="65" t="str">
        <f aca="false">IF($A156="","",AsOf-$B156)</f>
        <v/>
      </c>
      <c r="M156" s="65" t="str">
        <f aca="false">IF($K156="Open",IF($C156="Conflict","Critical",IF($L156&gt;=DecisionCritical,"Critical",IF($L156&gt;=DecisionWarn,"Warning","On track"))),IF($K156="Unconfirmed",IF($L156&gt;=UnconfirmedWarn,"Warning","On track"),""))</f>
        <v/>
      </c>
      <c r="N156" s="65" t="str">
        <f aca="false">IF($M156="","",IF($M156="Critical",3000,IF($M156="Warning",2000,1000))+$L156+ROW()/100000)</f>
        <v/>
      </c>
      <c r="O156" s="65" t="str">
        <f aca="false">IF($K156="Open",IF($C156="Conflict","decide "&amp;$A156&amp;": &lt;which version stands&gt;","decide "&amp;$A156&amp;": &lt;outcome&gt;"),IF($K156="Unconfirmed","confirm "&amp;$A156,""))</f>
        <v/>
      </c>
      <c r="P156" s="65" t="str">
        <f aca="false">IF(AND($C156="New",$B156&gt;=WeekStart),$B156+ROW()/100000,"")</f>
        <v/>
      </c>
      <c r="Q156" s="65" t="str">
        <f aca="false">IF(AND($C156="Know",$B156&gt;=WeekStart),$B156+ROW()/100000,"")</f>
        <v/>
      </c>
      <c r="R156" s="65" t="str">
        <f aca="false">IF(AND($K156="Open",$C156="Decision"),$L156+ROW()/100000,"")</f>
        <v/>
      </c>
      <c r="S156" s="65" t="str">
        <f aca="false">IF(AND($J156&lt;&gt;"",$J156=UCSel),$B156+ROW()/100000,"")</f>
        <v/>
      </c>
    </row>
    <row r="157" customFormat="false" ht="15" hidden="false" customHeight="false" outlineLevel="0" collapsed="false">
      <c r="A157" s="28"/>
      <c r="B157" s="63"/>
      <c r="C157" s="64"/>
      <c r="D157" s="28"/>
      <c r="E157" s="28"/>
      <c r="F157" s="28"/>
      <c r="G157" s="64"/>
      <c r="H157" s="64"/>
      <c r="I157" s="28"/>
      <c r="J157" s="28"/>
      <c r="K157" s="65" t="str">
        <f aca="false">IF($A157="","",IF(OR($C157="Decision",$C157="Conflict"),IF(COUNTIFS($I$2:$I$1001,$A157,$C$2:$C$1001,"Resolved")=0,"Open","Closed"),IF(AND($H157="Unconfirmed",OR($C157="New",$C157="Know")),IF(COUNTIFS($I$2:$I$1001,$A157,$C$2:$C$1001,"Confirmed")=0,"Unconfirmed","Confirmed"),"Logged")))</f>
        <v/>
      </c>
      <c r="L157" s="65" t="str">
        <f aca="false">IF($A157="","",AsOf-$B157)</f>
        <v/>
      </c>
      <c r="M157" s="65" t="str">
        <f aca="false">IF($K157="Open",IF($C157="Conflict","Critical",IF($L157&gt;=DecisionCritical,"Critical",IF($L157&gt;=DecisionWarn,"Warning","On track"))),IF($K157="Unconfirmed",IF($L157&gt;=UnconfirmedWarn,"Warning","On track"),""))</f>
        <v/>
      </c>
      <c r="N157" s="65" t="str">
        <f aca="false">IF($M157="","",IF($M157="Critical",3000,IF($M157="Warning",2000,1000))+$L157+ROW()/100000)</f>
        <v/>
      </c>
      <c r="O157" s="65" t="str">
        <f aca="false">IF($K157="Open",IF($C157="Conflict","decide "&amp;$A157&amp;": &lt;which version stands&gt;","decide "&amp;$A157&amp;": &lt;outcome&gt;"),IF($K157="Unconfirmed","confirm "&amp;$A157,""))</f>
        <v/>
      </c>
      <c r="P157" s="65" t="str">
        <f aca="false">IF(AND($C157="New",$B157&gt;=WeekStart),$B157+ROW()/100000,"")</f>
        <v/>
      </c>
      <c r="Q157" s="65" t="str">
        <f aca="false">IF(AND($C157="Know",$B157&gt;=WeekStart),$B157+ROW()/100000,"")</f>
        <v/>
      </c>
      <c r="R157" s="65" t="str">
        <f aca="false">IF(AND($K157="Open",$C157="Decision"),$L157+ROW()/100000,"")</f>
        <v/>
      </c>
      <c r="S157" s="65" t="str">
        <f aca="false">IF(AND($J157&lt;&gt;"",$J157=UCSel),$B157+ROW()/100000,"")</f>
        <v/>
      </c>
    </row>
    <row r="158" customFormat="false" ht="15" hidden="false" customHeight="false" outlineLevel="0" collapsed="false">
      <c r="A158" s="28"/>
      <c r="B158" s="63"/>
      <c r="C158" s="64"/>
      <c r="D158" s="28"/>
      <c r="E158" s="28"/>
      <c r="F158" s="28"/>
      <c r="G158" s="64"/>
      <c r="H158" s="64"/>
      <c r="I158" s="28"/>
      <c r="J158" s="28"/>
      <c r="K158" s="65" t="str">
        <f aca="false">IF($A158="","",IF(OR($C158="Decision",$C158="Conflict"),IF(COUNTIFS($I$2:$I$1001,$A158,$C$2:$C$1001,"Resolved")=0,"Open","Closed"),IF(AND($H158="Unconfirmed",OR($C158="New",$C158="Know")),IF(COUNTIFS($I$2:$I$1001,$A158,$C$2:$C$1001,"Confirmed")=0,"Unconfirmed","Confirmed"),"Logged")))</f>
        <v/>
      </c>
      <c r="L158" s="65" t="str">
        <f aca="false">IF($A158="","",AsOf-$B158)</f>
        <v/>
      </c>
      <c r="M158" s="65" t="str">
        <f aca="false">IF($K158="Open",IF($C158="Conflict","Critical",IF($L158&gt;=DecisionCritical,"Critical",IF($L158&gt;=DecisionWarn,"Warning","On track"))),IF($K158="Unconfirmed",IF($L158&gt;=UnconfirmedWarn,"Warning","On track"),""))</f>
        <v/>
      </c>
      <c r="N158" s="65" t="str">
        <f aca="false">IF($M158="","",IF($M158="Critical",3000,IF($M158="Warning",2000,1000))+$L158+ROW()/100000)</f>
        <v/>
      </c>
      <c r="O158" s="65" t="str">
        <f aca="false">IF($K158="Open",IF($C158="Conflict","decide "&amp;$A158&amp;": &lt;which version stands&gt;","decide "&amp;$A158&amp;": &lt;outcome&gt;"),IF($K158="Unconfirmed","confirm "&amp;$A158,""))</f>
        <v/>
      </c>
      <c r="P158" s="65" t="str">
        <f aca="false">IF(AND($C158="New",$B158&gt;=WeekStart),$B158+ROW()/100000,"")</f>
        <v/>
      </c>
      <c r="Q158" s="65" t="str">
        <f aca="false">IF(AND($C158="Know",$B158&gt;=WeekStart),$B158+ROW()/100000,"")</f>
        <v/>
      </c>
      <c r="R158" s="65" t="str">
        <f aca="false">IF(AND($K158="Open",$C158="Decision"),$L158+ROW()/100000,"")</f>
        <v/>
      </c>
      <c r="S158" s="65" t="str">
        <f aca="false">IF(AND($J158&lt;&gt;"",$J158=UCSel),$B158+ROW()/100000,"")</f>
        <v/>
      </c>
    </row>
    <row r="159" customFormat="false" ht="15" hidden="false" customHeight="false" outlineLevel="0" collapsed="false">
      <c r="A159" s="28"/>
      <c r="B159" s="63"/>
      <c r="C159" s="64"/>
      <c r="D159" s="28"/>
      <c r="E159" s="28"/>
      <c r="F159" s="28"/>
      <c r="G159" s="64"/>
      <c r="H159" s="64"/>
      <c r="I159" s="28"/>
      <c r="J159" s="28"/>
      <c r="K159" s="65" t="str">
        <f aca="false">IF($A159="","",IF(OR($C159="Decision",$C159="Conflict"),IF(COUNTIFS($I$2:$I$1001,$A159,$C$2:$C$1001,"Resolved")=0,"Open","Closed"),IF(AND($H159="Unconfirmed",OR($C159="New",$C159="Know")),IF(COUNTIFS($I$2:$I$1001,$A159,$C$2:$C$1001,"Confirmed")=0,"Unconfirmed","Confirmed"),"Logged")))</f>
        <v/>
      </c>
      <c r="L159" s="65" t="str">
        <f aca="false">IF($A159="","",AsOf-$B159)</f>
        <v/>
      </c>
      <c r="M159" s="65" t="str">
        <f aca="false">IF($K159="Open",IF($C159="Conflict","Critical",IF($L159&gt;=DecisionCritical,"Critical",IF($L159&gt;=DecisionWarn,"Warning","On track"))),IF($K159="Unconfirmed",IF($L159&gt;=UnconfirmedWarn,"Warning","On track"),""))</f>
        <v/>
      </c>
      <c r="N159" s="65" t="str">
        <f aca="false">IF($M159="","",IF($M159="Critical",3000,IF($M159="Warning",2000,1000))+$L159+ROW()/100000)</f>
        <v/>
      </c>
      <c r="O159" s="65" t="str">
        <f aca="false">IF($K159="Open",IF($C159="Conflict","decide "&amp;$A159&amp;": &lt;which version stands&gt;","decide "&amp;$A159&amp;": &lt;outcome&gt;"),IF($K159="Unconfirmed","confirm "&amp;$A159,""))</f>
        <v/>
      </c>
      <c r="P159" s="65" t="str">
        <f aca="false">IF(AND($C159="New",$B159&gt;=WeekStart),$B159+ROW()/100000,"")</f>
        <v/>
      </c>
      <c r="Q159" s="65" t="str">
        <f aca="false">IF(AND($C159="Know",$B159&gt;=WeekStart),$B159+ROW()/100000,"")</f>
        <v/>
      </c>
      <c r="R159" s="65" t="str">
        <f aca="false">IF(AND($K159="Open",$C159="Decision"),$L159+ROW()/100000,"")</f>
        <v/>
      </c>
      <c r="S159" s="65" t="str">
        <f aca="false">IF(AND($J159&lt;&gt;"",$J159=UCSel),$B159+ROW()/100000,"")</f>
        <v/>
      </c>
    </row>
    <row r="160" customFormat="false" ht="15" hidden="false" customHeight="false" outlineLevel="0" collapsed="false">
      <c r="A160" s="28"/>
      <c r="B160" s="63"/>
      <c r="C160" s="64"/>
      <c r="D160" s="28"/>
      <c r="E160" s="28"/>
      <c r="F160" s="28"/>
      <c r="G160" s="64"/>
      <c r="H160" s="64"/>
      <c r="I160" s="28"/>
      <c r="J160" s="28"/>
      <c r="K160" s="65" t="str">
        <f aca="false">IF($A160="","",IF(OR($C160="Decision",$C160="Conflict"),IF(COUNTIFS($I$2:$I$1001,$A160,$C$2:$C$1001,"Resolved")=0,"Open","Closed"),IF(AND($H160="Unconfirmed",OR($C160="New",$C160="Know")),IF(COUNTIFS($I$2:$I$1001,$A160,$C$2:$C$1001,"Confirmed")=0,"Unconfirmed","Confirmed"),"Logged")))</f>
        <v/>
      </c>
      <c r="L160" s="65" t="str">
        <f aca="false">IF($A160="","",AsOf-$B160)</f>
        <v/>
      </c>
      <c r="M160" s="65" t="str">
        <f aca="false">IF($K160="Open",IF($C160="Conflict","Critical",IF($L160&gt;=DecisionCritical,"Critical",IF($L160&gt;=DecisionWarn,"Warning","On track"))),IF($K160="Unconfirmed",IF($L160&gt;=UnconfirmedWarn,"Warning","On track"),""))</f>
        <v/>
      </c>
      <c r="N160" s="65" t="str">
        <f aca="false">IF($M160="","",IF($M160="Critical",3000,IF($M160="Warning",2000,1000))+$L160+ROW()/100000)</f>
        <v/>
      </c>
      <c r="O160" s="65" t="str">
        <f aca="false">IF($K160="Open",IF($C160="Conflict","decide "&amp;$A160&amp;": &lt;which version stands&gt;","decide "&amp;$A160&amp;": &lt;outcome&gt;"),IF($K160="Unconfirmed","confirm "&amp;$A160,""))</f>
        <v/>
      </c>
      <c r="P160" s="65" t="str">
        <f aca="false">IF(AND($C160="New",$B160&gt;=WeekStart),$B160+ROW()/100000,"")</f>
        <v/>
      </c>
      <c r="Q160" s="65" t="str">
        <f aca="false">IF(AND($C160="Know",$B160&gt;=WeekStart),$B160+ROW()/100000,"")</f>
        <v/>
      </c>
      <c r="R160" s="65" t="str">
        <f aca="false">IF(AND($K160="Open",$C160="Decision"),$L160+ROW()/100000,"")</f>
        <v/>
      </c>
      <c r="S160" s="65" t="str">
        <f aca="false">IF(AND($J160&lt;&gt;"",$J160=UCSel),$B160+ROW()/100000,"")</f>
        <v/>
      </c>
    </row>
    <row r="161" customFormat="false" ht="15" hidden="false" customHeight="false" outlineLevel="0" collapsed="false">
      <c r="A161" s="28"/>
      <c r="B161" s="63"/>
      <c r="C161" s="64"/>
      <c r="D161" s="28"/>
      <c r="E161" s="28"/>
      <c r="F161" s="28"/>
      <c r="G161" s="64"/>
      <c r="H161" s="64"/>
      <c r="I161" s="28"/>
      <c r="J161" s="28"/>
      <c r="K161" s="65" t="str">
        <f aca="false">IF($A161="","",IF(OR($C161="Decision",$C161="Conflict"),IF(COUNTIFS($I$2:$I$1001,$A161,$C$2:$C$1001,"Resolved")=0,"Open","Closed"),IF(AND($H161="Unconfirmed",OR($C161="New",$C161="Know")),IF(COUNTIFS($I$2:$I$1001,$A161,$C$2:$C$1001,"Confirmed")=0,"Unconfirmed","Confirmed"),"Logged")))</f>
        <v/>
      </c>
      <c r="L161" s="65" t="str">
        <f aca="false">IF($A161="","",AsOf-$B161)</f>
        <v/>
      </c>
      <c r="M161" s="65" t="str">
        <f aca="false">IF($K161="Open",IF($C161="Conflict","Critical",IF($L161&gt;=DecisionCritical,"Critical",IF($L161&gt;=DecisionWarn,"Warning","On track"))),IF($K161="Unconfirmed",IF($L161&gt;=UnconfirmedWarn,"Warning","On track"),""))</f>
        <v/>
      </c>
      <c r="N161" s="65" t="str">
        <f aca="false">IF($M161="","",IF($M161="Critical",3000,IF($M161="Warning",2000,1000))+$L161+ROW()/100000)</f>
        <v/>
      </c>
      <c r="O161" s="65" t="str">
        <f aca="false">IF($K161="Open",IF($C161="Conflict","decide "&amp;$A161&amp;": &lt;which version stands&gt;","decide "&amp;$A161&amp;": &lt;outcome&gt;"),IF($K161="Unconfirmed","confirm "&amp;$A161,""))</f>
        <v/>
      </c>
      <c r="P161" s="65" t="str">
        <f aca="false">IF(AND($C161="New",$B161&gt;=WeekStart),$B161+ROW()/100000,"")</f>
        <v/>
      </c>
      <c r="Q161" s="65" t="str">
        <f aca="false">IF(AND($C161="Know",$B161&gt;=WeekStart),$B161+ROW()/100000,"")</f>
        <v/>
      </c>
      <c r="R161" s="65" t="str">
        <f aca="false">IF(AND($K161="Open",$C161="Decision"),$L161+ROW()/100000,"")</f>
        <v/>
      </c>
      <c r="S161" s="65" t="str">
        <f aca="false">IF(AND($J161&lt;&gt;"",$J161=UCSel),$B161+ROW()/100000,"")</f>
        <v/>
      </c>
    </row>
    <row r="162" customFormat="false" ht="15" hidden="false" customHeight="false" outlineLevel="0" collapsed="false">
      <c r="A162" s="28"/>
      <c r="B162" s="63"/>
      <c r="C162" s="64"/>
      <c r="D162" s="28"/>
      <c r="E162" s="28"/>
      <c r="F162" s="28"/>
      <c r="G162" s="64"/>
      <c r="H162" s="64"/>
      <c r="I162" s="28"/>
      <c r="J162" s="28"/>
      <c r="K162" s="65" t="str">
        <f aca="false">IF($A162="","",IF(OR($C162="Decision",$C162="Conflict"),IF(COUNTIFS($I$2:$I$1001,$A162,$C$2:$C$1001,"Resolved")=0,"Open","Closed"),IF(AND($H162="Unconfirmed",OR($C162="New",$C162="Know")),IF(COUNTIFS($I$2:$I$1001,$A162,$C$2:$C$1001,"Confirmed")=0,"Unconfirmed","Confirmed"),"Logged")))</f>
        <v/>
      </c>
      <c r="L162" s="65" t="str">
        <f aca="false">IF($A162="","",AsOf-$B162)</f>
        <v/>
      </c>
      <c r="M162" s="65" t="str">
        <f aca="false">IF($K162="Open",IF($C162="Conflict","Critical",IF($L162&gt;=DecisionCritical,"Critical",IF($L162&gt;=DecisionWarn,"Warning","On track"))),IF($K162="Unconfirmed",IF($L162&gt;=UnconfirmedWarn,"Warning","On track"),""))</f>
        <v/>
      </c>
      <c r="N162" s="65" t="str">
        <f aca="false">IF($M162="","",IF($M162="Critical",3000,IF($M162="Warning",2000,1000))+$L162+ROW()/100000)</f>
        <v/>
      </c>
      <c r="O162" s="65" t="str">
        <f aca="false">IF($K162="Open",IF($C162="Conflict","decide "&amp;$A162&amp;": &lt;which version stands&gt;","decide "&amp;$A162&amp;": &lt;outcome&gt;"),IF($K162="Unconfirmed","confirm "&amp;$A162,""))</f>
        <v/>
      </c>
      <c r="P162" s="65" t="str">
        <f aca="false">IF(AND($C162="New",$B162&gt;=WeekStart),$B162+ROW()/100000,"")</f>
        <v/>
      </c>
      <c r="Q162" s="65" t="str">
        <f aca="false">IF(AND($C162="Know",$B162&gt;=WeekStart),$B162+ROW()/100000,"")</f>
        <v/>
      </c>
      <c r="R162" s="65" t="str">
        <f aca="false">IF(AND($K162="Open",$C162="Decision"),$L162+ROW()/100000,"")</f>
        <v/>
      </c>
      <c r="S162" s="65" t="str">
        <f aca="false">IF(AND($J162&lt;&gt;"",$J162=UCSel),$B162+ROW()/100000,"")</f>
        <v/>
      </c>
    </row>
    <row r="163" customFormat="false" ht="15" hidden="false" customHeight="false" outlineLevel="0" collapsed="false">
      <c r="A163" s="28"/>
      <c r="B163" s="63"/>
      <c r="C163" s="64"/>
      <c r="D163" s="28"/>
      <c r="E163" s="28"/>
      <c r="F163" s="28"/>
      <c r="G163" s="64"/>
      <c r="H163" s="64"/>
      <c r="I163" s="28"/>
      <c r="J163" s="28"/>
      <c r="K163" s="65" t="str">
        <f aca="false">IF($A163="","",IF(OR($C163="Decision",$C163="Conflict"),IF(COUNTIFS($I$2:$I$1001,$A163,$C$2:$C$1001,"Resolved")=0,"Open","Closed"),IF(AND($H163="Unconfirmed",OR($C163="New",$C163="Know")),IF(COUNTIFS($I$2:$I$1001,$A163,$C$2:$C$1001,"Confirmed")=0,"Unconfirmed","Confirmed"),"Logged")))</f>
        <v/>
      </c>
      <c r="L163" s="65" t="str">
        <f aca="false">IF($A163="","",AsOf-$B163)</f>
        <v/>
      </c>
      <c r="M163" s="65" t="str">
        <f aca="false">IF($K163="Open",IF($C163="Conflict","Critical",IF($L163&gt;=DecisionCritical,"Critical",IF($L163&gt;=DecisionWarn,"Warning","On track"))),IF($K163="Unconfirmed",IF($L163&gt;=UnconfirmedWarn,"Warning","On track"),""))</f>
        <v/>
      </c>
      <c r="N163" s="65" t="str">
        <f aca="false">IF($M163="","",IF($M163="Critical",3000,IF($M163="Warning",2000,1000))+$L163+ROW()/100000)</f>
        <v/>
      </c>
      <c r="O163" s="65" t="str">
        <f aca="false">IF($K163="Open",IF($C163="Conflict","decide "&amp;$A163&amp;": &lt;which version stands&gt;","decide "&amp;$A163&amp;": &lt;outcome&gt;"),IF($K163="Unconfirmed","confirm "&amp;$A163,""))</f>
        <v/>
      </c>
      <c r="P163" s="65" t="str">
        <f aca="false">IF(AND($C163="New",$B163&gt;=WeekStart),$B163+ROW()/100000,"")</f>
        <v/>
      </c>
      <c r="Q163" s="65" t="str">
        <f aca="false">IF(AND($C163="Know",$B163&gt;=WeekStart),$B163+ROW()/100000,"")</f>
        <v/>
      </c>
      <c r="R163" s="65" t="str">
        <f aca="false">IF(AND($K163="Open",$C163="Decision"),$L163+ROW()/100000,"")</f>
        <v/>
      </c>
      <c r="S163" s="65" t="str">
        <f aca="false">IF(AND($J163&lt;&gt;"",$J163=UCSel),$B163+ROW()/100000,"")</f>
        <v/>
      </c>
    </row>
    <row r="164" customFormat="false" ht="15" hidden="false" customHeight="false" outlineLevel="0" collapsed="false">
      <c r="A164" s="28"/>
      <c r="B164" s="63"/>
      <c r="C164" s="64"/>
      <c r="D164" s="28"/>
      <c r="E164" s="28"/>
      <c r="F164" s="28"/>
      <c r="G164" s="64"/>
      <c r="H164" s="64"/>
      <c r="I164" s="28"/>
      <c r="J164" s="28"/>
      <c r="K164" s="65" t="str">
        <f aca="false">IF($A164="","",IF(OR($C164="Decision",$C164="Conflict"),IF(COUNTIFS($I$2:$I$1001,$A164,$C$2:$C$1001,"Resolved")=0,"Open","Closed"),IF(AND($H164="Unconfirmed",OR($C164="New",$C164="Know")),IF(COUNTIFS($I$2:$I$1001,$A164,$C$2:$C$1001,"Confirmed")=0,"Unconfirmed","Confirmed"),"Logged")))</f>
        <v/>
      </c>
      <c r="L164" s="65" t="str">
        <f aca="false">IF($A164="","",AsOf-$B164)</f>
        <v/>
      </c>
      <c r="M164" s="65" t="str">
        <f aca="false">IF($K164="Open",IF($C164="Conflict","Critical",IF($L164&gt;=DecisionCritical,"Critical",IF($L164&gt;=DecisionWarn,"Warning","On track"))),IF($K164="Unconfirmed",IF($L164&gt;=UnconfirmedWarn,"Warning","On track"),""))</f>
        <v/>
      </c>
      <c r="N164" s="65" t="str">
        <f aca="false">IF($M164="","",IF($M164="Critical",3000,IF($M164="Warning",2000,1000))+$L164+ROW()/100000)</f>
        <v/>
      </c>
      <c r="O164" s="65" t="str">
        <f aca="false">IF($K164="Open",IF($C164="Conflict","decide "&amp;$A164&amp;": &lt;which version stands&gt;","decide "&amp;$A164&amp;": &lt;outcome&gt;"),IF($K164="Unconfirmed","confirm "&amp;$A164,""))</f>
        <v/>
      </c>
      <c r="P164" s="65" t="str">
        <f aca="false">IF(AND($C164="New",$B164&gt;=WeekStart),$B164+ROW()/100000,"")</f>
        <v/>
      </c>
      <c r="Q164" s="65" t="str">
        <f aca="false">IF(AND($C164="Know",$B164&gt;=WeekStart),$B164+ROW()/100000,"")</f>
        <v/>
      </c>
      <c r="R164" s="65" t="str">
        <f aca="false">IF(AND($K164="Open",$C164="Decision"),$L164+ROW()/100000,"")</f>
        <v/>
      </c>
      <c r="S164" s="65" t="str">
        <f aca="false">IF(AND($J164&lt;&gt;"",$J164=UCSel),$B164+ROW()/100000,"")</f>
        <v/>
      </c>
    </row>
    <row r="165" customFormat="false" ht="15" hidden="false" customHeight="false" outlineLevel="0" collapsed="false">
      <c r="A165" s="28"/>
      <c r="B165" s="63"/>
      <c r="C165" s="64"/>
      <c r="D165" s="28"/>
      <c r="E165" s="28"/>
      <c r="F165" s="28"/>
      <c r="G165" s="64"/>
      <c r="H165" s="64"/>
      <c r="I165" s="28"/>
      <c r="J165" s="28"/>
      <c r="K165" s="65" t="str">
        <f aca="false">IF($A165="","",IF(OR($C165="Decision",$C165="Conflict"),IF(COUNTIFS($I$2:$I$1001,$A165,$C$2:$C$1001,"Resolved")=0,"Open","Closed"),IF(AND($H165="Unconfirmed",OR($C165="New",$C165="Know")),IF(COUNTIFS($I$2:$I$1001,$A165,$C$2:$C$1001,"Confirmed")=0,"Unconfirmed","Confirmed"),"Logged")))</f>
        <v/>
      </c>
      <c r="L165" s="65" t="str">
        <f aca="false">IF($A165="","",AsOf-$B165)</f>
        <v/>
      </c>
      <c r="M165" s="65" t="str">
        <f aca="false">IF($K165="Open",IF($C165="Conflict","Critical",IF($L165&gt;=DecisionCritical,"Critical",IF($L165&gt;=DecisionWarn,"Warning","On track"))),IF($K165="Unconfirmed",IF($L165&gt;=UnconfirmedWarn,"Warning","On track"),""))</f>
        <v/>
      </c>
      <c r="N165" s="65" t="str">
        <f aca="false">IF($M165="","",IF($M165="Critical",3000,IF($M165="Warning",2000,1000))+$L165+ROW()/100000)</f>
        <v/>
      </c>
      <c r="O165" s="65" t="str">
        <f aca="false">IF($K165="Open",IF($C165="Conflict","decide "&amp;$A165&amp;": &lt;which version stands&gt;","decide "&amp;$A165&amp;": &lt;outcome&gt;"),IF($K165="Unconfirmed","confirm "&amp;$A165,""))</f>
        <v/>
      </c>
      <c r="P165" s="65" t="str">
        <f aca="false">IF(AND($C165="New",$B165&gt;=WeekStart),$B165+ROW()/100000,"")</f>
        <v/>
      </c>
      <c r="Q165" s="65" t="str">
        <f aca="false">IF(AND($C165="Know",$B165&gt;=WeekStart),$B165+ROW()/100000,"")</f>
        <v/>
      </c>
      <c r="R165" s="65" t="str">
        <f aca="false">IF(AND($K165="Open",$C165="Decision"),$L165+ROW()/100000,"")</f>
        <v/>
      </c>
      <c r="S165" s="65" t="str">
        <f aca="false">IF(AND($J165&lt;&gt;"",$J165=UCSel),$B165+ROW()/100000,"")</f>
        <v/>
      </c>
    </row>
    <row r="166" customFormat="false" ht="15" hidden="false" customHeight="false" outlineLevel="0" collapsed="false">
      <c r="A166" s="28"/>
      <c r="B166" s="63"/>
      <c r="C166" s="64"/>
      <c r="D166" s="28"/>
      <c r="E166" s="28"/>
      <c r="F166" s="28"/>
      <c r="G166" s="64"/>
      <c r="H166" s="64"/>
      <c r="I166" s="28"/>
      <c r="J166" s="28"/>
      <c r="K166" s="65" t="str">
        <f aca="false">IF($A166="","",IF(OR($C166="Decision",$C166="Conflict"),IF(COUNTIFS($I$2:$I$1001,$A166,$C$2:$C$1001,"Resolved")=0,"Open","Closed"),IF(AND($H166="Unconfirmed",OR($C166="New",$C166="Know")),IF(COUNTIFS($I$2:$I$1001,$A166,$C$2:$C$1001,"Confirmed")=0,"Unconfirmed","Confirmed"),"Logged")))</f>
        <v/>
      </c>
      <c r="L166" s="65" t="str">
        <f aca="false">IF($A166="","",AsOf-$B166)</f>
        <v/>
      </c>
      <c r="M166" s="65" t="str">
        <f aca="false">IF($K166="Open",IF($C166="Conflict","Critical",IF($L166&gt;=DecisionCritical,"Critical",IF($L166&gt;=DecisionWarn,"Warning","On track"))),IF($K166="Unconfirmed",IF($L166&gt;=UnconfirmedWarn,"Warning","On track"),""))</f>
        <v/>
      </c>
      <c r="N166" s="65" t="str">
        <f aca="false">IF($M166="","",IF($M166="Critical",3000,IF($M166="Warning",2000,1000))+$L166+ROW()/100000)</f>
        <v/>
      </c>
      <c r="O166" s="65" t="str">
        <f aca="false">IF($K166="Open",IF($C166="Conflict","decide "&amp;$A166&amp;": &lt;which version stands&gt;","decide "&amp;$A166&amp;": &lt;outcome&gt;"),IF($K166="Unconfirmed","confirm "&amp;$A166,""))</f>
        <v/>
      </c>
      <c r="P166" s="65" t="str">
        <f aca="false">IF(AND($C166="New",$B166&gt;=WeekStart),$B166+ROW()/100000,"")</f>
        <v/>
      </c>
      <c r="Q166" s="65" t="str">
        <f aca="false">IF(AND($C166="Know",$B166&gt;=WeekStart),$B166+ROW()/100000,"")</f>
        <v/>
      </c>
      <c r="R166" s="65" t="str">
        <f aca="false">IF(AND($K166="Open",$C166="Decision"),$L166+ROW()/100000,"")</f>
        <v/>
      </c>
      <c r="S166" s="65" t="str">
        <f aca="false">IF(AND($J166&lt;&gt;"",$J166=UCSel),$B166+ROW()/100000,"")</f>
        <v/>
      </c>
    </row>
    <row r="167" customFormat="false" ht="15" hidden="false" customHeight="false" outlineLevel="0" collapsed="false">
      <c r="A167" s="28"/>
      <c r="B167" s="63"/>
      <c r="C167" s="64"/>
      <c r="D167" s="28"/>
      <c r="E167" s="28"/>
      <c r="F167" s="28"/>
      <c r="G167" s="64"/>
      <c r="H167" s="64"/>
      <c r="I167" s="28"/>
      <c r="J167" s="28"/>
      <c r="K167" s="65" t="str">
        <f aca="false">IF($A167="","",IF(OR($C167="Decision",$C167="Conflict"),IF(COUNTIFS($I$2:$I$1001,$A167,$C$2:$C$1001,"Resolved")=0,"Open","Closed"),IF(AND($H167="Unconfirmed",OR($C167="New",$C167="Know")),IF(COUNTIFS($I$2:$I$1001,$A167,$C$2:$C$1001,"Confirmed")=0,"Unconfirmed","Confirmed"),"Logged")))</f>
        <v/>
      </c>
      <c r="L167" s="65" t="str">
        <f aca="false">IF($A167="","",AsOf-$B167)</f>
        <v/>
      </c>
      <c r="M167" s="65" t="str">
        <f aca="false">IF($K167="Open",IF($C167="Conflict","Critical",IF($L167&gt;=DecisionCritical,"Critical",IF($L167&gt;=DecisionWarn,"Warning","On track"))),IF($K167="Unconfirmed",IF($L167&gt;=UnconfirmedWarn,"Warning","On track"),""))</f>
        <v/>
      </c>
      <c r="N167" s="65" t="str">
        <f aca="false">IF($M167="","",IF($M167="Critical",3000,IF($M167="Warning",2000,1000))+$L167+ROW()/100000)</f>
        <v/>
      </c>
      <c r="O167" s="65" t="str">
        <f aca="false">IF($K167="Open",IF($C167="Conflict","decide "&amp;$A167&amp;": &lt;which version stands&gt;","decide "&amp;$A167&amp;": &lt;outcome&gt;"),IF($K167="Unconfirmed","confirm "&amp;$A167,""))</f>
        <v/>
      </c>
      <c r="P167" s="65" t="str">
        <f aca="false">IF(AND($C167="New",$B167&gt;=WeekStart),$B167+ROW()/100000,"")</f>
        <v/>
      </c>
      <c r="Q167" s="65" t="str">
        <f aca="false">IF(AND($C167="Know",$B167&gt;=WeekStart),$B167+ROW()/100000,"")</f>
        <v/>
      </c>
      <c r="R167" s="65" t="str">
        <f aca="false">IF(AND($K167="Open",$C167="Decision"),$L167+ROW()/100000,"")</f>
        <v/>
      </c>
      <c r="S167" s="65" t="str">
        <f aca="false">IF(AND($J167&lt;&gt;"",$J167=UCSel),$B167+ROW()/100000,"")</f>
        <v/>
      </c>
    </row>
    <row r="168" customFormat="false" ht="15" hidden="false" customHeight="false" outlineLevel="0" collapsed="false">
      <c r="A168" s="28"/>
      <c r="B168" s="63"/>
      <c r="C168" s="64"/>
      <c r="D168" s="28"/>
      <c r="E168" s="28"/>
      <c r="F168" s="28"/>
      <c r="G168" s="64"/>
      <c r="H168" s="64"/>
      <c r="I168" s="28"/>
      <c r="J168" s="28"/>
      <c r="K168" s="65" t="str">
        <f aca="false">IF($A168="","",IF(OR($C168="Decision",$C168="Conflict"),IF(COUNTIFS($I$2:$I$1001,$A168,$C$2:$C$1001,"Resolved")=0,"Open","Closed"),IF(AND($H168="Unconfirmed",OR($C168="New",$C168="Know")),IF(COUNTIFS($I$2:$I$1001,$A168,$C$2:$C$1001,"Confirmed")=0,"Unconfirmed","Confirmed"),"Logged")))</f>
        <v/>
      </c>
      <c r="L168" s="65" t="str">
        <f aca="false">IF($A168="","",AsOf-$B168)</f>
        <v/>
      </c>
      <c r="M168" s="65" t="str">
        <f aca="false">IF($K168="Open",IF($C168="Conflict","Critical",IF($L168&gt;=DecisionCritical,"Critical",IF($L168&gt;=DecisionWarn,"Warning","On track"))),IF($K168="Unconfirmed",IF($L168&gt;=UnconfirmedWarn,"Warning","On track"),""))</f>
        <v/>
      </c>
      <c r="N168" s="65" t="str">
        <f aca="false">IF($M168="","",IF($M168="Critical",3000,IF($M168="Warning",2000,1000))+$L168+ROW()/100000)</f>
        <v/>
      </c>
      <c r="O168" s="65" t="str">
        <f aca="false">IF($K168="Open",IF($C168="Conflict","decide "&amp;$A168&amp;": &lt;which version stands&gt;","decide "&amp;$A168&amp;": &lt;outcome&gt;"),IF($K168="Unconfirmed","confirm "&amp;$A168,""))</f>
        <v/>
      </c>
      <c r="P168" s="65" t="str">
        <f aca="false">IF(AND($C168="New",$B168&gt;=WeekStart),$B168+ROW()/100000,"")</f>
        <v/>
      </c>
      <c r="Q168" s="65" t="str">
        <f aca="false">IF(AND($C168="Know",$B168&gt;=WeekStart),$B168+ROW()/100000,"")</f>
        <v/>
      </c>
      <c r="R168" s="65" t="str">
        <f aca="false">IF(AND($K168="Open",$C168="Decision"),$L168+ROW()/100000,"")</f>
        <v/>
      </c>
      <c r="S168" s="65" t="str">
        <f aca="false">IF(AND($J168&lt;&gt;"",$J168=UCSel),$B168+ROW()/100000,"")</f>
        <v/>
      </c>
    </row>
    <row r="169" customFormat="false" ht="15" hidden="false" customHeight="false" outlineLevel="0" collapsed="false">
      <c r="A169" s="28"/>
      <c r="B169" s="63"/>
      <c r="C169" s="64"/>
      <c r="D169" s="28"/>
      <c r="E169" s="28"/>
      <c r="F169" s="28"/>
      <c r="G169" s="64"/>
      <c r="H169" s="64"/>
      <c r="I169" s="28"/>
      <c r="J169" s="28"/>
      <c r="K169" s="65" t="str">
        <f aca="false">IF($A169="","",IF(OR($C169="Decision",$C169="Conflict"),IF(COUNTIFS($I$2:$I$1001,$A169,$C$2:$C$1001,"Resolved")=0,"Open","Closed"),IF(AND($H169="Unconfirmed",OR($C169="New",$C169="Know")),IF(COUNTIFS($I$2:$I$1001,$A169,$C$2:$C$1001,"Confirmed")=0,"Unconfirmed","Confirmed"),"Logged")))</f>
        <v/>
      </c>
      <c r="L169" s="65" t="str">
        <f aca="false">IF($A169="","",AsOf-$B169)</f>
        <v/>
      </c>
      <c r="M169" s="65" t="str">
        <f aca="false">IF($K169="Open",IF($C169="Conflict","Critical",IF($L169&gt;=DecisionCritical,"Critical",IF($L169&gt;=DecisionWarn,"Warning","On track"))),IF($K169="Unconfirmed",IF($L169&gt;=UnconfirmedWarn,"Warning","On track"),""))</f>
        <v/>
      </c>
      <c r="N169" s="65" t="str">
        <f aca="false">IF($M169="","",IF($M169="Critical",3000,IF($M169="Warning",2000,1000))+$L169+ROW()/100000)</f>
        <v/>
      </c>
      <c r="O169" s="65" t="str">
        <f aca="false">IF($K169="Open",IF($C169="Conflict","decide "&amp;$A169&amp;": &lt;which version stands&gt;","decide "&amp;$A169&amp;": &lt;outcome&gt;"),IF($K169="Unconfirmed","confirm "&amp;$A169,""))</f>
        <v/>
      </c>
      <c r="P169" s="65" t="str">
        <f aca="false">IF(AND($C169="New",$B169&gt;=WeekStart),$B169+ROW()/100000,"")</f>
        <v/>
      </c>
      <c r="Q169" s="65" t="str">
        <f aca="false">IF(AND($C169="Know",$B169&gt;=WeekStart),$B169+ROW()/100000,"")</f>
        <v/>
      </c>
      <c r="R169" s="65" t="str">
        <f aca="false">IF(AND($K169="Open",$C169="Decision"),$L169+ROW()/100000,"")</f>
        <v/>
      </c>
      <c r="S169" s="65" t="str">
        <f aca="false">IF(AND($J169&lt;&gt;"",$J169=UCSel),$B169+ROW()/100000,"")</f>
        <v/>
      </c>
    </row>
    <row r="170" customFormat="false" ht="15" hidden="false" customHeight="false" outlineLevel="0" collapsed="false">
      <c r="A170" s="28"/>
      <c r="B170" s="63"/>
      <c r="C170" s="64"/>
      <c r="D170" s="28"/>
      <c r="E170" s="28"/>
      <c r="F170" s="28"/>
      <c r="G170" s="64"/>
      <c r="H170" s="64"/>
      <c r="I170" s="28"/>
      <c r="J170" s="28"/>
      <c r="K170" s="65" t="str">
        <f aca="false">IF($A170="","",IF(OR($C170="Decision",$C170="Conflict"),IF(COUNTIFS($I$2:$I$1001,$A170,$C$2:$C$1001,"Resolved")=0,"Open","Closed"),IF(AND($H170="Unconfirmed",OR($C170="New",$C170="Know")),IF(COUNTIFS($I$2:$I$1001,$A170,$C$2:$C$1001,"Confirmed")=0,"Unconfirmed","Confirmed"),"Logged")))</f>
        <v/>
      </c>
      <c r="L170" s="65" t="str">
        <f aca="false">IF($A170="","",AsOf-$B170)</f>
        <v/>
      </c>
      <c r="M170" s="65" t="str">
        <f aca="false">IF($K170="Open",IF($C170="Conflict","Critical",IF($L170&gt;=DecisionCritical,"Critical",IF($L170&gt;=DecisionWarn,"Warning","On track"))),IF($K170="Unconfirmed",IF($L170&gt;=UnconfirmedWarn,"Warning","On track"),""))</f>
        <v/>
      </c>
      <c r="N170" s="65" t="str">
        <f aca="false">IF($M170="","",IF($M170="Critical",3000,IF($M170="Warning",2000,1000))+$L170+ROW()/100000)</f>
        <v/>
      </c>
      <c r="O170" s="65" t="str">
        <f aca="false">IF($K170="Open",IF($C170="Conflict","decide "&amp;$A170&amp;": &lt;which version stands&gt;","decide "&amp;$A170&amp;": &lt;outcome&gt;"),IF($K170="Unconfirmed","confirm "&amp;$A170,""))</f>
        <v/>
      </c>
      <c r="P170" s="65" t="str">
        <f aca="false">IF(AND($C170="New",$B170&gt;=WeekStart),$B170+ROW()/100000,"")</f>
        <v/>
      </c>
      <c r="Q170" s="65" t="str">
        <f aca="false">IF(AND($C170="Know",$B170&gt;=WeekStart),$B170+ROW()/100000,"")</f>
        <v/>
      </c>
      <c r="R170" s="65" t="str">
        <f aca="false">IF(AND($K170="Open",$C170="Decision"),$L170+ROW()/100000,"")</f>
        <v/>
      </c>
      <c r="S170" s="65" t="str">
        <f aca="false">IF(AND($J170&lt;&gt;"",$J170=UCSel),$B170+ROW()/100000,"")</f>
        <v/>
      </c>
    </row>
    <row r="171" customFormat="false" ht="15" hidden="false" customHeight="false" outlineLevel="0" collapsed="false">
      <c r="A171" s="28"/>
      <c r="B171" s="63"/>
      <c r="C171" s="64"/>
      <c r="D171" s="28"/>
      <c r="E171" s="28"/>
      <c r="F171" s="28"/>
      <c r="G171" s="64"/>
      <c r="H171" s="64"/>
      <c r="I171" s="28"/>
      <c r="J171" s="28"/>
      <c r="K171" s="65" t="str">
        <f aca="false">IF($A171="","",IF(OR($C171="Decision",$C171="Conflict"),IF(COUNTIFS($I$2:$I$1001,$A171,$C$2:$C$1001,"Resolved")=0,"Open","Closed"),IF(AND($H171="Unconfirmed",OR($C171="New",$C171="Know")),IF(COUNTIFS($I$2:$I$1001,$A171,$C$2:$C$1001,"Confirmed")=0,"Unconfirmed","Confirmed"),"Logged")))</f>
        <v/>
      </c>
      <c r="L171" s="65" t="str">
        <f aca="false">IF($A171="","",AsOf-$B171)</f>
        <v/>
      </c>
      <c r="M171" s="65" t="str">
        <f aca="false">IF($K171="Open",IF($C171="Conflict","Critical",IF($L171&gt;=DecisionCritical,"Critical",IF($L171&gt;=DecisionWarn,"Warning","On track"))),IF($K171="Unconfirmed",IF($L171&gt;=UnconfirmedWarn,"Warning","On track"),""))</f>
        <v/>
      </c>
      <c r="N171" s="65" t="str">
        <f aca="false">IF($M171="","",IF($M171="Critical",3000,IF($M171="Warning",2000,1000))+$L171+ROW()/100000)</f>
        <v/>
      </c>
      <c r="O171" s="65" t="str">
        <f aca="false">IF($K171="Open",IF($C171="Conflict","decide "&amp;$A171&amp;": &lt;which version stands&gt;","decide "&amp;$A171&amp;": &lt;outcome&gt;"),IF($K171="Unconfirmed","confirm "&amp;$A171,""))</f>
        <v/>
      </c>
      <c r="P171" s="65" t="str">
        <f aca="false">IF(AND($C171="New",$B171&gt;=WeekStart),$B171+ROW()/100000,"")</f>
        <v/>
      </c>
      <c r="Q171" s="65" t="str">
        <f aca="false">IF(AND($C171="Know",$B171&gt;=WeekStart),$B171+ROW()/100000,"")</f>
        <v/>
      </c>
      <c r="R171" s="65" t="str">
        <f aca="false">IF(AND($K171="Open",$C171="Decision"),$L171+ROW()/100000,"")</f>
        <v/>
      </c>
      <c r="S171" s="65" t="str">
        <f aca="false">IF(AND($J171&lt;&gt;"",$J171=UCSel),$B171+ROW()/100000,"")</f>
        <v/>
      </c>
    </row>
    <row r="172" customFormat="false" ht="15" hidden="false" customHeight="false" outlineLevel="0" collapsed="false">
      <c r="A172" s="28"/>
      <c r="B172" s="63"/>
      <c r="C172" s="64"/>
      <c r="D172" s="28"/>
      <c r="E172" s="28"/>
      <c r="F172" s="28"/>
      <c r="G172" s="64"/>
      <c r="H172" s="64"/>
      <c r="I172" s="28"/>
      <c r="J172" s="28"/>
      <c r="K172" s="65" t="str">
        <f aca="false">IF($A172="","",IF(OR($C172="Decision",$C172="Conflict"),IF(COUNTIFS($I$2:$I$1001,$A172,$C$2:$C$1001,"Resolved")=0,"Open","Closed"),IF(AND($H172="Unconfirmed",OR($C172="New",$C172="Know")),IF(COUNTIFS($I$2:$I$1001,$A172,$C$2:$C$1001,"Confirmed")=0,"Unconfirmed","Confirmed"),"Logged")))</f>
        <v/>
      </c>
      <c r="L172" s="65" t="str">
        <f aca="false">IF($A172="","",AsOf-$B172)</f>
        <v/>
      </c>
      <c r="M172" s="65" t="str">
        <f aca="false">IF($K172="Open",IF($C172="Conflict","Critical",IF($L172&gt;=DecisionCritical,"Critical",IF($L172&gt;=DecisionWarn,"Warning","On track"))),IF($K172="Unconfirmed",IF($L172&gt;=UnconfirmedWarn,"Warning","On track"),""))</f>
        <v/>
      </c>
      <c r="N172" s="65" t="str">
        <f aca="false">IF($M172="","",IF($M172="Critical",3000,IF($M172="Warning",2000,1000))+$L172+ROW()/100000)</f>
        <v/>
      </c>
      <c r="O172" s="65" t="str">
        <f aca="false">IF($K172="Open",IF($C172="Conflict","decide "&amp;$A172&amp;": &lt;which version stands&gt;","decide "&amp;$A172&amp;": &lt;outcome&gt;"),IF($K172="Unconfirmed","confirm "&amp;$A172,""))</f>
        <v/>
      </c>
      <c r="P172" s="65" t="str">
        <f aca="false">IF(AND($C172="New",$B172&gt;=WeekStart),$B172+ROW()/100000,"")</f>
        <v/>
      </c>
      <c r="Q172" s="65" t="str">
        <f aca="false">IF(AND($C172="Know",$B172&gt;=WeekStart),$B172+ROW()/100000,"")</f>
        <v/>
      </c>
      <c r="R172" s="65" t="str">
        <f aca="false">IF(AND($K172="Open",$C172="Decision"),$L172+ROW()/100000,"")</f>
        <v/>
      </c>
      <c r="S172" s="65" t="str">
        <f aca="false">IF(AND($J172&lt;&gt;"",$J172=UCSel),$B172+ROW()/100000,"")</f>
        <v/>
      </c>
    </row>
    <row r="173" customFormat="false" ht="15" hidden="false" customHeight="false" outlineLevel="0" collapsed="false">
      <c r="A173" s="28"/>
      <c r="B173" s="63"/>
      <c r="C173" s="64"/>
      <c r="D173" s="28"/>
      <c r="E173" s="28"/>
      <c r="F173" s="28"/>
      <c r="G173" s="64"/>
      <c r="H173" s="64"/>
      <c r="I173" s="28"/>
      <c r="J173" s="28"/>
      <c r="K173" s="65" t="str">
        <f aca="false">IF($A173="","",IF(OR($C173="Decision",$C173="Conflict"),IF(COUNTIFS($I$2:$I$1001,$A173,$C$2:$C$1001,"Resolved")=0,"Open","Closed"),IF(AND($H173="Unconfirmed",OR($C173="New",$C173="Know")),IF(COUNTIFS($I$2:$I$1001,$A173,$C$2:$C$1001,"Confirmed")=0,"Unconfirmed","Confirmed"),"Logged")))</f>
        <v/>
      </c>
      <c r="L173" s="65" t="str">
        <f aca="false">IF($A173="","",AsOf-$B173)</f>
        <v/>
      </c>
      <c r="M173" s="65" t="str">
        <f aca="false">IF($K173="Open",IF($C173="Conflict","Critical",IF($L173&gt;=DecisionCritical,"Critical",IF($L173&gt;=DecisionWarn,"Warning","On track"))),IF($K173="Unconfirmed",IF($L173&gt;=UnconfirmedWarn,"Warning","On track"),""))</f>
        <v/>
      </c>
      <c r="N173" s="65" t="str">
        <f aca="false">IF($M173="","",IF($M173="Critical",3000,IF($M173="Warning",2000,1000))+$L173+ROW()/100000)</f>
        <v/>
      </c>
      <c r="O173" s="65" t="str">
        <f aca="false">IF($K173="Open",IF($C173="Conflict","decide "&amp;$A173&amp;": &lt;which version stands&gt;","decide "&amp;$A173&amp;": &lt;outcome&gt;"),IF($K173="Unconfirmed","confirm "&amp;$A173,""))</f>
        <v/>
      </c>
      <c r="P173" s="65" t="str">
        <f aca="false">IF(AND($C173="New",$B173&gt;=WeekStart),$B173+ROW()/100000,"")</f>
        <v/>
      </c>
      <c r="Q173" s="65" t="str">
        <f aca="false">IF(AND($C173="Know",$B173&gt;=WeekStart),$B173+ROW()/100000,"")</f>
        <v/>
      </c>
      <c r="R173" s="65" t="str">
        <f aca="false">IF(AND($K173="Open",$C173="Decision"),$L173+ROW()/100000,"")</f>
        <v/>
      </c>
      <c r="S173" s="65" t="str">
        <f aca="false">IF(AND($J173&lt;&gt;"",$J173=UCSel),$B173+ROW()/100000,"")</f>
        <v/>
      </c>
    </row>
    <row r="174" customFormat="false" ht="15" hidden="false" customHeight="false" outlineLevel="0" collapsed="false">
      <c r="A174" s="28"/>
      <c r="B174" s="63"/>
      <c r="C174" s="64"/>
      <c r="D174" s="28"/>
      <c r="E174" s="28"/>
      <c r="F174" s="28"/>
      <c r="G174" s="64"/>
      <c r="H174" s="64"/>
      <c r="I174" s="28"/>
      <c r="J174" s="28"/>
      <c r="K174" s="65" t="str">
        <f aca="false">IF($A174="","",IF(OR($C174="Decision",$C174="Conflict"),IF(COUNTIFS($I$2:$I$1001,$A174,$C$2:$C$1001,"Resolved")=0,"Open","Closed"),IF(AND($H174="Unconfirmed",OR($C174="New",$C174="Know")),IF(COUNTIFS($I$2:$I$1001,$A174,$C$2:$C$1001,"Confirmed")=0,"Unconfirmed","Confirmed"),"Logged")))</f>
        <v/>
      </c>
      <c r="L174" s="65" t="str">
        <f aca="false">IF($A174="","",AsOf-$B174)</f>
        <v/>
      </c>
      <c r="M174" s="65" t="str">
        <f aca="false">IF($K174="Open",IF($C174="Conflict","Critical",IF($L174&gt;=DecisionCritical,"Critical",IF($L174&gt;=DecisionWarn,"Warning","On track"))),IF($K174="Unconfirmed",IF($L174&gt;=UnconfirmedWarn,"Warning","On track"),""))</f>
        <v/>
      </c>
      <c r="N174" s="65" t="str">
        <f aca="false">IF($M174="","",IF($M174="Critical",3000,IF($M174="Warning",2000,1000))+$L174+ROW()/100000)</f>
        <v/>
      </c>
      <c r="O174" s="65" t="str">
        <f aca="false">IF($K174="Open",IF($C174="Conflict","decide "&amp;$A174&amp;": &lt;which version stands&gt;","decide "&amp;$A174&amp;": &lt;outcome&gt;"),IF($K174="Unconfirmed","confirm "&amp;$A174,""))</f>
        <v/>
      </c>
      <c r="P174" s="65" t="str">
        <f aca="false">IF(AND($C174="New",$B174&gt;=WeekStart),$B174+ROW()/100000,"")</f>
        <v/>
      </c>
      <c r="Q174" s="65" t="str">
        <f aca="false">IF(AND($C174="Know",$B174&gt;=WeekStart),$B174+ROW()/100000,"")</f>
        <v/>
      </c>
      <c r="R174" s="65" t="str">
        <f aca="false">IF(AND($K174="Open",$C174="Decision"),$L174+ROW()/100000,"")</f>
        <v/>
      </c>
      <c r="S174" s="65" t="str">
        <f aca="false">IF(AND($J174&lt;&gt;"",$J174=UCSel),$B174+ROW()/100000,"")</f>
        <v/>
      </c>
    </row>
    <row r="175" customFormat="false" ht="15" hidden="false" customHeight="false" outlineLevel="0" collapsed="false">
      <c r="A175" s="28"/>
      <c r="B175" s="63"/>
      <c r="C175" s="64"/>
      <c r="D175" s="28"/>
      <c r="E175" s="28"/>
      <c r="F175" s="28"/>
      <c r="G175" s="64"/>
      <c r="H175" s="64"/>
      <c r="I175" s="28"/>
      <c r="J175" s="28"/>
      <c r="K175" s="65" t="str">
        <f aca="false">IF($A175="","",IF(OR($C175="Decision",$C175="Conflict"),IF(COUNTIFS($I$2:$I$1001,$A175,$C$2:$C$1001,"Resolved")=0,"Open","Closed"),IF(AND($H175="Unconfirmed",OR($C175="New",$C175="Know")),IF(COUNTIFS($I$2:$I$1001,$A175,$C$2:$C$1001,"Confirmed")=0,"Unconfirmed","Confirmed"),"Logged")))</f>
        <v/>
      </c>
      <c r="L175" s="65" t="str">
        <f aca="false">IF($A175="","",AsOf-$B175)</f>
        <v/>
      </c>
      <c r="M175" s="65" t="str">
        <f aca="false">IF($K175="Open",IF($C175="Conflict","Critical",IF($L175&gt;=DecisionCritical,"Critical",IF($L175&gt;=DecisionWarn,"Warning","On track"))),IF($K175="Unconfirmed",IF($L175&gt;=UnconfirmedWarn,"Warning","On track"),""))</f>
        <v/>
      </c>
      <c r="N175" s="65" t="str">
        <f aca="false">IF($M175="","",IF($M175="Critical",3000,IF($M175="Warning",2000,1000))+$L175+ROW()/100000)</f>
        <v/>
      </c>
      <c r="O175" s="65" t="str">
        <f aca="false">IF($K175="Open",IF($C175="Conflict","decide "&amp;$A175&amp;": &lt;which version stands&gt;","decide "&amp;$A175&amp;": &lt;outcome&gt;"),IF($K175="Unconfirmed","confirm "&amp;$A175,""))</f>
        <v/>
      </c>
      <c r="P175" s="65" t="str">
        <f aca="false">IF(AND($C175="New",$B175&gt;=WeekStart),$B175+ROW()/100000,"")</f>
        <v/>
      </c>
      <c r="Q175" s="65" t="str">
        <f aca="false">IF(AND($C175="Know",$B175&gt;=WeekStart),$B175+ROW()/100000,"")</f>
        <v/>
      </c>
      <c r="R175" s="65" t="str">
        <f aca="false">IF(AND($K175="Open",$C175="Decision"),$L175+ROW()/100000,"")</f>
        <v/>
      </c>
      <c r="S175" s="65" t="str">
        <f aca="false">IF(AND($J175&lt;&gt;"",$J175=UCSel),$B175+ROW()/100000,"")</f>
        <v/>
      </c>
    </row>
    <row r="176" customFormat="false" ht="15" hidden="false" customHeight="false" outlineLevel="0" collapsed="false">
      <c r="A176" s="28"/>
      <c r="B176" s="63"/>
      <c r="C176" s="64"/>
      <c r="D176" s="28"/>
      <c r="E176" s="28"/>
      <c r="F176" s="28"/>
      <c r="G176" s="64"/>
      <c r="H176" s="64"/>
      <c r="I176" s="28"/>
      <c r="J176" s="28"/>
      <c r="K176" s="65" t="str">
        <f aca="false">IF($A176="","",IF(OR($C176="Decision",$C176="Conflict"),IF(COUNTIFS($I$2:$I$1001,$A176,$C$2:$C$1001,"Resolved")=0,"Open","Closed"),IF(AND($H176="Unconfirmed",OR($C176="New",$C176="Know")),IF(COUNTIFS($I$2:$I$1001,$A176,$C$2:$C$1001,"Confirmed")=0,"Unconfirmed","Confirmed"),"Logged")))</f>
        <v/>
      </c>
      <c r="L176" s="65" t="str">
        <f aca="false">IF($A176="","",AsOf-$B176)</f>
        <v/>
      </c>
      <c r="M176" s="65" t="str">
        <f aca="false">IF($K176="Open",IF($C176="Conflict","Critical",IF($L176&gt;=DecisionCritical,"Critical",IF($L176&gt;=DecisionWarn,"Warning","On track"))),IF($K176="Unconfirmed",IF($L176&gt;=UnconfirmedWarn,"Warning","On track"),""))</f>
        <v/>
      </c>
      <c r="N176" s="65" t="str">
        <f aca="false">IF($M176="","",IF($M176="Critical",3000,IF($M176="Warning",2000,1000))+$L176+ROW()/100000)</f>
        <v/>
      </c>
      <c r="O176" s="65" t="str">
        <f aca="false">IF($K176="Open",IF($C176="Conflict","decide "&amp;$A176&amp;": &lt;which version stands&gt;","decide "&amp;$A176&amp;": &lt;outcome&gt;"),IF($K176="Unconfirmed","confirm "&amp;$A176,""))</f>
        <v/>
      </c>
      <c r="P176" s="65" t="str">
        <f aca="false">IF(AND($C176="New",$B176&gt;=WeekStart),$B176+ROW()/100000,"")</f>
        <v/>
      </c>
      <c r="Q176" s="65" t="str">
        <f aca="false">IF(AND($C176="Know",$B176&gt;=WeekStart),$B176+ROW()/100000,"")</f>
        <v/>
      </c>
      <c r="R176" s="65" t="str">
        <f aca="false">IF(AND($K176="Open",$C176="Decision"),$L176+ROW()/100000,"")</f>
        <v/>
      </c>
      <c r="S176" s="65" t="str">
        <f aca="false">IF(AND($J176&lt;&gt;"",$J176=UCSel),$B176+ROW()/100000,"")</f>
        <v/>
      </c>
    </row>
    <row r="177" customFormat="false" ht="15" hidden="false" customHeight="false" outlineLevel="0" collapsed="false">
      <c r="A177" s="28"/>
      <c r="B177" s="63"/>
      <c r="C177" s="64"/>
      <c r="D177" s="28"/>
      <c r="E177" s="28"/>
      <c r="F177" s="28"/>
      <c r="G177" s="64"/>
      <c r="H177" s="64"/>
      <c r="I177" s="28"/>
      <c r="J177" s="28"/>
      <c r="K177" s="65" t="str">
        <f aca="false">IF($A177="","",IF(OR($C177="Decision",$C177="Conflict"),IF(COUNTIFS($I$2:$I$1001,$A177,$C$2:$C$1001,"Resolved")=0,"Open","Closed"),IF(AND($H177="Unconfirmed",OR($C177="New",$C177="Know")),IF(COUNTIFS($I$2:$I$1001,$A177,$C$2:$C$1001,"Confirmed")=0,"Unconfirmed","Confirmed"),"Logged")))</f>
        <v/>
      </c>
      <c r="L177" s="65" t="str">
        <f aca="false">IF($A177="","",AsOf-$B177)</f>
        <v/>
      </c>
      <c r="M177" s="65" t="str">
        <f aca="false">IF($K177="Open",IF($C177="Conflict","Critical",IF($L177&gt;=DecisionCritical,"Critical",IF($L177&gt;=DecisionWarn,"Warning","On track"))),IF($K177="Unconfirmed",IF($L177&gt;=UnconfirmedWarn,"Warning","On track"),""))</f>
        <v/>
      </c>
      <c r="N177" s="65" t="str">
        <f aca="false">IF($M177="","",IF($M177="Critical",3000,IF($M177="Warning",2000,1000))+$L177+ROW()/100000)</f>
        <v/>
      </c>
      <c r="O177" s="65" t="str">
        <f aca="false">IF($K177="Open",IF($C177="Conflict","decide "&amp;$A177&amp;": &lt;which version stands&gt;","decide "&amp;$A177&amp;": &lt;outcome&gt;"),IF($K177="Unconfirmed","confirm "&amp;$A177,""))</f>
        <v/>
      </c>
      <c r="P177" s="65" t="str">
        <f aca="false">IF(AND($C177="New",$B177&gt;=WeekStart),$B177+ROW()/100000,"")</f>
        <v/>
      </c>
      <c r="Q177" s="65" t="str">
        <f aca="false">IF(AND($C177="Know",$B177&gt;=WeekStart),$B177+ROW()/100000,"")</f>
        <v/>
      </c>
      <c r="R177" s="65" t="str">
        <f aca="false">IF(AND($K177="Open",$C177="Decision"),$L177+ROW()/100000,"")</f>
        <v/>
      </c>
      <c r="S177" s="65" t="str">
        <f aca="false">IF(AND($J177&lt;&gt;"",$J177=UCSel),$B177+ROW()/100000,"")</f>
        <v/>
      </c>
    </row>
    <row r="178" customFormat="false" ht="15" hidden="false" customHeight="false" outlineLevel="0" collapsed="false">
      <c r="A178" s="28"/>
      <c r="B178" s="63"/>
      <c r="C178" s="64"/>
      <c r="D178" s="28"/>
      <c r="E178" s="28"/>
      <c r="F178" s="28"/>
      <c r="G178" s="64"/>
      <c r="H178" s="64"/>
      <c r="I178" s="28"/>
      <c r="J178" s="28"/>
      <c r="K178" s="65" t="str">
        <f aca="false">IF($A178="","",IF(OR($C178="Decision",$C178="Conflict"),IF(COUNTIFS($I$2:$I$1001,$A178,$C$2:$C$1001,"Resolved")=0,"Open","Closed"),IF(AND($H178="Unconfirmed",OR($C178="New",$C178="Know")),IF(COUNTIFS($I$2:$I$1001,$A178,$C$2:$C$1001,"Confirmed")=0,"Unconfirmed","Confirmed"),"Logged")))</f>
        <v/>
      </c>
      <c r="L178" s="65" t="str">
        <f aca="false">IF($A178="","",AsOf-$B178)</f>
        <v/>
      </c>
      <c r="M178" s="65" t="str">
        <f aca="false">IF($K178="Open",IF($C178="Conflict","Critical",IF($L178&gt;=DecisionCritical,"Critical",IF($L178&gt;=DecisionWarn,"Warning","On track"))),IF($K178="Unconfirmed",IF($L178&gt;=UnconfirmedWarn,"Warning","On track"),""))</f>
        <v/>
      </c>
      <c r="N178" s="65" t="str">
        <f aca="false">IF($M178="","",IF($M178="Critical",3000,IF($M178="Warning",2000,1000))+$L178+ROW()/100000)</f>
        <v/>
      </c>
      <c r="O178" s="65" t="str">
        <f aca="false">IF($K178="Open",IF($C178="Conflict","decide "&amp;$A178&amp;": &lt;which version stands&gt;","decide "&amp;$A178&amp;": &lt;outcome&gt;"),IF($K178="Unconfirmed","confirm "&amp;$A178,""))</f>
        <v/>
      </c>
      <c r="P178" s="65" t="str">
        <f aca="false">IF(AND($C178="New",$B178&gt;=WeekStart),$B178+ROW()/100000,"")</f>
        <v/>
      </c>
      <c r="Q178" s="65" t="str">
        <f aca="false">IF(AND($C178="Know",$B178&gt;=WeekStart),$B178+ROW()/100000,"")</f>
        <v/>
      </c>
      <c r="R178" s="65" t="str">
        <f aca="false">IF(AND($K178="Open",$C178="Decision"),$L178+ROW()/100000,"")</f>
        <v/>
      </c>
      <c r="S178" s="65" t="str">
        <f aca="false">IF(AND($J178&lt;&gt;"",$J178=UCSel),$B178+ROW()/100000,"")</f>
        <v/>
      </c>
    </row>
    <row r="179" customFormat="false" ht="15" hidden="false" customHeight="false" outlineLevel="0" collapsed="false">
      <c r="A179" s="28"/>
      <c r="B179" s="63"/>
      <c r="C179" s="64"/>
      <c r="D179" s="28"/>
      <c r="E179" s="28"/>
      <c r="F179" s="28"/>
      <c r="G179" s="64"/>
      <c r="H179" s="64"/>
      <c r="I179" s="28"/>
      <c r="J179" s="28"/>
      <c r="K179" s="65" t="str">
        <f aca="false">IF($A179="","",IF(OR($C179="Decision",$C179="Conflict"),IF(COUNTIFS($I$2:$I$1001,$A179,$C$2:$C$1001,"Resolved")=0,"Open","Closed"),IF(AND($H179="Unconfirmed",OR($C179="New",$C179="Know")),IF(COUNTIFS($I$2:$I$1001,$A179,$C$2:$C$1001,"Confirmed")=0,"Unconfirmed","Confirmed"),"Logged")))</f>
        <v/>
      </c>
      <c r="L179" s="65" t="str">
        <f aca="false">IF($A179="","",AsOf-$B179)</f>
        <v/>
      </c>
      <c r="M179" s="65" t="str">
        <f aca="false">IF($K179="Open",IF($C179="Conflict","Critical",IF($L179&gt;=DecisionCritical,"Critical",IF($L179&gt;=DecisionWarn,"Warning","On track"))),IF($K179="Unconfirmed",IF($L179&gt;=UnconfirmedWarn,"Warning","On track"),""))</f>
        <v/>
      </c>
      <c r="N179" s="65" t="str">
        <f aca="false">IF($M179="","",IF($M179="Critical",3000,IF($M179="Warning",2000,1000))+$L179+ROW()/100000)</f>
        <v/>
      </c>
      <c r="O179" s="65" t="str">
        <f aca="false">IF($K179="Open",IF($C179="Conflict","decide "&amp;$A179&amp;": &lt;which version stands&gt;","decide "&amp;$A179&amp;": &lt;outcome&gt;"),IF($K179="Unconfirmed","confirm "&amp;$A179,""))</f>
        <v/>
      </c>
      <c r="P179" s="65" t="str">
        <f aca="false">IF(AND($C179="New",$B179&gt;=WeekStart),$B179+ROW()/100000,"")</f>
        <v/>
      </c>
      <c r="Q179" s="65" t="str">
        <f aca="false">IF(AND($C179="Know",$B179&gt;=WeekStart),$B179+ROW()/100000,"")</f>
        <v/>
      </c>
      <c r="R179" s="65" t="str">
        <f aca="false">IF(AND($K179="Open",$C179="Decision"),$L179+ROW()/100000,"")</f>
        <v/>
      </c>
      <c r="S179" s="65" t="str">
        <f aca="false">IF(AND($J179&lt;&gt;"",$J179=UCSel),$B179+ROW()/100000,"")</f>
        <v/>
      </c>
    </row>
    <row r="180" customFormat="false" ht="15" hidden="false" customHeight="false" outlineLevel="0" collapsed="false">
      <c r="A180" s="28"/>
      <c r="B180" s="63"/>
      <c r="C180" s="64"/>
      <c r="D180" s="28"/>
      <c r="E180" s="28"/>
      <c r="F180" s="28"/>
      <c r="G180" s="64"/>
      <c r="H180" s="64"/>
      <c r="I180" s="28"/>
      <c r="J180" s="28"/>
      <c r="K180" s="65" t="str">
        <f aca="false">IF($A180="","",IF(OR($C180="Decision",$C180="Conflict"),IF(COUNTIFS($I$2:$I$1001,$A180,$C$2:$C$1001,"Resolved")=0,"Open","Closed"),IF(AND($H180="Unconfirmed",OR($C180="New",$C180="Know")),IF(COUNTIFS($I$2:$I$1001,$A180,$C$2:$C$1001,"Confirmed")=0,"Unconfirmed","Confirmed"),"Logged")))</f>
        <v/>
      </c>
      <c r="L180" s="65" t="str">
        <f aca="false">IF($A180="","",AsOf-$B180)</f>
        <v/>
      </c>
      <c r="M180" s="65" t="str">
        <f aca="false">IF($K180="Open",IF($C180="Conflict","Critical",IF($L180&gt;=DecisionCritical,"Critical",IF($L180&gt;=DecisionWarn,"Warning","On track"))),IF($K180="Unconfirmed",IF($L180&gt;=UnconfirmedWarn,"Warning","On track"),""))</f>
        <v/>
      </c>
      <c r="N180" s="65" t="str">
        <f aca="false">IF($M180="","",IF($M180="Critical",3000,IF($M180="Warning",2000,1000))+$L180+ROW()/100000)</f>
        <v/>
      </c>
      <c r="O180" s="65" t="str">
        <f aca="false">IF($K180="Open",IF($C180="Conflict","decide "&amp;$A180&amp;": &lt;which version stands&gt;","decide "&amp;$A180&amp;": &lt;outcome&gt;"),IF($K180="Unconfirmed","confirm "&amp;$A180,""))</f>
        <v/>
      </c>
      <c r="P180" s="65" t="str">
        <f aca="false">IF(AND($C180="New",$B180&gt;=WeekStart),$B180+ROW()/100000,"")</f>
        <v/>
      </c>
      <c r="Q180" s="65" t="str">
        <f aca="false">IF(AND($C180="Know",$B180&gt;=WeekStart),$B180+ROW()/100000,"")</f>
        <v/>
      </c>
      <c r="R180" s="65" t="str">
        <f aca="false">IF(AND($K180="Open",$C180="Decision"),$L180+ROW()/100000,"")</f>
        <v/>
      </c>
      <c r="S180" s="65" t="str">
        <f aca="false">IF(AND($J180&lt;&gt;"",$J180=UCSel),$B180+ROW()/100000,"")</f>
        <v/>
      </c>
    </row>
    <row r="181" customFormat="false" ht="15" hidden="false" customHeight="false" outlineLevel="0" collapsed="false">
      <c r="A181" s="28"/>
      <c r="B181" s="63"/>
      <c r="C181" s="64"/>
      <c r="D181" s="28"/>
      <c r="E181" s="28"/>
      <c r="F181" s="28"/>
      <c r="G181" s="64"/>
      <c r="H181" s="64"/>
      <c r="I181" s="28"/>
      <c r="J181" s="28"/>
      <c r="K181" s="65" t="str">
        <f aca="false">IF($A181="","",IF(OR($C181="Decision",$C181="Conflict"),IF(COUNTIFS($I$2:$I$1001,$A181,$C$2:$C$1001,"Resolved")=0,"Open","Closed"),IF(AND($H181="Unconfirmed",OR($C181="New",$C181="Know")),IF(COUNTIFS($I$2:$I$1001,$A181,$C$2:$C$1001,"Confirmed")=0,"Unconfirmed","Confirmed"),"Logged")))</f>
        <v/>
      </c>
      <c r="L181" s="65" t="str">
        <f aca="false">IF($A181="","",AsOf-$B181)</f>
        <v/>
      </c>
      <c r="M181" s="65" t="str">
        <f aca="false">IF($K181="Open",IF($C181="Conflict","Critical",IF($L181&gt;=DecisionCritical,"Critical",IF($L181&gt;=DecisionWarn,"Warning","On track"))),IF($K181="Unconfirmed",IF($L181&gt;=UnconfirmedWarn,"Warning","On track"),""))</f>
        <v/>
      </c>
      <c r="N181" s="65" t="str">
        <f aca="false">IF($M181="","",IF($M181="Critical",3000,IF($M181="Warning",2000,1000))+$L181+ROW()/100000)</f>
        <v/>
      </c>
      <c r="O181" s="65" t="str">
        <f aca="false">IF($K181="Open",IF($C181="Conflict","decide "&amp;$A181&amp;": &lt;which version stands&gt;","decide "&amp;$A181&amp;": &lt;outcome&gt;"),IF($K181="Unconfirmed","confirm "&amp;$A181,""))</f>
        <v/>
      </c>
      <c r="P181" s="65" t="str">
        <f aca="false">IF(AND($C181="New",$B181&gt;=WeekStart),$B181+ROW()/100000,"")</f>
        <v/>
      </c>
      <c r="Q181" s="65" t="str">
        <f aca="false">IF(AND($C181="Know",$B181&gt;=WeekStart),$B181+ROW()/100000,"")</f>
        <v/>
      </c>
      <c r="R181" s="65" t="str">
        <f aca="false">IF(AND($K181="Open",$C181="Decision"),$L181+ROW()/100000,"")</f>
        <v/>
      </c>
      <c r="S181" s="65" t="str">
        <f aca="false">IF(AND($J181&lt;&gt;"",$J181=UCSel),$B181+ROW()/100000,"")</f>
        <v/>
      </c>
    </row>
    <row r="182" customFormat="false" ht="15" hidden="false" customHeight="false" outlineLevel="0" collapsed="false">
      <c r="A182" s="28"/>
      <c r="B182" s="63"/>
      <c r="C182" s="64"/>
      <c r="D182" s="28"/>
      <c r="E182" s="28"/>
      <c r="F182" s="28"/>
      <c r="G182" s="64"/>
      <c r="H182" s="64"/>
      <c r="I182" s="28"/>
      <c r="J182" s="28"/>
      <c r="K182" s="65" t="str">
        <f aca="false">IF($A182="","",IF(OR($C182="Decision",$C182="Conflict"),IF(COUNTIFS($I$2:$I$1001,$A182,$C$2:$C$1001,"Resolved")=0,"Open","Closed"),IF(AND($H182="Unconfirmed",OR($C182="New",$C182="Know")),IF(COUNTIFS($I$2:$I$1001,$A182,$C$2:$C$1001,"Confirmed")=0,"Unconfirmed","Confirmed"),"Logged")))</f>
        <v/>
      </c>
      <c r="L182" s="65" t="str">
        <f aca="false">IF($A182="","",AsOf-$B182)</f>
        <v/>
      </c>
      <c r="M182" s="65" t="str">
        <f aca="false">IF($K182="Open",IF($C182="Conflict","Critical",IF($L182&gt;=DecisionCritical,"Critical",IF($L182&gt;=DecisionWarn,"Warning","On track"))),IF($K182="Unconfirmed",IF($L182&gt;=UnconfirmedWarn,"Warning","On track"),""))</f>
        <v/>
      </c>
      <c r="N182" s="65" t="str">
        <f aca="false">IF($M182="","",IF($M182="Critical",3000,IF($M182="Warning",2000,1000))+$L182+ROW()/100000)</f>
        <v/>
      </c>
      <c r="O182" s="65" t="str">
        <f aca="false">IF($K182="Open",IF($C182="Conflict","decide "&amp;$A182&amp;": &lt;which version stands&gt;","decide "&amp;$A182&amp;": &lt;outcome&gt;"),IF($K182="Unconfirmed","confirm "&amp;$A182,""))</f>
        <v/>
      </c>
      <c r="P182" s="65" t="str">
        <f aca="false">IF(AND($C182="New",$B182&gt;=WeekStart),$B182+ROW()/100000,"")</f>
        <v/>
      </c>
      <c r="Q182" s="65" t="str">
        <f aca="false">IF(AND($C182="Know",$B182&gt;=WeekStart),$B182+ROW()/100000,"")</f>
        <v/>
      </c>
      <c r="R182" s="65" t="str">
        <f aca="false">IF(AND($K182="Open",$C182="Decision"),$L182+ROW()/100000,"")</f>
        <v/>
      </c>
      <c r="S182" s="65" t="str">
        <f aca="false">IF(AND($J182&lt;&gt;"",$J182=UCSel),$B182+ROW()/100000,"")</f>
        <v/>
      </c>
    </row>
    <row r="183" customFormat="false" ht="15" hidden="false" customHeight="false" outlineLevel="0" collapsed="false">
      <c r="A183" s="28"/>
      <c r="B183" s="63"/>
      <c r="C183" s="64"/>
      <c r="D183" s="28"/>
      <c r="E183" s="28"/>
      <c r="F183" s="28"/>
      <c r="G183" s="64"/>
      <c r="H183" s="64"/>
      <c r="I183" s="28"/>
      <c r="J183" s="28"/>
      <c r="K183" s="65" t="str">
        <f aca="false">IF($A183="","",IF(OR($C183="Decision",$C183="Conflict"),IF(COUNTIFS($I$2:$I$1001,$A183,$C$2:$C$1001,"Resolved")=0,"Open","Closed"),IF(AND($H183="Unconfirmed",OR($C183="New",$C183="Know")),IF(COUNTIFS($I$2:$I$1001,$A183,$C$2:$C$1001,"Confirmed")=0,"Unconfirmed","Confirmed"),"Logged")))</f>
        <v/>
      </c>
      <c r="L183" s="65" t="str">
        <f aca="false">IF($A183="","",AsOf-$B183)</f>
        <v/>
      </c>
      <c r="M183" s="65" t="str">
        <f aca="false">IF($K183="Open",IF($C183="Conflict","Critical",IF($L183&gt;=DecisionCritical,"Critical",IF($L183&gt;=DecisionWarn,"Warning","On track"))),IF($K183="Unconfirmed",IF($L183&gt;=UnconfirmedWarn,"Warning","On track"),""))</f>
        <v/>
      </c>
      <c r="N183" s="65" t="str">
        <f aca="false">IF($M183="","",IF($M183="Critical",3000,IF($M183="Warning",2000,1000))+$L183+ROW()/100000)</f>
        <v/>
      </c>
      <c r="O183" s="65" t="str">
        <f aca="false">IF($K183="Open",IF($C183="Conflict","decide "&amp;$A183&amp;": &lt;which version stands&gt;","decide "&amp;$A183&amp;": &lt;outcome&gt;"),IF($K183="Unconfirmed","confirm "&amp;$A183,""))</f>
        <v/>
      </c>
      <c r="P183" s="65" t="str">
        <f aca="false">IF(AND($C183="New",$B183&gt;=WeekStart),$B183+ROW()/100000,"")</f>
        <v/>
      </c>
      <c r="Q183" s="65" t="str">
        <f aca="false">IF(AND($C183="Know",$B183&gt;=WeekStart),$B183+ROW()/100000,"")</f>
        <v/>
      </c>
      <c r="R183" s="65" t="str">
        <f aca="false">IF(AND($K183="Open",$C183="Decision"),$L183+ROW()/100000,"")</f>
        <v/>
      </c>
      <c r="S183" s="65" t="str">
        <f aca="false">IF(AND($J183&lt;&gt;"",$J183=UCSel),$B183+ROW()/100000,"")</f>
        <v/>
      </c>
    </row>
    <row r="184" customFormat="false" ht="15" hidden="false" customHeight="false" outlineLevel="0" collapsed="false">
      <c r="A184" s="28"/>
      <c r="B184" s="63"/>
      <c r="C184" s="64"/>
      <c r="D184" s="28"/>
      <c r="E184" s="28"/>
      <c r="F184" s="28"/>
      <c r="G184" s="64"/>
      <c r="H184" s="64"/>
      <c r="I184" s="28"/>
      <c r="J184" s="28"/>
      <c r="K184" s="65" t="str">
        <f aca="false">IF($A184="","",IF(OR($C184="Decision",$C184="Conflict"),IF(COUNTIFS($I$2:$I$1001,$A184,$C$2:$C$1001,"Resolved")=0,"Open","Closed"),IF(AND($H184="Unconfirmed",OR($C184="New",$C184="Know")),IF(COUNTIFS($I$2:$I$1001,$A184,$C$2:$C$1001,"Confirmed")=0,"Unconfirmed","Confirmed"),"Logged")))</f>
        <v/>
      </c>
      <c r="L184" s="65" t="str">
        <f aca="false">IF($A184="","",AsOf-$B184)</f>
        <v/>
      </c>
      <c r="M184" s="65" t="str">
        <f aca="false">IF($K184="Open",IF($C184="Conflict","Critical",IF($L184&gt;=DecisionCritical,"Critical",IF($L184&gt;=DecisionWarn,"Warning","On track"))),IF($K184="Unconfirmed",IF($L184&gt;=UnconfirmedWarn,"Warning","On track"),""))</f>
        <v/>
      </c>
      <c r="N184" s="65" t="str">
        <f aca="false">IF($M184="","",IF($M184="Critical",3000,IF($M184="Warning",2000,1000))+$L184+ROW()/100000)</f>
        <v/>
      </c>
      <c r="O184" s="65" t="str">
        <f aca="false">IF($K184="Open",IF($C184="Conflict","decide "&amp;$A184&amp;": &lt;which version stands&gt;","decide "&amp;$A184&amp;": &lt;outcome&gt;"),IF($K184="Unconfirmed","confirm "&amp;$A184,""))</f>
        <v/>
      </c>
      <c r="P184" s="65" t="str">
        <f aca="false">IF(AND($C184="New",$B184&gt;=WeekStart),$B184+ROW()/100000,"")</f>
        <v/>
      </c>
      <c r="Q184" s="65" t="str">
        <f aca="false">IF(AND($C184="Know",$B184&gt;=WeekStart),$B184+ROW()/100000,"")</f>
        <v/>
      </c>
      <c r="R184" s="65" t="str">
        <f aca="false">IF(AND($K184="Open",$C184="Decision"),$L184+ROW()/100000,"")</f>
        <v/>
      </c>
      <c r="S184" s="65" t="str">
        <f aca="false">IF(AND($J184&lt;&gt;"",$J184=UCSel),$B184+ROW()/100000,"")</f>
        <v/>
      </c>
    </row>
    <row r="185" customFormat="false" ht="15" hidden="false" customHeight="false" outlineLevel="0" collapsed="false">
      <c r="A185" s="28"/>
      <c r="B185" s="63"/>
      <c r="C185" s="64"/>
      <c r="D185" s="28"/>
      <c r="E185" s="28"/>
      <c r="F185" s="28"/>
      <c r="G185" s="64"/>
      <c r="H185" s="64"/>
      <c r="I185" s="28"/>
      <c r="J185" s="28"/>
      <c r="K185" s="65" t="str">
        <f aca="false">IF($A185="","",IF(OR($C185="Decision",$C185="Conflict"),IF(COUNTIFS($I$2:$I$1001,$A185,$C$2:$C$1001,"Resolved")=0,"Open","Closed"),IF(AND($H185="Unconfirmed",OR($C185="New",$C185="Know")),IF(COUNTIFS($I$2:$I$1001,$A185,$C$2:$C$1001,"Confirmed")=0,"Unconfirmed","Confirmed"),"Logged")))</f>
        <v/>
      </c>
      <c r="L185" s="65" t="str">
        <f aca="false">IF($A185="","",AsOf-$B185)</f>
        <v/>
      </c>
      <c r="M185" s="65" t="str">
        <f aca="false">IF($K185="Open",IF($C185="Conflict","Critical",IF($L185&gt;=DecisionCritical,"Critical",IF($L185&gt;=DecisionWarn,"Warning","On track"))),IF($K185="Unconfirmed",IF($L185&gt;=UnconfirmedWarn,"Warning","On track"),""))</f>
        <v/>
      </c>
      <c r="N185" s="65" t="str">
        <f aca="false">IF($M185="","",IF($M185="Critical",3000,IF($M185="Warning",2000,1000))+$L185+ROW()/100000)</f>
        <v/>
      </c>
      <c r="O185" s="65" t="str">
        <f aca="false">IF($K185="Open",IF($C185="Conflict","decide "&amp;$A185&amp;": &lt;which version stands&gt;","decide "&amp;$A185&amp;": &lt;outcome&gt;"),IF($K185="Unconfirmed","confirm "&amp;$A185,""))</f>
        <v/>
      </c>
      <c r="P185" s="65" t="str">
        <f aca="false">IF(AND($C185="New",$B185&gt;=WeekStart),$B185+ROW()/100000,"")</f>
        <v/>
      </c>
      <c r="Q185" s="65" t="str">
        <f aca="false">IF(AND($C185="Know",$B185&gt;=WeekStart),$B185+ROW()/100000,"")</f>
        <v/>
      </c>
      <c r="R185" s="65" t="str">
        <f aca="false">IF(AND($K185="Open",$C185="Decision"),$L185+ROW()/100000,"")</f>
        <v/>
      </c>
      <c r="S185" s="65" t="str">
        <f aca="false">IF(AND($J185&lt;&gt;"",$J185=UCSel),$B185+ROW()/100000,"")</f>
        <v/>
      </c>
    </row>
    <row r="186" customFormat="false" ht="15" hidden="false" customHeight="false" outlineLevel="0" collapsed="false">
      <c r="A186" s="28"/>
      <c r="B186" s="63"/>
      <c r="C186" s="64"/>
      <c r="D186" s="28"/>
      <c r="E186" s="28"/>
      <c r="F186" s="28"/>
      <c r="G186" s="64"/>
      <c r="H186" s="64"/>
      <c r="I186" s="28"/>
      <c r="J186" s="28"/>
      <c r="K186" s="65" t="str">
        <f aca="false">IF($A186="","",IF(OR($C186="Decision",$C186="Conflict"),IF(COUNTIFS($I$2:$I$1001,$A186,$C$2:$C$1001,"Resolved")=0,"Open","Closed"),IF(AND($H186="Unconfirmed",OR($C186="New",$C186="Know")),IF(COUNTIFS($I$2:$I$1001,$A186,$C$2:$C$1001,"Confirmed")=0,"Unconfirmed","Confirmed"),"Logged")))</f>
        <v/>
      </c>
      <c r="L186" s="65" t="str">
        <f aca="false">IF($A186="","",AsOf-$B186)</f>
        <v/>
      </c>
      <c r="M186" s="65" t="str">
        <f aca="false">IF($K186="Open",IF($C186="Conflict","Critical",IF($L186&gt;=DecisionCritical,"Critical",IF($L186&gt;=DecisionWarn,"Warning","On track"))),IF($K186="Unconfirmed",IF($L186&gt;=UnconfirmedWarn,"Warning","On track"),""))</f>
        <v/>
      </c>
      <c r="N186" s="65" t="str">
        <f aca="false">IF($M186="","",IF($M186="Critical",3000,IF($M186="Warning",2000,1000))+$L186+ROW()/100000)</f>
        <v/>
      </c>
      <c r="O186" s="65" t="str">
        <f aca="false">IF($K186="Open",IF($C186="Conflict","decide "&amp;$A186&amp;": &lt;which version stands&gt;","decide "&amp;$A186&amp;": &lt;outcome&gt;"),IF($K186="Unconfirmed","confirm "&amp;$A186,""))</f>
        <v/>
      </c>
      <c r="P186" s="65" t="str">
        <f aca="false">IF(AND($C186="New",$B186&gt;=WeekStart),$B186+ROW()/100000,"")</f>
        <v/>
      </c>
      <c r="Q186" s="65" t="str">
        <f aca="false">IF(AND($C186="Know",$B186&gt;=WeekStart),$B186+ROW()/100000,"")</f>
        <v/>
      </c>
      <c r="R186" s="65" t="str">
        <f aca="false">IF(AND($K186="Open",$C186="Decision"),$L186+ROW()/100000,"")</f>
        <v/>
      </c>
      <c r="S186" s="65" t="str">
        <f aca="false">IF(AND($J186&lt;&gt;"",$J186=UCSel),$B186+ROW()/100000,"")</f>
        <v/>
      </c>
    </row>
    <row r="187" customFormat="false" ht="15" hidden="false" customHeight="false" outlineLevel="0" collapsed="false">
      <c r="A187" s="28"/>
      <c r="B187" s="63"/>
      <c r="C187" s="64"/>
      <c r="D187" s="28"/>
      <c r="E187" s="28"/>
      <c r="F187" s="28"/>
      <c r="G187" s="64"/>
      <c r="H187" s="64"/>
      <c r="I187" s="28"/>
      <c r="J187" s="28"/>
      <c r="K187" s="65" t="str">
        <f aca="false">IF($A187="","",IF(OR($C187="Decision",$C187="Conflict"),IF(COUNTIFS($I$2:$I$1001,$A187,$C$2:$C$1001,"Resolved")=0,"Open","Closed"),IF(AND($H187="Unconfirmed",OR($C187="New",$C187="Know")),IF(COUNTIFS($I$2:$I$1001,$A187,$C$2:$C$1001,"Confirmed")=0,"Unconfirmed","Confirmed"),"Logged")))</f>
        <v/>
      </c>
      <c r="L187" s="65" t="str">
        <f aca="false">IF($A187="","",AsOf-$B187)</f>
        <v/>
      </c>
      <c r="M187" s="65" t="str">
        <f aca="false">IF($K187="Open",IF($C187="Conflict","Critical",IF($L187&gt;=DecisionCritical,"Critical",IF($L187&gt;=DecisionWarn,"Warning","On track"))),IF($K187="Unconfirmed",IF($L187&gt;=UnconfirmedWarn,"Warning","On track"),""))</f>
        <v/>
      </c>
      <c r="N187" s="65" t="str">
        <f aca="false">IF($M187="","",IF($M187="Critical",3000,IF($M187="Warning",2000,1000))+$L187+ROW()/100000)</f>
        <v/>
      </c>
      <c r="O187" s="65" t="str">
        <f aca="false">IF($K187="Open",IF($C187="Conflict","decide "&amp;$A187&amp;": &lt;which version stands&gt;","decide "&amp;$A187&amp;": &lt;outcome&gt;"),IF($K187="Unconfirmed","confirm "&amp;$A187,""))</f>
        <v/>
      </c>
      <c r="P187" s="65" t="str">
        <f aca="false">IF(AND($C187="New",$B187&gt;=WeekStart),$B187+ROW()/100000,"")</f>
        <v/>
      </c>
      <c r="Q187" s="65" t="str">
        <f aca="false">IF(AND($C187="Know",$B187&gt;=WeekStart),$B187+ROW()/100000,"")</f>
        <v/>
      </c>
      <c r="R187" s="65" t="str">
        <f aca="false">IF(AND($K187="Open",$C187="Decision"),$L187+ROW()/100000,"")</f>
        <v/>
      </c>
      <c r="S187" s="65" t="str">
        <f aca="false">IF(AND($J187&lt;&gt;"",$J187=UCSel),$B187+ROW()/100000,"")</f>
        <v/>
      </c>
    </row>
    <row r="188" customFormat="false" ht="15" hidden="false" customHeight="false" outlineLevel="0" collapsed="false">
      <c r="A188" s="28"/>
      <c r="B188" s="63"/>
      <c r="C188" s="64"/>
      <c r="D188" s="28"/>
      <c r="E188" s="28"/>
      <c r="F188" s="28"/>
      <c r="G188" s="64"/>
      <c r="H188" s="64"/>
      <c r="I188" s="28"/>
      <c r="J188" s="28"/>
      <c r="K188" s="65" t="str">
        <f aca="false">IF($A188="","",IF(OR($C188="Decision",$C188="Conflict"),IF(COUNTIFS($I$2:$I$1001,$A188,$C$2:$C$1001,"Resolved")=0,"Open","Closed"),IF(AND($H188="Unconfirmed",OR($C188="New",$C188="Know")),IF(COUNTIFS($I$2:$I$1001,$A188,$C$2:$C$1001,"Confirmed")=0,"Unconfirmed","Confirmed"),"Logged")))</f>
        <v/>
      </c>
      <c r="L188" s="65" t="str">
        <f aca="false">IF($A188="","",AsOf-$B188)</f>
        <v/>
      </c>
      <c r="M188" s="65" t="str">
        <f aca="false">IF($K188="Open",IF($C188="Conflict","Critical",IF($L188&gt;=DecisionCritical,"Critical",IF($L188&gt;=DecisionWarn,"Warning","On track"))),IF($K188="Unconfirmed",IF($L188&gt;=UnconfirmedWarn,"Warning","On track"),""))</f>
        <v/>
      </c>
      <c r="N188" s="65" t="str">
        <f aca="false">IF($M188="","",IF($M188="Critical",3000,IF($M188="Warning",2000,1000))+$L188+ROW()/100000)</f>
        <v/>
      </c>
      <c r="O188" s="65" t="str">
        <f aca="false">IF($K188="Open",IF($C188="Conflict","decide "&amp;$A188&amp;": &lt;which version stands&gt;","decide "&amp;$A188&amp;": &lt;outcome&gt;"),IF($K188="Unconfirmed","confirm "&amp;$A188,""))</f>
        <v/>
      </c>
      <c r="P188" s="65" t="str">
        <f aca="false">IF(AND($C188="New",$B188&gt;=WeekStart),$B188+ROW()/100000,"")</f>
        <v/>
      </c>
      <c r="Q188" s="65" t="str">
        <f aca="false">IF(AND($C188="Know",$B188&gt;=WeekStart),$B188+ROW()/100000,"")</f>
        <v/>
      </c>
      <c r="R188" s="65" t="str">
        <f aca="false">IF(AND($K188="Open",$C188="Decision"),$L188+ROW()/100000,"")</f>
        <v/>
      </c>
      <c r="S188" s="65" t="str">
        <f aca="false">IF(AND($J188&lt;&gt;"",$J188=UCSel),$B188+ROW()/100000,"")</f>
        <v/>
      </c>
    </row>
    <row r="189" customFormat="false" ht="15" hidden="false" customHeight="false" outlineLevel="0" collapsed="false">
      <c r="A189" s="28"/>
      <c r="B189" s="63"/>
      <c r="C189" s="64"/>
      <c r="D189" s="28"/>
      <c r="E189" s="28"/>
      <c r="F189" s="28"/>
      <c r="G189" s="64"/>
      <c r="H189" s="64"/>
      <c r="I189" s="28"/>
      <c r="J189" s="28"/>
      <c r="K189" s="65" t="str">
        <f aca="false">IF($A189="","",IF(OR($C189="Decision",$C189="Conflict"),IF(COUNTIFS($I$2:$I$1001,$A189,$C$2:$C$1001,"Resolved")=0,"Open","Closed"),IF(AND($H189="Unconfirmed",OR($C189="New",$C189="Know")),IF(COUNTIFS($I$2:$I$1001,$A189,$C$2:$C$1001,"Confirmed")=0,"Unconfirmed","Confirmed"),"Logged")))</f>
        <v/>
      </c>
      <c r="L189" s="65" t="str">
        <f aca="false">IF($A189="","",AsOf-$B189)</f>
        <v/>
      </c>
      <c r="M189" s="65" t="str">
        <f aca="false">IF($K189="Open",IF($C189="Conflict","Critical",IF($L189&gt;=DecisionCritical,"Critical",IF($L189&gt;=DecisionWarn,"Warning","On track"))),IF($K189="Unconfirmed",IF($L189&gt;=UnconfirmedWarn,"Warning","On track"),""))</f>
        <v/>
      </c>
      <c r="N189" s="65" t="str">
        <f aca="false">IF($M189="","",IF($M189="Critical",3000,IF($M189="Warning",2000,1000))+$L189+ROW()/100000)</f>
        <v/>
      </c>
      <c r="O189" s="65" t="str">
        <f aca="false">IF($K189="Open",IF($C189="Conflict","decide "&amp;$A189&amp;": &lt;which version stands&gt;","decide "&amp;$A189&amp;": &lt;outcome&gt;"),IF($K189="Unconfirmed","confirm "&amp;$A189,""))</f>
        <v/>
      </c>
      <c r="P189" s="65" t="str">
        <f aca="false">IF(AND($C189="New",$B189&gt;=WeekStart),$B189+ROW()/100000,"")</f>
        <v/>
      </c>
      <c r="Q189" s="65" t="str">
        <f aca="false">IF(AND($C189="Know",$B189&gt;=WeekStart),$B189+ROW()/100000,"")</f>
        <v/>
      </c>
      <c r="R189" s="65" t="str">
        <f aca="false">IF(AND($K189="Open",$C189="Decision"),$L189+ROW()/100000,"")</f>
        <v/>
      </c>
      <c r="S189" s="65" t="str">
        <f aca="false">IF(AND($J189&lt;&gt;"",$J189=UCSel),$B189+ROW()/100000,"")</f>
        <v/>
      </c>
    </row>
    <row r="190" customFormat="false" ht="15" hidden="false" customHeight="false" outlineLevel="0" collapsed="false">
      <c r="A190" s="28"/>
      <c r="B190" s="63"/>
      <c r="C190" s="64"/>
      <c r="D190" s="28"/>
      <c r="E190" s="28"/>
      <c r="F190" s="28"/>
      <c r="G190" s="64"/>
      <c r="H190" s="64"/>
      <c r="I190" s="28"/>
      <c r="J190" s="28"/>
      <c r="K190" s="65" t="str">
        <f aca="false">IF($A190="","",IF(OR($C190="Decision",$C190="Conflict"),IF(COUNTIFS($I$2:$I$1001,$A190,$C$2:$C$1001,"Resolved")=0,"Open","Closed"),IF(AND($H190="Unconfirmed",OR($C190="New",$C190="Know")),IF(COUNTIFS($I$2:$I$1001,$A190,$C$2:$C$1001,"Confirmed")=0,"Unconfirmed","Confirmed"),"Logged")))</f>
        <v/>
      </c>
      <c r="L190" s="65" t="str">
        <f aca="false">IF($A190="","",AsOf-$B190)</f>
        <v/>
      </c>
      <c r="M190" s="65" t="str">
        <f aca="false">IF($K190="Open",IF($C190="Conflict","Critical",IF($L190&gt;=DecisionCritical,"Critical",IF($L190&gt;=DecisionWarn,"Warning","On track"))),IF($K190="Unconfirmed",IF($L190&gt;=UnconfirmedWarn,"Warning","On track"),""))</f>
        <v/>
      </c>
      <c r="N190" s="65" t="str">
        <f aca="false">IF($M190="","",IF($M190="Critical",3000,IF($M190="Warning",2000,1000))+$L190+ROW()/100000)</f>
        <v/>
      </c>
      <c r="O190" s="65" t="str">
        <f aca="false">IF($K190="Open",IF($C190="Conflict","decide "&amp;$A190&amp;": &lt;which version stands&gt;","decide "&amp;$A190&amp;": &lt;outcome&gt;"),IF($K190="Unconfirmed","confirm "&amp;$A190,""))</f>
        <v/>
      </c>
      <c r="P190" s="65" t="str">
        <f aca="false">IF(AND($C190="New",$B190&gt;=WeekStart),$B190+ROW()/100000,"")</f>
        <v/>
      </c>
      <c r="Q190" s="65" t="str">
        <f aca="false">IF(AND($C190="Know",$B190&gt;=WeekStart),$B190+ROW()/100000,"")</f>
        <v/>
      </c>
      <c r="R190" s="65" t="str">
        <f aca="false">IF(AND($K190="Open",$C190="Decision"),$L190+ROW()/100000,"")</f>
        <v/>
      </c>
      <c r="S190" s="65" t="str">
        <f aca="false">IF(AND($J190&lt;&gt;"",$J190=UCSel),$B190+ROW()/100000,"")</f>
        <v/>
      </c>
    </row>
    <row r="191" customFormat="false" ht="15" hidden="false" customHeight="false" outlineLevel="0" collapsed="false">
      <c r="A191" s="28"/>
      <c r="B191" s="63"/>
      <c r="C191" s="64"/>
      <c r="D191" s="28"/>
      <c r="E191" s="28"/>
      <c r="F191" s="28"/>
      <c r="G191" s="64"/>
      <c r="H191" s="64"/>
      <c r="I191" s="28"/>
      <c r="J191" s="28"/>
      <c r="K191" s="65" t="str">
        <f aca="false">IF($A191="","",IF(OR($C191="Decision",$C191="Conflict"),IF(COUNTIFS($I$2:$I$1001,$A191,$C$2:$C$1001,"Resolved")=0,"Open","Closed"),IF(AND($H191="Unconfirmed",OR($C191="New",$C191="Know")),IF(COUNTIFS($I$2:$I$1001,$A191,$C$2:$C$1001,"Confirmed")=0,"Unconfirmed","Confirmed"),"Logged")))</f>
        <v/>
      </c>
      <c r="L191" s="65" t="str">
        <f aca="false">IF($A191="","",AsOf-$B191)</f>
        <v/>
      </c>
      <c r="M191" s="65" t="str">
        <f aca="false">IF($K191="Open",IF($C191="Conflict","Critical",IF($L191&gt;=DecisionCritical,"Critical",IF($L191&gt;=DecisionWarn,"Warning","On track"))),IF($K191="Unconfirmed",IF($L191&gt;=UnconfirmedWarn,"Warning","On track"),""))</f>
        <v/>
      </c>
      <c r="N191" s="65" t="str">
        <f aca="false">IF($M191="","",IF($M191="Critical",3000,IF($M191="Warning",2000,1000))+$L191+ROW()/100000)</f>
        <v/>
      </c>
      <c r="O191" s="65" t="str">
        <f aca="false">IF($K191="Open",IF($C191="Conflict","decide "&amp;$A191&amp;": &lt;which version stands&gt;","decide "&amp;$A191&amp;": &lt;outcome&gt;"),IF($K191="Unconfirmed","confirm "&amp;$A191,""))</f>
        <v/>
      </c>
      <c r="P191" s="65" t="str">
        <f aca="false">IF(AND($C191="New",$B191&gt;=WeekStart),$B191+ROW()/100000,"")</f>
        <v/>
      </c>
      <c r="Q191" s="65" t="str">
        <f aca="false">IF(AND($C191="Know",$B191&gt;=WeekStart),$B191+ROW()/100000,"")</f>
        <v/>
      </c>
      <c r="R191" s="65" t="str">
        <f aca="false">IF(AND($K191="Open",$C191="Decision"),$L191+ROW()/100000,"")</f>
        <v/>
      </c>
      <c r="S191" s="65" t="str">
        <f aca="false">IF(AND($J191&lt;&gt;"",$J191=UCSel),$B191+ROW()/100000,"")</f>
        <v/>
      </c>
    </row>
    <row r="192" customFormat="false" ht="15" hidden="false" customHeight="false" outlineLevel="0" collapsed="false">
      <c r="A192" s="28"/>
      <c r="B192" s="63"/>
      <c r="C192" s="64"/>
      <c r="D192" s="28"/>
      <c r="E192" s="28"/>
      <c r="F192" s="28"/>
      <c r="G192" s="64"/>
      <c r="H192" s="64"/>
      <c r="I192" s="28"/>
      <c r="J192" s="28"/>
      <c r="K192" s="65" t="str">
        <f aca="false">IF($A192="","",IF(OR($C192="Decision",$C192="Conflict"),IF(COUNTIFS($I$2:$I$1001,$A192,$C$2:$C$1001,"Resolved")=0,"Open","Closed"),IF(AND($H192="Unconfirmed",OR($C192="New",$C192="Know")),IF(COUNTIFS($I$2:$I$1001,$A192,$C$2:$C$1001,"Confirmed")=0,"Unconfirmed","Confirmed"),"Logged")))</f>
        <v/>
      </c>
      <c r="L192" s="65" t="str">
        <f aca="false">IF($A192="","",AsOf-$B192)</f>
        <v/>
      </c>
      <c r="M192" s="65" t="str">
        <f aca="false">IF($K192="Open",IF($C192="Conflict","Critical",IF($L192&gt;=DecisionCritical,"Critical",IF($L192&gt;=DecisionWarn,"Warning","On track"))),IF($K192="Unconfirmed",IF($L192&gt;=UnconfirmedWarn,"Warning","On track"),""))</f>
        <v/>
      </c>
      <c r="N192" s="65" t="str">
        <f aca="false">IF($M192="","",IF($M192="Critical",3000,IF($M192="Warning",2000,1000))+$L192+ROW()/100000)</f>
        <v/>
      </c>
      <c r="O192" s="65" t="str">
        <f aca="false">IF($K192="Open",IF($C192="Conflict","decide "&amp;$A192&amp;": &lt;which version stands&gt;","decide "&amp;$A192&amp;": &lt;outcome&gt;"),IF($K192="Unconfirmed","confirm "&amp;$A192,""))</f>
        <v/>
      </c>
      <c r="P192" s="65" t="str">
        <f aca="false">IF(AND($C192="New",$B192&gt;=WeekStart),$B192+ROW()/100000,"")</f>
        <v/>
      </c>
      <c r="Q192" s="65" t="str">
        <f aca="false">IF(AND($C192="Know",$B192&gt;=WeekStart),$B192+ROW()/100000,"")</f>
        <v/>
      </c>
      <c r="R192" s="65" t="str">
        <f aca="false">IF(AND($K192="Open",$C192="Decision"),$L192+ROW()/100000,"")</f>
        <v/>
      </c>
      <c r="S192" s="65" t="str">
        <f aca="false">IF(AND($J192&lt;&gt;"",$J192=UCSel),$B192+ROW()/100000,"")</f>
        <v/>
      </c>
    </row>
    <row r="193" customFormat="false" ht="15" hidden="false" customHeight="false" outlineLevel="0" collapsed="false">
      <c r="A193" s="28"/>
      <c r="B193" s="63"/>
      <c r="C193" s="64"/>
      <c r="D193" s="28"/>
      <c r="E193" s="28"/>
      <c r="F193" s="28"/>
      <c r="G193" s="64"/>
      <c r="H193" s="64"/>
      <c r="I193" s="28"/>
      <c r="J193" s="28"/>
      <c r="K193" s="65" t="str">
        <f aca="false">IF($A193="","",IF(OR($C193="Decision",$C193="Conflict"),IF(COUNTIFS($I$2:$I$1001,$A193,$C$2:$C$1001,"Resolved")=0,"Open","Closed"),IF(AND($H193="Unconfirmed",OR($C193="New",$C193="Know")),IF(COUNTIFS($I$2:$I$1001,$A193,$C$2:$C$1001,"Confirmed")=0,"Unconfirmed","Confirmed"),"Logged")))</f>
        <v/>
      </c>
      <c r="L193" s="65" t="str">
        <f aca="false">IF($A193="","",AsOf-$B193)</f>
        <v/>
      </c>
      <c r="M193" s="65" t="str">
        <f aca="false">IF($K193="Open",IF($C193="Conflict","Critical",IF($L193&gt;=DecisionCritical,"Critical",IF($L193&gt;=DecisionWarn,"Warning","On track"))),IF($K193="Unconfirmed",IF($L193&gt;=UnconfirmedWarn,"Warning","On track"),""))</f>
        <v/>
      </c>
      <c r="N193" s="65" t="str">
        <f aca="false">IF($M193="","",IF($M193="Critical",3000,IF($M193="Warning",2000,1000))+$L193+ROW()/100000)</f>
        <v/>
      </c>
      <c r="O193" s="65" t="str">
        <f aca="false">IF($K193="Open",IF($C193="Conflict","decide "&amp;$A193&amp;": &lt;which version stands&gt;","decide "&amp;$A193&amp;": &lt;outcome&gt;"),IF($K193="Unconfirmed","confirm "&amp;$A193,""))</f>
        <v/>
      </c>
      <c r="P193" s="65" t="str">
        <f aca="false">IF(AND($C193="New",$B193&gt;=WeekStart),$B193+ROW()/100000,"")</f>
        <v/>
      </c>
      <c r="Q193" s="65" t="str">
        <f aca="false">IF(AND($C193="Know",$B193&gt;=WeekStart),$B193+ROW()/100000,"")</f>
        <v/>
      </c>
      <c r="R193" s="65" t="str">
        <f aca="false">IF(AND($K193="Open",$C193="Decision"),$L193+ROW()/100000,"")</f>
        <v/>
      </c>
      <c r="S193" s="65" t="str">
        <f aca="false">IF(AND($J193&lt;&gt;"",$J193=UCSel),$B193+ROW()/100000,"")</f>
        <v/>
      </c>
    </row>
    <row r="194" customFormat="false" ht="15" hidden="false" customHeight="false" outlineLevel="0" collapsed="false">
      <c r="A194" s="28"/>
      <c r="B194" s="63"/>
      <c r="C194" s="64"/>
      <c r="D194" s="28"/>
      <c r="E194" s="28"/>
      <c r="F194" s="28"/>
      <c r="G194" s="64"/>
      <c r="H194" s="64"/>
      <c r="I194" s="28"/>
      <c r="J194" s="28"/>
      <c r="K194" s="65" t="str">
        <f aca="false">IF($A194="","",IF(OR($C194="Decision",$C194="Conflict"),IF(COUNTIFS($I$2:$I$1001,$A194,$C$2:$C$1001,"Resolved")=0,"Open","Closed"),IF(AND($H194="Unconfirmed",OR($C194="New",$C194="Know")),IF(COUNTIFS($I$2:$I$1001,$A194,$C$2:$C$1001,"Confirmed")=0,"Unconfirmed","Confirmed"),"Logged")))</f>
        <v/>
      </c>
      <c r="L194" s="65" t="str">
        <f aca="false">IF($A194="","",AsOf-$B194)</f>
        <v/>
      </c>
      <c r="M194" s="65" t="str">
        <f aca="false">IF($K194="Open",IF($C194="Conflict","Critical",IF($L194&gt;=DecisionCritical,"Critical",IF($L194&gt;=DecisionWarn,"Warning","On track"))),IF($K194="Unconfirmed",IF($L194&gt;=UnconfirmedWarn,"Warning","On track"),""))</f>
        <v/>
      </c>
      <c r="N194" s="65" t="str">
        <f aca="false">IF($M194="","",IF($M194="Critical",3000,IF($M194="Warning",2000,1000))+$L194+ROW()/100000)</f>
        <v/>
      </c>
      <c r="O194" s="65" t="str">
        <f aca="false">IF($K194="Open",IF($C194="Conflict","decide "&amp;$A194&amp;": &lt;which version stands&gt;","decide "&amp;$A194&amp;": &lt;outcome&gt;"),IF($K194="Unconfirmed","confirm "&amp;$A194,""))</f>
        <v/>
      </c>
      <c r="P194" s="65" t="str">
        <f aca="false">IF(AND($C194="New",$B194&gt;=WeekStart),$B194+ROW()/100000,"")</f>
        <v/>
      </c>
      <c r="Q194" s="65" t="str">
        <f aca="false">IF(AND($C194="Know",$B194&gt;=WeekStart),$B194+ROW()/100000,"")</f>
        <v/>
      </c>
      <c r="R194" s="65" t="str">
        <f aca="false">IF(AND($K194="Open",$C194="Decision"),$L194+ROW()/100000,"")</f>
        <v/>
      </c>
      <c r="S194" s="65" t="str">
        <f aca="false">IF(AND($J194&lt;&gt;"",$J194=UCSel),$B194+ROW()/100000,"")</f>
        <v/>
      </c>
    </row>
    <row r="195" customFormat="false" ht="15" hidden="false" customHeight="false" outlineLevel="0" collapsed="false">
      <c r="A195" s="28"/>
      <c r="B195" s="63"/>
      <c r="C195" s="64"/>
      <c r="D195" s="28"/>
      <c r="E195" s="28"/>
      <c r="F195" s="28"/>
      <c r="G195" s="64"/>
      <c r="H195" s="64"/>
      <c r="I195" s="28"/>
      <c r="J195" s="28"/>
      <c r="K195" s="65" t="str">
        <f aca="false">IF($A195="","",IF(OR($C195="Decision",$C195="Conflict"),IF(COUNTIFS($I$2:$I$1001,$A195,$C$2:$C$1001,"Resolved")=0,"Open","Closed"),IF(AND($H195="Unconfirmed",OR($C195="New",$C195="Know")),IF(COUNTIFS($I$2:$I$1001,$A195,$C$2:$C$1001,"Confirmed")=0,"Unconfirmed","Confirmed"),"Logged")))</f>
        <v/>
      </c>
      <c r="L195" s="65" t="str">
        <f aca="false">IF($A195="","",AsOf-$B195)</f>
        <v/>
      </c>
      <c r="M195" s="65" t="str">
        <f aca="false">IF($K195="Open",IF($C195="Conflict","Critical",IF($L195&gt;=DecisionCritical,"Critical",IF($L195&gt;=DecisionWarn,"Warning","On track"))),IF($K195="Unconfirmed",IF($L195&gt;=UnconfirmedWarn,"Warning","On track"),""))</f>
        <v/>
      </c>
      <c r="N195" s="65" t="str">
        <f aca="false">IF($M195="","",IF($M195="Critical",3000,IF($M195="Warning",2000,1000))+$L195+ROW()/100000)</f>
        <v/>
      </c>
      <c r="O195" s="65" t="str">
        <f aca="false">IF($K195="Open",IF($C195="Conflict","decide "&amp;$A195&amp;": &lt;which version stands&gt;","decide "&amp;$A195&amp;": &lt;outcome&gt;"),IF($K195="Unconfirmed","confirm "&amp;$A195,""))</f>
        <v/>
      </c>
      <c r="P195" s="65" t="str">
        <f aca="false">IF(AND($C195="New",$B195&gt;=WeekStart),$B195+ROW()/100000,"")</f>
        <v/>
      </c>
      <c r="Q195" s="65" t="str">
        <f aca="false">IF(AND($C195="Know",$B195&gt;=WeekStart),$B195+ROW()/100000,"")</f>
        <v/>
      </c>
      <c r="R195" s="65" t="str">
        <f aca="false">IF(AND($K195="Open",$C195="Decision"),$L195+ROW()/100000,"")</f>
        <v/>
      </c>
      <c r="S195" s="65" t="str">
        <f aca="false">IF(AND($J195&lt;&gt;"",$J195=UCSel),$B195+ROW()/100000,"")</f>
        <v/>
      </c>
    </row>
    <row r="196" customFormat="false" ht="15" hidden="false" customHeight="false" outlineLevel="0" collapsed="false">
      <c r="A196" s="28"/>
      <c r="B196" s="63"/>
      <c r="C196" s="64"/>
      <c r="D196" s="28"/>
      <c r="E196" s="28"/>
      <c r="F196" s="28"/>
      <c r="G196" s="64"/>
      <c r="H196" s="64"/>
      <c r="I196" s="28"/>
      <c r="J196" s="28"/>
      <c r="K196" s="65" t="str">
        <f aca="false">IF($A196="","",IF(OR($C196="Decision",$C196="Conflict"),IF(COUNTIFS($I$2:$I$1001,$A196,$C$2:$C$1001,"Resolved")=0,"Open","Closed"),IF(AND($H196="Unconfirmed",OR($C196="New",$C196="Know")),IF(COUNTIFS($I$2:$I$1001,$A196,$C$2:$C$1001,"Confirmed")=0,"Unconfirmed","Confirmed"),"Logged")))</f>
        <v/>
      </c>
      <c r="L196" s="65" t="str">
        <f aca="false">IF($A196="","",AsOf-$B196)</f>
        <v/>
      </c>
      <c r="M196" s="65" t="str">
        <f aca="false">IF($K196="Open",IF($C196="Conflict","Critical",IF($L196&gt;=DecisionCritical,"Critical",IF($L196&gt;=DecisionWarn,"Warning","On track"))),IF($K196="Unconfirmed",IF($L196&gt;=UnconfirmedWarn,"Warning","On track"),""))</f>
        <v/>
      </c>
      <c r="N196" s="65" t="str">
        <f aca="false">IF($M196="","",IF($M196="Critical",3000,IF($M196="Warning",2000,1000))+$L196+ROW()/100000)</f>
        <v/>
      </c>
      <c r="O196" s="65" t="str">
        <f aca="false">IF($K196="Open",IF($C196="Conflict","decide "&amp;$A196&amp;": &lt;which version stands&gt;","decide "&amp;$A196&amp;": &lt;outcome&gt;"),IF($K196="Unconfirmed","confirm "&amp;$A196,""))</f>
        <v/>
      </c>
      <c r="P196" s="65" t="str">
        <f aca="false">IF(AND($C196="New",$B196&gt;=WeekStart),$B196+ROW()/100000,"")</f>
        <v/>
      </c>
      <c r="Q196" s="65" t="str">
        <f aca="false">IF(AND($C196="Know",$B196&gt;=WeekStart),$B196+ROW()/100000,"")</f>
        <v/>
      </c>
      <c r="R196" s="65" t="str">
        <f aca="false">IF(AND($K196="Open",$C196="Decision"),$L196+ROW()/100000,"")</f>
        <v/>
      </c>
      <c r="S196" s="65" t="str">
        <f aca="false">IF(AND($J196&lt;&gt;"",$J196=UCSel),$B196+ROW()/100000,"")</f>
        <v/>
      </c>
    </row>
    <row r="197" customFormat="false" ht="15" hidden="false" customHeight="false" outlineLevel="0" collapsed="false">
      <c r="A197" s="28"/>
      <c r="B197" s="63"/>
      <c r="C197" s="64"/>
      <c r="D197" s="28"/>
      <c r="E197" s="28"/>
      <c r="F197" s="28"/>
      <c r="G197" s="64"/>
      <c r="H197" s="64"/>
      <c r="I197" s="28"/>
      <c r="J197" s="28"/>
      <c r="K197" s="65" t="str">
        <f aca="false">IF($A197="","",IF(OR($C197="Decision",$C197="Conflict"),IF(COUNTIFS($I$2:$I$1001,$A197,$C$2:$C$1001,"Resolved")=0,"Open","Closed"),IF(AND($H197="Unconfirmed",OR($C197="New",$C197="Know")),IF(COUNTIFS($I$2:$I$1001,$A197,$C$2:$C$1001,"Confirmed")=0,"Unconfirmed","Confirmed"),"Logged")))</f>
        <v/>
      </c>
      <c r="L197" s="65" t="str">
        <f aca="false">IF($A197="","",AsOf-$B197)</f>
        <v/>
      </c>
      <c r="M197" s="65" t="str">
        <f aca="false">IF($K197="Open",IF($C197="Conflict","Critical",IF($L197&gt;=DecisionCritical,"Critical",IF($L197&gt;=DecisionWarn,"Warning","On track"))),IF($K197="Unconfirmed",IF($L197&gt;=UnconfirmedWarn,"Warning","On track"),""))</f>
        <v/>
      </c>
      <c r="N197" s="65" t="str">
        <f aca="false">IF($M197="","",IF($M197="Critical",3000,IF($M197="Warning",2000,1000))+$L197+ROW()/100000)</f>
        <v/>
      </c>
      <c r="O197" s="65" t="str">
        <f aca="false">IF($K197="Open",IF($C197="Conflict","decide "&amp;$A197&amp;": &lt;which version stands&gt;","decide "&amp;$A197&amp;": &lt;outcome&gt;"),IF($K197="Unconfirmed","confirm "&amp;$A197,""))</f>
        <v/>
      </c>
      <c r="P197" s="65" t="str">
        <f aca="false">IF(AND($C197="New",$B197&gt;=WeekStart),$B197+ROW()/100000,"")</f>
        <v/>
      </c>
      <c r="Q197" s="65" t="str">
        <f aca="false">IF(AND($C197="Know",$B197&gt;=WeekStart),$B197+ROW()/100000,"")</f>
        <v/>
      </c>
      <c r="R197" s="65" t="str">
        <f aca="false">IF(AND($K197="Open",$C197="Decision"),$L197+ROW()/100000,"")</f>
        <v/>
      </c>
      <c r="S197" s="65" t="str">
        <f aca="false">IF(AND($J197&lt;&gt;"",$J197=UCSel),$B197+ROW()/100000,"")</f>
        <v/>
      </c>
    </row>
    <row r="198" customFormat="false" ht="15" hidden="false" customHeight="false" outlineLevel="0" collapsed="false">
      <c r="A198" s="28"/>
      <c r="B198" s="63"/>
      <c r="C198" s="64"/>
      <c r="D198" s="28"/>
      <c r="E198" s="28"/>
      <c r="F198" s="28"/>
      <c r="G198" s="64"/>
      <c r="H198" s="64"/>
      <c r="I198" s="28"/>
      <c r="J198" s="28"/>
      <c r="K198" s="65" t="str">
        <f aca="false">IF($A198="","",IF(OR($C198="Decision",$C198="Conflict"),IF(COUNTIFS($I$2:$I$1001,$A198,$C$2:$C$1001,"Resolved")=0,"Open","Closed"),IF(AND($H198="Unconfirmed",OR($C198="New",$C198="Know")),IF(COUNTIFS($I$2:$I$1001,$A198,$C$2:$C$1001,"Confirmed")=0,"Unconfirmed","Confirmed"),"Logged")))</f>
        <v/>
      </c>
      <c r="L198" s="65" t="str">
        <f aca="false">IF($A198="","",AsOf-$B198)</f>
        <v/>
      </c>
      <c r="M198" s="65" t="str">
        <f aca="false">IF($K198="Open",IF($C198="Conflict","Critical",IF($L198&gt;=DecisionCritical,"Critical",IF($L198&gt;=DecisionWarn,"Warning","On track"))),IF($K198="Unconfirmed",IF($L198&gt;=UnconfirmedWarn,"Warning","On track"),""))</f>
        <v/>
      </c>
      <c r="N198" s="65" t="str">
        <f aca="false">IF($M198="","",IF($M198="Critical",3000,IF($M198="Warning",2000,1000))+$L198+ROW()/100000)</f>
        <v/>
      </c>
      <c r="O198" s="65" t="str">
        <f aca="false">IF($K198="Open",IF($C198="Conflict","decide "&amp;$A198&amp;": &lt;which version stands&gt;","decide "&amp;$A198&amp;": &lt;outcome&gt;"),IF($K198="Unconfirmed","confirm "&amp;$A198,""))</f>
        <v/>
      </c>
      <c r="P198" s="65" t="str">
        <f aca="false">IF(AND($C198="New",$B198&gt;=WeekStart),$B198+ROW()/100000,"")</f>
        <v/>
      </c>
      <c r="Q198" s="65" t="str">
        <f aca="false">IF(AND($C198="Know",$B198&gt;=WeekStart),$B198+ROW()/100000,"")</f>
        <v/>
      </c>
      <c r="R198" s="65" t="str">
        <f aca="false">IF(AND($K198="Open",$C198="Decision"),$L198+ROW()/100000,"")</f>
        <v/>
      </c>
      <c r="S198" s="65" t="str">
        <f aca="false">IF(AND($J198&lt;&gt;"",$J198=UCSel),$B198+ROW()/100000,"")</f>
        <v/>
      </c>
    </row>
    <row r="199" customFormat="false" ht="15" hidden="false" customHeight="false" outlineLevel="0" collapsed="false">
      <c r="A199" s="28"/>
      <c r="B199" s="63"/>
      <c r="C199" s="64"/>
      <c r="D199" s="28"/>
      <c r="E199" s="28"/>
      <c r="F199" s="28"/>
      <c r="G199" s="64"/>
      <c r="H199" s="64"/>
      <c r="I199" s="28"/>
      <c r="J199" s="28"/>
      <c r="K199" s="65" t="str">
        <f aca="false">IF($A199="","",IF(OR($C199="Decision",$C199="Conflict"),IF(COUNTIFS($I$2:$I$1001,$A199,$C$2:$C$1001,"Resolved")=0,"Open","Closed"),IF(AND($H199="Unconfirmed",OR($C199="New",$C199="Know")),IF(COUNTIFS($I$2:$I$1001,$A199,$C$2:$C$1001,"Confirmed")=0,"Unconfirmed","Confirmed"),"Logged")))</f>
        <v/>
      </c>
      <c r="L199" s="65" t="str">
        <f aca="false">IF($A199="","",AsOf-$B199)</f>
        <v/>
      </c>
      <c r="M199" s="65" t="str">
        <f aca="false">IF($K199="Open",IF($C199="Conflict","Critical",IF($L199&gt;=DecisionCritical,"Critical",IF($L199&gt;=DecisionWarn,"Warning","On track"))),IF($K199="Unconfirmed",IF($L199&gt;=UnconfirmedWarn,"Warning","On track"),""))</f>
        <v/>
      </c>
      <c r="N199" s="65" t="str">
        <f aca="false">IF($M199="","",IF($M199="Critical",3000,IF($M199="Warning",2000,1000))+$L199+ROW()/100000)</f>
        <v/>
      </c>
      <c r="O199" s="65" t="str">
        <f aca="false">IF($K199="Open",IF($C199="Conflict","decide "&amp;$A199&amp;": &lt;which version stands&gt;","decide "&amp;$A199&amp;": &lt;outcome&gt;"),IF($K199="Unconfirmed","confirm "&amp;$A199,""))</f>
        <v/>
      </c>
      <c r="P199" s="65" t="str">
        <f aca="false">IF(AND($C199="New",$B199&gt;=WeekStart),$B199+ROW()/100000,"")</f>
        <v/>
      </c>
      <c r="Q199" s="65" t="str">
        <f aca="false">IF(AND($C199="Know",$B199&gt;=WeekStart),$B199+ROW()/100000,"")</f>
        <v/>
      </c>
      <c r="R199" s="65" t="str">
        <f aca="false">IF(AND($K199="Open",$C199="Decision"),$L199+ROW()/100000,"")</f>
        <v/>
      </c>
      <c r="S199" s="65" t="str">
        <f aca="false">IF(AND($J199&lt;&gt;"",$J199=UCSel),$B199+ROW()/100000,"")</f>
        <v/>
      </c>
    </row>
    <row r="200" customFormat="false" ht="15" hidden="false" customHeight="false" outlineLevel="0" collapsed="false">
      <c r="A200" s="28"/>
      <c r="B200" s="63"/>
      <c r="C200" s="64"/>
      <c r="D200" s="28"/>
      <c r="E200" s="28"/>
      <c r="F200" s="28"/>
      <c r="G200" s="64"/>
      <c r="H200" s="64"/>
      <c r="I200" s="28"/>
      <c r="J200" s="28"/>
      <c r="K200" s="65" t="str">
        <f aca="false">IF($A200="","",IF(OR($C200="Decision",$C200="Conflict"),IF(COUNTIFS($I$2:$I$1001,$A200,$C$2:$C$1001,"Resolved")=0,"Open","Closed"),IF(AND($H200="Unconfirmed",OR($C200="New",$C200="Know")),IF(COUNTIFS($I$2:$I$1001,$A200,$C$2:$C$1001,"Confirmed")=0,"Unconfirmed","Confirmed"),"Logged")))</f>
        <v/>
      </c>
      <c r="L200" s="65" t="str">
        <f aca="false">IF($A200="","",AsOf-$B200)</f>
        <v/>
      </c>
      <c r="M200" s="65" t="str">
        <f aca="false">IF($K200="Open",IF($C200="Conflict","Critical",IF($L200&gt;=DecisionCritical,"Critical",IF($L200&gt;=DecisionWarn,"Warning","On track"))),IF($K200="Unconfirmed",IF($L200&gt;=UnconfirmedWarn,"Warning","On track"),""))</f>
        <v/>
      </c>
      <c r="N200" s="65" t="str">
        <f aca="false">IF($M200="","",IF($M200="Critical",3000,IF($M200="Warning",2000,1000))+$L200+ROW()/100000)</f>
        <v/>
      </c>
      <c r="O200" s="65" t="str">
        <f aca="false">IF($K200="Open",IF($C200="Conflict","decide "&amp;$A200&amp;": &lt;which version stands&gt;","decide "&amp;$A200&amp;": &lt;outcome&gt;"),IF($K200="Unconfirmed","confirm "&amp;$A200,""))</f>
        <v/>
      </c>
      <c r="P200" s="65" t="str">
        <f aca="false">IF(AND($C200="New",$B200&gt;=WeekStart),$B200+ROW()/100000,"")</f>
        <v/>
      </c>
      <c r="Q200" s="65" t="str">
        <f aca="false">IF(AND($C200="Know",$B200&gt;=WeekStart),$B200+ROW()/100000,"")</f>
        <v/>
      </c>
      <c r="R200" s="65" t="str">
        <f aca="false">IF(AND($K200="Open",$C200="Decision"),$L200+ROW()/100000,"")</f>
        <v/>
      </c>
      <c r="S200" s="65" t="str">
        <f aca="false">IF(AND($J200&lt;&gt;"",$J200=UCSel),$B200+ROW()/100000,"")</f>
        <v/>
      </c>
    </row>
    <row r="201" customFormat="false" ht="15" hidden="false" customHeight="false" outlineLevel="0" collapsed="false">
      <c r="A201" s="28"/>
      <c r="B201" s="63"/>
      <c r="C201" s="64"/>
      <c r="D201" s="28"/>
      <c r="E201" s="28"/>
      <c r="F201" s="28"/>
      <c r="G201" s="64"/>
      <c r="H201" s="64"/>
      <c r="I201" s="28"/>
      <c r="J201" s="28"/>
      <c r="K201" s="65" t="str">
        <f aca="false">IF($A201="","",IF(OR($C201="Decision",$C201="Conflict"),IF(COUNTIFS($I$2:$I$1001,$A201,$C$2:$C$1001,"Resolved")=0,"Open","Closed"),IF(AND($H201="Unconfirmed",OR($C201="New",$C201="Know")),IF(COUNTIFS($I$2:$I$1001,$A201,$C$2:$C$1001,"Confirmed")=0,"Unconfirmed","Confirmed"),"Logged")))</f>
        <v/>
      </c>
      <c r="L201" s="65" t="str">
        <f aca="false">IF($A201="","",AsOf-$B201)</f>
        <v/>
      </c>
      <c r="M201" s="65" t="str">
        <f aca="false">IF($K201="Open",IF($C201="Conflict","Critical",IF($L201&gt;=DecisionCritical,"Critical",IF($L201&gt;=DecisionWarn,"Warning","On track"))),IF($K201="Unconfirmed",IF($L201&gt;=UnconfirmedWarn,"Warning","On track"),""))</f>
        <v/>
      </c>
      <c r="N201" s="65" t="str">
        <f aca="false">IF($M201="","",IF($M201="Critical",3000,IF($M201="Warning",2000,1000))+$L201+ROW()/100000)</f>
        <v/>
      </c>
      <c r="O201" s="65" t="str">
        <f aca="false">IF($K201="Open",IF($C201="Conflict","decide "&amp;$A201&amp;": &lt;which version stands&gt;","decide "&amp;$A201&amp;": &lt;outcome&gt;"),IF($K201="Unconfirmed","confirm "&amp;$A201,""))</f>
        <v/>
      </c>
      <c r="P201" s="65" t="str">
        <f aca="false">IF(AND($C201="New",$B201&gt;=WeekStart),$B201+ROW()/100000,"")</f>
        <v/>
      </c>
      <c r="Q201" s="65" t="str">
        <f aca="false">IF(AND($C201="Know",$B201&gt;=WeekStart),$B201+ROW()/100000,"")</f>
        <v/>
      </c>
      <c r="R201" s="65" t="str">
        <f aca="false">IF(AND($K201="Open",$C201="Decision"),$L201+ROW()/100000,"")</f>
        <v/>
      </c>
      <c r="S201" s="65" t="str">
        <f aca="false">IF(AND($J201&lt;&gt;"",$J201=UCSel),$B201+ROW()/100000,"")</f>
        <v/>
      </c>
    </row>
    <row r="202" customFormat="false" ht="15" hidden="false" customHeight="false" outlineLevel="0" collapsed="false">
      <c r="A202" s="28"/>
      <c r="B202" s="63"/>
      <c r="C202" s="64"/>
      <c r="D202" s="28"/>
      <c r="E202" s="28"/>
      <c r="F202" s="28"/>
      <c r="G202" s="64"/>
      <c r="H202" s="64"/>
      <c r="I202" s="28"/>
      <c r="J202" s="28"/>
      <c r="K202" s="65" t="str">
        <f aca="false">IF($A202="","",IF(OR($C202="Decision",$C202="Conflict"),IF(COUNTIFS($I$2:$I$1001,$A202,$C$2:$C$1001,"Resolved")=0,"Open","Closed"),IF(AND($H202="Unconfirmed",OR($C202="New",$C202="Know")),IF(COUNTIFS($I$2:$I$1001,$A202,$C$2:$C$1001,"Confirmed")=0,"Unconfirmed","Confirmed"),"Logged")))</f>
        <v/>
      </c>
      <c r="L202" s="65" t="str">
        <f aca="false">IF($A202="","",AsOf-$B202)</f>
        <v/>
      </c>
      <c r="M202" s="65" t="str">
        <f aca="false">IF($K202="Open",IF($C202="Conflict","Critical",IF($L202&gt;=DecisionCritical,"Critical",IF($L202&gt;=DecisionWarn,"Warning","On track"))),IF($K202="Unconfirmed",IF($L202&gt;=UnconfirmedWarn,"Warning","On track"),""))</f>
        <v/>
      </c>
      <c r="N202" s="65" t="str">
        <f aca="false">IF($M202="","",IF($M202="Critical",3000,IF($M202="Warning",2000,1000))+$L202+ROW()/100000)</f>
        <v/>
      </c>
      <c r="O202" s="65" t="str">
        <f aca="false">IF($K202="Open",IF($C202="Conflict","decide "&amp;$A202&amp;": &lt;which version stands&gt;","decide "&amp;$A202&amp;": &lt;outcome&gt;"),IF($K202="Unconfirmed","confirm "&amp;$A202,""))</f>
        <v/>
      </c>
      <c r="P202" s="65" t="str">
        <f aca="false">IF(AND($C202="New",$B202&gt;=WeekStart),$B202+ROW()/100000,"")</f>
        <v/>
      </c>
      <c r="Q202" s="65" t="str">
        <f aca="false">IF(AND($C202="Know",$B202&gt;=WeekStart),$B202+ROW()/100000,"")</f>
        <v/>
      </c>
      <c r="R202" s="65" t="str">
        <f aca="false">IF(AND($K202="Open",$C202="Decision"),$L202+ROW()/100000,"")</f>
        <v/>
      </c>
      <c r="S202" s="65" t="str">
        <f aca="false">IF(AND($J202&lt;&gt;"",$J202=UCSel),$B202+ROW()/100000,"")</f>
        <v/>
      </c>
    </row>
    <row r="203" customFormat="false" ht="15" hidden="false" customHeight="false" outlineLevel="0" collapsed="false">
      <c r="A203" s="28"/>
      <c r="B203" s="63"/>
      <c r="C203" s="64"/>
      <c r="D203" s="28"/>
      <c r="E203" s="28"/>
      <c r="F203" s="28"/>
      <c r="G203" s="64"/>
      <c r="H203" s="64"/>
      <c r="I203" s="28"/>
      <c r="J203" s="28"/>
      <c r="K203" s="65" t="str">
        <f aca="false">IF($A203="","",IF(OR($C203="Decision",$C203="Conflict"),IF(COUNTIFS($I$2:$I$1001,$A203,$C$2:$C$1001,"Resolved")=0,"Open","Closed"),IF(AND($H203="Unconfirmed",OR($C203="New",$C203="Know")),IF(COUNTIFS($I$2:$I$1001,$A203,$C$2:$C$1001,"Confirmed")=0,"Unconfirmed","Confirmed"),"Logged")))</f>
        <v/>
      </c>
      <c r="L203" s="65" t="str">
        <f aca="false">IF($A203="","",AsOf-$B203)</f>
        <v/>
      </c>
      <c r="M203" s="65" t="str">
        <f aca="false">IF($K203="Open",IF($C203="Conflict","Critical",IF($L203&gt;=DecisionCritical,"Critical",IF($L203&gt;=DecisionWarn,"Warning","On track"))),IF($K203="Unconfirmed",IF($L203&gt;=UnconfirmedWarn,"Warning","On track"),""))</f>
        <v/>
      </c>
      <c r="N203" s="65" t="str">
        <f aca="false">IF($M203="","",IF($M203="Critical",3000,IF($M203="Warning",2000,1000))+$L203+ROW()/100000)</f>
        <v/>
      </c>
      <c r="O203" s="65" t="str">
        <f aca="false">IF($K203="Open",IF($C203="Conflict","decide "&amp;$A203&amp;": &lt;which version stands&gt;","decide "&amp;$A203&amp;": &lt;outcome&gt;"),IF($K203="Unconfirmed","confirm "&amp;$A203,""))</f>
        <v/>
      </c>
      <c r="P203" s="65" t="str">
        <f aca="false">IF(AND($C203="New",$B203&gt;=WeekStart),$B203+ROW()/100000,"")</f>
        <v/>
      </c>
      <c r="Q203" s="65" t="str">
        <f aca="false">IF(AND($C203="Know",$B203&gt;=WeekStart),$B203+ROW()/100000,"")</f>
        <v/>
      </c>
      <c r="R203" s="65" t="str">
        <f aca="false">IF(AND($K203="Open",$C203="Decision"),$L203+ROW()/100000,"")</f>
        <v/>
      </c>
      <c r="S203" s="65" t="str">
        <f aca="false">IF(AND($J203&lt;&gt;"",$J203=UCSel),$B203+ROW()/100000,"")</f>
        <v/>
      </c>
    </row>
    <row r="204" customFormat="false" ht="15" hidden="false" customHeight="false" outlineLevel="0" collapsed="false">
      <c r="A204" s="28"/>
      <c r="B204" s="63"/>
      <c r="C204" s="64"/>
      <c r="D204" s="28"/>
      <c r="E204" s="28"/>
      <c r="F204" s="28"/>
      <c r="G204" s="64"/>
      <c r="H204" s="64"/>
      <c r="I204" s="28"/>
      <c r="J204" s="28"/>
      <c r="K204" s="65" t="str">
        <f aca="false">IF($A204="","",IF(OR($C204="Decision",$C204="Conflict"),IF(COUNTIFS($I$2:$I$1001,$A204,$C$2:$C$1001,"Resolved")=0,"Open","Closed"),IF(AND($H204="Unconfirmed",OR($C204="New",$C204="Know")),IF(COUNTIFS($I$2:$I$1001,$A204,$C$2:$C$1001,"Confirmed")=0,"Unconfirmed","Confirmed"),"Logged")))</f>
        <v/>
      </c>
      <c r="L204" s="65" t="str">
        <f aca="false">IF($A204="","",AsOf-$B204)</f>
        <v/>
      </c>
      <c r="M204" s="65" t="str">
        <f aca="false">IF($K204="Open",IF($C204="Conflict","Critical",IF($L204&gt;=DecisionCritical,"Critical",IF($L204&gt;=DecisionWarn,"Warning","On track"))),IF($K204="Unconfirmed",IF($L204&gt;=UnconfirmedWarn,"Warning","On track"),""))</f>
        <v/>
      </c>
      <c r="N204" s="65" t="str">
        <f aca="false">IF($M204="","",IF($M204="Critical",3000,IF($M204="Warning",2000,1000))+$L204+ROW()/100000)</f>
        <v/>
      </c>
      <c r="O204" s="65" t="str">
        <f aca="false">IF($K204="Open",IF($C204="Conflict","decide "&amp;$A204&amp;": &lt;which version stands&gt;","decide "&amp;$A204&amp;": &lt;outcome&gt;"),IF($K204="Unconfirmed","confirm "&amp;$A204,""))</f>
        <v/>
      </c>
      <c r="P204" s="65" t="str">
        <f aca="false">IF(AND($C204="New",$B204&gt;=WeekStart),$B204+ROW()/100000,"")</f>
        <v/>
      </c>
      <c r="Q204" s="65" t="str">
        <f aca="false">IF(AND($C204="Know",$B204&gt;=WeekStart),$B204+ROW()/100000,"")</f>
        <v/>
      </c>
      <c r="R204" s="65" t="str">
        <f aca="false">IF(AND($K204="Open",$C204="Decision"),$L204+ROW()/100000,"")</f>
        <v/>
      </c>
      <c r="S204" s="65" t="str">
        <f aca="false">IF(AND($J204&lt;&gt;"",$J204=UCSel),$B204+ROW()/100000,"")</f>
        <v/>
      </c>
    </row>
    <row r="205" customFormat="false" ht="15" hidden="false" customHeight="false" outlineLevel="0" collapsed="false">
      <c r="A205" s="28"/>
      <c r="B205" s="63"/>
      <c r="C205" s="64"/>
      <c r="D205" s="28"/>
      <c r="E205" s="28"/>
      <c r="F205" s="28"/>
      <c r="G205" s="64"/>
      <c r="H205" s="64"/>
      <c r="I205" s="28"/>
      <c r="J205" s="28"/>
      <c r="K205" s="65" t="str">
        <f aca="false">IF($A205="","",IF(OR($C205="Decision",$C205="Conflict"),IF(COUNTIFS($I$2:$I$1001,$A205,$C$2:$C$1001,"Resolved")=0,"Open","Closed"),IF(AND($H205="Unconfirmed",OR($C205="New",$C205="Know")),IF(COUNTIFS($I$2:$I$1001,$A205,$C$2:$C$1001,"Confirmed")=0,"Unconfirmed","Confirmed"),"Logged")))</f>
        <v/>
      </c>
      <c r="L205" s="65" t="str">
        <f aca="false">IF($A205="","",AsOf-$B205)</f>
        <v/>
      </c>
      <c r="M205" s="65" t="str">
        <f aca="false">IF($K205="Open",IF($C205="Conflict","Critical",IF($L205&gt;=DecisionCritical,"Critical",IF($L205&gt;=DecisionWarn,"Warning","On track"))),IF($K205="Unconfirmed",IF($L205&gt;=UnconfirmedWarn,"Warning","On track"),""))</f>
        <v/>
      </c>
      <c r="N205" s="65" t="str">
        <f aca="false">IF($M205="","",IF($M205="Critical",3000,IF($M205="Warning",2000,1000))+$L205+ROW()/100000)</f>
        <v/>
      </c>
      <c r="O205" s="65" t="str">
        <f aca="false">IF($K205="Open",IF($C205="Conflict","decide "&amp;$A205&amp;": &lt;which version stands&gt;","decide "&amp;$A205&amp;": &lt;outcome&gt;"),IF($K205="Unconfirmed","confirm "&amp;$A205,""))</f>
        <v/>
      </c>
      <c r="P205" s="65" t="str">
        <f aca="false">IF(AND($C205="New",$B205&gt;=WeekStart),$B205+ROW()/100000,"")</f>
        <v/>
      </c>
      <c r="Q205" s="65" t="str">
        <f aca="false">IF(AND($C205="Know",$B205&gt;=WeekStart),$B205+ROW()/100000,"")</f>
        <v/>
      </c>
      <c r="R205" s="65" t="str">
        <f aca="false">IF(AND($K205="Open",$C205="Decision"),$L205+ROW()/100000,"")</f>
        <v/>
      </c>
      <c r="S205" s="65" t="str">
        <f aca="false">IF(AND($J205&lt;&gt;"",$J205=UCSel),$B205+ROW()/100000,"")</f>
        <v/>
      </c>
    </row>
    <row r="206" customFormat="false" ht="15" hidden="false" customHeight="false" outlineLevel="0" collapsed="false">
      <c r="A206" s="28"/>
      <c r="B206" s="63"/>
      <c r="C206" s="64"/>
      <c r="D206" s="28"/>
      <c r="E206" s="28"/>
      <c r="F206" s="28"/>
      <c r="G206" s="64"/>
      <c r="H206" s="64"/>
      <c r="I206" s="28"/>
      <c r="J206" s="28"/>
      <c r="K206" s="65" t="str">
        <f aca="false">IF($A206="","",IF(OR($C206="Decision",$C206="Conflict"),IF(COUNTIFS($I$2:$I$1001,$A206,$C$2:$C$1001,"Resolved")=0,"Open","Closed"),IF(AND($H206="Unconfirmed",OR($C206="New",$C206="Know")),IF(COUNTIFS($I$2:$I$1001,$A206,$C$2:$C$1001,"Confirmed")=0,"Unconfirmed","Confirmed"),"Logged")))</f>
        <v/>
      </c>
      <c r="L206" s="65" t="str">
        <f aca="false">IF($A206="","",AsOf-$B206)</f>
        <v/>
      </c>
      <c r="M206" s="65" t="str">
        <f aca="false">IF($K206="Open",IF($C206="Conflict","Critical",IF($L206&gt;=DecisionCritical,"Critical",IF($L206&gt;=DecisionWarn,"Warning","On track"))),IF($K206="Unconfirmed",IF($L206&gt;=UnconfirmedWarn,"Warning","On track"),""))</f>
        <v/>
      </c>
      <c r="N206" s="65" t="str">
        <f aca="false">IF($M206="","",IF($M206="Critical",3000,IF($M206="Warning",2000,1000))+$L206+ROW()/100000)</f>
        <v/>
      </c>
      <c r="O206" s="65" t="str">
        <f aca="false">IF($K206="Open",IF($C206="Conflict","decide "&amp;$A206&amp;": &lt;which version stands&gt;","decide "&amp;$A206&amp;": &lt;outcome&gt;"),IF($K206="Unconfirmed","confirm "&amp;$A206,""))</f>
        <v/>
      </c>
      <c r="P206" s="65" t="str">
        <f aca="false">IF(AND($C206="New",$B206&gt;=WeekStart),$B206+ROW()/100000,"")</f>
        <v/>
      </c>
      <c r="Q206" s="65" t="str">
        <f aca="false">IF(AND($C206="Know",$B206&gt;=WeekStart),$B206+ROW()/100000,"")</f>
        <v/>
      </c>
      <c r="R206" s="65" t="str">
        <f aca="false">IF(AND($K206="Open",$C206="Decision"),$L206+ROW()/100000,"")</f>
        <v/>
      </c>
      <c r="S206" s="65" t="str">
        <f aca="false">IF(AND($J206&lt;&gt;"",$J206=UCSel),$B206+ROW()/100000,"")</f>
        <v/>
      </c>
    </row>
    <row r="207" customFormat="false" ht="15" hidden="false" customHeight="false" outlineLevel="0" collapsed="false">
      <c r="A207" s="28"/>
      <c r="B207" s="63"/>
      <c r="C207" s="64"/>
      <c r="D207" s="28"/>
      <c r="E207" s="28"/>
      <c r="F207" s="28"/>
      <c r="G207" s="64"/>
      <c r="H207" s="64"/>
      <c r="I207" s="28"/>
      <c r="J207" s="28"/>
      <c r="K207" s="65" t="str">
        <f aca="false">IF($A207="","",IF(OR($C207="Decision",$C207="Conflict"),IF(COUNTIFS($I$2:$I$1001,$A207,$C$2:$C$1001,"Resolved")=0,"Open","Closed"),IF(AND($H207="Unconfirmed",OR($C207="New",$C207="Know")),IF(COUNTIFS($I$2:$I$1001,$A207,$C$2:$C$1001,"Confirmed")=0,"Unconfirmed","Confirmed"),"Logged")))</f>
        <v/>
      </c>
      <c r="L207" s="65" t="str">
        <f aca="false">IF($A207="","",AsOf-$B207)</f>
        <v/>
      </c>
      <c r="M207" s="65" t="str">
        <f aca="false">IF($K207="Open",IF($C207="Conflict","Critical",IF($L207&gt;=DecisionCritical,"Critical",IF($L207&gt;=DecisionWarn,"Warning","On track"))),IF($K207="Unconfirmed",IF($L207&gt;=UnconfirmedWarn,"Warning","On track"),""))</f>
        <v/>
      </c>
      <c r="N207" s="65" t="str">
        <f aca="false">IF($M207="","",IF($M207="Critical",3000,IF($M207="Warning",2000,1000))+$L207+ROW()/100000)</f>
        <v/>
      </c>
      <c r="O207" s="65" t="str">
        <f aca="false">IF($K207="Open",IF($C207="Conflict","decide "&amp;$A207&amp;": &lt;which version stands&gt;","decide "&amp;$A207&amp;": &lt;outcome&gt;"),IF($K207="Unconfirmed","confirm "&amp;$A207,""))</f>
        <v/>
      </c>
      <c r="P207" s="65" t="str">
        <f aca="false">IF(AND($C207="New",$B207&gt;=WeekStart),$B207+ROW()/100000,"")</f>
        <v/>
      </c>
      <c r="Q207" s="65" t="str">
        <f aca="false">IF(AND($C207="Know",$B207&gt;=WeekStart),$B207+ROW()/100000,"")</f>
        <v/>
      </c>
      <c r="R207" s="65" t="str">
        <f aca="false">IF(AND($K207="Open",$C207="Decision"),$L207+ROW()/100000,"")</f>
        <v/>
      </c>
      <c r="S207" s="65" t="str">
        <f aca="false">IF(AND($J207&lt;&gt;"",$J207=UCSel),$B207+ROW()/100000,"")</f>
        <v/>
      </c>
    </row>
    <row r="208" customFormat="false" ht="15" hidden="false" customHeight="false" outlineLevel="0" collapsed="false">
      <c r="A208" s="28"/>
      <c r="B208" s="63"/>
      <c r="C208" s="64"/>
      <c r="D208" s="28"/>
      <c r="E208" s="28"/>
      <c r="F208" s="28"/>
      <c r="G208" s="64"/>
      <c r="H208" s="64"/>
      <c r="I208" s="28"/>
      <c r="J208" s="28"/>
      <c r="K208" s="65" t="str">
        <f aca="false">IF($A208="","",IF(OR($C208="Decision",$C208="Conflict"),IF(COUNTIFS($I$2:$I$1001,$A208,$C$2:$C$1001,"Resolved")=0,"Open","Closed"),IF(AND($H208="Unconfirmed",OR($C208="New",$C208="Know")),IF(COUNTIFS($I$2:$I$1001,$A208,$C$2:$C$1001,"Confirmed")=0,"Unconfirmed","Confirmed"),"Logged")))</f>
        <v/>
      </c>
      <c r="L208" s="65" t="str">
        <f aca="false">IF($A208="","",AsOf-$B208)</f>
        <v/>
      </c>
      <c r="M208" s="65" t="str">
        <f aca="false">IF($K208="Open",IF($C208="Conflict","Critical",IF($L208&gt;=DecisionCritical,"Critical",IF($L208&gt;=DecisionWarn,"Warning","On track"))),IF($K208="Unconfirmed",IF($L208&gt;=UnconfirmedWarn,"Warning","On track"),""))</f>
        <v/>
      </c>
      <c r="N208" s="65" t="str">
        <f aca="false">IF($M208="","",IF($M208="Critical",3000,IF($M208="Warning",2000,1000))+$L208+ROW()/100000)</f>
        <v/>
      </c>
      <c r="O208" s="65" t="str">
        <f aca="false">IF($K208="Open",IF($C208="Conflict","decide "&amp;$A208&amp;": &lt;which version stands&gt;","decide "&amp;$A208&amp;": &lt;outcome&gt;"),IF($K208="Unconfirmed","confirm "&amp;$A208,""))</f>
        <v/>
      </c>
      <c r="P208" s="65" t="str">
        <f aca="false">IF(AND($C208="New",$B208&gt;=WeekStart),$B208+ROW()/100000,"")</f>
        <v/>
      </c>
      <c r="Q208" s="65" t="str">
        <f aca="false">IF(AND($C208="Know",$B208&gt;=WeekStart),$B208+ROW()/100000,"")</f>
        <v/>
      </c>
      <c r="R208" s="65" t="str">
        <f aca="false">IF(AND($K208="Open",$C208="Decision"),$L208+ROW()/100000,"")</f>
        <v/>
      </c>
      <c r="S208" s="65" t="str">
        <f aca="false">IF(AND($J208&lt;&gt;"",$J208=UCSel),$B208+ROW()/100000,"")</f>
        <v/>
      </c>
    </row>
    <row r="209" customFormat="false" ht="15" hidden="false" customHeight="false" outlineLevel="0" collapsed="false">
      <c r="A209" s="28"/>
      <c r="B209" s="63"/>
      <c r="C209" s="64"/>
      <c r="D209" s="28"/>
      <c r="E209" s="28"/>
      <c r="F209" s="28"/>
      <c r="G209" s="64"/>
      <c r="H209" s="64"/>
      <c r="I209" s="28"/>
      <c r="J209" s="28"/>
      <c r="K209" s="65" t="str">
        <f aca="false">IF($A209="","",IF(OR($C209="Decision",$C209="Conflict"),IF(COUNTIFS($I$2:$I$1001,$A209,$C$2:$C$1001,"Resolved")=0,"Open","Closed"),IF(AND($H209="Unconfirmed",OR($C209="New",$C209="Know")),IF(COUNTIFS($I$2:$I$1001,$A209,$C$2:$C$1001,"Confirmed")=0,"Unconfirmed","Confirmed"),"Logged")))</f>
        <v/>
      </c>
      <c r="L209" s="65" t="str">
        <f aca="false">IF($A209="","",AsOf-$B209)</f>
        <v/>
      </c>
      <c r="M209" s="65" t="str">
        <f aca="false">IF($K209="Open",IF($C209="Conflict","Critical",IF($L209&gt;=DecisionCritical,"Critical",IF($L209&gt;=DecisionWarn,"Warning","On track"))),IF($K209="Unconfirmed",IF($L209&gt;=UnconfirmedWarn,"Warning","On track"),""))</f>
        <v/>
      </c>
      <c r="N209" s="65" t="str">
        <f aca="false">IF($M209="","",IF($M209="Critical",3000,IF($M209="Warning",2000,1000))+$L209+ROW()/100000)</f>
        <v/>
      </c>
      <c r="O209" s="65" t="str">
        <f aca="false">IF($K209="Open",IF($C209="Conflict","decide "&amp;$A209&amp;": &lt;which version stands&gt;","decide "&amp;$A209&amp;": &lt;outcome&gt;"),IF($K209="Unconfirmed","confirm "&amp;$A209,""))</f>
        <v/>
      </c>
      <c r="P209" s="65" t="str">
        <f aca="false">IF(AND($C209="New",$B209&gt;=WeekStart),$B209+ROW()/100000,"")</f>
        <v/>
      </c>
      <c r="Q209" s="65" t="str">
        <f aca="false">IF(AND($C209="Know",$B209&gt;=WeekStart),$B209+ROW()/100000,"")</f>
        <v/>
      </c>
      <c r="R209" s="65" t="str">
        <f aca="false">IF(AND($K209="Open",$C209="Decision"),$L209+ROW()/100000,"")</f>
        <v/>
      </c>
      <c r="S209" s="65" t="str">
        <f aca="false">IF(AND($J209&lt;&gt;"",$J209=UCSel),$B209+ROW()/100000,"")</f>
        <v/>
      </c>
    </row>
    <row r="210" customFormat="false" ht="15" hidden="false" customHeight="false" outlineLevel="0" collapsed="false">
      <c r="A210" s="28"/>
      <c r="B210" s="63"/>
      <c r="C210" s="64"/>
      <c r="D210" s="28"/>
      <c r="E210" s="28"/>
      <c r="F210" s="28"/>
      <c r="G210" s="64"/>
      <c r="H210" s="64"/>
      <c r="I210" s="28"/>
      <c r="J210" s="28"/>
      <c r="K210" s="65" t="str">
        <f aca="false">IF($A210="","",IF(OR($C210="Decision",$C210="Conflict"),IF(COUNTIFS($I$2:$I$1001,$A210,$C$2:$C$1001,"Resolved")=0,"Open","Closed"),IF(AND($H210="Unconfirmed",OR($C210="New",$C210="Know")),IF(COUNTIFS($I$2:$I$1001,$A210,$C$2:$C$1001,"Confirmed")=0,"Unconfirmed","Confirmed"),"Logged")))</f>
        <v/>
      </c>
      <c r="L210" s="65" t="str">
        <f aca="false">IF($A210="","",AsOf-$B210)</f>
        <v/>
      </c>
      <c r="M210" s="65" t="str">
        <f aca="false">IF($K210="Open",IF($C210="Conflict","Critical",IF($L210&gt;=DecisionCritical,"Critical",IF($L210&gt;=DecisionWarn,"Warning","On track"))),IF($K210="Unconfirmed",IF($L210&gt;=UnconfirmedWarn,"Warning","On track"),""))</f>
        <v/>
      </c>
      <c r="N210" s="65" t="str">
        <f aca="false">IF($M210="","",IF($M210="Critical",3000,IF($M210="Warning",2000,1000))+$L210+ROW()/100000)</f>
        <v/>
      </c>
      <c r="O210" s="65" t="str">
        <f aca="false">IF($K210="Open",IF($C210="Conflict","decide "&amp;$A210&amp;": &lt;which version stands&gt;","decide "&amp;$A210&amp;": &lt;outcome&gt;"),IF($K210="Unconfirmed","confirm "&amp;$A210,""))</f>
        <v/>
      </c>
      <c r="P210" s="65" t="str">
        <f aca="false">IF(AND($C210="New",$B210&gt;=WeekStart),$B210+ROW()/100000,"")</f>
        <v/>
      </c>
      <c r="Q210" s="65" t="str">
        <f aca="false">IF(AND($C210="Know",$B210&gt;=WeekStart),$B210+ROW()/100000,"")</f>
        <v/>
      </c>
      <c r="R210" s="65" t="str">
        <f aca="false">IF(AND($K210="Open",$C210="Decision"),$L210+ROW()/100000,"")</f>
        <v/>
      </c>
      <c r="S210" s="65" t="str">
        <f aca="false">IF(AND($J210&lt;&gt;"",$J210=UCSel),$B210+ROW()/100000,"")</f>
        <v/>
      </c>
    </row>
    <row r="211" customFormat="false" ht="15" hidden="false" customHeight="false" outlineLevel="0" collapsed="false">
      <c r="A211" s="28"/>
      <c r="B211" s="63"/>
      <c r="C211" s="64"/>
      <c r="D211" s="28"/>
      <c r="E211" s="28"/>
      <c r="F211" s="28"/>
      <c r="G211" s="64"/>
      <c r="H211" s="64"/>
      <c r="I211" s="28"/>
      <c r="J211" s="28"/>
      <c r="K211" s="65" t="str">
        <f aca="false">IF($A211="","",IF(OR($C211="Decision",$C211="Conflict"),IF(COUNTIFS($I$2:$I$1001,$A211,$C$2:$C$1001,"Resolved")=0,"Open","Closed"),IF(AND($H211="Unconfirmed",OR($C211="New",$C211="Know")),IF(COUNTIFS($I$2:$I$1001,$A211,$C$2:$C$1001,"Confirmed")=0,"Unconfirmed","Confirmed"),"Logged")))</f>
        <v/>
      </c>
      <c r="L211" s="65" t="str">
        <f aca="false">IF($A211="","",AsOf-$B211)</f>
        <v/>
      </c>
      <c r="M211" s="65" t="str">
        <f aca="false">IF($K211="Open",IF($C211="Conflict","Critical",IF($L211&gt;=DecisionCritical,"Critical",IF($L211&gt;=DecisionWarn,"Warning","On track"))),IF($K211="Unconfirmed",IF($L211&gt;=UnconfirmedWarn,"Warning","On track"),""))</f>
        <v/>
      </c>
      <c r="N211" s="65" t="str">
        <f aca="false">IF($M211="","",IF($M211="Critical",3000,IF($M211="Warning",2000,1000))+$L211+ROW()/100000)</f>
        <v/>
      </c>
      <c r="O211" s="65" t="str">
        <f aca="false">IF($K211="Open",IF($C211="Conflict","decide "&amp;$A211&amp;": &lt;which version stands&gt;","decide "&amp;$A211&amp;": &lt;outcome&gt;"),IF($K211="Unconfirmed","confirm "&amp;$A211,""))</f>
        <v/>
      </c>
      <c r="P211" s="65" t="str">
        <f aca="false">IF(AND($C211="New",$B211&gt;=WeekStart),$B211+ROW()/100000,"")</f>
        <v/>
      </c>
      <c r="Q211" s="65" t="str">
        <f aca="false">IF(AND($C211="Know",$B211&gt;=WeekStart),$B211+ROW()/100000,"")</f>
        <v/>
      </c>
      <c r="R211" s="65" t="str">
        <f aca="false">IF(AND($K211="Open",$C211="Decision"),$L211+ROW()/100000,"")</f>
        <v/>
      </c>
      <c r="S211" s="65" t="str">
        <f aca="false">IF(AND($J211&lt;&gt;"",$J211=UCSel),$B211+ROW()/100000,"")</f>
        <v/>
      </c>
    </row>
    <row r="212" customFormat="false" ht="15" hidden="false" customHeight="false" outlineLevel="0" collapsed="false">
      <c r="A212" s="28"/>
      <c r="B212" s="63"/>
      <c r="C212" s="64"/>
      <c r="D212" s="28"/>
      <c r="E212" s="28"/>
      <c r="F212" s="28"/>
      <c r="G212" s="64"/>
      <c r="H212" s="64"/>
      <c r="I212" s="28"/>
      <c r="J212" s="28"/>
      <c r="K212" s="65" t="str">
        <f aca="false">IF($A212="","",IF(OR($C212="Decision",$C212="Conflict"),IF(COUNTIFS($I$2:$I$1001,$A212,$C$2:$C$1001,"Resolved")=0,"Open","Closed"),IF(AND($H212="Unconfirmed",OR($C212="New",$C212="Know")),IF(COUNTIFS($I$2:$I$1001,$A212,$C$2:$C$1001,"Confirmed")=0,"Unconfirmed","Confirmed"),"Logged")))</f>
        <v/>
      </c>
      <c r="L212" s="65" t="str">
        <f aca="false">IF($A212="","",AsOf-$B212)</f>
        <v/>
      </c>
      <c r="M212" s="65" t="str">
        <f aca="false">IF($K212="Open",IF($C212="Conflict","Critical",IF($L212&gt;=DecisionCritical,"Critical",IF($L212&gt;=DecisionWarn,"Warning","On track"))),IF($K212="Unconfirmed",IF($L212&gt;=UnconfirmedWarn,"Warning","On track"),""))</f>
        <v/>
      </c>
      <c r="N212" s="65" t="str">
        <f aca="false">IF($M212="","",IF($M212="Critical",3000,IF($M212="Warning",2000,1000))+$L212+ROW()/100000)</f>
        <v/>
      </c>
      <c r="O212" s="65" t="str">
        <f aca="false">IF($K212="Open",IF($C212="Conflict","decide "&amp;$A212&amp;": &lt;which version stands&gt;","decide "&amp;$A212&amp;": &lt;outcome&gt;"),IF($K212="Unconfirmed","confirm "&amp;$A212,""))</f>
        <v/>
      </c>
      <c r="P212" s="65" t="str">
        <f aca="false">IF(AND($C212="New",$B212&gt;=WeekStart),$B212+ROW()/100000,"")</f>
        <v/>
      </c>
      <c r="Q212" s="65" t="str">
        <f aca="false">IF(AND($C212="Know",$B212&gt;=WeekStart),$B212+ROW()/100000,"")</f>
        <v/>
      </c>
      <c r="R212" s="65" t="str">
        <f aca="false">IF(AND($K212="Open",$C212="Decision"),$L212+ROW()/100000,"")</f>
        <v/>
      </c>
      <c r="S212" s="65" t="str">
        <f aca="false">IF(AND($J212&lt;&gt;"",$J212=UCSel),$B212+ROW()/100000,"")</f>
        <v/>
      </c>
    </row>
    <row r="213" customFormat="false" ht="15" hidden="false" customHeight="false" outlineLevel="0" collapsed="false">
      <c r="A213" s="28"/>
      <c r="B213" s="63"/>
      <c r="C213" s="64"/>
      <c r="D213" s="28"/>
      <c r="E213" s="28"/>
      <c r="F213" s="28"/>
      <c r="G213" s="64"/>
      <c r="H213" s="64"/>
      <c r="I213" s="28"/>
      <c r="J213" s="28"/>
      <c r="K213" s="65" t="str">
        <f aca="false">IF($A213="","",IF(OR($C213="Decision",$C213="Conflict"),IF(COUNTIFS($I$2:$I$1001,$A213,$C$2:$C$1001,"Resolved")=0,"Open","Closed"),IF(AND($H213="Unconfirmed",OR($C213="New",$C213="Know")),IF(COUNTIFS($I$2:$I$1001,$A213,$C$2:$C$1001,"Confirmed")=0,"Unconfirmed","Confirmed"),"Logged")))</f>
        <v/>
      </c>
      <c r="L213" s="65" t="str">
        <f aca="false">IF($A213="","",AsOf-$B213)</f>
        <v/>
      </c>
      <c r="M213" s="65" t="str">
        <f aca="false">IF($K213="Open",IF($C213="Conflict","Critical",IF($L213&gt;=DecisionCritical,"Critical",IF($L213&gt;=DecisionWarn,"Warning","On track"))),IF($K213="Unconfirmed",IF($L213&gt;=UnconfirmedWarn,"Warning","On track"),""))</f>
        <v/>
      </c>
      <c r="N213" s="65" t="str">
        <f aca="false">IF($M213="","",IF($M213="Critical",3000,IF($M213="Warning",2000,1000))+$L213+ROW()/100000)</f>
        <v/>
      </c>
      <c r="O213" s="65" t="str">
        <f aca="false">IF($K213="Open",IF($C213="Conflict","decide "&amp;$A213&amp;": &lt;which version stands&gt;","decide "&amp;$A213&amp;": &lt;outcome&gt;"),IF($K213="Unconfirmed","confirm "&amp;$A213,""))</f>
        <v/>
      </c>
      <c r="P213" s="65" t="str">
        <f aca="false">IF(AND($C213="New",$B213&gt;=WeekStart),$B213+ROW()/100000,"")</f>
        <v/>
      </c>
      <c r="Q213" s="65" t="str">
        <f aca="false">IF(AND($C213="Know",$B213&gt;=WeekStart),$B213+ROW()/100000,"")</f>
        <v/>
      </c>
      <c r="R213" s="65" t="str">
        <f aca="false">IF(AND($K213="Open",$C213="Decision"),$L213+ROW()/100000,"")</f>
        <v/>
      </c>
      <c r="S213" s="65" t="str">
        <f aca="false">IF(AND($J213&lt;&gt;"",$J213=UCSel),$B213+ROW()/100000,"")</f>
        <v/>
      </c>
    </row>
    <row r="214" customFormat="false" ht="15" hidden="false" customHeight="false" outlineLevel="0" collapsed="false">
      <c r="A214" s="28"/>
      <c r="B214" s="63"/>
      <c r="C214" s="64"/>
      <c r="D214" s="28"/>
      <c r="E214" s="28"/>
      <c r="F214" s="28"/>
      <c r="G214" s="64"/>
      <c r="H214" s="64"/>
      <c r="I214" s="28"/>
      <c r="J214" s="28"/>
      <c r="K214" s="65" t="str">
        <f aca="false">IF($A214="","",IF(OR($C214="Decision",$C214="Conflict"),IF(COUNTIFS($I$2:$I$1001,$A214,$C$2:$C$1001,"Resolved")=0,"Open","Closed"),IF(AND($H214="Unconfirmed",OR($C214="New",$C214="Know")),IF(COUNTIFS($I$2:$I$1001,$A214,$C$2:$C$1001,"Confirmed")=0,"Unconfirmed","Confirmed"),"Logged")))</f>
        <v/>
      </c>
      <c r="L214" s="65" t="str">
        <f aca="false">IF($A214="","",AsOf-$B214)</f>
        <v/>
      </c>
      <c r="M214" s="65" t="str">
        <f aca="false">IF($K214="Open",IF($C214="Conflict","Critical",IF($L214&gt;=DecisionCritical,"Critical",IF($L214&gt;=DecisionWarn,"Warning","On track"))),IF($K214="Unconfirmed",IF($L214&gt;=UnconfirmedWarn,"Warning","On track"),""))</f>
        <v/>
      </c>
      <c r="N214" s="65" t="str">
        <f aca="false">IF($M214="","",IF($M214="Critical",3000,IF($M214="Warning",2000,1000))+$L214+ROW()/100000)</f>
        <v/>
      </c>
      <c r="O214" s="65" t="str">
        <f aca="false">IF($K214="Open",IF($C214="Conflict","decide "&amp;$A214&amp;": &lt;which version stands&gt;","decide "&amp;$A214&amp;": &lt;outcome&gt;"),IF($K214="Unconfirmed","confirm "&amp;$A214,""))</f>
        <v/>
      </c>
      <c r="P214" s="65" t="str">
        <f aca="false">IF(AND($C214="New",$B214&gt;=WeekStart),$B214+ROW()/100000,"")</f>
        <v/>
      </c>
      <c r="Q214" s="65" t="str">
        <f aca="false">IF(AND($C214="Know",$B214&gt;=WeekStart),$B214+ROW()/100000,"")</f>
        <v/>
      </c>
      <c r="R214" s="65" t="str">
        <f aca="false">IF(AND($K214="Open",$C214="Decision"),$L214+ROW()/100000,"")</f>
        <v/>
      </c>
      <c r="S214" s="65" t="str">
        <f aca="false">IF(AND($J214&lt;&gt;"",$J214=UCSel),$B214+ROW()/100000,"")</f>
        <v/>
      </c>
    </row>
    <row r="215" customFormat="false" ht="15" hidden="false" customHeight="false" outlineLevel="0" collapsed="false">
      <c r="A215" s="28"/>
      <c r="B215" s="63"/>
      <c r="C215" s="64"/>
      <c r="D215" s="28"/>
      <c r="E215" s="28"/>
      <c r="F215" s="28"/>
      <c r="G215" s="64"/>
      <c r="H215" s="64"/>
      <c r="I215" s="28"/>
      <c r="J215" s="28"/>
      <c r="K215" s="65" t="str">
        <f aca="false">IF($A215="","",IF(OR($C215="Decision",$C215="Conflict"),IF(COUNTIFS($I$2:$I$1001,$A215,$C$2:$C$1001,"Resolved")=0,"Open","Closed"),IF(AND($H215="Unconfirmed",OR($C215="New",$C215="Know")),IF(COUNTIFS($I$2:$I$1001,$A215,$C$2:$C$1001,"Confirmed")=0,"Unconfirmed","Confirmed"),"Logged")))</f>
        <v/>
      </c>
      <c r="L215" s="65" t="str">
        <f aca="false">IF($A215="","",AsOf-$B215)</f>
        <v/>
      </c>
      <c r="M215" s="65" t="str">
        <f aca="false">IF($K215="Open",IF($C215="Conflict","Critical",IF($L215&gt;=DecisionCritical,"Critical",IF($L215&gt;=DecisionWarn,"Warning","On track"))),IF($K215="Unconfirmed",IF($L215&gt;=UnconfirmedWarn,"Warning","On track"),""))</f>
        <v/>
      </c>
      <c r="N215" s="65" t="str">
        <f aca="false">IF($M215="","",IF($M215="Critical",3000,IF($M215="Warning",2000,1000))+$L215+ROW()/100000)</f>
        <v/>
      </c>
      <c r="O215" s="65" t="str">
        <f aca="false">IF($K215="Open",IF($C215="Conflict","decide "&amp;$A215&amp;": &lt;which version stands&gt;","decide "&amp;$A215&amp;": &lt;outcome&gt;"),IF($K215="Unconfirmed","confirm "&amp;$A215,""))</f>
        <v/>
      </c>
      <c r="P215" s="65" t="str">
        <f aca="false">IF(AND($C215="New",$B215&gt;=WeekStart),$B215+ROW()/100000,"")</f>
        <v/>
      </c>
      <c r="Q215" s="65" t="str">
        <f aca="false">IF(AND($C215="Know",$B215&gt;=WeekStart),$B215+ROW()/100000,"")</f>
        <v/>
      </c>
      <c r="R215" s="65" t="str">
        <f aca="false">IF(AND($K215="Open",$C215="Decision"),$L215+ROW()/100000,"")</f>
        <v/>
      </c>
      <c r="S215" s="65" t="str">
        <f aca="false">IF(AND($J215&lt;&gt;"",$J215=UCSel),$B215+ROW()/100000,"")</f>
        <v/>
      </c>
    </row>
    <row r="216" customFormat="false" ht="15" hidden="false" customHeight="false" outlineLevel="0" collapsed="false">
      <c r="A216" s="28"/>
      <c r="B216" s="63"/>
      <c r="C216" s="64"/>
      <c r="D216" s="28"/>
      <c r="E216" s="28"/>
      <c r="F216" s="28"/>
      <c r="G216" s="64"/>
      <c r="H216" s="64"/>
      <c r="I216" s="28"/>
      <c r="J216" s="28"/>
      <c r="K216" s="65" t="str">
        <f aca="false">IF($A216="","",IF(OR($C216="Decision",$C216="Conflict"),IF(COUNTIFS($I$2:$I$1001,$A216,$C$2:$C$1001,"Resolved")=0,"Open","Closed"),IF(AND($H216="Unconfirmed",OR($C216="New",$C216="Know")),IF(COUNTIFS($I$2:$I$1001,$A216,$C$2:$C$1001,"Confirmed")=0,"Unconfirmed","Confirmed"),"Logged")))</f>
        <v/>
      </c>
      <c r="L216" s="65" t="str">
        <f aca="false">IF($A216="","",AsOf-$B216)</f>
        <v/>
      </c>
      <c r="M216" s="65" t="str">
        <f aca="false">IF($K216="Open",IF($C216="Conflict","Critical",IF($L216&gt;=DecisionCritical,"Critical",IF($L216&gt;=DecisionWarn,"Warning","On track"))),IF($K216="Unconfirmed",IF($L216&gt;=UnconfirmedWarn,"Warning","On track"),""))</f>
        <v/>
      </c>
      <c r="N216" s="65" t="str">
        <f aca="false">IF($M216="","",IF($M216="Critical",3000,IF($M216="Warning",2000,1000))+$L216+ROW()/100000)</f>
        <v/>
      </c>
      <c r="O216" s="65" t="str">
        <f aca="false">IF($K216="Open",IF($C216="Conflict","decide "&amp;$A216&amp;": &lt;which version stands&gt;","decide "&amp;$A216&amp;": &lt;outcome&gt;"),IF($K216="Unconfirmed","confirm "&amp;$A216,""))</f>
        <v/>
      </c>
      <c r="P216" s="65" t="str">
        <f aca="false">IF(AND($C216="New",$B216&gt;=WeekStart),$B216+ROW()/100000,"")</f>
        <v/>
      </c>
      <c r="Q216" s="65" t="str">
        <f aca="false">IF(AND($C216="Know",$B216&gt;=WeekStart),$B216+ROW()/100000,"")</f>
        <v/>
      </c>
      <c r="R216" s="65" t="str">
        <f aca="false">IF(AND($K216="Open",$C216="Decision"),$L216+ROW()/100000,"")</f>
        <v/>
      </c>
      <c r="S216" s="65" t="str">
        <f aca="false">IF(AND($J216&lt;&gt;"",$J216=UCSel),$B216+ROW()/100000,"")</f>
        <v/>
      </c>
    </row>
    <row r="217" customFormat="false" ht="15" hidden="false" customHeight="false" outlineLevel="0" collapsed="false">
      <c r="A217" s="28"/>
      <c r="B217" s="63"/>
      <c r="C217" s="64"/>
      <c r="D217" s="28"/>
      <c r="E217" s="28"/>
      <c r="F217" s="28"/>
      <c r="G217" s="64"/>
      <c r="H217" s="64"/>
      <c r="I217" s="28"/>
      <c r="J217" s="28"/>
      <c r="K217" s="65" t="str">
        <f aca="false">IF($A217="","",IF(OR($C217="Decision",$C217="Conflict"),IF(COUNTIFS($I$2:$I$1001,$A217,$C$2:$C$1001,"Resolved")=0,"Open","Closed"),IF(AND($H217="Unconfirmed",OR($C217="New",$C217="Know")),IF(COUNTIFS($I$2:$I$1001,$A217,$C$2:$C$1001,"Confirmed")=0,"Unconfirmed","Confirmed"),"Logged")))</f>
        <v/>
      </c>
      <c r="L217" s="65" t="str">
        <f aca="false">IF($A217="","",AsOf-$B217)</f>
        <v/>
      </c>
      <c r="M217" s="65" t="str">
        <f aca="false">IF($K217="Open",IF($C217="Conflict","Critical",IF($L217&gt;=DecisionCritical,"Critical",IF($L217&gt;=DecisionWarn,"Warning","On track"))),IF($K217="Unconfirmed",IF($L217&gt;=UnconfirmedWarn,"Warning","On track"),""))</f>
        <v/>
      </c>
      <c r="N217" s="65" t="str">
        <f aca="false">IF($M217="","",IF($M217="Critical",3000,IF($M217="Warning",2000,1000))+$L217+ROW()/100000)</f>
        <v/>
      </c>
      <c r="O217" s="65" t="str">
        <f aca="false">IF($K217="Open",IF($C217="Conflict","decide "&amp;$A217&amp;": &lt;which version stands&gt;","decide "&amp;$A217&amp;": &lt;outcome&gt;"),IF($K217="Unconfirmed","confirm "&amp;$A217,""))</f>
        <v/>
      </c>
      <c r="P217" s="65" t="str">
        <f aca="false">IF(AND($C217="New",$B217&gt;=WeekStart),$B217+ROW()/100000,"")</f>
        <v/>
      </c>
      <c r="Q217" s="65" t="str">
        <f aca="false">IF(AND($C217="Know",$B217&gt;=WeekStart),$B217+ROW()/100000,"")</f>
        <v/>
      </c>
      <c r="R217" s="65" t="str">
        <f aca="false">IF(AND($K217="Open",$C217="Decision"),$L217+ROW()/100000,"")</f>
        <v/>
      </c>
      <c r="S217" s="65" t="str">
        <f aca="false">IF(AND($J217&lt;&gt;"",$J217=UCSel),$B217+ROW()/100000,"")</f>
        <v/>
      </c>
    </row>
    <row r="218" customFormat="false" ht="15" hidden="false" customHeight="false" outlineLevel="0" collapsed="false">
      <c r="A218" s="28"/>
      <c r="B218" s="63"/>
      <c r="C218" s="64"/>
      <c r="D218" s="28"/>
      <c r="E218" s="28"/>
      <c r="F218" s="28"/>
      <c r="G218" s="64"/>
      <c r="H218" s="64"/>
      <c r="I218" s="28"/>
      <c r="J218" s="28"/>
      <c r="K218" s="65" t="str">
        <f aca="false">IF($A218="","",IF(OR($C218="Decision",$C218="Conflict"),IF(COUNTIFS($I$2:$I$1001,$A218,$C$2:$C$1001,"Resolved")=0,"Open","Closed"),IF(AND($H218="Unconfirmed",OR($C218="New",$C218="Know")),IF(COUNTIFS($I$2:$I$1001,$A218,$C$2:$C$1001,"Confirmed")=0,"Unconfirmed","Confirmed"),"Logged")))</f>
        <v/>
      </c>
      <c r="L218" s="65" t="str">
        <f aca="false">IF($A218="","",AsOf-$B218)</f>
        <v/>
      </c>
      <c r="M218" s="65" t="str">
        <f aca="false">IF($K218="Open",IF($C218="Conflict","Critical",IF($L218&gt;=DecisionCritical,"Critical",IF($L218&gt;=DecisionWarn,"Warning","On track"))),IF($K218="Unconfirmed",IF($L218&gt;=UnconfirmedWarn,"Warning","On track"),""))</f>
        <v/>
      </c>
      <c r="N218" s="65" t="str">
        <f aca="false">IF($M218="","",IF($M218="Critical",3000,IF($M218="Warning",2000,1000))+$L218+ROW()/100000)</f>
        <v/>
      </c>
      <c r="O218" s="65" t="str">
        <f aca="false">IF($K218="Open",IF($C218="Conflict","decide "&amp;$A218&amp;": &lt;which version stands&gt;","decide "&amp;$A218&amp;": &lt;outcome&gt;"),IF($K218="Unconfirmed","confirm "&amp;$A218,""))</f>
        <v/>
      </c>
      <c r="P218" s="65" t="str">
        <f aca="false">IF(AND($C218="New",$B218&gt;=WeekStart),$B218+ROW()/100000,"")</f>
        <v/>
      </c>
      <c r="Q218" s="65" t="str">
        <f aca="false">IF(AND($C218="Know",$B218&gt;=WeekStart),$B218+ROW()/100000,"")</f>
        <v/>
      </c>
      <c r="R218" s="65" t="str">
        <f aca="false">IF(AND($K218="Open",$C218="Decision"),$L218+ROW()/100000,"")</f>
        <v/>
      </c>
      <c r="S218" s="65" t="str">
        <f aca="false">IF(AND($J218&lt;&gt;"",$J218=UCSel),$B218+ROW()/100000,"")</f>
        <v/>
      </c>
    </row>
    <row r="219" customFormat="false" ht="15" hidden="false" customHeight="false" outlineLevel="0" collapsed="false">
      <c r="A219" s="28"/>
      <c r="B219" s="63"/>
      <c r="C219" s="64"/>
      <c r="D219" s="28"/>
      <c r="E219" s="28"/>
      <c r="F219" s="28"/>
      <c r="G219" s="64"/>
      <c r="H219" s="64"/>
      <c r="I219" s="28"/>
      <c r="J219" s="28"/>
      <c r="K219" s="65" t="str">
        <f aca="false">IF($A219="","",IF(OR($C219="Decision",$C219="Conflict"),IF(COUNTIFS($I$2:$I$1001,$A219,$C$2:$C$1001,"Resolved")=0,"Open","Closed"),IF(AND($H219="Unconfirmed",OR($C219="New",$C219="Know")),IF(COUNTIFS($I$2:$I$1001,$A219,$C$2:$C$1001,"Confirmed")=0,"Unconfirmed","Confirmed"),"Logged")))</f>
        <v/>
      </c>
      <c r="L219" s="65" t="str">
        <f aca="false">IF($A219="","",AsOf-$B219)</f>
        <v/>
      </c>
      <c r="M219" s="65" t="str">
        <f aca="false">IF($K219="Open",IF($C219="Conflict","Critical",IF($L219&gt;=DecisionCritical,"Critical",IF($L219&gt;=DecisionWarn,"Warning","On track"))),IF($K219="Unconfirmed",IF($L219&gt;=UnconfirmedWarn,"Warning","On track"),""))</f>
        <v/>
      </c>
      <c r="N219" s="65" t="str">
        <f aca="false">IF($M219="","",IF($M219="Critical",3000,IF($M219="Warning",2000,1000))+$L219+ROW()/100000)</f>
        <v/>
      </c>
      <c r="O219" s="65" t="str">
        <f aca="false">IF($K219="Open",IF($C219="Conflict","decide "&amp;$A219&amp;": &lt;which version stands&gt;","decide "&amp;$A219&amp;": &lt;outcome&gt;"),IF($K219="Unconfirmed","confirm "&amp;$A219,""))</f>
        <v/>
      </c>
      <c r="P219" s="65" t="str">
        <f aca="false">IF(AND($C219="New",$B219&gt;=WeekStart),$B219+ROW()/100000,"")</f>
        <v/>
      </c>
      <c r="Q219" s="65" t="str">
        <f aca="false">IF(AND($C219="Know",$B219&gt;=WeekStart),$B219+ROW()/100000,"")</f>
        <v/>
      </c>
      <c r="R219" s="65" t="str">
        <f aca="false">IF(AND($K219="Open",$C219="Decision"),$L219+ROW()/100000,"")</f>
        <v/>
      </c>
      <c r="S219" s="65" t="str">
        <f aca="false">IF(AND($J219&lt;&gt;"",$J219=UCSel),$B219+ROW()/100000,"")</f>
        <v/>
      </c>
    </row>
    <row r="220" customFormat="false" ht="15" hidden="false" customHeight="false" outlineLevel="0" collapsed="false">
      <c r="A220" s="28"/>
      <c r="B220" s="63"/>
      <c r="C220" s="64"/>
      <c r="D220" s="28"/>
      <c r="E220" s="28"/>
      <c r="F220" s="28"/>
      <c r="G220" s="64"/>
      <c r="H220" s="64"/>
      <c r="I220" s="28"/>
      <c r="J220" s="28"/>
      <c r="K220" s="65" t="str">
        <f aca="false">IF($A220="","",IF(OR($C220="Decision",$C220="Conflict"),IF(COUNTIFS($I$2:$I$1001,$A220,$C$2:$C$1001,"Resolved")=0,"Open","Closed"),IF(AND($H220="Unconfirmed",OR($C220="New",$C220="Know")),IF(COUNTIFS($I$2:$I$1001,$A220,$C$2:$C$1001,"Confirmed")=0,"Unconfirmed","Confirmed"),"Logged")))</f>
        <v/>
      </c>
      <c r="L220" s="65" t="str">
        <f aca="false">IF($A220="","",AsOf-$B220)</f>
        <v/>
      </c>
      <c r="M220" s="65" t="str">
        <f aca="false">IF($K220="Open",IF($C220="Conflict","Critical",IF($L220&gt;=DecisionCritical,"Critical",IF($L220&gt;=DecisionWarn,"Warning","On track"))),IF($K220="Unconfirmed",IF($L220&gt;=UnconfirmedWarn,"Warning","On track"),""))</f>
        <v/>
      </c>
      <c r="N220" s="65" t="str">
        <f aca="false">IF($M220="","",IF($M220="Critical",3000,IF($M220="Warning",2000,1000))+$L220+ROW()/100000)</f>
        <v/>
      </c>
      <c r="O220" s="65" t="str">
        <f aca="false">IF($K220="Open",IF($C220="Conflict","decide "&amp;$A220&amp;": &lt;which version stands&gt;","decide "&amp;$A220&amp;": &lt;outcome&gt;"),IF($K220="Unconfirmed","confirm "&amp;$A220,""))</f>
        <v/>
      </c>
      <c r="P220" s="65" t="str">
        <f aca="false">IF(AND($C220="New",$B220&gt;=WeekStart),$B220+ROW()/100000,"")</f>
        <v/>
      </c>
      <c r="Q220" s="65" t="str">
        <f aca="false">IF(AND($C220="Know",$B220&gt;=WeekStart),$B220+ROW()/100000,"")</f>
        <v/>
      </c>
      <c r="R220" s="65" t="str">
        <f aca="false">IF(AND($K220="Open",$C220="Decision"),$L220+ROW()/100000,"")</f>
        <v/>
      </c>
      <c r="S220" s="65" t="str">
        <f aca="false">IF(AND($J220&lt;&gt;"",$J220=UCSel),$B220+ROW()/100000,"")</f>
        <v/>
      </c>
    </row>
    <row r="221" customFormat="false" ht="15" hidden="false" customHeight="false" outlineLevel="0" collapsed="false">
      <c r="A221" s="28"/>
      <c r="B221" s="63"/>
      <c r="C221" s="64"/>
      <c r="D221" s="28"/>
      <c r="E221" s="28"/>
      <c r="F221" s="28"/>
      <c r="G221" s="64"/>
      <c r="H221" s="64"/>
      <c r="I221" s="28"/>
      <c r="J221" s="28"/>
      <c r="K221" s="65" t="str">
        <f aca="false">IF($A221="","",IF(OR($C221="Decision",$C221="Conflict"),IF(COUNTIFS($I$2:$I$1001,$A221,$C$2:$C$1001,"Resolved")=0,"Open","Closed"),IF(AND($H221="Unconfirmed",OR($C221="New",$C221="Know")),IF(COUNTIFS($I$2:$I$1001,$A221,$C$2:$C$1001,"Confirmed")=0,"Unconfirmed","Confirmed"),"Logged")))</f>
        <v/>
      </c>
      <c r="L221" s="65" t="str">
        <f aca="false">IF($A221="","",AsOf-$B221)</f>
        <v/>
      </c>
      <c r="M221" s="65" t="str">
        <f aca="false">IF($K221="Open",IF($C221="Conflict","Critical",IF($L221&gt;=DecisionCritical,"Critical",IF($L221&gt;=DecisionWarn,"Warning","On track"))),IF($K221="Unconfirmed",IF($L221&gt;=UnconfirmedWarn,"Warning","On track"),""))</f>
        <v/>
      </c>
      <c r="N221" s="65" t="str">
        <f aca="false">IF($M221="","",IF($M221="Critical",3000,IF($M221="Warning",2000,1000))+$L221+ROW()/100000)</f>
        <v/>
      </c>
      <c r="O221" s="65" t="str">
        <f aca="false">IF($K221="Open",IF($C221="Conflict","decide "&amp;$A221&amp;": &lt;which version stands&gt;","decide "&amp;$A221&amp;": &lt;outcome&gt;"),IF($K221="Unconfirmed","confirm "&amp;$A221,""))</f>
        <v/>
      </c>
      <c r="P221" s="65" t="str">
        <f aca="false">IF(AND($C221="New",$B221&gt;=WeekStart),$B221+ROW()/100000,"")</f>
        <v/>
      </c>
      <c r="Q221" s="65" t="str">
        <f aca="false">IF(AND($C221="Know",$B221&gt;=WeekStart),$B221+ROW()/100000,"")</f>
        <v/>
      </c>
      <c r="R221" s="65" t="str">
        <f aca="false">IF(AND($K221="Open",$C221="Decision"),$L221+ROW()/100000,"")</f>
        <v/>
      </c>
      <c r="S221" s="65" t="str">
        <f aca="false">IF(AND($J221&lt;&gt;"",$J221=UCSel),$B221+ROW()/100000,"")</f>
        <v/>
      </c>
    </row>
    <row r="222" customFormat="false" ht="15" hidden="false" customHeight="false" outlineLevel="0" collapsed="false">
      <c r="A222" s="28"/>
      <c r="B222" s="63"/>
      <c r="C222" s="64"/>
      <c r="D222" s="28"/>
      <c r="E222" s="28"/>
      <c r="F222" s="28"/>
      <c r="G222" s="64"/>
      <c r="H222" s="64"/>
      <c r="I222" s="28"/>
      <c r="J222" s="28"/>
      <c r="K222" s="65" t="str">
        <f aca="false">IF($A222="","",IF(OR($C222="Decision",$C222="Conflict"),IF(COUNTIFS($I$2:$I$1001,$A222,$C$2:$C$1001,"Resolved")=0,"Open","Closed"),IF(AND($H222="Unconfirmed",OR($C222="New",$C222="Know")),IF(COUNTIFS($I$2:$I$1001,$A222,$C$2:$C$1001,"Confirmed")=0,"Unconfirmed","Confirmed"),"Logged")))</f>
        <v/>
      </c>
      <c r="L222" s="65" t="str">
        <f aca="false">IF($A222="","",AsOf-$B222)</f>
        <v/>
      </c>
      <c r="M222" s="65" t="str">
        <f aca="false">IF($K222="Open",IF($C222="Conflict","Critical",IF($L222&gt;=DecisionCritical,"Critical",IF($L222&gt;=DecisionWarn,"Warning","On track"))),IF($K222="Unconfirmed",IF($L222&gt;=UnconfirmedWarn,"Warning","On track"),""))</f>
        <v/>
      </c>
      <c r="N222" s="65" t="str">
        <f aca="false">IF($M222="","",IF($M222="Critical",3000,IF($M222="Warning",2000,1000))+$L222+ROW()/100000)</f>
        <v/>
      </c>
      <c r="O222" s="65" t="str">
        <f aca="false">IF($K222="Open",IF($C222="Conflict","decide "&amp;$A222&amp;": &lt;which version stands&gt;","decide "&amp;$A222&amp;": &lt;outcome&gt;"),IF($K222="Unconfirmed","confirm "&amp;$A222,""))</f>
        <v/>
      </c>
      <c r="P222" s="65" t="str">
        <f aca="false">IF(AND($C222="New",$B222&gt;=WeekStart),$B222+ROW()/100000,"")</f>
        <v/>
      </c>
      <c r="Q222" s="65" t="str">
        <f aca="false">IF(AND($C222="Know",$B222&gt;=WeekStart),$B222+ROW()/100000,"")</f>
        <v/>
      </c>
      <c r="R222" s="65" t="str">
        <f aca="false">IF(AND($K222="Open",$C222="Decision"),$L222+ROW()/100000,"")</f>
        <v/>
      </c>
      <c r="S222" s="65" t="str">
        <f aca="false">IF(AND($J222&lt;&gt;"",$J222=UCSel),$B222+ROW()/100000,"")</f>
        <v/>
      </c>
    </row>
    <row r="223" customFormat="false" ht="15" hidden="false" customHeight="false" outlineLevel="0" collapsed="false">
      <c r="A223" s="28"/>
      <c r="B223" s="63"/>
      <c r="C223" s="64"/>
      <c r="D223" s="28"/>
      <c r="E223" s="28"/>
      <c r="F223" s="28"/>
      <c r="G223" s="64"/>
      <c r="H223" s="64"/>
      <c r="I223" s="28"/>
      <c r="J223" s="28"/>
      <c r="K223" s="65" t="str">
        <f aca="false">IF($A223="","",IF(OR($C223="Decision",$C223="Conflict"),IF(COUNTIFS($I$2:$I$1001,$A223,$C$2:$C$1001,"Resolved")=0,"Open","Closed"),IF(AND($H223="Unconfirmed",OR($C223="New",$C223="Know")),IF(COUNTIFS($I$2:$I$1001,$A223,$C$2:$C$1001,"Confirmed")=0,"Unconfirmed","Confirmed"),"Logged")))</f>
        <v/>
      </c>
      <c r="L223" s="65" t="str">
        <f aca="false">IF($A223="","",AsOf-$B223)</f>
        <v/>
      </c>
      <c r="M223" s="65" t="str">
        <f aca="false">IF($K223="Open",IF($C223="Conflict","Critical",IF($L223&gt;=DecisionCritical,"Critical",IF($L223&gt;=DecisionWarn,"Warning","On track"))),IF($K223="Unconfirmed",IF($L223&gt;=UnconfirmedWarn,"Warning","On track"),""))</f>
        <v/>
      </c>
      <c r="N223" s="65" t="str">
        <f aca="false">IF($M223="","",IF($M223="Critical",3000,IF($M223="Warning",2000,1000))+$L223+ROW()/100000)</f>
        <v/>
      </c>
      <c r="O223" s="65" t="str">
        <f aca="false">IF($K223="Open",IF($C223="Conflict","decide "&amp;$A223&amp;": &lt;which version stands&gt;","decide "&amp;$A223&amp;": &lt;outcome&gt;"),IF($K223="Unconfirmed","confirm "&amp;$A223,""))</f>
        <v/>
      </c>
      <c r="P223" s="65" t="str">
        <f aca="false">IF(AND($C223="New",$B223&gt;=WeekStart),$B223+ROW()/100000,"")</f>
        <v/>
      </c>
      <c r="Q223" s="65" t="str">
        <f aca="false">IF(AND($C223="Know",$B223&gt;=WeekStart),$B223+ROW()/100000,"")</f>
        <v/>
      </c>
      <c r="R223" s="65" t="str">
        <f aca="false">IF(AND($K223="Open",$C223="Decision"),$L223+ROW()/100000,"")</f>
        <v/>
      </c>
      <c r="S223" s="65" t="str">
        <f aca="false">IF(AND($J223&lt;&gt;"",$J223=UCSel),$B223+ROW()/100000,"")</f>
        <v/>
      </c>
    </row>
    <row r="224" customFormat="false" ht="15" hidden="false" customHeight="false" outlineLevel="0" collapsed="false">
      <c r="A224" s="28"/>
      <c r="B224" s="63"/>
      <c r="C224" s="64"/>
      <c r="D224" s="28"/>
      <c r="E224" s="28"/>
      <c r="F224" s="28"/>
      <c r="G224" s="64"/>
      <c r="H224" s="64"/>
      <c r="I224" s="28"/>
      <c r="J224" s="28"/>
      <c r="K224" s="65" t="str">
        <f aca="false">IF($A224="","",IF(OR($C224="Decision",$C224="Conflict"),IF(COUNTIFS($I$2:$I$1001,$A224,$C$2:$C$1001,"Resolved")=0,"Open","Closed"),IF(AND($H224="Unconfirmed",OR($C224="New",$C224="Know")),IF(COUNTIFS($I$2:$I$1001,$A224,$C$2:$C$1001,"Confirmed")=0,"Unconfirmed","Confirmed"),"Logged")))</f>
        <v/>
      </c>
      <c r="L224" s="65" t="str">
        <f aca="false">IF($A224="","",AsOf-$B224)</f>
        <v/>
      </c>
      <c r="M224" s="65" t="str">
        <f aca="false">IF($K224="Open",IF($C224="Conflict","Critical",IF($L224&gt;=DecisionCritical,"Critical",IF($L224&gt;=DecisionWarn,"Warning","On track"))),IF($K224="Unconfirmed",IF($L224&gt;=UnconfirmedWarn,"Warning","On track"),""))</f>
        <v/>
      </c>
      <c r="N224" s="65" t="str">
        <f aca="false">IF($M224="","",IF($M224="Critical",3000,IF($M224="Warning",2000,1000))+$L224+ROW()/100000)</f>
        <v/>
      </c>
      <c r="O224" s="65" t="str">
        <f aca="false">IF($K224="Open",IF($C224="Conflict","decide "&amp;$A224&amp;": &lt;which version stands&gt;","decide "&amp;$A224&amp;": &lt;outcome&gt;"),IF($K224="Unconfirmed","confirm "&amp;$A224,""))</f>
        <v/>
      </c>
      <c r="P224" s="65" t="str">
        <f aca="false">IF(AND($C224="New",$B224&gt;=WeekStart),$B224+ROW()/100000,"")</f>
        <v/>
      </c>
      <c r="Q224" s="65" t="str">
        <f aca="false">IF(AND($C224="Know",$B224&gt;=WeekStart),$B224+ROW()/100000,"")</f>
        <v/>
      </c>
      <c r="R224" s="65" t="str">
        <f aca="false">IF(AND($K224="Open",$C224="Decision"),$L224+ROW()/100000,"")</f>
        <v/>
      </c>
      <c r="S224" s="65" t="str">
        <f aca="false">IF(AND($J224&lt;&gt;"",$J224=UCSel),$B224+ROW()/100000,"")</f>
        <v/>
      </c>
    </row>
    <row r="225" customFormat="false" ht="15" hidden="false" customHeight="false" outlineLevel="0" collapsed="false">
      <c r="A225" s="28"/>
      <c r="B225" s="63"/>
      <c r="C225" s="64"/>
      <c r="D225" s="28"/>
      <c r="E225" s="28"/>
      <c r="F225" s="28"/>
      <c r="G225" s="64"/>
      <c r="H225" s="64"/>
      <c r="I225" s="28"/>
      <c r="J225" s="28"/>
      <c r="K225" s="65" t="str">
        <f aca="false">IF($A225="","",IF(OR($C225="Decision",$C225="Conflict"),IF(COUNTIFS($I$2:$I$1001,$A225,$C$2:$C$1001,"Resolved")=0,"Open","Closed"),IF(AND($H225="Unconfirmed",OR($C225="New",$C225="Know")),IF(COUNTIFS($I$2:$I$1001,$A225,$C$2:$C$1001,"Confirmed")=0,"Unconfirmed","Confirmed"),"Logged")))</f>
        <v/>
      </c>
      <c r="L225" s="65" t="str">
        <f aca="false">IF($A225="","",AsOf-$B225)</f>
        <v/>
      </c>
      <c r="M225" s="65" t="str">
        <f aca="false">IF($K225="Open",IF($C225="Conflict","Critical",IF($L225&gt;=DecisionCritical,"Critical",IF($L225&gt;=DecisionWarn,"Warning","On track"))),IF($K225="Unconfirmed",IF($L225&gt;=UnconfirmedWarn,"Warning","On track"),""))</f>
        <v/>
      </c>
      <c r="N225" s="65" t="str">
        <f aca="false">IF($M225="","",IF($M225="Critical",3000,IF($M225="Warning",2000,1000))+$L225+ROW()/100000)</f>
        <v/>
      </c>
      <c r="O225" s="65" t="str">
        <f aca="false">IF($K225="Open",IF($C225="Conflict","decide "&amp;$A225&amp;": &lt;which version stands&gt;","decide "&amp;$A225&amp;": &lt;outcome&gt;"),IF($K225="Unconfirmed","confirm "&amp;$A225,""))</f>
        <v/>
      </c>
      <c r="P225" s="65" t="str">
        <f aca="false">IF(AND($C225="New",$B225&gt;=WeekStart),$B225+ROW()/100000,"")</f>
        <v/>
      </c>
      <c r="Q225" s="65" t="str">
        <f aca="false">IF(AND($C225="Know",$B225&gt;=WeekStart),$B225+ROW()/100000,"")</f>
        <v/>
      </c>
      <c r="R225" s="65" t="str">
        <f aca="false">IF(AND($K225="Open",$C225="Decision"),$L225+ROW()/100000,"")</f>
        <v/>
      </c>
      <c r="S225" s="65" t="str">
        <f aca="false">IF(AND($J225&lt;&gt;"",$J225=UCSel),$B225+ROW()/100000,"")</f>
        <v/>
      </c>
    </row>
    <row r="226" customFormat="false" ht="15" hidden="false" customHeight="false" outlineLevel="0" collapsed="false">
      <c r="A226" s="28"/>
      <c r="B226" s="63"/>
      <c r="C226" s="64"/>
      <c r="D226" s="28"/>
      <c r="E226" s="28"/>
      <c r="F226" s="28"/>
      <c r="G226" s="64"/>
      <c r="H226" s="64"/>
      <c r="I226" s="28"/>
      <c r="J226" s="28"/>
      <c r="K226" s="65" t="str">
        <f aca="false">IF($A226="","",IF(OR($C226="Decision",$C226="Conflict"),IF(COUNTIFS($I$2:$I$1001,$A226,$C$2:$C$1001,"Resolved")=0,"Open","Closed"),IF(AND($H226="Unconfirmed",OR($C226="New",$C226="Know")),IF(COUNTIFS($I$2:$I$1001,$A226,$C$2:$C$1001,"Confirmed")=0,"Unconfirmed","Confirmed"),"Logged")))</f>
        <v/>
      </c>
      <c r="L226" s="65" t="str">
        <f aca="false">IF($A226="","",AsOf-$B226)</f>
        <v/>
      </c>
      <c r="M226" s="65" t="str">
        <f aca="false">IF($K226="Open",IF($C226="Conflict","Critical",IF($L226&gt;=DecisionCritical,"Critical",IF($L226&gt;=DecisionWarn,"Warning","On track"))),IF($K226="Unconfirmed",IF($L226&gt;=UnconfirmedWarn,"Warning","On track"),""))</f>
        <v/>
      </c>
      <c r="N226" s="65" t="str">
        <f aca="false">IF($M226="","",IF($M226="Critical",3000,IF($M226="Warning",2000,1000))+$L226+ROW()/100000)</f>
        <v/>
      </c>
      <c r="O226" s="65" t="str">
        <f aca="false">IF($K226="Open",IF($C226="Conflict","decide "&amp;$A226&amp;": &lt;which version stands&gt;","decide "&amp;$A226&amp;": &lt;outcome&gt;"),IF($K226="Unconfirmed","confirm "&amp;$A226,""))</f>
        <v/>
      </c>
      <c r="P226" s="65" t="str">
        <f aca="false">IF(AND($C226="New",$B226&gt;=WeekStart),$B226+ROW()/100000,"")</f>
        <v/>
      </c>
      <c r="Q226" s="65" t="str">
        <f aca="false">IF(AND($C226="Know",$B226&gt;=WeekStart),$B226+ROW()/100000,"")</f>
        <v/>
      </c>
      <c r="R226" s="65" t="str">
        <f aca="false">IF(AND($K226="Open",$C226="Decision"),$L226+ROW()/100000,"")</f>
        <v/>
      </c>
      <c r="S226" s="65" t="str">
        <f aca="false">IF(AND($J226&lt;&gt;"",$J226=UCSel),$B226+ROW()/100000,"")</f>
        <v/>
      </c>
    </row>
    <row r="227" customFormat="false" ht="15" hidden="false" customHeight="false" outlineLevel="0" collapsed="false">
      <c r="A227" s="28"/>
      <c r="B227" s="63"/>
      <c r="C227" s="64"/>
      <c r="D227" s="28"/>
      <c r="E227" s="28"/>
      <c r="F227" s="28"/>
      <c r="G227" s="64"/>
      <c r="H227" s="64"/>
      <c r="I227" s="28"/>
      <c r="J227" s="28"/>
      <c r="K227" s="65" t="str">
        <f aca="false">IF($A227="","",IF(OR($C227="Decision",$C227="Conflict"),IF(COUNTIFS($I$2:$I$1001,$A227,$C$2:$C$1001,"Resolved")=0,"Open","Closed"),IF(AND($H227="Unconfirmed",OR($C227="New",$C227="Know")),IF(COUNTIFS($I$2:$I$1001,$A227,$C$2:$C$1001,"Confirmed")=0,"Unconfirmed","Confirmed"),"Logged")))</f>
        <v/>
      </c>
      <c r="L227" s="65" t="str">
        <f aca="false">IF($A227="","",AsOf-$B227)</f>
        <v/>
      </c>
      <c r="M227" s="65" t="str">
        <f aca="false">IF($K227="Open",IF($C227="Conflict","Critical",IF($L227&gt;=DecisionCritical,"Critical",IF($L227&gt;=DecisionWarn,"Warning","On track"))),IF($K227="Unconfirmed",IF($L227&gt;=UnconfirmedWarn,"Warning","On track"),""))</f>
        <v/>
      </c>
      <c r="N227" s="65" t="str">
        <f aca="false">IF($M227="","",IF($M227="Critical",3000,IF($M227="Warning",2000,1000))+$L227+ROW()/100000)</f>
        <v/>
      </c>
      <c r="O227" s="65" t="str">
        <f aca="false">IF($K227="Open",IF($C227="Conflict","decide "&amp;$A227&amp;": &lt;which version stands&gt;","decide "&amp;$A227&amp;": &lt;outcome&gt;"),IF($K227="Unconfirmed","confirm "&amp;$A227,""))</f>
        <v/>
      </c>
      <c r="P227" s="65" t="str">
        <f aca="false">IF(AND($C227="New",$B227&gt;=WeekStart),$B227+ROW()/100000,"")</f>
        <v/>
      </c>
      <c r="Q227" s="65" t="str">
        <f aca="false">IF(AND($C227="Know",$B227&gt;=WeekStart),$B227+ROW()/100000,"")</f>
        <v/>
      </c>
      <c r="R227" s="65" t="str">
        <f aca="false">IF(AND($K227="Open",$C227="Decision"),$L227+ROW()/100000,"")</f>
        <v/>
      </c>
      <c r="S227" s="65" t="str">
        <f aca="false">IF(AND($J227&lt;&gt;"",$J227=UCSel),$B227+ROW()/100000,"")</f>
        <v/>
      </c>
    </row>
    <row r="228" customFormat="false" ht="15" hidden="false" customHeight="false" outlineLevel="0" collapsed="false">
      <c r="A228" s="28"/>
      <c r="B228" s="63"/>
      <c r="C228" s="64"/>
      <c r="D228" s="28"/>
      <c r="E228" s="28"/>
      <c r="F228" s="28"/>
      <c r="G228" s="64"/>
      <c r="H228" s="64"/>
      <c r="I228" s="28"/>
      <c r="J228" s="28"/>
      <c r="K228" s="65" t="str">
        <f aca="false">IF($A228="","",IF(OR($C228="Decision",$C228="Conflict"),IF(COUNTIFS($I$2:$I$1001,$A228,$C$2:$C$1001,"Resolved")=0,"Open","Closed"),IF(AND($H228="Unconfirmed",OR($C228="New",$C228="Know")),IF(COUNTIFS($I$2:$I$1001,$A228,$C$2:$C$1001,"Confirmed")=0,"Unconfirmed","Confirmed"),"Logged")))</f>
        <v/>
      </c>
      <c r="L228" s="65" t="str">
        <f aca="false">IF($A228="","",AsOf-$B228)</f>
        <v/>
      </c>
      <c r="M228" s="65" t="str">
        <f aca="false">IF($K228="Open",IF($C228="Conflict","Critical",IF($L228&gt;=DecisionCritical,"Critical",IF($L228&gt;=DecisionWarn,"Warning","On track"))),IF($K228="Unconfirmed",IF($L228&gt;=UnconfirmedWarn,"Warning","On track"),""))</f>
        <v/>
      </c>
      <c r="N228" s="65" t="str">
        <f aca="false">IF($M228="","",IF($M228="Critical",3000,IF($M228="Warning",2000,1000))+$L228+ROW()/100000)</f>
        <v/>
      </c>
      <c r="O228" s="65" t="str">
        <f aca="false">IF($K228="Open",IF($C228="Conflict","decide "&amp;$A228&amp;": &lt;which version stands&gt;","decide "&amp;$A228&amp;": &lt;outcome&gt;"),IF($K228="Unconfirmed","confirm "&amp;$A228,""))</f>
        <v/>
      </c>
      <c r="P228" s="65" t="str">
        <f aca="false">IF(AND($C228="New",$B228&gt;=WeekStart),$B228+ROW()/100000,"")</f>
        <v/>
      </c>
      <c r="Q228" s="65" t="str">
        <f aca="false">IF(AND($C228="Know",$B228&gt;=WeekStart),$B228+ROW()/100000,"")</f>
        <v/>
      </c>
      <c r="R228" s="65" t="str">
        <f aca="false">IF(AND($K228="Open",$C228="Decision"),$L228+ROW()/100000,"")</f>
        <v/>
      </c>
      <c r="S228" s="65" t="str">
        <f aca="false">IF(AND($J228&lt;&gt;"",$J228=UCSel),$B228+ROW()/100000,"")</f>
        <v/>
      </c>
    </row>
    <row r="229" customFormat="false" ht="15" hidden="false" customHeight="false" outlineLevel="0" collapsed="false">
      <c r="A229" s="28"/>
      <c r="B229" s="63"/>
      <c r="C229" s="64"/>
      <c r="D229" s="28"/>
      <c r="E229" s="28"/>
      <c r="F229" s="28"/>
      <c r="G229" s="64"/>
      <c r="H229" s="64"/>
      <c r="I229" s="28"/>
      <c r="J229" s="28"/>
      <c r="K229" s="65" t="str">
        <f aca="false">IF($A229="","",IF(OR($C229="Decision",$C229="Conflict"),IF(COUNTIFS($I$2:$I$1001,$A229,$C$2:$C$1001,"Resolved")=0,"Open","Closed"),IF(AND($H229="Unconfirmed",OR($C229="New",$C229="Know")),IF(COUNTIFS($I$2:$I$1001,$A229,$C$2:$C$1001,"Confirmed")=0,"Unconfirmed","Confirmed"),"Logged")))</f>
        <v/>
      </c>
      <c r="L229" s="65" t="str">
        <f aca="false">IF($A229="","",AsOf-$B229)</f>
        <v/>
      </c>
      <c r="M229" s="65" t="str">
        <f aca="false">IF($K229="Open",IF($C229="Conflict","Critical",IF($L229&gt;=DecisionCritical,"Critical",IF($L229&gt;=DecisionWarn,"Warning","On track"))),IF($K229="Unconfirmed",IF($L229&gt;=UnconfirmedWarn,"Warning","On track"),""))</f>
        <v/>
      </c>
      <c r="N229" s="65" t="str">
        <f aca="false">IF($M229="","",IF($M229="Critical",3000,IF($M229="Warning",2000,1000))+$L229+ROW()/100000)</f>
        <v/>
      </c>
      <c r="O229" s="65" t="str">
        <f aca="false">IF($K229="Open",IF($C229="Conflict","decide "&amp;$A229&amp;": &lt;which version stands&gt;","decide "&amp;$A229&amp;": &lt;outcome&gt;"),IF($K229="Unconfirmed","confirm "&amp;$A229,""))</f>
        <v/>
      </c>
      <c r="P229" s="65" t="str">
        <f aca="false">IF(AND($C229="New",$B229&gt;=WeekStart),$B229+ROW()/100000,"")</f>
        <v/>
      </c>
      <c r="Q229" s="65" t="str">
        <f aca="false">IF(AND($C229="Know",$B229&gt;=WeekStart),$B229+ROW()/100000,"")</f>
        <v/>
      </c>
      <c r="R229" s="65" t="str">
        <f aca="false">IF(AND($K229="Open",$C229="Decision"),$L229+ROW()/100000,"")</f>
        <v/>
      </c>
      <c r="S229" s="65" t="str">
        <f aca="false">IF(AND($J229&lt;&gt;"",$J229=UCSel),$B229+ROW()/100000,"")</f>
        <v/>
      </c>
    </row>
    <row r="230" customFormat="false" ht="15" hidden="false" customHeight="false" outlineLevel="0" collapsed="false">
      <c r="A230" s="28"/>
      <c r="B230" s="63"/>
      <c r="C230" s="64"/>
      <c r="D230" s="28"/>
      <c r="E230" s="28"/>
      <c r="F230" s="28"/>
      <c r="G230" s="64"/>
      <c r="H230" s="64"/>
      <c r="I230" s="28"/>
      <c r="J230" s="28"/>
      <c r="K230" s="65" t="str">
        <f aca="false">IF($A230="","",IF(OR($C230="Decision",$C230="Conflict"),IF(COUNTIFS($I$2:$I$1001,$A230,$C$2:$C$1001,"Resolved")=0,"Open","Closed"),IF(AND($H230="Unconfirmed",OR($C230="New",$C230="Know")),IF(COUNTIFS($I$2:$I$1001,$A230,$C$2:$C$1001,"Confirmed")=0,"Unconfirmed","Confirmed"),"Logged")))</f>
        <v/>
      </c>
      <c r="L230" s="65" t="str">
        <f aca="false">IF($A230="","",AsOf-$B230)</f>
        <v/>
      </c>
      <c r="M230" s="65" t="str">
        <f aca="false">IF($K230="Open",IF($C230="Conflict","Critical",IF($L230&gt;=DecisionCritical,"Critical",IF($L230&gt;=DecisionWarn,"Warning","On track"))),IF($K230="Unconfirmed",IF($L230&gt;=UnconfirmedWarn,"Warning","On track"),""))</f>
        <v/>
      </c>
      <c r="N230" s="65" t="str">
        <f aca="false">IF($M230="","",IF($M230="Critical",3000,IF($M230="Warning",2000,1000))+$L230+ROW()/100000)</f>
        <v/>
      </c>
      <c r="O230" s="65" t="str">
        <f aca="false">IF($K230="Open",IF($C230="Conflict","decide "&amp;$A230&amp;": &lt;which version stands&gt;","decide "&amp;$A230&amp;": &lt;outcome&gt;"),IF($K230="Unconfirmed","confirm "&amp;$A230,""))</f>
        <v/>
      </c>
      <c r="P230" s="65" t="str">
        <f aca="false">IF(AND($C230="New",$B230&gt;=WeekStart),$B230+ROW()/100000,"")</f>
        <v/>
      </c>
      <c r="Q230" s="65" t="str">
        <f aca="false">IF(AND($C230="Know",$B230&gt;=WeekStart),$B230+ROW()/100000,"")</f>
        <v/>
      </c>
      <c r="R230" s="65" t="str">
        <f aca="false">IF(AND($K230="Open",$C230="Decision"),$L230+ROW()/100000,"")</f>
        <v/>
      </c>
      <c r="S230" s="65" t="str">
        <f aca="false">IF(AND($J230&lt;&gt;"",$J230=UCSel),$B230+ROW()/100000,"")</f>
        <v/>
      </c>
    </row>
    <row r="231" customFormat="false" ht="15" hidden="false" customHeight="false" outlineLevel="0" collapsed="false">
      <c r="A231" s="28"/>
      <c r="B231" s="63"/>
      <c r="C231" s="64"/>
      <c r="D231" s="28"/>
      <c r="E231" s="28"/>
      <c r="F231" s="28"/>
      <c r="G231" s="64"/>
      <c r="H231" s="64"/>
      <c r="I231" s="28"/>
      <c r="J231" s="28"/>
      <c r="K231" s="65" t="str">
        <f aca="false">IF($A231="","",IF(OR($C231="Decision",$C231="Conflict"),IF(COUNTIFS($I$2:$I$1001,$A231,$C$2:$C$1001,"Resolved")=0,"Open","Closed"),IF(AND($H231="Unconfirmed",OR($C231="New",$C231="Know")),IF(COUNTIFS($I$2:$I$1001,$A231,$C$2:$C$1001,"Confirmed")=0,"Unconfirmed","Confirmed"),"Logged")))</f>
        <v/>
      </c>
      <c r="L231" s="65" t="str">
        <f aca="false">IF($A231="","",AsOf-$B231)</f>
        <v/>
      </c>
      <c r="M231" s="65" t="str">
        <f aca="false">IF($K231="Open",IF($C231="Conflict","Critical",IF($L231&gt;=DecisionCritical,"Critical",IF($L231&gt;=DecisionWarn,"Warning","On track"))),IF($K231="Unconfirmed",IF($L231&gt;=UnconfirmedWarn,"Warning","On track"),""))</f>
        <v/>
      </c>
      <c r="N231" s="65" t="str">
        <f aca="false">IF($M231="","",IF($M231="Critical",3000,IF($M231="Warning",2000,1000))+$L231+ROW()/100000)</f>
        <v/>
      </c>
      <c r="O231" s="65" t="str">
        <f aca="false">IF($K231="Open",IF($C231="Conflict","decide "&amp;$A231&amp;": &lt;which version stands&gt;","decide "&amp;$A231&amp;": &lt;outcome&gt;"),IF($K231="Unconfirmed","confirm "&amp;$A231,""))</f>
        <v/>
      </c>
      <c r="P231" s="65" t="str">
        <f aca="false">IF(AND($C231="New",$B231&gt;=WeekStart),$B231+ROW()/100000,"")</f>
        <v/>
      </c>
      <c r="Q231" s="65" t="str">
        <f aca="false">IF(AND($C231="Know",$B231&gt;=WeekStart),$B231+ROW()/100000,"")</f>
        <v/>
      </c>
      <c r="R231" s="65" t="str">
        <f aca="false">IF(AND($K231="Open",$C231="Decision"),$L231+ROW()/100000,"")</f>
        <v/>
      </c>
      <c r="S231" s="65" t="str">
        <f aca="false">IF(AND($J231&lt;&gt;"",$J231=UCSel),$B231+ROW()/100000,"")</f>
        <v/>
      </c>
    </row>
    <row r="232" customFormat="false" ht="15" hidden="false" customHeight="false" outlineLevel="0" collapsed="false">
      <c r="A232" s="28"/>
      <c r="B232" s="63"/>
      <c r="C232" s="64"/>
      <c r="D232" s="28"/>
      <c r="E232" s="28"/>
      <c r="F232" s="28"/>
      <c r="G232" s="64"/>
      <c r="H232" s="64"/>
      <c r="I232" s="28"/>
      <c r="J232" s="28"/>
      <c r="K232" s="65" t="str">
        <f aca="false">IF($A232="","",IF(OR($C232="Decision",$C232="Conflict"),IF(COUNTIFS($I$2:$I$1001,$A232,$C$2:$C$1001,"Resolved")=0,"Open","Closed"),IF(AND($H232="Unconfirmed",OR($C232="New",$C232="Know")),IF(COUNTIFS($I$2:$I$1001,$A232,$C$2:$C$1001,"Confirmed")=0,"Unconfirmed","Confirmed"),"Logged")))</f>
        <v/>
      </c>
      <c r="L232" s="65" t="str">
        <f aca="false">IF($A232="","",AsOf-$B232)</f>
        <v/>
      </c>
      <c r="M232" s="65" t="str">
        <f aca="false">IF($K232="Open",IF($C232="Conflict","Critical",IF($L232&gt;=DecisionCritical,"Critical",IF($L232&gt;=DecisionWarn,"Warning","On track"))),IF($K232="Unconfirmed",IF($L232&gt;=UnconfirmedWarn,"Warning","On track"),""))</f>
        <v/>
      </c>
      <c r="N232" s="65" t="str">
        <f aca="false">IF($M232="","",IF($M232="Critical",3000,IF($M232="Warning",2000,1000))+$L232+ROW()/100000)</f>
        <v/>
      </c>
      <c r="O232" s="65" t="str">
        <f aca="false">IF($K232="Open",IF($C232="Conflict","decide "&amp;$A232&amp;": &lt;which version stands&gt;","decide "&amp;$A232&amp;": &lt;outcome&gt;"),IF($K232="Unconfirmed","confirm "&amp;$A232,""))</f>
        <v/>
      </c>
      <c r="P232" s="65" t="str">
        <f aca="false">IF(AND($C232="New",$B232&gt;=WeekStart),$B232+ROW()/100000,"")</f>
        <v/>
      </c>
      <c r="Q232" s="65" t="str">
        <f aca="false">IF(AND($C232="Know",$B232&gt;=WeekStart),$B232+ROW()/100000,"")</f>
        <v/>
      </c>
      <c r="R232" s="65" t="str">
        <f aca="false">IF(AND($K232="Open",$C232="Decision"),$L232+ROW()/100000,"")</f>
        <v/>
      </c>
      <c r="S232" s="65" t="str">
        <f aca="false">IF(AND($J232&lt;&gt;"",$J232=UCSel),$B232+ROW()/100000,"")</f>
        <v/>
      </c>
    </row>
    <row r="233" customFormat="false" ht="15" hidden="false" customHeight="false" outlineLevel="0" collapsed="false">
      <c r="A233" s="28"/>
      <c r="B233" s="63"/>
      <c r="C233" s="64"/>
      <c r="D233" s="28"/>
      <c r="E233" s="28"/>
      <c r="F233" s="28"/>
      <c r="G233" s="64"/>
      <c r="H233" s="64"/>
      <c r="I233" s="28"/>
      <c r="J233" s="28"/>
      <c r="K233" s="65" t="str">
        <f aca="false">IF($A233="","",IF(OR($C233="Decision",$C233="Conflict"),IF(COUNTIFS($I$2:$I$1001,$A233,$C$2:$C$1001,"Resolved")=0,"Open","Closed"),IF(AND($H233="Unconfirmed",OR($C233="New",$C233="Know")),IF(COUNTIFS($I$2:$I$1001,$A233,$C$2:$C$1001,"Confirmed")=0,"Unconfirmed","Confirmed"),"Logged")))</f>
        <v/>
      </c>
      <c r="L233" s="65" t="str">
        <f aca="false">IF($A233="","",AsOf-$B233)</f>
        <v/>
      </c>
      <c r="M233" s="65" t="str">
        <f aca="false">IF($K233="Open",IF($C233="Conflict","Critical",IF($L233&gt;=DecisionCritical,"Critical",IF($L233&gt;=DecisionWarn,"Warning","On track"))),IF($K233="Unconfirmed",IF($L233&gt;=UnconfirmedWarn,"Warning","On track"),""))</f>
        <v/>
      </c>
      <c r="N233" s="65" t="str">
        <f aca="false">IF($M233="","",IF($M233="Critical",3000,IF($M233="Warning",2000,1000))+$L233+ROW()/100000)</f>
        <v/>
      </c>
      <c r="O233" s="65" t="str">
        <f aca="false">IF($K233="Open",IF($C233="Conflict","decide "&amp;$A233&amp;": &lt;which version stands&gt;","decide "&amp;$A233&amp;": &lt;outcome&gt;"),IF($K233="Unconfirmed","confirm "&amp;$A233,""))</f>
        <v/>
      </c>
      <c r="P233" s="65" t="str">
        <f aca="false">IF(AND($C233="New",$B233&gt;=WeekStart),$B233+ROW()/100000,"")</f>
        <v/>
      </c>
      <c r="Q233" s="65" t="str">
        <f aca="false">IF(AND($C233="Know",$B233&gt;=WeekStart),$B233+ROW()/100000,"")</f>
        <v/>
      </c>
      <c r="R233" s="65" t="str">
        <f aca="false">IF(AND($K233="Open",$C233="Decision"),$L233+ROW()/100000,"")</f>
        <v/>
      </c>
      <c r="S233" s="65" t="str">
        <f aca="false">IF(AND($J233&lt;&gt;"",$J233=UCSel),$B233+ROW()/100000,"")</f>
        <v/>
      </c>
    </row>
    <row r="234" customFormat="false" ht="15" hidden="false" customHeight="false" outlineLevel="0" collapsed="false">
      <c r="A234" s="28"/>
      <c r="B234" s="63"/>
      <c r="C234" s="64"/>
      <c r="D234" s="28"/>
      <c r="E234" s="28"/>
      <c r="F234" s="28"/>
      <c r="G234" s="64"/>
      <c r="H234" s="64"/>
      <c r="I234" s="28"/>
      <c r="J234" s="28"/>
      <c r="K234" s="65" t="str">
        <f aca="false">IF($A234="","",IF(OR($C234="Decision",$C234="Conflict"),IF(COUNTIFS($I$2:$I$1001,$A234,$C$2:$C$1001,"Resolved")=0,"Open","Closed"),IF(AND($H234="Unconfirmed",OR($C234="New",$C234="Know")),IF(COUNTIFS($I$2:$I$1001,$A234,$C$2:$C$1001,"Confirmed")=0,"Unconfirmed","Confirmed"),"Logged")))</f>
        <v/>
      </c>
      <c r="L234" s="65" t="str">
        <f aca="false">IF($A234="","",AsOf-$B234)</f>
        <v/>
      </c>
      <c r="M234" s="65" t="str">
        <f aca="false">IF($K234="Open",IF($C234="Conflict","Critical",IF($L234&gt;=DecisionCritical,"Critical",IF($L234&gt;=DecisionWarn,"Warning","On track"))),IF($K234="Unconfirmed",IF($L234&gt;=UnconfirmedWarn,"Warning","On track"),""))</f>
        <v/>
      </c>
      <c r="N234" s="65" t="str">
        <f aca="false">IF($M234="","",IF($M234="Critical",3000,IF($M234="Warning",2000,1000))+$L234+ROW()/100000)</f>
        <v/>
      </c>
      <c r="O234" s="65" t="str">
        <f aca="false">IF($K234="Open",IF($C234="Conflict","decide "&amp;$A234&amp;": &lt;which version stands&gt;","decide "&amp;$A234&amp;": &lt;outcome&gt;"),IF($K234="Unconfirmed","confirm "&amp;$A234,""))</f>
        <v/>
      </c>
      <c r="P234" s="65" t="str">
        <f aca="false">IF(AND($C234="New",$B234&gt;=WeekStart),$B234+ROW()/100000,"")</f>
        <v/>
      </c>
      <c r="Q234" s="65" t="str">
        <f aca="false">IF(AND($C234="Know",$B234&gt;=WeekStart),$B234+ROW()/100000,"")</f>
        <v/>
      </c>
      <c r="R234" s="65" t="str">
        <f aca="false">IF(AND($K234="Open",$C234="Decision"),$L234+ROW()/100000,"")</f>
        <v/>
      </c>
      <c r="S234" s="65" t="str">
        <f aca="false">IF(AND($J234&lt;&gt;"",$J234=UCSel),$B234+ROW()/100000,"")</f>
        <v/>
      </c>
    </row>
    <row r="235" customFormat="false" ht="15" hidden="false" customHeight="false" outlineLevel="0" collapsed="false">
      <c r="A235" s="28"/>
      <c r="B235" s="63"/>
      <c r="C235" s="64"/>
      <c r="D235" s="28"/>
      <c r="E235" s="28"/>
      <c r="F235" s="28"/>
      <c r="G235" s="64"/>
      <c r="H235" s="64"/>
      <c r="I235" s="28"/>
      <c r="J235" s="28"/>
      <c r="K235" s="65" t="str">
        <f aca="false">IF($A235="","",IF(OR($C235="Decision",$C235="Conflict"),IF(COUNTIFS($I$2:$I$1001,$A235,$C$2:$C$1001,"Resolved")=0,"Open","Closed"),IF(AND($H235="Unconfirmed",OR($C235="New",$C235="Know")),IF(COUNTIFS($I$2:$I$1001,$A235,$C$2:$C$1001,"Confirmed")=0,"Unconfirmed","Confirmed"),"Logged")))</f>
        <v/>
      </c>
      <c r="L235" s="65" t="str">
        <f aca="false">IF($A235="","",AsOf-$B235)</f>
        <v/>
      </c>
      <c r="M235" s="65" t="str">
        <f aca="false">IF($K235="Open",IF($C235="Conflict","Critical",IF($L235&gt;=DecisionCritical,"Critical",IF($L235&gt;=DecisionWarn,"Warning","On track"))),IF($K235="Unconfirmed",IF($L235&gt;=UnconfirmedWarn,"Warning","On track"),""))</f>
        <v/>
      </c>
      <c r="N235" s="65" t="str">
        <f aca="false">IF($M235="","",IF($M235="Critical",3000,IF($M235="Warning",2000,1000))+$L235+ROW()/100000)</f>
        <v/>
      </c>
      <c r="O235" s="65" t="str">
        <f aca="false">IF($K235="Open",IF($C235="Conflict","decide "&amp;$A235&amp;": &lt;which version stands&gt;","decide "&amp;$A235&amp;": &lt;outcome&gt;"),IF($K235="Unconfirmed","confirm "&amp;$A235,""))</f>
        <v/>
      </c>
      <c r="P235" s="65" t="str">
        <f aca="false">IF(AND($C235="New",$B235&gt;=WeekStart),$B235+ROW()/100000,"")</f>
        <v/>
      </c>
      <c r="Q235" s="65" t="str">
        <f aca="false">IF(AND($C235="Know",$B235&gt;=WeekStart),$B235+ROW()/100000,"")</f>
        <v/>
      </c>
      <c r="R235" s="65" t="str">
        <f aca="false">IF(AND($K235="Open",$C235="Decision"),$L235+ROW()/100000,"")</f>
        <v/>
      </c>
      <c r="S235" s="65" t="str">
        <f aca="false">IF(AND($J235&lt;&gt;"",$J235=UCSel),$B235+ROW()/100000,"")</f>
        <v/>
      </c>
    </row>
    <row r="236" customFormat="false" ht="15" hidden="false" customHeight="false" outlineLevel="0" collapsed="false">
      <c r="A236" s="28"/>
      <c r="B236" s="63"/>
      <c r="C236" s="64"/>
      <c r="D236" s="28"/>
      <c r="E236" s="28"/>
      <c r="F236" s="28"/>
      <c r="G236" s="64"/>
      <c r="H236" s="64"/>
      <c r="I236" s="28"/>
      <c r="J236" s="28"/>
      <c r="K236" s="65" t="str">
        <f aca="false">IF($A236="","",IF(OR($C236="Decision",$C236="Conflict"),IF(COUNTIFS($I$2:$I$1001,$A236,$C$2:$C$1001,"Resolved")=0,"Open","Closed"),IF(AND($H236="Unconfirmed",OR($C236="New",$C236="Know")),IF(COUNTIFS($I$2:$I$1001,$A236,$C$2:$C$1001,"Confirmed")=0,"Unconfirmed","Confirmed"),"Logged")))</f>
        <v/>
      </c>
      <c r="L236" s="65" t="str">
        <f aca="false">IF($A236="","",AsOf-$B236)</f>
        <v/>
      </c>
      <c r="M236" s="65" t="str">
        <f aca="false">IF($K236="Open",IF($C236="Conflict","Critical",IF($L236&gt;=DecisionCritical,"Critical",IF($L236&gt;=DecisionWarn,"Warning","On track"))),IF($K236="Unconfirmed",IF($L236&gt;=UnconfirmedWarn,"Warning","On track"),""))</f>
        <v/>
      </c>
      <c r="N236" s="65" t="str">
        <f aca="false">IF($M236="","",IF($M236="Critical",3000,IF($M236="Warning",2000,1000))+$L236+ROW()/100000)</f>
        <v/>
      </c>
      <c r="O236" s="65" t="str">
        <f aca="false">IF($K236="Open",IF($C236="Conflict","decide "&amp;$A236&amp;": &lt;which version stands&gt;","decide "&amp;$A236&amp;": &lt;outcome&gt;"),IF($K236="Unconfirmed","confirm "&amp;$A236,""))</f>
        <v/>
      </c>
      <c r="P236" s="65" t="str">
        <f aca="false">IF(AND($C236="New",$B236&gt;=WeekStart),$B236+ROW()/100000,"")</f>
        <v/>
      </c>
      <c r="Q236" s="65" t="str">
        <f aca="false">IF(AND($C236="Know",$B236&gt;=WeekStart),$B236+ROW()/100000,"")</f>
        <v/>
      </c>
      <c r="R236" s="65" t="str">
        <f aca="false">IF(AND($K236="Open",$C236="Decision"),$L236+ROW()/100000,"")</f>
        <v/>
      </c>
      <c r="S236" s="65" t="str">
        <f aca="false">IF(AND($J236&lt;&gt;"",$J236=UCSel),$B236+ROW()/100000,"")</f>
        <v/>
      </c>
    </row>
    <row r="237" customFormat="false" ht="15" hidden="false" customHeight="false" outlineLevel="0" collapsed="false">
      <c r="A237" s="28"/>
      <c r="B237" s="63"/>
      <c r="C237" s="64"/>
      <c r="D237" s="28"/>
      <c r="E237" s="28"/>
      <c r="F237" s="28"/>
      <c r="G237" s="64"/>
      <c r="H237" s="64"/>
      <c r="I237" s="28"/>
      <c r="J237" s="28"/>
      <c r="K237" s="65" t="str">
        <f aca="false">IF($A237="","",IF(OR($C237="Decision",$C237="Conflict"),IF(COUNTIFS($I$2:$I$1001,$A237,$C$2:$C$1001,"Resolved")=0,"Open","Closed"),IF(AND($H237="Unconfirmed",OR($C237="New",$C237="Know")),IF(COUNTIFS($I$2:$I$1001,$A237,$C$2:$C$1001,"Confirmed")=0,"Unconfirmed","Confirmed"),"Logged")))</f>
        <v/>
      </c>
      <c r="L237" s="65" t="str">
        <f aca="false">IF($A237="","",AsOf-$B237)</f>
        <v/>
      </c>
      <c r="M237" s="65" t="str">
        <f aca="false">IF($K237="Open",IF($C237="Conflict","Critical",IF($L237&gt;=DecisionCritical,"Critical",IF($L237&gt;=DecisionWarn,"Warning","On track"))),IF($K237="Unconfirmed",IF($L237&gt;=UnconfirmedWarn,"Warning","On track"),""))</f>
        <v/>
      </c>
      <c r="N237" s="65" t="str">
        <f aca="false">IF($M237="","",IF($M237="Critical",3000,IF($M237="Warning",2000,1000))+$L237+ROW()/100000)</f>
        <v/>
      </c>
      <c r="O237" s="65" t="str">
        <f aca="false">IF($K237="Open",IF($C237="Conflict","decide "&amp;$A237&amp;": &lt;which version stands&gt;","decide "&amp;$A237&amp;": &lt;outcome&gt;"),IF($K237="Unconfirmed","confirm "&amp;$A237,""))</f>
        <v/>
      </c>
      <c r="P237" s="65" t="str">
        <f aca="false">IF(AND($C237="New",$B237&gt;=WeekStart),$B237+ROW()/100000,"")</f>
        <v/>
      </c>
      <c r="Q237" s="65" t="str">
        <f aca="false">IF(AND($C237="Know",$B237&gt;=WeekStart),$B237+ROW()/100000,"")</f>
        <v/>
      </c>
      <c r="R237" s="65" t="str">
        <f aca="false">IF(AND($K237="Open",$C237="Decision"),$L237+ROW()/100000,"")</f>
        <v/>
      </c>
      <c r="S237" s="65" t="str">
        <f aca="false">IF(AND($J237&lt;&gt;"",$J237=UCSel),$B237+ROW()/100000,"")</f>
        <v/>
      </c>
    </row>
    <row r="238" customFormat="false" ht="15" hidden="false" customHeight="false" outlineLevel="0" collapsed="false">
      <c r="A238" s="28"/>
      <c r="B238" s="63"/>
      <c r="C238" s="64"/>
      <c r="D238" s="28"/>
      <c r="E238" s="28"/>
      <c r="F238" s="28"/>
      <c r="G238" s="64"/>
      <c r="H238" s="64"/>
      <c r="I238" s="28"/>
      <c r="J238" s="28"/>
      <c r="K238" s="65" t="str">
        <f aca="false">IF($A238="","",IF(OR($C238="Decision",$C238="Conflict"),IF(COUNTIFS($I$2:$I$1001,$A238,$C$2:$C$1001,"Resolved")=0,"Open","Closed"),IF(AND($H238="Unconfirmed",OR($C238="New",$C238="Know")),IF(COUNTIFS($I$2:$I$1001,$A238,$C$2:$C$1001,"Confirmed")=0,"Unconfirmed","Confirmed"),"Logged")))</f>
        <v/>
      </c>
      <c r="L238" s="65" t="str">
        <f aca="false">IF($A238="","",AsOf-$B238)</f>
        <v/>
      </c>
      <c r="M238" s="65" t="str">
        <f aca="false">IF($K238="Open",IF($C238="Conflict","Critical",IF($L238&gt;=DecisionCritical,"Critical",IF($L238&gt;=DecisionWarn,"Warning","On track"))),IF($K238="Unconfirmed",IF($L238&gt;=UnconfirmedWarn,"Warning","On track"),""))</f>
        <v/>
      </c>
      <c r="N238" s="65" t="str">
        <f aca="false">IF($M238="","",IF($M238="Critical",3000,IF($M238="Warning",2000,1000))+$L238+ROW()/100000)</f>
        <v/>
      </c>
      <c r="O238" s="65" t="str">
        <f aca="false">IF($K238="Open",IF($C238="Conflict","decide "&amp;$A238&amp;": &lt;which version stands&gt;","decide "&amp;$A238&amp;": &lt;outcome&gt;"),IF($K238="Unconfirmed","confirm "&amp;$A238,""))</f>
        <v/>
      </c>
      <c r="P238" s="65" t="str">
        <f aca="false">IF(AND($C238="New",$B238&gt;=WeekStart),$B238+ROW()/100000,"")</f>
        <v/>
      </c>
      <c r="Q238" s="65" t="str">
        <f aca="false">IF(AND($C238="Know",$B238&gt;=WeekStart),$B238+ROW()/100000,"")</f>
        <v/>
      </c>
      <c r="R238" s="65" t="str">
        <f aca="false">IF(AND($K238="Open",$C238="Decision"),$L238+ROW()/100000,"")</f>
        <v/>
      </c>
      <c r="S238" s="65" t="str">
        <f aca="false">IF(AND($J238&lt;&gt;"",$J238=UCSel),$B238+ROW()/100000,"")</f>
        <v/>
      </c>
    </row>
    <row r="239" customFormat="false" ht="15" hidden="false" customHeight="false" outlineLevel="0" collapsed="false">
      <c r="A239" s="28"/>
      <c r="B239" s="63"/>
      <c r="C239" s="64"/>
      <c r="D239" s="28"/>
      <c r="E239" s="28"/>
      <c r="F239" s="28"/>
      <c r="G239" s="64"/>
      <c r="H239" s="64"/>
      <c r="I239" s="28"/>
      <c r="J239" s="28"/>
      <c r="K239" s="65" t="str">
        <f aca="false">IF($A239="","",IF(OR($C239="Decision",$C239="Conflict"),IF(COUNTIFS($I$2:$I$1001,$A239,$C$2:$C$1001,"Resolved")=0,"Open","Closed"),IF(AND($H239="Unconfirmed",OR($C239="New",$C239="Know")),IF(COUNTIFS($I$2:$I$1001,$A239,$C$2:$C$1001,"Confirmed")=0,"Unconfirmed","Confirmed"),"Logged")))</f>
        <v/>
      </c>
      <c r="L239" s="65" t="str">
        <f aca="false">IF($A239="","",AsOf-$B239)</f>
        <v/>
      </c>
      <c r="M239" s="65" t="str">
        <f aca="false">IF($K239="Open",IF($C239="Conflict","Critical",IF($L239&gt;=DecisionCritical,"Critical",IF($L239&gt;=DecisionWarn,"Warning","On track"))),IF($K239="Unconfirmed",IF($L239&gt;=UnconfirmedWarn,"Warning","On track"),""))</f>
        <v/>
      </c>
      <c r="N239" s="65" t="str">
        <f aca="false">IF($M239="","",IF($M239="Critical",3000,IF($M239="Warning",2000,1000))+$L239+ROW()/100000)</f>
        <v/>
      </c>
      <c r="O239" s="65" t="str">
        <f aca="false">IF($K239="Open",IF($C239="Conflict","decide "&amp;$A239&amp;": &lt;which version stands&gt;","decide "&amp;$A239&amp;": &lt;outcome&gt;"),IF($K239="Unconfirmed","confirm "&amp;$A239,""))</f>
        <v/>
      </c>
      <c r="P239" s="65" t="str">
        <f aca="false">IF(AND($C239="New",$B239&gt;=WeekStart),$B239+ROW()/100000,"")</f>
        <v/>
      </c>
      <c r="Q239" s="65" t="str">
        <f aca="false">IF(AND($C239="Know",$B239&gt;=WeekStart),$B239+ROW()/100000,"")</f>
        <v/>
      </c>
      <c r="R239" s="65" t="str">
        <f aca="false">IF(AND($K239="Open",$C239="Decision"),$L239+ROW()/100000,"")</f>
        <v/>
      </c>
      <c r="S239" s="65" t="str">
        <f aca="false">IF(AND($J239&lt;&gt;"",$J239=UCSel),$B239+ROW()/100000,"")</f>
        <v/>
      </c>
    </row>
    <row r="240" customFormat="false" ht="15" hidden="false" customHeight="false" outlineLevel="0" collapsed="false">
      <c r="A240" s="28"/>
      <c r="B240" s="63"/>
      <c r="C240" s="64"/>
      <c r="D240" s="28"/>
      <c r="E240" s="28"/>
      <c r="F240" s="28"/>
      <c r="G240" s="64"/>
      <c r="H240" s="64"/>
      <c r="I240" s="28"/>
      <c r="J240" s="28"/>
      <c r="K240" s="65" t="str">
        <f aca="false">IF($A240="","",IF(OR($C240="Decision",$C240="Conflict"),IF(COUNTIFS($I$2:$I$1001,$A240,$C$2:$C$1001,"Resolved")=0,"Open","Closed"),IF(AND($H240="Unconfirmed",OR($C240="New",$C240="Know")),IF(COUNTIFS($I$2:$I$1001,$A240,$C$2:$C$1001,"Confirmed")=0,"Unconfirmed","Confirmed"),"Logged")))</f>
        <v/>
      </c>
      <c r="L240" s="65" t="str">
        <f aca="false">IF($A240="","",AsOf-$B240)</f>
        <v/>
      </c>
      <c r="M240" s="65" t="str">
        <f aca="false">IF($K240="Open",IF($C240="Conflict","Critical",IF($L240&gt;=DecisionCritical,"Critical",IF($L240&gt;=DecisionWarn,"Warning","On track"))),IF($K240="Unconfirmed",IF($L240&gt;=UnconfirmedWarn,"Warning","On track"),""))</f>
        <v/>
      </c>
      <c r="N240" s="65" t="str">
        <f aca="false">IF($M240="","",IF($M240="Critical",3000,IF($M240="Warning",2000,1000))+$L240+ROW()/100000)</f>
        <v/>
      </c>
      <c r="O240" s="65" t="str">
        <f aca="false">IF($K240="Open",IF($C240="Conflict","decide "&amp;$A240&amp;": &lt;which version stands&gt;","decide "&amp;$A240&amp;": &lt;outcome&gt;"),IF($K240="Unconfirmed","confirm "&amp;$A240,""))</f>
        <v/>
      </c>
      <c r="P240" s="65" t="str">
        <f aca="false">IF(AND($C240="New",$B240&gt;=WeekStart),$B240+ROW()/100000,"")</f>
        <v/>
      </c>
      <c r="Q240" s="65" t="str">
        <f aca="false">IF(AND($C240="Know",$B240&gt;=WeekStart),$B240+ROW()/100000,"")</f>
        <v/>
      </c>
      <c r="R240" s="65" t="str">
        <f aca="false">IF(AND($K240="Open",$C240="Decision"),$L240+ROW()/100000,"")</f>
        <v/>
      </c>
      <c r="S240" s="65" t="str">
        <f aca="false">IF(AND($J240&lt;&gt;"",$J240=UCSel),$B240+ROW()/100000,"")</f>
        <v/>
      </c>
    </row>
    <row r="241" customFormat="false" ht="15" hidden="false" customHeight="false" outlineLevel="0" collapsed="false">
      <c r="A241" s="28"/>
      <c r="B241" s="63"/>
      <c r="C241" s="64"/>
      <c r="D241" s="28"/>
      <c r="E241" s="28"/>
      <c r="F241" s="28"/>
      <c r="G241" s="64"/>
      <c r="H241" s="64"/>
      <c r="I241" s="28"/>
      <c r="J241" s="28"/>
      <c r="K241" s="65" t="str">
        <f aca="false">IF($A241="","",IF(OR($C241="Decision",$C241="Conflict"),IF(COUNTIFS($I$2:$I$1001,$A241,$C$2:$C$1001,"Resolved")=0,"Open","Closed"),IF(AND($H241="Unconfirmed",OR($C241="New",$C241="Know")),IF(COUNTIFS($I$2:$I$1001,$A241,$C$2:$C$1001,"Confirmed")=0,"Unconfirmed","Confirmed"),"Logged")))</f>
        <v/>
      </c>
      <c r="L241" s="65" t="str">
        <f aca="false">IF($A241="","",AsOf-$B241)</f>
        <v/>
      </c>
      <c r="M241" s="65" t="str">
        <f aca="false">IF($K241="Open",IF($C241="Conflict","Critical",IF($L241&gt;=DecisionCritical,"Critical",IF($L241&gt;=DecisionWarn,"Warning","On track"))),IF($K241="Unconfirmed",IF($L241&gt;=UnconfirmedWarn,"Warning","On track"),""))</f>
        <v/>
      </c>
      <c r="N241" s="65" t="str">
        <f aca="false">IF($M241="","",IF($M241="Critical",3000,IF($M241="Warning",2000,1000))+$L241+ROW()/100000)</f>
        <v/>
      </c>
      <c r="O241" s="65" t="str">
        <f aca="false">IF($K241="Open",IF($C241="Conflict","decide "&amp;$A241&amp;": &lt;which version stands&gt;","decide "&amp;$A241&amp;": &lt;outcome&gt;"),IF($K241="Unconfirmed","confirm "&amp;$A241,""))</f>
        <v/>
      </c>
      <c r="P241" s="65" t="str">
        <f aca="false">IF(AND($C241="New",$B241&gt;=WeekStart),$B241+ROW()/100000,"")</f>
        <v/>
      </c>
      <c r="Q241" s="65" t="str">
        <f aca="false">IF(AND($C241="Know",$B241&gt;=WeekStart),$B241+ROW()/100000,"")</f>
        <v/>
      </c>
      <c r="R241" s="65" t="str">
        <f aca="false">IF(AND($K241="Open",$C241="Decision"),$L241+ROW()/100000,"")</f>
        <v/>
      </c>
      <c r="S241" s="65" t="str">
        <f aca="false">IF(AND($J241&lt;&gt;"",$J241=UCSel),$B241+ROW()/100000,"")</f>
        <v/>
      </c>
    </row>
    <row r="242" customFormat="false" ht="15" hidden="false" customHeight="false" outlineLevel="0" collapsed="false">
      <c r="A242" s="28"/>
      <c r="B242" s="63"/>
      <c r="C242" s="64"/>
      <c r="D242" s="28"/>
      <c r="E242" s="28"/>
      <c r="F242" s="28"/>
      <c r="G242" s="64"/>
      <c r="H242" s="64"/>
      <c r="I242" s="28"/>
      <c r="J242" s="28"/>
      <c r="K242" s="65" t="str">
        <f aca="false">IF($A242="","",IF(OR($C242="Decision",$C242="Conflict"),IF(COUNTIFS($I$2:$I$1001,$A242,$C$2:$C$1001,"Resolved")=0,"Open","Closed"),IF(AND($H242="Unconfirmed",OR($C242="New",$C242="Know")),IF(COUNTIFS($I$2:$I$1001,$A242,$C$2:$C$1001,"Confirmed")=0,"Unconfirmed","Confirmed"),"Logged")))</f>
        <v/>
      </c>
      <c r="L242" s="65" t="str">
        <f aca="false">IF($A242="","",AsOf-$B242)</f>
        <v/>
      </c>
      <c r="M242" s="65" t="str">
        <f aca="false">IF($K242="Open",IF($C242="Conflict","Critical",IF($L242&gt;=DecisionCritical,"Critical",IF($L242&gt;=DecisionWarn,"Warning","On track"))),IF($K242="Unconfirmed",IF($L242&gt;=UnconfirmedWarn,"Warning","On track"),""))</f>
        <v/>
      </c>
      <c r="N242" s="65" t="str">
        <f aca="false">IF($M242="","",IF($M242="Critical",3000,IF($M242="Warning",2000,1000))+$L242+ROW()/100000)</f>
        <v/>
      </c>
      <c r="O242" s="65" t="str">
        <f aca="false">IF($K242="Open",IF($C242="Conflict","decide "&amp;$A242&amp;": &lt;which version stands&gt;","decide "&amp;$A242&amp;": &lt;outcome&gt;"),IF($K242="Unconfirmed","confirm "&amp;$A242,""))</f>
        <v/>
      </c>
      <c r="P242" s="65" t="str">
        <f aca="false">IF(AND($C242="New",$B242&gt;=WeekStart),$B242+ROW()/100000,"")</f>
        <v/>
      </c>
      <c r="Q242" s="65" t="str">
        <f aca="false">IF(AND($C242="Know",$B242&gt;=WeekStart),$B242+ROW()/100000,"")</f>
        <v/>
      </c>
      <c r="R242" s="65" t="str">
        <f aca="false">IF(AND($K242="Open",$C242="Decision"),$L242+ROW()/100000,"")</f>
        <v/>
      </c>
      <c r="S242" s="65" t="str">
        <f aca="false">IF(AND($J242&lt;&gt;"",$J242=UCSel),$B242+ROW()/100000,"")</f>
        <v/>
      </c>
    </row>
    <row r="243" customFormat="false" ht="15" hidden="false" customHeight="false" outlineLevel="0" collapsed="false">
      <c r="A243" s="28"/>
      <c r="B243" s="63"/>
      <c r="C243" s="64"/>
      <c r="D243" s="28"/>
      <c r="E243" s="28"/>
      <c r="F243" s="28"/>
      <c r="G243" s="64"/>
      <c r="H243" s="64"/>
      <c r="I243" s="28"/>
      <c r="J243" s="28"/>
      <c r="K243" s="65" t="str">
        <f aca="false">IF($A243="","",IF(OR($C243="Decision",$C243="Conflict"),IF(COUNTIFS($I$2:$I$1001,$A243,$C$2:$C$1001,"Resolved")=0,"Open","Closed"),IF(AND($H243="Unconfirmed",OR($C243="New",$C243="Know")),IF(COUNTIFS($I$2:$I$1001,$A243,$C$2:$C$1001,"Confirmed")=0,"Unconfirmed","Confirmed"),"Logged")))</f>
        <v/>
      </c>
      <c r="L243" s="65" t="str">
        <f aca="false">IF($A243="","",AsOf-$B243)</f>
        <v/>
      </c>
      <c r="M243" s="65" t="str">
        <f aca="false">IF($K243="Open",IF($C243="Conflict","Critical",IF($L243&gt;=DecisionCritical,"Critical",IF($L243&gt;=DecisionWarn,"Warning","On track"))),IF($K243="Unconfirmed",IF($L243&gt;=UnconfirmedWarn,"Warning","On track"),""))</f>
        <v/>
      </c>
      <c r="N243" s="65" t="str">
        <f aca="false">IF($M243="","",IF($M243="Critical",3000,IF($M243="Warning",2000,1000))+$L243+ROW()/100000)</f>
        <v/>
      </c>
      <c r="O243" s="65" t="str">
        <f aca="false">IF($K243="Open",IF($C243="Conflict","decide "&amp;$A243&amp;": &lt;which version stands&gt;","decide "&amp;$A243&amp;": &lt;outcome&gt;"),IF($K243="Unconfirmed","confirm "&amp;$A243,""))</f>
        <v/>
      </c>
      <c r="P243" s="65" t="str">
        <f aca="false">IF(AND($C243="New",$B243&gt;=WeekStart),$B243+ROW()/100000,"")</f>
        <v/>
      </c>
      <c r="Q243" s="65" t="str">
        <f aca="false">IF(AND($C243="Know",$B243&gt;=WeekStart),$B243+ROW()/100000,"")</f>
        <v/>
      </c>
      <c r="R243" s="65" t="str">
        <f aca="false">IF(AND($K243="Open",$C243="Decision"),$L243+ROW()/100000,"")</f>
        <v/>
      </c>
      <c r="S243" s="65" t="str">
        <f aca="false">IF(AND($J243&lt;&gt;"",$J243=UCSel),$B243+ROW()/100000,"")</f>
        <v/>
      </c>
    </row>
    <row r="244" customFormat="false" ht="15" hidden="false" customHeight="false" outlineLevel="0" collapsed="false">
      <c r="A244" s="28"/>
      <c r="B244" s="63"/>
      <c r="C244" s="64"/>
      <c r="D244" s="28"/>
      <c r="E244" s="28"/>
      <c r="F244" s="28"/>
      <c r="G244" s="64"/>
      <c r="H244" s="64"/>
      <c r="I244" s="28"/>
      <c r="J244" s="28"/>
      <c r="K244" s="65" t="str">
        <f aca="false">IF($A244="","",IF(OR($C244="Decision",$C244="Conflict"),IF(COUNTIFS($I$2:$I$1001,$A244,$C$2:$C$1001,"Resolved")=0,"Open","Closed"),IF(AND($H244="Unconfirmed",OR($C244="New",$C244="Know")),IF(COUNTIFS($I$2:$I$1001,$A244,$C$2:$C$1001,"Confirmed")=0,"Unconfirmed","Confirmed"),"Logged")))</f>
        <v/>
      </c>
      <c r="L244" s="65" t="str">
        <f aca="false">IF($A244="","",AsOf-$B244)</f>
        <v/>
      </c>
      <c r="M244" s="65" t="str">
        <f aca="false">IF($K244="Open",IF($C244="Conflict","Critical",IF($L244&gt;=DecisionCritical,"Critical",IF($L244&gt;=DecisionWarn,"Warning","On track"))),IF($K244="Unconfirmed",IF($L244&gt;=UnconfirmedWarn,"Warning","On track"),""))</f>
        <v/>
      </c>
      <c r="N244" s="65" t="str">
        <f aca="false">IF($M244="","",IF($M244="Critical",3000,IF($M244="Warning",2000,1000))+$L244+ROW()/100000)</f>
        <v/>
      </c>
      <c r="O244" s="65" t="str">
        <f aca="false">IF($K244="Open",IF($C244="Conflict","decide "&amp;$A244&amp;": &lt;which version stands&gt;","decide "&amp;$A244&amp;": &lt;outcome&gt;"),IF($K244="Unconfirmed","confirm "&amp;$A244,""))</f>
        <v/>
      </c>
      <c r="P244" s="65" t="str">
        <f aca="false">IF(AND($C244="New",$B244&gt;=WeekStart),$B244+ROW()/100000,"")</f>
        <v/>
      </c>
      <c r="Q244" s="65" t="str">
        <f aca="false">IF(AND($C244="Know",$B244&gt;=WeekStart),$B244+ROW()/100000,"")</f>
        <v/>
      </c>
      <c r="R244" s="65" t="str">
        <f aca="false">IF(AND($K244="Open",$C244="Decision"),$L244+ROW()/100000,"")</f>
        <v/>
      </c>
      <c r="S244" s="65" t="str">
        <f aca="false">IF(AND($J244&lt;&gt;"",$J244=UCSel),$B244+ROW()/100000,"")</f>
        <v/>
      </c>
    </row>
    <row r="245" customFormat="false" ht="15" hidden="false" customHeight="false" outlineLevel="0" collapsed="false">
      <c r="A245" s="28"/>
      <c r="B245" s="63"/>
      <c r="C245" s="64"/>
      <c r="D245" s="28"/>
      <c r="E245" s="28"/>
      <c r="F245" s="28"/>
      <c r="G245" s="64"/>
      <c r="H245" s="64"/>
      <c r="I245" s="28"/>
      <c r="J245" s="28"/>
      <c r="K245" s="65" t="str">
        <f aca="false">IF($A245="","",IF(OR($C245="Decision",$C245="Conflict"),IF(COUNTIFS($I$2:$I$1001,$A245,$C$2:$C$1001,"Resolved")=0,"Open","Closed"),IF(AND($H245="Unconfirmed",OR($C245="New",$C245="Know")),IF(COUNTIFS($I$2:$I$1001,$A245,$C$2:$C$1001,"Confirmed")=0,"Unconfirmed","Confirmed"),"Logged")))</f>
        <v/>
      </c>
      <c r="L245" s="65" t="str">
        <f aca="false">IF($A245="","",AsOf-$B245)</f>
        <v/>
      </c>
      <c r="M245" s="65" t="str">
        <f aca="false">IF($K245="Open",IF($C245="Conflict","Critical",IF($L245&gt;=DecisionCritical,"Critical",IF($L245&gt;=DecisionWarn,"Warning","On track"))),IF($K245="Unconfirmed",IF($L245&gt;=UnconfirmedWarn,"Warning","On track"),""))</f>
        <v/>
      </c>
      <c r="N245" s="65" t="str">
        <f aca="false">IF($M245="","",IF($M245="Critical",3000,IF($M245="Warning",2000,1000))+$L245+ROW()/100000)</f>
        <v/>
      </c>
      <c r="O245" s="65" t="str">
        <f aca="false">IF($K245="Open",IF($C245="Conflict","decide "&amp;$A245&amp;": &lt;which version stands&gt;","decide "&amp;$A245&amp;": &lt;outcome&gt;"),IF($K245="Unconfirmed","confirm "&amp;$A245,""))</f>
        <v/>
      </c>
      <c r="P245" s="65" t="str">
        <f aca="false">IF(AND($C245="New",$B245&gt;=WeekStart),$B245+ROW()/100000,"")</f>
        <v/>
      </c>
      <c r="Q245" s="65" t="str">
        <f aca="false">IF(AND($C245="Know",$B245&gt;=WeekStart),$B245+ROW()/100000,"")</f>
        <v/>
      </c>
      <c r="R245" s="65" t="str">
        <f aca="false">IF(AND($K245="Open",$C245="Decision"),$L245+ROW()/100000,"")</f>
        <v/>
      </c>
      <c r="S245" s="65" t="str">
        <f aca="false">IF(AND($J245&lt;&gt;"",$J245=UCSel),$B245+ROW()/100000,"")</f>
        <v/>
      </c>
    </row>
    <row r="246" customFormat="false" ht="15" hidden="false" customHeight="false" outlineLevel="0" collapsed="false">
      <c r="A246" s="28"/>
      <c r="B246" s="63"/>
      <c r="C246" s="64"/>
      <c r="D246" s="28"/>
      <c r="E246" s="28"/>
      <c r="F246" s="28"/>
      <c r="G246" s="64"/>
      <c r="H246" s="64"/>
      <c r="I246" s="28"/>
      <c r="J246" s="28"/>
      <c r="K246" s="65" t="str">
        <f aca="false">IF($A246="","",IF(OR($C246="Decision",$C246="Conflict"),IF(COUNTIFS($I$2:$I$1001,$A246,$C$2:$C$1001,"Resolved")=0,"Open","Closed"),IF(AND($H246="Unconfirmed",OR($C246="New",$C246="Know")),IF(COUNTIFS($I$2:$I$1001,$A246,$C$2:$C$1001,"Confirmed")=0,"Unconfirmed","Confirmed"),"Logged")))</f>
        <v/>
      </c>
      <c r="L246" s="65" t="str">
        <f aca="false">IF($A246="","",AsOf-$B246)</f>
        <v/>
      </c>
      <c r="M246" s="65" t="str">
        <f aca="false">IF($K246="Open",IF($C246="Conflict","Critical",IF($L246&gt;=DecisionCritical,"Critical",IF($L246&gt;=DecisionWarn,"Warning","On track"))),IF($K246="Unconfirmed",IF($L246&gt;=UnconfirmedWarn,"Warning","On track"),""))</f>
        <v/>
      </c>
      <c r="N246" s="65" t="str">
        <f aca="false">IF($M246="","",IF($M246="Critical",3000,IF($M246="Warning",2000,1000))+$L246+ROW()/100000)</f>
        <v/>
      </c>
      <c r="O246" s="65" t="str">
        <f aca="false">IF($K246="Open",IF($C246="Conflict","decide "&amp;$A246&amp;": &lt;which version stands&gt;","decide "&amp;$A246&amp;": &lt;outcome&gt;"),IF($K246="Unconfirmed","confirm "&amp;$A246,""))</f>
        <v/>
      </c>
      <c r="P246" s="65" t="str">
        <f aca="false">IF(AND($C246="New",$B246&gt;=WeekStart),$B246+ROW()/100000,"")</f>
        <v/>
      </c>
      <c r="Q246" s="65" t="str">
        <f aca="false">IF(AND($C246="Know",$B246&gt;=WeekStart),$B246+ROW()/100000,"")</f>
        <v/>
      </c>
      <c r="R246" s="65" t="str">
        <f aca="false">IF(AND($K246="Open",$C246="Decision"),$L246+ROW()/100000,"")</f>
        <v/>
      </c>
      <c r="S246" s="65" t="str">
        <f aca="false">IF(AND($J246&lt;&gt;"",$J246=UCSel),$B246+ROW()/100000,"")</f>
        <v/>
      </c>
    </row>
    <row r="247" customFormat="false" ht="15" hidden="false" customHeight="false" outlineLevel="0" collapsed="false">
      <c r="A247" s="28"/>
      <c r="B247" s="63"/>
      <c r="C247" s="64"/>
      <c r="D247" s="28"/>
      <c r="E247" s="28"/>
      <c r="F247" s="28"/>
      <c r="G247" s="64"/>
      <c r="H247" s="64"/>
      <c r="I247" s="28"/>
      <c r="J247" s="28"/>
      <c r="K247" s="65" t="str">
        <f aca="false">IF($A247="","",IF(OR($C247="Decision",$C247="Conflict"),IF(COUNTIFS($I$2:$I$1001,$A247,$C$2:$C$1001,"Resolved")=0,"Open","Closed"),IF(AND($H247="Unconfirmed",OR($C247="New",$C247="Know")),IF(COUNTIFS($I$2:$I$1001,$A247,$C$2:$C$1001,"Confirmed")=0,"Unconfirmed","Confirmed"),"Logged")))</f>
        <v/>
      </c>
      <c r="L247" s="65" t="str">
        <f aca="false">IF($A247="","",AsOf-$B247)</f>
        <v/>
      </c>
      <c r="M247" s="65" t="str">
        <f aca="false">IF($K247="Open",IF($C247="Conflict","Critical",IF($L247&gt;=DecisionCritical,"Critical",IF($L247&gt;=DecisionWarn,"Warning","On track"))),IF($K247="Unconfirmed",IF($L247&gt;=UnconfirmedWarn,"Warning","On track"),""))</f>
        <v/>
      </c>
      <c r="N247" s="65" t="str">
        <f aca="false">IF($M247="","",IF($M247="Critical",3000,IF($M247="Warning",2000,1000))+$L247+ROW()/100000)</f>
        <v/>
      </c>
      <c r="O247" s="65" t="str">
        <f aca="false">IF($K247="Open",IF($C247="Conflict","decide "&amp;$A247&amp;": &lt;which version stands&gt;","decide "&amp;$A247&amp;": &lt;outcome&gt;"),IF($K247="Unconfirmed","confirm "&amp;$A247,""))</f>
        <v/>
      </c>
      <c r="P247" s="65" t="str">
        <f aca="false">IF(AND($C247="New",$B247&gt;=WeekStart),$B247+ROW()/100000,"")</f>
        <v/>
      </c>
      <c r="Q247" s="65" t="str">
        <f aca="false">IF(AND($C247="Know",$B247&gt;=WeekStart),$B247+ROW()/100000,"")</f>
        <v/>
      </c>
      <c r="R247" s="65" t="str">
        <f aca="false">IF(AND($K247="Open",$C247="Decision"),$L247+ROW()/100000,"")</f>
        <v/>
      </c>
      <c r="S247" s="65" t="str">
        <f aca="false">IF(AND($J247&lt;&gt;"",$J247=UCSel),$B247+ROW()/100000,"")</f>
        <v/>
      </c>
    </row>
    <row r="248" customFormat="false" ht="15" hidden="false" customHeight="false" outlineLevel="0" collapsed="false">
      <c r="A248" s="28"/>
      <c r="B248" s="63"/>
      <c r="C248" s="64"/>
      <c r="D248" s="28"/>
      <c r="E248" s="28"/>
      <c r="F248" s="28"/>
      <c r="G248" s="64"/>
      <c r="H248" s="64"/>
      <c r="I248" s="28"/>
      <c r="J248" s="28"/>
      <c r="K248" s="65" t="str">
        <f aca="false">IF($A248="","",IF(OR($C248="Decision",$C248="Conflict"),IF(COUNTIFS($I$2:$I$1001,$A248,$C$2:$C$1001,"Resolved")=0,"Open","Closed"),IF(AND($H248="Unconfirmed",OR($C248="New",$C248="Know")),IF(COUNTIFS($I$2:$I$1001,$A248,$C$2:$C$1001,"Confirmed")=0,"Unconfirmed","Confirmed"),"Logged")))</f>
        <v/>
      </c>
      <c r="L248" s="65" t="str">
        <f aca="false">IF($A248="","",AsOf-$B248)</f>
        <v/>
      </c>
      <c r="M248" s="65" t="str">
        <f aca="false">IF($K248="Open",IF($C248="Conflict","Critical",IF($L248&gt;=DecisionCritical,"Critical",IF($L248&gt;=DecisionWarn,"Warning","On track"))),IF($K248="Unconfirmed",IF($L248&gt;=UnconfirmedWarn,"Warning","On track"),""))</f>
        <v/>
      </c>
      <c r="N248" s="65" t="str">
        <f aca="false">IF($M248="","",IF($M248="Critical",3000,IF($M248="Warning",2000,1000))+$L248+ROW()/100000)</f>
        <v/>
      </c>
      <c r="O248" s="65" t="str">
        <f aca="false">IF($K248="Open",IF($C248="Conflict","decide "&amp;$A248&amp;": &lt;which version stands&gt;","decide "&amp;$A248&amp;": &lt;outcome&gt;"),IF($K248="Unconfirmed","confirm "&amp;$A248,""))</f>
        <v/>
      </c>
      <c r="P248" s="65" t="str">
        <f aca="false">IF(AND($C248="New",$B248&gt;=WeekStart),$B248+ROW()/100000,"")</f>
        <v/>
      </c>
      <c r="Q248" s="65" t="str">
        <f aca="false">IF(AND($C248="Know",$B248&gt;=WeekStart),$B248+ROW()/100000,"")</f>
        <v/>
      </c>
      <c r="R248" s="65" t="str">
        <f aca="false">IF(AND($K248="Open",$C248="Decision"),$L248+ROW()/100000,"")</f>
        <v/>
      </c>
      <c r="S248" s="65" t="str">
        <f aca="false">IF(AND($J248&lt;&gt;"",$J248=UCSel),$B248+ROW()/100000,"")</f>
        <v/>
      </c>
    </row>
    <row r="249" customFormat="false" ht="15" hidden="false" customHeight="false" outlineLevel="0" collapsed="false">
      <c r="A249" s="28"/>
      <c r="B249" s="63"/>
      <c r="C249" s="64"/>
      <c r="D249" s="28"/>
      <c r="E249" s="28"/>
      <c r="F249" s="28"/>
      <c r="G249" s="64"/>
      <c r="H249" s="64"/>
      <c r="I249" s="28"/>
      <c r="J249" s="28"/>
      <c r="K249" s="65" t="str">
        <f aca="false">IF($A249="","",IF(OR($C249="Decision",$C249="Conflict"),IF(COUNTIFS($I$2:$I$1001,$A249,$C$2:$C$1001,"Resolved")=0,"Open","Closed"),IF(AND($H249="Unconfirmed",OR($C249="New",$C249="Know")),IF(COUNTIFS($I$2:$I$1001,$A249,$C$2:$C$1001,"Confirmed")=0,"Unconfirmed","Confirmed"),"Logged")))</f>
        <v/>
      </c>
      <c r="L249" s="65" t="str">
        <f aca="false">IF($A249="","",AsOf-$B249)</f>
        <v/>
      </c>
      <c r="M249" s="65" t="str">
        <f aca="false">IF($K249="Open",IF($C249="Conflict","Critical",IF($L249&gt;=DecisionCritical,"Critical",IF($L249&gt;=DecisionWarn,"Warning","On track"))),IF($K249="Unconfirmed",IF($L249&gt;=UnconfirmedWarn,"Warning","On track"),""))</f>
        <v/>
      </c>
      <c r="N249" s="65" t="str">
        <f aca="false">IF($M249="","",IF($M249="Critical",3000,IF($M249="Warning",2000,1000))+$L249+ROW()/100000)</f>
        <v/>
      </c>
      <c r="O249" s="65" t="str">
        <f aca="false">IF($K249="Open",IF($C249="Conflict","decide "&amp;$A249&amp;": &lt;which version stands&gt;","decide "&amp;$A249&amp;": &lt;outcome&gt;"),IF($K249="Unconfirmed","confirm "&amp;$A249,""))</f>
        <v/>
      </c>
      <c r="P249" s="65" t="str">
        <f aca="false">IF(AND($C249="New",$B249&gt;=WeekStart),$B249+ROW()/100000,"")</f>
        <v/>
      </c>
      <c r="Q249" s="65" t="str">
        <f aca="false">IF(AND($C249="Know",$B249&gt;=WeekStart),$B249+ROW()/100000,"")</f>
        <v/>
      </c>
      <c r="R249" s="65" t="str">
        <f aca="false">IF(AND($K249="Open",$C249="Decision"),$L249+ROW()/100000,"")</f>
        <v/>
      </c>
      <c r="S249" s="65" t="str">
        <f aca="false">IF(AND($J249&lt;&gt;"",$J249=UCSel),$B249+ROW()/100000,"")</f>
        <v/>
      </c>
    </row>
    <row r="250" customFormat="false" ht="15" hidden="false" customHeight="false" outlineLevel="0" collapsed="false">
      <c r="A250" s="28"/>
      <c r="B250" s="63"/>
      <c r="C250" s="64"/>
      <c r="D250" s="28"/>
      <c r="E250" s="28"/>
      <c r="F250" s="28"/>
      <c r="G250" s="64"/>
      <c r="H250" s="64"/>
      <c r="I250" s="28"/>
      <c r="J250" s="28"/>
      <c r="K250" s="65" t="str">
        <f aca="false">IF($A250="","",IF(OR($C250="Decision",$C250="Conflict"),IF(COUNTIFS($I$2:$I$1001,$A250,$C$2:$C$1001,"Resolved")=0,"Open","Closed"),IF(AND($H250="Unconfirmed",OR($C250="New",$C250="Know")),IF(COUNTIFS($I$2:$I$1001,$A250,$C$2:$C$1001,"Confirmed")=0,"Unconfirmed","Confirmed"),"Logged")))</f>
        <v/>
      </c>
      <c r="L250" s="65" t="str">
        <f aca="false">IF($A250="","",AsOf-$B250)</f>
        <v/>
      </c>
      <c r="M250" s="65" t="str">
        <f aca="false">IF($K250="Open",IF($C250="Conflict","Critical",IF($L250&gt;=DecisionCritical,"Critical",IF($L250&gt;=DecisionWarn,"Warning","On track"))),IF($K250="Unconfirmed",IF($L250&gt;=UnconfirmedWarn,"Warning","On track"),""))</f>
        <v/>
      </c>
      <c r="N250" s="65" t="str">
        <f aca="false">IF($M250="","",IF($M250="Critical",3000,IF($M250="Warning",2000,1000))+$L250+ROW()/100000)</f>
        <v/>
      </c>
      <c r="O250" s="65" t="str">
        <f aca="false">IF($K250="Open",IF($C250="Conflict","decide "&amp;$A250&amp;": &lt;which version stands&gt;","decide "&amp;$A250&amp;": &lt;outcome&gt;"),IF($K250="Unconfirmed","confirm "&amp;$A250,""))</f>
        <v/>
      </c>
      <c r="P250" s="65" t="str">
        <f aca="false">IF(AND($C250="New",$B250&gt;=WeekStart),$B250+ROW()/100000,"")</f>
        <v/>
      </c>
      <c r="Q250" s="65" t="str">
        <f aca="false">IF(AND($C250="Know",$B250&gt;=WeekStart),$B250+ROW()/100000,"")</f>
        <v/>
      </c>
      <c r="R250" s="65" t="str">
        <f aca="false">IF(AND($K250="Open",$C250="Decision"),$L250+ROW()/100000,"")</f>
        <v/>
      </c>
      <c r="S250" s="65" t="str">
        <f aca="false">IF(AND($J250&lt;&gt;"",$J250=UCSel),$B250+ROW()/100000,"")</f>
        <v/>
      </c>
    </row>
    <row r="251" customFormat="false" ht="15" hidden="false" customHeight="false" outlineLevel="0" collapsed="false">
      <c r="A251" s="28"/>
      <c r="B251" s="63"/>
      <c r="C251" s="64"/>
      <c r="D251" s="28"/>
      <c r="E251" s="28"/>
      <c r="F251" s="28"/>
      <c r="G251" s="64"/>
      <c r="H251" s="64"/>
      <c r="I251" s="28"/>
      <c r="J251" s="28"/>
      <c r="K251" s="65" t="str">
        <f aca="false">IF($A251="","",IF(OR($C251="Decision",$C251="Conflict"),IF(COUNTIFS($I$2:$I$1001,$A251,$C$2:$C$1001,"Resolved")=0,"Open","Closed"),IF(AND($H251="Unconfirmed",OR($C251="New",$C251="Know")),IF(COUNTIFS($I$2:$I$1001,$A251,$C$2:$C$1001,"Confirmed")=0,"Unconfirmed","Confirmed"),"Logged")))</f>
        <v/>
      </c>
      <c r="L251" s="65" t="str">
        <f aca="false">IF($A251="","",AsOf-$B251)</f>
        <v/>
      </c>
      <c r="M251" s="65" t="str">
        <f aca="false">IF($K251="Open",IF($C251="Conflict","Critical",IF($L251&gt;=DecisionCritical,"Critical",IF($L251&gt;=DecisionWarn,"Warning","On track"))),IF($K251="Unconfirmed",IF($L251&gt;=UnconfirmedWarn,"Warning","On track"),""))</f>
        <v/>
      </c>
      <c r="N251" s="65" t="str">
        <f aca="false">IF($M251="","",IF($M251="Critical",3000,IF($M251="Warning",2000,1000))+$L251+ROW()/100000)</f>
        <v/>
      </c>
      <c r="O251" s="65" t="str">
        <f aca="false">IF($K251="Open",IF($C251="Conflict","decide "&amp;$A251&amp;": &lt;which version stands&gt;","decide "&amp;$A251&amp;": &lt;outcome&gt;"),IF($K251="Unconfirmed","confirm "&amp;$A251,""))</f>
        <v/>
      </c>
      <c r="P251" s="65" t="str">
        <f aca="false">IF(AND($C251="New",$B251&gt;=WeekStart),$B251+ROW()/100000,"")</f>
        <v/>
      </c>
      <c r="Q251" s="65" t="str">
        <f aca="false">IF(AND($C251="Know",$B251&gt;=WeekStart),$B251+ROW()/100000,"")</f>
        <v/>
      </c>
      <c r="R251" s="65" t="str">
        <f aca="false">IF(AND($K251="Open",$C251="Decision"),$L251+ROW()/100000,"")</f>
        <v/>
      </c>
      <c r="S251" s="65" t="str">
        <f aca="false">IF(AND($J251&lt;&gt;"",$J251=UCSel),$B251+ROW()/100000,"")</f>
        <v/>
      </c>
    </row>
    <row r="252" customFormat="false" ht="15" hidden="false" customHeight="false" outlineLevel="0" collapsed="false">
      <c r="A252" s="28"/>
      <c r="B252" s="63"/>
      <c r="C252" s="64"/>
      <c r="D252" s="28"/>
      <c r="E252" s="28"/>
      <c r="F252" s="28"/>
      <c r="G252" s="64"/>
      <c r="H252" s="64"/>
      <c r="I252" s="28"/>
      <c r="J252" s="28"/>
      <c r="K252" s="65" t="str">
        <f aca="false">IF($A252="","",IF(OR($C252="Decision",$C252="Conflict"),IF(COUNTIFS($I$2:$I$1001,$A252,$C$2:$C$1001,"Resolved")=0,"Open","Closed"),IF(AND($H252="Unconfirmed",OR($C252="New",$C252="Know")),IF(COUNTIFS($I$2:$I$1001,$A252,$C$2:$C$1001,"Confirmed")=0,"Unconfirmed","Confirmed"),"Logged")))</f>
        <v/>
      </c>
      <c r="L252" s="65" t="str">
        <f aca="false">IF($A252="","",AsOf-$B252)</f>
        <v/>
      </c>
      <c r="M252" s="65" t="str">
        <f aca="false">IF($K252="Open",IF($C252="Conflict","Critical",IF($L252&gt;=DecisionCritical,"Critical",IF($L252&gt;=DecisionWarn,"Warning","On track"))),IF($K252="Unconfirmed",IF($L252&gt;=UnconfirmedWarn,"Warning","On track"),""))</f>
        <v/>
      </c>
      <c r="N252" s="65" t="str">
        <f aca="false">IF($M252="","",IF($M252="Critical",3000,IF($M252="Warning",2000,1000))+$L252+ROW()/100000)</f>
        <v/>
      </c>
      <c r="O252" s="65" t="str">
        <f aca="false">IF($K252="Open",IF($C252="Conflict","decide "&amp;$A252&amp;": &lt;which version stands&gt;","decide "&amp;$A252&amp;": &lt;outcome&gt;"),IF($K252="Unconfirmed","confirm "&amp;$A252,""))</f>
        <v/>
      </c>
      <c r="P252" s="65" t="str">
        <f aca="false">IF(AND($C252="New",$B252&gt;=WeekStart),$B252+ROW()/100000,"")</f>
        <v/>
      </c>
      <c r="Q252" s="65" t="str">
        <f aca="false">IF(AND($C252="Know",$B252&gt;=WeekStart),$B252+ROW()/100000,"")</f>
        <v/>
      </c>
      <c r="R252" s="65" t="str">
        <f aca="false">IF(AND($K252="Open",$C252="Decision"),$L252+ROW()/100000,"")</f>
        <v/>
      </c>
      <c r="S252" s="65" t="str">
        <f aca="false">IF(AND($J252&lt;&gt;"",$J252=UCSel),$B252+ROW()/100000,"")</f>
        <v/>
      </c>
    </row>
    <row r="253" customFormat="false" ht="15" hidden="false" customHeight="false" outlineLevel="0" collapsed="false">
      <c r="A253" s="28"/>
      <c r="B253" s="63"/>
      <c r="C253" s="64"/>
      <c r="D253" s="28"/>
      <c r="E253" s="28"/>
      <c r="F253" s="28"/>
      <c r="G253" s="64"/>
      <c r="H253" s="64"/>
      <c r="I253" s="28"/>
      <c r="J253" s="28"/>
      <c r="K253" s="65" t="str">
        <f aca="false">IF($A253="","",IF(OR($C253="Decision",$C253="Conflict"),IF(COUNTIFS($I$2:$I$1001,$A253,$C$2:$C$1001,"Resolved")=0,"Open","Closed"),IF(AND($H253="Unconfirmed",OR($C253="New",$C253="Know")),IF(COUNTIFS($I$2:$I$1001,$A253,$C$2:$C$1001,"Confirmed")=0,"Unconfirmed","Confirmed"),"Logged")))</f>
        <v/>
      </c>
      <c r="L253" s="65" t="str">
        <f aca="false">IF($A253="","",AsOf-$B253)</f>
        <v/>
      </c>
      <c r="M253" s="65" t="str">
        <f aca="false">IF($K253="Open",IF($C253="Conflict","Critical",IF($L253&gt;=DecisionCritical,"Critical",IF($L253&gt;=DecisionWarn,"Warning","On track"))),IF($K253="Unconfirmed",IF($L253&gt;=UnconfirmedWarn,"Warning","On track"),""))</f>
        <v/>
      </c>
      <c r="N253" s="65" t="str">
        <f aca="false">IF($M253="","",IF($M253="Critical",3000,IF($M253="Warning",2000,1000))+$L253+ROW()/100000)</f>
        <v/>
      </c>
      <c r="O253" s="65" t="str">
        <f aca="false">IF($K253="Open",IF($C253="Conflict","decide "&amp;$A253&amp;": &lt;which version stands&gt;","decide "&amp;$A253&amp;": &lt;outcome&gt;"),IF($K253="Unconfirmed","confirm "&amp;$A253,""))</f>
        <v/>
      </c>
      <c r="P253" s="65" t="str">
        <f aca="false">IF(AND($C253="New",$B253&gt;=WeekStart),$B253+ROW()/100000,"")</f>
        <v/>
      </c>
      <c r="Q253" s="65" t="str">
        <f aca="false">IF(AND($C253="Know",$B253&gt;=WeekStart),$B253+ROW()/100000,"")</f>
        <v/>
      </c>
      <c r="R253" s="65" t="str">
        <f aca="false">IF(AND($K253="Open",$C253="Decision"),$L253+ROW()/100000,"")</f>
        <v/>
      </c>
      <c r="S253" s="65" t="str">
        <f aca="false">IF(AND($J253&lt;&gt;"",$J253=UCSel),$B253+ROW()/100000,"")</f>
        <v/>
      </c>
    </row>
    <row r="254" customFormat="false" ht="15" hidden="false" customHeight="false" outlineLevel="0" collapsed="false">
      <c r="A254" s="28"/>
      <c r="B254" s="63"/>
      <c r="C254" s="64"/>
      <c r="D254" s="28"/>
      <c r="E254" s="28"/>
      <c r="F254" s="28"/>
      <c r="G254" s="64"/>
      <c r="H254" s="64"/>
      <c r="I254" s="28"/>
      <c r="J254" s="28"/>
      <c r="K254" s="65" t="str">
        <f aca="false">IF($A254="","",IF(OR($C254="Decision",$C254="Conflict"),IF(COUNTIFS($I$2:$I$1001,$A254,$C$2:$C$1001,"Resolved")=0,"Open","Closed"),IF(AND($H254="Unconfirmed",OR($C254="New",$C254="Know")),IF(COUNTIFS($I$2:$I$1001,$A254,$C$2:$C$1001,"Confirmed")=0,"Unconfirmed","Confirmed"),"Logged")))</f>
        <v/>
      </c>
      <c r="L254" s="65" t="str">
        <f aca="false">IF($A254="","",AsOf-$B254)</f>
        <v/>
      </c>
      <c r="M254" s="65" t="str">
        <f aca="false">IF($K254="Open",IF($C254="Conflict","Critical",IF($L254&gt;=DecisionCritical,"Critical",IF($L254&gt;=DecisionWarn,"Warning","On track"))),IF($K254="Unconfirmed",IF($L254&gt;=UnconfirmedWarn,"Warning","On track"),""))</f>
        <v/>
      </c>
      <c r="N254" s="65" t="str">
        <f aca="false">IF($M254="","",IF($M254="Critical",3000,IF($M254="Warning",2000,1000))+$L254+ROW()/100000)</f>
        <v/>
      </c>
      <c r="O254" s="65" t="str">
        <f aca="false">IF($K254="Open",IF($C254="Conflict","decide "&amp;$A254&amp;": &lt;which version stands&gt;","decide "&amp;$A254&amp;": &lt;outcome&gt;"),IF($K254="Unconfirmed","confirm "&amp;$A254,""))</f>
        <v/>
      </c>
      <c r="P254" s="65" t="str">
        <f aca="false">IF(AND($C254="New",$B254&gt;=WeekStart),$B254+ROW()/100000,"")</f>
        <v/>
      </c>
      <c r="Q254" s="65" t="str">
        <f aca="false">IF(AND($C254="Know",$B254&gt;=WeekStart),$B254+ROW()/100000,"")</f>
        <v/>
      </c>
      <c r="R254" s="65" t="str">
        <f aca="false">IF(AND($K254="Open",$C254="Decision"),$L254+ROW()/100000,"")</f>
        <v/>
      </c>
      <c r="S254" s="65" t="str">
        <f aca="false">IF(AND($J254&lt;&gt;"",$J254=UCSel),$B254+ROW()/100000,"")</f>
        <v/>
      </c>
    </row>
    <row r="255" customFormat="false" ht="15" hidden="false" customHeight="false" outlineLevel="0" collapsed="false">
      <c r="A255" s="28"/>
      <c r="B255" s="63"/>
      <c r="C255" s="64"/>
      <c r="D255" s="28"/>
      <c r="E255" s="28"/>
      <c r="F255" s="28"/>
      <c r="G255" s="64"/>
      <c r="H255" s="64"/>
      <c r="I255" s="28"/>
      <c r="J255" s="28"/>
      <c r="K255" s="65" t="str">
        <f aca="false">IF($A255="","",IF(OR($C255="Decision",$C255="Conflict"),IF(COUNTIFS($I$2:$I$1001,$A255,$C$2:$C$1001,"Resolved")=0,"Open","Closed"),IF(AND($H255="Unconfirmed",OR($C255="New",$C255="Know")),IF(COUNTIFS($I$2:$I$1001,$A255,$C$2:$C$1001,"Confirmed")=0,"Unconfirmed","Confirmed"),"Logged")))</f>
        <v/>
      </c>
      <c r="L255" s="65" t="str">
        <f aca="false">IF($A255="","",AsOf-$B255)</f>
        <v/>
      </c>
      <c r="M255" s="65" t="str">
        <f aca="false">IF($K255="Open",IF($C255="Conflict","Critical",IF($L255&gt;=DecisionCritical,"Critical",IF($L255&gt;=DecisionWarn,"Warning","On track"))),IF($K255="Unconfirmed",IF($L255&gt;=UnconfirmedWarn,"Warning","On track"),""))</f>
        <v/>
      </c>
      <c r="N255" s="65" t="str">
        <f aca="false">IF($M255="","",IF($M255="Critical",3000,IF($M255="Warning",2000,1000))+$L255+ROW()/100000)</f>
        <v/>
      </c>
      <c r="O255" s="65" t="str">
        <f aca="false">IF($K255="Open",IF($C255="Conflict","decide "&amp;$A255&amp;": &lt;which version stands&gt;","decide "&amp;$A255&amp;": &lt;outcome&gt;"),IF($K255="Unconfirmed","confirm "&amp;$A255,""))</f>
        <v/>
      </c>
      <c r="P255" s="65" t="str">
        <f aca="false">IF(AND($C255="New",$B255&gt;=WeekStart),$B255+ROW()/100000,"")</f>
        <v/>
      </c>
      <c r="Q255" s="65" t="str">
        <f aca="false">IF(AND($C255="Know",$B255&gt;=WeekStart),$B255+ROW()/100000,"")</f>
        <v/>
      </c>
      <c r="R255" s="65" t="str">
        <f aca="false">IF(AND($K255="Open",$C255="Decision"),$L255+ROW()/100000,"")</f>
        <v/>
      </c>
      <c r="S255" s="65" t="str">
        <f aca="false">IF(AND($J255&lt;&gt;"",$J255=UCSel),$B255+ROW()/100000,"")</f>
        <v/>
      </c>
    </row>
    <row r="256" customFormat="false" ht="15" hidden="false" customHeight="false" outlineLevel="0" collapsed="false">
      <c r="A256" s="28"/>
      <c r="B256" s="63"/>
      <c r="C256" s="64"/>
      <c r="D256" s="28"/>
      <c r="E256" s="28"/>
      <c r="F256" s="28"/>
      <c r="G256" s="64"/>
      <c r="H256" s="64"/>
      <c r="I256" s="28"/>
      <c r="J256" s="28"/>
      <c r="K256" s="65" t="str">
        <f aca="false">IF($A256="","",IF(OR($C256="Decision",$C256="Conflict"),IF(COUNTIFS($I$2:$I$1001,$A256,$C$2:$C$1001,"Resolved")=0,"Open","Closed"),IF(AND($H256="Unconfirmed",OR($C256="New",$C256="Know")),IF(COUNTIFS($I$2:$I$1001,$A256,$C$2:$C$1001,"Confirmed")=0,"Unconfirmed","Confirmed"),"Logged")))</f>
        <v/>
      </c>
      <c r="L256" s="65" t="str">
        <f aca="false">IF($A256="","",AsOf-$B256)</f>
        <v/>
      </c>
      <c r="M256" s="65" t="str">
        <f aca="false">IF($K256="Open",IF($C256="Conflict","Critical",IF($L256&gt;=DecisionCritical,"Critical",IF($L256&gt;=DecisionWarn,"Warning","On track"))),IF($K256="Unconfirmed",IF($L256&gt;=UnconfirmedWarn,"Warning","On track"),""))</f>
        <v/>
      </c>
      <c r="N256" s="65" t="str">
        <f aca="false">IF($M256="","",IF($M256="Critical",3000,IF($M256="Warning",2000,1000))+$L256+ROW()/100000)</f>
        <v/>
      </c>
      <c r="O256" s="65" t="str">
        <f aca="false">IF($K256="Open",IF($C256="Conflict","decide "&amp;$A256&amp;": &lt;which version stands&gt;","decide "&amp;$A256&amp;": &lt;outcome&gt;"),IF($K256="Unconfirmed","confirm "&amp;$A256,""))</f>
        <v/>
      </c>
      <c r="P256" s="65" t="str">
        <f aca="false">IF(AND($C256="New",$B256&gt;=WeekStart),$B256+ROW()/100000,"")</f>
        <v/>
      </c>
      <c r="Q256" s="65" t="str">
        <f aca="false">IF(AND($C256="Know",$B256&gt;=WeekStart),$B256+ROW()/100000,"")</f>
        <v/>
      </c>
      <c r="R256" s="65" t="str">
        <f aca="false">IF(AND($K256="Open",$C256="Decision"),$L256+ROW()/100000,"")</f>
        <v/>
      </c>
      <c r="S256" s="65" t="str">
        <f aca="false">IF(AND($J256&lt;&gt;"",$J256=UCSel),$B256+ROW()/100000,"")</f>
        <v/>
      </c>
    </row>
    <row r="257" customFormat="false" ht="15" hidden="false" customHeight="false" outlineLevel="0" collapsed="false">
      <c r="A257" s="28"/>
      <c r="B257" s="63"/>
      <c r="C257" s="64"/>
      <c r="D257" s="28"/>
      <c r="E257" s="28"/>
      <c r="F257" s="28"/>
      <c r="G257" s="64"/>
      <c r="H257" s="64"/>
      <c r="I257" s="28"/>
      <c r="J257" s="28"/>
      <c r="K257" s="65" t="str">
        <f aca="false">IF($A257="","",IF(OR($C257="Decision",$C257="Conflict"),IF(COUNTIFS($I$2:$I$1001,$A257,$C$2:$C$1001,"Resolved")=0,"Open","Closed"),IF(AND($H257="Unconfirmed",OR($C257="New",$C257="Know")),IF(COUNTIFS($I$2:$I$1001,$A257,$C$2:$C$1001,"Confirmed")=0,"Unconfirmed","Confirmed"),"Logged")))</f>
        <v/>
      </c>
      <c r="L257" s="65" t="str">
        <f aca="false">IF($A257="","",AsOf-$B257)</f>
        <v/>
      </c>
      <c r="M257" s="65" t="str">
        <f aca="false">IF($K257="Open",IF($C257="Conflict","Critical",IF($L257&gt;=DecisionCritical,"Critical",IF($L257&gt;=DecisionWarn,"Warning","On track"))),IF($K257="Unconfirmed",IF($L257&gt;=UnconfirmedWarn,"Warning","On track"),""))</f>
        <v/>
      </c>
      <c r="N257" s="65" t="str">
        <f aca="false">IF($M257="","",IF($M257="Critical",3000,IF($M257="Warning",2000,1000))+$L257+ROW()/100000)</f>
        <v/>
      </c>
      <c r="O257" s="65" t="str">
        <f aca="false">IF($K257="Open",IF($C257="Conflict","decide "&amp;$A257&amp;": &lt;which version stands&gt;","decide "&amp;$A257&amp;": &lt;outcome&gt;"),IF($K257="Unconfirmed","confirm "&amp;$A257,""))</f>
        <v/>
      </c>
      <c r="P257" s="65" t="str">
        <f aca="false">IF(AND($C257="New",$B257&gt;=WeekStart),$B257+ROW()/100000,"")</f>
        <v/>
      </c>
      <c r="Q257" s="65" t="str">
        <f aca="false">IF(AND($C257="Know",$B257&gt;=WeekStart),$B257+ROW()/100000,"")</f>
        <v/>
      </c>
      <c r="R257" s="65" t="str">
        <f aca="false">IF(AND($K257="Open",$C257="Decision"),$L257+ROW()/100000,"")</f>
        <v/>
      </c>
      <c r="S257" s="65" t="str">
        <f aca="false">IF(AND($J257&lt;&gt;"",$J257=UCSel),$B257+ROW()/100000,"")</f>
        <v/>
      </c>
    </row>
    <row r="258" customFormat="false" ht="15" hidden="false" customHeight="false" outlineLevel="0" collapsed="false">
      <c r="A258" s="28"/>
      <c r="B258" s="63"/>
      <c r="C258" s="64"/>
      <c r="D258" s="28"/>
      <c r="E258" s="28"/>
      <c r="F258" s="28"/>
      <c r="G258" s="64"/>
      <c r="H258" s="64"/>
      <c r="I258" s="28"/>
      <c r="J258" s="28"/>
      <c r="K258" s="65" t="str">
        <f aca="false">IF($A258="","",IF(OR($C258="Decision",$C258="Conflict"),IF(COUNTIFS($I$2:$I$1001,$A258,$C$2:$C$1001,"Resolved")=0,"Open","Closed"),IF(AND($H258="Unconfirmed",OR($C258="New",$C258="Know")),IF(COUNTIFS($I$2:$I$1001,$A258,$C$2:$C$1001,"Confirmed")=0,"Unconfirmed","Confirmed"),"Logged")))</f>
        <v/>
      </c>
      <c r="L258" s="65" t="str">
        <f aca="false">IF($A258="","",AsOf-$B258)</f>
        <v/>
      </c>
      <c r="M258" s="65" t="str">
        <f aca="false">IF($K258="Open",IF($C258="Conflict","Critical",IF($L258&gt;=DecisionCritical,"Critical",IF($L258&gt;=DecisionWarn,"Warning","On track"))),IF($K258="Unconfirmed",IF($L258&gt;=UnconfirmedWarn,"Warning","On track"),""))</f>
        <v/>
      </c>
      <c r="N258" s="65" t="str">
        <f aca="false">IF($M258="","",IF($M258="Critical",3000,IF($M258="Warning",2000,1000))+$L258+ROW()/100000)</f>
        <v/>
      </c>
      <c r="O258" s="65" t="str">
        <f aca="false">IF($K258="Open",IF($C258="Conflict","decide "&amp;$A258&amp;": &lt;which version stands&gt;","decide "&amp;$A258&amp;": &lt;outcome&gt;"),IF($K258="Unconfirmed","confirm "&amp;$A258,""))</f>
        <v/>
      </c>
      <c r="P258" s="65" t="str">
        <f aca="false">IF(AND($C258="New",$B258&gt;=WeekStart),$B258+ROW()/100000,"")</f>
        <v/>
      </c>
      <c r="Q258" s="65" t="str">
        <f aca="false">IF(AND($C258="Know",$B258&gt;=WeekStart),$B258+ROW()/100000,"")</f>
        <v/>
      </c>
      <c r="R258" s="65" t="str">
        <f aca="false">IF(AND($K258="Open",$C258="Decision"),$L258+ROW()/100000,"")</f>
        <v/>
      </c>
      <c r="S258" s="65" t="str">
        <f aca="false">IF(AND($J258&lt;&gt;"",$J258=UCSel),$B258+ROW()/100000,"")</f>
        <v/>
      </c>
    </row>
    <row r="259" customFormat="false" ht="15" hidden="false" customHeight="false" outlineLevel="0" collapsed="false">
      <c r="A259" s="28"/>
      <c r="B259" s="63"/>
      <c r="C259" s="64"/>
      <c r="D259" s="28"/>
      <c r="E259" s="28"/>
      <c r="F259" s="28"/>
      <c r="G259" s="64"/>
      <c r="H259" s="64"/>
      <c r="I259" s="28"/>
      <c r="J259" s="28"/>
      <c r="K259" s="65" t="str">
        <f aca="false">IF($A259="","",IF(OR($C259="Decision",$C259="Conflict"),IF(COUNTIFS($I$2:$I$1001,$A259,$C$2:$C$1001,"Resolved")=0,"Open","Closed"),IF(AND($H259="Unconfirmed",OR($C259="New",$C259="Know")),IF(COUNTIFS($I$2:$I$1001,$A259,$C$2:$C$1001,"Confirmed")=0,"Unconfirmed","Confirmed"),"Logged")))</f>
        <v/>
      </c>
      <c r="L259" s="65" t="str">
        <f aca="false">IF($A259="","",AsOf-$B259)</f>
        <v/>
      </c>
      <c r="M259" s="65" t="str">
        <f aca="false">IF($K259="Open",IF($C259="Conflict","Critical",IF($L259&gt;=DecisionCritical,"Critical",IF($L259&gt;=DecisionWarn,"Warning","On track"))),IF($K259="Unconfirmed",IF($L259&gt;=UnconfirmedWarn,"Warning","On track"),""))</f>
        <v/>
      </c>
      <c r="N259" s="65" t="str">
        <f aca="false">IF($M259="","",IF($M259="Critical",3000,IF($M259="Warning",2000,1000))+$L259+ROW()/100000)</f>
        <v/>
      </c>
      <c r="O259" s="65" t="str">
        <f aca="false">IF($K259="Open",IF($C259="Conflict","decide "&amp;$A259&amp;": &lt;which version stands&gt;","decide "&amp;$A259&amp;": &lt;outcome&gt;"),IF($K259="Unconfirmed","confirm "&amp;$A259,""))</f>
        <v/>
      </c>
      <c r="P259" s="65" t="str">
        <f aca="false">IF(AND($C259="New",$B259&gt;=WeekStart),$B259+ROW()/100000,"")</f>
        <v/>
      </c>
      <c r="Q259" s="65" t="str">
        <f aca="false">IF(AND($C259="Know",$B259&gt;=WeekStart),$B259+ROW()/100000,"")</f>
        <v/>
      </c>
      <c r="R259" s="65" t="str">
        <f aca="false">IF(AND($K259="Open",$C259="Decision"),$L259+ROW()/100000,"")</f>
        <v/>
      </c>
      <c r="S259" s="65" t="str">
        <f aca="false">IF(AND($J259&lt;&gt;"",$J259=UCSel),$B259+ROW()/100000,"")</f>
        <v/>
      </c>
    </row>
    <row r="260" customFormat="false" ht="15" hidden="false" customHeight="false" outlineLevel="0" collapsed="false">
      <c r="A260" s="28"/>
      <c r="B260" s="63"/>
      <c r="C260" s="64"/>
      <c r="D260" s="28"/>
      <c r="E260" s="28"/>
      <c r="F260" s="28"/>
      <c r="G260" s="64"/>
      <c r="H260" s="64"/>
      <c r="I260" s="28"/>
      <c r="J260" s="28"/>
      <c r="K260" s="65" t="str">
        <f aca="false">IF($A260="","",IF(OR($C260="Decision",$C260="Conflict"),IF(COUNTIFS($I$2:$I$1001,$A260,$C$2:$C$1001,"Resolved")=0,"Open","Closed"),IF(AND($H260="Unconfirmed",OR($C260="New",$C260="Know")),IF(COUNTIFS($I$2:$I$1001,$A260,$C$2:$C$1001,"Confirmed")=0,"Unconfirmed","Confirmed"),"Logged")))</f>
        <v/>
      </c>
      <c r="L260" s="65" t="str">
        <f aca="false">IF($A260="","",AsOf-$B260)</f>
        <v/>
      </c>
      <c r="M260" s="65" t="str">
        <f aca="false">IF($K260="Open",IF($C260="Conflict","Critical",IF($L260&gt;=DecisionCritical,"Critical",IF($L260&gt;=DecisionWarn,"Warning","On track"))),IF($K260="Unconfirmed",IF($L260&gt;=UnconfirmedWarn,"Warning","On track"),""))</f>
        <v/>
      </c>
      <c r="N260" s="65" t="str">
        <f aca="false">IF($M260="","",IF($M260="Critical",3000,IF($M260="Warning",2000,1000))+$L260+ROW()/100000)</f>
        <v/>
      </c>
      <c r="O260" s="65" t="str">
        <f aca="false">IF($K260="Open",IF($C260="Conflict","decide "&amp;$A260&amp;": &lt;which version stands&gt;","decide "&amp;$A260&amp;": &lt;outcome&gt;"),IF($K260="Unconfirmed","confirm "&amp;$A260,""))</f>
        <v/>
      </c>
      <c r="P260" s="65" t="str">
        <f aca="false">IF(AND($C260="New",$B260&gt;=WeekStart),$B260+ROW()/100000,"")</f>
        <v/>
      </c>
      <c r="Q260" s="65" t="str">
        <f aca="false">IF(AND($C260="Know",$B260&gt;=WeekStart),$B260+ROW()/100000,"")</f>
        <v/>
      </c>
      <c r="R260" s="65" t="str">
        <f aca="false">IF(AND($K260="Open",$C260="Decision"),$L260+ROW()/100000,"")</f>
        <v/>
      </c>
      <c r="S260" s="65" t="str">
        <f aca="false">IF(AND($J260&lt;&gt;"",$J260=UCSel),$B260+ROW()/100000,"")</f>
        <v/>
      </c>
    </row>
    <row r="261" customFormat="false" ht="15" hidden="false" customHeight="false" outlineLevel="0" collapsed="false">
      <c r="A261" s="28"/>
      <c r="B261" s="63"/>
      <c r="C261" s="64"/>
      <c r="D261" s="28"/>
      <c r="E261" s="28"/>
      <c r="F261" s="28"/>
      <c r="G261" s="64"/>
      <c r="H261" s="64"/>
      <c r="I261" s="28"/>
      <c r="J261" s="28"/>
      <c r="K261" s="65" t="str">
        <f aca="false">IF($A261="","",IF(OR($C261="Decision",$C261="Conflict"),IF(COUNTIFS($I$2:$I$1001,$A261,$C$2:$C$1001,"Resolved")=0,"Open","Closed"),IF(AND($H261="Unconfirmed",OR($C261="New",$C261="Know")),IF(COUNTIFS($I$2:$I$1001,$A261,$C$2:$C$1001,"Confirmed")=0,"Unconfirmed","Confirmed"),"Logged")))</f>
        <v/>
      </c>
      <c r="L261" s="65" t="str">
        <f aca="false">IF($A261="","",AsOf-$B261)</f>
        <v/>
      </c>
      <c r="M261" s="65" t="str">
        <f aca="false">IF($K261="Open",IF($C261="Conflict","Critical",IF($L261&gt;=DecisionCritical,"Critical",IF($L261&gt;=DecisionWarn,"Warning","On track"))),IF($K261="Unconfirmed",IF($L261&gt;=UnconfirmedWarn,"Warning","On track"),""))</f>
        <v/>
      </c>
      <c r="N261" s="65" t="str">
        <f aca="false">IF($M261="","",IF($M261="Critical",3000,IF($M261="Warning",2000,1000))+$L261+ROW()/100000)</f>
        <v/>
      </c>
      <c r="O261" s="65" t="str">
        <f aca="false">IF($K261="Open",IF($C261="Conflict","decide "&amp;$A261&amp;": &lt;which version stands&gt;","decide "&amp;$A261&amp;": &lt;outcome&gt;"),IF($K261="Unconfirmed","confirm "&amp;$A261,""))</f>
        <v/>
      </c>
      <c r="P261" s="65" t="str">
        <f aca="false">IF(AND($C261="New",$B261&gt;=WeekStart),$B261+ROW()/100000,"")</f>
        <v/>
      </c>
      <c r="Q261" s="65" t="str">
        <f aca="false">IF(AND($C261="Know",$B261&gt;=WeekStart),$B261+ROW()/100000,"")</f>
        <v/>
      </c>
      <c r="R261" s="65" t="str">
        <f aca="false">IF(AND($K261="Open",$C261="Decision"),$L261+ROW()/100000,"")</f>
        <v/>
      </c>
      <c r="S261" s="65" t="str">
        <f aca="false">IF(AND($J261&lt;&gt;"",$J261=UCSel),$B261+ROW()/100000,"")</f>
        <v/>
      </c>
    </row>
    <row r="262" customFormat="false" ht="15" hidden="false" customHeight="false" outlineLevel="0" collapsed="false">
      <c r="A262" s="28"/>
      <c r="B262" s="63"/>
      <c r="C262" s="64"/>
      <c r="D262" s="28"/>
      <c r="E262" s="28"/>
      <c r="F262" s="28"/>
      <c r="G262" s="64"/>
      <c r="H262" s="64"/>
      <c r="I262" s="28"/>
      <c r="J262" s="28"/>
      <c r="K262" s="65" t="str">
        <f aca="false">IF($A262="","",IF(OR($C262="Decision",$C262="Conflict"),IF(COUNTIFS($I$2:$I$1001,$A262,$C$2:$C$1001,"Resolved")=0,"Open","Closed"),IF(AND($H262="Unconfirmed",OR($C262="New",$C262="Know")),IF(COUNTIFS($I$2:$I$1001,$A262,$C$2:$C$1001,"Confirmed")=0,"Unconfirmed","Confirmed"),"Logged")))</f>
        <v/>
      </c>
      <c r="L262" s="65" t="str">
        <f aca="false">IF($A262="","",AsOf-$B262)</f>
        <v/>
      </c>
      <c r="M262" s="65" t="str">
        <f aca="false">IF($K262="Open",IF($C262="Conflict","Critical",IF($L262&gt;=DecisionCritical,"Critical",IF($L262&gt;=DecisionWarn,"Warning","On track"))),IF($K262="Unconfirmed",IF($L262&gt;=UnconfirmedWarn,"Warning","On track"),""))</f>
        <v/>
      </c>
      <c r="N262" s="65" t="str">
        <f aca="false">IF($M262="","",IF($M262="Critical",3000,IF($M262="Warning",2000,1000))+$L262+ROW()/100000)</f>
        <v/>
      </c>
      <c r="O262" s="65" t="str">
        <f aca="false">IF($K262="Open",IF($C262="Conflict","decide "&amp;$A262&amp;": &lt;which version stands&gt;","decide "&amp;$A262&amp;": &lt;outcome&gt;"),IF($K262="Unconfirmed","confirm "&amp;$A262,""))</f>
        <v/>
      </c>
      <c r="P262" s="65" t="str">
        <f aca="false">IF(AND($C262="New",$B262&gt;=WeekStart),$B262+ROW()/100000,"")</f>
        <v/>
      </c>
      <c r="Q262" s="65" t="str">
        <f aca="false">IF(AND($C262="Know",$B262&gt;=WeekStart),$B262+ROW()/100000,"")</f>
        <v/>
      </c>
      <c r="R262" s="65" t="str">
        <f aca="false">IF(AND($K262="Open",$C262="Decision"),$L262+ROW()/100000,"")</f>
        <v/>
      </c>
      <c r="S262" s="65" t="str">
        <f aca="false">IF(AND($J262&lt;&gt;"",$J262=UCSel),$B262+ROW()/100000,"")</f>
        <v/>
      </c>
    </row>
    <row r="263" customFormat="false" ht="15" hidden="false" customHeight="false" outlineLevel="0" collapsed="false">
      <c r="A263" s="28"/>
      <c r="B263" s="63"/>
      <c r="C263" s="64"/>
      <c r="D263" s="28"/>
      <c r="E263" s="28"/>
      <c r="F263" s="28"/>
      <c r="G263" s="64"/>
      <c r="H263" s="64"/>
      <c r="I263" s="28"/>
      <c r="J263" s="28"/>
      <c r="K263" s="65" t="str">
        <f aca="false">IF($A263="","",IF(OR($C263="Decision",$C263="Conflict"),IF(COUNTIFS($I$2:$I$1001,$A263,$C$2:$C$1001,"Resolved")=0,"Open","Closed"),IF(AND($H263="Unconfirmed",OR($C263="New",$C263="Know")),IF(COUNTIFS($I$2:$I$1001,$A263,$C$2:$C$1001,"Confirmed")=0,"Unconfirmed","Confirmed"),"Logged")))</f>
        <v/>
      </c>
      <c r="L263" s="65" t="str">
        <f aca="false">IF($A263="","",AsOf-$B263)</f>
        <v/>
      </c>
      <c r="M263" s="65" t="str">
        <f aca="false">IF($K263="Open",IF($C263="Conflict","Critical",IF($L263&gt;=DecisionCritical,"Critical",IF($L263&gt;=DecisionWarn,"Warning","On track"))),IF($K263="Unconfirmed",IF($L263&gt;=UnconfirmedWarn,"Warning","On track"),""))</f>
        <v/>
      </c>
      <c r="N263" s="65" t="str">
        <f aca="false">IF($M263="","",IF($M263="Critical",3000,IF($M263="Warning",2000,1000))+$L263+ROW()/100000)</f>
        <v/>
      </c>
      <c r="O263" s="65" t="str">
        <f aca="false">IF($K263="Open",IF($C263="Conflict","decide "&amp;$A263&amp;": &lt;which version stands&gt;","decide "&amp;$A263&amp;": &lt;outcome&gt;"),IF($K263="Unconfirmed","confirm "&amp;$A263,""))</f>
        <v/>
      </c>
      <c r="P263" s="65" t="str">
        <f aca="false">IF(AND($C263="New",$B263&gt;=WeekStart),$B263+ROW()/100000,"")</f>
        <v/>
      </c>
      <c r="Q263" s="65" t="str">
        <f aca="false">IF(AND($C263="Know",$B263&gt;=WeekStart),$B263+ROW()/100000,"")</f>
        <v/>
      </c>
      <c r="R263" s="65" t="str">
        <f aca="false">IF(AND($K263="Open",$C263="Decision"),$L263+ROW()/100000,"")</f>
        <v/>
      </c>
      <c r="S263" s="65" t="str">
        <f aca="false">IF(AND($J263&lt;&gt;"",$J263=UCSel),$B263+ROW()/100000,"")</f>
        <v/>
      </c>
    </row>
    <row r="264" customFormat="false" ht="15" hidden="false" customHeight="false" outlineLevel="0" collapsed="false">
      <c r="A264" s="28"/>
      <c r="B264" s="63"/>
      <c r="C264" s="64"/>
      <c r="D264" s="28"/>
      <c r="E264" s="28"/>
      <c r="F264" s="28"/>
      <c r="G264" s="64"/>
      <c r="H264" s="64"/>
      <c r="I264" s="28"/>
      <c r="J264" s="28"/>
      <c r="K264" s="65" t="str">
        <f aca="false">IF($A264="","",IF(OR($C264="Decision",$C264="Conflict"),IF(COUNTIFS($I$2:$I$1001,$A264,$C$2:$C$1001,"Resolved")=0,"Open","Closed"),IF(AND($H264="Unconfirmed",OR($C264="New",$C264="Know")),IF(COUNTIFS($I$2:$I$1001,$A264,$C$2:$C$1001,"Confirmed")=0,"Unconfirmed","Confirmed"),"Logged")))</f>
        <v/>
      </c>
      <c r="L264" s="65" t="str">
        <f aca="false">IF($A264="","",AsOf-$B264)</f>
        <v/>
      </c>
      <c r="M264" s="65" t="str">
        <f aca="false">IF($K264="Open",IF($C264="Conflict","Critical",IF($L264&gt;=DecisionCritical,"Critical",IF($L264&gt;=DecisionWarn,"Warning","On track"))),IF($K264="Unconfirmed",IF($L264&gt;=UnconfirmedWarn,"Warning","On track"),""))</f>
        <v/>
      </c>
      <c r="N264" s="65" t="str">
        <f aca="false">IF($M264="","",IF($M264="Critical",3000,IF($M264="Warning",2000,1000))+$L264+ROW()/100000)</f>
        <v/>
      </c>
      <c r="O264" s="65" t="str">
        <f aca="false">IF($K264="Open",IF($C264="Conflict","decide "&amp;$A264&amp;": &lt;which version stands&gt;","decide "&amp;$A264&amp;": &lt;outcome&gt;"),IF($K264="Unconfirmed","confirm "&amp;$A264,""))</f>
        <v/>
      </c>
      <c r="P264" s="65" t="str">
        <f aca="false">IF(AND($C264="New",$B264&gt;=WeekStart),$B264+ROW()/100000,"")</f>
        <v/>
      </c>
      <c r="Q264" s="65" t="str">
        <f aca="false">IF(AND($C264="Know",$B264&gt;=WeekStart),$B264+ROW()/100000,"")</f>
        <v/>
      </c>
      <c r="R264" s="65" t="str">
        <f aca="false">IF(AND($K264="Open",$C264="Decision"),$L264+ROW()/100000,"")</f>
        <v/>
      </c>
      <c r="S264" s="65" t="str">
        <f aca="false">IF(AND($J264&lt;&gt;"",$J264=UCSel),$B264+ROW()/100000,"")</f>
        <v/>
      </c>
    </row>
    <row r="265" customFormat="false" ht="15" hidden="false" customHeight="false" outlineLevel="0" collapsed="false">
      <c r="A265" s="28"/>
      <c r="B265" s="63"/>
      <c r="C265" s="64"/>
      <c r="D265" s="28"/>
      <c r="E265" s="28"/>
      <c r="F265" s="28"/>
      <c r="G265" s="64"/>
      <c r="H265" s="64"/>
      <c r="I265" s="28"/>
      <c r="J265" s="28"/>
      <c r="K265" s="65" t="str">
        <f aca="false">IF($A265="","",IF(OR($C265="Decision",$C265="Conflict"),IF(COUNTIFS($I$2:$I$1001,$A265,$C$2:$C$1001,"Resolved")=0,"Open","Closed"),IF(AND($H265="Unconfirmed",OR($C265="New",$C265="Know")),IF(COUNTIFS($I$2:$I$1001,$A265,$C$2:$C$1001,"Confirmed")=0,"Unconfirmed","Confirmed"),"Logged")))</f>
        <v/>
      </c>
      <c r="L265" s="65" t="str">
        <f aca="false">IF($A265="","",AsOf-$B265)</f>
        <v/>
      </c>
      <c r="M265" s="65" t="str">
        <f aca="false">IF($K265="Open",IF($C265="Conflict","Critical",IF($L265&gt;=DecisionCritical,"Critical",IF($L265&gt;=DecisionWarn,"Warning","On track"))),IF($K265="Unconfirmed",IF($L265&gt;=UnconfirmedWarn,"Warning","On track"),""))</f>
        <v/>
      </c>
      <c r="N265" s="65" t="str">
        <f aca="false">IF($M265="","",IF($M265="Critical",3000,IF($M265="Warning",2000,1000))+$L265+ROW()/100000)</f>
        <v/>
      </c>
      <c r="O265" s="65" t="str">
        <f aca="false">IF($K265="Open",IF($C265="Conflict","decide "&amp;$A265&amp;": &lt;which version stands&gt;","decide "&amp;$A265&amp;": &lt;outcome&gt;"),IF($K265="Unconfirmed","confirm "&amp;$A265,""))</f>
        <v/>
      </c>
      <c r="P265" s="65" t="str">
        <f aca="false">IF(AND($C265="New",$B265&gt;=WeekStart),$B265+ROW()/100000,"")</f>
        <v/>
      </c>
      <c r="Q265" s="65" t="str">
        <f aca="false">IF(AND($C265="Know",$B265&gt;=WeekStart),$B265+ROW()/100000,"")</f>
        <v/>
      </c>
      <c r="R265" s="65" t="str">
        <f aca="false">IF(AND($K265="Open",$C265="Decision"),$L265+ROW()/100000,"")</f>
        <v/>
      </c>
      <c r="S265" s="65" t="str">
        <f aca="false">IF(AND($J265&lt;&gt;"",$J265=UCSel),$B265+ROW()/100000,"")</f>
        <v/>
      </c>
    </row>
    <row r="266" customFormat="false" ht="15" hidden="false" customHeight="false" outlineLevel="0" collapsed="false">
      <c r="A266" s="28"/>
      <c r="B266" s="63"/>
      <c r="C266" s="64"/>
      <c r="D266" s="28"/>
      <c r="E266" s="28"/>
      <c r="F266" s="28"/>
      <c r="G266" s="64"/>
      <c r="H266" s="64"/>
      <c r="I266" s="28"/>
      <c r="J266" s="28"/>
      <c r="K266" s="65" t="str">
        <f aca="false">IF($A266="","",IF(OR($C266="Decision",$C266="Conflict"),IF(COUNTIFS($I$2:$I$1001,$A266,$C$2:$C$1001,"Resolved")=0,"Open","Closed"),IF(AND($H266="Unconfirmed",OR($C266="New",$C266="Know")),IF(COUNTIFS($I$2:$I$1001,$A266,$C$2:$C$1001,"Confirmed")=0,"Unconfirmed","Confirmed"),"Logged")))</f>
        <v/>
      </c>
      <c r="L266" s="65" t="str">
        <f aca="false">IF($A266="","",AsOf-$B266)</f>
        <v/>
      </c>
      <c r="M266" s="65" t="str">
        <f aca="false">IF($K266="Open",IF($C266="Conflict","Critical",IF($L266&gt;=DecisionCritical,"Critical",IF($L266&gt;=DecisionWarn,"Warning","On track"))),IF($K266="Unconfirmed",IF($L266&gt;=UnconfirmedWarn,"Warning","On track"),""))</f>
        <v/>
      </c>
      <c r="N266" s="65" t="str">
        <f aca="false">IF($M266="","",IF($M266="Critical",3000,IF($M266="Warning",2000,1000))+$L266+ROW()/100000)</f>
        <v/>
      </c>
      <c r="O266" s="65" t="str">
        <f aca="false">IF($K266="Open",IF($C266="Conflict","decide "&amp;$A266&amp;": &lt;which version stands&gt;","decide "&amp;$A266&amp;": &lt;outcome&gt;"),IF($K266="Unconfirmed","confirm "&amp;$A266,""))</f>
        <v/>
      </c>
      <c r="P266" s="65" t="str">
        <f aca="false">IF(AND($C266="New",$B266&gt;=WeekStart),$B266+ROW()/100000,"")</f>
        <v/>
      </c>
      <c r="Q266" s="65" t="str">
        <f aca="false">IF(AND($C266="Know",$B266&gt;=WeekStart),$B266+ROW()/100000,"")</f>
        <v/>
      </c>
      <c r="R266" s="65" t="str">
        <f aca="false">IF(AND($K266="Open",$C266="Decision"),$L266+ROW()/100000,"")</f>
        <v/>
      </c>
      <c r="S266" s="65" t="str">
        <f aca="false">IF(AND($J266&lt;&gt;"",$J266=UCSel),$B266+ROW()/100000,"")</f>
        <v/>
      </c>
    </row>
    <row r="267" customFormat="false" ht="15" hidden="false" customHeight="false" outlineLevel="0" collapsed="false">
      <c r="A267" s="28"/>
      <c r="B267" s="63"/>
      <c r="C267" s="64"/>
      <c r="D267" s="28"/>
      <c r="E267" s="28"/>
      <c r="F267" s="28"/>
      <c r="G267" s="64"/>
      <c r="H267" s="64"/>
      <c r="I267" s="28"/>
      <c r="J267" s="28"/>
      <c r="K267" s="65" t="str">
        <f aca="false">IF($A267="","",IF(OR($C267="Decision",$C267="Conflict"),IF(COUNTIFS($I$2:$I$1001,$A267,$C$2:$C$1001,"Resolved")=0,"Open","Closed"),IF(AND($H267="Unconfirmed",OR($C267="New",$C267="Know")),IF(COUNTIFS($I$2:$I$1001,$A267,$C$2:$C$1001,"Confirmed")=0,"Unconfirmed","Confirmed"),"Logged")))</f>
        <v/>
      </c>
      <c r="L267" s="65" t="str">
        <f aca="false">IF($A267="","",AsOf-$B267)</f>
        <v/>
      </c>
      <c r="M267" s="65" t="str">
        <f aca="false">IF($K267="Open",IF($C267="Conflict","Critical",IF($L267&gt;=DecisionCritical,"Critical",IF($L267&gt;=DecisionWarn,"Warning","On track"))),IF($K267="Unconfirmed",IF($L267&gt;=UnconfirmedWarn,"Warning","On track"),""))</f>
        <v/>
      </c>
      <c r="N267" s="65" t="str">
        <f aca="false">IF($M267="","",IF($M267="Critical",3000,IF($M267="Warning",2000,1000))+$L267+ROW()/100000)</f>
        <v/>
      </c>
      <c r="O267" s="65" t="str">
        <f aca="false">IF($K267="Open",IF($C267="Conflict","decide "&amp;$A267&amp;": &lt;which version stands&gt;","decide "&amp;$A267&amp;": &lt;outcome&gt;"),IF($K267="Unconfirmed","confirm "&amp;$A267,""))</f>
        <v/>
      </c>
      <c r="P267" s="65" t="str">
        <f aca="false">IF(AND($C267="New",$B267&gt;=WeekStart),$B267+ROW()/100000,"")</f>
        <v/>
      </c>
      <c r="Q267" s="65" t="str">
        <f aca="false">IF(AND($C267="Know",$B267&gt;=WeekStart),$B267+ROW()/100000,"")</f>
        <v/>
      </c>
      <c r="R267" s="65" t="str">
        <f aca="false">IF(AND($K267="Open",$C267="Decision"),$L267+ROW()/100000,"")</f>
        <v/>
      </c>
      <c r="S267" s="65" t="str">
        <f aca="false">IF(AND($J267&lt;&gt;"",$J267=UCSel),$B267+ROW()/100000,"")</f>
        <v/>
      </c>
    </row>
    <row r="268" customFormat="false" ht="15" hidden="false" customHeight="false" outlineLevel="0" collapsed="false">
      <c r="A268" s="28"/>
      <c r="B268" s="63"/>
      <c r="C268" s="64"/>
      <c r="D268" s="28"/>
      <c r="E268" s="28"/>
      <c r="F268" s="28"/>
      <c r="G268" s="64"/>
      <c r="H268" s="64"/>
      <c r="I268" s="28"/>
      <c r="J268" s="28"/>
      <c r="K268" s="65" t="str">
        <f aca="false">IF($A268="","",IF(OR($C268="Decision",$C268="Conflict"),IF(COUNTIFS($I$2:$I$1001,$A268,$C$2:$C$1001,"Resolved")=0,"Open","Closed"),IF(AND($H268="Unconfirmed",OR($C268="New",$C268="Know")),IF(COUNTIFS($I$2:$I$1001,$A268,$C$2:$C$1001,"Confirmed")=0,"Unconfirmed","Confirmed"),"Logged")))</f>
        <v/>
      </c>
      <c r="L268" s="65" t="str">
        <f aca="false">IF($A268="","",AsOf-$B268)</f>
        <v/>
      </c>
      <c r="M268" s="65" t="str">
        <f aca="false">IF($K268="Open",IF($C268="Conflict","Critical",IF($L268&gt;=DecisionCritical,"Critical",IF($L268&gt;=DecisionWarn,"Warning","On track"))),IF($K268="Unconfirmed",IF($L268&gt;=UnconfirmedWarn,"Warning","On track"),""))</f>
        <v/>
      </c>
      <c r="N268" s="65" t="str">
        <f aca="false">IF($M268="","",IF($M268="Critical",3000,IF($M268="Warning",2000,1000))+$L268+ROW()/100000)</f>
        <v/>
      </c>
      <c r="O268" s="65" t="str">
        <f aca="false">IF($K268="Open",IF($C268="Conflict","decide "&amp;$A268&amp;": &lt;which version stands&gt;","decide "&amp;$A268&amp;": &lt;outcome&gt;"),IF($K268="Unconfirmed","confirm "&amp;$A268,""))</f>
        <v/>
      </c>
      <c r="P268" s="65" t="str">
        <f aca="false">IF(AND($C268="New",$B268&gt;=WeekStart),$B268+ROW()/100000,"")</f>
        <v/>
      </c>
      <c r="Q268" s="65" t="str">
        <f aca="false">IF(AND($C268="Know",$B268&gt;=WeekStart),$B268+ROW()/100000,"")</f>
        <v/>
      </c>
      <c r="R268" s="65" t="str">
        <f aca="false">IF(AND($K268="Open",$C268="Decision"),$L268+ROW()/100000,"")</f>
        <v/>
      </c>
      <c r="S268" s="65" t="str">
        <f aca="false">IF(AND($J268&lt;&gt;"",$J268=UCSel),$B268+ROW()/100000,"")</f>
        <v/>
      </c>
    </row>
    <row r="269" customFormat="false" ht="15" hidden="false" customHeight="false" outlineLevel="0" collapsed="false">
      <c r="A269" s="28"/>
      <c r="B269" s="63"/>
      <c r="C269" s="64"/>
      <c r="D269" s="28"/>
      <c r="E269" s="28"/>
      <c r="F269" s="28"/>
      <c r="G269" s="64"/>
      <c r="H269" s="64"/>
      <c r="I269" s="28"/>
      <c r="J269" s="28"/>
      <c r="K269" s="65" t="str">
        <f aca="false">IF($A269="","",IF(OR($C269="Decision",$C269="Conflict"),IF(COUNTIFS($I$2:$I$1001,$A269,$C$2:$C$1001,"Resolved")=0,"Open","Closed"),IF(AND($H269="Unconfirmed",OR($C269="New",$C269="Know")),IF(COUNTIFS($I$2:$I$1001,$A269,$C$2:$C$1001,"Confirmed")=0,"Unconfirmed","Confirmed"),"Logged")))</f>
        <v/>
      </c>
      <c r="L269" s="65" t="str">
        <f aca="false">IF($A269="","",AsOf-$B269)</f>
        <v/>
      </c>
      <c r="M269" s="65" t="str">
        <f aca="false">IF($K269="Open",IF($C269="Conflict","Critical",IF($L269&gt;=DecisionCritical,"Critical",IF($L269&gt;=DecisionWarn,"Warning","On track"))),IF($K269="Unconfirmed",IF($L269&gt;=UnconfirmedWarn,"Warning","On track"),""))</f>
        <v/>
      </c>
      <c r="N269" s="65" t="str">
        <f aca="false">IF($M269="","",IF($M269="Critical",3000,IF($M269="Warning",2000,1000))+$L269+ROW()/100000)</f>
        <v/>
      </c>
      <c r="O269" s="65" t="str">
        <f aca="false">IF($K269="Open",IF($C269="Conflict","decide "&amp;$A269&amp;": &lt;which version stands&gt;","decide "&amp;$A269&amp;": &lt;outcome&gt;"),IF($K269="Unconfirmed","confirm "&amp;$A269,""))</f>
        <v/>
      </c>
      <c r="P269" s="65" t="str">
        <f aca="false">IF(AND($C269="New",$B269&gt;=WeekStart),$B269+ROW()/100000,"")</f>
        <v/>
      </c>
      <c r="Q269" s="65" t="str">
        <f aca="false">IF(AND($C269="Know",$B269&gt;=WeekStart),$B269+ROW()/100000,"")</f>
        <v/>
      </c>
      <c r="R269" s="65" t="str">
        <f aca="false">IF(AND($K269="Open",$C269="Decision"),$L269+ROW()/100000,"")</f>
        <v/>
      </c>
      <c r="S269" s="65" t="str">
        <f aca="false">IF(AND($J269&lt;&gt;"",$J269=UCSel),$B269+ROW()/100000,"")</f>
        <v/>
      </c>
    </row>
    <row r="270" customFormat="false" ht="15" hidden="false" customHeight="false" outlineLevel="0" collapsed="false">
      <c r="A270" s="28"/>
      <c r="B270" s="63"/>
      <c r="C270" s="64"/>
      <c r="D270" s="28"/>
      <c r="E270" s="28"/>
      <c r="F270" s="28"/>
      <c r="G270" s="64"/>
      <c r="H270" s="64"/>
      <c r="I270" s="28"/>
      <c r="J270" s="28"/>
      <c r="K270" s="65" t="str">
        <f aca="false">IF($A270="","",IF(OR($C270="Decision",$C270="Conflict"),IF(COUNTIFS($I$2:$I$1001,$A270,$C$2:$C$1001,"Resolved")=0,"Open","Closed"),IF(AND($H270="Unconfirmed",OR($C270="New",$C270="Know")),IF(COUNTIFS($I$2:$I$1001,$A270,$C$2:$C$1001,"Confirmed")=0,"Unconfirmed","Confirmed"),"Logged")))</f>
        <v/>
      </c>
      <c r="L270" s="65" t="str">
        <f aca="false">IF($A270="","",AsOf-$B270)</f>
        <v/>
      </c>
      <c r="M270" s="65" t="str">
        <f aca="false">IF($K270="Open",IF($C270="Conflict","Critical",IF($L270&gt;=DecisionCritical,"Critical",IF($L270&gt;=DecisionWarn,"Warning","On track"))),IF($K270="Unconfirmed",IF($L270&gt;=UnconfirmedWarn,"Warning","On track"),""))</f>
        <v/>
      </c>
      <c r="N270" s="65" t="str">
        <f aca="false">IF($M270="","",IF($M270="Critical",3000,IF($M270="Warning",2000,1000))+$L270+ROW()/100000)</f>
        <v/>
      </c>
      <c r="O270" s="65" t="str">
        <f aca="false">IF($K270="Open",IF($C270="Conflict","decide "&amp;$A270&amp;": &lt;which version stands&gt;","decide "&amp;$A270&amp;": &lt;outcome&gt;"),IF($K270="Unconfirmed","confirm "&amp;$A270,""))</f>
        <v/>
      </c>
      <c r="P270" s="65" t="str">
        <f aca="false">IF(AND($C270="New",$B270&gt;=WeekStart),$B270+ROW()/100000,"")</f>
        <v/>
      </c>
      <c r="Q270" s="65" t="str">
        <f aca="false">IF(AND($C270="Know",$B270&gt;=WeekStart),$B270+ROW()/100000,"")</f>
        <v/>
      </c>
      <c r="R270" s="65" t="str">
        <f aca="false">IF(AND($K270="Open",$C270="Decision"),$L270+ROW()/100000,"")</f>
        <v/>
      </c>
      <c r="S270" s="65" t="str">
        <f aca="false">IF(AND($J270&lt;&gt;"",$J270=UCSel),$B270+ROW()/100000,"")</f>
        <v/>
      </c>
    </row>
    <row r="271" customFormat="false" ht="15" hidden="false" customHeight="false" outlineLevel="0" collapsed="false">
      <c r="A271" s="28"/>
      <c r="B271" s="63"/>
      <c r="C271" s="64"/>
      <c r="D271" s="28"/>
      <c r="E271" s="28"/>
      <c r="F271" s="28"/>
      <c r="G271" s="64"/>
      <c r="H271" s="64"/>
      <c r="I271" s="28"/>
      <c r="J271" s="28"/>
      <c r="K271" s="65" t="str">
        <f aca="false">IF($A271="","",IF(OR($C271="Decision",$C271="Conflict"),IF(COUNTIFS($I$2:$I$1001,$A271,$C$2:$C$1001,"Resolved")=0,"Open","Closed"),IF(AND($H271="Unconfirmed",OR($C271="New",$C271="Know")),IF(COUNTIFS($I$2:$I$1001,$A271,$C$2:$C$1001,"Confirmed")=0,"Unconfirmed","Confirmed"),"Logged")))</f>
        <v/>
      </c>
      <c r="L271" s="65" t="str">
        <f aca="false">IF($A271="","",AsOf-$B271)</f>
        <v/>
      </c>
      <c r="M271" s="65" t="str">
        <f aca="false">IF($K271="Open",IF($C271="Conflict","Critical",IF($L271&gt;=DecisionCritical,"Critical",IF($L271&gt;=DecisionWarn,"Warning","On track"))),IF($K271="Unconfirmed",IF($L271&gt;=UnconfirmedWarn,"Warning","On track"),""))</f>
        <v/>
      </c>
      <c r="N271" s="65" t="str">
        <f aca="false">IF($M271="","",IF($M271="Critical",3000,IF($M271="Warning",2000,1000))+$L271+ROW()/100000)</f>
        <v/>
      </c>
      <c r="O271" s="65" t="str">
        <f aca="false">IF($K271="Open",IF($C271="Conflict","decide "&amp;$A271&amp;": &lt;which version stands&gt;","decide "&amp;$A271&amp;": &lt;outcome&gt;"),IF($K271="Unconfirmed","confirm "&amp;$A271,""))</f>
        <v/>
      </c>
      <c r="P271" s="65" t="str">
        <f aca="false">IF(AND($C271="New",$B271&gt;=WeekStart),$B271+ROW()/100000,"")</f>
        <v/>
      </c>
      <c r="Q271" s="65" t="str">
        <f aca="false">IF(AND($C271="Know",$B271&gt;=WeekStart),$B271+ROW()/100000,"")</f>
        <v/>
      </c>
      <c r="R271" s="65" t="str">
        <f aca="false">IF(AND($K271="Open",$C271="Decision"),$L271+ROW()/100000,"")</f>
        <v/>
      </c>
      <c r="S271" s="65" t="str">
        <f aca="false">IF(AND($J271&lt;&gt;"",$J271=UCSel),$B271+ROW()/100000,"")</f>
        <v/>
      </c>
    </row>
    <row r="272" customFormat="false" ht="15" hidden="false" customHeight="false" outlineLevel="0" collapsed="false">
      <c r="A272" s="28"/>
      <c r="B272" s="63"/>
      <c r="C272" s="64"/>
      <c r="D272" s="28"/>
      <c r="E272" s="28"/>
      <c r="F272" s="28"/>
      <c r="G272" s="64"/>
      <c r="H272" s="64"/>
      <c r="I272" s="28"/>
      <c r="J272" s="28"/>
      <c r="K272" s="65" t="str">
        <f aca="false">IF($A272="","",IF(OR($C272="Decision",$C272="Conflict"),IF(COUNTIFS($I$2:$I$1001,$A272,$C$2:$C$1001,"Resolved")=0,"Open","Closed"),IF(AND($H272="Unconfirmed",OR($C272="New",$C272="Know")),IF(COUNTIFS($I$2:$I$1001,$A272,$C$2:$C$1001,"Confirmed")=0,"Unconfirmed","Confirmed"),"Logged")))</f>
        <v/>
      </c>
      <c r="L272" s="65" t="str">
        <f aca="false">IF($A272="","",AsOf-$B272)</f>
        <v/>
      </c>
      <c r="M272" s="65" t="str">
        <f aca="false">IF($K272="Open",IF($C272="Conflict","Critical",IF($L272&gt;=DecisionCritical,"Critical",IF($L272&gt;=DecisionWarn,"Warning","On track"))),IF($K272="Unconfirmed",IF($L272&gt;=UnconfirmedWarn,"Warning","On track"),""))</f>
        <v/>
      </c>
      <c r="N272" s="65" t="str">
        <f aca="false">IF($M272="","",IF($M272="Critical",3000,IF($M272="Warning",2000,1000))+$L272+ROW()/100000)</f>
        <v/>
      </c>
      <c r="O272" s="65" t="str">
        <f aca="false">IF($K272="Open",IF($C272="Conflict","decide "&amp;$A272&amp;": &lt;which version stands&gt;","decide "&amp;$A272&amp;": &lt;outcome&gt;"),IF($K272="Unconfirmed","confirm "&amp;$A272,""))</f>
        <v/>
      </c>
      <c r="P272" s="65" t="str">
        <f aca="false">IF(AND($C272="New",$B272&gt;=WeekStart),$B272+ROW()/100000,"")</f>
        <v/>
      </c>
      <c r="Q272" s="65" t="str">
        <f aca="false">IF(AND($C272="Know",$B272&gt;=WeekStart),$B272+ROW()/100000,"")</f>
        <v/>
      </c>
      <c r="R272" s="65" t="str">
        <f aca="false">IF(AND($K272="Open",$C272="Decision"),$L272+ROW()/100000,"")</f>
        <v/>
      </c>
      <c r="S272" s="65" t="str">
        <f aca="false">IF(AND($J272&lt;&gt;"",$J272=UCSel),$B272+ROW()/100000,"")</f>
        <v/>
      </c>
    </row>
    <row r="273" customFormat="false" ht="15" hidden="false" customHeight="false" outlineLevel="0" collapsed="false">
      <c r="A273" s="28"/>
      <c r="B273" s="63"/>
      <c r="C273" s="64"/>
      <c r="D273" s="28"/>
      <c r="E273" s="28"/>
      <c r="F273" s="28"/>
      <c r="G273" s="64"/>
      <c r="H273" s="64"/>
      <c r="I273" s="28"/>
      <c r="J273" s="28"/>
      <c r="K273" s="65" t="str">
        <f aca="false">IF($A273="","",IF(OR($C273="Decision",$C273="Conflict"),IF(COUNTIFS($I$2:$I$1001,$A273,$C$2:$C$1001,"Resolved")=0,"Open","Closed"),IF(AND($H273="Unconfirmed",OR($C273="New",$C273="Know")),IF(COUNTIFS($I$2:$I$1001,$A273,$C$2:$C$1001,"Confirmed")=0,"Unconfirmed","Confirmed"),"Logged")))</f>
        <v/>
      </c>
      <c r="L273" s="65" t="str">
        <f aca="false">IF($A273="","",AsOf-$B273)</f>
        <v/>
      </c>
      <c r="M273" s="65" t="str">
        <f aca="false">IF($K273="Open",IF($C273="Conflict","Critical",IF($L273&gt;=DecisionCritical,"Critical",IF($L273&gt;=DecisionWarn,"Warning","On track"))),IF($K273="Unconfirmed",IF($L273&gt;=UnconfirmedWarn,"Warning","On track"),""))</f>
        <v/>
      </c>
      <c r="N273" s="65" t="str">
        <f aca="false">IF($M273="","",IF($M273="Critical",3000,IF($M273="Warning",2000,1000))+$L273+ROW()/100000)</f>
        <v/>
      </c>
      <c r="O273" s="65" t="str">
        <f aca="false">IF($K273="Open",IF($C273="Conflict","decide "&amp;$A273&amp;": &lt;which version stands&gt;","decide "&amp;$A273&amp;": &lt;outcome&gt;"),IF($K273="Unconfirmed","confirm "&amp;$A273,""))</f>
        <v/>
      </c>
      <c r="P273" s="65" t="str">
        <f aca="false">IF(AND($C273="New",$B273&gt;=WeekStart),$B273+ROW()/100000,"")</f>
        <v/>
      </c>
      <c r="Q273" s="65" t="str">
        <f aca="false">IF(AND($C273="Know",$B273&gt;=WeekStart),$B273+ROW()/100000,"")</f>
        <v/>
      </c>
      <c r="R273" s="65" t="str">
        <f aca="false">IF(AND($K273="Open",$C273="Decision"),$L273+ROW()/100000,"")</f>
        <v/>
      </c>
      <c r="S273" s="65" t="str">
        <f aca="false">IF(AND($J273&lt;&gt;"",$J273=UCSel),$B273+ROW()/100000,"")</f>
        <v/>
      </c>
    </row>
    <row r="274" customFormat="false" ht="15" hidden="false" customHeight="false" outlineLevel="0" collapsed="false">
      <c r="A274" s="28"/>
      <c r="B274" s="63"/>
      <c r="C274" s="64"/>
      <c r="D274" s="28"/>
      <c r="E274" s="28"/>
      <c r="F274" s="28"/>
      <c r="G274" s="64"/>
      <c r="H274" s="64"/>
      <c r="I274" s="28"/>
      <c r="J274" s="28"/>
      <c r="K274" s="65" t="str">
        <f aca="false">IF($A274="","",IF(OR($C274="Decision",$C274="Conflict"),IF(COUNTIFS($I$2:$I$1001,$A274,$C$2:$C$1001,"Resolved")=0,"Open","Closed"),IF(AND($H274="Unconfirmed",OR($C274="New",$C274="Know")),IF(COUNTIFS($I$2:$I$1001,$A274,$C$2:$C$1001,"Confirmed")=0,"Unconfirmed","Confirmed"),"Logged")))</f>
        <v/>
      </c>
      <c r="L274" s="65" t="str">
        <f aca="false">IF($A274="","",AsOf-$B274)</f>
        <v/>
      </c>
      <c r="M274" s="65" t="str">
        <f aca="false">IF($K274="Open",IF($C274="Conflict","Critical",IF($L274&gt;=DecisionCritical,"Critical",IF($L274&gt;=DecisionWarn,"Warning","On track"))),IF($K274="Unconfirmed",IF($L274&gt;=UnconfirmedWarn,"Warning","On track"),""))</f>
        <v/>
      </c>
      <c r="N274" s="65" t="str">
        <f aca="false">IF($M274="","",IF($M274="Critical",3000,IF($M274="Warning",2000,1000))+$L274+ROW()/100000)</f>
        <v/>
      </c>
      <c r="O274" s="65" t="str">
        <f aca="false">IF($K274="Open",IF($C274="Conflict","decide "&amp;$A274&amp;": &lt;which version stands&gt;","decide "&amp;$A274&amp;": &lt;outcome&gt;"),IF($K274="Unconfirmed","confirm "&amp;$A274,""))</f>
        <v/>
      </c>
      <c r="P274" s="65" t="str">
        <f aca="false">IF(AND($C274="New",$B274&gt;=WeekStart),$B274+ROW()/100000,"")</f>
        <v/>
      </c>
      <c r="Q274" s="65" t="str">
        <f aca="false">IF(AND($C274="Know",$B274&gt;=WeekStart),$B274+ROW()/100000,"")</f>
        <v/>
      </c>
      <c r="R274" s="65" t="str">
        <f aca="false">IF(AND($K274="Open",$C274="Decision"),$L274+ROW()/100000,"")</f>
        <v/>
      </c>
      <c r="S274" s="65" t="str">
        <f aca="false">IF(AND($J274&lt;&gt;"",$J274=UCSel),$B274+ROW()/100000,"")</f>
        <v/>
      </c>
    </row>
    <row r="275" customFormat="false" ht="15" hidden="false" customHeight="false" outlineLevel="0" collapsed="false">
      <c r="A275" s="28"/>
      <c r="B275" s="63"/>
      <c r="C275" s="64"/>
      <c r="D275" s="28"/>
      <c r="E275" s="28"/>
      <c r="F275" s="28"/>
      <c r="G275" s="64"/>
      <c r="H275" s="64"/>
      <c r="I275" s="28"/>
      <c r="J275" s="28"/>
      <c r="K275" s="65" t="str">
        <f aca="false">IF($A275="","",IF(OR($C275="Decision",$C275="Conflict"),IF(COUNTIFS($I$2:$I$1001,$A275,$C$2:$C$1001,"Resolved")=0,"Open","Closed"),IF(AND($H275="Unconfirmed",OR($C275="New",$C275="Know")),IF(COUNTIFS($I$2:$I$1001,$A275,$C$2:$C$1001,"Confirmed")=0,"Unconfirmed","Confirmed"),"Logged")))</f>
        <v/>
      </c>
      <c r="L275" s="65" t="str">
        <f aca="false">IF($A275="","",AsOf-$B275)</f>
        <v/>
      </c>
      <c r="M275" s="65" t="str">
        <f aca="false">IF($K275="Open",IF($C275="Conflict","Critical",IF($L275&gt;=DecisionCritical,"Critical",IF($L275&gt;=DecisionWarn,"Warning","On track"))),IF($K275="Unconfirmed",IF($L275&gt;=UnconfirmedWarn,"Warning","On track"),""))</f>
        <v/>
      </c>
      <c r="N275" s="65" t="str">
        <f aca="false">IF($M275="","",IF($M275="Critical",3000,IF($M275="Warning",2000,1000))+$L275+ROW()/100000)</f>
        <v/>
      </c>
      <c r="O275" s="65" t="str">
        <f aca="false">IF($K275="Open",IF($C275="Conflict","decide "&amp;$A275&amp;": &lt;which version stands&gt;","decide "&amp;$A275&amp;": &lt;outcome&gt;"),IF($K275="Unconfirmed","confirm "&amp;$A275,""))</f>
        <v/>
      </c>
      <c r="P275" s="65" t="str">
        <f aca="false">IF(AND($C275="New",$B275&gt;=WeekStart),$B275+ROW()/100000,"")</f>
        <v/>
      </c>
      <c r="Q275" s="65" t="str">
        <f aca="false">IF(AND($C275="Know",$B275&gt;=WeekStart),$B275+ROW()/100000,"")</f>
        <v/>
      </c>
      <c r="R275" s="65" t="str">
        <f aca="false">IF(AND($K275="Open",$C275="Decision"),$L275+ROW()/100000,"")</f>
        <v/>
      </c>
      <c r="S275" s="65" t="str">
        <f aca="false">IF(AND($J275&lt;&gt;"",$J275=UCSel),$B275+ROW()/100000,"")</f>
        <v/>
      </c>
    </row>
    <row r="276" customFormat="false" ht="15" hidden="false" customHeight="false" outlineLevel="0" collapsed="false">
      <c r="A276" s="28"/>
      <c r="B276" s="63"/>
      <c r="C276" s="64"/>
      <c r="D276" s="28"/>
      <c r="E276" s="28"/>
      <c r="F276" s="28"/>
      <c r="G276" s="64"/>
      <c r="H276" s="64"/>
      <c r="I276" s="28"/>
      <c r="J276" s="28"/>
      <c r="K276" s="65" t="str">
        <f aca="false">IF($A276="","",IF(OR($C276="Decision",$C276="Conflict"),IF(COUNTIFS($I$2:$I$1001,$A276,$C$2:$C$1001,"Resolved")=0,"Open","Closed"),IF(AND($H276="Unconfirmed",OR($C276="New",$C276="Know")),IF(COUNTIFS($I$2:$I$1001,$A276,$C$2:$C$1001,"Confirmed")=0,"Unconfirmed","Confirmed"),"Logged")))</f>
        <v/>
      </c>
      <c r="L276" s="65" t="str">
        <f aca="false">IF($A276="","",AsOf-$B276)</f>
        <v/>
      </c>
      <c r="M276" s="65" t="str">
        <f aca="false">IF($K276="Open",IF($C276="Conflict","Critical",IF($L276&gt;=DecisionCritical,"Critical",IF($L276&gt;=DecisionWarn,"Warning","On track"))),IF($K276="Unconfirmed",IF($L276&gt;=UnconfirmedWarn,"Warning","On track"),""))</f>
        <v/>
      </c>
      <c r="N276" s="65" t="str">
        <f aca="false">IF($M276="","",IF($M276="Critical",3000,IF($M276="Warning",2000,1000))+$L276+ROW()/100000)</f>
        <v/>
      </c>
      <c r="O276" s="65" t="str">
        <f aca="false">IF($K276="Open",IF($C276="Conflict","decide "&amp;$A276&amp;": &lt;which version stands&gt;","decide "&amp;$A276&amp;": &lt;outcome&gt;"),IF($K276="Unconfirmed","confirm "&amp;$A276,""))</f>
        <v/>
      </c>
      <c r="P276" s="65" t="str">
        <f aca="false">IF(AND($C276="New",$B276&gt;=WeekStart),$B276+ROW()/100000,"")</f>
        <v/>
      </c>
      <c r="Q276" s="65" t="str">
        <f aca="false">IF(AND($C276="Know",$B276&gt;=WeekStart),$B276+ROW()/100000,"")</f>
        <v/>
      </c>
      <c r="R276" s="65" t="str">
        <f aca="false">IF(AND($K276="Open",$C276="Decision"),$L276+ROW()/100000,"")</f>
        <v/>
      </c>
      <c r="S276" s="65" t="str">
        <f aca="false">IF(AND($J276&lt;&gt;"",$J276=UCSel),$B276+ROW()/100000,"")</f>
        <v/>
      </c>
    </row>
    <row r="277" customFormat="false" ht="15" hidden="false" customHeight="false" outlineLevel="0" collapsed="false">
      <c r="A277" s="28"/>
      <c r="B277" s="63"/>
      <c r="C277" s="64"/>
      <c r="D277" s="28"/>
      <c r="E277" s="28"/>
      <c r="F277" s="28"/>
      <c r="G277" s="64"/>
      <c r="H277" s="64"/>
      <c r="I277" s="28"/>
      <c r="J277" s="28"/>
      <c r="K277" s="65" t="str">
        <f aca="false">IF($A277="","",IF(OR($C277="Decision",$C277="Conflict"),IF(COUNTIFS($I$2:$I$1001,$A277,$C$2:$C$1001,"Resolved")=0,"Open","Closed"),IF(AND($H277="Unconfirmed",OR($C277="New",$C277="Know")),IF(COUNTIFS($I$2:$I$1001,$A277,$C$2:$C$1001,"Confirmed")=0,"Unconfirmed","Confirmed"),"Logged")))</f>
        <v/>
      </c>
      <c r="L277" s="65" t="str">
        <f aca="false">IF($A277="","",AsOf-$B277)</f>
        <v/>
      </c>
      <c r="M277" s="65" t="str">
        <f aca="false">IF($K277="Open",IF($C277="Conflict","Critical",IF($L277&gt;=DecisionCritical,"Critical",IF($L277&gt;=DecisionWarn,"Warning","On track"))),IF($K277="Unconfirmed",IF($L277&gt;=UnconfirmedWarn,"Warning","On track"),""))</f>
        <v/>
      </c>
      <c r="N277" s="65" t="str">
        <f aca="false">IF($M277="","",IF($M277="Critical",3000,IF($M277="Warning",2000,1000))+$L277+ROW()/100000)</f>
        <v/>
      </c>
      <c r="O277" s="65" t="str">
        <f aca="false">IF($K277="Open",IF($C277="Conflict","decide "&amp;$A277&amp;": &lt;which version stands&gt;","decide "&amp;$A277&amp;": &lt;outcome&gt;"),IF($K277="Unconfirmed","confirm "&amp;$A277,""))</f>
        <v/>
      </c>
      <c r="P277" s="65" t="str">
        <f aca="false">IF(AND($C277="New",$B277&gt;=WeekStart),$B277+ROW()/100000,"")</f>
        <v/>
      </c>
      <c r="Q277" s="65" t="str">
        <f aca="false">IF(AND($C277="Know",$B277&gt;=WeekStart),$B277+ROW()/100000,"")</f>
        <v/>
      </c>
      <c r="R277" s="65" t="str">
        <f aca="false">IF(AND($K277="Open",$C277="Decision"),$L277+ROW()/100000,"")</f>
        <v/>
      </c>
      <c r="S277" s="65" t="str">
        <f aca="false">IF(AND($J277&lt;&gt;"",$J277=UCSel),$B277+ROW()/100000,"")</f>
        <v/>
      </c>
    </row>
    <row r="278" customFormat="false" ht="15" hidden="false" customHeight="false" outlineLevel="0" collapsed="false">
      <c r="A278" s="28"/>
      <c r="B278" s="63"/>
      <c r="C278" s="64"/>
      <c r="D278" s="28"/>
      <c r="E278" s="28"/>
      <c r="F278" s="28"/>
      <c r="G278" s="64"/>
      <c r="H278" s="64"/>
      <c r="I278" s="28"/>
      <c r="J278" s="28"/>
      <c r="K278" s="65" t="str">
        <f aca="false">IF($A278="","",IF(OR($C278="Decision",$C278="Conflict"),IF(COUNTIFS($I$2:$I$1001,$A278,$C$2:$C$1001,"Resolved")=0,"Open","Closed"),IF(AND($H278="Unconfirmed",OR($C278="New",$C278="Know")),IF(COUNTIFS($I$2:$I$1001,$A278,$C$2:$C$1001,"Confirmed")=0,"Unconfirmed","Confirmed"),"Logged")))</f>
        <v/>
      </c>
      <c r="L278" s="65" t="str">
        <f aca="false">IF($A278="","",AsOf-$B278)</f>
        <v/>
      </c>
      <c r="M278" s="65" t="str">
        <f aca="false">IF($K278="Open",IF($C278="Conflict","Critical",IF($L278&gt;=DecisionCritical,"Critical",IF($L278&gt;=DecisionWarn,"Warning","On track"))),IF($K278="Unconfirmed",IF($L278&gt;=UnconfirmedWarn,"Warning","On track"),""))</f>
        <v/>
      </c>
      <c r="N278" s="65" t="str">
        <f aca="false">IF($M278="","",IF($M278="Critical",3000,IF($M278="Warning",2000,1000))+$L278+ROW()/100000)</f>
        <v/>
      </c>
      <c r="O278" s="65" t="str">
        <f aca="false">IF($K278="Open",IF($C278="Conflict","decide "&amp;$A278&amp;": &lt;which version stands&gt;","decide "&amp;$A278&amp;": &lt;outcome&gt;"),IF($K278="Unconfirmed","confirm "&amp;$A278,""))</f>
        <v/>
      </c>
      <c r="P278" s="65" t="str">
        <f aca="false">IF(AND($C278="New",$B278&gt;=WeekStart),$B278+ROW()/100000,"")</f>
        <v/>
      </c>
      <c r="Q278" s="65" t="str">
        <f aca="false">IF(AND($C278="Know",$B278&gt;=WeekStart),$B278+ROW()/100000,"")</f>
        <v/>
      </c>
      <c r="R278" s="65" t="str">
        <f aca="false">IF(AND($K278="Open",$C278="Decision"),$L278+ROW()/100000,"")</f>
        <v/>
      </c>
      <c r="S278" s="65" t="str">
        <f aca="false">IF(AND($J278&lt;&gt;"",$J278=UCSel),$B278+ROW()/100000,"")</f>
        <v/>
      </c>
    </row>
    <row r="279" customFormat="false" ht="15" hidden="false" customHeight="false" outlineLevel="0" collapsed="false">
      <c r="A279" s="28"/>
      <c r="B279" s="63"/>
      <c r="C279" s="64"/>
      <c r="D279" s="28"/>
      <c r="E279" s="28"/>
      <c r="F279" s="28"/>
      <c r="G279" s="64"/>
      <c r="H279" s="64"/>
      <c r="I279" s="28"/>
      <c r="J279" s="28"/>
      <c r="K279" s="65" t="str">
        <f aca="false">IF($A279="","",IF(OR($C279="Decision",$C279="Conflict"),IF(COUNTIFS($I$2:$I$1001,$A279,$C$2:$C$1001,"Resolved")=0,"Open","Closed"),IF(AND($H279="Unconfirmed",OR($C279="New",$C279="Know")),IF(COUNTIFS($I$2:$I$1001,$A279,$C$2:$C$1001,"Confirmed")=0,"Unconfirmed","Confirmed"),"Logged")))</f>
        <v/>
      </c>
      <c r="L279" s="65" t="str">
        <f aca="false">IF($A279="","",AsOf-$B279)</f>
        <v/>
      </c>
      <c r="M279" s="65" t="str">
        <f aca="false">IF($K279="Open",IF($C279="Conflict","Critical",IF($L279&gt;=DecisionCritical,"Critical",IF($L279&gt;=DecisionWarn,"Warning","On track"))),IF($K279="Unconfirmed",IF($L279&gt;=UnconfirmedWarn,"Warning","On track"),""))</f>
        <v/>
      </c>
      <c r="N279" s="65" t="str">
        <f aca="false">IF($M279="","",IF($M279="Critical",3000,IF($M279="Warning",2000,1000))+$L279+ROW()/100000)</f>
        <v/>
      </c>
      <c r="O279" s="65" t="str">
        <f aca="false">IF($K279="Open",IF($C279="Conflict","decide "&amp;$A279&amp;": &lt;which version stands&gt;","decide "&amp;$A279&amp;": &lt;outcome&gt;"),IF($K279="Unconfirmed","confirm "&amp;$A279,""))</f>
        <v/>
      </c>
      <c r="P279" s="65" t="str">
        <f aca="false">IF(AND($C279="New",$B279&gt;=WeekStart),$B279+ROW()/100000,"")</f>
        <v/>
      </c>
      <c r="Q279" s="65" t="str">
        <f aca="false">IF(AND($C279="Know",$B279&gt;=WeekStart),$B279+ROW()/100000,"")</f>
        <v/>
      </c>
      <c r="R279" s="65" t="str">
        <f aca="false">IF(AND($K279="Open",$C279="Decision"),$L279+ROW()/100000,"")</f>
        <v/>
      </c>
      <c r="S279" s="65" t="str">
        <f aca="false">IF(AND($J279&lt;&gt;"",$J279=UCSel),$B279+ROW()/100000,"")</f>
        <v/>
      </c>
    </row>
    <row r="280" customFormat="false" ht="15" hidden="false" customHeight="false" outlineLevel="0" collapsed="false">
      <c r="A280" s="28"/>
      <c r="B280" s="63"/>
      <c r="C280" s="64"/>
      <c r="D280" s="28"/>
      <c r="E280" s="28"/>
      <c r="F280" s="28"/>
      <c r="G280" s="64"/>
      <c r="H280" s="64"/>
      <c r="I280" s="28"/>
      <c r="J280" s="28"/>
      <c r="K280" s="65" t="str">
        <f aca="false">IF($A280="","",IF(OR($C280="Decision",$C280="Conflict"),IF(COUNTIFS($I$2:$I$1001,$A280,$C$2:$C$1001,"Resolved")=0,"Open","Closed"),IF(AND($H280="Unconfirmed",OR($C280="New",$C280="Know")),IF(COUNTIFS($I$2:$I$1001,$A280,$C$2:$C$1001,"Confirmed")=0,"Unconfirmed","Confirmed"),"Logged")))</f>
        <v/>
      </c>
      <c r="L280" s="65" t="str">
        <f aca="false">IF($A280="","",AsOf-$B280)</f>
        <v/>
      </c>
      <c r="M280" s="65" t="str">
        <f aca="false">IF($K280="Open",IF($C280="Conflict","Critical",IF($L280&gt;=DecisionCritical,"Critical",IF($L280&gt;=DecisionWarn,"Warning","On track"))),IF($K280="Unconfirmed",IF($L280&gt;=UnconfirmedWarn,"Warning","On track"),""))</f>
        <v/>
      </c>
      <c r="N280" s="65" t="str">
        <f aca="false">IF($M280="","",IF($M280="Critical",3000,IF($M280="Warning",2000,1000))+$L280+ROW()/100000)</f>
        <v/>
      </c>
      <c r="O280" s="65" t="str">
        <f aca="false">IF($K280="Open",IF($C280="Conflict","decide "&amp;$A280&amp;": &lt;which version stands&gt;","decide "&amp;$A280&amp;": &lt;outcome&gt;"),IF($K280="Unconfirmed","confirm "&amp;$A280,""))</f>
        <v/>
      </c>
      <c r="P280" s="65" t="str">
        <f aca="false">IF(AND($C280="New",$B280&gt;=WeekStart),$B280+ROW()/100000,"")</f>
        <v/>
      </c>
      <c r="Q280" s="65" t="str">
        <f aca="false">IF(AND($C280="Know",$B280&gt;=WeekStart),$B280+ROW()/100000,"")</f>
        <v/>
      </c>
      <c r="R280" s="65" t="str">
        <f aca="false">IF(AND($K280="Open",$C280="Decision"),$L280+ROW()/100000,"")</f>
        <v/>
      </c>
      <c r="S280" s="65" t="str">
        <f aca="false">IF(AND($J280&lt;&gt;"",$J280=UCSel),$B280+ROW()/100000,"")</f>
        <v/>
      </c>
    </row>
    <row r="281" customFormat="false" ht="15" hidden="false" customHeight="false" outlineLevel="0" collapsed="false">
      <c r="A281" s="28"/>
      <c r="B281" s="63"/>
      <c r="C281" s="64"/>
      <c r="D281" s="28"/>
      <c r="E281" s="28"/>
      <c r="F281" s="28"/>
      <c r="G281" s="64"/>
      <c r="H281" s="64"/>
      <c r="I281" s="28"/>
      <c r="J281" s="28"/>
      <c r="K281" s="65" t="str">
        <f aca="false">IF($A281="","",IF(OR($C281="Decision",$C281="Conflict"),IF(COUNTIFS($I$2:$I$1001,$A281,$C$2:$C$1001,"Resolved")=0,"Open","Closed"),IF(AND($H281="Unconfirmed",OR($C281="New",$C281="Know")),IF(COUNTIFS($I$2:$I$1001,$A281,$C$2:$C$1001,"Confirmed")=0,"Unconfirmed","Confirmed"),"Logged")))</f>
        <v/>
      </c>
      <c r="L281" s="65" t="str">
        <f aca="false">IF($A281="","",AsOf-$B281)</f>
        <v/>
      </c>
      <c r="M281" s="65" t="str">
        <f aca="false">IF($K281="Open",IF($C281="Conflict","Critical",IF($L281&gt;=DecisionCritical,"Critical",IF($L281&gt;=DecisionWarn,"Warning","On track"))),IF($K281="Unconfirmed",IF($L281&gt;=UnconfirmedWarn,"Warning","On track"),""))</f>
        <v/>
      </c>
      <c r="N281" s="65" t="str">
        <f aca="false">IF($M281="","",IF($M281="Critical",3000,IF($M281="Warning",2000,1000))+$L281+ROW()/100000)</f>
        <v/>
      </c>
      <c r="O281" s="65" t="str">
        <f aca="false">IF($K281="Open",IF($C281="Conflict","decide "&amp;$A281&amp;": &lt;which version stands&gt;","decide "&amp;$A281&amp;": &lt;outcome&gt;"),IF($K281="Unconfirmed","confirm "&amp;$A281,""))</f>
        <v/>
      </c>
      <c r="P281" s="65" t="str">
        <f aca="false">IF(AND($C281="New",$B281&gt;=WeekStart),$B281+ROW()/100000,"")</f>
        <v/>
      </c>
      <c r="Q281" s="65" t="str">
        <f aca="false">IF(AND($C281="Know",$B281&gt;=WeekStart),$B281+ROW()/100000,"")</f>
        <v/>
      </c>
      <c r="R281" s="65" t="str">
        <f aca="false">IF(AND($K281="Open",$C281="Decision"),$L281+ROW()/100000,"")</f>
        <v/>
      </c>
      <c r="S281" s="65" t="str">
        <f aca="false">IF(AND($J281&lt;&gt;"",$J281=UCSel),$B281+ROW()/100000,"")</f>
        <v/>
      </c>
    </row>
    <row r="282" customFormat="false" ht="15" hidden="false" customHeight="false" outlineLevel="0" collapsed="false">
      <c r="A282" s="28"/>
      <c r="B282" s="63"/>
      <c r="C282" s="64"/>
      <c r="D282" s="28"/>
      <c r="E282" s="28"/>
      <c r="F282" s="28"/>
      <c r="G282" s="64"/>
      <c r="H282" s="64"/>
      <c r="I282" s="28"/>
      <c r="J282" s="28"/>
      <c r="K282" s="65" t="str">
        <f aca="false">IF($A282="","",IF(OR($C282="Decision",$C282="Conflict"),IF(COUNTIFS($I$2:$I$1001,$A282,$C$2:$C$1001,"Resolved")=0,"Open","Closed"),IF(AND($H282="Unconfirmed",OR($C282="New",$C282="Know")),IF(COUNTIFS($I$2:$I$1001,$A282,$C$2:$C$1001,"Confirmed")=0,"Unconfirmed","Confirmed"),"Logged")))</f>
        <v/>
      </c>
      <c r="L282" s="65" t="str">
        <f aca="false">IF($A282="","",AsOf-$B282)</f>
        <v/>
      </c>
      <c r="M282" s="65" t="str">
        <f aca="false">IF($K282="Open",IF($C282="Conflict","Critical",IF($L282&gt;=DecisionCritical,"Critical",IF($L282&gt;=DecisionWarn,"Warning","On track"))),IF($K282="Unconfirmed",IF($L282&gt;=UnconfirmedWarn,"Warning","On track"),""))</f>
        <v/>
      </c>
      <c r="N282" s="65" t="str">
        <f aca="false">IF($M282="","",IF($M282="Critical",3000,IF($M282="Warning",2000,1000))+$L282+ROW()/100000)</f>
        <v/>
      </c>
      <c r="O282" s="65" t="str">
        <f aca="false">IF($K282="Open",IF($C282="Conflict","decide "&amp;$A282&amp;": &lt;which version stands&gt;","decide "&amp;$A282&amp;": &lt;outcome&gt;"),IF($K282="Unconfirmed","confirm "&amp;$A282,""))</f>
        <v/>
      </c>
      <c r="P282" s="65" t="str">
        <f aca="false">IF(AND($C282="New",$B282&gt;=WeekStart),$B282+ROW()/100000,"")</f>
        <v/>
      </c>
      <c r="Q282" s="65" t="str">
        <f aca="false">IF(AND($C282="Know",$B282&gt;=WeekStart),$B282+ROW()/100000,"")</f>
        <v/>
      </c>
      <c r="R282" s="65" t="str">
        <f aca="false">IF(AND($K282="Open",$C282="Decision"),$L282+ROW()/100000,"")</f>
        <v/>
      </c>
      <c r="S282" s="65" t="str">
        <f aca="false">IF(AND($J282&lt;&gt;"",$J282=UCSel),$B282+ROW()/100000,"")</f>
        <v/>
      </c>
    </row>
    <row r="283" customFormat="false" ht="15" hidden="false" customHeight="false" outlineLevel="0" collapsed="false">
      <c r="A283" s="28"/>
      <c r="B283" s="63"/>
      <c r="C283" s="64"/>
      <c r="D283" s="28"/>
      <c r="E283" s="28"/>
      <c r="F283" s="28"/>
      <c r="G283" s="64"/>
      <c r="H283" s="64"/>
      <c r="I283" s="28"/>
      <c r="J283" s="28"/>
      <c r="K283" s="65" t="str">
        <f aca="false">IF($A283="","",IF(OR($C283="Decision",$C283="Conflict"),IF(COUNTIFS($I$2:$I$1001,$A283,$C$2:$C$1001,"Resolved")=0,"Open","Closed"),IF(AND($H283="Unconfirmed",OR($C283="New",$C283="Know")),IF(COUNTIFS($I$2:$I$1001,$A283,$C$2:$C$1001,"Confirmed")=0,"Unconfirmed","Confirmed"),"Logged")))</f>
        <v/>
      </c>
      <c r="L283" s="65" t="str">
        <f aca="false">IF($A283="","",AsOf-$B283)</f>
        <v/>
      </c>
      <c r="M283" s="65" t="str">
        <f aca="false">IF($K283="Open",IF($C283="Conflict","Critical",IF($L283&gt;=DecisionCritical,"Critical",IF($L283&gt;=DecisionWarn,"Warning","On track"))),IF($K283="Unconfirmed",IF($L283&gt;=UnconfirmedWarn,"Warning","On track"),""))</f>
        <v/>
      </c>
      <c r="N283" s="65" t="str">
        <f aca="false">IF($M283="","",IF($M283="Critical",3000,IF($M283="Warning",2000,1000))+$L283+ROW()/100000)</f>
        <v/>
      </c>
      <c r="O283" s="65" t="str">
        <f aca="false">IF($K283="Open",IF($C283="Conflict","decide "&amp;$A283&amp;": &lt;which version stands&gt;","decide "&amp;$A283&amp;": &lt;outcome&gt;"),IF($K283="Unconfirmed","confirm "&amp;$A283,""))</f>
        <v/>
      </c>
      <c r="P283" s="65" t="str">
        <f aca="false">IF(AND($C283="New",$B283&gt;=WeekStart),$B283+ROW()/100000,"")</f>
        <v/>
      </c>
      <c r="Q283" s="65" t="str">
        <f aca="false">IF(AND($C283="Know",$B283&gt;=WeekStart),$B283+ROW()/100000,"")</f>
        <v/>
      </c>
      <c r="R283" s="65" t="str">
        <f aca="false">IF(AND($K283="Open",$C283="Decision"),$L283+ROW()/100000,"")</f>
        <v/>
      </c>
      <c r="S283" s="65" t="str">
        <f aca="false">IF(AND($J283&lt;&gt;"",$J283=UCSel),$B283+ROW()/100000,"")</f>
        <v/>
      </c>
    </row>
    <row r="284" customFormat="false" ht="15" hidden="false" customHeight="false" outlineLevel="0" collapsed="false">
      <c r="A284" s="28"/>
      <c r="B284" s="63"/>
      <c r="C284" s="64"/>
      <c r="D284" s="28"/>
      <c r="E284" s="28"/>
      <c r="F284" s="28"/>
      <c r="G284" s="64"/>
      <c r="H284" s="64"/>
      <c r="I284" s="28"/>
      <c r="J284" s="28"/>
      <c r="K284" s="65" t="str">
        <f aca="false">IF($A284="","",IF(OR($C284="Decision",$C284="Conflict"),IF(COUNTIFS($I$2:$I$1001,$A284,$C$2:$C$1001,"Resolved")=0,"Open","Closed"),IF(AND($H284="Unconfirmed",OR($C284="New",$C284="Know")),IF(COUNTIFS($I$2:$I$1001,$A284,$C$2:$C$1001,"Confirmed")=0,"Unconfirmed","Confirmed"),"Logged")))</f>
        <v/>
      </c>
      <c r="L284" s="65" t="str">
        <f aca="false">IF($A284="","",AsOf-$B284)</f>
        <v/>
      </c>
      <c r="M284" s="65" t="str">
        <f aca="false">IF($K284="Open",IF($C284="Conflict","Critical",IF($L284&gt;=DecisionCritical,"Critical",IF($L284&gt;=DecisionWarn,"Warning","On track"))),IF($K284="Unconfirmed",IF($L284&gt;=UnconfirmedWarn,"Warning","On track"),""))</f>
        <v/>
      </c>
      <c r="N284" s="65" t="str">
        <f aca="false">IF($M284="","",IF($M284="Critical",3000,IF($M284="Warning",2000,1000))+$L284+ROW()/100000)</f>
        <v/>
      </c>
      <c r="O284" s="65" t="str">
        <f aca="false">IF($K284="Open",IF($C284="Conflict","decide "&amp;$A284&amp;": &lt;which version stands&gt;","decide "&amp;$A284&amp;": &lt;outcome&gt;"),IF($K284="Unconfirmed","confirm "&amp;$A284,""))</f>
        <v/>
      </c>
      <c r="P284" s="65" t="str">
        <f aca="false">IF(AND($C284="New",$B284&gt;=WeekStart),$B284+ROW()/100000,"")</f>
        <v/>
      </c>
      <c r="Q284" s="65" t="str">
        <f aca="false">IF(AND($C284="Know",$B284&gt;=WeekStart),$B284+ROW()/100000,"")</f>
        <v/>
      </c>
      <c r="R284" s="65" t="str">
        <f aca="false">IF(AND($K284="Open",$C284="Decision"),$L284+ROW()/100000,"")</f>
        <v/>
      </c>
      <c r="S284" s="65" t="str">
        <f aca="false">IF(AND($J284&lt;&gt;"",$J284=UCSel),$B284+ROW()/100000,"")</f>
        <v/>
      </c>
    </row>
    <row r="285" customFormat="false" ht="15" hidden="false" customHeight="false" outlineLevel="0" collapsed="false">
      <c r="A285" s="28"/>
      <c r="B285" s="63"/>
      <c r="C285" s="64"/>
      <c r="D285" s="28"/>
      <c r="E285" s="28"/>
      <c r="F285" s="28"/>
      <c r="G285" s="64"/>
      <c r="H285" s="64"/>
      <c r="I285" s="28"/>
      <c r="J285" s="28"/>
      <c r="K285" s="65" t="str">
        <f aca="false">IF($A285="","",IF(OR($C285="Decision",$C285="Conflict"),IF(COUNTIFS($I$2:$I$1001,$A285,$C$2:$C$1001,"Resolved")=0,"Open","Closed"),IF(AND($H285="Unconfirmed",OR($C285="New",$C285="Know")),IF(COUNTIFS($I$2:$I$1001,$A285,$C$2:$C$1001,"Confirmed")=0,"Unconfirmed","Confirmed"),"Logged")))</f>
        <v/>
      </c>
      <c r="L285" s="65" t="str">
        <f aca="false">IF($A285="","",AsOf-$B285)</f>
        <v/>
      </c>
      <c r="M285" s="65" t="str">
        <f aca="false">IF($K285="Open",IF($C285="Conflict","Critical",IF($L285&gt;=DecisionCritical,"Critical",IF($L285&gt;=DecisionWarn,"Warning","On track"))),IF($K285="Unconfirmed",IF($L285&gt;=UnconfirmedWarn,"Warning","On track"),""))</f>
        <v/>
      </c>
      <c r="N285" s="65" t="str">
        <f aca="false">IF($M285="","",IF($M285="Critical",3000,IF($M285="Warning",2000,1000))+$L285+ROW()/100000)</f>
        <v/>
      </c>
      <c r="O285" s="65" t="str">
        <f aca="false">IF($K285="Open",IF($C285="Conflict","decide "&amp;$A285&amp;": &lt;which version stands&gt;","decide "&amp;$A285&amp;": &lt;outcome&gt;"),IF($K285="Unconfirmed","confirm "&amp;$A285,""))</f>
        <v/>
      </c>
      <c r="P285" s="65" t="str">
        <f aca="false">IF(AND($C285="New",$B285&gt;=WeekStart),$B285+ROW()/100000,"")</f>
        <v/>
      </c>
      <c r="Q285" s="65" t="str">
        <f aca="false">IF(AND($C285="Know",$B285&gt;=WeekStart),$B285+ROW()/100000,"")</f>
        <v/>
      </c>
      <c r="R285" s="65" t="str">
        <f aca="false">IF(AND($K285="Open",$C285="Decision"),$L285+ROW()/100000,"")</f>
        <v/>
      </c>
      <c r="S285" s="65" t="str">
        <f aca="false">IF(AND($J285&lt;&gt;"",$J285=UCSel),$B285+ROW()/100000,"")</f>
        <v/>
      </c>
    </row>
    <row r="286" customFormat="false" ht="15" hidden="false" customHeight="false" outlineLevel="0" collapsed="false">
      <c r="A286" s="28"/>
      <c r="B286" s="63"/>
      <c r="C286" s="64"/>
      <c r="D286" s="28"/>
      <c r="E286" s="28"/>
      <c r="F286" s="28"/>
      <c r="G286" s="64"/>
      <c r="H286" s="64"/>
      <c r="I286" s="28"/>
      <c r="J286" s="28"/>
      <c r="K286" s="65" t="str">
        <f aca="false">IF($A286="","",IF(OR($C286="Decision",$C286="Conflict"),IF(COUNTIFS($I$2:$I$1001,$A286,$C$2:$C$1001,"Resolved")=0,"Open","Closed"),IF(AND($H286="Unconfirmed",OR($C286="New",$C286="Know")),IF(COUNTIFS($I$2:$I$1001,$A286,$C$2:$C$1001,"Confirmed")=0,"Unconfirmed","Confirmed"),"Logged")))</f>
        <v/>
      </c>
      <c r="L286" s="65" t="str">
        <f aca="false">IF($A286="","",AsOf-$B286)</f>
        <v/>
      </c>
      <c r="M286" s="65" t="str">
        <f aca="false">IF($K286="Open",IF($C286="Conflict","Critical",IF($L286&gt;=DecisionCritical,"Critical",IF($L286&gt;=DecisionWarn,"Warning","On track"))),IF($K286="Unconfirmed",IF($L286&gt;=UnconfirmedWarn,"Warning","On track"),""))</f>
        <v/>
      </c>
      <c r="N286" s="65" t="str">
        <f aca="false">IF($M286="","",IF($M286="Critical",3000,IF($M286="Warning",2000,1000))+$L286+ROW()/100000)</f>
        <v/>
      </c>
      <c r="O286" s="65" t="str">
        <f aca="false">IF($K286="Open",IF($C286="Conflict","decide "&amp;$A286&amp;": &lt;which version stands&gt;","decide "&amp;$A286&amp;": &lt;outcome&gt;"),IF($K286="Unconfirmed","confirm "&amp;$A286,""))</f>
        <v/>
      </c>
      <c r="P286" s="65" t="str">
        <f aca="false">IF(AND($C286="New",$B286&gt;=WeekStart),$B286+ROW()/100000,"")</f>
        <v/>
      </c>
      <c r="Q286" s="65" t="str">
        <f aca="false">IF(AND($C286="Know",$B286&gt;=WeekStart),$B286+ROW()/100000,"")</f>
        <v/>
      </c>
      <c r="R286" s="65" t="str">
        <f aca="false">IF(AND($K286="Open",$C286="Decision"),$L286+ROW()/100000,"")</f>
        <v/>
      </c>
      <c r="S286" s="65" t="str">
        <f aca="false">IF(AND($J286&lt;&gt;"",$J286=UCSel),$B286+ROW()/100000,"")</f>
        <v/>
      </c>
    </row>
    <row r="287" customFormat="false" ht="15" hidden="false" customHeight="false" outlineLevel="0" collapsed="false">
      <c r="A287" s="28"/>
      <c r="B287" s="63"/>
      <c r="C287" s="64"/>
      <c r="D287" s="28"/>
      <c r="E287" s="28"/>
      <c r="F287" s="28"/>
      <c r="G287" s="64"/>
      <c r="H287" s="64"/>
      <c r="I287" s="28"/>
      <c r="J287" s="28"/>
      <c r="K287" s="65" t="str">
        <f aca="false">IF($A287="","",IF(OR($C287="Decision",$C287="Conflict"),IF(COUNTIFS($I$2:$I$1001,$A287,$C$2:$C$1001,"Resolved")=0,"Open","Closed"),IF(AND($H287="Unconfirmed",OR($C287="New",$C287="Know")),IF(COUNTIFS($I$2:$I$1001,$A287,$C$2:$C$1001,"Confirmed")=0,"Unconfirmed","Confirmed"),"Logged")))</f>
        <v/>
      </c>
      <c r="L287" s="65" t="str">
        <f aca="false">IF($A287="","",AsOf-$B287)</f>
        <v/>
      </c>
      <c r="M287" s="65" t="str">
        <f aca="false">IF($K287="Open",IF($C287="Conflict","Critical",IF($L287&gt;=DecisionCritical,"Critical",IF($L287&gt;=DecisionWarn,"Warning","On track"))),IF($K287="Unconfirmed",IF($L287&gt;=UnconfirmedWarn,"Warning","On track"),""))</f>
        <v/>
      </c>
      <c r="N287" s="65" t="str">
        <f aca="false">IF($M287="","",IF($M287="Critical",3000,IF($M287="Warning",2000,1000))+$L287+ROW()/100000)</f>
        <v/>
      </c>
      <c r="O287" s="65" t="str">
        <f aca="false">IF($K287="Open",IF($C287="Conflict","decide "&amp;$A287&amp;": &lt;which version stands&gt;","decide "&amp;$A287&amp;": &lt;outcome&gt;"),IF($K287="Unconfirmed","confirm "&amp;$A287,""))</f>
        <v/>
      </c>
      <c r="P287" s="65" t="str">
        <f aca="false">IF(AND($C287="New",$B287&gt;=WeekStart),$B287+ROW()/100000,"")</f>
        <v/>
      </c>
      <c r="Q287" s="65" t="str">
        <f aca="false">IF(AND($C287="Know",$B287&gt;=WeekStart),$B287+ROW()/100000,"")</f>
        <v/>
      </c>
      <c r="R287" s="65" t="str">
        <f aca="false">IF(AND($K287="Open",$C287="Decision"),$L287+ROW()/100000,"")</f>
        <v/>
      </c>
      <c r="S287" s="65" t="str">
        <f aca="false">IF(AND($J287&lt;&gt;"",$J287=UCSel),$B287+ROW()/100000,"")</f>
        <v/>
      </c>
    </row>
    <row r="288" customFormat="false" ht="15" hidden="false" customHeight="false" outlineLevel="0" collapsed="false">
      <c r="A288" s="28"/>
      <c r="B288" s="63"/>
      <c r="C288" s="64"/>
      <c r="D288" s="28"/>
      <c r="E288" s="28"/>
      <c r="F288" s="28"/>
      <c r="G288" s="64"/>
      <c r="H288" s="64"/>
      <c r="I288" s="28"/>
      <c r="J288" s="28"/>
      <c r="K288" s="65" t="str">
        <f aca="false">IF($A288="","",IF(OR($C288="Decision",$C288="Conflict"),IF(COUNTIFS($I$2:$I$1001,$A288,$C$2:$C$1001,"Resolved")=0,"Open","Closed"),IF(AND($H288="Unconfirmed",OR($C288="New",$C288="Know")),IF(COUNTIFS($I$2:$I$1001,$A288,$C$2:$C$1001,"Confirmed")=0,"Unconfirmed","Confirmed"),"Logged")))</f>
        <v/>
      </c>
      <c r="L288" s="65" t="str">
        <f aca="false">IF($A288="","",AsOf-$B288)</f>
        <v/>
      </c>
      <c r="M288" s="65" t="str">
        <f aca="false">IF($K288="Open",IF($C288="Conflict","Critical",IF($L288&gt;=DecisionCritical,"Critical",IF($L288&gt;=DecisionWarn,"Warning","On track"))),IF($K288="Unconfirmed",IF($L288&gt;=UnconfirmedWarn,"Warning","On track"),""))</f>
        <v/>
      </c>
      <c r="N288" s="65" t="str">
        <f aca="false">IF($M288="","",IF($M288="Critical",3000,IF($M288="Warning",2000,1000))+$L288+ROW()/100000)</f>
        <v/>
      </c>
      <c r="O288" s="65" t="str">
        <f aca="false">IF($K288="Open",IF($C288="Conflict","decide "&amp;$A288&amp;": &lt;which version stands&gt;","decide "&amp;$A288&amp;": &lt;outcome&gt;"),IF($K288="Unconfirmed","confirm "&amp;$A288,""))</f>
        <v/>
      </c>
      <c r="P288" s="65" t="str">
        <f aca="false">IF(AND($C288="New",$B288&gt;=WeekStart),$B288+ROW()/100000,"")</f>
        <v/>
      </c>
      <c r="Q288" s="65" t="str">
        <f aca="false">IF(AND($C288="Know",$B288&gt;=WeekStart),$B288+ROW()/100000,"")</f>
        <v/>
      </c>
      <c r="R288" s="65" t="str">
        <f aca="false">IF(AND($K288="Open",$C288="Decision"),$L288+ROW()/100000,"")</f>
        <v/>
      </c>
      <c r="S288" s="65" t="str">
        <f aca="false">IF(AND($J288&lt;&gt;"",$J288=UCSel),$B288+ROW()/100000,"")</f>
        <v/>
      </c>
    </row>
    <row r="289" customFormat="false" ht="15" hidden="false" customHeight="false" outlineLevel="0" collapsed="false">
      <c r="A289" s="28"/>
      <c r="B289" s="63"/>
      <c r="C289" s="64"/>
      <c r="D289" s="28"/>
      <c r="E289" s="28"/>
      <c r="F289" s="28"/>
      <c r="G289" s="64"/>
      <c r="H289" s="64"/>
      <c r="I289" s="28"/>
      <c r="J289" s="28"/>
      <c r="K289" s="65" t="str">
        <f aca="false">IF($A289="","",IF(OR($C289="Decision",$C289="Conflict"),IF(COUNTIFS($I$2:$I$1001,$A289,$C$2:$C$1001,"Resolved")=0,"Open","Closed"),IF(AND($H289="Unconfirmed",OR($C289="New",$C289="Know")),IF(COUNTIFS($I$2:$I$1001,$A289,$C$2:$C$1001,"Confirmed")=0,"Unconfirmed","Confirmed"),"Logged")))</f>
        <v/>
      </c>
      <c r="L289" s="65" t="str">
        <f aca="false">IF($A289="","",AsOf-$B289)</f>
        <v/>
      </c>
      <c r="M289" s="65" t="str">
        <f aca="false">IF($K289="Open",IF($C289="Conflict","Critical",IF($L289&gt;=DecisionCritical,"Critical",IF($L289&gt;=DecisionWarn,"Warning","On track"))),IF($K289="Unconfirmed",IF($L289&gt;=UnconfirmedWarn,"Warning","On track"),""))</f>
        <v/>
      </c>
      <c r="N289" s="65" t="str">
        <f aca="false">IF($M289="","",IF($M289="Critical",3000,IF($M289="Warning",2000,1000))+$L289+ROW()/100000)</f>
        <v/>
      </c>
      <c r="O289" s="65" t="str">
        <f aca="false">IF($K289="Open",IF($C289="Conflict","decide "&amp;$A289&amp;": &lt;which version stands&gt;","decide "&amp;$A289&amp;": &lt;outcome&gt;"),IF($K289="Unconfirmed","confirm "&amp;$A289,""))</f>
        <v/>
      </c>
      <c r="P289" s="65" t="str">
        <f aca="false">IF(AND($C289="New",$B289&gt;=WeekStart),$B289+ROW()/100000,"")</f>
        <v/>
      </c>
      <c r="Q289" s="65" t="str">
        <f aca="false">IF(AND($C289="Know",$B289&gt;=WeekStart),$B289+ROW()/100000,"")</f>
        <v/>
      </c>
      <c r="R289" s="65" t="str">
        <f aca="false">IF(AND($K289="Open",$C289="Decision"),$L289+ROW()/100000,"")</f>
        <v/>
      </c>
      <c r="S289" s="65" t="str">
        <f aca="false">IF(AND($J289&lt;&gt;"",$J289=UCSel),$B289+ROW()/100000,"")</f>
        <v/>
      </c>
    </row>
    <row r="290" customFormat="false" ht="15" hidden="false" customHeight="false" outlineLevel="0" collapsed="false">
      <c r="A290" s="28"/>
      <c r="B290" s="63"/>
      <c r="C290" s="64"/>
      <c r="D290" s="28"/>
      <c r="E290" s="28"/>
      <c r="F290" s="28"/>
      <c r="G290" s="64"/>
      <c r="H290" s="64"/>
      <c r="I290" s="28"/>
      <c r="J290" s="28"/>
      <c r="K290" s="65" t="str">
        <f aca="false">IF($A290="","",IF(OR($C290="Decision",$C290="Conflict"),IF(COUNTIFS($I$2:$I$1001,$A290,$C$2:$C$1001,"Resolved")=0,"Open","Closed"),IF(AND($H290="Unconfirmed",OR($C290="New",$C290="Know")),IF(COUNTIFS($I$2:$I$1001,$A290,$C$2:$C$1001,"Confirmed")=0,"Unconfirmed","Confirmed"),"Logged")))</f>
        <v/>
      </c>
      <c r="L290" s="65" t="str">
        <f aca="false">IF($A290="","",AsOf-$B290)</f>
        <v/>
      </c>
      <c r="M290" s="65" t="str">
        <f aca="false">IF($K290="Open",IF($C290="Conflict","Critical",IF($L290&gt;=DecisionCritical,"Critical",IF($L290&gt;=DecisionWarn,"Warning","On track"))),IF($K290="Unconfirmed",IF($L290&gt;=UnconfirmedWarn,"Warning","On track"),""))</f>
        <v/>
      </c>
      <c r="N290" s="65" t="str">
        <f aca="false">IF($M290="","",IF($M290="Critical",3000,IF($M290="Warning",2000,1000))+$L290+ROW()/100000)</f>
        <v/>
      </c>
      <c r="O290" s="65" t="str">
        <f aca="false">IF($K290="Open",IF($C290="Conflict","decide "&amp;$A290&amp;": &lt;which version stands&gt;","decide "&amp;$A290&amp;": &lt;outcome&gt;"),IF($K290="Unconfirmed","confirm "&amp;$A290,""))</f>
        <v/>
      </c>
      <c r="P290" s="65" t="str">
        <f aca="false">IF(AND($C290="New",$B290&gt;=WeekStart),$B290+ROW()/100000,"")</f>
        <v/>
      </c>
      <c r="Q290" s="65" t="str">
        <f aca="false">IF(AND($C290="Know",$B290&gt;=WeekStart),$B290+ROW()/100000,"")</f>
        <v/>
      </c>
      <c r="R290" s="65" t="str">
        <f aca="false">IF(AND($K290="Open",$C290="Decision"),$L290+ROW()/100000,"")</f>
        <v/>
      </c>
      <c r="S290" s="65" t="str">
        <f aca="false">IF(AND($J290&lt;&gt;"",$J290=UCSel),$B290+ROW()/100000,"")</f>
        <v/>
      </c>
    </row>
    <row r="291" customFormat="false" ht="15" hidden="false" customHeight="false" outlineLevel="0" collapsed="false">
      <c r="A291" s="28"/>
      <c r="B291" s="63"/>
      <c r="C291" s="64"/>
      <c r="D291" s="28"/>
      <c r="E291" s="28"/>
      <c r="F291" s="28"/>
      <c r="G291" s="64"/>
      <c r="H291" s="64"/>
      <c r="I291" s="28"/>
      <c r="J291" s="28"/>
      <c r="K291" s="65" t="str">
        <f aca="false">IF($A291="","",IF(OR($C291="Decision",$C291="Conflict"),IF(COUNTIFS($I$2:$I$1001,$A291,$C$2:$C$1001,"Resolved")=0,"Open","Closed"),IF(AND($H291="Unconfirmed",OR($C291="New",$C291="Know")),IF(COUNTIFS($I$2:$I$1001,$A291,$C$2:$C$1001,"Confirmed")=0,"Unconfirmed","Confirmed"),"Logged")))</f>
        <v/>
      </c>
      <c r="L291" s="65" t="str">
        <f aca="false">IF($A291="","",AsOf-$B291)</f>
        <v/>
      </c>
      <c r="M291" s="65" t="str">
        <f aca="false">IF($K291="Open",IF($C291="Conflict","Critical",IF($L291&gt;=DecisionCritical,"Critical",IF($L291&gt;=DecisionWarn,"Warning","On track"))),IF($K291="Unconfirmed",IF($L291&gt;=UnconfirmedWarn,"Warning","On track"),""))</f>
        <v/>
      </c>
      <c r="N291" s="65" t="str">
        <f aca="false">IF($M291="","",IF($M291="Critical",3000,IF($M291="Warning",2000,1000))+$L291+ROW()/100000)</f>
        <v/>
      </c>
      <c r="O291" s="65" t="str">
        <f aca="false">IF($K291="Open",IF($C291="Conflict","decide "&amp;$A291&amp;": &lt;which version stands&gt;","decide "&amp;$A291&amp;": &lt;outcome&gt;"),IF($K291="Unconfirmed","confirm "&amp;$A291,""))</f>
        <v/>
      </c>
      <c r="P291" s="65" t="str">
        <f aca="false">IF(AND($C291="New",$B291&gt;=WeekStart),$B291+ROW()/100000,"")</f>
        <v/>
      </c>
      <c r="Q291" s="65" t="str">
        <f aca="false">IF(AND($C291="Know",$B291&gt;=WeekStart),$B291+ROW()/100000,"")</f>
        <v/>
      </c>
      <c r="R291" s="65" t="str">
        <f aca="false">IF(AND($K291="Open",$C291="Decision"),$L291+ROW()/100000,"")</f>
        <v/>
      </c>
      <c r="S291" s="65" t="str">
        <f aca="false">IF(AND($J291&lt;&gt;"",$J291=UCSel),$B291+ROW()/100000,"")</f>
        <v/>
      </c>
    </row>
    <row r="292" customFormat="false" ht="15" hidden="false" customHeight="false" outlineLevel="0" collapsed="false">
      <c r="A292" s="28"/>
      <c r="B292" s="63"/>
      <c r="C292" s="64"/>
      <c r="D292" s="28"/>
      <c r="E292" s="28"/>
      <c r="F292" s="28"/>
      <c r="G292" s="64"/>
      <c r="H292" s="64"/>
      <c r="I292" s="28"/>
      <c r="J292" s="28"/>
      <c r="K292" s="65" t="str">
        <f aca="false">IF($A292="","",IF(OR($C292="Decision",$C292="Conflict"),IF(COUNTIFS($I$2:$I$1001,$A292,$C$2:$C$1001,"Resolved")=0,"Open","Closed"),IF(AND($H292="Unconfirmed",OR($C292="New",$C292="Know")),IF(COUNTIFS($I$2:$I$1001,$A292,$C$2:$C$1001,"Confirmed")=0,"Unconfirmed","Confirmed"),"Logged")))</f>
        <v/>
      </c>
      <c r="L292" s="65" t="str">
        <f aca="false">IF($A292="","",AsOf-$B292)</f>
        <v/>
      </c>
      <c r="M292" s="65" t="str">
        <f aca="false">IF($K292="Open",IF($C292="Conflict","Critical",IF($L292&gt;=DecisionCritical,"Critical",IF($L292&gt;=DecisionWarn,"Warning","On track"))),IF($K292="Unconfirmed",IF($L292&gt;=UnconfirmedWarn,"Warning","On track"),""))</f>
        <v/>
      </c>
      <c r="N292" s="65" t="str">
        <f aca="false">IF($M292="","",IF($M292="Critical",3000,IF($M292="Warning",2000,1000))+$L292+ROW()/100000)</f>
        <v/>
      </c>
      <c r="O292" s="65" t="str">
        <f aca="false">IF($K292="Open",IF($C292="Conflict","decide "&amp;$A292&amp;": &lt;which version stands&gt;","decide "&amp;$A292&amp;": &lt;outcome&gt;"),IF($K292="Unconfirmed","confirm "&amp;$A292,""))</f>
        <v/>
      </c>
      <c r="P292" s="65" t="str">
        <f aca="false">IF(AND($C292="New",$B292&gt;=WeekStart),$B292+ROW()/100000,"")</f>
        <v/>
      </c>
      <c r="Q292" s="65" t="str">
        <f aca="false">IF(AND($C292="Know",$B292&gt;=WeekStart),$B292+ROW()/100000,"")</f>
        <v/>
      </c>
      <c r="R292" s="65" t="str">
        <f aca="false">IF(AND($K292="Open",$C292="Decision"),$L292+ROW()/100000,"")</f>
        <v/>
      </c>
      <c r="S292" s="65" t="str">
        <f aca="false">IF(AND($J292&lt;&gt;"",$J292=UCSel),$B292+ROW()/100000,"")</f>
        <v/>
      </c>
    </row>
    <row r="293" customFormat="false" ht="15" hidden="false" customHeight="false" outlineLevel="0" collapsed="false">
      <c r="A293" s="28"/>
      <c r="B293" s="63"/>
      <c r="C293" s="64"/>
      <c r="D293" s="28"/>
      <c r="E293" s="28"/>
      <c r="F293" s="28"/>
      <c r="G293" s="64"/>
      <c r="H293" s="64"/>
      <c r="I293" s="28"/>
      <c r="J293" s="28"/>
      <c r="K293" s="65" t="str">
        <f aca="false">IF($A293="","",IF(OR($C293="Decision",$C293="Conflict"),IF(COUNTIFS($I$2:$I$1001,$A293,$C$2:$C$1001,"Resolved")=0,"Open","Closed"),IF(AND($H293="Unconfirmed",OR($C293="New",$C293="Know")),IF(COUNTIFS($I$2:$I$1001,$A293,$C$2:$C$1001,"Confirmed")=0,"Unconfirmed","Confirmed"),"Logged")))</f>
        <v/>
      </c>
      <c r="L293" s="65" t="str">
        <f aca="false">IF($A293="","",AsOf-$B293)</f>
        <v/>
      </c>
      <c r="M293" s="65" t="str">
        <f aca="false">IF($K293="Open",IF($C293="Conflict","Critical",IF($L293&gt;=DecisionCritical,"Critical",IF($L293&gt;=DecisionWarn,"Warning","On track"))),IF($K293="Unconfirmed",IF($L293&gt;=UnconfirmedWarn,"Warning","On track"),""))</f>
        <v/>
      </c>
      <c r="N293" s="65" t="str">
        <f aca="false">IF($M293="","",IF($M293="Critical",3000,IF($M293="Warning",2000,1000))+$L293+ROW()/100000)</f>
        <v/>
      </c>
      <c r="O293" s="65" t="str">
        <f aca="false">IF($K293="Open",IF($C293="Conflict","decide "&amp;$A293&amp;": &lt;which version stands&gt;","decide "&amp;$A293&amp;": &lt;outcome&gt;"),IF($K293="Unconfirmed","confirm "&amp;$A293,""))</f>
        <v/>
      </c>
      <c r="P293" s="65" t="str">
        <f aca="false">IF(AND($C293="New",$B293&gt;=WeekStart),$B293+ROW()/100000,"")</f>
        <v/>
      </c>
      <c r="Q293" s="65" t="str">
        <f aca="false">IF(AND($C293="Know",$B293&gt;=WeekStart),$B293+ROW()/100000,"")</f>
        <v/>
      </c>
      <c r="R293" s="65" t="str">
        <f aca="false">IF(AND($K293="Open",$C293="Decision"),$L293+ROW()/100000,"")</f>
        <v/>
      </c>
      <c r="S293" s="65" t="str">
        <f aca="false">IF(AND($J293&lt;&gt;"",$J293=UCSel),$B293+ROW()/100000,"")</f>
        <v/>
      </c>
    </row>
    <row r="294" customFormat="false" ht="15" hidden="false" customHeight="false" outlineLevel="0" collapsed="false">
      <c r="A294" s="28"/>
      <c r="B294" s="63"/>
      <c r="C294" s="64"/>
      <c r="D294" s="28"/>
      <c r="E294" s="28"/>
      <c r="F294" s="28"/>
      <c r="G294" s="64"/>
      <c r="H294" s="64"/>
      <c r="I294" s="28"/>
      <c r="J294" s="28"/>
      <c r="K294" s="65" t="str">
        <f aca="false">IF($A294="","",IF(OR($C294="Decision",$C294="Conflict"),IF(COUNTIFS($I$2:$I$1001,$A294,$C$2:$C$1001,"Resolved")=0,"Open","Closed"),IF(AND($H294="Unconfirmed",OR($C294="New",$C294="Know")),IF(COUNTIFS($I$2:$I$1001,$A294,$C$2:$C$1001,"Confirmed")=0,"Unconfirmed","Confirmed"),"Logged")))</f>
        <v/>
      </c>
      <c r="L294" s="65" t="str">
        <f aca="false">IF($A294="","",AsOf-$B294)</f>
        <v/>
      </c>
      <c r="M294" s="65" t="str">
        <f aca="false">IF($K294="Open",IF($C294="Conflict","Critical",IF($L294&gt;=DecisionCritical,"Critical",IF($L294&gt;=DecisionWarn,"Warning","On track"))),IF($K294="Unconfirmed",IF($L294&gt;=UnconfirmedWarn,"Warning","On track"),""))</f>
        <v/>
      </c>
      <c r="N294" s="65" t="str">
        <f aca="false">IF($M294="","",IF($M294="Critical",3000,IF($M294="Warning",2000,1000))+$L294+ROW()/100000)</f>
        <v/>
      </c>
      <c r="O294" s="65" t="str">
        <f aca="false">IF($K294="Open",IF($C294="Conflict","decide "&amp;$A294&amp;": &lt;which version stands&gt;","decide "&amp;$A294&amp;": &lt;outcome&gt;"),IF($K294="Unconfirmed","confirm "&amp;$A294,""))</f>
        <v/>
      </c>
      <c r="P294" s="65" t="str">
        <f aca="false">IF(AND($C294="New",$B294&gt;=WeekStart),$B294+ROW()/100000,"")</f>
        <v/>
      </c>
      <c r="Q294" s="65" t="str">
        <f aca="false">IF(AND($C294="Know",$B294&gt;=WeekStart),$B294+ROW()/100000,"")</f>
        <v/>
      </c>
      <c r="R294" s="65" t="str">
        <f aca="false">IF(AND($K294="Open",$C294="Decision"),$L294+ROW()/100000,"")</f>
        <v/>
      </c>
      <c r="S294" s="65" t="str">
        <f aca="false">IF(AND($J294&lt;&gt;"",$J294=UCSel),$B294+ROW()/100000,"")</f>
        <v/>
      </c>
    </row>
    <row r="295" customFormat="false" ht="15" hidden="false" customHeight="false" outlineLevel="0" collapsed="false">
      <c r="A295" s="28"/>
      <c r="B295" s="63"/>
      <c r="C295" s="64"/>
      <c r="D295" s="28"/>
      <c r="E295" s="28"/>
      <c r="F295" s="28"/>
      <c r="G295" s="64"/>
      <c r="H295" s="64"/>
      <c r="I295" s="28"/>
      <c r="J295" s="28"/>
      <c r="K295" s="65" t="str">
        <f aca="false">IF($A295="","",IF(OR($C295="Decision",$C295="Conflict"),IF(COUNTIFS($I$2:$I$1001,$A295,$C$2:$C$1001,"Resolved")=0,"Open","Closed"),IF(AND($H295="Unconfirmed",OR($C295="New",$C295="Know")),IF(COUNTIFS($I$2:$I$1001,$A295,$C$2:$C$1001,"Confirmed")=0,"Unconfirmed","Confirmed"),"Logged")))</f>
        <v/>
      </c>
      <c r="L295" s="65" t="str">
        <f aca="false">IF($A295="","",AsOf-$B295)</f>
        <v/>
      </c>
      <c r="M295" s="65" t="str">
        <f aca="false">IF($K295="Open",IF($C295="Conflict","Critical",IF($L295&gt;=DecisionCritical,"Critical",IF($L295&gt;=DecisionWarn,"Warning","On track"))),IF($K295="Unconfirmed",IF($L295&gt;=UnconfirmedWarn,"Warning","On track"),""))</f>
        <v/>
      </c>
      <c r="N295" s="65" t="str">
        <f aca="false">IF($M295="","",IF($M295="Critical",3000,IF($M295="Warning",2000,1000))+$L295+ROW()/100000)</f>
        <v/>
      </c>
      <c r="O295" s="65" t="str">
        <f aca="false">IF($K295="Open",IF($C295="Conflict","decide "&amp;$A295&amp;": &lt;which version stands&gt;","decide "&amp;$A295&amp;": &lt;outcome&gt;"),IF($K295="Unconfirmed","confirm "&amp;$A295,""))</f>
        <v/>
      </c>
      <c r="P295" s="65" t="str">
        <f aca="false">IF(AND($C295="New",$B295&gt;=WeekStart),$B295+ROW()/100000,"")</f>
        <v/>
      </c>
      <c r="Q295" s="65" t="str">
        <f aca="false">IF(AND($C295="Know",$B295&gt;=WeekStart),$B295+ROW()/100000,"")</f>
        <v/>
      </c>
      <c r="R295" s="65" t="str">
        <f aca="false">IF(AND($K295="Open",$C295="Decision"),$L295+ROW()/100000,"")</f>
        <v/>
      </c>
      <c r="S295" s="65" t="str">
        <f aca="false">IF(AND($J295&lt;&gt;"",$J295=UCSel),$B295+ROW()/100000,"")</f>
        <v/>
      </c>
    </row>
    <row r="296" customFormat="false" ht="15" hidden="false" customHeight="false" outlineLevel="0" collapsed="false">
      <c r="A296" s="28"/>
      <c r="B296" s="63"/>
      <c r="C296" s="64"/>
      <c r="D296" s="28"/>
      <c r="E296" s="28"/>
      <c r="F296" s="28"/>
      <c r="G296" s="64"/>
      <c r="H296" s="64"/>
      <c r="I296" s="28"/>
      <c r="J296" s="28"/>
      <c r="K296" s="65" t="str">
        <f aca="false">IF($A296="","",IF(OR($C296="Decision",$C296="Conflict"),IF(COUNTIFS($I$2:$I$1001,$A296,$C$2:$C$1001,"Resolved")=0,"Open","Closed"),IF(AND($H296="Unconfirmed",OR($C296="New",$C296="Know")),IF(COUNTIFS($I$2:$I$1001,$A296,$C$2:$C$1001,"Confirmed")=0,"Unconfirmed","Confirmed"),"Logged")))</f>
        <v/>
      </c>
      <c r="L296" s="65" t="str">
        <f aca="false">IF($A296="","",AsOf-$B296)</f>
        <v/>
      </c>
      <c r="M296" s="65" t="str">
        <f aca="false">IF($K296="Open",IF($C296="Conflict","Critical",IF($L296&gt;=DecisionCritical,"Critical",IF($L296&gt;=DecisionWarn,"Warning","On track"))),IF($K296="Unconfirmed",IF($L296&gt;=UnconfirmedWarn,"Warning","On track"),""))</f>
        <v/>
      </c>
      <c r="N296" s="65" t="str">
        <f aca="false">IF($M296="","",IF($M296="Critical",3000,IF($M296="Warning",2000,1000))+$L296+ROW()/100000)</f>
        <v/>
      </c>
      <c r="O296" s="65" t="str">
        <f aca="false">IF($K296="Open",IF($C296="Conflict","decide "&amp;$A296&amp;": &lt;which version stands&gt;","decide "&amp;$A296&amp;": &lt;outcome&gt;"),IF($K296="Unconfirmed","confirm "&amp;$A296,""))</f>
        <v/>
      </c>
      <c r="P296" s="65" t="str">
        <f aca="false">IF(AND($C296="New",$B296&gt;=WeekStart),$B296+ROW()/100000,"")</f>
        <v/>
      </c>
      <c r="Q296" s="65" t="str">
        <f aca="false">IF(AND($C296="Know",$B296&gt;=WeekStart),$B296+ROW()/100000,"")</f>
        <v/>
      </c>
      <c r="R296" s="65" t="str">
        <f aca="false">IF(AND($K296="Open",$C296="Decision"),$L296+ROW()/100000,"")</f>
        <v/>
      </c>
      <c r="S296" s="65" t="str">
        <f aca="false">IF(AND($J296&lt;&gt;"",$J296=UCSel),$B296+ROW()/100000,"")</f>
        <v/>
      </c>
    </row>
    <row r="297" customFormat="false" ht="15" hidden="false" customHeight="false" outlineLevel="0" collapsed="false">
      <c r="A297" s="28"/>
      <c r="B297" s="63"/>
      <c r="C297" s="64"/>
      <c r="D297" s="28"/>
      <c r="E297" s="28"/>
      <c r="F297" s="28"/>
      <c r="G297" s="64"/>
      <c r="H297" s="64"/>
      <c r="I297" s="28"/>
      <c r="J297" s="28"/>
      <c r="K297" s="65" t="str">
        <f aca="false">IF($A297="","",IF(OR($C297="Decision",$C297="Conflict"),IF(COUNTIFS($I$2:$I$1001,$A297,$C$2:$C$1001,"Resolved")=0,"Open","Closed"),IF(AND($H297="Unconfirmed",OR($C297="New",$C297="Know")),IF(COUNTIFS($I$2:$I$1001,$A297,$C$2:$C$1001,"Confirmed")=0,"Unconfirmed","Confirmed"),"Logged")))</f>
        <v/>
      </c>
      <c r="L297" s="65" t="str">
        <f aca="false">IF($A297="","",AsOf-$B297)</f>
        <v/>
      </c>
      <c r="M297" s="65" t="str">
        <f aca="false">IF($K297="Open",IF($C297="Conflict","Critical",IF($L297&gt;=DecisionCritical,"Critical",IF($L297&gt;=DecisionWarn,"Warning","On track"))),IF($K297="Unconfirmed",IF($L297&gt;=UnconfirmedWarn,"Warning","On track"),""))</f>
        <v/>
      </c>
      <c r="N297" s="65" t="str">
        <f aca="false">IF($M297="","",IF($M297="Critical",3000,IF($M297="Warning",2000,1000))+$L297+ROW()/100000)</f>
        <v/>
      </c>
      <c r="O297" s="65" t="str">
        <f aca="false">IF($K297="Open",IF($C297="Conflict","decide "&amp;$A297&amp;": &lt;which version stands&gt;","decide "&amp;$A297&amp;": &lt;outcome&gt;"),IF($K297="Unconfirmed","confirm "&amp;$A297,""))</f>
        <v/>
      </c>
      <c r="P297" s="65" t="str">
        <f aca="false">IF(AND($C297="New",$B297&gt;=WeekStart),$B297+ROW()/100000,"")</f>
        <v/>
      </c>
      <c r="Q297" s="65" t="str">
        <f aca="false">IF(AND($C297="Know",$B297&gt;=WeekStart),$B297+ROW()/100000,"")</f>
        <v/>
      </c>
      <c r="R297" s="65" t="str">
        <f aca="false">IF(AND($K297="Open",$C297="Decision"),$L297+ROW()/100000,"")</f>
        <v/>
      </c>
      <c r="S297" s="65" t="str">
        <f aca="false">IF(AND($J297&lt;&gt;"",$J297=UCSel),$B297+ROW()/100000,"")</f>
        <v/>
      </c>
    </row>
    <row r="298" customFormat="false" ht="15" hidden="false" customHeight="false" outlineLevel="0" collapsed="false">
      <c r="A298" s="28"/>
      <c r="B298" s="63"/>
      <c r="C298" s="64"/>
      <c r="D298" s="28"/>
      <c r="E298" s="28"/>
      <c r="F298" s="28"/>
      <c r="G298" s="64"/>
      <c r="H298" s="64"/>
      <c r="I298" s="28"/>
      <c r="J298" s="28"/>
      <c r="K298" s="65" t="str">
        <f aca="false">IF($A298="","",IF(OR($C298="Decision",$C298="Conflict"),IF(COUNTIFS($I$2:$I$1001,$A298,$C$2:$C$1001,"Resolved")=0,"Open","Closed"),IF(AND($H298="Unconfirmed",OR($C298="New",$C298="Know")),IF(COUNTIFS($I$2:$I$1001,$A298,$C$2:$C$1001,"Confirmed")=0,"Unconfirmed","Confirmed"),"Logged")))</f>
        <v/>
      </c>
      <c r="L298" s="65" t="str">
        <f aca="false">IF($A298="","",AsOf-$B298)</f>
        <v/>
      </c>
      <c r="M298" s="65" t="str">
        <f aca="false">IF($K298="Open",IF($C298="Conflict","Critical",IF($L298&gt;=DecisionCritical,"Critical",IF($L298&gt;=DecisionWarn,"Warning","On track"))),IF($K298="Unconfirmed",IF($L298&gt;=UnconfirmedWarn,"Warning","On track"),""))</f>
        <v/>
      </c>
      <c r="N298" s="65" t="str">
        <f aca="false">IF($M298="","",IF($M298="Critical",3000,IF($M298="Warning",2000,1000))+$L298+ROW()/100000)</f>
        <v/>
      </c>
      <c r="O298" s="65" t="str">
        <f aca="false">IF($K298="Open",IF($C298="Conflict","decide "&amp;$A298&amp;": &lt;which version stands&gt;","decide "&amp;$A298&amp;": &lt;outcome&gt;"),IF($K298="Unconfirmed","confirm "&amp;$A298,""))</f>
        <v/>
      </c>
      <c r="P298" s="65" t="str">
        <f aca="false">IF(AND($C298="New",$B298&gt;=WeekStart),$B298+ROW()/100000,"")</f>
        <v/>
      </c>
      <c r="Q298" s="65" t="str">
        <f aca="false">IF(AND($C298="Know",$B298&gt;=WeekStart),$B298+ROW()/100000,"")</f>
        <v/>
      </c>
      <c r="R298" s="65" t="str">
        <f aca="false">IF(AND($K298="Open",$C298="Decision"),$L298+ROW()/100000,"")</f>
        <v/>
      </c>
      <c r="S298" s="65" t="str">
        <f aca="false">IF(AND($J298&lt;&gt;"",$J298=UCSel),$B298+ROW()/100000,"")</f>
        <v/>
      </c>
    </row>
    <row r="299" customFormat="false" ht="15" hidden="false" customHeight="false" outlineLevel="0" collapsed="false">
      <c r="A299" s="28"/>
      <c r="B299" s="63"/>
      <c r="C299" s="64"/>
      <c r="D299" s="28"/>
      <c r="E299" s="28"/>
      <c r="F299" s="28"/>
      <c r="G299" s="64"/>
      <c r="H299" s="64"/>
      <c r="I299" s="28"/>
      <c r="J299" s="28"/>
      <c r="K299" s="65" t="str">
        <f aca="false">IF($A299="","",IF(OR($C299="Decision",$C299="Conflict"),IF(COUNTIFS($I$2:$I$1001,$A299,$C$2:$C$1001,"Resolved")=0,"Open","Closed"),IF(AND($H299="Unconfirmed",OR($C299="New",$C299="Know")),IF(COUNTIFS($I$2:$I$1001,$A299,$C$2:$C$1001,"Confirmed")=0,"Unconfirmed","Confirmed"),"Logged")))</f>
        <v/>
      </c>
      <c r="L299" s="65" t="str">
        <f aca="false">IF($A299="","",AsOf-$B299)</f>
        <v/>
      </c>
      <c r="M299" s="65" t="str">
        <f aca="false">IF($K299="Open",IF($C299="Conflict","Critical",IF($L299&gt;=DecisionCritical,"Critical",IF($L299&gt;=DecisionWarn,"Warning","On track"))),IF($K299="Unconfirmed",IF($L299&gt;=UnconfirmedWarn,"Warning","On track"),""))</f>
        <v/>
      </c>
      <c r="N299" s="65" t="str">
        <f aca="false">IF($M299="","",IF($M299="Critical",3000,IF($M299="Warning",2000,1000))+$L299+ROW()/100000)</f>
        <v/>
      </c>
      <c r="O299" s="65" t="str">
        <f aca="false">IF($K299="Open",IF($C299="Conflict","decide "&amp;$A299&amp;": &lt;which version stands&gt;","decide "&amp;$A299&amp;": &lt;outcome&gt;"),IF($K299="Unconfirmed","confirm "&amp;$A299,""))</f>
        <v/>
      </c>
      <c r="P299" s="65" t="str">
        <f aca="false">IF(AND($C299="New",$B299&gt;=WeekStart),$B299+ROW()/100000,"")</f>
        <v/>
      </c>
      <c r="Q299" s="65" t="str">
        <f aca="false">IF(AND($C299="Know",$B299&gt;=WeekStart),$B299+ROW()/100000,"")</f>
        <v/>
      </c>
      <c r="R299" s="65" t="str">
        <f aca="false">IF(AND($K299="Open",$C299="Decision"),$L299+ROW()/100000,"")</f>
        <v/>
      </c>
      <c r="S299" s="65" t="str">
        <f aca="false">IF(AND($J299&lt;&gt;"",$J299=UCSel),$B299+ROW()/100000,"")</f>
        <v/>
      </c>
    </row>
    <row r="300" customFormat="false" ht="15" hidden="false" customHeight="false" outlineLevel="0" collapsed="false">
      <c r="A300" s="28"/>
      <c r="B300" s="63"/>
      <c r="C300" s="64"/>
      <c r="D300" s="28"/>
      <c r="E300" s="28"/>
      <c r="F300" s="28"/>
      <c r="G300" s="64"/>
      <c r="H300" s="64"/>
      <c r="I300" s="28"/>
      <c r="J300" s="28"/>
      <c r="K300" s="65" t="str">
        <f aca="false">IF($A300="","",IF(OR($C300="Decision",$C300="Conflict"),IF(COUNTIFS($I$2:$I$1001,$A300,$C$2:$C$1001,"Resolved")=0,"Open","Closed"),IF(AND($H300="Unconfirmed",OR($C300="New",$C300="Know")),IF(COUNTIFS($I$2:$I$1001,$A300,$C$2:$C$1001,"Confirmed")=0,"Unconfirmed","Confirmed"),"Logged")))</f>
        <v/>
      </c>
      <c r="L300" s="65" t="str">
        <f aca="false">IF($A300="","",AsOf-$B300)</f>
        <v/>
      </c>
      <c r="M300" s="65" t="str">
        <f aca="false">IF($K300="Open",IF($C300="Conflict","Critical",IF($L300&gt;=DecisionCritical,"Critical",IF($L300&gt;=DecisionWarn,"Warning","On track"))),IF($K300="Unconfirmed",IF($L300&gt;=UnconfirmedWarn,"Warning","On track"),""))</f>
        <v/>
      </c>
      <c r="N300" s="65" t="str">
        <f aca="false">IF($M300="","",IF($M300="Critical",3000,IF($M300="Warning",2000,1000))+$L300+ROW()/100000)</f>
        <v/>
      </c>
      <c r="O300" s="65" t="str">
        <f aca="false">IF($K300="Open",IF($C300="Conflict","decide "&amp;$A300&amp;": &lt;which version stands&gt;","decide "&amp;$A300&amp;": &lt;outcome&gt;"),IF($K300="Unconfirmed","confirm "&amp;$A300,""))</f>
        <v/>
      </c>
      <c r="P300" s="65" t="str">
        <f aca="false">IF(AND($C300="New",$B300&gt;=WeekStart),$B300+ROW()/100000,"")</f>
        <v/>
      </c>
      <c r="Q300" s="65" t="str">
        <f aca="false">IF(AND($C300="Know",$B300&gt;=WeekStart),$B300+ROW()/100000,"")</f>
        <v/>
      </c>
      <c r="R300" s="65" t="str">
        <f aca="false">IF(AND($K300="Open",$C300="Decision"),$L300+ROW()/100000,"")</f>
        <v/>
      </c>
      <c r="S300" s="65" t="str">
        <f aca="false">IF(AND($J300&lt;&gt;"",$J300=UCSel),$B300+ROW()/100000,"")</f>
        <v/>
      </c>
    </row>
    <row r="301" customFormat="false" ht="15" hidden="false" customHeight="false" outlineLevel="0" collapsed="false">
      <c r="A301" s="28"/>
      <c r="B301" s="63"/>
      <c r="C301" s="64"/>
      <c r="D301" s="28"/>
      <c r="E301" s="28"/>
      <c r="F301" s="28"/>
      <c r="G301" s="64"/>
      <c r="H301" s="64"/>
      <c r="I301" s="28"/>
      <c r="J301" s="28"/>
      <c r="K301" s="65" t="str">
        <f aca="false">IF($A301="","",IF(OR($C301="Decision",$C301="Conflict"),IF(COUNTIFS($I$2:$I$1001,$A301,$C$2:$C$1001,"Resolved")=0,"Open","Closed"),IF(AND($H301="Unconfirmed",OR($C301="New",$C301="Know")),IF(COUNTIFS($I$2:$I$1001,$A301,$C$2:$C$1001,"Confirmed")=0,"Unconfirmed","Confirmed"),"Logged")))</f>
        <v/>
      </c>
      <c r="L301" s="65" t="str">
        <f aca="false">IF($A301="","",AsOf-$B301)</f>
        <v/>
      </c>
      <c r="M301" s="65" t="str">
        <f aca="false">IF($K301="Open",IF($C301="Conflict","Critical",IF($L301&gt;=DecisionCritical,"Critical",IF($L301&gt;=DecisionWarn,"Warning","On track"))),IF($K301="Unconfirmed",IF($L301&gt;=UnconfirmedWarn,"Warning","On track"),""))</f>
        <v/>
      </c>
      <c r="N301" s="65" t="str">
        <f aca="false">IF($M301="","",IF($M301="Critical",3000,IF($M301="Warning",2000,1000))+$L301+ROW()/100000)</f>
        <v/>
      </c>
      <c r="O301" s="65" t="str">
        <f aca="false">IF($K301="Open",IF($C301="Conflict","decide "&amp;$A301&amp;": &lt;which version stands&gt;","decide "&amp;$A301&amp;": &lt;outcome&gt;"),IF($K301="Unconfirmed","confirm "&amp;$A301,""))</f>
        <v/>
      </c>
      <c r="P301" s="65" t="str">
        <f aca="false">IF(AND($C301="New",$B301&gt;=WeekStart),$B301+ROW()/100000,"")</f>
        <v/>
      </c>
      <c r="Q301" s="65" t="str">
        <f aca="false">IF(AND($C301="Know",$B301&gt;=WeekStart),$B301+ROW()/100000,"")</f>
        <v/>
      </c>
      <c r="R301" s="65" t="str">
        <f aca="false">IF(AND($K301="Open",$C301="Decision"),$L301+ROW()/100000,"")</f>
        <v/>
      </c>
      <c r="S301" s="65" t="str">
        <f aca="false">IF(AND($J301&lt;&gt;"",$J301=UCSel),$B301+ROW()/100000,"")</f>
        <v/>
      </c>
    </row>
    <row r="302" customFormat="false" ht="15" hidden="false" customHeight="false" outlineLevel="0" collapsed="false">
      <c r="A302" s="28"/>
      <c r="B302" s="63"/>
      <c r="C302" s="64"/>
      <c r="D302" s="28"/>
      <c r="E302" s="28"/>
      <c r="F302" s="28"/>
      <c r="G302" s="64"/>
      <c r="H302" s="64"/>
      <c r="I302" s="28"/>
      <c r="J302" s="28"/>
      <c r="K302" s="65" t="str">
        <f aca="false">IF($A302="","",IF(OR($C302="Decision",$C302="Conflict"),IF(COUNTIFS($I$2:$I$1001,$A302,$C$2:$C$1001,"Resolved")=0,"Open","Closed"),IF(AND($H302="Unconfirmed",OR($C302="New",$C302="Know")),IF(COUNTIFS($I$2:$I$1001,$A302,$C$2:$C$1001,"Confirmed")=0,"Unconfirmed","Confirmed"),"Logged")))</f>
        <v/>
      </c>
      <c r="L302" s="65" t="str">
        <f aca="false">IF($A302="","",AsOf-$B302)</f>
        <v/>
      </c>
      <c r="M302" s="65" t="str">
        <f aca="false">IF($K302="Open",IF($C302="Conflict","Critical",IF($L302&gt;=DecisionCritical,"Critical",IF($L302&gt;=DecisionWarn,"Warning","On track"))),IF($K302="Unconfirmed",IF($L302&gt;=UnconfirmedWarn,"Warning","On track"),""))</f>
        <v/>
      </c>
      <c r="N302" s="65" t="str">
        <f aca="false">IF($M302="","",IF($M302="Critical",3000,IF($M302="Warning",2000,1000))+$L302+ROW()/100000)</f>
        <v/>
      </c>
      <c r="O302" s="65" t="str">
        <f aca="false">IF($K302="Open",IF($C302="Conflict","decide "&amp;$A302&amp;": &lt;which version stands&gt;","decide "&amp;$A302&amp;": &lt;outcome&gt;"),IF($K302="Unconfirmed","confirm "&amp;$A302,""))</f>
        <v/>
      </c>
      <c r="P302" s="65" t="str">
        <f aca="false">IF(AND($C302="New",$B302&gt;=WeekStart),$B302+ROW()/100000,"")</f>
        <v/>
      </c>
      <c r="Q302" s="65" t="str">
        <f aca="false">IF(AND($C302="Know",$B302&gt;=WeekStart),$B302+ROW()/100000,"")</f>
        <v/>
      </c>
      <c r="R302" s="65" t="str">
        <f aca="false">IF(AND($K302="Open",$C302="Decision"),$L302+ROW()/100000,"")</f>
        <v/>
      </c>
      <c r="S302" s="65" t="str">
        <f aca="false">IF(AND($J302&lt;&gt;"",$J302=UCSel),$B302+ROW()/100000,"")</f>
        <v/>
      </c>
    </row>
    <row r="303" customFormat="false" ht="15" hidden="false" customHeight="false" outlineLevel="0" collapsed="false">
      <c r="A303" s="28"/>
      <c r="B303" s="63"/>
      <c r="C303" s="64"/>
      <c r="D303" s="28"/>
      <c r="E303" s="28"/>
      <c r="F303" s="28"/>
      <c r="G303" s="64"/>
      <c r="H303" s="64"/>
      <c r="I303" s="28"/>
      <c r="J303" s="28"/>
      <c r="K303" s="65" t="str">
        <f aca="false">IF($A303="","",IF(OR($C303="Decision",$C303="Conflict"),IF(COUNTIFS($I$2:$I$1001,$A303,$C$2:$C$1001,"Resolved")=0,"Open","Closed"),IF(AND($H303="Unconfirmed",OR($C303="New",$C303="Know")),IF(COUNTIFS($I$2:$I$1001,$A303,$C$2:$C$1001,"Confirmed")=0,"Unconfirmed","Confirmed"),"Logged")))</f>
        <v/>
      </c>
      <c r="L303" s="65" t="str">
        <f aca="false">IF($A303="","",AsOf-$B303)</f>
        <v/>
      </c>
      <c r="M303" s="65" t="str">
        <f aca="false">IF($K303="Open",IF($C303="Conflict","Critical",IF($L303&gt;=DecisionCritical,"Critical",IF($L303&gt;=DecisionWarn,"Warning","On track"))),IF($K303="Unconfirmed",IF($L303&gt;=UnconfirmedWarn,"Warning","On track"),""))</f>
        <v/>
      </c>
      <c r="N303" s="65" t="str">
        <f aca="false">IF($M303="","",IF($M303="Critical",3000,IF($M303="Warning",2000,1000))+$L303+ROW()/100000)</f>
        <v/>
      </c>
      <c r="O303" s="65" t="str">
        <f aca="false">IF($K303="Open",IF($C303="Conflict","decide "&amp;$A303&amp;": &lt;which version stands&gt;","decide "&amp;$A303&amp;": &lt;outcome&gt;"),IF($K303="Unconfirmed","confirm "&amp;$A303,""))</f>
        <v/>
      </c>
      <c r="P303" s="65" t="str">
        <f aca="false">IF(AND($C303="New",$B303&gt;=WeekStart),$B303+ROW()/100000,"")</f>
        <v/>
      </c>
      <c r="Q303" s="65" t="str">
        <f aca="false">IF(AND($C303="Know",$B303&gt;=WeekStart),$B303+ROW()/100000,"")</f>
        <v/>
      </c>
      <c r="R303" s="65" t="str">
        <f aca="false">IF(AND($K303="Open",$C303="Decision"),$L303+ROW()/100000,"")</f>
        <v/>
      </c>
      <c r="S303" s="65" t="str">
        <f aca="false">IF(AND($J303&lt;&gt;"",$J303=UCSel),$B303+ROW()/100000,"")</f>
        <v/>
      </c>
    </row>
    <row r="304" customFormat="false" ht="15" hidden="false" customHeight="false" outlineLevel="0" collapsed="false">
      <c r="A304" s="28"/>
      <c r="B304" s="63"/>
      <c r="C304" s="64"/>
      <c r="D304" s="28"/>
      <c r="E304" s="28"/>
      <c r="F304" s="28"/>
      <c r="G304" s="64"/>
      <c r="H304" s="64"/>
      <c r="I304" s="28"/>
      <c r="J304" s="28"/>
      <c r="K304" s="65" t="str">
        <f aca="false">IF($A304="","",IF(OR($C304="Decision",$C304="Conflict"),IF(COUNTIFS($I$2:$I$1001,$A304,$C$2:$C$1001,"Resolved")=0,"Open","Closed"),IF(AND($H304="Unconfirmed",OR($C304="New",$C304="Know")),IF(COUNTIFS($I$2:$I$1001,$A304,$C$2:$C$1001,"Confirmed")=0,"Unconfirmed","Confirmed"),"Logged")))</f>
        <v/>
      </c>
      <c r="L304" s="65" t="str">
        <f aca="false">IF($A304="","",AsOf-$B304)</f>
        <v/>
      </c>
      <c r="M304" s="65" t="str">
        <f aca="false">IF($K304="Open",IF($C304="Conflict","Critical",IF($L304&gt;=DecisionCritical,"Critical",IF($L304&gt;=DecisionWarn,"Warning","On track"))),IF($K304="Unconfirmed",IF($L304&gt;=UnconfirmedWarn,"Warning","On track"),""))</f>
        <v/>
      </c>
      <c r="N304" s="65" t="str">
        <f aca="false">IF($M304="","",IF($M304="Critical",3000,IF($M304="Warning",2000,1000))+$L304+ROW()/100000)</f>
        <v/>
      </c>
      <c r="O304" s="65" t="str">
        <f aca="false">IF($K304="Open",IF($C304="Conflict","decide "&amp;$A304&amp;": &lt;which version stands&gt;","decide "&amp;$A304&amp;": &lt;outcome&gt;"),IF($K304="Unconfirmed","confirm "&amp;$A304,""))</f>
        <v/>
      </c>
      <c r="P304" s="65" t="str">
        <f aca="false">IF(AND($C304="New",$B304&gt;=WeekStart),$B304+ROW()/100000,"")</f>
        <v/>
      </c>
      <c r="Q304" s="65" t="str">
        <f aca="false">IF(AND($C304="Know",$B304&gt;=WeekStart),$B304+ROW()/100000,"")</f>
        <v/>
      </c>
      <c r="R304" s="65" t="str">
        <f aca="false">IF(AND($K304="Open",$C304="Decision"),$L304+ROW()/100000,"")</f>
        <v/>
      </c>
      <c r="S304" s="65" t="str">
        <f aca="false">IF(AND($J304&lt;&gt;"",$J304=UCSel),$B304+ROW()/100000,"")</f>
        <v/>
      </c>
    </row>
    <row r="305" customFormat="false" ht="15" hidden="false" customHeight="false" outlineLevel="0" collapsed="false">
      <c r="A305" s="28"/>
      <c r="B305" s="63"/>
      <c r="C305" s="64"/>
      <c r="D305" s="28"/>
      <c r="E305" s="28"/>
      <c r="F305" s="28"/>
      <c r="G305" s="64"/>
      <c r="H305" s="64"/>
      <c r="I305" s="28"/>
      <c r="J305" s="28"/>
      <c r="K305" s="65" t="str">
        <f aca="false">IF($A305="","",IF(OR($C305="Decision",$C305="Conflict"),IF(COUNTIFS($I$2:$I$1001,$A305,$C$2:$C$1001,"Resolved")=0,"Open","Closed"),IF(AND($H305="Unconfirmed",OR($C305="New",$C305="Know")),IF(COUNTIFS($I$2:$I$1001,$A305,$C$2:$C$1001,"Confirmed")=0,"Unconfirmed","Confirmed"),"Logged")))</f>
        <v/>
      </c>
      <c r="L305" s="65" t="str">
        <f aca="false">IF($A305="","",AsOf-$B305)</f>
        <v/>
      </c>
      <c r="M305" s="65" t="str">
        <f aca="false">IF($K305="Open",IF($C305="Conflict","Critical",IF($L305&gt;=DecisionCritical,"Critical",IF($L305&gt;=DecisionWarn,"Warning","On track"))),IF($K305="Unconfirmed",IF($L305&gt;=UnconfirmedWarn,"Warning","On track"),""))</f>
        <v/>
      </c>
      <c r="N305" s="65" t="str">
        <f aca="false">IF($M305="","",IF($M305="Critical",3000,IF($M305="Warning",2000,1000))+$L305+ROW()/100000)</f>
        <v/>
      </c>
      <c r="O305" s="65" t="str">
        <f aca="false">IF($K305="Open",IF($C305="Conflict","decide "&amp;$A305&amp;": &lt;which version stands&gt;","decide "&amp;$A305&amp;": &lt;outcome&gt;"),IF($K305="Unconfirmed","confirm "&amp;$A305,""))</f>
        <v/>
      </c>
      <c r="P305" s="65" t="str">
        <f aca="false">IF(AND($C305="New",$B305&gt;=WeekStart),$B305+ROW()/100000,"")</f>
        <v/>
      </c>
      <c r="Q305" s="65" t="str">
        <f aca="false">IF(AND($C305="Know",$B305&gt;=WeekStart),$B305+ROW()/100000,"")</f>
        <v/>
      </c>
      <c r="R305" s="65" t="str">
        <f aca="false">IF(AND($K305="Open",$C305="Decision"),$L305+ROW()/100000,"")</f>
        <v/>
      </c>
      <c r="S305" s="65" t="str">
        <f aca="false">IF(AND($J305&lt;&gt;"",$J305=UCSel),$B305+ROW()/100000,"")</f>
        <v/>
      </c>
    </row>
    <row r="306" customFormat="false" ht="15" hidden="false" customHeight="false" outlineLevel="0" collapsed="false">
      <c r="A306" s="28"/>
      <c r="B306" s="63"/>
      <c r="C306" s="64"/>
      <c r="D306" s="28"/>
      <c r="E306" s="28"/>
      <c r="F306" s="28"/>
      <c r="G306" s="64"/>
      <c r="H306" s="64"/>
      <c r="I306" s="28"/>
      <c r="J306" s="28"/>
      <c r="K306" s="65" t="str">
        <f aca="false">IF($A306="","",IF(OR($C306="Decision",$C306="Conflict"),IF(COUNTIFS($I$2:$I$1001,$A306,$C$2:$C$1001,"Resolved")=0,"Open","Closed"),IF(AND($H306="Unconfirmed",OR($C306="New",$C306="Know")),IF(COUNTIFS($I$2:$I$1001,$A306,$C$2:$C$1001,"Confirmed")=0,"Unconfirmed","Confirmed"),"Logged")))</f>
        <v/>
      </c>
      <c r="L306" s="65" t="str">
        <f aca="false">IF($A306="","",AsOf-$B306)</f>
        <v/>
      </c>
      <c r="M306" s="65" t="str">
        <f aca="false">IF($K306="Open",IF($C306="Conflict","Critical",IF($L306&gt;=DecisionCritical,"Critical",IF($L306&gt;=DecisionWarn,"Warning","On track"))),IF($K306="Unconfirmed",IF($L306&gt;=UnconfirmedWarn,"Warning","On track"),""))</f>
        <v/>
      </c>
      <c r="N306" s="65" t="str">
        <f aca="false">IF($M306="","",IF($M306="Critical",3000,IF($M306="Warning",2000,1000))+$L306+ROW()/100000)</f>
        <v/>
      </c>
      <c r="O306" s="65" t="str">
        <f aca="false">IF($K306="Open",IF($C306="Conflict","decide "&amp;$A306&amp;": &lt;which version stands&gt;","decide "&amp;$A306&amp;": &lt;outcome&gt;"),IF($K306="Unconfirmed","confirm "&amp;$A306,""))</f>
        <v/>
      </c>
      <c r="P306" s="65" t="str">
        <f aca="false">IF(AND($C306="New",$B306&gt;=WeekStart),$B306+ROW()/100000,"")</f>
        <v/>
      </c>
      <c r="Q306" s="65" t="str">
        <f aca="false">IF(AND($C306="Know",$B306&gt;=WeekStart),$B306+ROW()/100000,"")</f>
        <v/>
      </c>
      <c r="R306" s="65" t="str">
        <f aca="false">IF(AND($K306="Open",$C306="Decision"),$L306+ROW()/100000,"")</f>
        <v/>
      </c>
      <c r="S306" s="65" t="str">
        <f aca="false">IF(AND($J306&lt;&gt;"",$J306=UCSel),$B306+ROW()/100000,"")</f>
        <v/>
      </c>
    </row>
    <row r="307" customFormat="false" ht="15" hidden="false" customHeight="false" outlineLevel="0" collapsed="false">
      <c r="A307" s="28"/>
      <c r="B307" s="63"/>
      <c r="C307" s="64"/>
      <c r="D307" s="28"/>
      <c r="E307" s="28"/>
      <c r="F307" s="28"/>
      <c r="G307" s="64"/>
      <c r="H307" s="64"/>
      <c r="I307" s="28"/>
      <c r="J307" s="28"/>
      <c r="K307" s="65" t="str">
        <f aca="false">IF($A307="","",IF(OR($C307="Decision",$C307="Conflict"),IF(COUNTIFS($I$2:$I$1001,$A307,$C$2:$C$1001,"Resolved")=0,"Open","Closed"),IF(AND($H307="Unconfirmed",OR($C307="New",$C307="Know")),IF(COUNTIFS($I$2:$I$1001,$A307,$C$2:$C$1001,"Confirmed")=0,"Unconfirmed","Confirmed"),"Logged")))</f>
        <v/>
      </c>
      <c r="L307" s="65" t="str">
        <f aca="false">IF($A307="","",AsOf-$B307)</f>
        <v/>
      </c>
      <c r="M307" s="65" t="str">
        <f aca="false">IF($K307="Open",IF($C307="Conflict","Critical",IF($L307&gt;=DecisionCritical,"Critical",IF($L307&gt;=DecisionWarn,"Warning","On track"))),IF($K307="Unconfirmed",IF($L307&gt;=UnconfirmedWarn,"Warning","On track"),""))</f>
        <v/>
      </c>
      <c r="N307" s="65" t="str">
        <f aca="false">IF($M307="","",IF($M307="Critical",3000,IF($M307="Warning",2000,1000))+$L307+ROW()/100000)</f>
        <v/>
      </c>
      <c r="O307" s="65" t="str">
        <f aca="false">IF($K307="Open",IF($C307="Conflict","decide "&amp;$A307&amp;": &lt;which version stands&gt;","decide "&amp;$A307&amp;": &lt;outcome&gt;"),IF($K307="Unconfirmed","confirm "&amp;$A307,""))</f>
        <v/>
      </c>
      <c r="P307" s="65" t="str">
        <f aca="false">IF(AND($C307="New",$B307&gt;=WeekStart),$B307+ROW()/100000,"")</f>
        <v/>
      </c>
      <c r="Q307" s="65" t="str">
        <f aca="false">IF(AND($C307="Know",$B307&gt;=WeekStart),$B307+ROW()/100000,"")</f>
        <v/>
      </c>
      <c r="R307" s="65" t="str">
        <f aca="false">IF(AND($K307="Open",$C307="Decision"),$L307+ROW()/100000,"")</f>
        <v/>
      </c>
      <c r="S307" s="65" t="str">
        <f aca="false">IF(AND($J307&lt;&gt;"",$J307=UCSel),$B307+ROW()/100000,"")</f>
        <v/>
      </c>
    </row>
    <row r="308" customFormat="false" ht="15" hidden="false" customHeight="false" outlineLevel="0" collapsed="false">
      <c r="A308" s="28"/>
      <c r="B308" s="63"/>
      <c r="C308" s="64"/>
      <c r="D308" s="28"/>
      <c r="E308" s="28"/>
      <c r="F308" s="28"/>
      <c r="G308" s="64"/>
      <c r="H308" s="64"/>
      <c r="I308" s="28"/>
      <c r="J308" s="28"/>
      <c r="K308" s="65" t="str">
        <f aca="false">IF($A308="","",IF(OR($C308="Decision",$C308="Conflict"),IF(COUNTIFS($I$2:$I$1001,$A308,$C$2:$C$1001,"Resolved")=0,"Open","Closed"),IF(AND($H308="Unconfirmed",OR($C308="New",$C308="Know")),IF(COUNTIFS($I$2:$I$1001,$A308,$C$2:$C$1001,"Confirmed")=0,"Unconfirmed","Confirmed"),"Logged")))</f>
        <v/>
      </c>
      <c r="L308" s="65" t="str">
        <f aca="false">IF($A308="","",AsOf-$B308)</f>
        <v/>
      </c>
      <c r="M308" s="65" t="str">
        <f aca="false">IF($K308="Open",IF($C308="Conflict","Critical",IF($L308&gt;=DecisionCritical,"Critical",IF($L308&gt;=DecisionWarn,"Warning","On track"))),IF($K308="Unconfirmed",IF($L308&gt;=UnconfirmedWarn,"Warning","On track"),""))</f>
        <v/>
      </c>
      <c r="N308" s="65" t="str">
        <f aca="false">IF($M308="","",IF($M308="Critical",3000,IF($M308="Warning",2000,1000))+$L308+ROW()/100000)</f>
        <v/>
      </c>
      <c r="O308" s="65" t="str">
        <f aca="false">IF($K308="Open",IF($C308="Conflict","decide "&amp;$A308&amp;": &lt;which version stands&gt;","decide "&amp;$A308&amp;": &lt;outcome&gt;"),IF($K308="Unconfirmed","confirm "&amp;$A308,""))</f>
        <v/>
      </c>
      <c r="P308" s="65" t="str">
        <f aca="false">IF(AND($C308="New",$B308&gt;=WeekStart),$B308+ROW()/100000,"")</f>
        <v/>
      </c>
      <c r="Q308" s="65" t="str">
        <f aca="false">IF(AND($C308="Know",$B308&gt;=WeekStart),$B308+ROW()/100000,"")</f>
        <v/>
      </c>
      <c r="R308" s="65" t="str">
        <f aca="false">IF(AND($K308="Open",$C308="Decision"),$L308+ROW()/100000,"")</f>
        <v/>
      </c>
      <c r="S308" s="65" t="str">
        <f aca="false">IF(AND($J308&lt;&gt;"",$J308=UCSel),$B308+ROW()/100000,"")</f>
        <v/>
      </c>
    </row>
    <row r="309" customFormat="false" ht="15" hidden="false" customHeight="false" outlineLevel="0" collapsed="false">
      <c r="A309" s="28"/>
      <c r="B309" s="63"/>
      <c r="C309" s="64"/>
      <c r="D309" s="28"/>
      <c r="E309" s="28"/>
      <c r="F309" s="28"/>
      <c r="G309" s="64"/>
      <c r="H309" s="64"/>
      <c r="I309" s="28"/>
      <c r="J309" s="28"/>
      <c r="K309" s="65" t="str">
        <f aca="false">IF($A309="","",IF(OR($C309="Decision",$C309="Conflict"),IF(COUNTIFS($I$2:$I$1001,$A309,$C$2:$C$1001,"Resolved")=0,"Open","Closed"),IF(AND($H309="Unconfirmed",OR($C309="New",$C309="Know")),IF(COUNTIFS($I$2:$I$1001,$A309,$C$2:$C$1001,"Confirmed")=0,"Unconfirmed","Confirmed"),"Logged")))</f>
        <v/>
      </c>
      <c r="L309" s="65" t="str">
        <f aca="false">IF($A309="","",AsOf-$B309)</f>
        <v/>
      </c>
      <c r="M309" s="65" t="str">
        <f aca="false">IF($K309="Open",IF($C309="Conflict","Critical",IF($L309&gt;=DecisionCritical,"Critical",IF($L309&gt;=DecisionWarn,"Warning","On track"))),IF($K309="Unconfirmed",IF($L309&gt;=UnconfirmedWarn,"Warning","On track"),""))</f>
        <v/>
      </c>
      <c r="N309" s="65" t="str">
        <f aca="false">IF($M309="","",IF($M309="Critical",3000,IF($M309="Warning",2000,1000))+$L309+ROW()/100000)</f>
        <v/>
      </c>
      <c r="O309" s="65" t="str">
        <f aca="false">IF($K309="Open",IF($C309="Conflict","decide "&amp;$A309&amp;": &lt;which version stands&gt;","decide "&amp;$A309&amp;": &lt;outcome&gt;"),IF($K309="Unconfirmed","confirm "&amp;$A309,""))</f>
        <v/>
      </c>
      <c r="P309" s="65" t="str">
        <f aca="false">IF(AND($C309="New",$B309&gt;=WeekStart),$B309+ROW()/100000,"")</f>
        <v/>
      </c>
      <c r="Q309" s="65" t="str">
        <f aca="false">IF(AND($C309="Know",$B309&gt;=WeekStart),$B309+ROW()/100000,"")</f>
        <v/>
      </c>
      <c r="R309" s="65" t="str">
        <f aca="false">IF(AND($K309="Open",$C309="Decision"),$L309+ROW()/100000,"")</f>
        <v/>
      </c>
      <c r="S309" s="65" t="str">
        <f aca="false">IF(AND($J309&lt;&gt;"",$J309=UCSel),$B309+ROW()/100000,"")</f>
        <v/>
      </c>
    </row>
    <row r="310" customFormat="false" ht="15" hidden="false" customHeight="false" outlineLevel="0" collapsed="false">
      <c r="A310" s="28"/>
      <c r="B310" s="63"/>
      <c r="C310" s="64"/>
      <c r="D310" s="28"/>
      <c r="E310" s="28"/>
      <c r="F310" s="28"/>
      <c r="G310" s="64"/>
      <c r="H310" s="64"/>
      <c r="I310" s="28"/>
      <c r="J310" s="28"/>
      <c r="K310" s="65" t="str">
        <f aca="false">IF($A310="","",IF(OR($C310="Decision",$C310="Conflict"),IF(COUNTIFS($I$2:$I$1001,$A310,$C$2:$C$1001,"Resolved")=0,"Open","Closed"),IF(AND($H310="Unconfirmed",OR($C310="New",$C310="Know")),IF(COUNTIFS($I$2:$I$1001,$A310,$C$2:$C$1001,"Confirmed")=0,"Unconfirmed","Confirmed"),"Logged")))</f>
        <v/>
      </c>
      <c r="L310" s="65" t="str">
        <f aca="false">IF($A310="","",AsOf-$B310)</f>
        <v/>
      </c>
      <c r="M310" s="65" t="str">
        <f aca="false">IF($K310="Open",IF($C310="Conflict","Critical",IF($L310&gt;=DecisionCritical,"Critical",IF($L310&gt;=DecisionWarn,"Warning","On track"))),IF($K310="Unconfirmed",IF($L310&gt;=UnconfirmedWarn,"Warning","On track"),""))</f>
        <v/>
      </c>
      <c r="N310" s="65" t="str">
        <f aca="false">IF($M310="","",IF($M310="Critical",3000,IF($M310="Warning",2000,1000))+$L310+ROW()/100000)</f>
        <v/>
      </c>
      <c r="O310" s="65" t="str">
        <f aca="false">IF($K310="Open",IF($C310="Conflict","decide "&amp;$A310&amp;": &lt;which version stands&gt;","decide "&amp;$A310&amp;": &lt;outcome&gt;"),IF($K310="Unconfirmed","confirm "&amp;$A310,""))</f>
        <v/>
      </c>
      <c r="P310" s="65" t="str">
        <f aca="false">IF(AND($C310="New",$B310&gt;=WeekStart),$B310+ROW()/100000,"")</f>
        <v/>
      </c>
      <c r="Q310" s="65" t="str">
        <f aca="false">IF(AND($C310="Know",$B310&gt;=WeekStart),$B310+ROW()/100000,"")</f>
        <v/>
      </c>
      <c r="R310" s="65" t="str">
        <f aca="false">IF(AND($K310="Open",$C310="Decision"),$L310+ROW()/100000,"")</f>
        <v/>
      </c>
      <c r="S310" s="65" t="str">
        <f aca="false">IF(AND($J310&lt;&gt;"",$J310=UCSel),$B310+ROW()/100000,"")</f>
        <v/>
      </c>
    </row>
    <row r="311" customFormat="false" ht="15" hidden="false" customHeight="false" outlineLevel="0" collapsed="false">
      <c r="A311" s="28"/>
      <c r="B311" s="63"/>
      <c r="C311" s="64"/>
      <c r="D311" s="28"/>
      <c r="E311" s="28"/>
      <c r="F311" s="28"/>
      <c r="G311" s="64"/>
      <c r="H311" s="64"/>
      <c r="I311" s="28"/>
      <c r="J311" s="28"/>
      <c r="K311" s="65" t="str">
        <f aca="false">IF($A311="","",IF(OR($C311="Decision",$C311="Conflict"),IF(COUNTIFS($I$2:$I$1001,$A311,$C$2:$C$1001,"Resolved")=0,"Open","Closed"),IF(AND($H311="Unconfirmed",OR($C311="New",$C311="Know")),IF(COUNTIFS($I$2:$I$1001,$A311,$C$2:$C$1001,"Confirmed")=0,"Unconfirmed","Confirmed"),"Logged")))</f>
        <v/>
      </c>
      <c r="L311" s="65" t="str">
        <f aca="false">IF($A311="","",AsOf-$B311)</f>
        <v/>
      </c>
      <c r="M311" s="65" t="str">
        <f aca="false">IF($K311="Open",IF($C311="Conflict","Critical",IF($L311&gt;=DecisionCritical,"Critical",IF($L311&gt;=DecisionWarn,"Warning","On track"))),IF($K311="Unconfirmed",IF($L311&gt;=UnconfirmedWarn,"Warning","On track"),""))</f>
        <v/>
      </c>
      <c r="N311" s="65" t="str">
        <f aca="false">IF($M311="","",IF($M311="Critical",3000,IF($M311="Warning",2000,1000))+$L311+ROW()/100000)</f>
        <v/>
      </c>
      <c r="O311" s="65" t="str">
        <f aca="false">IF($K311="Open",IF($C311="Conflict","decide "&amp;$A311&amp;": &lt;which version stands&gt;","decide "&amp;$A311&amp;": &lt;outcome&gt;"),IF($K311="Unconfirmed","confirm "&amp;$A311,""))</f>
        <v/>
      </c>
      <c r="P311" s="65" t="str">
        <f aca="false">IF(AND($C311="New",$B311&gt;=WeekStart),$B311+ROW()/100000,"")</f>
        <v/>
      </c>
      <c r="Q311" s="65" t="str">
        <f aca="false">IF(AND($C311="Know",$B311&gt;=WeekStart),$B311+ROW()/100000,"")</f>
        <v/>
      </c>
      <c r="R311" s="65" t="str">
        <f aca="false">IF(AND($K311="Open",$C311="Decision"),$L311+ROW()/100000,"")</f>
        <v/>
      </c>
      <c r="S311" s="65" t="str">
        <f aca="false">IF(AND($J311&lt;&gt;"",$J311=UCSel),$B311+ROW()/100000,"")</f>
        <v/>
      </c>
    </row>
    <row r="312" customFormat="false" ht="15" hidden="false" customHeight="false" outlineLevel="0" collapsed="false">
      <c r="A312" s="28"/>
      <c r="B312" s="63"/>
      <c r="C312" s="64"/>
      <c r="D312" s="28"/>
      <c r="E312" s="28"/>
      <c r="F312" s="28"/>
      <c r="G312" s="64"/>
      <c r="H312" s="64"/>
      <c r="I312" s="28"/>
      <c r="J312" s="28"/>
      <c r="K312" s="65" t="str">
        <f aca="false">IF($A312="","",IF(OR($C312="Decision",$C312="Conflict"),IF(COUNTIFS($I$2:$I$1001,$A312,$C$2:$C$1001,"Resolved")=0,"Open","Closed"),IF(AND($H312="Unconfirmed",OR($C312="New",$C312="Know")),IF(COUNTIFS($I$2:$I$1001,$A312,$C$2:$C$1001,"Confirmed")=0,"Unconfirmed","Confirmed"),"Logged")))</f>
        <v/>
      </c>
      <c r="L312" s="65" t="str">
        <f aca="false">IF($A312="","",AsOf-$B312)</f>
        <v/>
      </c>
      <c r="M312" s="65" t="str">
        <f aca="false">IF($K312="Open",IF($C312="Conflict","Critical",IF($L312&gt;=DecisionCritical,"Critical",IF($L312&gt;=DecisionWarn,"Warning","On track"))),IF($K312="Unconfirmed",IF($L312&gt;=UnconfirmedWarn,"Warning","On track"),""))</f>
        <v/>
      </c>
      <c r="N312" s="65" t="str">
        <f aca="false">IF($M312="","",IF($M312="Critical",3000,IF($M312="Warning",2000,1000))+$L312+ROW()/100000)</f>
        <v/>
      </c>
      <c r="O312" s="65" t="str">
        <f aca="false">IF($K312="Open",IF($C312="Conflict","decide "&amp;$A312&amp;": &lt;which version stands&gt;","decide "&amp;$A312&amp;": &lt;outcome&gt;"),IF($K312="Unconfirmed","confirm "&amp;$A312,""))</f>
        <v/>
      </c>
      <c r="P312" s="65" t="str">
        <f aca="false">IF(AND($C312="New",$B312&gt;=WeekStart),$B312+ROW()/100000,"")</f>
        <v/>
      </c>
      <c r="Q312" s="65" t="str">
        <f aca="false">IF(AND($C312="Know",$B312&gt;=WeekStart),$B312+ROW()/100000,"")</f>
        <v/>
      </c>
      <c r="R312" s="65" t="str">
        <f aca="false">IF(AND($K312="Open",$C312="Decision"),$L312+ROW()/100000,"")</f>
        <v/>
      </c>
      <c r="S312" s="65" t="str">
        <f aca="false">IF(AND($J312&lt;&gt;"",$J312=UCSel),$B312+ROW()/100000,"")</f>
        <v/>
      </c>
    </row>
    <row r="313" customFormat="false" ht="15" hidden="false" customHeight="false" outlineLevel="0" collapsed="false">
      <c r="A313" s="28"/>
      <c r="B313" s="63"/>
      <c r="C313" s="64"/>
      <c r="D313" s="28"/>
      <c r="E313" s="28"/>
      <c r="F313" s="28"/>
      <c r="G313" s="64"/>
      <c r="H313" s="64"/>
      <c r="I313" s="28"/>
      <c r="J313" s="28"/>
      <c r="K313" s="65" t="str">
        <f aca="false">IF($A313="","",IF(OR($C313="Decision",$C313="Conflict"),IF(COUNTIFS($I$2:$I$1001,$A313,$C$2:$C$1001,"Resolved")=0,"Open","Closed"),IF(AND($H313="Unconfirmed",OR($C313="New",$C313="Know")),IF(COUNTIFS($I$2:$I$1001,$A313,$C$2:$C$1001,"Confirmed")=0,"Unconfirmed","Confirmed"),"Logged")))</f>
        <v/>
      </c>
      <c r="L313" s="65" t="str">
        <f aca="false">IF($A313="","",AsOf-$B313)</f>
        <v/>
      </c>
      <c r="M313" s="65" t="str">
        <f aca="false">IF($K313="Open",IF($C313="Conflict","Critical",IF($L313&gt;=DecisionCritical,"Critical",IF($L313&gt;=DecisionWarn,"Warning","On track"))),IF($K313="Unconfirmed",IF($L313&gt;=UnconfirmedWarn,"Warning","On track"),""))</f>
        <v/>
      </c>
      <c r="N313" s="65" t="str">
        <f aca="false">IF($M313="","",IF($M313="Critical",3000,IF($M313="Warning",2000,1000))+$L313+ROW()/100000)</f>
        <v/>
      </c>
      <c r="O313" s="65" t="str">
        <f aca="false">IF($K313="Open",IF($C313="Conflict","decide "&amp;$A313&amp;": &lt;which version stands&gt;","decide "&amp;$A313&amp;": &lt;outcome&gt;"),IF($K313="Unconfirmed","confirm "&amp;$A313,""))</f>
        <v/>
      </c>
      <c r="P313" s="65" t="str">
        <f aca="false">IF(AND($C313="New",$B313&gt;=WeekStart),$B313+ROW()/100000,"")</f>
        <v/>
      </c>
      <c r="Q313" s="65" t="str">
        <f aca="false">IF(AND($C313="Know",$B313&gt;=WeekStart),$B313+ROW()/100000,"")</f>
        <v/>
      </c>
      <c r="R313" s="65" t="str">
        <f aca="false">IF(AND($K313="Open",$C313="Decision"),$L313+ROW()/100000,"")</f>
        <v/>
      </c>
      <c r="S313" s="65" t="str">
        <f aca="false">IF(AND($J313&lt;&gt;"",$J313=UCSel),$B313+ROW()/100000,"")</f>
        <v/>
      </c>
    </row>
    <row r="314" customFormat="false" ht="15" hidden="false" customHeight="false" outlineLevel="0" collapsed="false">
      <c r="A314" s="28"/>
      <c r="B314" s="63"/>
      <c r="C314" s="64"/>
      <c r="D314" s="28"/>
      <c r="E314" s="28"/>
      <c r="F314" s="28"/>
      <c r="G314" s="64"/>
      <c r="H314" s="64"/>
      <c r="I314" s="28"/>
      <c r="J314" s="28"/>
      <c r="K314" s="65" t="str">
        <f aca="false">IF($A314="","",IF(OR($C314="Decision",$C314="Conflict"),IF(COUNTIFS($I$2:$I$1001,$A314,$C$2:$C$1001,"Resolved")=0,"Open","Closed"),IF(AND($H314="Unconfirmed",OR($C314="New",$C314="Know")),IF(COUNTIFS($I$2:$I$1001,$A314,$C$2:$C$1001,"Confirmed")=0,"Unconfirmed","Confirmed"),"Logged")))</f>
        <v/>
      </c>
      <c r="L314" s="65" t="str">
        <f aca="false">IF($A314="","",AsOf-$B314)</f>
        <v/>
      </c>
      <c r="M314" s="65" t="str">
        <f aca="false">IF($K314="Open",IF($C314="Conflict","Critical",IF($L314&gt;=DecisionCritical,"Critical",IF($L314&gt;=DecisionWarn,"Warning","On track"))),IF($K314="Unconfirmed",IF($L314&gt;=UnconfirmedWarn,"Warning","On track"),""))</f>
        <v/>
      </c>
      <c r="N314" s="65" t="str">
        <f aca="false">IF($M314="","",IF($M314="Critical",3000,IF($M314="Warning",2000,1000))+$L314+ROW()/100000)</f>
        <v/>
      </c>
      <c r="O314" s="65" t="str">
        <f aca="false">IF($K314="Open",IF($C314="Conflict","decide "&amp;$A314&amp;": &lt;which version stands&gt;","decide "&amp;$A314&amp;": &lt;outcome&gt;"),IF($K314="Unconfirmed","confirm "&amp;$A314,""))</f>
        <v/>
      </c>
      <c r="P314" s="65" t="str">
        <f aca="false">IF(AND($C314="New",$B314&gt;=WeekStart),$B314+ROW()/100000,"")</f>
        <v/>
      </c>
      <c r="Q314" s="65" t="str">
        <f aca="false">IF(AND($C314="Know",$B314&gt;=WeekStart),$B314+ROW()/100000,"")</f>
        <v/>
      </c>
      <c r="R314" s="65" t="str">
        <f aca="false">IF(AND($K314="Open",$C314="Decision"),$L314+ROW()/100000,"")</f>
        <v/>
      </c>
      <c r="S314" s="65" t="str">
        <f aca="false">IF(AND($J314&lt;&gt;"",$J314=UCSel),$B314+ROW()/100000,"")</f>
        <v/>
      </c>
    </row>
    <row r="315" customFormat="false" ht="15" hidden="false" customHeight="false" outlineLevel="0" collapsed="false">
      <c r="A315" s="28"/>
      <c r="B315" s="63"/>
      <c r="C315" s="64"/>
      <c r="D315" s="28"/>
      <c r="E315" s="28"/>
      <c r="F315" s="28"/>
      <c r="G315" s="64"/>
      <c r="H315" s="64"/>
      <c r="I315" s="28"/>
      <c r="J315" s="28"/>
      <c r="K315" s="65" t="str">
        <f aca="false">IF($A315="","",IF(OR($C315="Decision",$C315="Conflict"),IF(COUNTIFS($I$2:$I$1001,$A315,$C$2:$C$1001,"Resolved")=0,"Open","Closed"),IF(AND($H315="Unconfirmed",OR($C315="New",$C315="Know")),IF(COUNTIFS($I$2:$I$1001,$A315,$C$2:$C$1001,"Confirmed")=0,"Unconfirmed","Confirmed"),"Logged")))</f>
        <v/>
      </c>
      <c r="L315" s="65" t="str">
        <f aca="false">IF($A315="","",AsOf-$B315)</f>
        <v/>
      </c>
      <c r="M315" s="65" t="str">
        <f aca="false">IF($K315="Open",IF($C315="Conflict","Critical",IF($L315&gt;=DecisionCritical,"Critical",IF($L315&gt;=DecisionWarn,"Warning","On track"))),IF($K315="Unconfirmed",IF($L315&gt;=UnconfirmedWarn,"Warning","On track"),""))</f>
        <v/>
      </c>
      <c r="N315" s="65" t="str">
        <f aca="false">IF($M315="","",IF($M315="Critical",3000,IF($M315="Warning",2000,1000))+$L315+ROW()/100000)</f>
        <v/>
      </c>
      <c r="O315" s="65" t="str">
        <f aca="false">IF($K315="Open",IF($C315="Conflict","decide "&amp;$A315&amp;": &lt;which version stands&gt;","decide "&amp;$A315&amp;": &lt;outcome&gt;"),IF($K315="Unconfirmed","confirm "&amp;$A315,""))</f>
        <v/>
      </c>
      <c r="P315" s="65" t="str">
        <f aca="false">IF(AND($C315="New",$B315&gt;=WeekStart),$B315+ROW()/100000,"")</f>
        <v/>
      </c>
      <c r="Q315" s="65" t="str">
        <f aca="false">IF(AND($C315="Know",$B315&gt;=WeekStart),$B315+ROW()/100000,"")</f>
        <v/>
      </c>
      <c r="R315" s="65" t="str">
        <f aca="false">IF(AND($K315="Open",$C315="Decision"),$L315+ROW()/100000,"")</f>
        <v/>
      </c>
      <c r="S315" s="65" t="str">
        <f aca="false">IF(AND($J315&lt;&gt;"",$J315=UCSel),$B315+ROW()/100000,"")</f>
        <v/>
      </c>
    </row>
    <row r="316" customFormat="false" ht="15" hidden="false" customHeight="false" outlineLevel="0" collapsed="false">
      <c r="A316" s="28"/>
      <c r="B316" s="63"/>
      <c r="C316" s="64"/>
      <c r="D316" s="28"/>
      <c r="E316" s="28"/>
      <c r="F316" s="28"/>
      <c r="G316" s="64"/>
      <c r="H316" s="64"/>
      <c r="I316" s="28"/>
      <c r="J316" s="28"/>
      <c r="K316" s="65" t="str">
        <f aca="false">IF($A316="","",IF(OR($C316="Decision",$C316="Conflict"),IF(COUNTIFS($I$2:$I$1001,$A316,$C$2:$C$1001,"Resolved")=0,"Open","Closed"),IF(AND($H316="Unconfirmed",OR($C316="New",$C316="Know")),IF(COUNTIFS($I$2:$I$1001,$A316,$C$2:$C$1001,"Confirmed")=0,"Unconfirmed","Confirmed"),"Logged")))</f>
        <v/>
      </c>
      <c r="L316" s="65" t="str">
        <f aca="false">IF($A316="","",AsOf-$B316)</f>
        <v/>
      </c>
      <c r="M316" s="65" t="str">
        <f aca="false">IF($K316="Open",IF($C316="Conflict","Critical",IF($L316&gt;=DecisionCritical,"Critical",IF($L316&gt;=DecisionWarn,"Warning","On track"))),IF($K316="Unconfirmed",IF($L316&gt;=UnconfirmedWarn,"Warning","On track"),""))</f>
        <v/>
      </c>
      <c r="N316" s="65" t="str">
        <f aca="false">IF($M316="","",IF($M316="Critical",3000,IF($M316="Warning",2000,1000))+$L316+ROW()/100000)</f>
        <v/>
      </c>
      <c r="O316" s="65" t="str">
        <f aca="false">IF($K316="Open",IF($C316="Conflict","decide "&amp;$A316&amp;": &lt;which version stands&gt;","decide "&amp;$A316&amp;": &lt;outcome&gt;"),IF($K316="Unconfirmed","confirm "&amp;$A316,""))</f>
        <v/>
      </c>
      <c r="P316" s="65" t="str">
        <f aca="false">IF(AND($C316="New",$B316&gt;=WeekStart),$B316+ROW()/100000,"")</f>
        <v/>
      </c>
      <c r="Q316" s="65" t="str">
        <f aca="false">IF(AND($C316="Know",$B316&gt;=WeekStart),$B316+ROW()/100000,"")</f>
        <v/>
      </c>
      <c r="R316" s="65" t="str">
        <f aca="false">IF(AND($K316="Open",$C316="Decision"),$L316+ROW()/100000,"")</f>
        <v/>
      </c>
      <c r="S316" s="65" t="str">
        <f aca="false">IF(AND($J316&lt;&gt;"",$J316=UCSel),$B316+ROW()/100000,"")</f>
        <v/>
      </c>
    </row>
    <row r="317" customFormat="false" ht="15" hidden="false" customHeight="false" outlineLevel="0" collapsed="false">
      <c r="A317" s="28"/>
      <c r="B317" s="63"/>
      <c r="C317" s="64"/>
      <c r="D317" s="28"/>
      <c r="E317" s="28"/>
      <c r="F317" s="28"/>
      <c r="G317" s="64"/>
      <c r="H317" s="64"/>
      <c r="I317" s="28"/>
      <c r="J317" s="28"/>
      <c r="K317" s="65" t="str">
        <f aca="false">IF($A317="","",IF(OR($C317="Decision",$C317="Conflict"),IF(COUNTIFS($I$2:$I$1001,$A317,$C$2:$C$1001,"Resolved")=0,"Open","Closed"),IF(AND($H317="Unconfirmed",OR($C317="New",$C317="Know")),IF(COUNTIFS($I$2:$I$1001,$A317,$C$2:$C$1001,"Confirmed")=0,"Unconfirmed","Confirmed"),"Logged")))</f>
        <v/>
      </c>
      <c r="L317" s="65" t="str">
        <f aca="false">IF($A317="","",AsOf-$B317)</f>
        <v/>
      </c>
      <c r="M317" s="65" t="str">
        <f aca="false">IF($K317="Open",IF($C317="Conflict","Critical",IF($L317&gt;=DecisionCritical,"Critical",IF($L317&gt;=DecisionWarn,"Warning","On track"))),IF($K317="Unconfirmed",IF($L317&gt;=UnconfirmedWarn,"Warning","On track"),""))</f>
        <v/>
      </c>
      <c r="N317" s="65" t="str">
        <f aca="false">IF($M317="","",IF($M317="Critical",3000,IF($M317="Warning",2000,1000))+$L317+ROW()/100000)</f>
        <v/>
      </c>
      <c r="O317" s="65" t="str">
        <f aca="false">IF($K317="Open",IF($C317="Conflict","decide "&amp;$A317&amp;": &lt;which version stands&gt;","decide "&amp;$A317&amp;": &lt;outcome&gt;"),IF($K317="Unconfirmed","confirm "&amp;$A317,""))</f>
        <v/>
      </c>
      <c r="P317" s="65" t="str">
        <f aca="false">IF(AND($C317="New",$B317&gt;=WeekStart),$B317+ROW()/100000,"")</f>
        <v/>
      </c>
      <c r="Q317" s="65" t="str">
        <f aca="false">IF(AND($C317="Know",$B317&gt;=WeekStart),$B317+ROW()/100000,"")</f>
        <v/>
      </c>
      <c r="R317" s="65" t="str">
        <f aca="false">IF(AND($K317="Open",$C317="Decision"),$L317+ROW()/100000,"")</f>
        <v/>
      </c>
      <c r="S317" s="65" t="str">
        <f aca="false">IF(AND($J317&lt;&gt;"",$J317=UCSel),$B317+ROW()/100000,"")</f>
        <v/>
      </c>
    </row>
    <row r="318" customFormat="false" ht="15" hidden="false" customHeight="false" outlineLevel="0" collapsed="false">
      <c r="A318" s="28"/>
      <c r="B318" s="63"/>
      <c r="C318" s="64"/>
      <c r="D318" s="28"/>
      <c r="E318" s="28"/>
      <c r="F318" s="28"/>
      <c r="G318" s="64"/>
      <c r="H318" s="64"/>
      <c r="I318" s="28"/>
      <c r="J318" s="28"/>
      <c r="K318" s="65" t="str">
        <f aca="false">IF($A318="","",IF(OR($C318="Decision",$C318="Conflict"),IF(COUNTIFS($I$2:$I$1001,$A318,$C$2:$C$1001,"Resolved")=0,"Open","Closed"),IF(AND($H318="Unconfirmed",OR($C318="New",$C318="Know")),IF(COUNTIFS($I$2:$I$1001,$A318,$C$2:$C$1001,"Confirmed")=0,"Unconfirmed","Confirmed"),"Logged")))</f>
        <v/>
      </c>
      <c r="L318" s="65" t="str">
        <f aca="false">IF($A318="","",AsOf-$B318)</f>
        <v/>
      </c>
      <c r="M318" s="65" t="str">
        <f aca="false">IF($K318="Open",IF($C318="Conflict","Critical",IF($L318&gt;=DecisionCritical,"Critical",IF($L318&gt;=DecisionWarn,"Warning","On track"))),IF($K318="Unconfirmed",IF($L318&gt;=UnconfirmedWarn,"Warning","On track"),""))</f>
        <v/>
      </c>
      <c r="N318" s="65" t="str">
        <f aca="false">IF($M318="","",IF($M318="Critical",3000,IF($M318="Warning",2000,1000))+$L318+ROW()/100000)</f>
        <v/>
      </c>
      <c r="O318" s="65" t="str">
        <f aca="false">IF($K318="Open",IF($C318="Conflict","decide "&amp;$A318&amp;": &lt;which version stands&gt;","decide "&amp;$A318&amp;": &lt;outcome&gt;"),IF($K318="Unconfirmed","confirm "&amp;$A318,""))</f>
        <v/>
      </c>
      <c r="P318" s="65" t="str">
        <f aca="false">IF(AND($C318="New",$B318&gt;=WeekStart),$B318+ROW()/100000,"")</f>
        <v/>
      </c>
      <c r="Q318" s="65" t="str">
        <f aca="false">IF(AND($C318="Know",$B318&gt;=WeekStart),$B318+ROW()/100000,"")</f>
        <v/>
      </c>
      <c r="R318" s="65" t="str">
        <f aca="false">IF(AND($K318="Open",$C318="Decision"),$L318+ROW()/100000,"")</f>
        <v/>
      </c>
      <c r="S318" s="65" t="str">
        <f aca="false">IF(AND($J318&lt;&gt;"",$J318=UCSel),$B318+ROW()/100000,"")</f>
        <v/>
      </c>
    </row>
    <row r="319" customFormat="false" ht="15" hidden="false" customHeight="false" outlineLevel="0" collapsed="false">
      <c r="A319" s="28"/>
      <c r="B319" s="63"/>
      <c r="C319" s="64"/>
      <c r="D319" s="28"/>
      <c r="E319" s="28"/>
      <c r="F319" s="28"/>
      <c r="G319" s="64"/>
      <c r="H319" s="64"/>
      <c r="I319" s="28"/>
      <c r="J319" s="28"/>
      <c r="K319" s="65" t="str">
        <f aca="false">IF($A319="","",IF(OR($C319="Decision",$C319="Conflict"),IF(COUNTIFS($I$2:$I$1001,$A319,$C$2:$C$1001,"Resolved")=0,"Open","Closed"),IF(AND($H319="Unconfirmed",OR($C319="New",$C319="Know")),IF(COUNTIFS($I$2:$I$1001,$A319,$C$2:$C$1001,"Confirmed")=0,"Unconfirmed","Confirmed"),"Logged")))</f>
        <v/>
      </c>
      <c r="L319" s="65" t="str">
        <f aca="false">IF($A319="","",AsOf-$B319)</f>
        <v/>
      </c>
      <c r="M319" s="65" t="str">
        <f aca="false">IF($K319="Open",IF($C319="Conflict","Critical",IF($L319&gt;=DecisionCritical,"Critical",IF($L319&gt;=DecisionWarn,"Warning","On track"))),IF($K319="Unconfirmed",IF($L319&gt;=UnconfirmedWarn,"Warning","On track"),""))</f>
        <v/>
      </c>
      <c r="N319" s="65" t="str">
        <f aca="false">IF($M319="","",IF($M319="Critical",3000,IF($M319="Warning",2000,1000))+$L319+ROW()/100000)</f>
        <v/>
      </c>
      <c r="O319" s="65" t="str">
        <f aca="false">IF($K319="Open",IF($C319="Conflict","decide "&amp;$A319&amp;": &lt;which version stands&gt;","decide "&amp;$A319&amp;": &lt;outcome&gt;"),IF($K319="Unconfirmed","confirm "&amp;$A319,""))</f>
        <v/>
      </c>
      <c r="P319" s="65" t="str">
        <f aca="false">IF(AND($C319="New",$B319&gt;=WeekStart),$B319+ROW()/100000,"")</f>
        <v/>
      </c>
      <c r="Q319" s="65" t="str">
        <f aca="false">IF(AND($C319="Know",$B319&gt;=WeekStart),$B319+ROW()/100000,"")</f>
        <v/>
      </c>
      <c r="R319" s="65" t="str">
        <f aca="false">IF(AND($K319="Open",$C319="Decision"),$L319+ROW()/100000,"")</f>
        <v/>
      </c>
      <c r="S319" s="65" t="str">
        <f aca="false">IF(AND($J319&lt;&gt;"",$J319=UCSel),$B319+ROW()/100000,"")</f>
        <v/>
      </c>
    </row>
    <row r="320" customFormat="false" ht="15" hidden="false" customHeight="false" outlineLevel="0" collapsed="false">
      <c r="A320" s="28"/>
      <c r="B320" s="63"/>
      <c r="C320" s="64"/>
      <c r="D320" s="28"/>
      <c r="E320" s="28"/>
      <c r="F320" s="28"/>
      <c r="G320" s="64"/>
      <c r="H320" s="64"/>
      <c r="I320" s="28"/>
      <c r="J320" s="28"/>
      <c r="K320" s="65" t="str">
        <f aca="false">IF($A320="","",IF(OR($C320="Decision",$C320="Conflict"),IF(COUNTIFS($I$2:$I$1001,$A320,$C$2:$C$1001,"Resolved")=0,"Open","Closed"),IF(AND($H320="Unconfirmed",OR($C320="New",$C320="Know")),IF(COUNTIFS($I$2:$I$1001,$A320,$C$2:$C$1001,"Confirmed")=0,"Unconfirmed","Confirmed"),"Logged")))</f>
        <v/>
      </c>
      <c r="L320" s="65" t="str">
        <f aca="false">IF($A320="","",AsOf-$B320)</f>
        <v/>
      </c>
      <c r="M320" s="65" t="str">
        <f aca="false">IF($K320="Open",IF($C320="Conflict","Critical",IF($L320&gt;=DecisionCritical,"Critical",IF($L320&gt;=DecisionWarn,"Warning","On track"))),IF($K320="Unconfirmed",IF($L320&gt;=UnconfirmedWarn,"Warning","On track"),""))</f>
        <v/>
      </c>
      <c r="N320" s="65" t="str">
        <f aca="false">IF($M320="","",IF($M320="Critical",3000,IF($M320="Warning",2000,1000))+$L320+ROW()/100000)</f>
        <v/>
      </c>
      <c r="O320" s="65" t="str">
        <f aca="false">IF($K320="Open",IF($C320="Conflict","decide "&amp;$A320&amp;": &lt;which version stands&gt;","decide "&amp;$A320&amp;": &lt;outcome&gt;"),IF($K320="Unconfirmed","confirm "&amp;$A320,""))</f>
        <v/>
      </c>
      <c r="P320" s="65" t="str">
        <f aca="false">IF(AND($C320="New",$B320&gt;=WeekStart),$B320+ROW()/100000,"")</f>
        <v/>
      </c>
      <c r="Q320" s="65" t="str">
        <f aca="false">IF(AND($C320="Know",$B320&gt;=WeekStart),$B320+ROW()/100000,"")</f>
        <v/>
      </c>
      <c r="R320" s="65" t="str">
        <f aca="false">IF(AND($K320="Open",$C320="Decision"),$L320+ROW()/100000,"")</f>
        <v/>
      </c>
      <c r="S320" s="65" t="str">
        <f aca="false">IF(AND($J320&lt;&gt;"",$J320=UCSel),$B320+ROW()/100000,"")</f>
        <v/>
      </c>
    </row>
    <row r="321" customFormat="false" ht="15" hidden="false" customHeight="false" outlineLevel="0" collapsed="false">
      <c r="A321" s="28"/>
      <c r="B321" s="63"/>
      <c r="C321" s="64"/>
      <c r="D321" s="28"/>
      <c r="E321" s="28"/>
      <c r="F321" s="28"/>
      <c r="G321" s="64"/>
      <c r="H321" s="64"/>
      <c r="I321" s="28"/>
      <c r="J321" s="28"/>
      <c r="K321" s="65" t="str">
        <f aca="false">IF($A321="","",IF(OR($C321="Decision",$C321="Conflict"),IF(COUNTIFS($I$2:$I$1001,$A321,$C$2:$C$1001,"Resolved")=0,"Open","Closed"),IF(AND($H321="Unconfirmed",OR($C321="New",$C321="Know")),IF(COUNTIFS($I$2:$I$1001,$A321,$C$2:$C$1001,"Confirmed")=0,"Unconfirmed","Confirmed"),"Logged")))</f>
        <v/>
      </c>
      <c r="L321" s="65" t="str">
        <f aca="false">IF($A321="","",AsOf-$B321)</f>
        <v/>
      </c>
      <c r="M321" s="65" t="str">
        <f aca="false">IF($K321="Open",IF($C321="Conflict","Critical",IF($L321&gt;=DecisionCritical,"Critical",IF($L321&gt;=DecisionWarn,"Warning","On track"))),IF($K321="Unconfirmed",IF($L321&gt;=UnconfirmedWarn,"Warning","On track"),""))</f>
        <v/>
      </c>
      <c r="N321" s="65" t="str">
        <f aca="false">IF($M321="","",IF($M321="Critical",3000,IF($M321="Warning",2000,1000))+$L321+ROW()/100000)</f>
        <v/>
      </c>
      <c r="O321" s="65" t="str">
        <f aca="false">IF($K321="Open",IF($C321="Conflict","decide "&amp;$A321&amp;": &lt;which version stands&gt;","decide "&amp;$A321&amp;": &lt;outcome&gt;"),IF($K321="Unconfirmed","confirm "&amp;$A321,""))</f>
        <v/>
      </c>
      <c r="P321" s="65" t="str">
        <f aca="false">IF(AND($C321="New",$B321&gt;=WeekStart),$B321+ROW()/100000,"")</f>
        <v/>
      </c>
      <c r="Q321" s="65" t="str">
        <f aca="false">IF(AND($C321="Know",$B321&gt;=WeekStart),$B321+ROW()/100000,"")</f>
        <v/>
      </c>
      <c r="R321" s="65" t="str">
        <f aca="false">IF(AND($K321="Open",$C321="Decision"),$L321+ROW()/100000,"")</f>
        <v/>
      </c>
      <c r="S321" s="65" t="str">
        <f aca="false">IF(AND($J321&lt;&gt;"",$J321=UCSel),$B321+ROW()/100000,"")</f>
        <v/>
      </c>
    </row>
    <row r="322" customFormat="false" ht="15" hidden="false" customHeight="false" outlineLevel="0" collapsed="false">
      <c r="A322" s="28"/>
      <c r="B322" s="63"/>
      <c r="C322" s="64"/>
      <c r="D322" s="28"/>
      <c r="E322" s="28"/>
      <c r="F322" s="28"/>
      <c r="G322" s="64"/>
      <c r="H322" s="64"/>
      <c r="I322" s="28"/>
      <c r="J322" s="28"/>
      <c r="K322" s="65" t="str">
        <f aca="false">IF($A322="","",IF(OR($C322="Decision",$C322="Conflict"),IF(COUNTIFS($I$2:$I$1001,$A322,$C$2:$C$1001,"Resolved")=0,"Open","Closed"),IF(AND($H322="Unconfirmed",OR($C322="New",$C322="Know")),IF(COUNTIFS($I$2:$I$1001,$A322,$C$2:$C$1001,"Confirmed")=0,"Unconfirmed","Confirmed"),"Logged")))</f>
        <v/>
      </c>
      <c r="L322" s="65" t="str">
        <f aca="false">IF($A322="","",AsOf-$B322)</f>
        <v/>
      </c>
      <c r="M322" s="65" t="str">
        <f aca="false">IF($K322="Open",IF($C322="Conflict","Critical",IF($L322&gt;=DecisionCritical,"Critical",IF($L322&gt;=DecisionWarn,"Warning","On track"))),IF($K322="Unconfirmed",IF($L322&gt;=UnconfirmedWarn,"Warning","On track"),""))</f>
        <v/>
      </c>
      <c r="N322" s="65" t="str">
        <f aca="false">IF($M322="","",IF($M322="Critical",3000,IF($M322="Warning",2000,1000))+$L322+ROW()/100000)</f>
        <v/>
      </c>
      <c r="O322" s="65" t="str">
        <f aca="false">IF($K322="Open",IF($C322="Conflict","decide "&amp;$A322&amp;": &lt;which version stands&gt;","decide "&amp;$A322&amp;": &lt;outcome&gt;"),IF($K322="Unconfirmed","confirm "&amp;$A322,""))</f>
        <v/>
      </c>
      <c r="P322" s="65" t="str">
        <f aca="false">IF(AND($C322="New",$B322&gt;=WeekStart),$B322+ROW()/100000,"")</f>
        <v/>
      </c>
      <c r="Q322" s="65" t="str">
        <f aca="false">IF(AND($C322="Know",$B322&gt;=WeekStart),$B322+ROW()/100000,"")</f>
        <v/>
      </c>
      <c r="R322" s="65" t="str">
        <f aca="false">IF(AND($K322="Open",$C322="Decision"),$L322+ROW()/100000,"")</f>
        <v/>
      </c>
      <c r="S322" s="65" t="str">
        <f aca="false">IF(AND($J322&lt;&gt;"",$J322=UCSel),$B322+ROW()/100000,"")</f>
        <v/>
      </c>
    </row>
    <row r="323" customFormat="false" ht="15" hidden="false" customHeight="false" outlineLevel="0" collapsed="false">
      <c r="A323" s="28"/>
      <c r="B323" s="63"/>
      <c r="C323" s="64"/>
      <c r="D323" s="28"/>
      <c r="E323" s="28"/>
      <c r="F323" s="28"/>
      <c r="G323" s="64"/>
      <c r="H323" s="64"/>
      <c r="I323" s="28"/>
      <c r="J323" s="28"/>
      <c r="K323" s="65" t="str">
        <f aca="false">IF($A323="","",IF(OR($C323="Decision",$C323="Conflict"),IF(COUNTIFS($I$2:$I$1001,$A323,$C$2:$C$1001,"Resolved")=0,"Open","Closed"),IF(AND($H323="Unconfirmed",OR($C323="New",$C323="Know")),IF(COUNTIFS($I$2:$I$1001,$A323,$C$2:$C$1001,"Confirmed")=0,"Unconfirmed","Confirmed"),"Logged")))</f>
        <v/>
      </c>
      <c r="L323" s="65" t="str">
        <f aca="false">IF($A323="","",AsOf-$B323)</f>
        <v/>
      </c>
      <c r="M323" s="65" t="str">
        <f aca="false">IF($K323="Open",IF($C323="Conflict","Critical",IF($L323&gt;=DecisionCritical,"Critical",IF($L323&gt;=DecisionWarn,"Warning","On track"))),IF($K323="Unconfirmed",IF($L323&gt;=UnconfirmedWarn,"Warning","On track"),""))</f>
        <v/>
      </c>
      <c r="N323" s="65" t="str">
        <f aca="false">IF($M323="","",IF($M323="Critical",3000,IF($M323="Warning",2000,1000))+$L323+ROW()/100000)</f>
        <v/>
      </c>
      <c r="O323" s="65" t="str">
        <f aca="false">IF($K323="Open",IF($C323="Conflict","decide "&amp;$A323&amp;": &lt;which version stands&gt;","decide "&amp;$A323&amp;": &lt;outcome&gt;"),IF($K323="Unconfirmed","confirm "&amp;$A323,""))</f>
        <v/>
      </c>
      <c r="P323" s="65" t="str">
        <f aca="false">IF(AND($C323="New",$B323&gt;=WeekStart),$B323+ROW()/100000,"")</f>
        <v/>
      </c>
      <c r="Q323" s="65" t="str">
        <f aca="false">IF(AND($C323="Know",$B323&gt;=WeekStart),$B323+ROW()/100000,"")</f>
        <v/>
      </c>
      <c r="R323" s="65" t="str">
        <f aca="false">IF(AND($K323="Open",$C323="Decision"),$L323+ROW()/100000,"")</f>
        <v/>
      </c>
      <c r="S323" s="65" t="str">
        <f aca="false">IF(AND($J323&lt;&gt;"",$J323=UCSel),$B323+ROW()/100000,"")</f>
        <v/>
      </c>
    </row>
    <row r="324" customFormat="false" ht="15" hidden="false" customHeight="false" outlineLevel="0" collapsed="false">
      <c r="A324" s="28"/>
      <c r="B324" s="63"/>
      <c r="C324" s="64"/>
      <c r="D324" s="28"/>
      <c r="E324" s="28"/>
      <c r="F324" s="28"/>
      <c r="G324" s="64"/>
      <c r="H324" s="64"/>
      <c r="I324" s="28"/>
      <c r="J324" s="28"/>
      <c r="K324" s="65" t="str">
        <f aca="false">IF($A324="","",IF(OR($C324="Decision",$C324="Conflict"),IF(COUNTIFS($I$2:$I$1001,$A324,$C$2:$C$1001,"Resolved")=0,"Open","Closed"),IF(AND($H324="Unconfirmed",OR($C324="New",$C324="Know")),IF(COUNTIFS($I$2:$I$1001,$A324,$C$2:$C$1001,"Confirmed")=0,"Unconfirmed","Confirmed"),"Logged")))</f>
        <v/>
      </c>
      <c r="L324" s="65" t="str">
        <f aca="false">IF($A324="","",AsOf-$B324)</f>
        <v/>
      </c>
      <c r="M324" s="65" t="str">
        <f aca="false">IF($K324="Open",IF($C324="Conflict","Critical",IF($L324&gt;=DecisionCritical,"Critical",IF($L324&gt;=DecisionWarn,"Warning","On track"))),IF($K324="Unconfirmed",IF($L324&gt;=UnconfirmedWarn,"Warning","On track"),""))</f>
        <v/>
      </c>
      <c r="N324" s="65" t="str">
        <f aca="false">IF($M324="","",IF($M324="Critical",3000,IF($M324="Warning",2000,1000))+$L324+ROW()/100000)</f>
        <v/>
      </c>
      <c r="O324" s="65" t="str">
        <f aca="false">IF($K324="Open",IF($C324="Conflict","decide "&amp;$A324&amp;": &lt;which version stands&gt;","decide "&amp;$A324&amp;": &lt;outcome&gt;"),IF($K324="Unconfirmed","confirm "&amp;$A324,""))</f>
        <v/>
      </c>
      <c r="P324" s="65" t="str">
        <f aca="false">IF(AND($C324="New",$B324&gt;=WeekStart),$B324+ROW()/100000,"")</f>
        <v/>
      </c>
      <c r="Q324" s="65" t="str">
        <f aca="false">IF(AND($C324="Know",$B324&gt;=WeekStart),$B324+ROW()/100000,"")</f>
        <v/>
      </c>
      <c r="R324" s="65" t="str">
        <f aca="false">IF(AND($K324="Open",$C324="Decision"),$L324+ROW()/100000,"")</f>
        <v/>
      </c>
      <c r="S324" s="65" t="str">
        <f aca="false">IF(AND($J324&lt;&gt;"",$J324=UCSel),$B324+ROW()/100000,"")</f>
        <v/>
      </c>
    </row>
    <row r="325" customFormat="false" ht="15" hidden="false" customHeight="false" outlineLevel="0" collapsed="false">
      <c r="A325" s="28"/>
      <c r="B325" s="63"/>
      <c r="C325" s="64"/>
      <c r="D325" s="28"/>
      <c r="E325" s="28"/>
      <c r="F325" s="28"/>
      <c r="G325" s="64"/>
      <c r="H325" s="64"/>
      <c r="I325" s="28"/>
      <c r="J325" s="28"/>
      <c r="K325" s="65" t="str">
        <f aca="false">IF($A325="","",IF(OR($C325="Decision",$C325="Conflict"),IF(COUNTIFS($I$2:$I$1001,$A325,$C$2:$C$1001,"Resolved")=0,"Open","Closed"),IF(AND($H325="Unconfirmed",OR($C325="New",$C325="Know")),IF(COUNTIFS($I$2:$I$1001,$A325,$C$2:$C$1001,"Confirmed")=0,"Unconfirmed","Confirmed"),"Logged")))</f>
        <v/>
      </c>
      <c r="L325" s="65" t="str">
        <f aca="false">IF($A325="","",AsOf-$B325)</f>
        <v/>
      </c>
      <c r="M325" s="65" t="str">
        <f aca="false">IF($K325="Open",IF($C325="Conflict","Critical",IF($L325&gt;=DecisionCritical,"Critical",IF($L325&gt;=DecisionWarn,"Warning","On track"))),IF($K325="Unconfirmed",IF($L325&gt;=UnconfirmedWarn,"Warning","On track"),""))</f>
        <v/>
      </c>
      <c r="N325" s="65" t="str">
        <f aca="false">IF($M325="","",IF($M325="Critical",3000,IF($M325="Warning",2000,1000))+$L325+ROW()/100000)</f>
        <v/>
      </c>
      <c r="O325" s="65" t="str">
        <f aca="false">IF($K325="Open",IF($C325="Conflict","decide "&amp;$A325&amp;": &lt;which version stands&gt;","decide "&amp;$A325&amp;": &lt;outcome&gt;"),IF($K325="Unconfirmed","confirm "&amp;$A325,""))</f>
        <v/>
      </c>
      <c r="P325" s="65" t="str">
        <f aca="false">IF(AND($C325="New",$B325&gt;=WeekStart),$B325+ROW()/100000,"")</f>
        <v/>
      </c>
      <c r="Q325" s="65" t="str">
        <f aca="false">IF(AND($C325="Know",$B325&gt;=WeekStart),$B325+ROW()/100000,"")</f>
        <v/>
      </c>
      <c r="R325" s="65" t="str">
        <f aca="false">IF(AND($K325="Open",$C325="Decision"),$L325+ROW()/100000,"")</f>
        <v/>
      </c>
      <c r="S325" s="65" t="str">
        <f aca="false">IF(AND($J325&lt;&gt;"",$J325=UCSel),$B325+ROW()/100000,"")</f>
        <v/>
      </c>
    </row>
    <row r="326" customFormat="false" ht="15" hidden="false" customHeight="false" outlineLevel="0" collapsed="false">
      <c r="A326" s="28"/>
      <c r="B326" s="63"/>
      <c r="C326" s="64"/>
      <c r="D326" s="28"/>
      <c r="E326" s="28"/>
      <c r="F326" s="28"/>
      <c r="G326" s="64"/>
      <c r="H326" s="64"/>
      <c r="I326" s="28"/>
      <c r="J326" s="28"/>
      <c r="K326" s="65" t="str">
        <f aca="false">IF($A326="","",IF(OR($C326="Decision",$C326="Conflict"),IF(COUNTIFS($I$2:$I$1001,$A326,$C$2:$C$1001,"Resolved")=0,"Open","Closed"),IF(AND($H326="Unconfirmed",OR($C326="New",$C326="Know")),IF(COUNTIFS($I$2:$I$1001,$A326,$C$2:$C$1001,"Confirmed")=0,"Unconfirmed","Confirmed"),"Logged")))</f>
        <v/>
      </c>
      <c r="L326" s="65" t="str">
        <f aca="false">IF($A326="","",AsOf-$B326)</f>
        <v/>
      </c>
      <c r="M326" s="65" t="str">
        <f aca="false">IF($K326="Open",IF($C326="Conflict","Critical",IF($L326&gt;=DecisionCritical,"Critical",IF($L326&gt;=DecisionWarn,"Warning","On track"))),IF($K326="Unconfirmed",IF($L326&gt;=UnconfirmedWarn,"Warning","On track"),""))</f>
        <v/>
      </c>
      <c r="N326" s="65" t="str">
        <f aca="false">IF($M326="","",IF($M326="Critical",3000,IF($M326="Warning",2000,1000))+$L326+ROW()/100000)</f>
        <v/>
      </c>
      <c r="O326" s="65" t="str">
        <f aca="false">IF($K326="Open",IF($C326="Conflict","decide "&amp;$A326&amp;": &lt;which version stands&gt;","decide "&amp;$A326&amp;": &lt;outcome&gt;"),IF($K326="Unconfirmed","confirm "&amp;$A326,""))</f>
        <v/>
      </c>
      <c r="P326" s="65" t="str">
        <f aca="false">IF(AND($C326="New",$B326&gt;=WeekStart),$B326+ROW()/100000,"")</f>
        <v/>
      </c>
      <c r="Q326" s="65" t="str">
        <f aca="false">IF(AND($C326="Know",$B326&gt;=WeekStart),$B326+ROW()/100000,"")</f>
        <v/>
      </c>
      <c r="R326" s="65" t="str">
        <f aca="false">IF(AND($K326="Open",$C326="Decision"),$L326+ROW()/100000,"")</f>
        <v/>
      </c>
      <c r="S326" s="65" t="str">
        <f aca="false">IF(AND($J326&lt;&gt;"",$J326=UCSel),$B326+ROW()/100000,"")</f>
        <v/>
      </c>
    </row>
    <row r="327" customFormat="false" ht="15" hidden="false" customHeight="false" outlineLevel="0" collapsed="false">
      <c r="A327" s="28"/>
      <c r="B327" s="63"/>
      <c r="C327" s="64"/>
      <c r="D327" s="28"/>
      <c r="E327" s="28"/>
      <c r="F327" s="28"/>
      <c r="G327" s="64"/>
      <c r="H327" s="64"/>
      <c r="I327" s="28"/>
      <c r="J327" s="28"/>
      <c r="K327" s="65" t="str">
        <f aca="false">IF($A327="","",IF(OR($C327="Decision",$C327="Conflict"),IF(COUNTIFS($I$2:$I$1001,$A327,$C$2:$C$1001,"Resolved")=0,"Open","Closed"),IF(AND($H327="Unconfirmed",OR($C327="New",$C327="Know")),IF(COUNTIFS($I$2:$I$1001,$A327,$C$2:$C$1001,"Confirmed")=0,"Unconfirmed","Confirmed"),"Logged")))</f>
        <v/>
      </c>
      <c r="L327" s="65" t="str">
        <f aca="false">IF($A327="","",AsOf-$B327)</f>
        <v/>
      </c>
      <c r="M327" s="65" t="str">
        <f aca="false">IF($K327="Open",IF($C327="Conflict","Critical",IF($L327&gt;=DecisionCritical,"Critical",IF($L327&gt;=DecisionWarn,"Warning","On track"))),IF($K327="Unconfirmed",IF($L327&gt;=UnconfirmedWarn,"Warning","On track"),""))</f>
        <v/>
      </c>
      <c r="N327" s="65" t="str">
        <f aca="false">IF($M327="","",IF($M327="Critical",3000,IF($M327="Warning",2000,1000))+$L327+ROW()/100000)</f>
        <v/>
      </c>
      <c r="O327" s="65" t="str">
        <f aca="false">IF($K327="Open",IF($C327="Conflict","decide "&amp;$A327&amp;": &lt;which version stands&gt;","decide "&amp;$A327&amp;": &lt;outcome&gt;"),IF($K327="Unconfirmed","confirm "&amp;$A327,""))</f>
        <v/>
      </c>
      <c r="P327" s="65" t="str">
        <f aca="false">IF(AND($C327="New",$B327&gt;=WeekStart),$B327+ROW()/100000,"")</f>
        <v/>
      </c>
      <c r="Q327" s="65" t="str">
        <f aca="false">IF(AND($C327="Know",$B327&gt;=WeekStart),$B327+ROW()/100000,"")</f>
        <v/>
      </c>
      <c r="R327" s="65" t="str">
        <f aca="false">IF(AND($K327="Open",$C327="Decision"),$L327+ROW()/100000,"")</f>
        <v/>
      </c>
      <c r="S327" s="65" t="str">
        <f aca="false">IF(AND($J327&lt;&gt;"",$J327=UCSel),$B327+ROW()/100000,"")</f>
        <v/>
      </c>
    </row>
    <row r="328" customFormat="false" ht="15" hidden="false" customHeight="false" outlineLevel="0" collapsed="false">
      <c r="A328" s="28"/>
      <c r="B328" s="63"/>
      <c r="C328" s="64"/>
      <c r="D328" s="28"/>
      <c r="E328" s="28"/>
      <c r="F328" s="28"/>
      <c r="G328" s="64"/>
      <c r="H328" s="64"/>
      <c r="I328" s="28"/>
      <c r="J328" s="28"/>
      <c r="K328" s="65" t="str">
        <f aca="false">IF($A328="","",IF(OR($C328="Decision",$C328="Conflict"),IF(COUNTIFS($I$2:$I$1001,$A328,$C$2:$C$1001,"Resolved")=0,"Open","Closed"),IF(AND($H328="Unconfirmed",OR($C328="New",$C328="Know")),IF(COUNTIFS($I$2:$I$1001,$A328,$C$2:$C$1001,"Confirmed")=0,"Unconfirmed","Confirmed"),"Logged")))</f>
        <v/>
      </c>
      <c r="L328" s="65" t="str">
        <f aca="false">IF($A328="","",AsOf-$B328)</f>
        <v/>
      </c>
      <c r="M328" s="65" t="str">
        <f aca="false">IF($K328="Open",IF($C328="Conflict","Critical",IF($L328&gt;=DecisionCritical,"Critical",IF($L328&gt;=DecisionWarn,"Warning","On track"))),IF($K328="Unconfirmed",IF($L328&gt;=UnconfirmedWarn,"Warning","On track"),""))</f>
        <v/>
      </c>
      <c r="N328" s="65" t="str">
        <f aca="false">IF($M328="","",IF($M328="Critical",3000,IF($M328="Warning",2000,1000))+$L328+ROW()/100000)</f>
        <v/>
      </c>
      <c r="O328" s="65" t="str">
        <f aca="false">IF($K328="Open",IF($C328="Conflict","decide "&amp;$A328&amp;": &lt;which version stands&gt;","decide "&amp;$A328&amp;": &lt;outcome&gt;"),IF($K328="Unconfirmed","confirm "&amp;$A328,""))</f>
        <v/>
      </c>
      <c r="P328" s="65" t="str">
        <f aca="false">IF(AND($C328="New",$B328&gt;=WeekStart),$B328+ROW()/100000,"")</f>
        <v/>
      </c>
      <c r="Q328" s="65" t="str">
        <f aca="false">IF(AND($C328="Know",$B328&gt;=WeekStart),$B328+ROW()/100000,"")</f>
        <v/>
      </c>
      <c r="R328" s="65" t="str">
        <f aca="false">IF(AND($K328="Open",$C328="Decision"),$L328+ROW()/100000,"")</f>
        <v/>
      </c>
      <c r="S328" s="65" t="str">
        <f aca="false">IF(AND($J328&lt;&gt;"",$J328=UCSel),$B328+ROW()/100000,"")</f>
        <v/>
      </c>
    </row>
    <row r="329" customFormat="false" ht="15" hidden="false" customHeight="false" outlineLevel="0" collapsed="false">
      <c r="A329" s="28"/>
      <c r="B329" s="63"/>
      <c r="C329" s="64"/>
      <c r="D329" s="28"/>
      <c r="E329" s="28"/>
      <c r="F329" s="28"/>
      <c r="G329" s="64"/>
      <c r="H329" s="64"/>
      <c r="I329" s="28"/>
      <c r="J329" s="28"/>
      <c r="K329" s="65" t="str">
        <f aca="false">IF($A329="","",IF(OR($C329="Decision",$C329="Conflict"),IF(COUNTIFS($I$2:$I$1001,$A329,$C$2:$C$1001,"Resolved")=0,"Open","Closed"),IF(AND($H329="Unconfirmed",OR($C329="New",$C329="Know")),IF(COUNTIFS($I$2:$I$1001,$A329,$C$2:$C$1001,"Confirmed")=0,"Unconfirmed","Confirmed"),"Logged")))</f>
        <v/>
      </c>
      <c r="L329" s="65" t="str">
        <f aca="false">IF($A329="","",AsOf-$B329)</f>
        <v/>
      </c>
      <c r="M329" s="65" t="str">
        <f aca="false">IF($K329="Open",IF($C329="Conflict","Critical",IF($L329&gt;=DecisionCritical,"Critical",IF($L329&gt;=DecisionWarn,"Warning","On track"))),IF($K329="Unconfirmed",IF($L329&gt;=UnconfirmedWarn,"Warning","On track"),""))</f>
        <v/>
      </c>
      <c r="N329" s="65" t="str">
        <f aca="false">IF($M329="","",IF($M329="Critical",3000,IF($M329="Warning",2000,1000))+$L329+ROW()/100000)</f>
        <v/>
      </c>
      <c r="O329" s="65" t="str">
        <f aca="false">IF($K329="Open",IF($C329="Conflict","decide "&amp;$A329&amp;": &lt;which version stands&gt;","decide "&amp;$A329&amp;": &lt;outcome&gt;"),IF($K329="Unconfirmed","confirm "&amp;$A329,""))</f>
        <v/>
      </c>
      <c r="P329" s="65" t="str">
        <f aca="false">IF(AND($C329="New",$B329&gt;=WeekStart),$B329+ROW()/100000,"")</f>
        <v/>
      </c>
      <c r="Q329" s="65" t="str">
        <f aca="false">IF(AND($C329="Know",$B329&gt;=WeekStart),$B329+ROW()/100000,"")</f>
        <v/>
      </c>
      <c r="R329" s="65" t="str">
        <f aca="false">IF(AND($K329="Open",$C329="Decision"),$L329+ROW()/100000,"")</f>
        <v/>
      </c>
      <c r="S329" s="65" t="str">
        <f aca="false">IF(AND($J329&lt;&gt;"",$J329=UCSel),$B329+ROW()/100000,"")</f>
        <v/>
      </c>
    </row>
    <row r="330" customFormat="false" ht="15" hidden="false" customHeight="false" outlineLevel="0" collapsed="false">
      <c r="A330" s="28"/>
      <c r="B330" s="63"/>
      <c r="C330" s="64"/>
      <c r="D330" s="28"/>
      <c r="E330" s="28"/>
      <c r="F330" s="28"/>
      <c r="G330" s="64"/>
      <c r="H330" s="64"/>
      <c r="I330" s="28"/>
      <c r="J330" s="28"/>
      <c r="K330" s="65" t="str">
        <f aca="false">IF($A330="","",IF(OR($C330="Decision",$C330="Conflict"),IF(COUNTIFS($I$2:$I$1001,$A330,$C$2:$C$1001,"Resolved")=0,"Open","Closed"),IF(AND($H330="Unconfirmed",OR($C330="New",$C330="Know")),IF(COUNTIFS($I$2:$I$1001,$A330,$C$2:$C$1001,"Confirmed")=0,"Unconfirmed","Confirmed"),"Logged")))</f>
        <v/>
      </c>
      <c r="L330" s="65" t="str">
        <f aca="false">IF($A330="","",AsOf-$B330)</f>
        <v/>
      </c>
      <c r="M330" s="65" t="str">
        <f aca="false">IF($K330="Open",IF($C330="Conflict","Critical",IF($L330&gt;=DecisionCritical,"Critical",IF($L330&gt;=DecisionWarn,"Warning","On track"))),IF($K330="Unconfirmed",IF($L330&gt;=UnconfirmedWarn,"Warning","On track"),""))</f>
        <v/>
      </c>
      <c r="N330" s="65" t="str">
        <f aca="false">IF($M330="","",IF($M330="Critical",3000,IF($M330="Warning",2000,1000))+$L330+ROW()/100000)</f>
        <v/>
      </c>
      <c r="O330" s="65" t="str">
        <f aca="false">IF($K330="Open",IF($C330="Conflict","decide "&amp;$A330&amp;": &lt;which version stands&gt;","decide "&amp;$A330&amp;": &lt;outcome&gt;"),IF($K330="Unconfirmed","confirm "&amp;$A330,""))</f>
        <v/>
      </c>
      <c r="P330" s="65" t="str">
        <f aca="false">IF(AND($C330="New",$B330&gt;=WeekStart),$B330+ROW()/100000,"")</f>
        <v/>
      </c>
      <c r="Q330" s="65" t="str">
        <f aca="false">IF(AND($C330="Know",$B330&gt;=WeekStart),$B330+ROW()/100000,"")</f>
        <v/>
      </c>
      <c r="R330" s="65" t="str">
        <f aca="false">IF(AND($K330="Open",$C330="Decision"),$L330+ROW()/100000,"")</f>
        <v/>
      </c>
      <c r="S330" s="65" t="str">
        <f aca="false">IF(AND($J330&lt;&gt;"",$J330=UCSel),$B330+ROW()/100000,"")</f>
        <v/>
      </c>
    </row>
    <row r="331" customFormat="false" ht="15" hidden="false" customHeight="false" outlineLevel="0" collapsed="false">
      <c r="A331" s="28"/>
      <c r="B331" s="63"/>
      <c r="C331" s="64"/>
      <c r="D331" s="28"/>
      <c r="E331" s="28"/>
      <c r="F331" s="28"/>
      <c r="G331" s="64"/>
      <c r="H331" s="64"/>
      <c r="I331" s="28"/>
      <c r="J331" s="28"/>
      <c r="K331" s="65" t="str">
        <f aca="false">IF($A331="","",IF(OR($C331="Decision",$C331="Conflict"),IF(COUNTIFS($I$2:$I$1001,$A331,$C$2:$C$1001,"Resolved")=0,"Open","Closed"),IF(AND($H331="Unconfirmed",OR($C331="New",$C331="Know")),IF(COUNTIFS($I$2:$I$1001,$A331,$C$2:$C$1001,"Confirmed")=0,"Unconfirmed","Confirmed"),"Logged")))</f>
        <v/>
      </c>
      <c r="L331" s="65" t="str">
        <f aca="false">IF($A331="","",AsOf-$B331)</f>
        <v/>
      </c>
      <c r="M331" s="65" t="str">
        <f aca="false">IF($K331="Open",IF($C331="Conflict","Critical",IF($L331&gt;=DecisionCritical,"Critical",IF($L331&gt;=DecisionWarn,"Warning","On track"))),IF($K331="Unconfirmed",IF($L331&gt;=UnconfirmedWarn,"Warning","On track"),""))</f>
        <v/>
      </c>
      <c r="N331" s="65" t="str">
        <f aca="false">IF($M331="","",IF($M331="Critical",3000,IF($M331="Warning",2000,1000))+$L331+ROW()/100000)</f>
        <v/>
      </c>
      <c r="O331" s="65" t="str">
        <f aca="false">IF($K331="Open",IF($C331="Conflict","decide "&amp;$A331&amp;": &lt;which version stands&gt;","decide "&amp;$A331&amp;": &lt;outcome&gt;"),IF($K331="Unconfirmed","confirm "&amp;$A331,""))</f>
        <v/>
      </c>
      <c r="P331" s="65" t="str">
        <f aca="false">IF(AND($C331="New",$B331&gt;=WeekStart),$B331+ROW()/100000,"")</f>
        <v/>
      </c>
      <c r="Q331" s="65" t="str">
        <f aca="false">IF(AND($C331="Know",$B331&gt;=WeekStart),$B331+ROW()/100000,"")</f>
        <v/>
      </c>
      <c r="R331" s="65" t="str">
        <f aca="false">IF(AND($K331="Open",$C331="Decision"),$L331+ROW()/100000,"")</f>
        <v/>
      </c>
      <c r="S331" s="65" t="str">
        <f aca="false">IF(AND($J331&lt;&gt;"",$J331=UCSel),$B331+ROW()/100000,"")</f>
        <v/>
      </c>
    </row>
    <row r="332" customFormat="false" ht="15" hidden="false" customHeight="false" outlineLevel="0" collapsed="false">
      <c r="A332" s="28"/>
      <c r="B332" s="63"/>
      <c r="C332" s="64"/>
      <c r="D332" s="28"/>
      <c r="E332" s="28"/>
      <c r="F332" s="28"/>
      <c r="G332" s="64"/>
      <c r="H332" s="64"/>
      <c r="I332" s="28"/>
      <c r="J332" s="28"/>
      <c r="K332" s="65" t="str">
        <f aca="false">IF($A332="","",IF(OR($C332="Decision",$C332="Conflict"),IF(COUNTIFS($I$2:$I$1001,$A332,$C$2:$C$1001,"Resolved")=0,"Open","Closed"),IF(AND($H332="Unconfirmed",OR($C332="New",$C332="Know")),IF(COUNTIFS($I$2:$I$1001,$A332,$C$2:$C$1001,"Confirmed")=0,"Unconfirmed","Confirmed"),"Logged")))</f>
        <v/>
      </c>
      <c r="L332" s="65" t="str">
        <f aca="false">IF($A332="","",AsOf-$B332)</f>
        <v/>
      </c>
      <c r="M332" s="65" t="str">
        <f aca="false">IF($K332="Open",IF($C332="Conflict","Critical",IF($L332&gt;=DecisionCritical,"Critical",IF($L332&gt;=DecisionWarn,"Warning","On track"))),IF($K332="Unconfirmed",IF($L332&gt;=UnconfirmedWarn,"Warning","On track"),""))</f>
        <v/>
      </c>
      <c r="N332" s="65" t="str">
        <f aca="false">IF($M332="","",IF($M332="Critical",3000,IF($M332="Warning",2000,1000))+$L332+ROW()/100000)</f>
        <v/>
      </c>
      <c r="O332" s="65" t="str">
        <f aca="false">IF($K332="Open",IF($C332="Conflict","decide "&amp;$A332&amp;": &lt;which version stands&gt;","decide "&amp;$A332&amp;": &lt;outcome&gt;"),IF($K332="Unconfirmed","confirm "&amp;$A332,""))</f>
        <v/>
      </c>
      <c r="P332" s="65" t="str">
        <f aca="false">IF(AND($C332="New",$B332&gt;=WeekStart),$B332+ROW()/100000,"")</f>
        <v/>
      </c>
      <c r="Q332" s="65" t="str">
        <f aca="false">IF(AND($C332="Know",$B332&gt;=WeekStart),$B332+ROW()/100000,"")</f>
        <v/>
      </c>
      <c r="R332" s="65" t="str">
        <f aca="false">IF(AND($K332="Open",$C332="Decision"),$L332+ROW()/100000,"")</f>
        <v/>
      </c>
      <c r="S332" s="65" t="str">
        <f aca="false">IF(AND($J332&lt;&gt;"",$J332=UCSel),$B332+ROW()/100000,"")</f>
        <v/>
      </c>
    </row>
    <row r="333" customFormat="false" ht="15" hidden="false" customHeight="false" outlineLevel="0" collapsed="false">
      <c r="A333" s="28"/>
      <c r="B333" s="63"/>
      <c r="C333" s="64"/>
      <c r="D333" s="28"/>
      <c r="E333" s="28"/>
      <c r="F333" s="28"/>
      <c r="G333" s="64"/>
      <c r="H333" s="64"/>
      <c r="I333" s="28"/>
      <c r="J333" s="28"/>
      <c r="K333" s="65" t="str">
        <f aca="false">IF($A333="","",IF(OR($C333="Decision",$C333="Conflict"),IF(COUNTIFS($I$2:$I$1001,$A333,$C$2:$C$1001,"Resolved")=0,"Open","Closed"),IF(AND($H333="Unconfirmed",OR($C333="New",$C333="Know")),IF(COUNTIFS($I$2:$I$1001,$A333,$C$2:$C$1001,"Confirmed")=0,"Unconfirmed","Confirmed"),"Logged")))</f>
        <v/>
      </c>
      <c r="L333" s="65" t="str">
        <f aca="false">IF($A333="","",AsOf-$B333)</f>
        <v/>
      </c>
      <c r="M333" s="65" t="str">
        <f aca="false">IF($K333="Open",IF($C333="Conflict","Critical",IF($L333&gt;=DecisionCritical,"Critical",IF($L333&gt;=DecisionWarn,"Warning","On track"))),IF($K333="Unconfirmed",IF($L333&gt;=UnconfirmedWarn,"Warning","On track"),""))</f>
        <v/>
      </c>
      <c r="N333" s="65" t="str">
        <f aca="false">IF($M333="","",IF($M333="Critical",3000,IF($M333="Warning",2000,1000))+$L333+ROW()/100000)</f>
        <v/>
      </c>
      <c r="O333" s="65" t="str">
        <f aca="false">IF($K333="Open",IF($C333="Conflict","decide "&amp;$A333&amp;": &lt;which version stands&gt;","decide "&amp;$A333&amp;": &lt;outcome&gt;"),IF($K333="Unconfirmed","confirm "&amp;$A333,""))</f>
        <v/>
      </c>
      <c r="P333" s="65" t="str">
        <f aca="false">IF(AND($C333="New",$B333&gt;=WeekStart),$B333+ROW()/100000,"")</f>
        <v/>
      </c>
      <c r="Q333" s="65" t="str">
        <f aca="false">IF(AND($C333="Know",$B333&gt;=WeekStart),$B333+ROW()/100000,"")</f>
        <v/>
      </c>
      <c r="R333" s="65" t="str">
        <f aca="false">IF(AND($K333="Open",$C333="Decision"),$L333+ROW()/100000,"")</f>
        <v/>
      </c>
      <c r="S333" s="65" t="str">
        <f aca="false">IF(AND($J333&lt;&gt;"",$J333=UCSel),$B333+ROW()/100000,"")</f>
        <v/>
      </c>
    </row>
    <row r="334" customFormat="false" ht="15" hidden="false" customHeight="false" outlineLevel="0" collapsed="false">
      <c r="A334" s="28"/>
      <c r="B334" s="63"/>
      <c r="C334" s="64"/>
      <c r="D334" s="28"/>
      <c r="E334" s="28"/>
      <c r="F334" s="28"/>
      <c r="G334" s="64"/>
      <c r="H334" s="64"/>
      <c r="I334" s="28"/>
      <c r="J334" s="28"/>
      <c r="K334" s="65" t="str">
        <f aca="false">IF($A334="","",IF(OR($C334="Decision",$C334="Conflict"),IF(COUNTIFS($I$2:$I$1001,$A334,$C$2:$C$1001,"Resolved")=0,"Open","Closed"),IF(AND($H334="Unconfirmed",OR($C334="New",$C334="Know")),IF(COUNTIFS($I$2:$I$1001,$A334,$C$2:$C$1001,"Confirmed")=0,"Unconfirmed","Confirmed"),"Logged")))</f>
        <v/>
      </c>
      <c r="L334" s="65" t="str">
        <f aca="false">IF($A334="","",AsOf-$B334)</f>
        <v/>
      </c>
      <c r="M334" s="65" t="str">
        <f aca="false">IF($K334="Open",IF($C334="Conflict","Critical",IF($L334&gt;=DecisionCritical,"Critical",IF($L334&gt;=DecisionWarn,"Warning","On track"))),IF($K334="Unconfirmed",IF($L334&gt;=UnconfirmedWarn,"Warning","On track"),""))</f>
        <v/>
      </c>
      <c r="N334" s="65" t="str">
        <f aca="false">IF($M334="","",IF($M334="Critical",3000,IF($M334="Warning",2000,1000))+$L334+ROW()/100000)</f>
        <v/>
      </c>
      <c r="O334" s="65" t="str">
        <f aca="false">IF($K334="Open",IF($C334="Conflict","decide "&amp;$A334&amp;": &lt;which version stands&gt;","decide "&amp;$A334&amp;": &lt;outcome&gt;"),IF($K334="Unconfirmed","confirm "&amp;$A334,""))</f>
        <v/>
      </c>
      <c r="P334" s="65" t="str">
        <f aca="false">IF(AND($C334="New",$B334&gt;=WeekStart),$B334+ROW()/100000,"")</f>
        <v/>
      </c>
      <c r="Q334" s="65" t="str">
        <f aca="false">IF(AND($C334="Know",$B334&gt;=WeekStart),$B334+ROW()/100000,"")</f>
        <v/>
      </c>
      <c r="R334" s="65" t="str">
        <f aca="false">IF(AND($K334="Open",$C334="Decision"),$L334+ROW()/100000,"")</f>
        <v/>
      </c>
      <c r="S334" s="65" t="str">
        <f aca="false">IF(AND($J334&lt;&gt;"",$J334=UCSel),$B334+ROW()/100000,"")</f>
        <v/>
      </c>
    </row>
    <row r="335" customFormat="false" ht="15" hidden="false" customHeight="false" outlineLevel="0" collapsed="false">
      <c r="A335" s="28"/>
      <c r="B335" s="63"/>
      <c r="C335" s="64"/>
      <c r="D335" s="28"/>
      <c r="E335" s="28"/>
      <c r="F335" s="28"/>
      <c r="G335" s="64"/>
      <c r="H335" s="64"/>
      <c r="I335" s="28"/>
      <c r="J335" s="28"/>
      <c r="K335" s="65" t="str">
        <f aca="false">IF($A335="","",IF(OR($C335="Decision",$C335="Conflict"),IF(COUNTIFS($I$2:$I$1001,$A335,$C$2:$C$1001,"Resolved")=0,"Open","Closed"),IF(AND($H335="Unconfirmed",OR($C335="New",$C335="Know")),IF(COUNTIFS($I$2:$I$1001,$A335,$C$2:$C$1001,"Confirmed")=0,"Unconfirmed","Confirmed"),"Logged")))</f>
        <v/>
      </c>
      <c r="L335" s="65" t="str">
        <f aca="false">IF($A335="","",AsOf-$B335)</f>
        <v/>
      </c>
      <c r="M335" s="65" t="str">
        <f aca="false">IF($K335="Open",IF($C335="Conflict","Critical",IF($L335&gt;=DecisionCritical,"Critical",IF($L335&gt;=DecisionWarn,"Warning","On track"))),IF($K335="Unconfirmed",IF($L335&gt;=UnconfirmedWarn,"Warning","On track"),""))</f>
        <v/>
      </c>
      <c r="N335" s="65" t="str">
        <f aca="false">IF($M335="","",IF($M335="Critical",3000,IF($M335="Warning",2000,1000))+$L335+ROW()/100000)</f>
        <v/>
      </c>
      <c r="O335" s="65" t="str">
        <f aca="false">IF($K335="Open",IF($C335="Conflict","decide "&amp;$A335&amp;": &lt;which version stands&gt;","decide "&amp;$A335&amp;": &lt;outcome&gt;"),IF($K335="Unconfirmed","confirm "&amp;$A335,""))</f>
        <v/>
      </c>
      <c r="P335" s="65" t="str">
        <f aca="false">IF(AND($C335="New",$B335&gt;=WeekStart),$B335+ROW()/100000,"")</f>
        <v/>
      </c>
      <c r="Q335" s="65" t="str">
        <f aca="false">IF(AND($C335="Know",$B335&gt;=WeekStart),$B335+ROW()/100000,"")</f>
        <v/>
      </c>
      <c r="R335" s="65" t="str">
        <f aca="false">IF(AND($K335="Open",$C335="Decision"),$L335+ROW()/100000,"")</f>
        <v/>
      </c>
      <c r="S335" s="65" t="str">
        <f aca="false">IF(AND($J335&lt;&gt;"",$J335=UCSel),$B335+ROW()/100000,"")</f>
        <v/>
      </c>
    </row>
    <row r="336" customFormat="false" ht="15" hidden="false" customHeight="false" outlineLevel="0" collapsed="false">
      <c r="A336" s="28"/>
      <c r="B336" s="63"/>
      <c r="C336" s="64"/>
      <c r="D336" s="28"/>
      <c r="E336" s="28"/>
      <c r="F336" s="28"/>
      <c r="G336" s="64"/>
      <c r="H336" s="64"/>
      <c r="I336" s="28"/>
      <c r="J336" s="28"/>
      <c r="K336" s="65" t="str">
        <f aca="false">IF($A336="","",IF(OR($C336="Decision",$C336="Conflict"),IF(COUNTIFS($I$2:$I$1001,$A336,$C$2:$C$1001,"Resolved")=0,"Open","Closed"),IF(AND($H336="Unconfirmed",OR($C336="New",$C336="Know")),IF(COUNTIFS($I$2:$I$1001,$A336,$C$2:$C$1001,"Confirmed")=0,"Unconfirmed","Confirmed"),"Logged")))</f>
        <v/>
      </c>
      <c r="L336" s="65" t="str">
        <f aca="false">IF($A336="","",AsOf-$B336)</f>
        <v/>
      </c>
      <c r="M336" s="65" t="str">
        <f aca="false">IF($K336="Open",IF($C336="Conflict","Critical",IF($L336&gt;=DecisionCritical,"Critical",IF($L336&gt;=DecisionWarn,"Warning","On track"))),IF($K336="Unconfirmed",IF($L336&gt;=UnconfirmedWarn,"Warning","On track"),""))</f>
        <v/>
      </c>
      <c r="N336" s="65" t="str">
        <f aca="false">IF($M336="","",IF($M336="Critical",3000,IF($M336="Warning",2000,1000))+$L336+ROW()/100000)</f>
        <v/>
      </c>
      <c r="O336" s="65" t="str">
        <f aca="false">IF($K336="Open",IF($C336="Conflict","decide "&amp;$A336&amp;": &lt;which version stands&gt;","decide "&amp;$A336&amp;": &lt;outcome&gt;"),IF($K336="Unconfirmed","confirm "&amp;$A336,""))</f>
        <v/>
      </c>
      <c r="P336" s="65" t="str">
        <f aca="false">IF(AND($C336="New",$B336&gt;=WeekStart),$B336+ROW()/100000,"")</f>
        <v/>
      </c>
      <c r="Q336" s="65" t="str">
        <f aca="false">IF(AND($C336="Know",$B336&gt;=WeekStart),$B336+ROW()/100000,"")</f>
        <v/>
      </c>
      <c r="R336" s="65" t="str">
        <f aca="false">IF(AND($K336="Open",$C336="Decision"),$L336+ROW()/100000,"")</f>
        <v/>
      </c>
      <c r="S336" s="65" t="str">
        <f aca="false">IF(AND($J336&lt;&gt;"",$J336=UCSel),$B336+ROW()/100000,"")</f>
        <v/>
      </c>
    </row>
    <row r="337" customFormat="false" ht="15" hidden="false" customHeight="false" outlineLevel="0" collapsed="false">
      <c r="A337" s="28"/>
      <c r="B337" s="63"/>
      <c r="C337" s="64"/>
      <c r="D337" s="28"/>
      <c r="E337" s="28"/>
      <c r="F337" s="28"/>
      <c r="G337" s="64"/>
      <c r="H337" s="64"/>
      <c r="I337" s="28"/>
      <c r="J337" s="28"/>
      <c r="K337" s="65" t="str">
        <f aca="false">IF($A337="","",IF(OR($C337="Decision",$C337="Conflict"),IF(COUNTIFS($I$2:$I$1001,$A337,$C$2:$C$1001,"Resolved")=0,"Open","Closed"),IF(AND($H337="Unconfirmed",OR($C337="New",$C337="Know")),IF(COUNTIFS($I$2:$I$1001,$A337,$C$2:$C$1001,"Confirmed")=0,"Unconfirmed","Confirmed"),"Logged")))</f>
        <v/>
      </c>
      <c r="L337" s="65" t="str">
        <f aca="false">IF($A337="","",AsOf-$B337)</f>
        <v/>
      </c>
      <c r="M337" s="65" t="str">
        <f aca="false">IF($K337="Open",IF($C337="Conflict","Critical",IF($L337&gt;=DecisionCritical,"Critical",IF($L337&gt;=DecisionWarn,"Warning","On track"))),IF($K337="Unconfirmed",IF($L337&gt;=UnconfirmedWarn,"Warning","On track"),""))</f>
        <v/>
      </c>
      <c r="N337" s="65" t="str">
        <f aca="false">IF($M337="","",IF($M337="Critical",3000,IF($M337="Warning",2000,1000))+$L337+ROW()/100000)</f>
        <v/>
      </c>
      <c r="O337" s="65" t="str">
        <f aca="false">IF($K337="Open",IF($C337="Conflict","decide "&amp;$A337&amp;": &lt;which version stands&gt;","decide "&amp;$A337&amp;": &lt;outcome&gt;"),IF($K337="Unconfirmed","confirm "&amp;$A337,""))</f>
        <v/>
      </c>
      <c r="P337" s="65" t="str">
        <f aca="false">IF(AND($C337="New",$B337&gt;=WeekStart),$B337+ROW()/100000,"")</f>
        <v/>
      </c>
      <c r="Q337" s="65" t="str">
        <f aca="false">IF(AND($C337="Know",$B337&gt;=WeekStart),$B337+ROW()/100000,"")</f>
        <v/>
      </c>
      <c r="R337" s="65" t="str">
        <f aca="false">IF(AND($K337="Open",$C337="Decision"),$L337+ROW()/100000,"")</f>
        <v/>
      </c>
      <c r="S337" s="65" t="str">
        <f aca="false">IF(AND($J337&lt;&gt;"",$J337=UCSel),$B337+ROW()/100000,"")</f>
        <v/>
      </c>
    </row>
    <row r="338" customFormat="false" ht="15" hidden="false" customHeight="false" outlineLevel="0" collapsed="false">
      <c r="A338" s="28"/>
      <c r="B338" s="63"/>
      <c r="C338" s="64"/>
      <c r="D338" s="28"/>
      <c r="E338" s="28"/>
      <c r="F338" s="28"/>
      <c r="G338" s="64"/>
      <c r="H338" s="64"/>
      <c r="I338" s="28"/>
      <c r="J338" s="28"/>
      <c r="K338" s="65" t="str">
        <f aca="false">IF($A338="","",IF(OR($C338="Decision",$C338="Conflict"),IF(COUNTIFS($I$2:$I$1001,$A338,$C$2:$C$1001,"Resolved")=0,"Open","Closed"),IF(AND($H338="Unconfirmed",OR($C338="New",$C338="Know")),IF(COUNTIFS($I$2:$I$1001,$A338,$C$2:$C$1001,"Confirmed")=0,"Unconfirmed","Confirmed"),"Logged")))</f>
        <v/>
      </c>
      <c r="L338" s="65" t="str">
        <f aca="false">IF($A338="","",AsOf-$B338)</f>
        <v/>
      </c>
      <c r="M338" s="65" t="str">
        <f aca="false">IF($K338="Open",IF($C338="Conflict","Critical",IF($L338&gt;=DecisionCritical,"Critical",IF($L338&gt;=DecisionWarn,"Warning","On track"))),IF($K338="Unconfirmed",IF($L338&gt;=UnconfirmedWarn,"Warning","On track"),""))</f>
        <v/>
      </c>
      <c r="N338" s="65" t="str">
        <f aca="false">IF($M338="","",IF($M338="Critical",3000,IF($M338="Warning",2000,1000))+$L338+ROW()/100000)</f>
        <v/>
      </c>
      <c r="O338" s="65" t="str">
        <f aca="false">IF($K338="Open",IF($C338="Conflict","decide "&amp;$A338&amp;": &lt;which version stands&gt;","decide "&amp;$A338&amp;": &lt;outcome&gt;"),IF($K338="Unconfirmed","confirm "&amp;$A338,""))</f>
        <v/>
      </c>
      <c r="P338" s="65" t="str">
        <f aca="false">IF(AND($C338="New",$B338&gt;=WeekStart),$B338+ROW()/100000,"")</f>
        <v/>
      </c>
      <c r="Q338" s="65" t="str">
        <f aca="false">IF(AND($C338="Know",$B338&gt;=WeekStart),$B338+ROW()/100000,"")</f>
        <v/>
      </c>
      <c r="R338" s="65" t="str">
        <f aca="false">IF(AND($K338="Open",$C338="Decision"),$L338+ROW()/100000,"")</f>
        <v/>
      </c>
      <c r="S338" s="65" t="str">
        <f aca="false">IF(AND($J338&lt;&gt;"",$J338=UCSel),$B338+ROW()/100000,"")</f>
        <v/>
      </c>
    </row>
    <row r="339" customFormat="false" ht="15" hidden="false" customHeight="false" outlineLevel="0" collapsed="false">
      <c r="A339" s="28"/>
      <c r="B339" s="63"/>
      <c r="C339" s="64"/>
      <c r="D339" s="28"/>
      <c r="E339" s="28"/>
      <c r="F339" s="28"/>
      <c r="G339" s="64"/>
      <c r="H339" s="64"/>
      <c r="I339" s="28"/>
      <c r="J339" s="28"/>
      <c r="K339" s="65" t="str">
        <f aca="false">IF($A339="","",IF(OR($C339="Decision",$C339="Conflict"),IF(COUNTIFS($I$2:$I$1001,$A339,$C$2:$C$1001,"Resolved")=0,"Open","Closed"),IF(AND($H339="Unconfirmed",OR($C339="New",$C339="Know")),IF(COUNTIFS($I$2:$I$1001,$A339,$C$2:$C$1001,"Confirmed")=0,"Unconfirmed","Confirmed"),"Logged")))</f>
        <v/>
      </c>
      <c r="L339" s="65" t="str">
        <f aca="false">IF($A339="","",AsOf-$B339)</f>
        <v/>
      </c>
      <c r="M339" s="65" t="str">
        <f aca="false">IF($K339="Open",IF($C339="Conflict","Critical",IF($L339&gt;=DecisionCritical,"Critical",IF($L339&gt;=DecisionWarn,"Warning","On track"))),IF($K339="Unconfirmed",IF($L339&gt;=UnconfirmedWarn,"Warning","On track"),""))</f>
        <v/>
      </c>
      <c r="N339" s="65" t="str">
        <f aca="false">IF($M339="","",IF($M339="Critical",3000,IF($M339="Warning",2000,1000))+$L339+ROW()/100000)</f>
        <v/>
      </c>
      <c r="O339" s="65" t="str">
        <f aca="false">IF($K339="Open",IF($C339="Conflict","decide "&amp;$A339&amp;": &lt;which version stands&gt;","decide "&amp;$A339&amp;": &lt;outcome&gt;"),IF($K339="Unconfirmed","confirm "&amp;$A339,""))</f>
        <v/>
      </c>
      <c r="P339" s="65" t="str">
        <f aca="false">IF(AND($C339="New",$B339&gt;=WeekStart),$B339+ROW()/100000,"")</f>
        <v/>
      </c>
      <c r="Q339" s="65" t="str">
        <f aca="false">IF(AND($C339="Know",$B339&gt;=WeekStart),$B339+ROW()/100000,"")</f>
        <v/>
      </c>
      <c r="R339" s="65" t="str">
        <f aca="false">IF(AND($K339="Open",$C339="Decision"),$L339+ROW()/100000,"")</f>
        <v/>
      </c>
      <c r="S339" s="65" t="str">
        <f aca="false">IF(AND($J339&lt;&gt;"",$J339=UCSel),$B339+ROW()/100000,"")</f>
        <v/>
      </c>
    </row>
    <row r="340" customFormat="false" ht="15" hidden="false" customHeight="false" outlineLevel="0" collapsed="false">
      <c r="A340" s="28"/>
      <c r="B340" s="63"/>
      <c r="C340" s="64"/>
      <c r="D340" s="28"/>
      <c r="E340" s="28"/>
      <c r="F340" s="28"/>
      <c r="G340" s="64"/>
      <c r="H340" s="64"/>
      <c r="I340" s="28"/>
      <c r="J340" s="28"/>
      <c r="K340" s="65" t="str">
        <f aca="false">IF($A340="","",IF(OR($C340="Decision",$C340="Conflict"),IF(COUNTIFS($I$2:$I$1001,$A340,$C$2:$C$1001,"Resolved")=0,"Open","Closed"),IF(AND($H340="Unconfirmed",OR($C340="New",$C340="Know")),IF(COUNTIFS($I$2:$I$1001,$A340,$C$2:$C$1001,"Confirmed")=0,"Unconfirmed","Confirmed"),"Logged")))</f>
        <v/>
      </c>
      <c r="L340" s="65" t="str">
        <f aca="false">IF($A340="","",AsOf-$B340)</f>
        <v/>
      </c>
      <c r="M340" s="65" t="str">
        <f aca="false">IF($K340="Open",IF($C340="Conflict","Critical",IF($L340&gt;=DecisionCritical,"Critical",IF($L340&gt;=DecisionWarn,"Warning","On track"))),IF($K340="Unconfirmed",IF($L340&gt;=UnconfirmedWarn,"Warning","On track"),""))</f>
        <v/>
      </c>
      <c r="N340" s="65" t="str">
        <f aca="false">IF($M340="","",IF($M340="Critical",3000,IF($M340="Warning",2000,1000))+$L340+ROW()/100000)</f>
        <v/>
      </c>
      <c r="O340" s="65" t="str">
        <f aca="false">IF($K340="Open",IF($C340="Conflict","decide "&amp;$A340&amp;": &lt;which version stands&gt;","decide "&amp;$A340&amp;": &lt;outcome&gt;"),IF($K340="Unconfirmed","confirm "&amp;$A340,""))</f>
        <v/>
      </c>
      <c r="P340" s="65" t="str">
        <f aca="false">IF(AND($C340="New",$B340&gt;=WeekStart),$B340+ROW()/100000,"")</f>
        <v/>
      </c>
      <c r="Q340" s="65" t="str">
        <f aca="false">IF(AND($C340="Know",$B340&gt;=WeekStart),$B340+ROW()/100000,"")</f>
        <v/>
      </c>
      <c r="R340" s="65" t="str">
        <f aca="false">IF(AND($K340="Open",$C340="Decision"),$L340+ROW()/100000,"")</f>
        <v/>
      </c>
      <c r="S340" s="65" t="str">
        <f aca="false">IF(AND($J340&lt;&gt;"",$J340=UCSel),$B340+ROW()/100000,"")</f>
        <v/>
      </c>
    </row>
    <row r="341" customFormat="false" ht="15" hidden="false" customHeight="false" outlineLevel="0" collapsed="false">
      <c r="A341" s="28"/>
      <c r="B341" s="63"/>
      <c r="C341" s="64"/>
      <c r="D341" s="28"/>
      <c r="E341" s="28"/>
      <c r="F341" s="28"/>
      <c r="G341" s="64"/>
      <c r="H341" s="64"/>
      <c r="I341" s="28"/>
      <c r="J341" s="28"/>
      <c r="K341" s="65" t="str">
        <f aca="false">IF($A341="","",IF(OR($C341="Decision",$C341="Conflict"),IF(COUNTIFS($I$2:$I$1001,$A341,$C$2:$C$1001,"Resolved")=0,"Open","Closed"),IF(AND($H341="Unconfirmed",OR($C341="New",$C341="Know")),IF(COUNTIFS($I$2:$I$1001,$A341,$C$2:$C$1001,"Confirmed")=0,"Unconfirmed","Confirmed"),"Logged")))</f>
        <v/>
      </c>
      <c r="L341" s="65" t="str">
        <f aca="false">IF($A341="","",AsOf-$B341)</f>
        <v/>
      </c>
      <c r="M341" s="65" t="str">
        <f aca="false">IF($K341="Open",IF($C341="Conflict","Critical",IF($L341&gt;=DecisionCritical,"Critical",IF($L341&gt;=DecisionWarn,"Warning","On track"))),IF($K341="Unconfirmed",IF($L341&gt;=UnconfirmedWarn,"Warning","On track"),""))</f>
        <v/>
      </c>
      <c r="N341" s="65" t="str">
        <f aca="false">IF($M341="","",IF($M341="Critical",3000,IF($M341="Warning",2000,1000))+$L341+ROW()/100000)</f>
        <v/>
      </c>
      <c r="O341" s="65" t="str">
        <f aca="false">IF($K341="Open",IF($C341="Conflict","decide "&amp;$A341&amp;": &lt;which version stands&gt;","decide "&amp;$A341&amp;": &lt;outcome&gt;"),IF($K341="Unconfirmed","confirm "&amp;$A341,""))</f>
        <v/>
      </c>
      <c r="P341" s="65" t="str">
        <f aca="false">IF(AND($C341="New",$B341&gt;=WeekStart),$B341+ROW()/100000,"")</f>
        <v/>
      </c>
      <c r="Q341" s="65" t="str">
        <f aca="false">IF(AND($C341="Know",$B341&gt;=WeekStart),$B341+ROW()/100000,"")</f>
        <v/>
      </c>
      <c r="R341" s="65" t="str">
        <f aca="false">IF(AND($K341="Open",$C341="Decision"),$L341+ROW()/100000,"")</f>
        <v/>
      </c>
      <c r="S341" s="65" t="str">
        <f aca="false">IF(AND($J341&lt;&gt;"",$J341=UCSel),$B341+ROW()/100000,"")</f>
        <v/>
      </c>
    </row>
    <row r="342" customFormat="false" ht="15" hidden="false" customHeight="false" outlineLevel="0" collapsed="false">
      <c r="A342" s="28"/>
      <c r="B342" s="63"/>
      <c r="C342" s="64"/>
      <c r="D342" s="28"/>
      <c r="E342" s="28"/>
      <c r="F342" s="28"/>
      <c r="G342" s="64"/>
      <c r="H342" s="64"/>
      <c r="I342" s="28"/>
      <c r="J342" s="28"/>
      <c r="K342" s="65" t="str">
        <f aca="false">IF($A342="","",IF(OR($C342="Decision",$C342="Conflict"),IF(COUNTIFS($I$2:$I$1001,$A342,$C$2:$C$1001,"Resolved")=0,"Open","Closed"),IF(AND($H342="Unconfirmed",OR($C342="New",$C342="Know")),IF(COUNTIFS($I$2:$I$1001,$A342,$C$2:$C$1001,"Confirmed")=0,"Unconfirmed","Confirmed"),"Logged")))</f>
        <v/>
      </c>
      <c r="L342" s="65" t="str">
        <f aca="false">IF($A342="","",AsOf-$B342)</f>
        <v/>
      </c>
      <c r="M342" s="65" t="str">
        <f aca="false">IF($K342="Open",IF($C342="Conflict","Critical",IF($L342&gt;=DecisionCritical,"Critical",IF($L342&gt;=DecisionWarn,"Warning","On track"))),IF($K342="Unconfirmed",IF($L342&gt;=UnconfirmedWarn,"Warning","On track"),""))</f>
        <v/>
      </c>
      <c r="N342" s="65" t="str">
        <f aca="false">IF($M342="","",IF($M342="Critical",3000,IF($M342="Warning",2000,1000))+$L342+ROW()/100000)</f>
        <v/>
      </c>
      <c r="O342" s="65" t="str">
        <f aca="false">IF($K342="Open",IF($C342="Conflict","decide "&amp;$A342&amp;": &lt;which version stands&gt;","decide "&amp;$A342&amp;": &lt;outcome&gt;"),IF($K342="Unconfirmed","confirm "&amp;$A342,""))</f>
        <v/>
      </c>
      <c r="P342" s="65" t="str">
        <f aca="false">IF(AND($C342="New",$B342&gt;=WeekStart),$B342+ROW()/100000,"")</f>
        <v/>
      </c>
      <c r="Q342" s="65" t="str">
        <f aca="false">IF(AND($C342="Know",$B342&gt;=WeekStart),$B342+ROW()/100000,"")</f>
        <v/>
      </c>
      <c r="R342" s="65" t="str">
        <f aca="false">IF(AND($K342="Open",$C342="Decision"),$L342+ROW()/100000,"")</f>
        <v/>
      </c>
      <c r="S342" s="65" t="str">
        <f aca="false">IF(AND($J342&lt;&gt;"",$J342=UCSel),$B342+ROW()/100000,"")</f>
        <v/>
      </c>
    </row>
    <row r="343" customFormat="false" ht="15" hidden="false" customHeight="false" outlineLevel="0" collapsed="false">
      <c r="A343" s="28"/>
      <c r="B343" s="63"/>
      <c r="C343" s="64"/>
      <c r="D343" s="28"/>
      <c r="E343" s="28"/>
      <c r="F343" s="28"/>
      <c r="G343" s="64"/>
      <c r="H343" s="64"/>
      <c r="I343" s="28"/>
      <c r="J343" s="28"/>
      <c r="K343" s="65" t="str">
        <f aca="false">IF($A343="","",IF(OR($C343="Decision",$C343="Conflict"),IF(COUNTIFS($I$2:$I$1001,$A343,$C$2:$C$1001,"Resolved")=0,"Open","Closed"),IF(AND($H343="Unconfirmed",OR($C343="New",$C343="Know")),IF(COUNTIFS($I$2:$I$1001,$A343,$C$2:$C$1001,"Confirmed")=0,"Unconfirmed","Confirmed"),"Logged")))</f>
        <v/>
      </c>
      <c r="L343" s="65" t="str">
        <f aca="false">IF($A343="","",AsOf-$B343)</f>
        <v/>
      </c>
      <c r="M343" s="65" t="str">
        <f aca="false">IF($K343="Open",IF($C343="Conflict","Critical",IF($L343&gt;=DecisionCritical,"Critical",IF($L343&gt;=DecisionWarn,"Warning","On track"))),IF($K343="Unconfirmed",IF($L343&gt;=UnconfirmedWarn,"Warning","On track"),""))</f>
        <v/>
      </c>
      <c r="N343" s="65" t="str">
        <f aca="false">IF($M343="","",IF($M343="Critical",3000,IF($M343="Warning",2000,1000))+$L343+ROW()/100000)</f>
        <v/>
      </c>
      <c r="O343" s="65" t="str">
        <f aca="false">IF($K343="Open",IF($C343="Conflict","decide "&amp;$A343&amp;": &lt;which version stands&gt;","decide "&amp;$A343&amp;": &lt;outcome&gt;"),IF($K343="Unconfirmed","confirm "&amp;$A343,""))</f>
        <v/>
      </c>
      <c r="P343" s="65" t="str">
        <f aca="false">IF(AND($C343="New",$B343&gt;=WeekStart),$B343+ROW()/100000,"")</f>
        <v/>
      </c>
      <c r="Q343" s="65" t="str">
        <f aca="false">IF(AND($C343="Know",$B343&gt;=WeekStart),$B343+ROW()/100000,"")</f>
        <v/>
      </c>
      <c r="R343" s="65" t="str">
        <f aca="false">IF(AND($K343="Open",$C343="Decision"),$L343+ROW()/100000,"")</f>
        <v/>
      </c>
      <c r="S343" s="65" t="str">
        <f aca="false">IF(AND($J343&lt;&gt;"",$J343=UCSel),$B343+ROW()/100000,"")</f>
        <v/>
      </c>
    </row>
    <row r="344" customFormat="false" ht="15" hidden="false" customHeight="false" outlineLevel="0" collapsed="false">
      <c r="A344" s="28"/>
      <c r="B344" s="63"/>
      <c r="C344" s="64"/>
      <c r="D344" s="28"/>
      <c r="E344" s="28"/>
      <c r="F344" s="28"/>
      <c r="G344" s="64"/>
      <c r="H344" s="64"/>
      <c r="I344" s="28"/>
      <c r="J344" s="28"/>
      <c r="K344" s="65" t="str">
        <f aca="false">IF($A344="","",IF(OR($C344="Decision",$C344="Conflict"),IF(COUNTIFS($I$2:$I$1001,$A344,$C$2:$C$1001,"Resolved")=0,"Open","Closed"),IF(AND($H344="Unconfirmed",OR($C344="New",$C344="Know")),IF(COUNTIFS($I$2:$I$1001,$A344,$C$2:$C$1001,"Confirmed")=0,"Unconfirmed","Confirmed"),"Logged")))</f>
        <v/>
      </c>
      <c r="L344" s="65" t="str">
        <f aca="false">IF($A344="","",AsOf-$B344)</f>
        <v/>
      </c>
      <c r="M344" s="65" t="str">
        <f aca="false">IF($K344="Open",IF($C344="Conflict","Critical",IF($L344&gt;=DecisionCritical,"Critical",IF($L344&gt;=DecisionWarn,"Warning","On track"))),IF($K344="Unconfirmed",IF($L344&gt;=UnconfirmedWarn,"Warning","On track"),""))</f>
        <v/>
      </c>
      <c r="N344" s="65" t="str">
        <f aca="false">IF($M344="","",IF($M344="Critical",3000,IF($M344="Warning",2000,1000))+$L344+ROW()/100000)</f>
        <v/>
      </c>
      <c r="O344" s="65" t="str">
        <f aca="false">IF($K344="Open",IF($C344="Conflict","decide "&amp;$A344&amp;": &lt;which version stands&gt;","decide "&amp;$A344&amp;": &lt;outcome&gt;"),IF($K344="Unconfirmed","confirm "&amp;$A344,""))</f>
        <v/>
      </c>
      <c r="P344" s="65" t="str">
        <f aca="false">IF(AND($C344="New",$B344&gt;=WeekStart),$B344+ROW()/100000,"")</f>
        <v/>
      </c>
      <c r="Q344" s="65" t="str">
        <f aca="false">IF(AND($C344="Know",$B344&gt;=WeekStart),$B344+ROW()/100000,"")</f>
        <v/>
      </c>
      <c r="R344" s="65" t="str">
        <f aca="false">IF(AND($K344="Open",$C344="Decision"),$L344+ROW()/100000,"")</f>
        <v/>
      </c>
      <c r="S344" s="65" t="str">
        <f aca="false">IF(AND($J344&lt;&gt;"",$J344=UCSel),$B344+ROW()/100000,"")</f>
        <v/>
      </c>
    </row>
    <row r="345" customFormat="false" ht="15" hidden="false" customHeight="false" outlineLevel="0" collapsed="false">
      <c r="A345" s="28"/>
      <c r="B345" s="63"/>
      <c r="C345" s="64"/>
      <c r="D345" s="28"/>
      <c r="E345" s="28"/>
      <c r="F345" s="28"/>
      <c r="G345" s="64"/>
      <c r="H345" s="64"/>
      <c r="I345" s="28"/>
      <c r="J345" s="28"/>
      <c r="K345" s="65" t="str">
        <f aca="false">IF($A345="","",IF(OR($C345="Decision",$C345="Conflict"),IF(COUNTIFS($I$2:$I$1001,$A345,$C$2:$C$1001,"Resolved")=0,"Open","Closed"),IF(AND($H345="Unconfirmed",OR($C345="New",$C345="Know")),IF(COUNTIFS($I$2:$I$1001,$A345,$C$2:$C$1001,"Confirmed")=0,"Unconfirmed","Confirmed"),"Logged")))</f>
        <v/>
      </c>
      <c r="L345" s="65" t="str">
        <f aca="false">IF($A345="","",AsOf-$B345)</f>
        <v/>
      </c>
      <c r="M345" s="65" t="str">
        <f aca="false">IF($K345="Open",IF($C345="Conflict","Critical",IF($L345&gt;=DecisionCritical,"Critical",IF($L345&gt;=DecisionWarn,"Warning","On track"))),IF($K345="Unconfirmed",IF($L345&gt;=UnconfirmedWarn,"Warning","On track"),""))</f>
        <v/>
      </c>
      <c r="N345" s="65" t="str">
        <f aca="false">IF($M345="","",IF($M345="Critical",3000,IF($M345="Warning",2000,1000))+$L345+ROW()/100000)</f>
        <v/>
      </c>
      <c r="O345" s="65" t="str">
        <f aca="false">IF($K345="Open",IF($C345="Conflict","decide "&amp;$A345&amp;": &lt;which version stands&gt;","decide "&amp;$A345&amp;": &lt;outcome&gt;"),IF($K345="Unconfirmed","confirm "&amp;$A345,""))</f>
        <v/>
      </c>
      <c r="P345" s="65" t="str">
        <f aca="false">IF(AND($C345="New",$B345&gt;=WeekStart),$B345+ROW()/100000,"")</f>
        <v/>
      </c>
      <c r="Q345" s="65" t="str">
        <f aca="false">IF(AND($C345="Know",$B345&gt;=WeekStart),$B345+ROW()/100000,"")</f>
        <v/>
      </c>
      <c r="R345" s="65" t="str">
        <f aca="false">IF(AND($K345="Open",$C345="Decision"),$L345+ROW()/100000,"")</f>
        <v/>
      </c>
      <c r="S345" s="65" t="str">
        <f aca="false">IF(AND($J345&lt;&gt;"",$J345=UCSel),$B345+ROW()/100000,"")</f>
        <v/>
      </c>
    </row>
    <row r="346" customFormat="false" ht="15" hidden="false" customHeight="false" outlineLevel="0" collapsed="false">
      <c r="A346" s="28"/>
      <c r="B346" s="63"/>
      <c r="C346" s="64"/>
      <c r="D346" s="28"/>
      <c r="E346" s="28"/>
      <c r="F346" s="28"/>
      <c r="G346" s="64"/>
      <c r="H346" s="64"/>
      <c r="I346" s="28"/>
      <c r="J346" s="28"/>
      <c r="K346" s="65" t="str">
        <f aca="false">IF($A346="","",IF(OR($C346="Decision",$C346="Conflict"),IF(COUNTIFS($I$2:$I$1001,$A346,$C$2:$C$1001,"Resolved")=0,"Open","Closed"),IF(AND($H346="Unconfirmed",OR($C346="New",$C346="Know")),IF(COUNTIFS($I$2:$I$1001,$A346,$C$2:$C$1001,"Confirmed")=0,"Unconfirmed","Confirmed"),"Logged")))</f>
        <v/>
      </c>
      <c r="L346" s="65" t="str">
        <f aca="false">IF($A346="","",AsOf-$B346)</f>
        <v/>
      </c>
      <c r="M346" s="65" t="str">
        <f aca="false">IF($K346="Open",IF($C346="Conflict","Critical",IF($L346&gt;=DecisionCritical,"Critical",IF($L346&gt;=DecisionWarn,"Warning","On track"))),IF($K346="Unconfirmed",IF($L346&gt;=UnconfirmedWarn,"Warning","On track"),""))</f>
        <v/>
      </c>
      <c r="N346" s="65" t="str">
        <f aca="false">IF($M346="","",IF($M346="Critical",3000,IF($M346="Warning",2000,1000))+$L346+ROW()/100000)</f>
        <v/>
      </c>
      <c r="O346" s="65" t="str">
        <f aca="false">IF($K346="Open",IF($C346="Conflict","decide "&amp;$A346&amp;": &lt;which version stands&gt;","decide "&amp;$A346&amp;": &lt;outcome&gt;"),IF($K346="Unconfirmed","confirm "&amp;$A346,""))</f>
        <v/>
      </c>
      <c r="P346" s="65" t="str">
        <f aca="false">IF(AND($C346="New",$B346&gt;=WeekStart),$B346+ROW()/100000,"")</f>
        <v/>
      </c>
      <c r="Q346" s="65" t="str">
        <f aca="false">IF(AND($C346="Know",$B346&gt;=WeekStart),$B346+ROW()/100000,"")</f>
        <v/>
      </c>
      <c r="R346" s="65" t="str">
        <f aca="false">IF(AND($K346="Open",$C346="Decision"),$L346+ROW()/100000,"")</f>
        <v/>
      </c>
      <c r="S346" s="65" t="str">
        <f aca="false">IF(AND($J346&lt;&gt;"",$J346=UCSel),$B346+ROW()/100000,"")</f>
        <v/>
      </c>
    </row>
    <row r="347" customFormat="false" ht="15" hidden="false" customHeight="false" outlineLevel="0" collapsed="false">
      <c r="A347" s="28"/>
      <c r="B347" s="63"/>
      <c r="C347" s="64"/>
      <c r="D347" s="28"/>
      <c r="E347" s="28"/>
      <c r="F347" s="28"/>
      <c r="G347" s="64"/>
      <c r="H347" s="64"/>
      <c r="I347" s="28"/>
      <c r="J347" s="28"/>
      <c r="K347" s="65" t="str">
        <f aca="false">IF($A347="","",IF(OR($C347="Decision",$C347="Conflict"),IF(COUNTIFS($I$2:$I$1001,$A347,$C$2:$C$1001,"Resolved")=0,"Open","Closed"),IF(AND($H347="Unconfirmed",OR($C347="New",$C347="Know")),IF(COUNTIFS($I$2:$I$1001,$A347,$C$2:$C$1001,"Confirmed")=0,"Unconfirmed","Confirmed"),"Logged")))</f>
        <v/>
      </c>
      <c r="L347" s="65" t="str">
        <f aca="false">IF($A347="","",AsOf-$B347)</f>
        <v/>
      </c>
      <c r="M347" s="65" t="str">
        <f aca="false">IF($K347="Open",IF($C347="Conflict","Critical",IF($L347&gt;=DecisionCritical,"Critical",IF($L347&gt;=DecisionWarn,"Warning","On track"))),IF($K347="Unconfirmed",IF($L347&gt;=UnconfirmedWarn,"Warning","On track"),""))</f>
        <v/>
      </c>
      <c r="N347" s="65" t="str">
        <f aca="false">IF($M347="","",IF($M347="Critical",3000,IF($M347="Warning",2000,1000))+$L347+ROW()/100000)</f>
        <v/>
      </c>
      <c r="O347" s="65" t="str">
        <f aca="false">IF($K347="Open",IF($C347="Conflict","decide "&amp;$A347&amp;": &lt;which version stands&gt;","decide "&amp;$A347&amp;": &lt;outcome&gt;"),IF($K347="Unconfirmed","confirm "&amp;$A347,""))</f>
        <v/>
      </c>
      <c r="P347" s="65" t="str">
        <f aca="false">IF(AND($C347="New",$B347&gt;=WeekStart),$B347+ROW()/100000,"")</f>
        <v/>
      </c>
      <c r="Q347" s="65" t="str">
        <f aca="false">IF(AND($C347="Know",$B347&gt;=WeekStart),$B347+ROW()/100000,"")</f>
        <v/>
      </c>
      <c r="R347" s="65" t="str">
        <f aca="false">IF(AND($K347="Open",$C347="Decision"),$L347+ROW()/100000,"")</f>
        <v/>
      </c>
      <c r="S347" s="65" t="str">
        <f aca="false">IF(AND($J347&lt;&gt;"",$J347=UCSel),$B347+ROW()/100000,"")</f>
        <v/>
      </c>
    </row>
    <row r="348" customFormat="false" ht="15" hidden="false" customHeight="false" outlineLevel="0" collapsed="false">
      <c r="A348" s="28"/>
      <c r="B348" s="63"/>
      <c r="C348" s="64"/>
      <c r="D348" s="28"/>
      <c r="E348" s="28"/>
      <c r="F348" s="28"/>
      <c r="G348" s="64"/>
      <c r="H348" s="64"/>
      <c r="I348" s="28"/>
      <c r="J348" s="28"/>
      <c r="K348" s="65" t="str">
        <f aca="false">IF($A348="","",IF(OR($C348="Decision",$C348="Conflict"),IF(COUNTIFS($I$2:$I$1001,$A348,$C$2:$C$1001,"Resolved")=0,"Open","Closed"),IF(AND($H348="Unconfirmed",OR($C348="New",$C348="Know")),IF(COUNTIFS($I$2:$I$1001,$A348,$C$2:$C$1001,"Confirmed")=0,"Unconfirmed","Confirmed"),"Logged")))</f>
        <v/>
      </c>
      <c r="L348" s="65" t="str">
        <f aca="false">IF($A348="","",AsOf-$B348)</f>
        <v/>
      </c>
      <c r="M348" s="65" t="str">
        <f aca="false">IF($K348="Open",IF($C348="Conflict","Critical",IF($L348&gt;=DecisionCritical,"Critical",IF($L348&gt;=DecisionWarn,"Warning","On track"))),IF($K348="Unconfirmed",IF($L348&gt;=UnconfirmedWarn,"Warning","On track"),""))</f>
        <v/>
      </c>
      <c r="N348" s="65" t="str">
        <f aca="false">IF($M348="","",IF($M348="Critical",3000,IF($M348="Warning",2000,1000))+$L348+ROW()/100000)</f>
        <v/>
      </c>
      <c r="O348" s="65" t="str">
        <f aca="false">IF($K348="Open",IF($C348="Conflict","decide "&amp;$A348&amp;": &lt;which version stands&gt;","decide "&amp;$A348&amp;": &lt;outcome&gt;"),IF($K348="Unconfirmed","confirm "&amp;$A348,""))</f>
        <v/>
      </c>
      <c r="P348" s="65" t="str">
        <f aca="false">IF(AND($C348="New",$B348&gt;=WeekStart),$B348+ROW()/100000,"")</f>
        <v/>
      </c>
      <c r="Q348" s="65" t="str">
        <f aca="false">IF(AND($C348="Know",$B348&gt;=WeekStart),$B348+ROW()/100000,"")</f>
        <v/>
      </c>
      <c r="R348" s="65" t="str">
        <f aca="false">IF(AND($K348="Open",$C348="Decision"),$L348+ROW()/100000,"")</f>
        <v/>
      </c>
      <c r="S348" s="65" t="str">
        <f aca="false">IF(AND($J348&lt;&gt;"",$J348=UCSel),$B348+ROW()/100000,"")</f>
        <v/>
      </c>
    </row>
    <row r="349" customFormat="false" ht="15" hidden="false" customHeight="false" outlineLevel="0" collapsed="false">
      <c r="A349" s="28"/>
      <c r="B349" s="63"/>
      <c r="C349" s="64"/>
      <c r="D349" s="28"/>
      <c r="E349" s="28"/>
      <c r="F349" s="28"/>
      <c r="G349" s="64"/>
      <c r="H349" s="64"/>
      <c r="I349" s="28"/>
      <c r="J349" s="28"/>
      <c r="K349" s="65" t="str">
        <f aca="false">IF($A349="","",IF(OR($C349="Decision",$C349="Conflict"),IF(COUNTIFS($I$2:$I$1001,$A349,$C$2:$C$1001,"Resolved")=0,"Open","Closed"),IF(AND($H349="Unconfirmed",OR($C349="New",$C349="Know")),IF(COUNTIFS($I$2:$I$1001,$A349,$C$2:$C$1001,"Confirmed")=0,"Unconfirmed","Confirmed"),"Logged")))</f>
        <v/>
      </c>
      <c r="L349" s="65" t="str">
        <f aca="false">IF($A349="","",AsOf-$B349)</f>
        <v/>
      </c>
      <c r="M349" s="65" t="str">
        <f aca="false">IF($K349="Open",IF($C349="Conflict","Critical",IF($L349&gt;=DecisionCritical,"Critical",IF($L349&gt;=DecisionWarn,"Warning","On track"))),IF($K349="Unconfirmed",IF($L349&gt;=UnconfirmedWarn,"Warning","On track"),""))</f>
        <v/>
      </c>
      <c r="N349" s="65" t="str">
        <f aca="false">IF($M349="","",IF($M349="Critical",3000,IF($M349="Warning",2000,1000))+$L349+ROW()/100000)</f>
        <v/>
      </c>
      <c r="O349" s="65" t="str">
        <f aca="false">IF($K349="Open",IF($C349="Conflict","decide "&amp;$A349&amp;": &lt;which version stands&gt;","decide "&amp;$A349&amp;": &lt;outcome&gt;"),IF($K349="Unconfirmed","confirm "&amp;$A349,""))</f>
        <v/>
      </c>
      <c r="P349" s="65" t="str">
        <f aca="false">IF(AND($C349="New",$B349&gt;=WeekStart),$B349+ROW()/100000,"")</f>
        <v/>
      </c>
      <c r="Q349" s="65" t="str">
        <f aca="false">IF(AND($C349="Know",$B349&gt;=WeekStart),$B349+ROW()/100000,"")</f>
        <v/>
      </c>
      <c r="R349" s="65" t="str">
        <f aca="false">IF(AND($K349="Open",$C349="Decision"),$L349+ROW()/100000,"")</f>
        <v/>
      </c>
      <c r="S349" s="65" t="str">
        <f aca="false">IF(AND($J349&lt;&gt;"",$J349=UCSel),$B349+ROW()/100000,"")</f>
        <v/>
      </c>
    </row>
    <row r="350" customFormat="false" ht="15" hidden="false" customHeight="false" outlineLevel="0" collapsed="false">
      <c r="A350" s="28"/>
      <c r="B350" s="63"/>
      <c r="C350" s="64"/>
      <c r="D350" s="28"/>
      <c r="E350" s="28"/>
      <c r="F350" s="28"/>
      <c r="G350" s="64"/>
      <c r="H350" s="64"/>
      <c r="I350" s="28"/>
      <c r="J350" s="28"/>
      <c r="K350" s="65" t="str">
        <f aca="false">IF($A350="","",IF(OR($C350="Decision",$C350="Conflict"),IF(COUNTIFS($I$2:$I$1001,$A350,$C$2:$C$1001,"Resolved")=0,"Open","Closed"),IF(AND($H350="Unconfirmed",OR($C350="New",$C350="Know")),IF(COUNTIFS($I$2:$I$1001,$A350,$C$2:$C$1001,"Confirmed")=0,"Unconfirmed","Confirmed"),"Logged")))</f>
        <v/>
      </c>
      <c r="L350" s="65" t="str">
        <f aca="false">IF($A350="","",AsOf-$B350)</f>
        <v/>
      </c>
      <c r="M350" s="65" t="str">
        <f aca="false">IF($K350="Open",IF($C350="Conflict","Critical",IF($L350&gt;=DecisionCritical,"Critical",IF($L350&gt;=DecisionWarn,"Warning","On track"))),IF($K350="Unconfirmed",IF($L350&gt;=UnconfirmedWarn,"Warning","On track"),""))</f>
        <v/>
      </c>
      <c r="N350" s="65" t="str">
        <f aca="false">IF($M350="","",IF($M350="Critical",3000,IF($M350="Warning",2000,1000))+$L350+ROW()/100000)</f>
        <v/>
      </c>
      <c r="O350" s="65" t="str">
        <f aca="false">IF($K350="Open",IF($C350="Conflict","decide "&amp;$A350&amp;": &lt;which version stands&gt;","decide "&amp;$A350&amp;": &lt;outcome&gt;"),IF($K350="Unconfirmed","confirm "&amp;$A350,""))</f>
        <v/>
      </c>
      <c r="P350" s="65" t="str">
        <f aca="false">IF(AND($C350="New",$B350&gt;=WeekStart),$B350+ROW()/100000,"")</f>
        <v/>
      </c>
      <c r="Q350" s="65" t="str">
        <f aca="false">IF(AND($C350="Know",$B350&gt;=WeekStart),$B350+ROW()/100000,"")</f>
        <v/>
      </c>
      <c r="R350" s="65" t="str">
        <f aca="false">IF(AND($K350="Open",$C350="Decision"),$L350+ROW()/100000,"")</f>
        <v/>
      </c>
      <c r="S350" s="65" t="str">
        <f aca="false">IF(AND($J350&lt;&gt;"",$J350=UCSel),$B350+ROW()/100000,"")</f>
        <v/>
      </c>
    </row>
    <row r="351" customFormat="false" ht="15" hidden="false" customHeight="false" outlineLevel="0" collapsed="false">
      <c r="A351" s="28"/>
      <c r="B351" s="63"/>
      <c r="C351" s="64"/>
      <c r="D351" s="28"/>
      <c r="E351" s="28"/>
      <c r="F351" s="28"/>
      <c r="G351" s="64"/>
      <c r="H351" s="64"/>
      <c r="I351" s="28"/>
      <c r="J351" s="28"/>
      <c r="K351" s="65" t="str">
        <f aca="false">IF($A351="","",IF(OR($C351="Decision",$C351="Conflict"),IF(COUNTIFS($I$2:$I$1001,$A351,$C$2:$C$1001,"Resolved")=0,"Open","Closed"),IF(AND($H351="Unconfirmed",OR($C351="New",$C351="Know")),IF(COUNTIFS($I$2:$I$1001,$A351,$C$2:$C$1001,"Confirmed")=0,"Unconfirmed","Confirmed"),"Logged")))</f>
        <v/>
      </c>
      <c r="L351" s="65" t="str">
        <f aca="false">IF($A351="","",AsOf-$B351)</f>
        <v/>
      </c>
      <c r="M351" s="65" t="str">
        <f aca="false">IF($K351="Open",IF($C351="Conflict","Critical",IF($L351&gt;=DecisionCritical,"Critical",IF($L351&gt;=DecisionWarn,"Warning","On track"))),IF($K351="Unconfirmed",IF($L351&gt;=UnconfirmedWarn,"Warning","On track"),""))</f>
        <v/>
      </c>
      <c r="N351" s="65" t="str">
        <f aca="false">IF($M351="","",IF($M351="Critical",3000,IF($M351="Warning",2000,1000))+$L351+ROW()/100000)</f>
        <v/>
      </c>
      <c r="O351" s="65" t="str">
        <f aca="false">IF($K351="Open",IF($C351="Conflict","decide "&amp;$A351&amp;": &lt;which version stands&gt;","decide "&amp;$A351&amp;": &lt;outcome&gt;"),IF($K351="Unconfirmed","confirm "&amp;$A351,""))</f>
        <v/>
      </c>
      <c r="P351" s="65" t="str">
        <f aca="false">IF(AND($C351="New",$B351&gt;=WeekStart),$B351+ROW()/100000,"")</f>
        <v/>
      </c>
      <c r="Q351" s="65" t="str">
        <f aca="false">IF(AND($C351="Know",$B351&gt;=WeekStart),$B351+ROW()/100000,"")</f>
        <v/>
      </c>
      <c r="R351" s="65" t="str">
        <f aca="false">IF(AND($K351="Open",$C351="Decision"),$L351+ROW()/100000,"")</f>
        <v/>
      </c>
      <c r="S351" s="65" t="str">
        <f aca="false">IF(AND($J351&lt;&gt;"",$J351=UCSel),$B351+ROW()/100000,"")</f>
        <v/>
      </c>
    </row>
    <row r="352" customFormat="false" ht="15" hidden="false" customHeight="false" outlineLevel="0" collapsed="false">
      <c r="A352" s="28"/>
      <c r="B352" s="63"/>
      <c r="C352" s="64"/>
      <c r="D352" s="28"/>
      <c r="E352" s="28"/>
      <c r="F352" s="28"/>
      <c r="G352" s="64"/>
      <c r="H352" s="64"/>
      <c r="I352" s="28"/>
      <c r="J352" s="28"/>
      <c r="K352" s="65" t="str">
        <f aca="false">IF($A352="","",IF(OR($C352="Decision",$C352="Conflict"),IF(COUNTIFS($I$2:$I$1001,$A352,$C$2:$C$1001,"Resolved")=0,"Open","Closed"),IF(AND($H352="Unconfirmed",OR($C352="New",$C352="Know")),IF(COUNTIFS($I$2:$I$1001,$A352,$C$2:$C$1001,"Confirmed")=0,"Unconfirmed","Confirmed"),"Logged")))</f>
        <v/>
      </c>
      <c r="L352" s="65" t="str">
        <f aca="false">IF($A352="","",AsOf-$B352)</f>
        <v/>
      </c>
      <c r="M352" s="65" t="str">
        <f aca="false">IF($K352="Open",IF($C352="Conflict","Critical",IF($L352&gt;=DecisionCritical,"Critical",IF($L352&gt;=DecisionWarn,"Warning","On track"))),IF($K352="Unconfirmed",IF($L352&gt;=UnconfirmedWarn,"Warning","On track"),""))</f>
        <v/>
      </c>
      <c r="N352" s="65" t="str">
        <f aca="false">IF($M352="","",IF($M352="Critical",3000,IF($M352="Warning",2000,1000))+$L352+ROW()/100000)</f>
        <v/>
      </c>
      <c r="O352" s="65" t="str">
        <f aca="false">IF($K352="Open",IF($C352="Conflict","decide "&amp;$A352&amp;": &lt;which version stands&gt;","decide "&amp;$A352&amp;": &lt;outcome&gt;"),IF($K352="Unconfirmed","confirm "&amp;$A352,""))</f>
        <v/>
      </c>
      <c r="P352" s="65" t="str">
        <f aca="false">IF(AND($C352="New",$B352&gt;=WeekStart),$B352+ROW()/100000,"")</f>
        <v/>
      </c>
      <c r="Q352" s="65" t="str">
        <f aca="false">IF(AND($C352="Know",$B352&gt;=WeekStart),$B352+ROW()/100000,"")</f>
        <v/>
      </c>
      <c r="R352" s="65" t="str">
        <f aca="false">IF(AND($K352="Open",$C352="Decision"),$L352+ROW()/100000,"")</f>
        <v/>
      </c>
      <c r="S352" s="65" t="str">
        <f aca="false">IF(AND($J352&lt;&gt;"",$J352=UCSel),$B352+ROW()/100000,"")</f>
        <v/>
      </c>
    </row>
    <row r="353" customFormat="false" ht="15" hidden="false" customHeight="false" outlineLevel="0" collapsed="false">
      <c r="A353" s="28"/>
      <c r="B353" s="63"/>
      <c r="C353" s="64"/>
      <c r="D353" s="28"/>
      <c r="E353" s="28"/>
      <c r="F353" s="28"/>
      <c r="G353" s="64"/>
      <c r="H353" s="64"/>
      <c r="I353" s="28"/>
      <c r="J353" s="28"/>
      <c r="K353" s="65" t="str">
        <f aca="false">IF($A353="","",IF(OR($C353="Decision",$C353="Conflict"),IF(COUNTIFS($I$2:$I$1001,$A353,$C$2:$C$1001,"Resolved")=0,"Open","Closed"),IF(AND($H353="Unconfirmed",OR($C353="New",$C353="Know")),IF(COUNTIFS($I$2:$I$1001,$A353,$C$2:$C$1001,"Confirmed")=0,"Unconfirmed","Confirmed"),"Logged")))</f>
        <v/>
      </c>
      <c r="L353" s="65" t="str">
        <f aca="false">IF($A353="","",AsOf-$B353)</f>
        <v/>
      </c>
      <c r="M353" s="65" t="str">
        <f aca="false">IF($K353="Open",IF($C353="Conflict","Critical",IF($L353&gt;=DecisionCritical,"Critical",IF($L353&gt;=DecisionWarn,"Warning","On track"))),IF($K353="Unconfirmed",IF($L353&gt;=UnconfirmedWarn,"Warning","On track"),""))</f>
        <v/>
      </c>
      <c r="N353" s="65" t="str">
        <f aca="false">IF($M353="","",IF($M353="Critical",3000,IF($M353="Warning",2000,1000))+$L353+ROW()/100000)</f>
        <v/>
      </c>
      <c r="O353" s="65" t="str">
        <f aca="false">IF($K353="Open",IF($C353="Conflict","decide "&amp;$A353&amp;": &lt;which version stands&gt;","decide "&amp;$A353&amp;": &lt;outcome&gt;"),IF($K353="Unconfirmed","confirm "&amp;$A353,""))</f>
        <v/>
      </c>
      <c r="P353" s="65" t="str">
        <f aca="false">IF(AND($C353="New",$B353&gt;=WeekStart),$B353+ROW()/100000,"")</f>
        <v/>
      </c>
      <c r="Q353" s="65" t="str">
        <f aca="false">IF(AND($C353="Know",$B353&gt;=WeekStart),$B353+ROW()/100000,"")</f>
        <v/>
      </c>
      <c r="R353" s="65" t="str">
        <f aca="false">IF(AND($K353="Open",$C353="Decision"),$L353+ROW()/100000,"")</f>
        <v/>
      </c>
      <c r="S353" s="65" t="str">
        <f aca="false">IF(AND($J353&lt;&gt;"",$J353=UCSel),$B353+ROW()/100000,"")</f>
        <v/>
      </c>
    </row>
    <row r="354" customFormat="false" ht="15" hidden="false" customHeight="false" outlineLevel="0" collapsed="false">
      <c r="A354" s="28"/>
      <c r="B354" s="63"/>
      <c r="C354" s="64"/>
      <c r="D354" s="28"/>
      <c r="E354" s="28"/>
      <c r="F354" s="28"/>
      <c r="G354" s="64"/>
      <c r="H354" s="64"/>
      <c r="I354" s="28"/>
      <c r="J354" s="28"/>
      <c r="K354" s="65" t="str">
        <f aca="false">IF($A354="","",IF(OR($C354="Decision",$C354="Conflict"),IF(COUNTIFS($I$2:$I$1001,$A354,$C$2:$C$1001,"Resolved")=0,"Open","Closed"),IF(AND($H354="Unconfirmed",OR($C354="New",$C354="Know")),IF(COUNTIFS($I$2:$I$1001,$A354,$C$2:$C$1001,"Confirmed")=0,"Unconfirmed","Confirmed"),"Logged")))</f>
        <v/>
      </c>
      <c r="L354" s="65" t="str">
        <f aca="false">IF($A354="","",AsOf-$B354)</f>
        <v/>
      </c>
      <c r="M354" s="65" t="str">
        <f aca="false">IF($K354="Open",IF($C354="Conflict","Critical",IF($L354&gt;=DecisionCritical,"Critical",IF($L354&gt;=DecisionWarn,"Warning","On track"))),IF($K354="Unconfirmed",IF($L354&gt;=UnconfirmedWarn,"Warning","On track"),""))</f>
        <v/>
      </c>
      <c r="N354" s="65" t="str">
        <f aca="false">IF($M354="","",IF($M354="Critical",3000,IF($M354="Warning",2000,1000))+$L354+ROW()/100000)</f>
        <v/>
      </c>
      <c r="O354" s="65" t="str">
        <f aca="false">IF($K354="Open",IF($C354="Conflict","decide "&amp;$A354&amp;": &lt;which version stands&gt;","decide "&amp;$A354&amp;": &lt;outcome&gt;"),IF($K354="Unconfirmed","confirm "&amp;$A354,""))</f>
        <v/>
      </c>
      <c r="P354" s="65" t="str">
        <f aca="false">IF(AND($C354="New",$B354&gt;=WeekStart),$B354+ROW()/100000,"")</f>
        <v/>
      </c>
      <c r="Q354" s="65" t="str">
        <f aca="false">IF(AND($C354="Know",$B354&gt;=WeekStart),$B354+ROW()/100000,"")</f>
        <v/>
      </c>
      <c r="R354" s="65" t="str">
        <f aca="false">IF(AND($K354="Open",$C354="Decision"),$L354+ROW()/100000,"")</f>
        <v/>
      </c>
      <c r="S354" s="65" t="str">
        <f aca="false">IF(AND($J354&lt;&gt;"",$J354=UCSel),$B354+ROW()/100000,"")</f>
        <v/>
      </c>
    </row>
    <row r="355" customFormat="false" ht="15" hidden="false" customHeight="false" outlineLevel="0" collapsed="false">
      <c r="A355" s="28"/>
      <c r="B355" s="63"/>
      <c r="C355" s="64"/>
      <c r="D355" s="28"/>
      <c r="E355" s="28"/>
      <c r="F355" s="28"/>
      <c r="G355" s="64"/>
      <c r="H355" s="64"/>
      <c r="I355" s="28"/>
      <c r="J355" s="28"/>
      <c r="K355" s="65" t="str">
        <f aca="false">IF($A355="","",IF(OR($C355="Decision",$C355="Conflict"),IF(COUNTIFS($I$2:$I$1001,$A355,$C$2:$C$1001,"Resolved")=0,"Open","Closed"),IF(AND($H355="Unconfirmed",OR($C355="New",$C355="Know")),IF(COUNTIFS($I$2:$I$1001,$A355,$C$2:$C$1001,"Confirmed")=0,"Unconfirmed","Confirmed"),"Logged")))</f>
        <v/>
      </c>
      <c r="L355" s="65" t="str">
        <f aca="false">IF($A355="","",AsOf-$B355)</f>
        <v/>
      </c>
      <c r="M355" s="65" t="str">
        <f aca="false">IF($K355="Open",IF($C355="Conflict","Critical",IF($L355&gt;=DecisionCritical,"Critical",IF($L355&gt;=DecisionWarn,"Warning","On track"))),IF($K355="Unconfirmed",IF($L355&gt;=UnconfirmedWarn,"Warning","On track"),""))</f>
        <v/>
      </c>
      <c r="N355" s="65" t="str">
        <f aca="false">IF($M355="","",IF($M355="Critical",3000,IF($M355="Warning",2000,1000))+$L355+ROW()/100000)</f>
        <v/>
      </c>
      <c r="O355" s="65" t="str">
        <f aca="false">IF($K355="Open",IF($C355="Conflict","decide "&amp;$A355&amp;": &lt;which version stands&gt;","decide "&amp;$A355&amp;": &lt;outcome&gt;"),IF($K355="Unconfirmed","confirm "&amp;$A355,""))</f>
        <v/>
      </c>
      <c r="P355" s="65" t="str">
        <f aca="false">IF(AND($C355="New",$B355&gt;=WeekStart),$B355+ROW()/100000,"")</f>
        <v/>
      </c>
      <c r="Q355" s="65" t="str">
        <f aca="false">IF(AND($C355="Know",$B355&gt;=WeekStart),$B355+ROW()/100000,"")</f>
        <v/>
      </c>
      <c r="R355" s="65" t="str">
        <f aca="false">IF(AND($K355="Open",$C355="Decision"),$L355+ROW()/100000,"")</f>
        <v/>
      </c>
      <c r="S355" s="65" t="str">
        <f aca="false">IF(AND($J355&lt;&gt;"",$J355=UCSel),$B355+ROW()/100000,"")</f>
        <v/>
      </c>
    </row>
    <row r="356" customFormat="false" ht="15" hidden="false" customHeight="false" outlineLevel="0" collapsed="false">
      <c r="A356" s="28"/>
      <c r="B356" s="63"/>
      <c r="C356" s="64"/>
      <c r="D356" s="28"/>
      <c r="E356" s="28"/>
      <c r="F356" s="28"/>
      <c r="G356" s="64"/>
      <c r="H356" s="64"/>
      <c r="I356" s="28"/>
      <c r="J356" s="28"/>
      <c r="K356" s="65" t="str">
        <f aca="false">IF($A356="","",IF(OR($C356="Decision",$C356="Conflict"),IF(COUNTIFS($I$2:$I$1001,$A356,$C$2:$C$1001,"Resolved")=0,"Open","Closed"),IF(AND($H356="Unconfirmed",OR($C356="New",$C356="Know")),IF(COUNTIFS($I$2:$I$1001,$A356,$C$2:$C$1001,"Confirmed")=0,"Unconfirmed","Confirmed"),"Logged")))</f>
        <v/>
      </c>
      <c r="L356" s="65" t="str">
        <f aca="false">IF($A356="","",AsOf-$B356)</f>
        <v/>
      </c>
      <c r="M356" s="65" t="str">
        <f aca="false">IF($K356="Open",IF($C356="Conflict","Critical",IF($L356&gt;=DecisionCritical,"Critical",IF($L356&gt;=DecisionWarn,"Warning","On track"))),IF($K356="Unconfirmed",IF($L356&gt;=UnconfirmedWarn,"Warning","On track"),""))</f>
        <v/>
      </c>
      <c r="N356" s="65" t="str">
        <f aca="false">IF($M356="","",IF($M356="Critical",3000,IF($M356="Warning",2000,1000))+$L356+ROW()/100000)</f>
        <v/>
      </c>
      <c r="O356" s="65" t="str">
        <f aca="false">IF($K356="Open",IF($C356="Conflict","decide "&amp;$A356&amp;": &lt;which version stands&gt;","decide "&amp;$A356&amp;": &lt;outcome&gt;"),IF($K356="Unconfirmed","confirm "&amp;$A356,""))</f>
        <v/>
      </c>
      <c r="P356" s="65" t="str">
        <f aca="false">IF(AND($C356="New",$B356&gt;=WeekStart),$B356+ROW()/100000,"")</f>
        <v/>
      </c>
      <c r="Q356" s="65" t="str">
        <f aca="false">IF(AND($C356="Know",$B356&gt;=WeekStart),$B356+ROW()/100000,"")</f>
        <v/>
      </c>
      <c r="R356" s="65" t="str">
        <f aca="false">IF(AND($K356="Open",$C356="Decision"),$L356+ROW()/100000,"")</f>
        <v/>
      </c>
      <c r="S356" s="65" t="str">
        <f aca="false">IF(AND($J356&lt;&gt;"",$J356=UCSel),$B356+ROW()/100000,"")</f>
        <v/>
      </c>
    </row>
    <row r="357" customFormat="false" ht="15" hidden="false" customHeight="false" outlineLevel="0" collapsed="false">
      <c r="A357" s="28"/>
      <c r="B357" s="63"/>
      <c r="C357" s="64"/>
      <c r="D357" s="28"/>
      <c r="E357" s="28"/>
      <c r="F357" s="28"/>
      <c r="G357" s="64"/>
      <c r="H357" s="64"/>
      <c r="I357" s="28"/>
      <c r="J357" s="28"/>
      <c r="K357" s="65" t="str">
        <f aca="false">IF($A357="","",IF(OR($C357="Decision",$C357="Conflict"),IF(COUNTIFS($I$2:$I$1001,$A357,$C$2:$C$1001,"Resolved")=0,"Open","Closed"),IF(AND($H357="Unconfirmed",OR($C357="New",$C357="Know")),IF(COUNTIFS($I$2:$I$1001,$A357,$C$2:$C$1001,"Confirmed")=0,"Unconfirmed","Confirmed"),"Logged")))</f>
        <v/>
      </c>
      <c r="L357" s="65" t="str">
        <f aca="false">IF($A357="","",AsOf-$B357)</f>
        <v/>
      </c>
      <c r="M357" s="65" t="str">
        <f aca="false">IF($K357="Open",IF($C357="Conflict","Critical",IF($L357&gt;=DecisionCritical,"Critical",IF($L357&gt;=DecisionWarn,"Warning","On track"))),IF($K357="Unconfirmed",IF($L357&gt;=UnconfirmedWarn,"Warning","On track"),""))</f>
        <v/>
      </c>
      <c r="N357" s="65" t="str">
        <f aca="false">IF($M357="","",IF($M357="Critical",3000,IF($M357="Warning",2000,1000))+$L357+ROW()/100000)</f>
        <v/>
      </c>
      <c r="O357" s="65" t="str">
        <f aca="false">IF($K357="Open",IF($C357="Conflict","decide "&amp;$A357&amp;": &lt;which version stands&gt;","decide "&amp;$A357&amp;": &lt;outcome&gt;"),IF($K357="Unconfirmed","confirm "&amp;$A357,""))</f>
        <v/>
      </c>
      <c r="P357" s="65" t="str">
        <f aca="false">IF(AND($C357="New",$B357&gt;=WeekStart),$B357+ROW()/100000,"")</f>
        <v/>
      </c>
      <c r="Q357" s="65" t="str">
        <f aca="false">IF(AND($C357="Know",$B357&gt;=WeekStart),$B357+ROW()/100000,"")</f>
        <v/>
      </c>
      <c r="R357" s="65" t="str">
        <f aca="false">IF(AND($K357="Open",$C357="Decision"),$L357+ROW()/100000,"")</f>
        <v/>
      </c>
      <c r="S357" s="65" t="str">
        <f aca="false">IF(AND($J357&lt;&gt;"",$J357=UCSel),$B357+ROW()/100000,"")</f>
        <v/>
      </c>
    </row>
    <row r="358" customFormat="false" ht="15" hidden="false" customHeight="false" outlineLevel="0" collapsed="false">
      <c r="A358" s="28"/>
      <c r="B358" s="63"/>
      <c r="C358" s="64"/>
      <c r="D358" s="28"/>
      <c r="E358" s="28"/>
      <c r="F358" s="28"/>
      <c r="G358" s="64"/>
      <c r="H358" s="64"/>
      <c r="I358" s="28"/>
      <c r="J358" s="28"/>
      <c r="K358" s="65" t="str">
        <f aca="false">IF($A358="","",IF(OR($C358="Decision",$C358="Conflict"),IF(COUNTIFS($I$2:$I$1001,$A358,$C$2:$C$1001,"Resolved")=0,"Open","Closed"),IF(AND($H358="Unconfirmed",OR($C358="New",$C358="Know")),IF(COUNTIFS($I$2:$I$1001,$A358,$C$2:$C$1001,"Confirmed")=0,"Unconfirmed","Confirmed"),"Logged")))</f>
        <v/>
      </c>
      <c r="L358" s="65" t="str">
        <f aca="false">IF($A358="","",AsOf-$B358)</f>
        <v/>
      </c>
      <c r="M358" s="65" t="str">
        <f aca="false">IF($K358="Open",IF($C358="Conflict","Critical",IF($L358&gt;=DecisionCritical,"Critical",IF($L358&gt;=DecisionWarn,"Warning","On track"))),IF($K358="Unconfirmed",IF($L358&gt;=UnconfirmedWarn,"Warning","On track"),""))</f>
        <v/>
      </c>
      <c r="N358" s="65" t="str">
        <f aca="false">IF($M358="","",IF($M358="Critical",3000,IF($M358="Warning",2000,1000))+$L358+ROW()/100000)</f>
        <v/>
      </c>
      <c r="O358" s="65" t="str">
        <f aca="false">IF($K358="Open",IF($C358="Conflict","decide "&amp;$A358&amp;": &lt;which version stands&gt;","decide "&amp;$A358&amp;": &lt;outcome&gt;"),IF($K358="Unconfirmed","confirm "&amp;$A358,""))</f>
        <v/>
      </c>
      <c r="P358" s="65" t="str">
        <f aca="false">IF(AND($C358="New",$B358&gt;=WeekStart),$B358+ROW()/100000,"")</f>
        <v/>
      </c>
      <c r="Q358" s="65" t="str">
        <f aca="false">IF(AND($C358="Know",$B358&gt;=WeekStart),$B358+ROW()/100000,"")</f>
        <v/>
      </c>
      <c r="R358" s="65" t="str">
        <f aca="false">IF(AND($K358="Open",$C358="Decision"),$L358+ROW()/100000,"")</f>
        <v/>
      </c>
      <c r="S358" s="65" t="str">
        <f aca="false">IF(AND($J358&lt;&gt;"",$J358=UCSel),$B358+ROW()/100000,"")</f>
        <v/>
      </c>
    </row>
    <row r="359" customFormat="false" ht="15" hidden="false" customHeight="false" outlineLevel="0" collapsed="false">
      <c r="A359" s="28"/>
      <c r="B359" s="63"/>
      <c r="C359" s="64"/>
      <c r="D359" s="28"/>
      <c r="E359" s="28"/>
      <c r="F359" s="28"/>
      <c r="G359" s="64"/>
      <c r="H359" s="64"/>
      <c r="I359" s="28"/>
      <c r="J359" s="28"/>
      <c r="K359" s="65" t="str">
        <f aca="false">IF($A359="","",IF(OR($C359="Decision",$C359="Conflict"),IF(COUNTIFS($I$2:$I$1001,$A359,$C$2:$C$1001,"Resolved")=0,"Open","Closed"),IF(AND($H359="Unconfirmed",OR($C359="New",$C359="Know")),IF(COUNTIFS($I$2:$I$1001,$A359,$C$2:$C$1001,"Confirmed")=0,"Unconfirmed","Confirmed"),"Logged")))</f>
        <v/>
      </c>
      <c r="L359" s="65" t="str">
        <f aca="false">IF($A359="","",AsOf-$B359)</f>
        <v/>
      </c>
      <c r="M359" s="65" t="str">
        <f aca="false">IF($K359="Open",IF($C359="Conflict","Critical",IF($L359&gt;=DecisionCritical,"Critical",IF($L359&gt;=DecisionWarn,"Warning","On track"))),IF($K359="Unconfirmed",IF($L359&gt;=UnconfirmedWarn,"Warning","On track"),""))</f>
        <v/>
      </c>
      <c r="N359" s="65" t="str">
        <f aca="false">IF($M359="","",IF($M359="Critical",3000,IF($M359="Warning",2000,1000))+$L359+ROW()/100000)</f>
        <v/>
      </c>
      <c r="O359" s="65" t="str">
        <f aca="false">IF($K359="Open",IF($C359="Conflict","decide "&amp;$A359&amp;": &lt;which version stands&gt;","decide "&amp;$A359&amp;": &lt;outcome&gt;"),IF($K359="Unconfirmed","confirm "&amp;$A359,""))</f>
        <v/>
      </c>
      <c r="P359" s="65" t="str">
        <f aca="false">IF(AND($C359="New",$B359&gt;=WeekStart),$B359+ROW()/100000,"")</f>
        <v/>
      </c>
      <c r="Q359" s="65" t="str">
        <f aca="false">IF(AND($C359="Know",$B359&gt;=WeekStart),$B359+ROW()/100000,"")</f>
        <v/>
      </c>
      <c r="R359" s="65" t="str">
        <f aca="false">IF(AND($K359="Open",$C359="Decision"),$L359+ROW()/100000,"")</f>
        <v/>
      </c>
      <c r="S359" s="65" t="str">
        <f aca="false">IF(AND($J359&lt;&gt;"",$J359=UCSel),$B359+ROW()/100000,"")</f>
        <v/>
      </c>
    </row>
    <row r="360" customFormat="false" ht="15" hidden="false" customHeight="false" outlineLevel="0" collapsed="false">
      <c r="A360" s="28"/>
      <c r="B360" s="63"/>
      <c r="C360" s="64"/>
      <c r="D360" s="28"/>
      <c r="E360" s="28"/>
      <c r="F360" s="28"/>
      <c r="G360" s="64"/>
      <c r="H360" s="64"/>
      <c r="I360" s="28"/>
      <c r="J360" s="28"/>
      <c r="K360" s="65" t="str">
        <f aca="false">IF($A360="","",IF(OR($C360="Decision",$C360="Conflict"),IF(COUNTIFS($I$2:$I$1001,$A360,$C$2:$C$1001,"Resolved")=0,"Open","Closed"),IF(AND($H360="Unconfirmed",OR($C360="New",$C360="Know")),IF(COUNTIFS($I$2:$I$1001,$A360,$C$2:$C$1001,"Confirmed")=0,"Unconfirmed","Confirmed"),"Logged")))</f>
        <v/>
      </c>
      <c r="L360" s="65" t="str">
        <f aca="false">IF($A360="","",AsOf-$B360)</f>
        <v/>
      </c>
      <c r="M360" s="65" t="str">
        <f aca="false">IF($K360="Open",IF($C360="Conflict","Critical",IF($L360&gt;=DecisionCritical,"Critical",IF($L360&gt;=DecisionWarn,"Warning","On track"))),IF($K360="Unconfirmed",IF($L360&gt;=UnconfirmedWarn,"Warning","On track"),""))</f>
        <v/>
      </c>
      <c r="N360" s="65" t="str">
        <f aca="false">IF($M360="","",IF($M360="Critical",3000,IF($M360="Warning",2000,1000))+$L360+ROW()/100000)</f>
        <v/>
      </c>
      <c r="O360" s="65" t="str">
        <f aca="false">IF($K360="Open",IF($C360="Conflict","decide "&amp;$A360&amp;": &lt;which version stands&gt;","decide "&amp;$A360&amp;": &lt;outcome&gt;"),IF($K360="Unconfirmed","confirm "&amp;$A360,""))</f>
        <v/>
      </c>
      <c r="P360" s="65" t="str">
        <f aca="false">IF(AND($C360="New",$B360&gt;=WeekStart),$B360+ROW()/100000,"")</f>
        <v/>
      </c>
      <c r="Q360" s="65" t="str">
        <f aca="false">IF(AND($C360="Know",$B360&gt;=WeekStart),$B360+ROW()/100000,"")</f>
        <v/>
      </c>
      <c r="R360" s="65" t="str">
        <f aca="false">IF(AND($K360="Open",$C360="Decision"),$L360+ROW()/100000,"")</f>
        <v/>
      </c>
      <c r="S360" s="65" t="str">
        <f aca="false">IF(AND($J360&lt;&gt;"",$J360=UCSel),$B360+ROW()/100000,"")</f>
        <v/>
      </c>
    </row>
    <row r="361" customFormat="false" ht="15" hidden="false" customHeight="false" outlineLevel="0" collapsed="false">
      <c r="A361" s="28"/>
      <c r="B361" s="63"/>
      <c r="C361" s="64"/>
      <c r="D361" s="28"/>
      <c r="E361" s="28"/>
      <c r="F361" s="28"/>
      <c r="G361" s="64"/>
      <c r="H361" s="64"/>
      <c r="I361" s="28"/>
      <c r="J361" s="28"/>
      <c r="K361" s="65" t="str">
        <f aca="false">IF($A361="","",IF(OR($C361="Decision",$C361="Conflict"),IF(COUNTIFS($I$2:$I$1001,$A361,$C$2:$C$1001,"Resolved")=0,"Open","Closed"),IF(AND($H361="Unconfirmed",OR($C361="New",$C361="Know")),IF(COUNTIFS($I$2:$I$1001,$A361,$C$2:$C$1001,"Confirmed")=0,"Unconfirmed","Confirmed"),"Logged")))</f>
        <v/>
      </c>
      <c r="L361" s="65" t="str">
        <f aca="false">IF($A361="","",AsOf-$B361)</f>
        <v/>
      </c>
      <c r="M361" s="65" t="str">
        <f aca="false">IF($K361="Open",IF($C361="Conflict","Critical",IF($L361&gt;=DecisionCritical,"Critical",IF($L361&gt;=DecisionWarn,"Warning","On track"))),IF($K361="Unconfirmed",IF($L361&gt;=UnconfirmedWarn,"Warning","On track"),""))</f>
        <v/>
      </c>
      <c r="N361" s="65" t="str">
        <f aca="false">IF($M361="","",IF($M361="Critical",3000,IF($M361="Warning",2000,1000))+$L361+ROW()/100000)</f>
        <v/>
      </c>
      <c r="O361" s="65" t="str">
        <f aca="false">IF($K361="Open",IF($C361="Conflict","decide "&amp;$A361&amp;": &lt;which version stands&gt;","decide "&amp;$A361&amp;": &lt;outcome&gt;"),IF($K361="Unconfirmed","confirm "&amp;$A361,""))</f>
        <v/>
      </c>
      <c r="P361" s="65" t="str">
        <f aca="false">IF(AND($C361="New",$B361&gt;=WeekStart),$B361+ROW()/100000,"")</f>
        <v/>
      </c>
      <c r="Q361" s="65" t="str">
        <f aca="false">IF(AND($C361="Know",$B361&gt;=WeekStart),$B361+ROW()/100000,"")</f>
        <v/>
      </c>
      <c r="R361" s="65" t="str">
        <f aca="false">IF(AND($K361="Open",$C361="Decision"),$L361+ROW()/100000,"")</f>
        <v/>
      </c>
      <c r="S361" s="65" t="str">
        <f aca="false">IF(AND($J361&lt;&gt;"",$J361=UCSel),$B361+ROW()/100000,"")</f>
        <v/>
      </c>
    </row>
    <row r="362" customFormat="false" ht="15" hidden="false" customHeight="false" outlineLevel="0" collapsed="false">
      <c r="A362" s="28"/>
      <c r="B362" s="63"/>
      <c r="C362" s="64"/>
      <c r="D362" s="28"/>
      <c r="E362" s="28"/>
      <c r="F362" s="28"/>
      <c r="G362" s="64"/>
      <c r="H362" s="64"/>
      <c r="I362" s="28"/>
      <c r="J362" s="28"/>
      <c r="K362" s="65" t="str">
        <f aca="false">IF($A362="","",IF(OR($C362="Decision",$C362="Conflict"),IF(COUNTIFS($I$2:$I$1001,$A362,$C$2:$C$1001,"Resolved")=0,"Open","Closed"),IF(AND($H362="Unconfirmed",OR($C362="New",$C362="Know")),IF(COUNTIFS($I$2:$I$1001,$A362,$C$2:$C$1001,"Confirmed")=0,"Unconfirmed","Confirmed"),"Logged")))</f>
        <v/>
      </c>
      <c r="L362" s="65" t="str">
        <f aca="false">IF($A362="","",AsOf-$B362)</f>
        <v/>
      </c>
      <c r="M362" s="65" t="str">
        <f aca="false">IF($K362="Open",IF($C362="Conflict","Critical",IF($L362&gt;=DecisionCritical,"Critical",IF($L362&gt;=DecisionWarn,"Warning","On track"))),IF($K362="Unconfirmed",IF($L362&gt;=UnconfirmedWarn,"Warning","On track"),""))</f>
        <v/>
      </c>
      <c r="N362" s="65" t="str">
        <f aca="false">IF($M362="","",IF($M362="Critical",3000,IF($M362="Warning",2000,1000))+$L362+ROW()/100000)</f>
        <v/>
      </c>
      <c r="O362" s="65" t="str">
        <f aca="false">IF($K362="Open",IF($C362="Conflict","decide "&amp;$A362&amp;": &lt;which version stands&gt;","decide "&amp;$A362&amp;": &lt;outcome&gt;"),IF($K362="Unconfirmed","confirm "&amp;$A362,""))</f>
        <v/>
      </c>
      <c r="P362" s="65" t="str">
        <f aca="false">IF(AND($C362="New",$B362&gt;=WeekStart),$B362+ROW()/100000,"")</f>
        <v/>
      </c>
      <c r="Q362" s="65" t="str">
        <f aca="false">IF(AND($C362="Know",$B362&gt;=WeekStart),$B362+ROW()/100000,"")</f>
        <v/>
      </c>
      <c r="R362" s="65" t="str">
        <f aca="false">IF(AND($K362="Open",$C362="Decision"),$L362+ROW()/100000,"")</f>
        <v/>
      </c>
      <c r="S362" s="65" t="str">
        <f aca="false">IF(AND($J362&lt;&gt;"",$J362=UCSel),$B362+ROW()/100000,"")</f>
        <v/>
      </c>
    </row>
    <row r="363" customFormat="false" ht="15" hidden="false" customHeight="false" outlineLevel="0" collapsed="false">
      <c r="A363" s="28"/>
      <c r="B363" s="63"/>
      <c r="C363" s="64"/>
      <c r="D363" s="28"/>
      <c r="E363" s="28"/>
      <c r="F363" s="28"/>
      <c r="G363" s="64"/>
      <c r="H363" s="64"/>
      <c r="I363" s="28"/>
      <c r="J363" s="28"/>
      <c r="K363" s="65" t="str">
        <f aca="false">IF($A363="","",IF(OR($C363="Decision",$C363="Conflict"),IF(COUNTIFS($I$2:$I$1001,$A363,$C$2:$C$1001,"Resolved")=0,"Open","Closed"),IF(AND($H363="Unconfirmed",OR($C363="New",$C363="Know")),IF(COUNTIFS($I$2:$I$1001,$A363,$C$2:$C$1001,"Confirmed")=0,"Unconfirmed","Confirmed"),"Logged")))</f>
        <v/>
      </c>
      <c r="L363" s="65" t="str">
        <f aca="false">IF($A363="","",AsOf-$B363)</f>
        <v/>
      </c>
      <c r="M363" s="65" t="str">
        <f aca="false">IF($K363="Open",IF($C363="Conflict","Critical",IF($L363&gt;=DecisionCritical,"Critical",IF($L363&gt;=DecisionWarn,"Warning","On track"))),IF($K363="Unconfirmed",IF($L363&gt;=UnconfirmedWarn,"Warning","On track"),""))</f>
        <v/>
      </c>
      <c r="N363" s="65" t="str">
        <f aca="false">IF($M363="","",IF($M363="Critical",3000,IF($M363="Warning",2000,1000))+$L363+ROW()/100000)</f>
        <v/>
      </c>
      <c r="O363" s="65" t="str">
        <f aca="false">IF($K363="Open",IF($C363="Conflict","decide "&amp;$A363&amp;": &lt;which version stands&gt;","decide "&amp;$A363&amp;": &lt;outcome&gt;"),IF($K363="Unconfirmed","confirm "&amp;$A363,""))</f>
        <v/>
      </c>
      <c r="P363" s="65" t="str">
        <f aca="false">IF(AND($C363="New",$B363&gt;=WeekStart),$B363+ROW()/100000,"")</f>
        <v/>
      </c>
      <c r="Q363" s="65" t="str">
        <f aca="false">IF(AND($C363="Know",$B363&gt;=WeekStart),$B363+ROW()/100000,"")</f>
        <v/>
      </c>
      <c r="R363" s="65" t="str">
        <f aca="false">IF(AND($K363="Open",$C363="Decision"),$L363+ROW()/100000,"")</f>
        <v/>
      </c>
      <c r="S363" s="65" t="str">
        <f aca="false">IF(AND($J363&lt;&gt;"",$J363=UCSel),$B363+ROW()/100000,"")</f>
        <v/>
      </c>
    </row>
    <row r="364" customFormat="false" ht="15" hidden="false" customHeight="false" outlineLevel="0" collapsed="false">
      <c r="A364" s="28"/>
      <c r="B364" s="63"/>
      <c r="C364" s="64"/>
      <c r="D364" s="28"/>
      <c r="E364" s="28"/>
      <c r="F364" s="28"/>
      <c r="G364" s="64"/>
      <c r="H364" s="64"/>
      <c r="I364" s="28"/>
      <c r="J364" s="28"/>
      <c r="K364" s="65" t="str">
        <f aca="false">IF($A364="","",IF(OR($C364="Decision",$C364="Conflict"),IF(COUNTIFS($I$2:$I$1001,$A364,$C$2:$C$1001,"Resolved")=0,"Open","Closed"),IF(AND($H364="Unconfirmed",OR($C364="New",$C364="Know")),IF(COUNTIFS($I$2:$I$1001,$A364,$C$2:$C$1001,"Confirmed")=0,"Unconfirmed","Confirmed"),"Logged")))</f>
        <v/>
      </c>
      <c r="L364" s="65" t="str">
        <f aca="false">IF($A364="","",AsOf-$B364)</f>
        <v/>
      </c>
      <c r="M364" s="65" t="str">
        <f aca="false">IF($K364="Open",IF($C364="Conflict","Critical",IF($L364&gt;=DecisionCritical,"Critical",IF($L364&gt;=DecisionWarn,"Warning","On track"))),IF($K364="Unconfirmed",IF($L364&gt;=UnconfirmedWarn,"Warning","On track"),""))</f>
        <v/>
      </c>
      <c r="N364" s="65" t="str">
        <f aca="false">IF($M364="","",IF($M364="Critical",3000,IF($M364="Warning",2000,1000))+$L364+ROW()/100000)</f>
        <v/>
      </c>
      <c r="O364" s="65" t="str">
        <f aca="false">IF($K364="Open",IF($C364="Conflict","decide "&amp;$A364&amp;": &lt;which version stands&gt;","decide "&amp;$A364&amp;": &lt;outcome&gt;"),IF($K364="Unconfirmed","confirm "&amp;$A364,""))</f>
        <v/>
      </c>
      <c r="P364" s="65" t="str">
        <f aca="false">IF(AND($C364="New",$B364&gt;=WeekStart),$B364+ROW()/100000,"")</f>
        <v/>
      </c>
      <c r="Q364" s="65" t="str">
        <f aca="false">IF(AND($C364="Know",$B364&gt;=WeekStart),$B364+ROW()/100000,"")</f>
        <v/>
      </c>
      <c r="R364" s="65" t="str">
        <f aca="false">IF(AND($K364="Open",$C364="Decision"),$L364+ROW()/100000,"")</f>
        <v/>
      </c>
      <c r="S364" s="65" t="str">
        <f aca="false">IF(AND($J364&lt;&gt;"",$J364=UCSel),$B364+ROW()/100000,"")</f>
        <v/>
      </c>
    </row>
    <row r="365" customFormat="false" ht="15" hidden="false" customHeight="false" outlineLevel="0" collapsed="false">
      <c r="A365" s="28"/>
      <c r="B365" s="63"/>
      <c r="C365" s="64"/>
      <c r="D365" s="28"/>
      <c r="E365" s="28"/>
      <c r="F365" s="28"/>
      <c r="G365" s="64"/>
      <c r="H365" s="64"/>
      <c r="I365" s="28"/>
      <c r="J365" s="28"/>
      <c r="K365" s="65" t="str">
        <f aca="false">IF($A365="","",IF(OR($C365="Decision",$C365="Conflict"),IF(COUNTIFS($I$2:$I$1001,$A365,$C$2:$C$1001,"Resolved")=0,"Open","Closed"),IF(AND($H365="Unconfirmed",OR($C365="New",$C365="Know")),IF(COUNTIFS($I$2:$I$1001,$A365,$C$2:$C$1001,"Confirmed")=0,"Unconfirmed","Confirmed"),"Logged")))</f>
        <v/>
      </c>
      <c r="L365" s="65" t="str">
        <f aca="false">IF($A365="","",AsOf-$B365)</f>
        <v/>
      </c>
      <c r="M365" s="65" t="str">
        <f aca="false">IF($K365="Open",IF($C365="Conflict","Critical",IF($L365&gt;=DecisionCritical,"Critical",IF($L365&gt;=DecisionWarn,"Warning","On track"))),IF($K365="Unconfirmed",IF($L365&gt;=UnconfirmedWarn,"Warning","On track"),""))</f>
        <v/>
      </c>
      <c r="N365" s="65" t="str">
        <f aca="false">IF($M365="","",IF($M365="Critical",3000,IF($M365="Warning",2000,1000))+$L365+ROW()/100000)</f>
        <v/>
      </c>
      <c r="O365" s="65" t="str">
        <f aca="false">IF($K365="Open",IF($C365="Conflict","decide "&amp;$A365&amp;": &lt;which version stands&gt;","decide "&amp;$A365&amp;": &lt;outcome&gt;"),IF($K365="Unconfirmed","confirm "&amp;$A365,""))</f>
        <v/>
      </c>
      <c r="P365" s="65" t="str">
        <f aca="false">IF(AND($C365="New",$B365&gt;=WeekStart),$B365+ROW()/100000,"")</f>
        <v/>
      </c>
      <c r="Q365" s="65" t="str">
        <f aca="false">IF(AND($C365="Know",$B365&gt;=WeekStart),$B365+ROW()/100000,"")</f>
        <v/>
      </c>
      <c r="R365" s="65" t="str">
        <f aca="false">IF(AND($K365="Open",$C365="Decision"),$L365+ROW()/100000,"")</f>
        <v/>
      </c>
      <c r="S365" s="65" t="str">
        <f aca="false">IF(AND($J365&lt;&gt;"",$J365=UCSel),$B365+ROW()/100000,"")</f>
        <v/>
      </c>
    </row>
    <row r="366" customFormat="false" ht="15" hidden="false" customHeight="false" outlineLevel="0" collapsed="false">
      <c r="A366" s="28"/>
      <c r="B366" s="63"/>
      <c r="C366" s="64"/>
      <c r="D366" s="28"/>
      <c r="E366" s="28"/>
      <c r="F366" s="28"/>
      <c r="G366" s="64"/>
      <c r="H366" s="64"/>
      <c r="I366" s="28"/>
      <c r="J366" s="28"/>
      <c r="K366" s="65" t="str">
        <f aca="false">IF($A366="","",IF(OR($C366="Decision",$C366="Conflict"),IF(COUNTIFS($I$2:$I$1001,$A366,$C$2:$C$1001,"Resolved")=0,"Open","Closed"),IF(AND($H366="Unconfirmed",OR($C366="New",$C366="Know")),IF(COUNTIFS($I$2:$I$1001,$A366,$C$2:$C$1001,"Confirmed")=0,"Unconfirmed","Confirmed"),"Logged")))</f>
        <v/>
      </c>
      <c r="L366" s="65" t="str">
        <f aca="false">IF($A366="","",AsOf-$B366)</f>
        <v/>
      </c>
      <c r="M366" s="65" t="str">
        <f aca="false">IF($K366="Open",IF($C366="Conflict","Critical",IF($L366&gt;=DecisionCritical,"Critical",IF($L366&gt;=DecisionWarn,"Warning","On track"))),IF($K366="Unconfirmed",IF($L366&gt;=UnconfirmedWarn,"Warning","On track"),""))</f>
        <v/>
      </c>
      <c r="N366" s="65" t="str">
        <f aca="false">IF($M366="","",IF($M366="Critical",3000,IF($M366="Warning",2000,1000))+$L366+ROW()/100000)</f>
        <v/>
      </c>
      <c r="O366" s="65" t="str">
        <f aca="false">IF($K366="Open",IF($C366="Conflict","decide "&amp;$A366&amp;": &lt;which version stands&gt;","decide "&amp;$A366&amp;": &lt;outcome&gt;"),IF($K366="Unconfirmed","confirm "&amp;$A366,""))</f>
        <v/>
      </c>
      <c r="P366" s="65" t="str">
        <f aca="false">IF(AND($C366="New",$B366&gt;=WeekStart),$B366+ROW()/100000,"")</f>
        <v/>
      </c>
      <c r="Q366" s="65" t="str">
        <f aca="false">IF(AND($C366="Know",$B366&gt;=WeekStart),$B366+ROW()/100000,"")</f>
        <v/>
      </c>
      <c r="R366" s="65" t="str">
        <f aca="false">IF(AND($K366="Open",$C366="Decision"),$L366+ROW()/100000,"")</f>
        <v/>
      </c>
      <c r="S366" s="65" t="str">
        <f aca="false">IF(AND($J366&lt;&gt;"",$J366=UCSel),$B366+ROW()/100000,"")</f>
        <v/>
      </c>
    </row>
    <row r="367" customFormat="false" ht="15" hidden="false" customHeight="false" outlineLevel="0" collapsed="false">
      <c r="A367" s="28"/>
      <c r="B367" s="63"/>
      <c r="C367" s="64"/>
      <c r="D367" s="28"/>
      <c r="E367" s="28"/>
      <c r="F367" s="28"/>
      <c r="G367" s="64"/>
      <c r="H367" s="64"/>
      <c r="I367" s="28"/>
      <c r="J367" s="28"/>
      <c r="K367" s="65" t="str">
        <f aca="false">IF($A367="","",IF(OR($C367="Decision",$C367="Conflict"),IF(COUNTIFS($I$2:$I$1001,$A367,$C$2:$C$1001,"Resolved")=0,"Open","Closed"),IF(AND($H367="Unconfirmed",OR($C367="New",$C367="Know")),IF(COUNTIFS($I$2:$I$1001,$A367,$C$2:$C$1001,"Confirmed")=0,"Unconfirmed","Confirmed"),"Logged")))</f>
        <v/>
      </c>
      <c r="L367" s="65" t="str">
        <f aca="false">IF($A367="","",AsOf-$B367)</f>
        <v/>
      </c>
      <c r="M367" s="65" t="str">
        <f aca="false">IF($K367="Open",IF($C367="Conflict","Critical",IF($L367&gt;=DecisionCritical,"Critical",IF($L367&gt;=DecisionWarn,"Warning","On track"))),IF($K367="Unconfirmed",IF($L367&gt;=UnconfirmedWarn,"Warning","On track"),""))</f>
        <v/>
      </c>
      <c r="N367" s="65" t="str">
        <f aca="false">IF($M367="","",IF($M367="Critical",3000,IF($M367="Warning",2000,1000))+$L367+ROW()/100000)</f>
        <v/>
      </c>
      <c r="O367" s="65" t="str">
        <f aca="false">IF($K367="Open",IF($C367="Conflict","decide "&amp;$A367&amp;": &lt;which version stands&gt;","decide "&amp;$A367&amp;": &lt;outcome&gt;"),IF($K367="Unconfirmed","confirm "&amp;$A367,""))</f>
        <v/>
      </c>
      <c r="P367" s="65" t="str">
        <f aca="false">IF(AND($C367="New",$B367&gt;=WeekStart),$B367+ROW()/100000,"")</f>
        <v/>
      </c>
      <c r="Q367" s="65" t="str">
        <f aca="false">IF(AND($C367="Know",$B367&gt;=WeekStart),$B367+ROW()/100000,"")</f>
        <v/>
      </c>
      <c r="R367" s="65" t="str">
        <f aca="false">IF(AND($K367="Open",$C367="Decision"),$L367+ROW()/100000,"")</f>
        <v/>
      </c>
      <c r="S367" s="65" t="str">
        <f aca="false">IF(AND($J367&lt;&gt;"",$J367=UCSel),$B367+ROW()/100000,"")</f>
        <v/>
      </c>
    </row>
    <row r="368" customFormat="false" ht="15" hidden="false" customHeight="false" outlineLevel="0" collapsed="false">
      <c r="A368" s="28"/>
      <c r="B368" s="63"/>
      <c r="C368" s="64"/>
      <c r="D368" s="28"/>
      <c r="E368" s="28"/>
      <c r="F368" s="28"/>
      <c r="G368" s="64"/>
      <c r="H368" s="64"/>
      <c r="I368" s="28"/>
      <c r="J368" s="28"/>
      <c r="K368" s="65" t="str">
        <f aca="false">IF($A368="","",IF(OR($C368="Decision",$C368="Conflict"),IF(COUNTIFS($I$2:$I$1001,$A368,$C$2:$C$1001,"Resolved")=0,"Open","Closed"),IF(AND($H368="Unconfirmed",OR($C368="New",$C368="Know")),IF(COUNTIFS($I$2:$I$1001,$A368,$C$2:$C$1001,"Confirmed")=0,"Unconfirmed","Confirmed"),"Logged")))</f>
        <v/>
      </c>
      <c r="L368" s="65" t="str">
        <f aca="false">IF($A368="","",AsOf-$B368)</f>
        <v/>
      </c>
      <c r="M368" s="65" t="str">
        <f aca="false">IF($K368="Open",IF($C368="Conflict","Critical",IF($L368&gt;=DecisionCritical,"Critical",IF($L368&gt;=DecisionWarn,"Warning","On track"))),IF($K368="Unconfirmed",IF($L368&gt;=UnconfirmedWarn,"Warning","On track"),""))</f>
        <v/>
      </c>
      <c r="N368" s="65" t="str">
        <f aca="false">IF($M368="","",IF($M368="Critical",3000,IF($M368="Warning",2000,1000))+$L368+ROW()/100000)</f>
        <v/>
      </c>
      <c r="O368" s="65" t="str">
        <f aca="false">IF($K368="Open",IF($C368="Conflict","decide "&amp;$A368&amp;": &lt;which version stands&gt;","decide "&amp;$A368&amp;": &lt;outcome&gt;"),IF($K368="Unconfirmed","confirm "&amp;$A368,""))</f>
        <v/>
      </c>
      <c r="P368" s="65" t="str">
        <f aca="false">IF(AND($C368="New",$B368&gt;=WeekStart),$B368+ROW()/100000,"")</f>
        <v/>
      </c>
      <c r="Q368" s="65" t="str">
        <f aca="false">IF(AND($C368="Know",$B368&gt;=WeekStart),$B368+ROW()/100000,"")</f>
        <v/>
      </c>
      <c r="R368" s="65" t="str">
        <f aca="false">IF(AND($K368="Open",$C368="Decision"),$L368+ROW()/100000,"")</f>
        <v/>
      </c>
      <c r="S368" s="65" t="str">
        <f aca="false">IF(AND($J368&lt;&gt;"",$J368=UCSel),$B368+ROW()/100000,"")</f>
        <v/>
      </c>
    </row>
    <row r="369" customFormat="false" ht="15" hidden="false" customHeight="false" outlineLevel="0" collapsed="false">
      <c r="A369" s="28"/>
      <c r="B369" s="63"/>
      <c r="C369" s="64"/>
      <c r="D369" s="28"/>
      <c r="E369" s="28"/>
      <c r="F369" s="28"/>
      <c r="G369" s="64"/>
      <c r="H369" s="64"/>
      <c r="I369" s="28"/>
      <c r="J369" s="28"/>
      <c r="K369" s="65" t="str">
        <f aca="false">IF($A369="","",IF(OR($C369="Decision",$C369="Conflict"),IF(COUNTIFS($I$2:$I$1001,$A369,$C$2:$C$1001,"Resolved")=0,"Open","Closed"),IF(AND($H369="Unconfirmed",OR($C369="New",$C369="Know")),IF(COUNTIFS($I$2:$I$1001,$A369,$C$2:$C$1001,"Confirmed")=0,"Unconfirmed","Confirmed"),"Logged")))</f>
        <v/>
      </c>
      <c r="L369" s="65" t="str">
        <f aca="false">IF($A369="","",AsOf-$B369)</f>
        <v/>
      </c>
      <c r="M369" s="65" t="str">
        <f aca="false">IF($K369="Open",IF($C369="Conflict","Critical",IF($L369&gt;=DecisionCritical,"Critical",IF($L369&gt;=DecisionWarn,"Warning","On track"))),IF($K369="Unconfirmed",IF($L369&gt;=UnconfirmedWarn,"Warning","On track"),""))</f>
        <v/>
      </c>
      <c r="N369" s="65" t="str">
        <f aca="false">IF($M369="","",IF($M369="Critical",3000,IF($M369="Warning",2000,1000))+$L369+ROW()/100000)</f>
        <v/>
      </c>
      <c r="O369" s="65" t="str">
        <f aca="false">IF($K369="Open",IF($C369="Conflict","decide "&amp;$A369&amp;": &lt;which version stands&gt;","decide "&amp;$A369&amp;": &lt;outcome&gt;"),IF($K369="Unconfirmed","confirm "&amp;$A369,""))</f>
        <v/>
      </c>
      <c r="P369" s="65" t="str">
        <f aca="false">IF(AND($C369="New",$B369&gt;=WeekStart),$B369+ROW()/100000,"")</f>
        <v/>
      </c>
      <c r="Q369" s="65" t="str">
        <f aca="false">IF(AND($C369="Know",$B369&gt;=WeekStart),$B369+ROW()/100000,"")</f>
        <v/>
      </c>
      <c r="R369" s="65" t="str">
        <f aca="false">IF(AND($K369="Open",$C369="Decision"),$L369+ROW()/100000,"")</f>
        <v/>
      </c>
      <c r="S369" s="65" t="str">
        <f aca="false">IF(AND($J369&lt;&gt;"",$J369=UCSel),$B369+ROW()/100000,"")</f>
        <v/>
      </c>
    </row>
    <row r="370" customFormat="false" ht="15" hidden="false" customHeight="false" outlineLevel="0" collapsed="false">
      <c r="A370" s="28"/>
      <c r="B370" s="63"/>
      <c r="C370" s="64"/>
      <c r="D370" s="28"/>
      <c r="E370" s="28"/>
      <c r="F370" s="28"/>
      <c r="G370" s="64"/>
      <c r="H370" s="64"/>
      <c r="I370" s="28"/>
      <c r="J370" s="28"/>
      <c r="K370" s="65" t="str">
        <f aca="false">IF($A370="","",IF(OR($C370="Decision",$C370="Conflict"),IF(COUNTIFS($I$2:$I$1001,$A370,$C$2:$C$1001,"Resolved")=0,"Open","Closed"),IF(AND($H370="Unconfirmed",OR($C370="New",$C370="Know")),IF(COUNTIFS($I$2:$I$1001,$A370,$C$2:$C$1001,"Confirmed")=0,"Unconfirmed","Confirmed"),"Logged")))</f>
        <v/>
      </c>
      <c r="L370" s="65" t="str">
        <f aca="false">IF($A370="","",AsOf-$B370)</f>
        <v/>
      </c>
      <c r="M370" s="65" t="str">
        <f aca="false">IF($K370="Open",IF($C370="Conflict","Critical",IF($L370&gt;=DecisionCritical,"Critical",IF($L370&gt;=DecisionWarn,"Warning","On track"))),IF($K370="Unconfirmed",IF($L370&gt;=UnconfirmedWarn,"Warning","On track"),""))</f>
        <v/>
      </c>
      <c r="N370" s="65" t="str">
        <f aca="false">IF($M370="","",IF($M370="Critical",3000,IF($M370="Warning",2000,1000))+$L370+ROW()/100000)</f>
        <v/>
      </c>
      <c r="O370" s="65" t="str">
        <f aca="false">IF($K370="Open",IF($C370="Conflict","decide "&amp;$A370&amp;": &lt;which version stands&gt;","decide "&amp;$A370&amp;": &lt;outcome&gt;"),IF($K370="Unconfirmed","confirm "&amp;$A370,""))</f>
        <v/>
      </c>
      <c r="P370" s="65" t="str">
        <f aca="false">IF(AND($C370="New",$B370&gt;=WeekStart),$B370+ROW()/100000,"")</f>
        <v/>
      </c>
      <c r="Q370" s="65" t="str">
        <f aca="false">IF(AND($C370="Know",$B370&gt;=WeekStart),$B370+ROW()/100000,"")</f>
        <v/>
      </c>
      <c r="R370" s="65" t="str">
        <f aca="false">IF(AND($K370="Open",$C370="Decision"),$L370+ROW()/100000,"")</f>
        <v/>
      </c>
      <c r="S370" s="65" t="str">
        <f aca="false">IF(AND($J370&lt;&gt;"",$J370=UCSel),$B370+ROW()/100000,"")</f>
        <v/>
      </c>
    </row>
    <row r="371" customFormat="false" ht="15" hidden="false" customHeight="false" outlineLevel="0" collapsed="false">
      <c r="A371" s="28"/>
      <c r="B371" s="63"/>
      <c r="C371" s="64"/>
      <c r="D371" s="28"/>
      <c r="E371" s="28"/>
      <c r="F371" s="28"/>
      <c r="G371" s="64"/>
      <c r="H371" s="64"/>
      <c r="I371" s="28"/>
      <c r="J371" s="28"/>
      <c r="K371" s="65" t="str">
        <f aca="false">IF($A371="","",IF(OR($C371="Decision",$C371="Conflict"),IF(COUNTIFS($I$2:$I$1001,$A371,$C$2:$C$1001,"Resolved")=0,"Open","Closed"),IF(AND($H371="Unconfirmed",OR($C371="New",$C371="Know")),IF(COUNTIFS($I$2:$I$1001,$A371,$C$2:$C$1001,"Confirmed")=0,"Unconfirmed","Confirmed"),"Logged")))</f>
        <v/>
      </c>
      <c r="L371" s="65" t="str">
        <f aca="false">IF($A371="","",AsOf-$B371)</f>
        <v/>
      </c>
      <c r="M371" s="65" t="str">
        <f aca="false">IF($K371="Open",IF($C371="Conflict","Critical",IF($L371&gt;=DecisionCritical,"Critical",IF($L371&gt;=DecisionWarn,"Warning","On track"))),IF($K371="Unconfirmed",IF($L371&gt;=UnconfirmedWarn,"Warning","On track"),""))</f>
        <v/>
      </c>
      <c r="N371" s="65" t="str">
        <f aca="false">IF($M371="","",IF($M371="Critical",3000,IF($M371="Warning",2000,1000))+$L371+ROW()/100000)</f>
        <v/>
      </c>
      <c r="O371" s="65" t="str">
        <f aca="false">IF($K371="Open",IF($C371="Conflict","decide "&amp;$A371&amp;": &lt;which version stands&gt;","decide "&amp;$A371&amp;": &lt;outcome&gt;"),IF($K371="Unconfirmed","confirm "&amp;$A371,""))</f>
        <v/>
      </c>
      <c r="P371" s="65" t="str">
        <f aca="false">IF(AND($C371="New",$B371&gt;=WeekStart),$B371+ROW()/100000,"")</f>
        <v/>
      </c>
      <c r="Q371" s="65" t="str">
        <f aca="false">IF(AND($C371="Know",$B371&gt;=WeekStart),$B371+ROW()/100000,"")</f>
        <v/>
      </c>
      <c r="R371" s="65" t="str">
        <f aca="false">IF(AND($K371="Open",$C371="Decision"),$L371+ROW()/100000,"")</f>
        <v/>
      </c>
      <c r="S371" s="65" t="str">
        <f aca="false">IF(AND($J371&lt;&gt;"",$J371=UCSel),$B371+ROW()/100000,"")</f>
        <v/>
      </c>
    </row>
    <row r="372" customFormat="false" ht="15" hidden="false" customHeight="false" outlineLevel="0" collapsed="false">
      <c r="A372" s="28"/>
      <c r="B372" s="63"/>
      <c r="C372" s="64"/>
      <c r="D372" s="28"/>
      <c r="E372" s="28"/>
      <c r="F372" s="28"/>
      <c r="G372" s="64"/>
      <c r="H372" s="64"/>
      <c r="I372" s="28"/>
      <c r="J372" s="28"/>
      <c r="K372" s="65" t="str">
        <f aca="false">IF($A372="","",IF(OR($C372="Decision",$C372="Conflict"),IF(COUNTIFS($I$2:$I$1001,$A372,$C$2:$C$1001,"Resolved")=0,"Open","Closed"),IF(AND($H372="Unconfirmed",OR($C372="New",$C372="Know")),IF(COUNTIFS($I$2:$I$1001,$A372,$C$2:$C$1001,"Confirmed")=0,"Unconfirmed","Confirmed"),"Logged")))</f>
        <v/>
      </c>
      <c r="L372" s="65" t="str">
        <f aca="false">IF($A372="","",AsOf-$B372)</f>
        <v/>
      </c>
      <c r="M372" s="65" t="str">
        <f aca="false">IF($K372="Open",IF($C372="Conflict","Critical",IF($L372&gt;=DecisionCritical,"Critical",IF($L372&gt;=DecisionWarn,"Warning","On track"))),IF($K372="Unconfirmed",IF($L372&gt;=UnconfirmedWarn,"Warning","On track"),""))</f>
        <v/>
      </c>
      <c r="N372" s="65" t="str">
        <f aca="false">IF($M372="","",IF($M372="Critical",3000,IF($M372="Warning",2000,1000))+$L372+ROW()/100000)</f>
        <v/>
      </c>
      <c r="O372" s="65" t="str">
        <f aca="false">IF($K372="Open",IF($C372="Conflict","decide "&amp;$A372&amp;": &lt;which version stands&gt;","decide "&amp;$A372&amp;": &lt;outcome&gt;"),IF($K372="Unconfirmed","confirm "&amp;$A372,""))</f>
        <v/>
      </c>
      <c r="P372" s="65" t="str">
        <f aca="false">IF(AND($C372="New",$B372&gt;=WeekStart),$B372+ROW()/100000,"")</f>
        <v/>
      </c>
      <c r="Q372" s="65" t="str">
        <f aca="false">IF(AND($C372="Know",$B372&gt;=WeekStart),$B372+ROW()/100000,"")</f>
        <v/>
      </c>
      <c r="R372" s="65" t="str">
        <f aca="false">IF(AND($K372="Open",$C372="Decision"),$L372+ROW()/100000,"")</f>
        <v/>
      </c>
      <c r="S372" s="65" t="str">
        <f aca="false">IF(AND($J372&lt;&gt;"",$J372=UCSel),$B372+ROW()/100000,"")</f>
        <v/>
      </c>
    </row>
    <row r="373" customFormat="false" ht="15" hidden="false" customHeight="false" outlineLevel="0" collapsed="false">
      <c r="A373" s="28"/>
      <c r="B373" s="63"/>
      <c r="C373" s="64"/>
      <c r="D373" s="28"/>
      <c r="E373" s="28"/>
      <c r="F373" s="28"/>
      <c r="G373" s="64"/>
      <c r="H373" s="64"/>
      <c r="I373" s="28"/>
      <c r="J373" s="28"/>
      <c r="K373" s="65" t="str">
        <f aca="false">IF($A373="","",IF(OR($C373="Decision",$C373="Conflict"),IF(COUNTIFS($I$2:$I$1001,$A373,$C$2:$C$1001,"Resolved")=0,"Open","Closed"),IF(AND($H373="Unconfirmed",OR($C373="New",$C373="Know")),IF(COUNTIFS($I$2:$I$1001,$A373,$C$2:$C$1001,"Confirmed")=0,"Unconfirmed","Confirmed"),"Logged")))</f>
        <v/>
      </c>
      <c r="L373" s="65" t="str">
        <f aca="false">IF($A373="","",AsOf-$B373)</f>
        <v/>
      </c>
      <c r="M373" s="65" t="str">
        <f aca="false">IF($K373="Open",IF($C373="Conflict","Critical",IF($L373&gt;=DecisionCritical,"Critical",IF($L373&gt;=DecisionWarn,"Warning","On track"))),IF($K373="Unconfirmed",IF($L373&gt;=UnconfirmedWarn,"Warning","On track"),""))</f>
        <v/>
      </c>
      <c r="N373" s="65" t="str">
        <f aca="false">IF($M373="","",IF($M373="Critical",3000,IF($M373="Warning",2000,1000))+$L373+ROW()/100000)</f>
        <v/>
      </c>
      <c r="O373" s="65" t="str">
        <f aca="false">IF($K373="Open",IF($C373="Conflict","decide "&amp;$A373&amp;": &lt;which version stands&gt;","decide "&amp;$A373&amp;": &lt;outcome&gt;"),IF($K373="Unconfirmed","confirm "&amp;$A373,""))</f>
        <v/>
      </c>
      <c r="P373" s="65" t="str">
        <f aca="false">IF(AND($C373="New",$B373&gt;=WeekStart),$B373+ROW()/100000,"")</f>
        <v/>
      </c>
      <c r="Q373" s="65" t="str">
        <f aca="false">IF(AND($C373="Know",$B373&gt;=WeekStart),$B373+ROW()/100000,"")</f>
        <v/>
      </c>
      <c r="R373" s="65" t="str">
        <f aca="false">IF(AND($K373="Open",$C373="Decision"),$L373+ROW()/100000,"")</f>
        <v/>
      </c>
      <c r="S373" s="65" t="str">
        <f aca="false">IF(AND($J373&lt;&gt;"",$J373=UCSel),$B373+ROW()/100000,"")</f>
        <v/>
      </c>
    </row>
    <row r="374" customFormat="false" ht="15" hidden="false" customHeight="false" outlineLevel="0" collapsed="false">
      <c r="A374" s="28"/>
      <c r="B374" s="63"/>
      <c r="C374" s="64"/>
      <c r="D374" s="28"/>
      <c r="E374" s="28"/>
      <c r="F374" s="28"/>
      <c r="G374" s="64"/>
      <c r="H374" s="64"/>
      <c r="I374" s="28"/>
      <c r="J374" s="28"/>
      <c r="K374" s="65" t="str">
        <f aca="false">IF($A374="","",IF(OR($C374="Decision",$C374="Conflict"),IF(COUNTIFS($I$2:$I$1001,$A374,$C$2:$C$1001,"Resolved")=0,"Open","Closed"),IF(AND($H374="Unconfirmed",OR($C374="New",$C374="Know")),IF(COUNTIFS($I$2:$I$1001,$A374,$C$2:$C$1001,"Confirmed")=0,"Unconfirmed","Confirmed"),"Logged")))</f>
        <v/>
      </c>
      <c r="L374" s="65" t="str">
        <f aca="false">IF($A374="","",AsOf-$B374)</f>
        <v/>
      </c>
      <c r="M374" s="65" t="str">
        <f aca="false">IF($K374="Open",IF($C374="Conflict","Critical",IF($L374&gt;=DecisionCritical,"Critical",IF($L374&gt;=DecisionWarn,"Warning","On track"))),IF($K374="Unconfirmed",IF($L374&gt;=UnconfirmedWarn,"Warning","On track"),""))</f>
        <v/>
      </c>
      <c r="N374" s="65" t="str">
        <f aca="false">IF($M374="","",IF($M374="Critical",3000,IF($M374="Warning",2000,1000))+$L374+ROW()/100000)</f>
        <v/>
      </c>
      <c r="O374" s="65" t="str">
        <f aca="false">IF($K374="Open",IF($C374="Conflict","decide "&amp;$A374&amp;": &lt;which version stands&gt;","decide "&amp;$A374&amp;": &lt;outcome&gt;"),IF($K374="Unconfirmed","confirm "&amp;$A374,""))</f>
        <v/>
      </c>
      <c r="P374" s="65" t="str">
        <f aca="false">IF(AND($C374="New",$B374&gt;=WeekStart),$B374+ROW()/100000,"")</f>
        <v/>
      </c>
      <c r="Q374" s="65" t="str">
        <f aca="false">IF(AND($C374="Know",$B374&gt;=WeekStart),$B374+ROW()/100000,"")</f>
        <v/>
      </c>
      <c r="R374" s="65" t="str">
        <f aca="false">IF(AND($K374="Open",$C374="Decision"),$L374+ROW()/100000,"")</f>
        <v/>
      </c>
      <c r="S374" s="65" t="str">
        <f aca="false">IF(AND($J374&lt;&gt;"",$J374=UCSel),$B374+ROW()/100000,"")</f>
        <v/>
      </c>
    </row>
    <row r="375" customFormat="false" ht="15" hidden="false" customHeight="false" outlineLevel="0" collapsed="false">
      <c r="A375" s="28"/>
      <c r="B375" s="63"/>
      <c r="C375" s="64"/>
      <c r="D375" s="28"/>
      <c r="E375" s="28"/>
      <c r="F375" s="28"/>
      <c r="G375" s="64"/>
      <c r="H375" s="64"/>
      <c r="I375" s="28"/>
      <c r="J375" s="28"/>
      <c r="K375" s="65" t="str">
        <f aca="false">IF($A375="","",IF(OR($C375="Decision",$C375="Conflict"),IF(COUNTIFS($I$2:$I$1001,$A375,$C$2:$C$1001,"Resolved")=0,"Open","Closed"),IF(AND($H375="Unconfirmed",OR($C375="New",$C375="Know")),IF(COUNTIFS($I$2:$I$1001,$A375,$C$2:$C$1001,"Confirmed")=0,"Unconfirmed","Confirmed"),"Logged")))</f>
        <v/>
      </c>
      <c r="L375" s="65" t="str">
        <f aca="false">IF($A375="","",AsOf-$B375)</f>
        <v/>
      </c>
      <c r="M375" s="65" t="str">
        <f aca="false">IF($K375="Open",IF($C375="Conflict","Critical",IF($L375&gt;=DecisionCritical,"Critical",IF($L375&gt;=DecisionWarn,"Warning","On track"))),IF($K375="Unconfirmed",IF($L375&gt;=UnconfirmedWarn,"Warning","On track"),""))</f>
        <v/>
      </c>
      <c r="N375" s="65" t="str">
        <f aca="false">IF($M375="","",IF($M375="Critical",3000,IF($M375="Warning",2000,1000))+$L375+ROW()/100000)</f>
        <v/>
      </c>
      <c r="O375" s="65" t="str">
        <f aca="false">IF($K375="Open",IF($C375="Conflict","decide "&amp;$A375&amp;": &lt;which version stands&gt;","decide "&amp;$A375&amp;": &lt;outcome&gt;"),IF($K375="Unconfirmed","confirm "&amp;$A375,""))</f>
        <v/>
      </c>
      <c r="P375" s="65" t="str">
        <f aca="false">IF(AND($C375="New",$B375&gt;=WeekStart),$B375+ROW()/100000,"")</f>
        <v/>
      </c>
      <c r="Q375" s="65" t="str">
        <f aca="false">IF(AND($C375="Know",$B375&gt;=WeekStart),$B375+ROW()/100000,"")</f>
        <v/>
      </c>
      <c r="R375" s="65" t="str">
        <f aca="false">IF(AND($K375="Open",$C375="Decision"),$L375+ROW()/100000,"")</f>
        <v/>
      </c>
      <c r="S375" s="65" t="str">
        <f aca="false">IF(AND($J375&lt;&gt;"",$J375=UCSel),$B375+ROW()/100000,"")</f>
        <v/>
      </c>
    </row>
    <row r="376" customFormat="false" ht="15" hidden="false" customHeight="false" outlineLevel="0" collapsed="false">
      <c r="A376" s="28"/>
      <c r="B376" s="63"/>
      <c r="C376" s="64"/>
      <c r="D376" s="28"/>
      <c r="E376" s="28"/>
      <c r="F376" s="28"/>
      <c r="G376" s="64"/>
      <c r="H376" s="64"/>
      <c r="I376" s="28"/>
      <c r="J376" s="28"/>
      <c r="K376" s="65" t="str">
        <f aca="false">IF($A376="","",IF(OR($C376="Decision",$C376="Conflict"),IF(COUNTIFS($I$2:$I$1001,$A376,$C$2:$C$1001,"Resolved")=0,"Open","Closed"),IF(AND($H376="Unconfirmed",OR($C376="New",$C376="Know")),IF(COUNTIFS($I$2:$I$1001,$A376,$C$2:$C$1001,"Confirmed")=0,"Unconfirmed","Confirmed"),"Logged")))</f>
        <v/>
      </c>
      <c r="L376" s="65" t="str">
        <f aca="false">IF($A376="","",AsOf-$B376)</f>
        <v/>
      </c>
      <c r="M376" s="65" t="str">
        <f aca="false">IF($K376="Open",IF($C376="Conflict","Critical",IF($L376&gt;=DecisionCritical,"Critical",IF($L376&gt;=DecisionWarn,"Warning","On track"))),IF($K376="Unconfirmed",IF($L376&gt;=UnconfirmedWarn,"Warning","On track"),""))</f>
        <v/>
      </c>
      <c r="N376" s="65" t="str">
        <f aca="false">IF($M376="","",IF($M376="Critical",3000,IF($M376="Warning",2000,1000))+$L376+ROW()/100000)</f>
        <v/>
      </c>
      <c r="O376" s="65" t="str">
        <f aca="false">IF($K376="Open",IF($C376="Conflict","decide "&amp;$A376&amp;": &lt;which version stands&gt;","decide "&amp;$A376&amp;": &lt;outcome&gt;"),IF($K376="Unconfirmed","confirm "&amp;$A376,""))</f>
        <v/>
      </c>
      <c r="P376" s="65" t="str">
        <f aca="false">IF(AND($C376="New",$B376&gt;=WeekStart),$B376+ROW()/100000,"")</f>
        <v/>
      </c>
      <c r="Q376" s="65" t="str">
        <f aca="false">IF(AND($C376="Know",$B376&gt;=WeekStart),$B376+ROW()/100000,"")</f>
        <v/>
      </c>
      <c r="R376" s="65" t="str">
        <f aca="false">IF(AND($K376="Open",$C376="Decision"),$L376+ROW()/100000,"")</f>
        <v/>
      </c>
      <c r="S376" s="65" t="str">
        <f aca="false">IF(AND($J376&lt;&gt;"",$J376=UCSel),$B376+ROW()/100000,"")</f>
        <v/>
      </c>
    </row>
    <row r="377" customFormat="false" ht="15" hidden="false" customHeight="false" outlineLevel="0" collapsed="false">
      <c r="A377" s="28"/>
      <c r="B377" s="63"/>
      <c r="C377" s="64"/>
      <c r="D377" s="28"/>
      <c r="E377" s="28"/>
      <c r="F377" s="28"/>
      <c r="G377" s="64"/>
      <c r="H377" s="64"/>
      <c r="I377" s="28"/>
      <c r="J377" s="28"/>
      <c r="K377" s="65" t="str">
        <f aca="false">IF($A377="","",IF(OR($C377="Decision",$C377="Conflict"),IF(COUNTIFS($I$2:$I$1001,$A377,$C$2:$C$1001,"Resolved")=0,"Open","Closed"),IF(AND($H377="Unconfirmed",OR($C377="New",$C377="Know")),IF(COUNTIFS($I$2:$I$1001,$A377,$C$2:$C$1001,"Confirmed")=0,"Unconfirmed","Confirmed"),"Logged")))</f>
        <v/>
      </c>
      <c r="L377" s="65" t="str">
        <f aca="false">IF($A377="","",AsOf-$B377)</f>
        <v/>
      </c>
      <c r="M377" s="65" t="str">
        <f aca="false">IF($K377="Open",IF($C377="Conflict","Critical",IF($L377&gt;=DecisionCritical,"Critical",IF($L377&gt;=DecisionWarn,"Warning","On track"))),IF($K377="Unconfirmed",IF($L377&gt;=UnconfirmedWarn,"Warning","On track"),""))</f>
        <v/>
      </c>
      <c r="N377" s="65" t="str">
        <f aca="false">IF($M377="","",IF($M377="Critical",3000,IF($M377="Warning",2000,1000))+$L377+ROW()/100000)</f>
        <v/>
      </c>
      <c r="O377" s="65" t="str">
        <f aca="false">IF($K377="Open",IF($C377="Conflict","decide "&amp;$A377&amp;": &lt;which version stands&gt;","decide "&amp;$A377&amp;": &lt;outcome&gt;"),IF($K377="Unconfirmed","confirm "&amp;$A377,""))</f>
        <v/>
      </c>
      <c r="P377" s="65" t="str">
        <f aca="false">IF(AND($C377="New",$B377&gt;=WeekStart),$B377+ROW()/100000,"")</f>
        <v/>
      </c>
      <c r="Q377" s="65" t="str">
        <f aca="false">IF(AND($C377="Know",$B377&gt;=WeekStart),$B377+ROW()/100000,"")</f>
        <v/>
      </c>
      <c r="R377" s="65" t="str">
        <f aca="false">IF(AND($K377="Open",$C377="Decision"),$L377+ROW()/100000,"")</f>
        <v/>
      </c>
      <c r="S377" s="65" t="str">
        <f aca="false">IF(AND($J377&lt;&gt;"",$J377=UCSel),$B377+ROW()/100000,"")</f>
        <v/>
      </c>
    </row>
    <row r="378" customFormat="false" ht="15" hidden="false" customHeight="false" outlineLevel="0" collapsed="false">
      <c r="A378" s="28"/>
      <c r="B378" s="63"/>
      <c r="C378" s="64"/>
      <c r="D378" s="28"/>
      <c r="E378" s="28"/>
      <c r="F378" s="28"/>
      <c r="G378" s="64"/>
      <c r="H378" s="64"/>
      <c r="I378" s="28"/>
      <c r="J378" s="28"/>
      <c r="K378" s="65" t="str">
        <f aca="false">IF($A378="","",IF(OR($C378="Decision",$C378="Conflict"),IF(COUNTIFS($I$2:$I$1001,$A378,$C$2:$C$1001,"Resolved")=0,"Open","Closed"),IF(AND($H378="Unconfirmed",OR($C378="New",$C378="Know")),IF(COUNTIFS($I$2:$I$1001,$A378,$C$2:$C$1001,"Confirmed")=0,"Unconfirmed","Confirmed"),"Logged")))</f>
        <v/>
      </c>
      <c r="L378" s="65" t="str">
        <f aca="false">IF($A378="","",AsOf-$B378)</f>
        <v/>
      </c>
      <c r="M378" s="65" t="str">
        <f aca="false">IF($K378="Open",IF($C378="Conflict","Critical",IF($L378&gt;=DecisionCritical,"Critical",IF($L378&gt;=DecisionWarn,"Warning","On track"))),IF($K378="Unconfirmed",IF($L378&gt;=UnconfirmedWarn,"Warning","On track"),""))</f>
        <v/>
      </c>
      <c r="N378" s="65" t="str">
        <f aca="false">IF($M378="","",IF($M378="Critical",3000,IF($M378="Warning",2000,1000))+$L378+ROW()/100000)</f>
        <v/>
      </c>
      <c r="O378" s="65" t="str">
        <f aca="false">IF($K378="Open",IF($C378="Conflict","decide "&amp;$A378&amp;": &lt;which version stands&gt;","decide "&amp;$A378&amp;": &lt;outcome&gt;"),IF($K378="Unconfirmed","confirm "&amp;$A378,""))</f>
        <v/>
      </c>
      <c r="P378" s="65" t="str">
        <f aca="false">IF(AND($C378="New",$B378&gt;=WeekStart),$B378+ROW()/100000,"")</f>
        <v/>
      </c>
      <c r="Q378" s="65" t="str">
        <f aca="false">IF(AND($C378="Know",$B378&gt;=WeekStart),$B378+ROW()/100000,"")</f>
        <v/>
      </c>
      <c r="R378" s="65" t="str">
        <f aca="false">IF(AND($K378="Open",$C378="Decision"),$L378+ROW()/100000,"")</f>
        <v/>
      </c>
      <c r="S378" s="65" t="str">
        <f aca="false">IF(AND($J378&lt;&gt;"",$J378=UCSel),$B378+ROW()/100000,"")</f>
        <v/>
      </c>
    </row>
    <row r="379" customFormat="false" ht="15" hidden="false" customHeight="false" outlineLevel="0" collapsed="false">
      <c r="A379" s="28"/>
      <c r="B379" s="63"/>
      <c r="C379" s="64"/>
      <c r="D379" s="28"/>
      <c r="E379" s="28"/>
      <c r="F379" s="28"/>
      <c r="G379" s="64"/>
      <c r="H379" s="64"/>
      <c r="I379" s="28"/>
      <c r="J379" s="28"/>
      <c r="K379" s="65" t="str">
        <f aca="false">IF($A379="","",IF(OR($C379="Decision",$C379="Conflict"),IF(COUNTIFS($I$2:$I$1001,$A379,$C$2:$C$1001,"Resolved")=0,"Open","Closed"),IF(AND($H379="Unconfirmed",OR($C379="New",$C379="Know")),IF(COUNTIFS($I$2:$I$1001,$A379,$C$2:$C$1001,"Confirmed")=0,"Unconfirmed","Confirmed"),"Logged")))</f>
        <v/>
      </c>
      <c r="L379" s="65" t="str">
        <f aca="false">IF($A379="","",AsOf-$B379)</f>
        <v/>
      </c>
      <c r="M379" s="65" t="str">
        <f aca="false">IF($K379="Open",IF($C379="Conflict","Critical",IF($L379&gt;=DecisionCritical,"Critical",IF($L379&gt;=DecisionWarn,"Warning","On track"))),IF($K379="Unconfirmed",IF($L379&gt;=UnconfirmedWarn,"Warning","On track"),""))</f>
        <v/>
      </c>
      <c r="N379" s="65" t="str">
        <f aca="false">IF($M379="","",IF($M379="Critical",3000,IF($M379="Warning",2000,1000))+$L379+ROW()/100000)</f>
        <v/>
      </c>
      <c r="O379" s="65" t="str">
        <f aca="false">IF($K379="Open",IF($C379="Conflict","decide "&amp;$A379&amp;": &lt;which version stands&gt;","decide "&amp;$A379&amp;": &lt;outcome&gt;"),IF($K379="Unconfirmed","confirm "&amp;$A379,""))</f>
        <v/>
      </c>
      <c r="P379" s="65" t="str">
        <f aca="false">IF(AND($C379="New",$B379&gt;=WeekStart),$B379+ROW()/100000,"")</f>
        <v/>
      </c>
      <c r="Q379" s="65" t="str">
        <f aca="false">IF(AND($C379="Know",$B379&gt;=WeekStart),$B379+ROW()/100000,"")</f>
        <v/>
      </c>
      <c r="R379" s="65" t="str">
        <f aca="false">IF(AND($K379="Open",$C379="Decision"),$L379+ROW()/100000,"")</f>
        <v/>
      </c>
      <c r="S379" s="65" t="str">
        <f aca="false">IF(AND($J379&lt;&gt;"",$J379=UCSel),$B379+ROW()/100000,"")</f>
        <v/>
      </c>
    </row>
    <row r="380" customFormat="false" ht="15" hidden="false" customHeight="false" outlineLevel="0" collapsed="false">
      <c r="A380" s="28"/>
      <c r="B380" s="63"/>
      <c r="C380" s="64"/>
      <c r="D380" s="28"/>
      <c r="E380" s="28"/>
      <c r="F380" s="28"/>
      <c r="G380" s="64"/>
      <c r="H380" s="64"/>
      <c r="I380" s="28"/>
      <c r="J380" s="28"/>
      <c r="K380" s="65" t="str">
        <f aca="false">IF($A380="","",IF(OR($C380="Decision",$C380="Conflict"),IF(COUNTIFS($I$2:$I$1001,$A380,$C$2:$C$1001,"Resolved")=0,"Open","Closed"),IF(AND($H380="Unconfirmed",OR($C380="New",$C380="Know")),IF(COUNTIFS($I$2:$I$1001,$A380,$C$2:$C$1001,"Confirmed")=0,"Unconfirmed","Confirmed"),"Logged")))</f>
        <v/>
      </c>
      <c r="L380" s="65" t="str">
        <f aca="false">IF($A380="","",AsOf-$B380)</f>
        <v/>
      </c>
      <c r="M380" s="65" t="str">
        <f aca="false">IF($K380="Open",IF($C380="Conflict","Critical",IF($L380&gt;=DecisionCritical,"Critical",IF($L380&gt;=DecisionWarn,"Warning","On track"))),IF($K380="Unconfirmed",IF($L380&gt;=UnconfirmedWarn,"Warning","On track"),""))</f>
        <v/>
      </c>
      <c r="N380" s="65" t="str">
        <f aca="false">IF($M380="","",IF($M380="Critical",3000,IF($M380="Warning",2000,1000))+$L380+ROW()/100000)</f>
        <v/>
      </c>
      <c r="O380" s="65" t="str">
        <f aca="false">IF($K380="Open",IF($C380="Conflict","decide "&amp;$A380&amp;": &lt;which version stands&gt;","decide "&amp;$A380&amp;": &lt;outcome&gt;"),IF($K380="Unconfirmed","confirm "&amp;$A380,""))</f>
        <v/>
      </c>
      <c r="P380" s="65" t="str">
        <f aca="false">IF(AND($C380="New",$B380&gt;=WeekStart),$B380+ROW()/100000,"")</f>
        <v/>
      </c>
      <c r="Q380" s="65" t="str">
        <f aca="false">IF(AND($C380="Know",$B380&gt;=WeekStart),$B380+ROW()/100000,"")</f>
        <v/>
      </c>
      <c r="R380" s="65" t="str">
        <f aca="false">IF(AND($K380="Open",$C380="Decision"),$L380+ROW()/100000,"")</f>
        <v/>
      </c>
      <c r="S380" s="65" t="str">
        <f aca="false">IF(AND($J380&lt;&gt;"",$J380=UCSel),$B380+ROW()/100000,"")</f>
        <v/>
      </c>
    </row>
    <row r="381" customFormat="false" ht="15" hidden="false" customHeight="false" outlineLevel="0" collapsed="false">
      <c r="A381" s="28"/>
      <c r="B381" s="63"/>
      <c r="C381" s="64"/>
      <c r="D381" s="28"/>
      <c r="E381" s="28"/>
      <c r="F381" s="28"/>
      <c r="G381" s="64"/>
      <c r="H381" s="64"/>
      <c r="I381" s="28"/>
      <c r="J381" s="28"/>
      <c r="K381" s="65" t="str">
        <f aca="false">IF($A381="","",IF(OR($C381="Decision",$C381="Conflict"),IF(COUNTIFS($I$2:$I$1001,$A381,$C$2:$C$1001,"Resolved")=0,"Open","Closed"),IF(AND($H381="Unconfirmed",OR($C381="New",$C381="Know")),IF(COUNTIFS($I$2:$I$1001,$A381,$C$2:$C$1001,"Confirmed")=0,"Unconfirmed","Confirmed"),"Logged")))</f>
        <v/>
      </c>
      <c r="L381" s="65" t="str">
        <f aca="false">IF($A381="","",AsOf-$B381)</f>
        <v/>
      </c>
      <c r="M381" s="65" t="str">
        <f aca="false">IF($K381="Open",IF($C381="Conflict","Critical",IF($L381&gt;=DecisionCritical,"Critical",IF($L381&gt;=DecisionWarn,"Warning","On track"))),IF($K381="Unconfirmed",IF($L381&gt;=UnconfirmedWarn,"Warning","On track"),""))</f>
        <v/>
      </c>
      <c r="N381" s="65" t="str">
        <f aca="false">IF($M381="","",IF($M381="Critical",3000,IF($M381="Warning",2000,1000))+$L381+ROW()/100000)</f>
        <v/>
      </c>
      <c r="O381" s="65" t="str">
        <f aca="false">IF($K381="Open",IF($C381="Conflict","decide "&amp;$A381&amp;": &lt;which version stands&gt;","decide "&amp;$A381&amp;": &lt;outcome&gt;"),IF($K381="Unconfirmed","confirm "&amp;$A381,""))</f>
        <v/>
      </c>
      <c r="P381" s="65" t="str">
        <f aca="false">IF(AND($C381="New",$B381&gt;=WeekStart),$B381+ROW()/100000,"")</f>
        <v/>
      </c>
      <c r="Q381" s="65" t="str">
        <f aca="false">IF(AND($C381="Know",$B381&gt;=WeekStart),$B381+ROW()/100000,"")</f>
        <v/>
      </c>
      <c r="R381" s="65" t="str">
        <f aca="false">IF(AND($K381="Open",$C381="Decision"),$L381+ROW()/100000,"")</f>
        <v/>
      </c>
      <c r="S381" s="65" t="str">
        <f aca="false">IF(AND($J381&lt;&gt;"",$J381=UCSel),$B381+ROW()/100000,"")</f>
        <v/>
      </c>
    </row>
    <row r="382" customFormat="false" ht="15" hidden="false" customHeight="false" outlineLevel="0" collapsed="false">
      <c r="A382" s="28"/>
      <c r="B382" s="63"/>
      <c r="C382" s="64"/>
      <c r="D382" s="28"/>
      <c r="E382" s="28"/>
      <c r="F382" s="28"/>
      <c r="G382" s="64"/>
      <c r="H382" s="64"/>
      <c r="I382" s="28"/>
      <c r="J382" s="28"/>
      <c r="K382" s="65" t="str">
        <f aca="false">IF($A382="","",IF(OR($C382="Decision",$C382="Conflict"),IF(COUNTIFS($I$2:$I$1001,$A382,$C$2:$C$1001,"Resolved")=0,"Open","Closed"),IF(AND($H382="Unconfirmed",OR($C382="New",$C382="Know")),IF(COUNTIFS($I$2:$I$1001,$A382,$C$2:$C$1001,"Confirmed")=0,"Unconfirmed","Confirmed"),"Logged")))</f>
        <v/>
      </c>
      <c r="L382" s="65" t="str">
        <f aca="false">IF($A382="","",AsOf-$B382)</f>
        <v/>
      </c>
      <c r="M382" s="65" t="str">
        <f aca="false">IF($K382="Open",IF($C382="Conflict","Critical",IF($L382&gt;=DecisionCritical,"Critical",IF($L382&gt;=DecisionWarn,"Warning","On track"))),IF($K382="Unconfirmed",IF($L382&gt;=UnconfirmedWarn,"Warning","On track"),""))</f>
        <v/>
      </c>
      <c r="N382" s="65" t="str">
        <f aca="false">IF($M382="","",IF($M382="Critical",3000,IF($M382="Warning",2000,1000))+$L382+ROW()/100000)</f>
        <v/>
      </c>
      <c r="O382" s="65" t="str">
        <f aca="false">IF($K382="Open",IF($C382="Conflict","decide "&amp;$A382&amp;": &lt;which version stands&gt;","decide "&amp;$A382&amp;": &lt;outcome&gt;"),IF($K382="Unconfirmed","confirm "&amp;$A382,""))</f>
        <v/>
      </c>
      <c r="P382" s="65" t="str">
        <f aca="false">IF(AND($C382="New",$B382&gt;=WeekStart),$B382+ROW()/100000,"")</f>
        <v/>
      </c>
      <c r="Q382" s="65" t="str">
        <f aca="false">IF(AND($C382="Know",$B382&gt;=WeekStart),$B382+ROW()/100000,"")</f>
        <v/>
      </c>
      <c r="R382" s="65" t="str">
        <f aca="false">IF(AND($K382="Open",$C382="Decision"),$L382+ROW()/100000,"")</f>
        <v/>
      </c>
      <c r="S382" s="65" t="str">
        <f aca="false">IF(AND($J382&lt;&gt;"",$J382=UCSel),$B382+ROW()/100000,"")</f>
        <v/>
      </c>
    </row>
    <row r="383" customFormat="false" ht="15" hidden="false" customHeight="false" outlineLevel="0" collapsed="false">
      <c r="A383" s="28"/>
      <c r="B383" s="63"/>
      <c r="C383" s="64"/>
      <c r="D383" s="28"/>
      <c r="E383" s="28"/>
      <c r="F383" s="28"/>
      <c r="G383" s="64"/>
      <c r="H383" s="64"/>
      <c r="I383" s="28"/>
      <c r="J383" s="28"/>
      <c r="K383" s="65" t="str">
        <f aca="false">IF($A383="","",IF(OR($C383="Decision",$C383="Conflict"),IF(COUNTIFS($I$2:$I$1001,$A383,$C$2:$C$1001,"Resolved")=0,"Open","Closed"),IF(AND($H383="Unconfirmed",OR($C383="New",$C383="Know")),IF(COUNTIFS($I$2:$I$1001,$A383,$C$2:$C$1001,"Confirmed")=0,"Unconfirmed","Confirmed"),"Logged")))</f>
        <v/>
      </c>
      <c r="L383" s="65" t="str">
        <f aca="false">IF($A383="","",AsOf-$B383)</f>
        <v/>
      </c>
      <c r="M383" s="65" t="str">
        <f aca="false">IF($K383="Open",IF($C383="Conflict","Critical",IF($L383&gt;=DecisionCritical,"Critical",IF($L383&gt;=DecisionWarn,"Warning","On track"))),IF($K383="Unconfirmed",IF($L383&gt;=UnconfirmedWarn,"Warning","On track"),""))</f>
        <v/>
      </c>
      <c r="N383" s="65" t="str">
        <f aca="false">IF($M383="","",IF($M383="Critical",3000,IF($M383="Warning",2000,1000))+$L383+ROW()/100000)</f>
        <v/>
      </c>
      <c r="O383" s="65" t="str">
        <f aca="false">IF($K383="Open",IF($C383="Conflict","decide "&amp;$A383&amp;": &lt;which version stands&gt;","decide "&amp;$A383&amp;": &lt;outcome&gt;"),IF($K383="Unconfirmed","confirm "&amp;$A383,""))</f>
        <v/>
      </c>
      <c r="P383" s="65" t="str">
        <f aca="false">IF(AND($C383="New",$B383&gt;=WeekStart),$B383+ROW()/100000,"")</f>
        <v/>
      </c>
      <c r="Q383" s="65" t="str">
        <f aca="false">IF(AND($C383="Know",$B383&gt;=WeekStart),$B383+ROW()/100000,"")</f>
        <v/>
      </c>
      <c r="R383" s="65" t="str">
        <f aca="false">IF(AND($K383="Open",$C383="Decision"),$L383+ROW()/100000,"")</f>
        <v/>
      </c>
      <c r="S383" s="65" t="str">
        <f aca="false">IF(AND($J383&lt;&gt;"",$J383=UCSel),$B383+ROW()/100000,"")</f>
        <v/>
      </c>
    </row>
    <row r="384" customFormat="false" ht="15" hidden="false" customHeight="false" outlineLevel="0" collapsed="false">
      <c r="A384" s="28"/>
      <c r="B384" s="63"/>
      <c r="C384" s="64"/>
      <c r="D384" s="28"/>
      <c r="E384" s="28"/>
      <c r="F384" s="28"/>
      <c r="G384" s="64"/>
      <c r="H384" s="64"/>
      <c r="I384" s="28"/>
      <c r="J384" s="28"/>
      <c r="K384" s="65" t="str">
        <f aca="false">IF($A384="","",IF(OR($C384="Decision",$C384="Conflict"),IF(COUNTIFS($I$2:$I$1001,$A384,$C$2:$C$1001,"Resolved")=0,"Open","Closed"),IF(AND($H384="Unconfirmed",OR($C384="New",$C384="Know")),IF(COUNTIFS($I$2:$I$1001,$A384,$C$2:$C$1001,"Confirmed")=0,"Unconfirmed","Confirmed"),"Logged")))</f>
        <v/>
      </c>
      <c r="L384" s="65" t="str">
        <f aca="false">IF($A384="","",AsOf-$B384)</f>
        <v/>
      </c>
      <c r="M384" s="65" t="str">
        <f aca="false">IF($K384="Open",IF($C384="Conflict","Critical",IF($L384&gt;=DecisionCritical,"Critical",IF($L384&gt;=DecisionWarn,"Warning","On track"))),IF($K384="Unconfirmed",IF($L384&gt;=UnconfirmedWarn,"Warning","On track"),""))</f>
        <v/>
      </c>
      <c r="N384" s="65" t="str">
        <f aca="false">IF($M384="","",IF($M384="Critical",3000,IF($M384="Warning",2000,1000))+$L384+ROW()/100000)</f>
        <v/>
      </c>
      <c r="O384" s="65" t="str">
        <f aca="false">IF($K384="Open",IF($C384="Conflict","decide "&amp;$A384&amp;": &lt;which version stands&gt;","decide "&amp;$A384&amp;": &lt;outcome&gt;"),IF($K384="Unconfirmed","confirm "&amp;$A384,""))</f>
        <v/>
      </c>
      <c r="P384" s="65" t="str">
        <f aca="false">IF(AND($C384="New",$B384&gt;=WeekStart),$B384+ROW()/100000,"")</f>
        <v/>
      </c>
      <c r="Q384" s="65" t="str">
        <f aca="false">IF(AND($C384="Know",$B384&gt;=WeekStart),$B384+ROW()/100000,"")</f>
        <v/>
      </c>
      <c r="R384" s="65" t="str">
        <f aca="false">IF(AND($K384="Open",$C384="Decision"),$L384+ROW()/100000,"")</f>
        <v/>
      </c>
      <c r="S384" s="65" t="str">
        <f aca="false">IF(AND($J384&lt;&gt;"",$J384=UCSel),$B384+ROW()/100000,"")</f>
        <v/>
      </c>
    </row>
    <row r="385" customFormat="false" ht="15" hidden="false" customHeight="false" outlineLevel="0" collapsed="false">
      <c r="A385" s="28"/>
      <c r="B385" s="63"/>
      <c r="C385" s="64"/>
      <c r="D385" s="28"/>
      <c r="E385" s="28"/>
      <c r="F385" s="28"/>
      <c r="G385" s="64"/>
      <c r="H385" s="64"/>
      <c r="I385" s="28"/>
      <c r="J385" s="28"/>
      <c r="K385" s="65" t="str">
        <f aca="false">IF($A385="","",IF(OR($C385="Decision",$C385="Conflict"),IF(COUNTIFS($I$2:$I$1001,$A385,$C$2:$C$1001,"Resolved")=0,"Open","Closed"),IF(AND($H385="Unconfirmed",OR($C385="New",$C385="Know")),IF(COUNTIFS($I$2:$I$1001,$A385,$C$2:$C$1001,"Confirmed")=0,"Unconfirmed","Confirmed"),"Logged")))</f>
        <v/>
      </c>
      <c r="L385" s="65" t="str">
        <f aca="false">IF($A385="","",AsOf-$B385)</f>
        <v/>
      </c>
      <c r="M385" s="65" t="str">
        <f aca="false">IF($K385="Open",IF($C385="Conflict","Critical",IF($L385&gt;=DecisionCritical,"Critical",IF($L385&gt;=DecisionWarn,"Warning","On track"))),IF($K385="Unconfirmed",IF($L385&gt;=UnconfirmedWarn,"Warning","On track"),""))</f>
        <v/>
      </c>
      <c r="N385" s="65" t="str">
        <f aca="false">IF($M385="","",IF($M385="Critical",3000,IF($M385="Warning",2000,1000))+$L385+ROW()/100000)</f>
        <v/>
      </c>
      <c r="O385" s="65" t="str">
        <f aca="false">IF($K385="Open",IF($C385="Conflict","decide "&amp;$A385&amp;": &lt;which version stands&gt;","decide "&amp;$A385&amp;": &lt;outcome&gt;"),IF($K385="Unconfirmed","confirm "&amp;$A385,""))</f>
        <v/>
      </c>
      <c r="P385" s="65" t="str">
        <f aca="false">IF(AND($C385="New",$B385&gt;=WeekStart),$B385+ROW()/100000,"")</f>
        <v/>
      </c>
      <c r="Q385" s="65" t="str">
        <f aca="false">IF(AND($C385="Know",$B385&gt;=WeekStart),$B385+ROW()/100000,"")</f>
        <v/>
      </c>
      <c r="R385" s="65" t="str">
        <f aca="false">IF(AND($K385="Open",$C385="Decision"),$L385+ROW()/100000,"")</f>
        <v/>
      </c>
      <c r="S385" s="65" t="str">
        <f aca="false">IF(AND($J385&lt;&gt;"",$J385=UCSel),$B385+ROW()/100000,"")</f>
        <v/>
      </c>
    </row>
    <row r="386" customFormat="false" ht="15" hidden="false" customHeight="false" outlineLevel="0" collapsed="false">
      <c r="A386" s="28"/>
      <c r="B386" s="63"/>
      <c r="C386" s="64"/>
      <c r="D386" s="28"/>
      <c r="E386" s="28"/>
      <c r="F386" s="28"/>
      <c r="G386" s="64"/>
      <c r="H386" s="64"/>
      <c r="I386" s="28"/>
      <c r="J386" s="28"/>
      <c r="K386" s="65" t="str">
        <f aca="false">IF($A386="","",IF(OR($C386="Decision",$C386="Conflict"),IF(COUNTIFS($I$2:$I$1001,$A386,$C$2:$C$1001,"Resolved")=0,"Open","Closed"),IF(AND($H386="Unconfirmed",OR($C386="New",$C386="Know")),IF(COUNTIFS($I$2:$I$1001,$A386,$C$2:$C$1001,"Confirmed")=0,"Unconfirmed","Confirmed"),"Logged")))</f>
        <v/>
      </c>
      <c r="L386" s="65" t="str">
        <f aca="false">IF($A386="","",AsOf-$B386)</f>
        <v/>
      </c>
      <c r="M386" s="65" t="str">
        <f aca="false">IF($K386="Open",IF($C386="Conflict","Critical",IF($L386&gt;=DecisionCritical,"Critical",IF($L386&gt;=DecisionWarn,"Warning","On track"))),IF($K386="Unconfirmed",IF($L386&gt;=UnconfirmedWarn,"Warning","On track"),""))</f>
        <v/>
      </c>
      <c r="N386" s="65" t="str">
        <f aca="false">IF($M386="","",IF($M386="Critical",3000,IF($M386="Warning",2000,1000))+$L386+ROW()/100000)</f>
        <v/>
      </c>
      <c r="O386" s="65" t="str">
        <f aca="false">IF($K386="Open",IF($C386="Conflict","decide "&amp;$A386&amp;": &lt;which version stands&gt;","decide "&amp;$A386&amp;": &lt;outcome&gt;"),IF($K386="Unconfirmed","confirm "&amp;$A386,""))</f>
        <v/>
      </c>
      <c r="P386" s="65" t="str">
        <f aca="false">IF(AND($C386="New",$B386&gt;=WeekStart),$B386+ROW()/100000,"")</f>
        <v/>
      </c>
      <c r="Q386" s="65" t="str">
        <f aca="false">IF(AND($C386="Know",$B386&gt;=WeekStart),$B386+ROW()/100000,"")</f>
        <v/>
      </c>
      <c r="R386" s="65" t="str">
        <f aca="false">IF(AND($K386="Open",$C386="Decision"),$L386+ROW()/100000,"")</f>
        <v/>
      </c>
      <c r="S386" s="65" t="str">
        <f aca="false">IF(AND($J386&lt;&gt;"",$J386=UCSel),$B386+ROW()/100000,"")</f>
        <v/>
      </c>
    </row>
    <row r="387" customFormat="false" ht="15" hidden="false" customHeight="false" outlineLevel="0" collapsed="false">
      <c r="A387" s="28"/>
      <c r="B387" s="63"/>
      <c r="C387" s="64"/>
      <c r="D387" s="28"/>
      <c r="E387" s="28"/>
      <c r="F387" s="28"/>
      <c r="G387" s="64"/>
      <c r="H387" s="64"/>
      <c r="I387" s="28"/>
      <c r="J387" s="28"/>
      <c r="K387" s="65" t="str">
        <f aca="false">IF($A387="","",IF(OR($C387="Decision",$C387="Conflict"),IF(COUNTIFS($I$2:$I$1001,$A387,$C$2:$C$1001,"Resolved")=0,"Open","Closed"),IF(AND($H387="Unconfirmed",OR($C387="New",$C387="Know")),IF(COUNTIFS($I$2:$I$1001,$A387,$C$2:$C$1001,"Confirmed")=0,"Unconfirmed","Confirmed"),"Logged")))</f>
        <v/>
      </c>
      <c r="L387" s="65" t="str">
        <f aca="false">IF($A387="","",AsOf-$B387)</f>
        <v/>
      </c>
      <c r="M387" s="65" t="str">
        <f aca="false">IF($K387="Open",IF($C387="Conflict","Critical",IF($L387&gt;=DecisionCritical,"Critical",IF($L387&gt;=DecisionWarn,"Warning","On track"))),IF($K387="Unconfirmed",IF($L387&gt;=UnconfirmedWarn,"Warning","On track"),""))</f>
        <v/>
      </c>
      <c r="N387" s="65" t="str">
        <f aca="false">IF($M387="","",IF($M387="Critical",3000,IF($M387="Warning",2000,1000))+$L387+ROW()/100000)</f>
        <v/>
      </c>
      <c r="O387" s="65" t="str">
        <f aca="false">IF($K387="Open",IF($C387="Conflict","decide "&amp;$A387&amp;": &lt;which version stands&gt;","decide "&amp;$A387&amp;": &lt;outcome&gt;"),IF($K387="Unconfirmed","confirm "&amp;$A387,""))</f>
        <v/>
      </c>
      <c r="P387" s="65" t="str">
        <f aca="false">IF(AND($C387="New",$B387&gt;=WeekStart),$B387+ROW()/100000,"")</f>
        <v/>
      </c>
      <c r="Q387" s="65" t="str">
        <f aca="false">IF(AND($C387="Know",$B387&gt;=WeekStart),$B387+ROW()/100000,"")</f>
        <v/>
      </c>
      <c r="R387" s="65" t="str">
        <f aca="false">IF(AND($K387="Open",$C387="Decision"),$L387+ROW()/100000,"")</f>
        <v/>
      </c>
      <c r="S387" s="65" t="str">
        <f aca="false">IF(AND($J387&lt;&gt;"",$J387=UCSel),$B387+ROW()/100000,"")</f>
        <v/>
      </c>
    </row>
    <row r="388" customFormat="false" ht="15" hidden="false" customHeight="false" outlineLevel="0" collapsed="false">
      <c r="A388" s="28"/>
      <c r="B388" s="63"/>
      <c r="C388" s="64"/>
      <c r="D388" s="28"/>
      <c r="E388" s="28"/>
      <c r="F388" s="28"/>
      <c r="G388" s="64"/>
      <c r="H388" s="64"/>
      <c r="I388" s="28"/>
      <c r="J388" s="28"/>
      <c r="K388" s="65" t="str">
        <f aca="false">IF($A388="","",IF(OR($C388="Decision",$C388="Conflict"),IF(COUNTIFS($I$2:$I$1001,$A388,$C$2:$C$1001,"Resolved")=0,"Open","Closed"),IF(AND($H388="Unconfirmed",OR($C388="New",$C388="Know")),IF(COUNTIFS($I$2:$I$1001,$A388,$C$2:$C$1001,"Confirmed")=0,"Unconfirmed","Confirmed"),"Logged")))</f>
        <v/>
      </c>
      <c r="L388" s="65" t="str">
        <f aca="false">IF($A388="","",AsOf-$B388)</f>
        <v/>
      </c>
      <c r="M388" s="65" t="str">
        <f aca="false">IF($K388="Open",IF($C388="Conflict","Critical",IF($L388&gt;=DecisionCritical,"Critical",IF($L388&gt;=DecisionWarn,"Warning","On track"))),IF($K388="Unconfirmed",IF($L388&gt;=UnconfirmedWarn,"Warning","On track"),""))</f>
        <v/>
      </c>
      <c r="N388" s="65" t="str">
        <f aca="false">IF($M388="","",IF($M388="Critical",3000,IF($M388="Warning",2000,1000))+$L388+ROW()/100000)</f>
        <v/>
      </c>
      <c r="O388" s="65" t="str">
        <f aca="false">IF($K388="Open",IF($C388="Conflict","decide "&amp;$A388&amp;": &lt;which version stands&gt;","decide "&amp;$A388&amp;": &lt;outcome&gt;"),IF($K388="Unconfirmed","confirm "&amp;$A388,""))</f>
        <v/>
      </c>
      <c r="P388" s="65" t="str">
        <f aca="false">IF(AND($C388="New",$B388&gt;=WeekStart),$B388+ROW()/100000,"")</f>
        <v/>
      </c>
      <c r="Q388" s="65" t="str">
        <f aca="false">IF(AND($C388="Know",$B388&gt;=WeekStart),$B388+ROW()/100000,"")</f>
        <v/>
      </c>
      <c r="R388" s="65" t="str">
        <f aca="false">IF(AND($K388="Open",$C388="Decision"),$L388+ROW()/100000,"")</f>
        <v/>
      </c>
      <c r="S388" s="65" t="str">
        <f aca="false">IF(AND($J388&lt;&gt;"",$J388=UCSel),$B388+ROW()/100000,"")</f>
        <v/>
      </c>
    </row>
    <row r="389" customFormat="false" ht="15" hidden="false" customHeight="false" outlineLevel="0" collapsed="false">
      <c r="A389" s="28"/>
      <c r="B389" s="63"/>
      <c r="C389" s="64"/>
      <c r="D389" s="28"/>
      <c r="E389" s="28"/>
      <c r="F389" s="28"/>
      <c r="G389" s="64"/>
      <c r="H389" s="64"/>
      <c r="I389" s="28"/>
      <c r="J389" s="28"/>
      <c r="K389" s="65" t="str">
        <f aca="false">IF($A389="","",IF(OR($C389="Decision",$C389="Conflict"),IF(COUNTIFS($I$2:$I$1001,$A389,$C$2:$C$1001,"Resolved")=0,"Open","Closed"),IF(AND($H389="Unconfirmed",OR($C389="New",$C389="Know")),IF(COUNTIFS($I$2:$I$1001,$A389,$C$2:$C$1001,"Confirmed")=0,"Unconfirmed","Confirmed"),"Logged")))</f>
        <v/>
      </c>
      <c r="L389" s="65" t="str">
        <f aca="false">IF($A389="","",AsOf-$B389)</f>
        <v/>
      </c>
      <c r="M389" s="65" t="str">
        <f aca="false">IF($K389="Open",IF($C389="Conflict","Critical",IF($L389&gt;=DecisionCritical,"Critical",IF($L389&gt;=DecisionWarn,"Warning","On track"))),IF($K389="Unconfirmed",IF($L389&gt;=UnconfirmedWarn,"Warning","On track"),""))</f>
        <v/>
      </c>
      <c r="N389" s="65" t="str">
        <f aca="false">IF($M389="","",IF($M389="Critical",3000,IF($M389="Warning",2000,1000))+$L389+ROW()/100000)</f>
        <v/>
      </c>
      <c r="O389" s="65" t="str">
        <f aca="false">IF($K389="Open",IF($C389="Conflict","decide "&amp;$A389&amp;": &lt;which version stands&gt;","decide "&amp;$A389&amp;": &lt;outcome&gt;"),IF($K389="Unconfirmed","confirm "&amp;$A389,""))</f>
        <v/>
      </c>
      <c r="P389" s="65" t="str">
        <f aca="false">IF(AND($C389="New",$B389&gt;=WeekStart),$B389+ROW()/100000,"")</f>
        <v/>
      </c>
      <c r="Q389" s="65" t="str">
        <f aca="false">IF(AND($C389="Know",$B389&gt;=WeekStart),$B389+ROW()/100000,"")</f>
        <v/>
      </c>
      <c r="R389" s="65" t="str">
        <f aca="false">IF(AND($K389="Open",$C389="Decision"),$L389+ROW()/100000,"")</f>
        <v/>
      </c>
      <c r="S389" s="65" t="str">
        <f aca="false">IF(AND($J389&lt;&gt;"",$J389=UCSel),$B389+ROW()/100000,"")</f>
        <v/>
      </c>
    </row>
    <row r="390" customFormat="false" ht="15" hidden="false" customHeight="false" outlineLevel="0" collapsed="false">
      <c r="A390" s="28"/>
      <c r="B390" s="63"/>
      <c r="C390" s="64"/>
      <c r="D390" s="28"/>
      <c r="E390" s="28"/>
      <c r="F390" s="28"/>
      <c r="G390" s="64"/>
      <c r="H390" s="64"/>
      <c r="I390" s="28"/>
      <c r="J390" s="28"/>
      <c r="K390" s="65" t="str">
        <f aca="false">IF($A390="","",IF(OR($C390="Decision",$C390="Conflict"),IF(COUNTIFS($I$2:$I$1001,$A390,$C$2:$C$1001,"Resolved")=0,"Open","Closed"),IF(AND($H390="Unconfirmed",OR($C390="New",$C390="Know")),IF(COUNTIFS($I$2:$I$1001,$A390,$C$2:$C$1001,"Confirmed")=0,"Unconfirmed","Confirmed"),"Logged")))</f>
        <v/>
      </c>
      <c r="L390" s="65" t="str">
        <f aca="false">IF($A390="","",AsOf-$B390)</f>
        <v/>
      </c>
      <c r="M390" s="65" t="str">
        <f aca="false">IF($K390="Open",IF($C390="Conflict","Critical",IF($L390&gt;=DecisionCritical,"Critical",IF($L390&gt;=DecisionWarn,"Warning","On track"))),IF($K390="Unconfirmed",IF($L390&gt;=UnconfirmedWarn,"Warning","On track"),""))</f>
        <v/>
      </c>
      <c r="N390" s="65" t="str">
        <f aca="false">IF($M390="","",IF($M390="Critical",3000,IF($M390="Warning",2000,1000))+$L390+ROW()/100000)</f>
        <v/>
      </c>
      <c r="O390" s="65" t="str">
        <f aca="false">IF($K390="Open",IF($C390="Conflict","decide "&amp;$A390&amp;": &lt;which version stands&gt;","decide "&amp;$A390&amp;": &lt;outcome&gt;"),IF($K390="Unconfirmed","confirm "&amp;$A390,""))</f>
        <v/>
      </c>
      <c r="P390" s="65" t="str">
        <f aca="false">IF(AND($C390="New",$B390&gt;=WeekStart),$B390+ROW()/100000,"")</f>
        <v/>
      </c>
      <c r="Q390" s="65" t="str">
        <f aca="false">IF(AND($C390="Know",$B390&gt;=WeekStart),$B390+ROW()/100000,"")</f>
        <v/>
      </c>
      <c r="R390" s="65" t="str">
        <f aca="false">IF(AND($K390="Open",$C390="Decision"),$L390+ROW()/100000,"")</f>
        <v/>
      </c>
      <c r="S390" s="65" t="str">
        <f aca="false">IF(AND($J390&lt;&gt;"",$J390=UCSel),$B390+ROW()/100000,"")</f>
        <v/>
      </c>
    </row>
    <row r="391" customFormat="false" ht="15" hidden="false" customHeight="false" outlineLevel="0" collapsed="false">
      <c r="A391" s="28"/>
      <c r="B391" s="63"/>
      <c r="C391" s="64"/>
      <c r="D391" s="28"/>
      <c r="E391" s="28"/>
      <c r="F391" s="28"/>
      <c r="G391" s="64"/>
      <c r="H391" s="64"/>
      <c r="I391" s="28"/>
      <c r="J391" s="28"/>
      <c r="K391" s="65" t="str">
        <f aca="false">IF($A391="","",IF(OR($C391="Decision",$C391="Conflict"),IF(COUNTIFS($I$2:$I$1001,$A391,$C$2:$C$1001,"Resolved")=0,"Open","Closed"),IF(AND($H391="Unconfirmed",OR($C391="New",$C391="Know")),IF(COUNTIFS($I$2:$I$1001,$A391,$C$2:$C$1001,"Confirmed")=0,"Unconfirmed","Confirmed"),"Logged")))</f>
        <v/>
      </c>
      <c r="L391" s="65" t="str">
        <f aca="false">IF($A391="","",AsOf-$B391)</f>
        <v/>
      </c>
      <c r="M391" s="65" t="str">
        <f aca="false">IF($K391="Open",IF($C391="Conflict","Critical",IF($L391&gt;=DecisionCritical,"Critical",IF($L391&gt;=DecisionWarn,"Warning","On track"))),IF($K391="Unconfirmed",IF($L391&gt;=UnconfirmedWarn,"Warning","On track"),""))</f>
        <v/>
      </c>
      <c r="N391" s="65" t="str">
        <f aca="false">IF($M391="","",IF($M391="Critical",3000,IF($M391="Warning",2000,1000))+$L391+ROW()/100000)</f>
        <v/>
      </c>
      <c r="O391" s="65" t="str">
        <f aca="false">IF($K391="Open",IF($C391="Conflict","decide "&amp;$A391&amp;": &lt;which version stands&gt;","decide "&amp;$A391&amp;": &lt;outcome&gt;"),IF($K391="Unconfirmed","confirm "&amp;$A391,""))</f>
        <v/>
      </c>
      <c r="P391" s="65" t="str">
        <f aca="false">IF(AND($C391="New",$B391&gt;=WeekStart),$B391+ROW()/100000,"")</f>
        <v/>
      </c>
      <c r="Q391" s="65" t="str">
        <f aca="false">IF(AND($C391="Know",$B391&gt;=WeekStart),$B391+ROW()/100000,"")</f>
        <v/>
      </c>
      <c r="R391" s="65" t="str">
        <f aca="false">IF(AND($K391="Open",$C391="Decision"),$L391+ROW()/100000,"")</f>
        <v/>
      </c>
      <c r="S391" s="65" t="str">
        <f aca="false">IF(AND($J391&lt;&gt;"",$J391=UCSel),$B391+ROW()/100000,"")</f>
        <v/>
      </c>
    </row>
    <row r="392" customFormat="false" ht="15" hidden="false" customHeight="false" outlineLevel="0" collapsed="false">
      <c r="A392" s="28"/>
      <c r="B392" s="63"/>
      <c r="C392" s="64"/>
      <c r="D392" s="28"/>
      <c r="E392" s="28"/>
      <c r="F392" s="28"/>
      <c r="G392" s="64"/>
      <c r="H392" s="64"/>
      <c r="I392" s="28"/>
      <c r="J392" s="28"/>
      <c r="K392" s="65" t="str">
        <f aca="false">IF($A392="","",IF(OR($C392="Decision",$C392="Conflict"),IF(COUNTIFS($I$2:$I$1001,$A392,$C$2:$C$1001,"Resolved")=0,"Open","Closed"),IF(AND($H392="Unconfirmed",OR($C392="New",$C392="Know")),IF(COUNTIFS($I$2:$I$1001,$A392,$C$2:$C$1001,"Confirmed")=0,"Unconfirmed","Confirmed"),"Logged")))</f>
        <v/>
      </c>
      <c r="L392" s="65" t="str">
        <f aca="false">IF($A392="","",AsOf-$B392)</f>
        <v/>
      </c>
      <c r="M392" s="65" t="str">
        <f aca="false">IF($K392="Open",IF($C392="Conflict","Critical",IF($L392&gt;=DecisionCritical,"Critical",IF($L392&gt;=DecisionWarn,"Warning","On track"))),IF($K392="Unconfirmed",IF($L392&gt;=UnconfirmedWarn,"Warning","On track"),""))</f>
        <v/>
      </c>
      <c r="N392" s="65" t="str">
        <f aca="false">IF($M392="","",IF($M392="Critical",3000,IF($M392="Warning",2000,1000))+$L392+ROW()/100000)</f>
        <v/>
      </c>
      <c r="O392" s="65" t="str">
        <f aca="false">IF($K392="Open",IF($C392="Conflict","decide "&amp;$A392&amp;": &lt;which version stands&gt;","decide "&amp;$A392&amp;": &lt;outcome&gt;"),IF($K392="Unconfirmed","confirm "&amp;$A392,""))</f>
        <v/>
      </c>
      <c r="P392" s="65" t="str">
        <f aca="false">IF(AND($C392="New",$B392&gt;=WeekStart),$B392+ROW()/100000,"")</f>
        <v/>
      </c>
      <c r="Q392" s="65" t="str">
        <f aca="false">IF(AND($C392="Know",$B392&gt;=WeekStart),$B392+ROW()/100000,"")</f>
        <v/>
      </c>
      <c r="R392" s="65" t="str">
        <f aca="false">IF(AND($K392="Open",$C392="Decision"),$L392+ROW()/100000,"")</f>
        <v/>
      </c>
      <c r="S392" s="65" t="str">
        <f aca="false">IF(AND($J392&lt;&gt;"",$J392=UCSel),$B392+ROW()/100000,"")</f>
        <v/>
      </c>
    </row>
    <row r="393" customFormat="false" ht="15" hidden="false" customHeight="false" outlineLevel="0" collapsed="false">
      <c r="A393" s="28"/>
      <c r="B393" s="63"/>
      <c r="C393" s="64"/>
      <c r="D393" s="28"/>
      <c r="E393" s="28"/>
      <c r="F393" s="28"/>
      <c r="G393" s="64"/>
      <c r="H393" s="64"/>
      <c r="I393" s="28"/>
      <c r="J393" s="28"/>
      <c r="K393" s="65" t="str">
        <f aca="false">IF($A393="","",IF(OR($C393="Decision",$C393="Conflict"),IF(COUNTIFS($I$2:$I$1001,$A393,$C$2:$C$1001,"Resolved")=0,"Open","Closed"),IF(AND($H393="Unconfirmed",OR($C393="New",$C393="Know")),IF(COUNTIFS($I$2:$I$1001,$A393,$C$2:$C$1001,"Confirmed")=0,"Unconfirmed","Confirmed"),"Logged")))</f>
        <v/>
      </c>
      <c r="L393" s="65" t="str">
        <f aca="false">IF($A393="","",AsOf-$B393)</f>
        <v/>
      </c>
      <c r="M393" s="65" t="str">
        <f aca="false">IF($K393="Open",IF($C393="Conflict","Critical",IF($L393&gt;=DecisionCritical,"Critical",IF($L393&gt;=DecisionWarn,"Warning","On track"))),IF($K393="Unconfirmed",IF($L393&gt;=UnconfirmedWarn,"Warning","On track"),""))</f>
        <v/>
      </c>
      <c r="N393" s="65" t="str">
        <f aca="false">IF($M393="","",IF($M393="Critical",3000,IF($M393="Warning",2000,1000))+$L393+ROW()/100000)</f>
        <v/>
      </c>
      <c r="O393" s="65" t="str">
        <f aca="false">IF($K393="Open",IF($C393="Conflict","decide "&amp;$A393&amp;": &lt;which version stands&gt;","decide "&amp;$A393&amp;": &lt;outcome&gt;"),IF($K393="Unconfirmed","confirm "&amp;$A393,""))</f>
        <v/>
      </c>
      <c r="P393" s="65" t="str">
        <f aca="false">IF(AND($C393="New",$B393&gt;=WeekStart),$B393+ROW()/100000,"")</f>
        <v/>
      </c>
      <c r="Q393" s="65" t="str">
        <f aca="false">IF(AND($C393="Know",$B393&gt;=WeekStart),$B393+ROW()/100000,"")</f>
        <v/>
      </c>
      <c r="R393" s="65" t="str">
        <f aca="false">IF(AND($K393="Open",$C393="Decision"),$L393+ROW()/100000,"")</f>
        <v/>
      </c>
      <c r="S393" s="65" t="str">
        <f aca="false">IF(AND($J393&lt;&gt;"",$J393=UCSel),$B393+ROW()/100000,"")</f>
        <v/>
      </c>
    </row>
    <row r="394" customFormat="false" ht="15" hidden="false" customHeight="false" outlineLevel="0" collapsed="false">
      <c r="A394" s="28"/>
      <c r="B394" s="63"/>
      <c r="C394" s="64"/>
      <c r="D394" s="28"/>
      <c r="E394" s="28"/>
      <c r="F394" s="28"/>
      <c r="G394" s="64"/>
      <c r="H394" s="64"/>
      <c r="I394" s="28"/>
      <c r="J394" s="28"/>
      <c r="K394" s="65" t="str">
        <f aca="false">IF($A394="","",IF(OR($C394="Decision",$C394="Conflict"),IF(COUNTIFS($I$2:$I$1001,$A394,$C$2:$C$1001,"Resolved")=0,"Open","Closed"),IF(AND($H394="Unconfirmed",OR($C394="New",$C394="Know")),IF(COUNTIFS($I$2:$I$1001,$A394,$C$2:$C$1001,"Confirmed")=0,"Unconfirmed","Confirmed"),"Logged")))</f>
        <v/>
      </c>
      <c r="L394" s="65" t="str">
        <f aca="false">IF($A394="","",AsOf-$B394)</f>
        <v/>
      </c>
      <c r="M394" s="65" t="str">
        <f aca="false">IF($K394="Open",IF($C394="Conflict","Critical",IF($L394&gt;=DecisionCritical,"Critical",IF($L394&gt;=DecisionWarn,"Warning","On track"))),IF($K394="Unconfirmed",IF($L394&gt;=UnconfirmedWarn,"Warning","On track"),""))</f>
        <v/>
      </c>
      <c r="N394" s="65" t="str">
        <f aca="false">IF($M394="","",IF($M394="Critical",3000,IF($M394="Warning",2000,1000))+$L394+ROW()/100000)</f>
        <v/>
      </c>
      <c r="O394" s="65" t="str">
        <f aca="false">IF($K394="Open",IF($C394="Conflict","decide "&amp;$A394&amp;": &lt;which version stands&gt;","decide "&amp;$A394&amp;": &lt;outcome&gt;"),IF($K394="Unconfirmed","confirm "&amp;$A394,""))</f>
        <v/>
      </c>
      <c r="P394" s="65" t="str">
        <f aca="false">IF(AND($C394="New",$B394&gt;=WeekStart),$B394+ROW()/100000,"")</f>
        <v/>
      </c>
      <c r="Q394" s="65" t="str">
        <f aca="false">IF(AND($C394="Know",$B394&gt;=WeekStart),$B394+ROW()/100000,"")</f>
        <v/>
      </c>
      <c r="R394" s="65" t="str">
        <f aca="false">IF(AND($K394="Open",$C394="Decision"),$L394+ROW()/100000,"")</f>
        <v/>
      </c>
      <c r="S394" s="65" t="str">
        <f aca="false">IF(AND($J394&lt;&gt;"",$J394=UCSel),$B394+ROW()/100000,"")</f>
        <v/>
      </c>
    </row>
    <row r="395" customFormat="false" ht="15" hidden="false" customHeight="false" outlineLevel="0" collapsed="false">
      <c r="A395" s="28"/>
      <c r="B395" s="63"/>
      <c r="C395" s="64"/>
      <c r="D395" s="28"/>
      <c r="E395" s="28"/>
      <c r="F395" s="28"/>
      <c r="G395" s="64"/>
      <c r="H395" s="64"/>
      <c r="I395" s="28"/>
      <c r="J395" s="28"/>
      <c r="K395" s="65" t="str">
        <f aca="false">IF($A395="","",IF(OR($C395="Decision",$C395="Conflict"),IF(COUNTIFS($I$2:$I$1001,$A395,$C$2:$C$1001,"Resolved")=0,"Open","Closed"),IF(AND($H395="Unconfirmed",OR($C395="New",$C395="Know")),IF(COUNTIFS($I$2:$I$1001,$A395,$C$2:$C$1001,"Confirmed")=0,"Unconfirmed","Confirmed"),"Logged")))</f>
        <v/>
      </c>
      <c r="L395" s="65" t="str">
        <f aca="false">IF($A395="","",AsOf-$B395)</f>
        <v/>
      </c>
      <c r="M395" s="65" t="str">
        <f aca="false">IF($K395="Open",IF($C395="Conflict","Critical",IF($L395&gt;=DecisionCritical,"Critical",IF($L395&gt;=DecisionWarn,"Warning","On track"))),IF($K395="Unconfirmed",IF($L395&gt;=UnconfirmedWarn,"Warning","On track"),""))</f>
        <v/>
      </c>
      <c r="N395" s="65" t="str">
        <f aca="false">IF($M395="","",IF($M395="Critical",3000,IF($M395="Warning",2000,1000))+$L395+ROW()/100000)</f>
        <v/>
      </c>
      <c r="O395" s="65" t="str">
        <f aca="false">IF($K395="Open",IF($C395="Conflict","decide "&amp;$A395&amp;": &lt;which version stands&gt;","decide "&amp;$A395&amp;": &lt;outcome&gt;"),IF($K395="Unconfirmed","confirm "&amp;$A395,""))</f>
        <v/>
      </c>
      <c r="P395" s="65" t="str">
        <f aca="false">IF(AND($C395="New",$B395&gt;=WeekStart),$B395+ROW()/100000,"")</f>
        <v/>
      </c>
      <c r="Q395" s="65" t="str">
        <f aca="false">IF(AND($C395="Know",$B395&gt;=WeekStart),$B395+ROW()/100000,"")</f>
        <v/>
      </c>
      <c r="R395" s="65" t="str">
        <f aca="false">IF(AND($K395="Open",$C395="Decision"),$L395+ROW()/100000,"")</f>
        <v/>
      </c>
      <c r="S395" s="65" t="str">
        <f aca="false">IF(AND($J395&lt;&gt;"",$J395=UCSel),$B395+ROW()/100000,"")</f>
        <v/>
      </c>
    </row>
    <row r="396" customFormat="false" ht="15" hidden="false" customHeight="false" outlineLevel="0" collapsed="false">
      <c r="A396" s="28"/>
      <c r="B396" s="63"/>
      <c r="C396" s="64"/>
      <c r="D396" s="28"/>
      <c r="E396" s="28"/>
      <c r="F396" s="28"/>
      <c r="G396" s="64"/>
      <c r="H396" s="64"/>
      <c r="I396" s="28"/>
      <c r="J396" s="28"/>
      <c r="K396" s="65" t="str">
        <f aca="false">IF($A396="","",IF(OR($C396="Decision",$C396="Conflict"),IF(COUNTIFS($I$2:$I$1001,$A396,$C$2:$C$1001,"Resolved")=0,"Open","Closed"),IF(AND($H396="Unconfirmed",OR($C396="New",$C396="Know")),IF(COUNTIFS($I$2:$I$1001,$A396,$C$2:$C$1001,"Confirmed")=0,"Unconfirmed","Confirmed"),"Logged")))</f>
        <v/>
      </c>
      <c r="L396" s="65" t="str">
        <f aca="false">IF($A396="","",AsOf-$B396)</f>
        <v/>
      </c>
      <c r="M396" s="65" t="str">
        <f aca="false">IF($K396="Open",IF($C396="Conflict","Critical",IF($L396&gt;=DecisionCritical,"Critical",IF($L396&gt;=DecisionWarn,"Warning","On track"))),IF($K396="Unconfirmed",IF($L396&gt;=UnconfirmedWarn,"Warning","On track"),""))</f>
        <v/>
      </c>
      <c r="N396" s="65" t="str">
        <f aca="false">IF($M396="","",IF($M396="Critical",3000,IF($M396="Warning",2000,1000))+$L396+ROW()/100000)</f>
        <v/>
      </c>
      <c r="O396" s="65" t="str">
        <f aca="false">IF($K396="Open",IF($C396="Conflict","decide "&amp;$A396&amp;": &lt;which version stands&gt;","decide "&amp;$A396&amp;": &lt;outcome&gt;"),IF($K396="Unconfirmed","confirm "&amp;$A396,""))</f>
        <v/>
      </c>
      <c r="P396" s="65" t="str">
        <f aca="false">IF(AND($C396="New",$B396&gt;=WeekStart),$B396+ROW()/100000,"")</f>
        <v/>
      </c>
      <c r="Q396" s="65" t="str">
        <f aca="false">IF(AND($C396="Know",$B396&gt;=WeekStart),$B396+ROW()/100000,"")</f>
        <v/>
      </c>
      <c r="R396" s="65" t="str">
        <f aca="false">IF(AND($K396="Open",$C396="Decision"),$L396+ROW()/100000,"")</f>
        <v/>
      </c>
      <c r="S396" s="65" t="str">
        <f aca="false">IF(AND($J396&lt;&gt;"",$J396=UCSel),$B396+ROW()/100000,"")</f>
        <v/>
      </c>
    </row>
    <row r="397" customFormat="false" ht="15" hidden="false" customHeight="false" outlineLevel="0" collapsed="false">
      <c r="A397" s="28"/>
      <c r="B397" s="63"/>
      <c r="C397" s="64"/>
      <c r="D397" s="28"/>
      <c r="E397" s="28"/>
      <c r="F397" s="28"/>
      <c r="G397" s="64"/>
      <c r="H397" s="64"/>
      <c r="I397" s="28"/>
      <c r="J397" s="28"/>
      <c r="K397" s="65" t="str">
        <f aca="false">IF($A397="","",IF(OR($C397="Decision",$C397="Conflict"),IF(COUNTIFS($I$2:$I$1001,$A397,$C$2:$C$1001,"Resolved")=0,"Open","Closed"),IF(AND($H397="Unconfirmed",OR($C397="New",$C397="Know")),IF(COUNTIFS($I$2:$I$1001,$A397,$C$2:$C$1001,"Confirmed")=0,"Unconfirmed","Confirmed"),"Logged")))</f>
        <v/>
      </c>
      <c r="L397" s="65" t="str">
        <f aca="false">IF($A397="","",AsOf-$B397)</f>
        <v/>
      </c>
      <c r="M397" s="65" t="str">
        <f aca="false">IF($K397="Open",IF($C397="Conflict","Critical",IF($L397&gt;=DecisionCritical,"Critical",IF($L397&gt;=DecisionWarn,"Warning","On track"))),IF($K397="Unconfirmed",IF($L397&gt;=UnconfirmedWarn,"Warning","On track"),""))</f>
        <v/>
      </c>
      <c r="N397" s="65" t="str">
        <f aca="false">IF($M397="","",IF($M397="Critical",3000,IF($M397="Warning",2000,1000))+$L397+ROW()/100000)</f>
        <v/>
      </c>
      <c r="O397" s="65" t="str">
        <f aca="false">IF($K397="Open",IF($C397="Conflict","decide "&amp;$A397&amp;": &lt;which version stands&gt;","decide "&amp;$A397&amp;": &lt;outcome&gt;"),IF($K397="Unconfirmed","confirm "&amp;$A397,""))</f>
        <v/>
      </c>
      <c r="P397" s="65" t="str">
        <f aca="false">IF(AND($C397="New",$B397&gt;=WeekStart),$B397+ROW()/100000,"")</f>
        <v/>
      </c>
      <c r="Q397" s="65" t="str">
        <f aca="false">IF(AND($C397="Know",$B397&gt;=WeekStart),$B397+ROW()/100000,"")</f>
        <v/>
      </c>
      <c r="R397" s="65" t="str">
        <f aca="false">IF(AND($K397="Open",$C397="Decision"),$L397+ROW()/100000,"")</f>
        <v/>
      </c>
      <c r="S397" s="65" t="str">
        <f aca="false">IF(AND($J397&lt;&gt;"",$J397=UCSel),$B397+ROW()/100000,"")</f>
        <v/>
      </c>
    </row>
    <row r="398" customFormat="false" ht="15" hidden="false" customHeight="false" outlineLevel="0" collapsed="false">
      <c r="A398" s="28"/>
      <c r="B398" s="63"/>
      <c r="C398" s="64"/>
      <c r="D398" s="28"/>
      <c r="E398" s="28"/>
      <c r="F398" s="28"/>
      <c r="G398" s="64"/>
      <c r="H398" s="64"/>
      <c r="I398" s="28"/>
      <c r="J398" s="28"/>
      <c r="K398" s="65" t="str">
        <f aca="false">IF($A398="","",IF(OR($C398="Decision",$C398="Conflict"),IF(COUNTIFS($I$2:$I$1001,$A398,$C$2:$C$1001,"Resolved")=0,"Open","Closed"),IF(AND($H398="Unconfirmed",OR($C398="New",$C398="Know")),IF(COUNTIFS($I$2:$I$1001,$A398,$C$2:$C$1001,"Confirmed")=0,"Unconfirmed","Confirmed"),"Logged")))</f>
        <v/>
      </c>
      <c r="L398" s="65" t="str">
        <f aca="false">IF($A398="","",AsOf-$B398)</f>
        <v/>
      </c>
      <c r="M398" s="65" t="str">
        <f aca="false">IF($K398="Open",IF($C398="Conflict","Critical",IF($L398&gt;=DecisionCritical,"Critical",IF($L398&gt;=DecisionWarn,"Warning","On track"))),IF($K398="Unconfirmed",IF($L398&gt;=UnconfirmedWarn,"Warning","On track"),""))</f>
        <v/>
      </c>
      <c r="N398" s="65" t="str">
        <f aca="false">IF($M398="","",IF($M398="Critical",3000,IF($M398="Warning",2000,1000))+$L398+ROW()/100000)</f>
        <v/>
      </c>
      <c r="O398" s="65" t="str">
        <f aca="false">IF($K398="Open",IF($C398="Conflict","decide "&amp;$A398&amp;": &lt;which version stands&gt;","decide "&amp;$A398&amp;": &lt;outcome&gt;"),IF($K398="Unconfirmed","confirm "&amp;$A398,""))</f>
        <v/>
      </c>
      <c r="P398" s="65" t="str">
        <f aca="false">IF(AND($C398="New",$B398&gt;=WeekStart),$B398+ROW()/100000,"")</f>
        <v/>
      </c>
      <c r="Q398" s="65" t="str">
        <f aca="false">IF(AND($C398="Know",$B398&gt;=WeekStart),$B398+ROW()/100000,"")</f>
        <v/>
      </c>
      <c r="R398" s="65" t="str">
        <f aca="false">IF(AND($K398="Open",$C398="Decision"),$L398+ROW()/100000,"")</f>
        <v/>
      </c>
      <c r="S398" s="65" t="str">
        <f aca="false">IF(AND($J398&lt;&gt;"",$J398=UCSel),$B398+ROW()/100000,"")</f>
        <v/>
      </c>
    </row>
    <row r="399" customFormat="false" ht="15" hidden="false" customHeight="false" outlineLevel="0" collapsed="false">
      <c r="A399" s="28"/>
      <c r="B399" s="63"/>
      <c r="C399" s="64"/>
      <c r="D399" s="28"/>
      <c r="E399" s="28"/>
      <c r="F399" s="28"/>
      <c r="G399" s="64"/>
      <c r="H399" s="64"/>
      <c r="I399" s="28"/>
      <c r="J399" s="28"/>
      <c r="K399" s="65" t="str">
        <f aca="false">IF($A399="","",IF(OR($C399="Decision",$C399="Conflict"),IF(COUNTIFS($I$2:$I$1001,$A399,$C$2:$C$1001,"Resolved")=0,"Open","Closed"),IF(AND($H399="Unconfirmed",OR($C399="New",$C399="Know")),IF(COUNTIFS($I$2:$I$1001,$A399,$C$2:$C$1001,"Confirmed")=0,"Unconfirmed","Confirmed"),"Logged")))</f>
        <v/>
      </c>
      <c r="L399" s="65" t="str">
        <f aca="false">IF($A399="","",AsOf-$B399)</f>
        <v/>
      </c>
      <c r="M399" s="65" t="str">
        <f aca="false">IF($K399="Open",IF($C399="Conflict","Critical",IF($L399&gt;=DecisionCritical,"Critical",IF($L399&gt;=DecisionWarn,"Warning","On track"))),IF($K399="Unconfirmed",IF($L399&gt;=UnconfirmedWarn,"Warning","On track"),""))</f>
        <v/>
      </c>
      <c r="N399" s="65" t="str">
        <f aca="false">IF($M399="","",IF($M399="Critical",3000,IF($M399="Warning",2000,1000))+$L399+ROW()/100000)</f>
        <v/>
      </c>
      <c r="O399" s="65" t="str">
        <f aca="false">IF($K399="Open",IF($C399="Conflict","decide "&amp;$A399&amp;": &lt;which version stands&gt;","decide "&amp;$A399&amp;": &lt;outcome&gt;"),IF($K399="Unconfirmed","confirm "&amp;$A399,""))</f>
        <v/>
      </c>
      <c r="P399" s="65" t="str">
        <f aca="false">IF(AND($C399="New",$B399&gt;=WeekStart),$B399+ROW()/100000,"")</f>
        <v/>
      </c>
      <c r="Q399" s="65" t="str">
        <f aca="false">IF(AND($C399="Know",$B399&gt;=WeekStart),$B399+ROW()/100000,"")</f>
        <v/>
      </c>
      <c r="R399" s="65" t="str">
        <f aca="false">IF(AND($K399="Open",$C399="Decision"),$L399+ROW()/100000,"")</f>
        <v/>
      </c>
      <c r="S399" s="65" t="str">
        <f aca="false">IF(AND($J399&lt;&gt;"",$J399=UCSel),$B399+ROW()/100000,"")</f>
        <v/>
      </c>
    </row>
    <row r="400" customFormat="false" ht="15" hidden="false" customHeight="false" outlineLevel="0" collapsed="false">
      <c r="A400" s="28"/>
      <c r="B400" s="63"/>
      <c r="C400" s="64"/>
      <c r="D400" s="28"/>
      <c r="E400" s="28"/>
      <c r="F400" s="28"/>
      <c r="G400" s="64"/>
      <c r="H400" s="64"/>
      <c r="I400" s="28"/>
      <c r="J400" s="28"/>
      <c r="K400" s="65" t="str">
        <f aca="false">IF($A400="","",IF(OR($C400="Decision",$C400="Conflict"),IF(COUNTIFS($I$2:$I$1001,$A400,$C$2:$C$1001,"Resolved")=0,"Open","Closed"),IF(AND($H400="Unconfirmed",OR($C400="New",$C400="Know")),IF(COUNTIFS($I$2:$I$1001,$A400,$C$2:$C$1001,"Confirmed")=0,"Unconfirmed","Confirmed"),"Logged")))</f>
        <v/>
      </c>
      <c r="L400" s="65" t="str">
        <f aca="false">IF($A400="","",AsOf-$B400)</f>
        <v/>
      </c>
      <c r="M400" s="65" t="str">
        <f aca="false">IF($K400="Open",IF($C400="Conflict","Critical",IF($L400&gt;=DecisionCritical,"Critical",IF($L400&gt;=DecisionWarn,"Warning","On track"))),IF($K400="Unconfirmed",IF($L400&gt;=UnconfirmedWarn,"Warning","On track"),""))</f>
        <v/>
      </c>
      <c r="N400" s="65" t="str">
        <f aca="false">IF($M400="","",IF($M400="Critical",3000,IF($M400="Warning",2000,1000))+$L400+ROW()/100000)</f>
        <v/>
      </c>
      <c r="O400" s="65" t="str">
        <f aca="false">IF($K400="Open",IF($C400="Conflict","decide "&amp;$A400&amp;": &lt;which version stands&gt;","decide "&amp;$A400&amp;": &lt;outcome&gt;"),IF($K400="Unconfirmed","confirm "&amp;$A400,""))</f>
        <v/>
      </c>
      <c r="P400" s="65" t="str">
        <f aca="false">IF(AND($C400="New",$B400&gt;=WeekStart),$B400+ROW()/100000,"")</f>
        <v/>
      </c>
      <c r="Q400" s="65" t="str">
        <f aca="false">IF(AND($C400="Know",$B400&gt;=WeekStart),$B400+ROW()/100000,"")</f>
        <v/>
      </c>
      <c r="R400" s="65" t="str">
        <f aca="false">IF(AND($K400="Open",$C400="Decision"),$L400+ROW()/100000,"")</f>
        <v/>
      </c>
      <c r="S400" s="65" t="str">
        <f aca="false">IF(AND($J400&lt;&gt;"",$J400=UCSel),$B400+ROW()/100000,"")</f>
        <v/>
      </c>
    </row>
    <row r="401" customFormat="false" ht="15" hidden="false" customHeight="false" outlineLevel="0" collapsed="false">
      <c r="A401" s="28"/>
      <c r="B401" s="63"/>
      <c r="C401" s="64"/>
      <c r="D401" s="28"/>
      <c r="E401" s="28"/>
      <c r="F401" s="28"/>
      <c r="G401" s="64"/>
      <c r="H401" s="64"/>
      <c r="I401" s="28"/>
      <c r="J401" s="28"/>
      <c r="K401" s="65" t="str">
        <f aca="false">IF($A401="","",IF(OR($C401="Decision",$C401="Conflict"),IF(COUNTIFS($I$2:$I$1001,$A401,$C$2:$C$1001,"Resolved")=0,"Open","Closed"),IF(AND($H401="Unconfirmed",OR($C401="New",$C401="Know")),IF(COUNTIFS($I$2:$I$1001,$A401,$C$2:$C$1001,"Confirmed")=0,"Unconfirmed","Confirmed"),"Logged")))</f>
        <v/>
      </c>
      <c r="L401" s="65" t="str">
        <f aca="false">IF($A401="","",AsOf-$B401)</f>
        <v/>
      </c>
      <c r="M401" s="65" t="str">
        <f aca="false">IF($K401="Open",IF($C401="Conflict","Critical",IF($L401&gt;=DecisionCritical,"Critical",IF($L401&gt;=DecisionWarn,"Warning","On track"))),IF($K401="Unconfirmed",IF($L401&gt;=UnconfirmedWarn,"Warning","On track"),""))</f>
        <v/>
      </c>
      <c r="N401" s="65" t="str">
        <f aca="false">IF($M401="","",IF($M401="Critical",3000,IF($M401="Warning",2000,1000))+$L401+ROW()/100000)</f>
        <v/>
      </c>
      <c r="O401" s="65" t="str">
        <f aca="false">IF($K401="Open",IF($C401="Conflict","decide "&amp;$A401&amp;": &lt;which version stands&gt;","decide "&amp;$A401&amp;": &lt;outcome&gt;"),IF($K401="Unconfirmed","confirm "&amp;$A401,""))</f>
        <v/>
      </c>
      <c r="P401" s="65" t="str">
        <f aca="false">IF(AND($C401="New",$B401&gt;=WeekStart),$B401+ROW()/100000,"")</f>
        <v/>
      </c>
      <c r="Q401" s="65" t="str">
        <f aca="false">IF(AND($C401="Know",$B401&gt;=WeekStart),$B401+ROW()/100000,"")</f>
        <v/>
      </c>
      <c r="R401" s="65" t="str">
        <f aca="false">IF(AND($K401="Open",$C401="Decision"),$L401+ROW()/100000,"")</f>
        <v/>
      </c>
      <c r="S401" s="65" t="str">
        <f aca="false">IF(AND($J401&lt;&gt;"",$J401=UCSel),$B401+ROW()/100000,"")</f>
        <v/>
      </c>
    </row>
    <row r="402" customFormat="false" ht="15" hidden="false" customHeight="false" outlineLevel="0" collapsed="false">
      <c r="A402" s="28"/>
      <c r="B402" s="63"/>
      <c r="C402" s="64"/>
      <c r="D402" s="28"/>
      <c r="E402" s="28"/>
      <c r="F402" s="28"/>
      <c r="G402" s="64"/>
      <c r="H402" s="64"/>
      <c r="I402" s="28"/>
      <c r="J402" s="28"/>
      <c r="K402" s="65" t="str">
        <f aca="false">IF($A402="","",IF(OR($C402="Decision",$C402="Conflict"),IF(COUNTIFS($I$2:$I$1001,$A402,$C$2:$C$1001,"Resolved")=0,"Open","Closed"),IF(AND($H402="Unconfirmed",OR($C402="New",$C402="Know")),IF(COUNTIFS($I$2:$I$1001,$A402,$C$2:$C$1001,"Confirmed")=0,"Unconfirmed","Confirmed"),"Logged")))</f>
        <v/>
      </c>
      <c r="L402" s="65" t="str">
        <f aca="false">IF($A402="","",AsOf-$B402)</f>
        <v/>
      </c>
      <c r="M402" s="65" t="str">
        <f aca="false">IF($K402="Open",IF($C402="Conflict","Critical",IF($L402&gt;=DecisionCritical,"Critical",IF($L402&gt;=DecisionWarn,"Warning","On track"))),IF($K402="Unconfirmed",IF($L402&gt;=UnconfirmedWarn,"Warning","On track"),""))</f>
        <v/>
      </c>
      <c r="N402" s="65" t="str">
        <f aca="false">IF($M402="","",IF($M402="Critical",3000,IF($M402="Warning",2000,1000))+$L402+ROW()/100000)</f>
        <v/>
      </c>
      <c r="O402" s="65" t="str">
        <f aca="false">IF($K402="Open",IF($C402="Conflict","decide "&amp;$A402&amp;": &lt;which version stands&gt;","decide "&amp;$A402&amp;": &lt;outcome&gt;"),IF($K402="Unconfirmed","confirm "&amp;$A402,""))</f>
        <v/>
      </c>
      <c r="P402" s="65" t="str">
        <f aca="false">IF(AND($C402="New",$B402&gt;=WeekStart),$B402+ROW()/100000,"")</f>
        <v/>
      </c>
      <c r="Q402" s="65" t="str">
        <f aca="false">IF(AND($C402="Know",$B402&gt;=WeekStart),$B402+ROW()/100000,"")</f>
        <v/>
      </c>
      <c r="R402" s="65" t="str">
        <f aca="false">IF(AND($K402="Open",$C402="Decision"),$L402+ROW()/100000,"")</f>
        <v/>
      </c>
      <c r="S402" s="65" t="str">
        <f aca="false">IF(AND($J402&lt;&gt;"",$J402=UCSel),$B402+ROW()/100000,"")</f>
        <v/>
      </c>
    </row>
    <row r="403" customFormat="false" ht="15" hidden="false" customHeight="false" outlineLevel="0" collapsed="false">
      <c r="A403" s="28"/>
      <c r="B403" s="63"/>
      <c r="C403" s="64"/>
      <c r="D403" s="28"/>
      <c r="E403" s="28"/>
      <c r="F403" s="28"/>
      <c r="G403" s="64"/>
      <c r="H403" s="64"/>
      <c r="I403" s="28"/>
      <c r="J403" s="28"/>
      <c r="K403" s="65" t="str">
        <f aca="false">IF($A403="","",IF(OR($C403="Decision",$C403="Conflict"),IF(COUNTIFS($I$2:$I$1001,$A403,$C$2:$C$1001,"Resolved")=0,"Open","Closed"),IF(AND($H403="Unconfirmed",OR($C403="New",$C403="Know")),IF(COUNTIFS($I$2:$I$1001,$A403,$C$2:$C$1001,"Confirmed")=0,"Unconfirmed","Confirmed"),"Logged")))</f>
        <v/>
      </c>
      <c r="L403" s="65" t="str">
        <f aca="false">IF($A403="","",AsOf-$B403)</f>
        <v/>
      </c>
      <c r="M403" s="65" t="str">
        <f aca="false">IF($K403="Open",IF($C403="Conflict","Critical",IF($L403&gt;=DecisionCritical,"Critical",IF($L403&gt;=DecisionWarn,"Warning","On track"))),IF($K403="Unconfirmed",IF($L403&gt;=UnconfirmedWarn,"Warning","On track"),""))</f>
        <v/>
      </c>
      <c r="N403" s="65" t="str">
        <f aca="false">IF($M403="","",IF($M403="Critical",3000,IF($M403="Warning",2000,1000))+$L403+ROW()/100000)</f>
        <v/>
      </c>
      <c r="O403" s="65" t="str">
        <f aca="false">IF($K403="Open",IF($C403="Conflict","decide "&amp;$A403&amp;": &lt;which version stands&gt;","decide "&amp;$A403&amp;": &lt;outcome&gt;"),IF($K403="Unconfirmed","confirm "&amp;$A403,""))</f>
        <v/>
      </c>
      <c r="P403" s="65" t="str">
        <f aca="false">IF(AND($C403="New",$B403&gt;=WeekStart),$B403+ROW()/100000,"")</f>
        <v/>
      </c>
      <c r="Q403" s="65" t="str">
        <f aca="false">IF(AND($C403="Know",$B403&gt;=WeekStart),$B403+ROW()/100000,"")</f>
        <v/>
      </c>
      <c r="R403" s="65" t="str">
        <f aca="false">IF(AND($K403="Open",$C403="Decision"),$L403+ROW()/100000,"")</f>
        <v/>
      </c>
      <c r="S403" s="65" t="str">
        <f aca="false">IF(AND($J403&lt;&gt;"",$J403=UCSel),$B403+ROW()/100000,"")</f>
        <v/>
      </c>
    </row>
    <row r="404" customFormat="false" ht="15" hidden="false" customHeight="false" outlineLevel="0" collapsed="false">
      <c r="A404" s="28"/>
      <c r="B404" s="63"/>
      <c r="C404" s="64"/>
      <c r="D404" s="28"/>
      <c r="E404" s="28"/>
      <c r="F404" s="28"/>
      <c r="G404" s="64"/>
      <c r="H404" s="64"/>
      <c r="I404" s="28"/>
      <c r="J404" s="28"/>
      <c r="K404" s="65" t="str">
        <f aca="false">IF($A404="","",IF(OR($C404="Decision",$C404="Conflict"),IF(COUNTIFS($I$2:$I$1001,$A404,$C$2:$C$1001,"Resolved")=0,"Open","Closed"),IF(AND($H404="Unconfirmed",OR($C404="New",$C404="Know")),IF(COUNTIFS($I$2:$I$1001,$A404,$C$2:$C$1001,"Confirmed")=0,"Unconfirmed","Confirmed"),"Logged")))</f>
        <v/>
      </c>
      <c r="L404" s="65" t="str">
        <f aca="false">IF($A404="","",AsOf-$B404)</f>
        <v/>
      </c>
      <c r="M404" s="65" t="str">
        <f aca="false">IF($K404="Open",IF($C404="Conflict","Critical",IF($L404&gt;=DecisionCritical,"Critical",IF($L404&gt;=DecisionWarn,"Warning","On track"))),IF($K404="Unconfirmed",IF($L404&gt;=UnconfirmedWarn,"Warning","On track"),""))</f>
        <v/>
      </c>
      <c r="N404" s="65" t="str">
        <f aca="false">IF($M404="","",IF($M404="Critical",3000,IF($M404="Warning",2000,1000))+$L404+ROW()/100000)</f>
        <v/>
      </c>
      <c r="O404" s="65" t="str">
        <f aca="false">IF($K404="Open",IF($C404="Conflict","decide "&amp;$A404&amp;": &lt;which version stands&gt;","decide "&amp;$A404&amp;": &lt;outcome&gt;"),IF($K404="Unconfirmed","confirm "&amp;$A404,""))</f>
        <v/>
      </c>
      <c r="P404" s="65" t="str">
        <f aca="false">IF(AND($C404="New",$B404&gt;=WeekStart),$B404+ROW()/100000,"")</f>
        <v/>
      </c>
      <c r="Q404" s="65" t="str">
        <f aca="false">IF(AND($C404="Know",$B404&gt;=WeekStart),$B404+ROW()/100000,"")</f>
        <v/>
      </c>
      <c r="R404" s="65" t="str">
        <f aca="false">IF(AND($K404="Open",$C404="Decision"),$L404+ROW()/100000,"")</f>
        <v/>
      </c>
      <c r="S404" s="65" t="str">
        <f aca="false">IF(AND($J404&lt;&gt;"",$J404=UCSel),$B404+ROW()/100000,"")</f>
        <v/>
      </c>
    </row>
    <row r="405" customFormat="false" ht="15" hidden="false" customHeight="false" outlineLevel="0" collapsed="false">
      <c r="A405" s="28"/>
      <c r="B405" s="63"/>
      <c r="C405" s="64"/>
      <c r="D405" s="28"/>
      <c r="E405" s="28"/>
      <c r="F405" s="28"/>
      <c r="G405" s="64"/>
      <c r="H405" s="64"/>
      <c r="I405" s="28"/>
      <c r="J405" s="28"/>
      <c r="K405" s="65" t="str">
        <f aca="false">IF($A405="","",IF(OR($C405="Decision",$C405="Conflict"),IF(COUNTIFS($I$2:$I$1001,$A405,$C$2:$C$1001,"Resolved")=0,"Open","Closed"),IF(AND($H405="Unconfirmed",OR($C405="New",$C405="Know")),IF(COUNTIFS($I$2:$I$1001,$A405,$C$2:$C$1001,"Confirmed")=0,"Unconfirmed","Confirmed"),"Logged")))</f>
        <v/>
      </c>
      <c r="L405" s="65" t="str">
        <f aca="false">IF($A405="","",AsOf-$B405)</f>
        <v/>
      </c>
      <c r="M405" s="65" t="str">
        <f aca="false">IF($K405="Open",IF($C405="Conflict","Critical",IF($L405&gt;=DecisionCritical,"Critical",IF($L405&gt;=DecisionWarn,"Warning","On track"))),IF($K405="Unconfirmed",IF($L405&gt;=UnconfirmedWarn,"Warning","On track"),""))</f>
        <v/>
      </c>
      <c r="N405" s="65" t="str">
        <f aca="false">IF($M405="","",IF($M405="Critical",3000,IF($M405="Warning",2000,1000))+$L405+ROW()/100000)</f>
        <v/>
      </c>
      <c r="O405" s="65" t="str">
        <f aca="false">IF($K405="Open",IF($C405="Conflict","decide "&amp;$A405&amp;": &lt;which version stands&gt;","decide "&amp;$A405&amp;": &lt;outcome&gt;"),IF($K405="Unconfirmed","confirm "&amp;$A405,""))</f>
        <v/>
      </c>
      <c r="P405" s="65" t="str">
        <f aca="false">IF(AND($C405="New",$B405&gt;=WeekStart),$B405+ROW()/100000,"")</f>
        <v/>
      </c>
      <c r="Q405" s="65" t="str">
        <f aca="false">IF(AND($C405="Know",$B405&gt;=WeekStart),$B405+ROW()/100000,"")</f>
        <v/>
      </c>
      <c r="R405" s="65" t="str">
        <f aca="false">IF(AND($K405="Open",$C405="Decision"),$L405+ROW()/100000,"")</f>
        <v/>
      </c>
      <c r="S405" s="65" t="str">
        <f aca="false">IF(AND($J405&lt;&gt;"",$J405=UCSel),$B405+ROW()/100000,"")</f>
        <v/>
      </c>
    </row>
    <row r="406" customFormat="false" ht="15" hidden="false" customHeight="false" outlineLevel="0" collapsed="false">
      <c r="A406" s="28"/>
      <c r="B406" s="63"/>
      <c r="C406" s="64"/>
      <c r="D406" s="28"/>
      <c r="E406" s="28"/>
      <c r="F406" s="28"/>
      <c r="G406" s="64"/>
      <c r="H406" s="64"/>
      <c r="I406" s="28"/>
      <c r="J406" s="28"/>
      <c r="K406" s="65" t="str">
        <f aca="false">IF($A406="","",IF(OR($C406="Decision",$C406="Conflict"),IF(COUNTIFS($I$2:$I$1001,$A406,$C$2:$C$1001,"Resolved")=0,"Open","Closed"),IF(AND($H406="Unconfirmed",OR($C406="New",$C406="Know")),IF(COUNTIFS($I$2:$I$1001,$A406,$C$2:$C$1001,"Confirmed")=0,"Unconfirmed","Confirmed"),"Logged")))</f>
        <v/>
      </c>
      <c r="L406" s="65" t="str">
        <f aca="false">IF($A406="","",AsOf-$B406)</f>
        <v/>
      </c>
      <c r="M406" s="65" t="str">
        <f aca="false">IF($K406="Open",IF($C406="Conflict","Critical",IF($L406&gt;=DecisionCritical,"Critical",IF($L406&gt;=DecisionWarn,"Warning","On track"))),IF($K406="Unconfirmed",IF($L406&gt;=UnconfirmedWarn,"Warning","On track"),""))</f>
        <v/>
      </c>
      <c r="N406" s="65" t="str">
        <f aca="false">IF($M406="","",IF($M406="Critical",3000,IF($M406="Warning",2000,1000))+$L406+ROW()/100000)</f>
        <v/>
      </c>
      <c r="O406" s="65" t="str">
        <f aca="false">IF($K406="Open",IF($C406="Conflict","decide "&amp;$A406&amp;": &lt;which version stands&gt;","decide "&amp;$A406&amp;": &lt;outcome&gt;"),IF($K406="Unconfirmed","confirm "&amp;$A406,""))</f>
        <v/>
      </c>
      <c r="P406" s="65" t="str">
        <f aca="false">IF(AND($C406="New",$B406&gt;=WeekStart),$B406+ROW()/100000,"")</f>
        <v/>
      </c>
      <c r="Q406" s="65" t="str">
        <f aca="false">IF(AND($C406="Know",$B406&gt;=WeekStart),$B406+ROW()/100000,"")</f>
        <v/>
      </c>
      <c r="R406" s="65" t="str">
        <f aca="false">IF(AND($K406="Open",$C406="Decision"),$L406+ROW()/100000,"")</f>
        <v/>
      </c>
      <c r="S406" s="65" t="str">
        <f aca="false">IF(AND($J406&lt;&gt;"",$J406=UCSel),$B406+ROW()/100000,"")</f>
        <v/>
      </c>
    </row>
    <row r="407" customFormat="false" ht="15" hidden="false" customHeight="false" outlineLevel="0" collapsed="false">
      <c r="A407" s="28"/>
      <c r="B407" s="63"/>
      <c r="C407" s="64"/>
      <c r="D407" s="28"/>
      <c r="E407" s="28"/>
      <c r="F407" s="28"/>
      <c r="G407" s="64"/>
      <c r="H407" s="64"/>
      <c r="I407" s="28"/>
      <c r="J407" s="28"/>
      <c r="K407" s="65" t="str">
        <f aca="false">IF($A407="","",IF(OR($C407="Decision",$C407="Conflict"),IF(COUNTIFS($I$2:$I$1001,$A407,$C$2:$C$1001,"Resolved")=0,"Open","Closed"),IF(AND($H407="Unconfirmed",OR($C407="New",$C407="Know")),IF(COUNTIFS($I$2:$I$1001,$A407,$C$2:$C$1001,"Confirmed")=0,"Unconfirmed","Confirmed"),"Logged")))</f>
        <v/>
      </c>
      <c r="L407" s="65" t="str">
        <f aca="false">IF($A407="","",AsOf-$B407)</f>
        <v/>
      </c>
      <c r="M407" s="65" t="str">
        <f aca="false">IF($K407="Open",IF($C407="Conflict","Critical",IF($L407&gt;=DecisionCritical,"Critical",IF($L407&gt;=DecisionWarn,"Warning","On track"))),IF($K407="Unconfirmed",IF($L407&gt;=UnconfirmedWarn,"Warning","On track"),""))</f>
        <v/>
      </c>
      <c r="N407" s="65" t="str">
        <f aca="false">IF($M407="","",IF($M407="Critical",3000,IF($M407="Warning",2000,1000))+$L407+ROW()/100000)</f>
        <v/>
      </c>
      <c r="O407" s="65" t="str">
        <f aca="false">IF($K407="Open",IF($C407="Conflict","decide "&amp;$A407&amp;": &lt;which version stands&gt;","decide "&amp;$A407&amp;": &lt;outcome&gt;"),IF($K407="Unconfirmed","confirm "&amp;$A407,""))</f>
        <v/>
      </c>
      <c r="P407" s="65" t="str">
        <f aca="false">IF(AND($C407="New",$B407&gt;=WeekStart),$B407+ROW()/100000,"")</f>
        <v/>
      </c>
      <c r="Q407" s="65" t="str">
        <f aca="false">IF(AND($C407="Know",$B407&gt;=WeekStart),$B407+ROW()/100000,"")</f>
        <v/>
      </c>
      <c r="R407" s="65" t="str">
        <f aca="false">IF(AND($K407="Open",$C407="Decision"),$L407+ROW()/100000,"")</f>
        <v/>
      </c>
      <c r="S407" s="65" t="str">
        <f aca="false">IF(AND($J407&lt;&gt;"",$J407=UCSel),$B407+ROW()/100000,"")</f>
        <v/>
      </c>
    </row>
    <row r="408" customFormat="false" ht="15" hidden="false" customHeight="false" outlineLevel="0" collapsed="false">
      <c r="A408" s="28"/>
      <c r="B408" s="63"/>
      <c r="C408" s="64"/>
      <c r="D408" s="28"/>
      <c r="E408" s="28"/>
      <c r="F408" s="28"/>
      <c r="G408" s="64"/>
      <c r="H408" s="64"/>
      <c r="I408" s="28"/>
      <c r="J408" s="28"/>
      <c r="K408" s="65" t="str">
        <f aca="false">IF($A408="","",IF(OR($C408="Decision",$C408="Conflict"),IF(COUNTIFS($I$2:$I$1001,$A408,$C$2:$C$1001,"Resolved")=0,"Open","Closed"),IF(AND($H408="Unconfirmed",OR($C408="New",$C408="Know")),IF(COUNTIFS($I$2:$I$1001,$A408,$C$2:$C$1001,"Confirmed")=0,"Unconfirmed","Confirmed"),"Logged")))</f>
        <v/>
      </c>
      <c r="L408" s="65" t="str">
        <f aca="false">IF($A408="","",AsOf-$B408)</f>
        <v/>
      </c>
      <c r="M408" s="65" t="str">
        <f aca="false">IF($K408="Open",IF($C408="Conflict","Critical",IF($L408&gt;=DecisionCritical,"Critical",IF($L408&gt;=DecisionWarn,"Warning","On track"))),IF($K408="Unconfirmed",IF($L408&gt;=UnconfirmedWarn,"Warning","On track"),""))</f>
        <v/>
      </c>
      <c r="N408" s="65" t="str">
        <f aca="false">IF($M408="","",IF($M408="Critical",3000,IF($M408="Warning",2000,1000))+$L408+ROW()/100000)</f>
        <v/>
      </c>
      <c r="O408" s="65" t="str">
        <f aca="false">IF($K408="Open",IF($C408="Conflict","decide "&amp;$A408&amp;": &lt;which version stands&gt;","decide "&amp;$A408&amp;": &lt;outcome&gt;"),IF($K408="Unconfirmed","confirm "&amp;$A408,""))</f>
        <v/>
      </c>
      <c r="P408" s="65" t="str">
        <f aca="false">IF(AND($C408="New",$B408&gt;=WeekStart),$B408+ROW()/100000,"")</f>
        <v/>
      </c>
      <c r="Q408" s="65" t="str">
        <f aca="false">IF(AND($C408="Know",$B408&gt;=WeekStart),$B408+ROW()/100000,"")</f>
        <v/>
      </c>
      <c r="R408" s="65" t="str">
        <f aca="false">IF(AND($K408="Open",$C408="Decision"),$L408+ROW()/100000,"")</f>
        <v/>
      </c>
      <c r="S408" s="65" t="str">
        <f aca="false">IF(AND($J408&lt;&gt;"",$J408=UCSel),$B408+ROW()/100000,"")</f>
        <v/>
      </c>
    </row>
    <row r="409" customFormat="false" ht="15" hidden="false" customHeight="false" outlineLevel="0" collapsed="false">
      <c r="A409" s="28"/>
      <c r="B409" s="63"/>
      <c r="C409" s="64"/>
      <c r="D409" s="28"/>
      <c r="E409" s="28"/>
      <c r="F409" s="28"/>
      <c r="G409" s="64"/>
      <c r="H409" s="64"/>
      <c r="I409" s="28"/>
      <c r="J409" s="28"/>
      <c r="K409" s="65" t="str">
        <f aca="false">IF($A409="","",IF(OR($C409="Decision",$C409="Conflict"),IF(COUNTIFS($I$2:$I$1001,$A409,$C$2:$C$1001,"Resolved")=0,"Open","Closed"),IF(AND($H409="Unconfirmed",OR($C409="New",$C409="Know")),IF(COUNTIFS($I$2:$I$1001,$A409,$C$2:$C$1001,"Confirmed")=0,"Unconfirmed","Confirmed"),"Logged")))</f>
        <v/>
      </c>
      <c r="L409" s="65" t="str">
        <f aca="false">IF($A409="","",AsOf-$B409)</f>
        <v/>
      </c>
      <c r="M409" s="65" t="str">
        <f aca="false">IF($K409="Open",IF($C409="Conflict","Critical",IF($L409&gt;=DecisionCritical,"Critical",IF($L409&gt;=DecisionWarn,"Warning","On track"))),IF($K409="Unconfirmed",IF($L409&gt;=UnconfirmedWarn,"Warning","On track"),""))</f>
        <v/>
      </c>
      <c r="N409" s="65" t="str">
        <f aca="false">IF($M409="","",IF($M409="Critical",3000,IF($M409="Warning",2000,1000))+$L409+ROW()/100000)</f>
        <v/>
      </c>
      <c r="O409" s="65" t="str">
        <f aca="false">IF($K409="Open",IF($C409="Conflict","decide "&amp;$A409&amp;": &lt;which version stands&gt;","decide "&amp;$A409&amp;": &lt;outcome&gt;"),IF($K409="Unconfirmed","confirm "&amp;$A409,""))</f>
        <v/>
      </c>
      <c r="P409" s="65" t="str">
        <f aca="false">IF(AND($C409="New",$B409&gt;=WeekStart),$B409+ROW()/100000,"")</f>
        <v/>
      </c>
      <c r="Q409" s="65" t="str">
        <f aca="false">IF(AND($C409="Know",$B409&gt;=WeekStart),$B409+ROW()/100000,"")</f>
        <v/>
      </c>
      <c r="R409" s="65" t="str">
        <f aca="false">IF(AND($K409="Open",$C409="Decision"),$L409+ROW()/100000,"")</f>
        <v/>
      </c>
      <c r="S409" s="65" t="str">
        <f aca="false">IF(AND($J409&lt;&gt;"",$J409=UCSel),$B409+ROW()/100000,"")</f>
        <v/>
      </c>
    </row>
    <row r="410" customFormat="false" ht="15" hidden="false" customHeight="false" outlineLevel="0" collapsed="false">
      <c r="A410" s="28"/>
      <c r="B410" s="63"/>
      <c r="C410" s="64"/>
      <c r="D410" s="28"/>
      <c r="E410" s="28"/>
      <c r="F410" s="28"/>
      <c r="G410" s="64"/>
      <c r="H410" s="64"/>
      <c r="I410" s="28"/>
      <c r="J410" s="28"/>
      <c r="K410" s="65" t="str">
        <f aca="false">IF($A410="","",IF(OR($C410="Decision",$C410="Conflict"),IF(COUNTIFS($I$2:$I$1001,$A410,$C$2:$C$1001,"Resolved")=0,"Open","Closed"),IF(AND($H410="Unconfirmed",OR($C410="New",$C410="Know")),IF(COUNTIFS($I$2:$I$1001,$A410,$C$2:$C$1001,"Confirmed")=0,"Unconfirmed","Confirmed"),"Logged")))</f>
        <v/>
      </c>
      <c r="L410" s="65" t="str">
        <f aca="false">IF($A410="","",AsOf-$B410)</f>
        <v/>
      </c>
      <c r="M410" s="65" t="str">
        <f aca="false">IF($K410="Open",IF($C410="Conflict","Critical",IF($L410&gt;=DecisionCritical,"Critical",IF($L410&gt;=DecisionWarn,"Warning","On track"))),IF($K410="Unconfirmed",IF($L410&gt;=UnconfirmedWarn,"Warning","On track"),""))</f>
        <v/>
      </c>
      <c r="N410" s="65" t="str">
        <f aca="false">IF($M410="","",IF($M410="Critical",3000,IF($M410="Warning",2000,1000))+$L410+ROW()/100000)</f>
        <v/>
      </c>
      <c r="O410" s="65" t="str">
        <f aca="false">IF($K410="Open",IF($C410="Conflict","decide "&amp;$A410&amp;": &lt;which version stands&gt;","decide "&amp;$A410&amp;": &lt;outcome&gt;"),IF($K410="Unconfirmed","confirm "&amp;$A410,""))</f>
        <v/>
      </c>
      <c r="P410" s="65" t="str">
        <f aca="false">IF(AND($C410="New",$B410&gt;=WeekStart),$B410+ROW()/100000,"")</f>
        <v/>
      </c>
      <c r="Q410" s="65" t="str">
        <f aca="false">IF(AND($C410="Know",$B410&gt;=WeekStart),$B410+ROW()/100000,"")</f>
        <v/>
      </c>
      <c r="R410" s="65" t="str">
        <f aca="false">IF(AND($K410="Open",$C410="Decision"),$L410+ROW()/100000,"")</f>
        <v/>
      </c>
      <c r="S410" s="65" t="str">
        <f aca="false">IF(AND($J410&lt;&gt;"",$J410=UCSel),$B410+ROW()/100000,"")</f>
        <v/>
      </c>
    </row>
    <row r="411" customFormat="false" ht="15" hidden="false" customHeight="false" outlineLevel="0" collapsed="false">
      <c r="A411" s="28"/>
      <c r="B411" s="63"/>
      <c r="C411" s="64"/>
      <c r="D411" s="28"/>
      <c r="E411" s="28"/>
      <c r="F411" s="28"/>
      <c r="G411" s="64"/>
      <c r="H411" s="64"/>
      <c r="I411" s="28"/>
      <c r="J411" s="28"/>
      <c r="K411" s="65" t="str">
        <f aca="false">IF($A411="","",IF(OR($C411="Decision",$C411="Conflict"),IF(COUNTIFS($I$2:$I$1001,$A411,$C$2:$C$1001,"Resolved")=0,"Open","Closed"),IF(AND($H411="Unconfirmed",OR($C411="New",$C411="Know")),IF(COUNTIFS($I$2:$I$1001,$A411,$C$2:$C$1001,"Confirmed")=0,"Unconfirmed","Confirmed"),"Logged")))</f>
        <v/>
      </c>
      <c r="L411" s="65" t="str">
        <f aca="false">IF($A411="","",AsOf-$B411)</f>
        <v/>
      </c>
      <c r="M411" s="65" t="str">
        <f aca="false">IF($K411="Open",IF($C411="Conflict","Critical",IF($L411&gt;=DecisionCritical,"Critical",IF($L411&gt;=DecisionWarn,"Warning","On track"))),IF($K411="Unconfirmed",IF($L411&gt;=UnconfirmedWarn,"Warning","On track"),""))</f>
        <v/>
      </c>
      <c r="N411" s="65" t="str">
        <f aca="false">IF($M411="","",IF($M411="Critical",3000,IF($M411="Warning",2000,1000))+$L411+ROW()/100000)</f>
        <v/>
      </c>
      <c r="O411" s="65" t="str">
        <f aca="false">IF($K411="Open",IF($C411="Conflict","decide "&amp;$A411&amp;": &lt;which version stands&gt;","decide "&amp;$A411&amp;": &lt;outcome&gt;"),IF($K411="Unconfirmed","confirm "&amp;$A411,""))</f>
        <v/>
      </c>
      <c r="P411" s="65" t="str">
        <f aca="false">IF(AND($C411="New",$B411&gt;=WeekStart),$B411+ROW()/100000,"")</f>
        <v/>
      </c>
      <c r="Q411" s="65" t="str">
        <f aca="false">IF(AND($C411="Know",$B411&gt;=WeekStart),$B411+ROW()/100000,"")</f>
        <v/>
      </c>
      <c r="R411" s="65" t="str">
        <f aca="false">IF(AND($K411="Open",$C411="Decision"),$L411+ROW()/100000,"")</f>
        <v/>
      </c>
      <c r="S411" s="65" t="str">
        <f aca="false">IF(AND($J411&lt;&gt;"",$J411=UCSel),$B411+ROW()/100000,"")</f>
        <v/>
      </c>
    </row>
    <row r="412" customFormat="false" ht="15" hidden="false" customHeight="false" outlineLevel="0" collapsed="false">
      <c r="A412" s="28"/>
      <c r="B412" s="63"/>
      <c r="C412" s="64"/>
      <c r="D412" s="28"/>
      <c r="E412" s="28"/>
      <c r="F412" s="28"/>
      <c r="G412" s="64"/>
      <c r="H412" s="64"/>
      <c r="I412" s="28"/>
      <c r="J412" s="28"/>
      <c r="K412" s="65" t="str">
        <f aca="false">IF($A412="","",IF(OR($C412="Decision",$C412="Conflict"),IF(COUNTIFS($I$2:$I$1001,$A412,$C$2:$C$1001,"Resolved")=0,"Open","Closed"),IF(AND($H412="Unconfirmed",OR($C412="New",$C412="Know")),IF(COUNTIFS($I$2:$I$1001,$A412,$C$2:$C$1001,"Confirmed")=0,"Unconfirmed","Confirmed"),"Logged")))</f>
        <v/>
      </c>
      <c r="L412" s="65" t="str">
        <f aca="false">IF($A412="","",AsOf-$B412)</f>
        <v/>
      </c>
      <c r="M412" s="65" t="str">
        <f aca="false">IF($K412="Open",IF($C412="Conflict","Critical",IF($L412&gt;=DecisionCritical,"Critical",IF($L412&gt;=DecisionWarn,"Warning","On track"))),IF($K412="Unconfirmed",IF($L412&gt;=UnconfirmedWarn,"Warning","On track"),""))</f>
        <v/>
      </c>
      <c r="N412" s="65" t="str">
        <f aca="false">IF($M412="","",IF($M412="Critical",3000,IF($M412="Warning",2000,1000))+$L412+ROW()/100000)</f>
        <v/>
      </c>
      <c r="O412" s="65" t="str">
        <f aca="false">IF($K412="Open",IF($C412="Conflict","decide "&amp;$A412&amp;": &lt;which version stands&gt;","decide "&amp;$A412&amp;": &lt;outcome&gt;"),IF($K412="Unconfirmed","confirm "&amp;$A412,""))</f>
        <v/>
      </c>
      <c r="P412" s="65" t="str">
        <f aca="false">IF(AND($C412="New",$B412&gt;=WeekStart),$B412+ROW()/100000,"")</f>
        <v/>
      </c>
      <c r="Q412" s="65" t="str">
        <f aca="false">IF(AND($C412="Know",$B412&gt;=WeekStart),$B412+ROW()/100000,"")</f>
        <v/>
      </c>
      <c r="R412" s="65" t="str">
        <f aca="false">IF(AND($K412="Open",$C412="Decision"),$L412+ROW()/100000,"")</f>
        <v/>
      </c>
      <c r="S412" s="65" t="str">
        <f aca="false">IF(AND($J412&lt;&gt;"",$J412=UCSel),$B412+ROW()/100000,"")</f>
        <v/>
      </c>
    </row>
    <row r="413" customFormat="false" ht="15" hidden="false" customHeight="false" outlineLevel="0" collapsed="false">
      <c r="A413" s="28"/>
      <c r="B413" s="63"/>
      <c r="C413" s="64"/>
      <c r="D413" s="28"/>
      <c r="E413" s="28"/>
      <c r="F413" s="28"/>
      <c r="G413" s="64"/>
      <c r="H413" s="64"/>
      <c r="I413" s="28"/>
      <c r="J413" s="28"/>
      <c r="K413" s="65" t="str">
        <f aca="false">IF($A413="","",IF(OR($C413="Decision",$C413="Conflict"),IF(COUNTIFS($I$2:$I$1001,$A413,$C$2:$C$1001,"Resolved")=0,"Open","Closed"),IF(AND($H413="Unconfirmed",OR($C413="New",$C413="Know")),IF(COUNTIFS($I$2:$I$1001,$A413,$C$2:$C$1001,"Confirmed")=0,"Unconfirmed","Confirmed"),"Logged")))</f>
        <v/>
      </c>
      <c r="L413" s="65" t="str">
        <f aca="false">IF($A413="","",AsOf-$B413)</f>
        <v/>
      </c>
      <c r="M413" s="65" t="str">
        <f aca="false">IF($K413="Open",IF($C413="Conflict","Critical",IF($L413&gt;=DecisionCritical,"Critical",IF($L413&gt;=DecisionWarn,"Warning","On track"))),IF($K413="Unconfirmed",IF($L413&gt;=UnconfirmedWarn,"Warning","On track"),""))</f>
        <v/>
      </c>
      <c r="N413" s="65" t="str">
        <f aca="false">IF($M413="","",IF($M413="Critical",3000,IF($M413="Warning",2000,1000))+$L413+ROW()/100000)</f>
        <v/>
      </c>
      <c r="O413" s="65" t="str">
        <f aca="false">IF($K413="Open",IF($C413="Conflict","decide "&amp;$A413&amp;": &lt;which version stands&gt;","decide "&amp;$A413&amp;": &lt;outcome&gt;"),IF($K413="Unconfirmed","confirm "&amp;$A413,""))</f>
        <v/>
      </c>
      <c r="P413" s="65" t="str">
        <f aca="false">IF(AND($C413="New",$B413&gt;=WeekStart),$B413+ROW()/100000,"")</f>
        <v/>
      </c>
      <c r="Q413" s="65" t="str">
        <f aca="false">IF(AND($C413="Know",$B413&gt;=WeekStart),$B413+ROW()/100000,"")</f>
        <v/>
      </c>
      <c r="R413" s="65" t="str">
        <f aca="false">IF(AND($K413="Open",$C413="Decision"),$L413+ROW()/100000,"")</f>
        <v/>
      </c>
      <c r="S413" s="65" t="str">
        <f aca="false">IF(AND($J413&lt;&gt;"",$J413=UCSel),$B413+ROW()/100000,"")</f>
        <v/>
      </c>
    </row>
    <row r="414" customFormat="false" ht="15" hidden="false" customHeight="false" outlineLevel="0" collapsed="false">
      <c r="A414" s="28"/>
      <c r="B414" s="63"/>
      <c r="C414" s="64"/>
      <c r="D414" s="28"/>
      <c r="E414" s="28"/>
      <c r="F414" s="28"/>
      <c r="G414" s="64"/>
      <c r="H414" s="64"/>
      <c r="I414" s="28"/>
      <c r="J414" s="28"/>
      <c r="K414" s="65" t="str">
        <f aca="false">IF($A414="","",IF(OR($C414="Decision",$C414="Conflict"),IF(COUNTIFS($I$2:$I$1001,$A414,$C$2:$C$1001,"Resolved")=0,"Open","Closed"),IF(AND($H414="Unconfirmed",OR($C414="New",$C414="Know")),IF(COUNTIFS($I$2:$I$1001,$A414,$C$2:$C$1001,"Confirmed")=0,"Unconfirmed","Confirmed"),"Logged")))</f>
        <v/>
      </c>
      <c r="L414" s="65" t="str">
        <f aca="false">IF($A414="","",AsOf-$B414)</f>
        <v/>
      </c>
      <c r="M414" s="65" t="str">
        <f aca="false">IF($K414="Open",IF($C414="Conflict","Critical",IF($L414&gt;=DecisionCritical,"Critical",IF($L414&gt;=DecisionWarn,"Warning","On track"))),IF($K414="Unconfirmed",IF($L414&gt;=UnconfirmedWarn,"Warning","On track"),""))</f>
        <v/>
      </c>
      <c r="N414" s="65" t="str">
        <f aca="false">IF($M414="","",IF($M414="Critical",3000,IF($M414="Warning",2000,1000))+$L414+ROW()/100000)</f>
        <v/>
      </c>
      <c r="O414" s="65" t="str">
        <f aca="false">IF($K414="Open",IF($C414="Conflict","decide "&amp;$A414&amp;": &lt;which version stands&gt;","decide "&amp;$A414&amp;": &lt;outcome&gt;"),IF($K414="Unconfirmed","confirm "&amp;$A414,""))</f>
        <v/>
      </c>
      <c r="P414" s="65" t="str">
        <f aca="false">IF(AND($C414="New",$B414&gt;=WeekStart),$B414+ROW()/100000,"")</f>
        <v/>
      </c>
      <c r="Q414" s="65" t="str">
        <f aca="false">IF(AND($C414="Know",$B414&gt;=WeekStart),$B414+ROW()/100000,"")</f>
        <v/>
      </c>
      <c r="R414" s="65" t="str">
        <f aca="false">IF(AND($K414="Open",$C414="Decision"),$L414+ROW()/100000,"")</f>
        <v/>
      </c>
      <c r="S414" s="65" t="str">
        <f aca="false">IF(AND($J414&lt;&gt;"",$J414=UCSel),$B414+ROW()/100000,"")</f>
        <v/>
      </c>
    </row>
    <row r="415" customFormat="false" ht="15" hidden="false" customHeight="false" outlineLevel="0" collapsed="false">
      <c r="A415" s="28"/>
      <c r="B415" s="63"/>
      <c r="C415" s="64"/>
      <c r="D415" s="28"/>
      <c r="E415" s="28"/>
      <c r="F415" s="28"/>
      <c r="G415" s="64"/>
      <c r="H415" s="64"/>
      <c r="I415" s="28"/>
      <c r="J415" s="28"/>
      <c r="K415" s="65" t="str">
        <f aca="false">IF($A415="","",IF(OR($C415="Decision",$C415="Conflict"),IF(COUNTIFS($I$2:$I$1001,$A415,$C$2:$C$1001,"Resolved")=0,"Open","Closed"),IF(AND($H415="Unconfirmed",OR($C415="New",$C415="Know")),IF(COUNTIFS($I$2:$I$1001,$A415,$C$2:$C$1001,"Confirmed")=0,"Unconfirmed","Confirmed"),"Logged")))</f>
        <v/>
      </c>
      <c r="L415" s="65" t="str">
        <f aca="false">IF($A415="","",AsOf-$B415)</f>
        <v/>
      </c>
      <c r="M415" s="65" t="str">
        <f aca="false">IF($K415="Open",IF($C415="Conflict","Critical",IF($L415&gt;=DecisionCritical,"Critical",IF($L415&gt;=DecisionWarn,"Warning","On track"))),IF($K415="Unconfirmed",IF($L415&gt;=UnconfirmedWarn,"Warning","On track"),""))</f>
        <v/>
      </c>
      <c r="N415" s="65" t="str">
        <f aca="false">IF($M415="","",IF($M415="Critical",3000,IF($M415="Warning",2000,1000))+$L415+ROW()/100000)</f>
        <v/>
      </c>
      <c r="O415" s="65" t="str">
        <f aca="false">IF($K415="Open",IF($C415="Conflict","decide "&amp;$A415&amp;": &lt;which version stands&gt;","decide "&amp;$A415&amp;": &lt;outcome&gt;"),IF($K415="Unconfirmed","confirm "&amp;$A415,""))</f>
        <v/>
      </c>
      <c r="P415" s="65" t="str">
        <f aca="false">IF(AND($C415="New",$B415&gt;=WeekStart),$B415+ROW()/100000,"")</f>
        <v/>
      </c>
      <c r="Q415" s="65" t="str">
        <f aca="false">IF(AND($C415="Know",$B415&gt;=WeekStart),$B415+ROW()/100000,"")</f>
        <v/>
      </c>
      <c r="R415" s="65" t="str">
        <f aca="false">IF(AND($K415="Open",$C415="Decision"),$L415+ROW()/100000,"")</f>
        <v/>
      </c>
      <c r="S415" s="65" t="str">
        <f aca="false">IF(AND($J415&lt;&gt;"",$J415=UCSel),$B415+ROW()/100000,"")</f>
        <v/>
      </c>
    </row>
    <row r="416" customFormat="false" ht="15" hidden="false" customHeight="false" outlineLevel="0" collapsed="false">
      <c r="A416" s="28"/>
      <c r="B416" s="63"/>
      <c r="C416" s="64"/>
      <c r="D416" s="28"/>
      <c r="E416" s="28"/>
      <c r="F416" s="28"/>
      <c r="G416" s="64"/>
      <c r="H416" s="64"/>
      <c r="I416" s="28"/>
      <c r="J416" s="28"/>
      <c r="K416" s="65" t="str">
        <f aca="false">IF($A416="","",IF(OR($C416="Decision",$C416="Conflict"),IF(COUNTIFS($I$2:$I$1001,$A416,$C$2:$C$1001,"Resolved")=0,"Open","Closed"),IF(AND($H416="Unconfirmed",OR($C416="New",$C416="Know")),IF(COUNTIFS($I$2:$I$1001,$A416,$C$2:$C$1001,"Confirmed")=0,"Unconfirmed","Confirmed"),"Logged")))</f>
        <v/>
      </c>
      <c r="L416" s="65" t="str">
        <f aca="false">IF($A416="","",AsOf-$B416)</f>
        <v/>
      </c>
      <c r="M416" s="65" t="str">
        <f aca="false">IF($K416="Open",IF($C416="Conflict","Critical",IF($L416&gt;=DecisionCritical,"Critical",IF($L416&gt;=DecisionWarn,"Warning","On track"))),IF($K416="Unconfirmed",IF($L416&gt;=UnconfirmedWarn,"Warning","On track"),""))</f>
        <v/>
      </c>
      <c r="N416" s="65" t="str">
        <f aca="false">IF($M416="","",IF($M416="Critical",3000,IF($M416="Warning",2000,1000))+$L416+ROW()/100000)</f>
        <v/>
      </c>
      <c r="O416" s="65" t="str">
        <f aca="false">IF($K416="Open",IF($C416="Conflict","decide "&amp;$A416&amp;": &lt;which version stands&gt;","decide "&amp;$A416&amp;": &lt;outcome&gt;"),IF($K416="Unconfirmed","confirm "&amp;$A416,""))</f>
        <v/>
      </c>
      <c r="P416" s="65" t="str">
        <f aca="false">IF(AND($C416="New",$B416&gt;=WeekStart),$B416+ROW()/100000,"")</f>
        <v/>
      </c>
      <c r="Q416" s="65" t="str">
        <f aca="false">IF(AND($C416="Know",$B416&gt;=WeekStart),$B416+ROW()/100000,"")</f>
        <v/>
      </c>
      <c r="R416" s="65" t="str">
        <f aca="false">IF(AND($K416="Open",$C416="Decision"),$L416+ROW()/100000,"")</f>
        <v/>
      </c>
      <c r="S416" s="65" t="str">
        <f aca="false">IF(AND($J416&lt;&gt;"",$J416=UCSel),$B416+ROW()/100000,"")</f>
        <v/>
      </c>
    </row>
    <row r="417" customFormat="false" ht="15" hidden="false" customHeight="false" outlineLevel="0" collapsed="false">
      <c r="A417" s="28"/>
      <c r="B417" s="63"/>
      <c r="C417" s="64"/>
      <c r="D417" s="28"/>
      <c r="E417" s="28"/>
      <c r="F417" s="28"/>
      <c r="G417" s="64"/>
      <c r="H417" s="64"/>
      <c r="I417" s="28"/>
      <c r="J417" s="28"/>
      <c r="K417" s="65" t="str">
        <f aca="false">IF($A417="","",IF(OR($C417="Decision",$C417="Conflict"),IF(COUNTIFS($I$2:$I$1001,$A417,$C$2:$C$1001,"Resolved")=0,"Open","Closed"),IF(AND($H417="Unconfirmed",OR($C417="New",$C417="Know")),IF(COUNTIFS($I$2:$I$1001,$A417,$C$2:$C$1001,"Confirmed")=0,"Unconfirmed","Confirmed"),"Logged")))</f>
        <v/>
      </c>
      <c r="L417" s="65" t="str">
        <f aca="false">IF($A417="","",AsOf-$B417)</f>
        <v/>
      </c>
      <c r="M417" s="65" t="str">
        <f aca="false">IF($K417="Open",IF($C417="Conflict","Critical",IF($L417&gt;=DecisionCritical,"Critical",IF($L417&gt;=DecisionWarn,"Warning","On track"))),IF($K417="Unconfirmed",IF($L417&gt;=UnconfirmedWarn,"Warning","On track"),""))</f>
        <v/>
      </c>
      <c r="N417" s="65" t="str">
        <f aca="false">IF($M417="","",IF($M417="Critical",3000,IF($M417="Warning",2000,1000))+$L417+ROW()/100000)</f>
        <v/>
      </c>
      <c r="O417" s="65" t="str">
        <f aca="false">IF($K417="Open",IF($C417="Conflict","decide "&amp;$A417&amp;": &lt;which version stands&gt;","decide "&amp;$A417&amp;": &lt;outcome&gt;"),IF($K417="Unconfirmed","confirm "&amp;$A417,""))</f>
        <v/>
      </c>
      <c r="P417" s="65" t="str">
        <f aca="false">IF(AND($C417="New",$B417&gt;=WeekStart),$B417+ROW()/100000,"")</f>
        <v/>
      </c>
      <c r="Q417" s="65" t="str">
        <f aca="false">IF(AND($C417="Know",$B417&gt;=WeekStart),$B417+ROW()/100000,"")</f>
        <v/>
      </c>
      <c r="R417" s="65" t="str">
        <f aca="false">IF(AND($K417="Open",$C417="Decision"),$L417+ROW()/100000,"")</f>
        <v/>
      </c>
      <c r="S417" s="65" t="str">
        <f aca="false">IF(AND($J417&lt;&gt;"",$J417=UCSel),$B417+ROW()/100000,"")</f>
        <v/>
      </c>
    </row>
    <row r="418" customFormat="false" ht="15" hidden="false" customHeight="false" outlineLevel="0" collapsed="false">
      <c r="A418" s="28"/>
      <c r="B418" s="63"/>
      <c r="C418" s="64"/>
      <c r="D418" s="28"/>
      <c r="E418" s="28"/>
      <c r="F418" s="28"/>
      <c r="G418" s="64"/>
      <c r="H418" s="64"/>
      <c r="I418" s="28"/>
      <c r="J418" s="28"/>
      <c r="K418" s="65" t="str">
        <f aca="false">IF($A418="","",IF(OR($C418="Decision",$C418="Conflict"),IF(COUNTIFS($I$2:$I$1001,$A418,$C$2:$C$1001,"Resolved")=0,"Open","Closed"),IF(AND($H418="Unconfirmed",OR($C418="New",$C418="Know")),IF(COUNTIFS($I$2:$I$1001,$A418,$C$2:$C$1001,"Confirmed")=0,"Unconfirmed","Confirmed"),"Logged")))</f>
        <v/>
      </c>
      <c r="L418" s="65" t="str">
        <f aca="false">IF($A418="","",AsOf-$B418)</f>
        <v/>
      </c>
      <c r="M418" s="65" t="str">
        <f aca="false">IF($K418="Open",IF($C418="Conflict","Critical",IF($L418&gt;=DecisionCritical,"Critical",IF($L418&gt;=DecisionWarn,"Warning","On track"))),IF($K418="Unconfirmed",IF($L418&gt;=UnconfirmedWarn,"Warning","On track"),""))</f>
        <v/>
      </c>
      <c r="N418" s="65" t="str">
        <f aca="false">IF($M418="","",IF($M418="Critical",3000,IF($M418="Warning",2000,1000))+$L418+ROW()/100000)</f>
        <v/>
      </c>
      <c r="O418" s="65" t="str">
        <f aca="false">IF($K418="Open",IF($C418="Conflict","decide "&amp;$A418&amp;": &lt;which version stands&gt;","decide "&amp;$A418&amp;": &lt;outcome&gt;"),IF($K418="Unconfirmed","confirm "&amp;$A418,""))</f>
        <v/>
      </c>
      <c r="P418" s="65" t="str">
        <f aca="false">IF(AND($C418="New",$B418&gt;=WeekStart),$B418+ROW()/100000,"")</f>
        <v/>
      </c>
      <c r="Q418" s="65" t="str">
        <f aca="false">IF(AND($C418="Know",$B418&gt;=WeekStart),$B418+ROW()/100000,"")</f>
        <v/>
      </c>
      <c r="R418" s="65" t="str">
        <f aca="false">IF(AND($K418="Open",$C418="Decision"),$L418+ROW()/100000,"")</f>
        <v/>
      </c>
      <c r="S418" s="65" t="str">
        <f aca="false">IF(AND($J418&lt;&gt;"",$J418=UCSel),$B418+ROW()/100000,"")</f>
        <v/>
      </c>
    </row>
    <row r="419" customFormat="false" ht="15" hidden="false" customHeight="false" outlineLevel="0" collapsed="false">
      <c r="A419" s="28"/>
      <c r="B419" s="63"/>
      <c r="C419" s="64"/>
      <c r="D419" s="28"/>
      <c r="E419" s="28"/>
      <c r="F419" s="28"/>
      <c r="G419" s="64"/>
      <c r="H419" s="64"/>
      <c r="I419" s="28"/>
      <c r="J419" s="28"/>
      <c r="K419" s="65" t="str">
        <f aca="false">IF($A419="","",IF(OR($C419="Decision",$C419="Conflict"),IF(COUNTIFS($I$2:$I$1001,$A419,$C$2:$C$1001,"Resolved")=0,"Open","Closed"),IF(AND($H419="Unconfirmed",OR($C419="New",$C419="Know")),IF(COUNTIFS($I$2:$I$1001,$A419,$C$2:$C$1001,"Confirmed")=0,"Unconfirmed","Confirmed"),"Logged")))</f>
        <v/>
      </c>
      <c r="L419" s="65" t="str">
        <f aca="false">IF($A419="","",AsOf-$B419)</f>
        <v/>
      </c>
      <c r="M419" s="65" t="str">
        <f aca="false">IF($K419="Open",IF($C419="Conflict","Critical",IF($L419&gt;=DecisionCritical,"Critical",IF($L419&gt;=DecisionWarn,"Warning","On track"))),IF($K419="Unconfirmed",IF($L419&gt;=UnconfirmedWarn,"Warning","On track"),""))</f>
        <v/>
      </c>
      <c r="N419" s="65" t="str">
        <f aca="false">IF($M419="","",IF($M419="Critical",3000,IF($M419="Warning",2000,1000))+$L419+ROW()/100000)</f>
        <v/>
      </c>
      <c r="O419" s="65" t="str">
        <f aca="false">IF($K419="Open",IF($C419="Conflict","decide "&amp;$A419&amp;": &lt;which version stands&gt;","decide "&amp;$A419&amp;": &lt;outcome&gt;"),IF($K419="Unconfirmed","confirm "&amp;$A419,""))</f>
        <v/>
      </c>
      <c r="P419" s="65" t="str">
        <f aca="false">IF(AND($C419="New",$B419&gt;=WeekStart),$B419+ROW()/100000,"")</f>
        <v/>
      </c>
      <c r="Q419" s="65" t="str">
        <f aca="false">IF(AND($C419="Know",$B419&gt;=WeekStart),$B419+ROW()/100000,"")</f>
        <v/>
      </c>
      <c r="R419" s="65" t="str">
        <f aca="false">IF(AND($K419="Open",$C419="Decision"),$L419+ROW()/100000,"")</f>
        <v/>
      </c>
      <c r="S419" s="65" t="str">
        <f aca="false">IF(AND($J419&lt;&gt;"",$J419=UCSel),$B419+ROW()/100000,"")</f>
        <v/>
      </c>
    </row>
    <row r="420" customFormat="false" ht="15" hidden="false" customHeight="false" outlineLevel="0" collapsed="false">
      <c r="A420" s="28"/>
      <c r="B420" s="63"/>
      <c r="C420" s="64"/>
      <c r="D420" s="28"/>
      <c r="E420" s="28"/>
      <c r="F420" s="28"/>
      <c r="G420" s="64"/>
      <c r="H420" s="64"/>
      <c r="I420" s="28"/>
      <c r="J420" s="28"/>
      <c r="K420" s="65" t="str">
        <f aca="false">IF($A420="","",IF(OR($C420="Decision",$C420="Conflict"),IF(COUNTIFS($I$2:$I$1001,$A420,$C$2:$C$1001,"Resolved")=0,"Open","Closed"),IF(AND($H420="Unconfirmed",OR($C420="New",$C420="Know")),IF(COUNTIFS($I$2:$I$1001,$A420,$C$2:$C$1001,"Confirmed")=0,"Unconfirmed","Confirmed"),"Logged")))</f>
        <v/>
      </c>
      <c r="L420" s="65" t="str">
        <f aca="false">IF($A420="","",AsOf-$B420)</f>
        <v/>
      </c>
      <c r="M420" s="65" t="str">
        <f aca="false">IF($K420="Open",IF($C420="Conflict","Critical",IF($L420&gt;=DecisionCritical,"Critical",IF($L420&gt;=DecisionWarn,"Warning","On track"))),IF($K420="Unconfirmed",IF($L420&gt;=UnconfirmedWarn,"Warning","On track"),""))</f>
        <v/>
      </c>
      <c r="N420" s="65" t="str">
        <f aca="false">IF($M420="","",IF($M420="Critical",3000,IF($M420="Warning",2000,1000))+$L420+ROW()/100000)</f>
        <v/>
      </c>
      <c r="O420" s="65" t="str">
        <f aca="false">IF($K420="Open",IF($C420="Conflict","decide "&amp;$A420&amp;": &lt;which version stands&gt;","decide "&amp;$A420&amp;": &lt;outcome&gt;"),IF($K420="Unconfirmed","confirm "&amp;$A420,""))</f>
        <v/>
      </c>
      <c r="P420" s="65" t="str">
        <f aca="false">IF(AND($C420="New",$B420&gt;=WeekStart),$B420+ROW()/100000,"")</f>
        <v/>
      </c>
      <c r="Q420" s="65" t="str">
        <f aca="false">IF(AND($C420="Know",$B420&gt;=WeekStart),$B420+ROW()/100000,"")</f>
        <v/>
      </c>
      <c r="R420" s="65" t="str">
        <f aca="false">IF(AND($K420="Open",$C420="Decision"),$L420+ROW()/100000,"")</f>
        <v/>
      </c>
      <c r="S420" s="65" t="str">
        <f aca="false">IF(AND($J420&lt;&gt;"",$J420=UCSel),$B420+ROW()/100000,"")</f>
        <v/>
      </c>
    </row>
    <row r="421" customFormat="false" ht="15" hidden="false" customHeight="false" outlineLevel="0" collapsed="false">
      <c r="A421" s="28"/>
      <c r="B421" s="63"/>
      <c r="C421" s="64"/>
      <c r="D421" s="28"/>
      <c r="E421" s="28"/>
      <c r="F421" s="28"/>
      <c r="G421" s="64"/>
      <c r="H421" s="64"/>
      <c r="I421" s="28"/>
      <c r="J421" s="28"/>
      <c r="K421" s="65" t="str">
        <f aca="false">IF($A421="","",IF(OR($C421="Decision",$C421="Conflict"),IF(COUNTIFS($I$2:$I$1001,$A421,$C$2:$C$1001,"Resolved")=0,"Open","Closed"),IF(AND($H421="Unconfirmed",OR($C421="New",$C421="Know")),IF(COUNTIFS($I$2:$I$1001,$A421,$C$2:$C$1001,"Confirmed")=0,"Unconfirmed","Confirmed"),"Logged")))</f>
        <v/>
      </c>
      <c r="L421" s="65" t="str">
        <f aca="false">IF($A421="","",AsOf-$B421)</f>
        <v/>
      </c>
      <c r="M421" s="65" t="str">
        <f aca="false">IF($K421="Open",IF($C421="Conflict","Critical",IF($L421&gt;=DecisionCritical,"Critical",IF($L421&gt;=DecisionWarn,"Warning","On track"))),IF($K421="Unconfirmed",IF($L421&gt;=UnconfirmedWarn,"Warning","On track"),""))</f>
        <v/>
      </c>
      <c r="N421" s="65" t="str">
        <f aca="false">IF($M421="","",IF($M421="Critical",3000,IF($M421="Warning",2000,1000))+$L421+ROW()/100000)</f>
        <v/>
      </c>
      <c r="O421" s="65" t="str">
        <f aca="false">IF($K421="Open",IF($C421="Conflict","decide "&amp;$A421&amp;": &lt;which version stands&gt;","decide "&amp;$A421&amp;": &lt;outcome&gt;"),IF($K421="Unconfirmed","confirm "&amp;$A421,""))</f>
        <v/>
      </c>
      <c r="P421" s="65" t="str">
        <f aca="false">IF(AND($C421="New",$B421&gt;=WeekStart),$B421+ROW()/100000,"")</f>
        <v/>
      </c>
      <c r="Q421" s="65" t="str">
        <f aca="false">IF(AND($C421="Know",$B421&gt;=WeekStart),$B421+ROW()/100000,"")</f>
        <v/>
      </c>
      <c r="R421" s="65" t="str">
        <f aca="false">IF(AND($K421="Open",$C421="Decision"),$L421+ROW()/100000,"")</f>
        <v/>
      </c>
      <c r="S421" s="65" t="str">
        <f aca="false">IF(AND($J421&lt;&gt;"",$J421=UCSel),$B421+ROW()/100000,"")</f>
        <v/>
      </c>
    </row>
    <row r="422" customFormat="false" ht="15" hidden="false" customHeight="false" outlineLevel="0" collapsed="false">
      <c r="A422" s="28"/>
      <c r="B422" s="63"/>
      <c r="C422" s="64"/>
      <c r="D422" s="28"/>
      <c r="E422" s="28"/>
      <c r="F422" s="28"/>
      <c r="G422" s="64"/>
      <c r="H422" s="64"/>
      <c r="I422" s="28"/>
      <c r="J422" s="28"/>
      <c r="K422" s="65" t="str">
        <f aca="false">IF($A422="","",IF(OR($C422="Decision",$C422="Conflict"),IF(COUNTIFS($I$2:$I$1001,$A422,$C$2:$C$1001,"Resolved")=0,"Open","Closed"),IF(AND($H422="Unconfirmed",OR($C422="New",$C422="Know")),IF(COUNTIFS($I$2:$I$1001,$A422,$C$2:$C$1001,"Confirmed")=0,"Unconfirmed","Confirmed"),"Logged")))</f>
        <v/>
      </c>
      <c r="L422" s="65" t="str">
        <f aca="false">IF($A422="","",AsOf-$B422)</f>
        <v/>
      </c>
      <c r="M422" s="65" t="str">
        <f aca="false">IF($K422="Open",IF($C422="Conflict","Critical",IF($L422&gt;=DecisionCritical,"Critical",IF($L422&gt;=DecisionWarn,"Warning","On track"))),IF($K422="Unconfirmed",IF($L422&gt;=UnconfirmedWarn,"Warning","On track"),""))</f>
        <v/>
      </c>
      <c r="N422" s="65" t="str">
        <f aca="false">IF($M422="","",IF($M422="Critical",3000,IF($M422="Warning",2000,1000))+$L422+ROW()/100000)</f>
        <v/>
      </c>
      <c r="O422" s="65" t="str">
        <f aca="false">IF($K422="Open",IF($C422="Conflict","decide "&amp;$A422&amp;": &lt;which version stands&gt;","decide "&amp;$A422&amp;": &lt;outcome&gt;"),IF($K422="Unconfirmed","confirm "&amp;$A422,""))</f>
        <v/>
      </c>
      <c r="P422" s="65" t="str">
        <f aca="false">IF(AND($C422="New",$B422&gt;=WeekStart),$B422+ROW()/100000,"")</f>
        <v/>
      </c>
      <c r="Q422" s="65" t="str">
        <f aca="false">IF(AND($C422="Know",$B422&gt;=WeekStart),$B422+ROW()/100000,"")</f>
        <v/>
      </c>
      <c r="R422" s="65" t="str">
        <f aca="false">IF(AND($K422="Open",$C422="Decision"),$L422+ROW()/100000,"")</f>
        <v/>
      </c>
      <c r="S422" s="65" t="str">
        <f aca="false">IF(AND($J422&lt;&gt;"",$J422=UCSel),$B422+ROW()/100000,"")</f>
        <v/>
      </c>
    </row>
    <row r="423" customFormat="false" ht="15" hidden="false" customHeight="false" outlineLevel="0" collapsed="false">
      <c r="A423" s="28"/>
      <c r="B423" s="63"/>
      <c r="C423" s="64"/>
      <c r="D423" s="28"/>
      <c r="E423" s="28"/>
      <c r="F423" s="28"/>
      <c r="G423" s="64"/>
      <c r="H423" s="64"/>
      <c r="I423" s="28"/>
      <c r="J423" s="28"/>
      <c r="K423" s="65" t="str">
        <f aca="false">IF($A423="","",IF(OR($C423="Decision",$C423="Conflict"),IF(COUNTIFS($I$2:$I$1001,$A423,$C$2:$C$1001,"Resolved")=0,"Open","Closed"),IF(AND($H423="Unconfirmed",OR($C423="New",$C423="Know")),IF(COUNTIFS($I$2:$I$1001,$A423,$C$2:$C$1001,"Confirmed")=0,"Unconfirmed","Confirmed"),"Logged")))</f>
        <v/>
      </c>
      <c r="L423" s="65" t="str">
        <f aca="false">IF($A423="","",AsOf-$B423)</f>
        <v/>
      </c>
      <c r="M423" s="65" t="str">
        <f aca="false">IF($K423="Open",IF($C423="Conflict","Critical",IF($L423&gt;=DecisionCritical,"Critical",IF($L423&gt;=DecisionWarn,"Warning","On track"))),IF($K423="Unconfirmed",IF($L423&gt;=UnconfirmedWarn,"Warning","On track"),""))</f>
        <v/>
      </c>
      <c r="N423" s="65" t="str">
        <f aca="false">IF($M423="","",IF($M423="Critical",3000,IF($M423="Warning",2000,1000))+$L423+ROW()/100000)</f>
        <v/>
      </c>
      <c r="O423" s="65" t="str">
        <f aca="false">IF($K423="Open",IF($C423="Conflict","decide "&amp;$A423&amp;": &lt;which version stands&gt;","decide "&amp;$A423&amp;": &lt;outcome&gt;"),IF($K423="Unconfirmed","confirm "&amp;$A423,""))</f>
        <v/>
      </c>
      <c r="P423" s="65" t="str">
        <f aca="false">IF(AND($C423="New",$B423&gt;=WeekStart),$B423+ROW()/100000,"")</f>
        <v/>
      </c>
      <c r="Q423" s="65" t="str">
        <f aca="false">IF(AND($C423="Know",$B423&gt;=WeekStart),$B423+ROW()/100000,"")</f>
        <v/>
      </c>
      <c r="R423" s="65" t="str">
        <f aca="false">IF(AND($K423="Open",$C423="Decision"),$L423+ROW()/100000,"")</f>
        <v/>
      </c>
      <c r="S423" s="65" t="str">
        <f aca="false">IF(AND($J423&lt;&gt;"",$J423=UCSel),$B423+ROW()/100000,"")</f>
        <v/>
      </c>
    </row>
    <row r="424" customFormat="false" ht="15" hidden="false" customHeight="false" outlineLevel="0" collapsed="false">
      <c r="A424" s="28"/>
      <c r="B424" s="63"/>
      <c r="C424" s="64"/>
      <c r="D424" s="28"/>
      <c r="E424" s="28"/>
      <c r="F424" s="28"/>
      <c r="G424" s="64"/>
      <c r="H424" s="64"/>
      <c r="I424" s="28"/>
      <c r="J424" s="28"/>
      <c r="K424" s="65" t="str">
        <f aca="false">IF($A424="","",IF(OR($C424="Decision",$C424="Conflict"),IF(COUNTIFS($I$2:$I$1001,$A424,$C$2:$C$1001,"Resolved")=0,"Open","Closed"),IF(AND($H424="Unconfirmed",OR($C424="New",$C424="Know")),IF(COUNTIFS($I$2:$I$1001,$A424,$C$2:$C$1001,"Confirmed")=0,"Unconfirmed","Confirmed"),"Logged")))</f>
        <v/>
      </c>
      <c r="L424" s="65" t="str">
        <f aca="false">IF($A424="","",AsOf-$B424)</f>
        <v/>
      </c>
      <c r="M424" s="65" t="str">
        <f aca="false">IF($K424="Open",IF($C424="Conflict","Critical",IF($L424&gt;=DecisionCritical,"Critical",IF($L424&gt;=DecisionWarn,"Warning","On track"))),IF($K424="Unconfirmed",IF($L424&gt;=UnconfirmedWarn,"Warning","On track"),""))</f>
        <v/>
      </c>
      <c r="N424" s="65" t="str">
        <f aca="false">IF($M424="","",IF($M424="Critical",3000,IF($M424="Warning",2000,1000))+$L424+ROW()/100000)</f>
        <v/>
      </c>
      <c r="O424" s="65" t="str">
        <f aca="false">IF($K424="Open",IF($C424="Conflict","decide "&amp;$A424&amp;": &lt;which version stands&gt;","decide "&amp;$A424&amp;": &lt;outcome&gt;"),IF($K424="Unconfirmed","confirm "&amp;$A424,""))</f>
        <v/>
      </c>
      <c r="P424" s="65" t="str">
        <f aca="false">IF(AND($C424="New",$B424&gt;=WeekStart),$B424+ROW()/100000,"")</f>
        <v/>
      </c>
      <c r="Q424" s="65" t="str">
        <f aca="false">IF(AND($C424="Know",$B424&gt;=WeekStart),$B424+ROW()/100000,"")</f>
        <v/>
      </c>
      <c r="R424" s="65" t="str">
        <f aca="false">IF(AND($K424="Open",$C424="Decision"),$L424+ROW()/100000,"")</f>
        <v/>
      </c>
      <c r="S424" s="65" t="str">
        <f aca="false">IF(AND($J424&lt;&gt;"",$J424=UCSel),$B424+ROW()/100000,"")</f>
        <v/>
      </c>
    </row>
    <row r="425" customFormat="false" ht="15" hidden="false" customHeight="false" outlineLevel="0" collapsed="false">
      <c r="A425" s="28"/>
      <c r="B425" s="63"/>
      <c r="C425" s="64"/>
      <c r="D425" s="28"/>
      <c r="E425" s="28"/>
      <c r="F425" s="28"/>
      <c r="G425" s="64"/>
      <c r="H425" s="64"/>
      <c r="I425" s="28"/>
      <c r="J425" s="28"/>
      <c r="K425" s="65" t="str">
        <f aca="false">IF($A425="","",IF(OR($C425="Decision",$C425="Conflict"),IF(COUNTIFS($I$2:$I$1001,$A425,$C$2:$C$1001,"Resolved")=0,"Open","Closed"),IF(AND($H425="Unconfirmed",OR($C425="New",$C425="Know")),IF(COUNTIFS($I$2:$I$1001,$A425,$C$2:$C$1001,"Confirmed")=0,"Unconfirmed","Confirmed"),"Logged")))</f>
        <v/>
      </c>
      <c r="L425" s="65" t="str">
        <f aca="false">IF($A425="","",AsOf-$B425)</f>
        <v/>
      </c>
      <c r="M425" s="65" t="str">
        <f aca="false">IF($K425="Open",IF($C425="Conflict","Critical",IF($L425&gt;=DecisionCritical,"Critical",IF($L425&gt;=DecisionWarn,"Warning","On track"))),IF($K425="Unconfirmed",IF($L425&gt;=UnconfirmedWarn,"Warning","On track"),""))</f>
        <v/>
      </c>
      <c r="N425" s="65" t="str">
        <f aca="false">IF($M425="","",IF($M425="Critical",3000,IF($M425="Warning",2000,1000))+$L425+ROW()/100000)</f>
        <v/>
      </c>
      <c r="O425" s="65" t="str">
        <f aca="false">IF($K425="Open",IF($C425="Conflict","decide "&amp;$A425&amp;": &lt;which version stands&gt;","decide "&amp;$A425&amp;": &lt;outcome&gt;"),IF($K425="Unconfirmed","confirm "&amp;$A425,""))</f>
        <v/>
      </c>
      <c r="P425" s="65" t="str">
        <f aca="false">IF(AND($C425="New",$B425&gt;=WeekStart),$B425+ROW()/100000,"")</f>
        <v/>
      </c>
      <c r="Q425" s="65" t="str">
        <f aca="false">IF(AND($C425="Know",$B425&gt;=WeekStart),$B425+ROW()/100000,"")</f>
        <v/>
      </c>
      <c r="R425" s="65" t="str">
        <f aca="false">IF(AND($K425="Open",$C425="Decision"),$L425+ROW()/100000,"")</f>
        <v/>
      </c>
      <c r="S425" s="65" t="str">
        <f aca="false">IF(AND($J425&lt;&gt;"",$J425=UCSel),$B425+ROW()/100000,"")</f>
        <v/>
      </c>
    </row>
    <row r="426" customFormat="false" ht="15" hidden="false" customHeight="false" outlineLevel="0" collapsed="false">
      <c r="A426" s="28"/>
      <c r="B426" s="63"/>
      <c r="C426" s="64"/>
      <c r="D426" s="28"/>
      <c r="E426" s="28"/>
      <c r="F426" s="28"/>
      <c r="G426" s="64"/>
      <c r="H426" s="64"/>
      <c r="I426" s="28"/>
      <c r="J426" s="28"/>
      <c r="K426" s="65" t="str">
        <f aca="false">IF($A426="","",IF(OR($C426="Decision",$C426="Conflict"),IF(COUNTIFS($I$2:$I$1001,$A426,$C$2:$C$1001,"Resolved")=0,"Open","Closed"),IF(AND($H426="Unconfirmed",OR($C426="New",$C426="Know")),IF(COUNTIFS($I$2:$I$1001,$A426,$C$2:$C$1001,"Confirmed")=0,"Unconfirmed","Confirmed"),"Logged")))</f>
        <v/>
      </c>
      <c r="L426" s="65" t="str">
        <f aca="false">IF($A426="","",AsOf-$B426)</f>
        <v/>
      </c>
      <c r="M426" s="65" t="str">
        <f aca="false">IF($K426="Open",IF($C426="Conflict","Critical",IF($L426&gt;=DecisionCritical,"Critical",IF($L426&gt;=DecisionWarn,"Warning","On track"))),IF($K426="Unconfirmed",IF($L426&gt;=UnconfirmedWarn,"Warning","On track"),""))</f>
        <v/>
      </c>
      <c r="N426" s="65" t="str">
        <f aca="false">IF($M426="","",IF($M426="Critical",3000,IF($M426="Warning",2000,1000))+$L426+ROW()/100000)</f>
        <v/>
      </c>
      <c r="O426" s="65" t="str">
        <f aca="false">IF($K426="Open",IF($C426="Conflict","decide "&amp;$A426&amp;": &lt;which version stands&gt;","decide "&amp;$A426&amp;": &lt;outcome&gt;"),IF($K426="Unconfirmed","confirm "&amp;$A426,""))</f>
        <v/>
      </c>
      <c r="P426" s="65" t="str">
        <f aca="false">IF(AND($C426="New",$B426&gt;=WeekStart),$B426+ROW()/100000,"")</f>
        <v/>
      </c>
      <c r="Q426" s="65" t="str">
        <f aca="false">IF(AND($C426="Know",$B426&gt;=WeekStart),$B426+ROW()/100000,"")</f>
        <v/>
      </c>
      <c r="R426" s="65" t="str">
        <f aca="false">IF(AND($K426="Open",$C426="Decision"),$L426+ROW()/100000,"")</f>
        <v/>
      </c>
      <c r="S426" s="65" t="str">
        <f aca="false">IF(AND($J426&lt;&gt;"",$J426=UCSel),$B426+ROW()/100000,"")</f>
        <v/>
      </c>
    </row>
    <row r="427" customFormat="false" ht="15" hidden="false" customHeight="false" outlineLevel="0" collapsed="false">
      <c r="A427" s="28"/>
      <c r="B427" s="63"/>
      <c r="C427" s="64"/>
      <c r="D427" s="28"/>
      <c r="E427" s="28"/>
      <c r="F427" s="28"/>
      <c r="G427" s="64"/>
      <c r="H427" s="64"/>
      <c r="I427" s="28"/>
      <c r="J427" s="28"/>
      <c r="K427" s="65" t="str">
        <f aca="false">IF($A427="","",IF(OR($C427="Decision",$C427="Conflict"),IF(COUNTIFS($I$2:$I$1001,$A427,$C$2:$C$1001,"Resolved")=0,"Open","Closed"),IF(AND($H427="Unconfirmed",OR($C427="New",$C427="Know")),IF(COUNTIFS($I$2:$I$1001,$A427,$C$2:$C$1001,"Confirmed")=0,"Unconfirmed","Confirmed"),"Logged")))</f>
        <v/>
      </c>
      <c r="L427" s="65" t="str">
        <f aca="false">IF($A427="","",AsOf-$B427)</f>
        <v/>
      </c>
      <c r="M427" s="65" t="str">
        <f aca="false">IF($K427="Open",IF($C427="Conflict","Critical",IF($L427&gt;=DecisionCritical,"Critical",IF($L427&gt;=DecisionWarn,"Warning","On track"))),IF($K427="Unconfirmed",IF($L427&gt;=UnconfirmedWarn,"Warning","On track"),""))</f>
        <v/>
      </c>
      <c r="N427" s="65" t="str">
        <f aca="false">IF($M427="","",IF($M427="Critical",3000,IF($M427="Warning",2000,1000))+$L427+ROW()/100000)</f>
        <v/>
      </c>
      <c r="O427" s="65" t="str">
        <f aca="false">IF($K427="Open",IF($C427="Conflict","decide "&amp;$A427&amp;": &lt;which version stands&gt;","decide "&amp;$A427&amp;": &lt;outcome&gt;"),IF($K427="Unconfirmed","confirm "&amp;$A427,""))</f>
        <v/>
      </c>
      <c r="P427" s="65" t="str">
        <f aca="false">IF(AND($C427="New",$B427&gt;=WeekStart),$B427+ROW()/100000,"")</f>
        <v/>
      </c>
      <c r="Q427" s="65" t="str">
        <f aca="false">IF(AND($C427="Know",$B427&gt;=WeekStart),$B427+ROW()/100000,"")</f>
        <v/>
      </c>
      <c r="R427" s="65" t="str">
        <f aca="false">IF(AND($K427="Open",$C427="Decision"),$L427+ROW()/100000,"")</f>
        <v/>
      </c>
      <c r="S427" s="65" t="str">
        <f aca="false">IF(AND($J427&lt;&gt;"",$J427=UCSel),$B427+ROW()/100000,"")</f>
        <v/>
      </c>
    </row>
    <row r="428" customFormat="false" ht="15" hidden="false" customHeight="false" outlineLevel="0" collapsed="false">
      <c r="A428" s="28"/>
      <c r="B428" s="63"/>
      <c r="C428" s="64"/>
      <c r="D428" s="28"/>
      <c r="E428" s="28"/>
      <c r="F428" s="28"/>
      <c r="G428" s="64"/>
      <c r="H428" s="64"/>
      <c r="I428" s="28"/>
      <c r="J428" s="28"/>
      <c r="K428" s="65" t="str">
        <f aca="false">IF($A428="","",IF(OR($C428="Decision",$C428="Conflict"),IF(COUNTIFS($I$2:$I$1001,$A428,$C$2:$C$1001,"Resolved")=0,"Open","Closed"),IF(AND($H428="Unconfirmed",OR($C428="New",$C428="Know")),IF(COUNTIFS($I$2:$I$1001,$A428,$C$2:$C$1001,"Confirmed")=0,"Unconfirmed","Confirmed"),"Logged")))</f>
        <v/>
      </c>
      <c r="L428" s="65" t="str">
        <f aca="false">IF($A428="","",AsOf-$B428)</f>
        <v/>
      </c>
      <c r="M428" s="65" t="str">
        <f aca="false">IF($K428="Open",IF($C428="Conflict","Critical",IF($L428&gt;=DecisionCritical,"Critical",IF($L428&gt;=DecisionWarn,"Warning","On track"))),IF($K428="Unconfirmed",IF($L428&gt;=UnconfirmedWarn,"Warning","On track"),""))</f>
        <v/>
      </c>
      <c r="N428" s="65" t="str">
        <f aca="false">IF($M428="","",IF($M428="Critical",3000,IF($M428="Warning",2000,1000))+$L428+ROW()/100000)</f>
        <v/>
      </c>
      <c r="O428" s="65" t="str">
        <f aca="false">IF($K428="Open",IF($C428="Conflict","decide "&amp;$A428&amp;": &lt;which version stands&gt;","decide "&amp;$A428&amp;": &lt;outcome&gt;"),IF($K428="Unconfirmed","confirm "&amp;$A428,""))</f>
        <v/>
      </c>
      <c r="P428" s="65" t="str">
        <f aca="false">IF(AND($C428="New",$B428&gt;=WeekStart),$B428+ROW()/100000,"")</f>
        <v/>
      </c>
      <c r="Q428" s="65" t="str">
        <f aca="false">IF(AND($C428="Know",$B428&gt;=WeekStart),$B428+ROW()/100000,"")</f>
        <v/>
      </c>
      <c r="R428" s="65" t="str">
        <f aca="false">IF(AND($K428="Open",$C428="Decision"),$L428+ROW()/100000,"")</f>
        <v/>
      </c>
      <c r="S428" s="65" t="str">
        <f aca="false">IF(AND($J428&lt;&gt;"",$J428=UCSel),$B428+ROW()/100000,"")</f>
        <v/>
      </c>
    </row>
    <row r="429" customFormat="false" ht="15" hidden="false" customHeight="false" outlineLevel="0" collapsed="false">
      <c r="A429" s="28"/>
      <c r="B429" s="63"/>
      <c r="C429" s="64"/>
      <c r="D429" s="28"/>
      <c r="E429" s="28"/>
      <c r="F429" s="28"/>
      <c r="G429" s="64"/>
      <c r="H429" s="64"/>
      <c r="I429" s="28"/>
      <c r="J429" s="28"/>
      <c r="K429" s="65" t="str">
        <f aca="false">IF($A429="","",IF(OR($C429="Decision",$C429="Conflict"),IF(COUNTIFS($I$2:$I$1001,$A429,$C$2:$C$1001,"Resolved")=0,"Open","Closed"),IF(AND($H429="Unconfirmed",OR($C429="New",$C429="Know")),IF(COUNTIFS($I$2:$I$1001,$A429,$C$2:$C$1001,"Confirmed")=0,"Unconfirmed","Confirmed"),"Logged")))</f>
        <v/>
      </c>
      <c r="L429" s="65" t="str">
        <f aca="false">IF($A429="","",AsOf-$B429)</f>
        <v/>
      </c>
      <c r="M429" s="65" t="str">
        <f aca="false">IF($K429="Open",IF($C429="Conflict","Critical",IF($L429&gt;=DecisionCritical,"Critical",IF($L429&gt;=DecisionWarn,"Warning","On track"))),IF($K429="Unconfirmed",IF($L429&gt;=UnconfirmedWarn,"Warning","On track"),""))</f>
        <v/>
      </c>
      <c r="N429" s="65" t="str">
        <f aca="false">IF($M429="","",IF($M429="Critical",3000,IF($M429="Warning",2000,1000))+$L429+ROW()/100000)</f>
        <v/>
      </c>
      <c r="O429" s="65" t="str">
        <f aca="false">IF($K429="Open",IF($C429="Conflict","decide "&amp;$A429&amp;": &lt;which version stands&gt;","decide "&amp;$A429&amp;": &lt;outcome&gt;"),IF($K429="Unconfirmed","confirm "&amp;$A429,""))</f>
        <v/>
      </c>
      <c r="P429" s="65" t="str">
        <f aca="false">IF(AND($C429="New",$B429&gt;=WeekStart),$B429+ROW()/100000,"")</f>
        <v/>
      </c>
      <c r="Q429" s="65" t="str">
        <f aca="false">IF(AND($C429="Know",$B429&gt;=WeekStart),$B429+ROW()/100000,"")</f>
        <v/>
      </c>
      <c r="R429" s="65" t="str">
        <f aca="false">IF(AND($K429="Open",$C429="Decision"),$L429+ROW()/100000,"")</f>
        <v/>
      </c>
      <c r="S429" s="65" t="str">
        <f aca="false">IF(AND($J429&lt;&gt;"",$J429=UCSel),$B429+ROW()/100000,"")</f>
        <v/>
      </c>
    </row>
    <row r="430" customFormat="false" ht="15" hidden="false" customHeight="false" outlineLevel="0" collapsed="false">
      <c r="A430" s="28"/>
      <c r="B430" s="63"/>
      <c r="C430" s="64"/>
      <c r="D430" s="28"/>
      <c r="E430" s="28"/>
      <c r="F430" s="28"/>
      <c r="G430" s="64"/>
      <c r="H430" s="64"/>
      <c r="I430" s="28"/>
      <c r="J430" s="28"/>
      <c r="K430" s="65" t="str">
        <f aca="false">IF($A430="","",IF(OR($C430="Decision",$C430="Conflict"),IF(COUNTIFS($I$2:$I$1001,$A430,$C$2:$C$1001,"Resolved")=0,"Open","Closed"),IF(AND($H430="Unconfirmed",OR($C430="New",$C430="Know")),IF(COUNTIFS($I$2:$I$1001,$A430,$C$2:$C$1001,"Confirmed")=0,"Unconfirmed","Confirmed"),"Logged")))</f>
        <v/>
      </c>
      <c r="L430" s="65" t="str">
        <f aca="false">IF($A430="","",AsOf-$B430)</f>
        <v/>
      </c>
      <c r="M430" s="65" t="str">
        <f aca="false">IF($K430="Open",IF($C430="Conflict","Critical",IF($L430&gt;=DecisionCritical,"Critical",IF($L430&gt;=DecisionWarn,"Warning","On track"))),IF($K430="Unconfirmed",IF($L430&gt;=UnconfirmedWarn,"Warning","On track"),""))</f>
        <v/>
      </c>
      <c r="N430" s="65" t="str">
        <f aca="false">IF($M430="","",IF($M430="Critical",3000,IF($M430="Warning",2000,1000))+$L430+ROW()/100000)</f>
        <v/>
      </c>
      <c r="O430" s="65" t="str">
        <f aca="false">IF($K430="Open",IF($C430="Conflict","decide "&amp;$A430&amp;": &lt;which version stands&gt;","decide "&amp;$A430&amp;": &lt;outcome&gt;"),IF($K430="Unconfirmed","confirm "&amp;$A430,""))</f>
        <v/>
      </c>
      <c r="P430" s="65" t="str">
        <f aca="false">IF(AND($C430="New",$B430&gt;=WeekStart),$B430+ROW()/100000,"")</f>
        <v/>
      </c>
      <c r="Q430" s="65" t="str">
        <f aca="false">IF(AND($C430="Know",$B430&gt;=WeekStart),$B430+ROW()/100000,"")</f>
        <v/>
      </c>
      <c r="R430" s="65" t="str">
        <f aca="false">IF(AND($K430="Open",$C430="Decision"),$L430+ROW()/100000,"")</f>
        <v/>
      </c>
      <c r="S430" s="65" t="str">
        <f aca="false">IF(AND($J430&lt;&gt;"",$J430=UCSel),$B430+ROW()/100000,"")</f>
        <v/>
      </c>
    </row>
    <row r="431" customFormat="false" ht="15" hidden="false" customHeight="false" outlineLevel="0" collapsed="false">
      <c r="A431" s="28"/>
      <c r="B431" s="63"/>
      <c r="C431" s="64"/>
      <c r="D431" s="28"/>
      <c r="E431" s="28"/>
      <c r="F431" s="28"/>
      <c r="G431" s="64"/>
      <c r="H431" s="64"/>
      <c r="I431" s="28"/>
      <c r="J431" s="28"/>
      <c r="K431" s="65" t="str">
        <f aca="false">IF($A431="","",IF(OR($C431="Decision",$C431="Conflict"),IF(COUNTIFS($I$2:$I$1001,$A431,$C$2:$C$1001,"Resolved")=0,"Open","Closed"),IF(AND($H431="Unconfirmed",OR($C431="New",$C431="Know")),IF(COUNTIFS($I$2:$I$1001,$A431,$C$2:$C$1001,"Confirmed")=0,"Unconfirmed","Confirmed"),"Logged")))</f>
        <v/>
      </c>
      <c r="L431" s="65" t="str">
        <f aca="false">IF($A431="","",AsOf-$B431)</f>
        <v/>
      </c>
      <c r="M431" s="65" t="str">
        <f aca="false">IF($K431="Open",IF($C431="Conflict","Critical",IF($L431&gt;=DecisionCritical,"Critical",IF($L431&gt;=DecisionWarn,"Warning","On track"))),IF($K431="Unconfirmed",IF($L431&gt;=UnconfirmedWarn,"Warning","On track"),""))</f>
        <v/>
      </c>
      <c r="N431" s="65" t="str">
        <f aca="false">IF($M431="","",IF($M431="Critical",3000,IF($M431="Warning",2000,1000))+$L431+ROW()/100000)</f>
        <v/>
      </c>
      <c r="O431" s="65" t="str">
        <f aca="false">IF($K431="Open",IF($C431="Conflict","decide "&amp;$A431&amp;": &lt;which version stands&gt;","decide "&amp;$A431&amp;": &lt;outcome&gt;"),IF($K431="Unconfirmed","confirm "&amp;$A431,""))</f>
        <v/>
      </c>
      <c r="P431" s="65" t="str">
        <f aca="false">IF(AND($C431="New",$B431&gt;=WeekStart),$B431+ROW()/100000,"")</f>
        <v/>
      </c>
      <c r="Q431" s="65" t="str">
        <f aca="false">IF(AND($C431="Know",$B431&gt;=WeekStart),$B431+ROW()/100000,"")</f>
        <v/>
      </c>
      <c r="R431" s="65" t="str">
        <f aca="false">IF(AND($K431="Open",$C431="Decision"),$L431+ROW()/100000,"")</f>
        <v/>
      </c>
      <c r="S431" s="65" t="str">
        <f aca="false">IF(AND($J431&lt;&gt;"",$J431=UCSel),$B431+ROW()/100000,"")</f>
        <v/>
      </c>
    </row>
    <row r="432" customFormat="false" ht="15" hidden="false" customHeight="false" outlineLevel="0" collapsed="false">
      <c r="A432" s="28"/>
      <c r="B432" s="63"/>
      <c r="C432" s="64"/>
      <c r="D432" s="28"/>
      <c r="E432" s="28"/>
      <c r="F432" s="28"/>
      <c r="G432" s="64"/>
      <c r="H432" s="64"/>
      <c r="I432" s="28"/>
      <c r="J432" s="28"/>
      <c r="K432" s="65" t="str">
        <f aca="false">IF($A432="","",IF(OR($C432="Decision",$C432="Conflict"),IF(COUNTIFS($I$2:$I$1001,$A432,$C$2:$C$1001,"Resolved")=0,"Open","Closed"),IF(AND($H432="Unconfirmed",OR($C432="New",$C432="Know")),IF(COUNTIFS($I$2:$I$1001,$A432,$C$2:$C$1001,"Confirmed")=0,"Unconfirmed","Confirmed"),"Logged")))</f>
        <v/>
      </c>
      <c r="L432" s="65" t="str">
        <f aca="false">IF($A432="","",AsOf-$B432)</f>
        <v/>
      </c>
      <c r="M432" s="65" t="str">
        <f aca="false">IF($K432="Open",IF($C432="Conflict","Critical",IF($L432&gt;=DecisionCritical,"Critical",IF($L432&gt;=DecisionWarn,"Warning","On track"))),IF($K432="Unconfirmed",IF($L432&gt;=UnconfirmedWarn,"Warning","On track"),""))</f>
        <v/>
      </c>
      <c r="N432" s="65" t="str">
        <f aca="false">IF($M432="","",IF($M432="Critical",3000,IF($M432="Warning",2000,1000))+$L432+ROW()/100000)</f>
        <v/>
      </c>
      <c r="O432" s="65" t="str">
        <f aca="false">IF($K432="Open",IF($C432="Conflict","decide "&amp;$A432&amp;": &lt;which version stands&gt;","decide "&amp;$A432&amp;": &lt;outcome&gt;"),IF($K432="Unconfirmed","confirm "&amp;$A432,""))</f>
        <v/>
      </c>
      <c r="P432" s="65" t="str">
        <f aca="false">IF(AND($C432="New",$B432&gt;=WeekStart),$B432+ROW()/100000,"")</f>
        <v/>
      </c>
      <c r="Q432" s="65" t="str">
        <f aca="false">IF(AND($C432="Know",$B432&gt;=WeekStart),$B432+ROW()/100000,"")</f>
        <v/>
      </c>
      <c r="R432" s="65" t="str">
        <f aca="false">IF(AND($K432="Open",$C432="Decision"),$L432+ROW()/100000,"")</f>
        <v/>
      </c>
      <c r="S432" s="65" t="str">
        <f aca="false">IF(AND($J432&lt;&gt;"",$J432=UCSel),$B432+ROW()/100000,"")</f>
        <v/>
      </c>
    </row>
    <row r="433" customFormat="false" ht="15" hidden="false" customHeight="false" outlineLevel="0" collapsed="false">
      <c r="A433" s="28"/>
      <c r="B433" s="63"/>
      <c r="C433" s="64"/>
      <c r="D433" s="28"/>
      <c r="E433" s="28"/>
      <c r="F433" s="28"/>
      <c r="G433" s="64"/>
      <c r="H433" s="64"/>
      <c r="I433" s="28"/>
      <c r="J433" s="28"/>
      <c r="K433" s="65" t="str">
        <f aca="false">IF($A433="","",IF(OR($C433="Decision",$C433="Conflict"),IF(COUNTIFS($I$2:$I$1001,$A433,$C$2:$C$1001,"Resolved")=0,"Open","Closed"),IF(AND($H433="Unconfirmed",OR($C433="New",$C433="Know")),IF(COUNTIFS($I$2:$I$1001,$A433,$C$2:$C$1001,"Confirmed")=0,"Unconfirmed","Confirmed"),"Logged")))</f>
        <v/>
      </c>
      <c r="L433" s="65" t="str">
        <f aca="false">IF($A433="","",AsOf-$B433)</f>
        <v/>
      </c>
      <c r="M433" s="65" t="str">
        <f aca="false">IF($K433="Open",IF($C433="Conflict","Critical",IF($L433&gt;=DecisionCritical,"Critical",IF($L433&gt;=DecisionWarn,"Warning","On track"))),IF($K433="Unconfirmed",IF($L433&gt;=UnconfirmedWarn,"Warning","On track"),""))</f>
        <v/>
      </c>
      <c r="N433" s="65" t="str">
        <f aca="false">IF($M433="","",IF($M433="Critical",3000,IF($M433="Warning",2000,1000))+$L433+ROW()/100000)</f>
        <v/>
      </c>
      <c r="O433" s="65" t="str">
        <f aca="false">IF($K433="Open",IF($C433="Conflict","decide "&amp;$A433&amp;": &lt;which version stands&gt;","decide "&amp;$A433&amp;": &lt;outcome&gt;"),IF($K433="Unconfirmed","confirm "&amp;$A433,""))</f>
        <v/>
      </c>
      <c r="P433" s="65" t="str">
        <f aca="false">IF(AND($C433="New",$B433&gt;=WeekStart),$B433+ROW()/100000,"")</f>
        <v/>
      </c>
      <c r="Q433" s="65" t="str">
        <f aca="false">IF(AND($C433="Know",$B433&gt;=WeekStart),$B433+ROW()/100000,"")</f>
        <v/>
      </c>
      <c r="R433" s="65" t="str">
        <f aca="false">IF(AND($K433="Open",$C433="Decision"),$L433+ROW()/100000,"")</f>
        <v/>
      </c>
      <c r="S433" s="65" t="str">
        <f aca="false">IF(AND($J433&lt;&gt;"",$J433=UCSel),$B433+ROW()/100000,"")</f>
        <v/>
      </c>
    </row>
    <row r="434" customFormat="false" ht="15" hidden="false" customHeight="false" outlineLevel="0" collapsed="false">
      <c r="A434" s="28"/>
      <c r="B434" s="63"/>
      <c r="C434" s="64"/>
      <c r="D434" s="28"/>
      <c r="E434" s="28"/>
      <c r="F434" s="28"/>
      <c r="G434" s="64"/>
      <c r="H434" s="64"/>
      <c r="I434" s="28"/>
      <c r="J434" s="28"/>
      <c r="K434" s="65" t="str">
        <f aca="false">IF($A434="","",IF(OR($C434="Decision",$C434="Conflict"),IF(COUNTIFS($I$2:$I$1001,$A434,$C$2:$C$1001,"Resolved")=0,"Open","Closed"),IF(AND($H434="Unconfirmed",OR($C434="New",$C434="Know")),IF(COUNTIFS($I$2:$I$1001,$A434,$C$2:$C$1001,"Confirmed")=0,"Unconfirmed","Confirmed"),"Logged")))</f>
        <v/>
      </c>
      <c r="L434" s="65" t="str">
        <f aca="false">IF($A434="","",AsOf-$B434)</f>
        <v/>
      </c>
      <c r="M434" s="65" t="str">
        <f aca="false">IF($K434="Open",IF($C434="Conflict","Critical",IF($L434&gt;=DecisionCritical,"Critical",IF($L434&gt;=DecisionWarn,"Warning","On track"))),IF($K434="Unconfirmed",IF($L434&gt;=UnconfirmedWarn,"Warning","On track"),""))</f>
        <v/>
      </c>
      <c r="N434" s="65" t="str">
        <f aca="false">IF($M434="","",IF($M434="Critical",3000,IF($M434="Warning",2000,1000))+$L434+ROW()/100000)</f>
        <v/>
      </c>
      <c r="O434" s="65" t="str">
        <f aca="false">IF($K434="Open",IF($C434="Conflict","decide "&amp;$A434&amp;": &lt;which version stands&gt;","decide "&amp;$A434&amp;": &lt;outcome&gt;"),IF($K434="Unconfirmed","confirm "&amp;$A434,""))</f>
        <v/>
      </c>
      <c r="P434" s="65" t="str">
        <f aca="false">IF(AND($C434="New",$B434&gt;=WeekStart),$B434+ROW()/100000,"")</f>
        <v/>
      </c>
      <c r="Q434" s="65" t="str">
        <f aca="false">IF(AND($C434="Know",$B434&gt;=WeekStart),$B434+ROW()/100000,"")</f>
        <v/>
      </c>
      <c r="R434" s="65" t="str">
        <f aca="false">IF(AND($K434="Open",$C434="Decision"),$L434+ROW()/100000,"")</f>
        <v/>
      </c>
      <c r="S434" s="65" t="str">
        <f aca="false">IF(AND($J434&lt;&gt;"",$J434=UCSel),$B434+ROW()/100000,"")</f>
        <v/>
      </c>
    </row>
    <row r="435" customFormat="false" ht="15" hidden="false" customHeight="false" outlineLevel="0" collapsed="false">
      <c r="A435" s="28"/>
      <c r="B435" s="63"/>
      <c r="C435" s="64"/>
      <c r="D435" s="28"/>
      <c r="E435" s="28"/>
      <c r="F435" s="28"/>
      <c r="G435" s="64"/>
      <c r="H435" s="64"/>
      <c r="I435" s="28"/>
      <c r="J435" s="28"/>
      <c r="K435" s="65" t="str">
        <f aca="false">IF($A435="","",IF(OR($C435="Decision",$C435="Conflict"),IF(COUNTIFS($I$2:$I$1001,$A435,$C$2:$C$1001,"Resolved")=0,"Open","Closed"),IF(AND($H435="Unconfirmed",OR($C435="New",$C435="Know")),IF(COUNTIFS($I$2:$I$1001,$A435,$C$2:$C$1001,"Confirmed")=0,"Unconfirmed","Confirmed"),"Logged")))</f>
        <v/>
      </c>
      <c r="L435" s="65" t="str">
        <f aca="false">IF($A435="","",AsOf-$B435)</f>
        <v/>
      </c>
      <c r="M435" s="65" t="str">
        <f aca="false">IF($K435="Open",IF($C435="Conflict","Critical",IF($L435&gt;=DecisionCritical,"Critical",IF($L435&gt;=DecisionWarn,"Warning","On track"))),IF($K435="Unconfirmed",IF($L435&gt;=UnconfirmedWarn,"Warning","On track"),""))</f>
        <v/>
      </c>
      <c r="N435" s="65" t="str">
        <f aca="false">IF($M435="","",IF($M435="Critical",3000,IF($M435="Warning",2000,1000))+$L435+ROW()/100000)</f>
        <v/>
      </c>
      <c r="O435" s="65" t="str">
        <f aca="false">IF($K435="Open",IF($C435="Conflict","decide "&amp;$A435&amp;": &lt;which version stands&gt;","decide "&amp;$A435&amp;": &lt;outcome&gt;"),IF($K435="Unconfirmed","confirm "&amp;$A435,""))</f>
        <v/>
      </c>
      <c r="P435" s="65" t="str">
        <f aca="false">IF(AND($C435="New",$B435&gt;=WeekStart),$B435+ROW()/100000,"")</f>
        <v/>
      </c>
      <c r="Q435" s="65" t="str">
        <f aca="false">IF(AND($C435="Know",$B435&gt;=WeekStart),$B435+ROW()/100000,"")</f>
        <v/>
      </c>
      <c r="R435" s="65" t="str">
        <f aca="false">IF(AND($K435="Open",$C435="Decision"),$L435+ROW()/100000,"")</f>
        <v/>
      </c>
      <c r="S435" s="65" t="str">
        <f aca="false">IF(AND($J435&lt;&gt;"",$J435=UCSel),$B435+ROW()/100000,"")</f>
        <v/>
      </c>
    </row>
    <row r="436" customFormat="false" ht="15" hidden="false" customHeight="false" outlineLevel="0" collapsed="false">
      <c r="A436" s="28"/>
      <c r="B436" s="63"/>
      <c r="C436" s="64"/>
      <c r="D436" s="28"/>
      <c r="E436" s="28"/>
      <c r="F436" s="28"/>
      <c r="G436" s="64"/>
      <c r="H436" s="64"/>
      <c r="I436" s="28"/>
      <c r="J436" s="28"/>
      <c r="K436" s="65" t="str">
        <f aca="false">IF($A436="","",IF(OR($C436="Decision",$C436="Conflict"),IF(COUNTIFS($I$2:$I$1001,$A436,$C$2:$C$1001,"Resolved")=0,"Open","Closed"),IF(AND($H436="Unconfirmed",OR($C436="New",$C436="Know")),IF(COUNTIFS($I$2:$I$1001,$A436,$C$2:$C$1001,"Confirmed")=0,"Unconfirmed","Confirmed"),"Logged")))</f>
        <v/>
      </c>
      <c r="L436" s="65" t="str">
        <f aca="false">IF($A436="","",AsOf-$B436)</f>
        <v/>
      </c>
      <c r="M436" s="65" t="str">
        <f aca="false">IF($K436="Open",IF($C436="Conflict","Critical",IF($L436&gt;=DecisionCritical,"Critical",IF($L436&gt;=DecisionWarn,"Warning","On track"))),IF($K436="Unconfirmed",IF($L436&gt;=UnconfirmedWarn,"Warning","On track"),""))</f>
        <v/>
      </c>
      <c r="N436" s="65" t="str">
        <f aca="false">IF($M436="","",IF($M436="Critical",3000,IF($M436="Warning",2000,1000))+$L436+ROW()/100000)</f>
        <v/>
      </c>
      <c r="O436" s="65" t="str">
        <f aca="false">IF($K436="Open",IF($C436="Conflict","decide "&amp;$A436&amp;": &lt;which version stands&gt;","decide "&amp;$A436&amp;": &lt;outcome&gt;"),IF($K436="Unconfirmed","confirm "&amp;$A436,""))</f>
        <v/>
      </c>
      <c r="P436" s="65" t="str">
        <f aca="false">IF(AND($C436="New",$B436&gt;=WeekStart),$B436+ROW()/100000,"")</f>
        <v/>
      </c>
      <c r="Q436" s="65" t="str">
        <f aca="false">IF(AND($C436="Know",$B436&gt;=WeekStart),$B436+ROW()/100000,"")</f>
        <v/>
      </c>
      <c r="R436" s="65" t="str">
        <f aca="false">IF(AND($K436="Open",$C436="Decision"),$L436+ROW()/100000,"")</f>
        <v/>
      </c>
      <c r="S436" s="65" t="str">
        <f aca="false">IF(AND($J436&lt;&gt;"",$J436=UCSel),$B436+ROW()/100000,"")</f>
        <v/>
      </c>
    </row>
    <row r="437" customFormat="false" ht="15" hidden="false" customHeight="false" outlineLevel="0" collapsed="false">
      <c r="A437" s="28"/>
      <c r="B437" s="63"/>
      <c r="C437" s="64"/>
      <c r="D437" s="28"/>
      <c r="E437" s="28"/>
      <c r="F437" s="28"/>
      <c r="G437" s="64"/>
      <c r="H437" s="64"/>
      <c r="I437" s="28"/>
      <c r="J437" s="28"/>
      <c r="K437" s="65" t="str">
        <f aca="false">IF($A437="","",IF(OR($C437="Decision",$C437="Conflict"),IF(COUNTIFS($I$2:$I$1001,$A437,$C$2:$C$1001,"Resolved")=0,"Open","Closed"),IF(AND($H437="Unconfirmed",OR($C437="New",$C437="Know")),IF(COUNTIFS($I$2:$I$1001,$A437,$C$2:$C$1001,"Confirmed")=0,"Unconfirmed","Confirmed"),"Logged")))</f>
        <v/>
      </c>
      <c r="L437" s="65" t="str">
        <f aca="false">IF($A437="","",AsOf-$B437)</f>
        <v/>
      </c>
      <c r="M437" s="65" t="str">
        <f aca="false">IF($K437="Open",IF($C437="Conflict","Critical",IF($L437&gt;=DecisionCritical,"Critical",IF($L437&gt;=DecisionWarn,"Warning","On track"))),IF($K437="Unconfirmed",IF($L437&gt;=UnconfirmedWarn,"Warning","On track"),""))</f>
        <v/>
      </c>
      <c r="N437" s="65" t="str">
        <f aca="false">IF($M437="","",IF($M437="Critical",3000,IF($M437="Warning",2000,1000))+$L437+ROW()/100000)</f>
        <v/>
      </c>
      <c r="O437" s="65" t="str">
        <f aca="false">IF($K437="Open",IF($C437="Conflict","decide "&amp;$A437&amp;": &lt;which version stands&gt;","decide "&amp;$A437&amp;": &lt;outcome&gt;"),IF($K437="Unconfirmed","confirm "&amp;$A437,""))</f>
        <v/>
      </c>
      <c r="P437" s="65" t="str">
        <f aca="false">IF(AND($C437="New",$B437&gt;=WeekStart),$B437+ROW()/100000,"")</f>
        <v/>
      </c>
      <c r="Q437" s="65" t="str">
        <f aca="false">IF(AND($C437="Know",$B437&gt;=WeekStart),$B437+ROW()/100000,"")</f>
        <v/>
      </c>
      <c r="R437" s="65" t="str">
        <f aca="false">IF(AND($K437="Open",$C437="Decision"),$L437+ROW()/100000,"")</f>
        <v/>
      </c>
      <c r="S437" s="65" t="str">
        <f aca="false">IF(AND($J437&lt;&gt;"",$J437=UCSel),$B437+ROW()/100000,"")</f>
        <v/>
      </c>
    </row>
    <row r="438" customFormat="false" ht="15" hidden="false" customHeight="false" outlineLevel="0" collapsed="false">
      <c r="A438" s="28"/>
      <c r="B438" s="63"/>
      <c r="C438" s="64"/>
      <c r="D438" s="28"/>
      <c r="E438" s="28"/>
      <c r="F438" s="28"/>
      <c r="G438" s="64"/>
      <c r="H438" s="64"/>
      <c r="I438" s="28"/>
      <c r="J438" s="28"/>
      <c r="K438" s="65" t="str">
        <f aca="false">IF($A438="","",IF(OR($C438="Decision",$C438="Conflict"),IF(COUNTIFS($I$2:$I$1001,$A438,$C$2:$C$1001,"Resolved")=0,"Open","Closed"),IF(AND($H438="Unconfirmed",OR($C438="New",$C438="Know")),IF(COUNTIFS($I$2:$I$1001,$A438,$C$2:$C$1001,"Confirmed")=0,"Unconfirmed","Confirmed"),"Logged")))</f>
        <v/>
      </c>
      <c r="L438" s="65" t="str">
        <f aca="false">IF($A438="","",AsOf-$B438)</f>
        <v/>
      </c>
      <c r="M438" s="65" t="str">
        <f aca="false">IF($K438="Open",IF($C438="Conflict","Critical",IF($L438&gt;=DecisionCritical,"Critical",IF($L438&gt;=DecisionWarn,"Warning","On track"))),IF($K438="Unconfirmed",IF($L438&gt;=UnconfirmedWarn,"Warning","On track"),""))</f>
        <v/>
      </c>
      <c r="N438" s="65" t="str">
        <f aca="false">IF($M438="","",IF($M438="Critical",3000,IF($M438="Warning",2000,1000))+$L438+ROW()/100000)</f>
        <v/>
      </c>
      <c r="O438" s="65" t="str">
        <f aca="false">IF($K438="Open",IF($C438="Conflict","decide "&amp;$A438&amp;": &lt;which version stands&gt;","decide "&amp;$A438&amp;": &lt;outcome&gt;"),IF($K438="Unconfirmed","confirm "&amp;$A438,""))</f>
        <v/>
      </c>
      <c r="P438" s="65" t="str">
        <f aca="false">IF(AND($C438="New",$B438&gt;=WeekStart),$B438+ROW()/100000,"")</f>
        <v/>
      </c>
      <c r="Q438" s="65" t="str">
        <f aca="false">IF(AND($C438="Know",$B438&gt;=WeekStart),$B438+ROW()/100000,"")</f>
        <v/>
      </c>
      <c r="R438" s="65" t="str">
        <f aca="false">IF(AND($K438="Open",$C438="Decision"),$L438+ROW()/100000,"")</f>
        <v/>
      </c>
      <c r="S438" s="65" t="str">
        <f aca="false">IF(AND($J438&lt;&gt;"",$J438=UCSel),$B438+ROW()/100000,"")</f>
        <v/>
      </c>
    </row>
    <row r="439" customFormat="false" ht="15" hidden="false" customHeight="false" outlineLevel="0" collapsed="false">
      <c r="A439" s="28"/>
      <c r="B439" s="63"/>
      <c r="C439" s="64"/>
      <c r="D439" s="28"/>
      <c r="E439" s="28"/>
      <c r="F439" s="28"/>
      <c r="G439" s="64"/>
      <c r="H439" s="64"/>
      <c r="I439" s="28"/>
      <c r="J439" s="28"/>
      <c r="K439" s="65" t="str">
        <f aca="false">IF($A439="","",IF(OR($C439="Decision",$C439="Conflict"),IF(COUNTIFS($I$2:$I$1001,$A439,$C$2:$C$1001,"Resolved")=0,"Open","Closed"),IF(AND($H439="Unconfirmed",OR($C439="New",$C439="Know")),IF(COUNTIFS($I$2:$I$1001,$A439,$C$2:$C$1001,"Confirmed")=0,"Unconfirmed","Confirmed"),"Logged")))</f>
        <v/>
      </c>
      <c r="L439" s="65" t="str">
        <f aca="false">IF($A439="","",AsOf-$B439)</f>
        <v/>
      </c>
      <c r="M439" s="65" t="str">
        <f aca="false">IF($K439="Open",IF($C439="Conflict","Critical",IF($L439&gt;=DecisionCritical,"Critical",IF($L439&gt;=DecisionWarn,"Warning","On track"))),IF($K439="Unconfirmed",IF($L439&gt;=UnconfirmedWarn,"Warning","On track"),""))</f>
        <v/>
      </c>
      <c r="N439" s="65" t="str">
        <f aca="false">IF($M439="","",IF($M439="Critical",3000,IF($M439="Warning",2000,1000))+$L439+ROW()/100000)</f>
        <v/>
      </c>
      <c r="O439" s="65" t="str">
        <f aca="false">IF($K439="Open",IF($C439="Conflict","decide "&amp;$A439&amp;": &lt;which version stands&gt;","decide "&amp;$A439&amp;": &lt;outcome&gt;"),IF($K439="Unconfirmed","confirm "&amp;$A439,""))</f>
        <v/>
      </c>
      <c r="P439" s="65" t="str">
        <f aca="false">IF(AND($C439="New",$B439&gt;=WeekStart),$B439+ROW()/100000,"")</f>
        <v/>
      </c>
      <c r="Q439" s="65" t="str">
        <f aca="false">IF(AND($C439="Know",$B439&gt;=WeekStart),$B439+ROW()/100000,"")</f>
        <v/>
      </c>
      <c r="R439" s="65" t="str">
        <f aca="false">IF(AND($K439="Open",$C439="Decision"),$L439+ROW()/100000,"")</f>
        <v/>
      </c>
      <c r="S439" s="65" t="str">
        <f aca="false">IF(AND($J439&lt;&gt;"",$J439=UCSel),$B439+ROW()/100000,"")</f>
        <v/>
      </c>
    </row>
    <row r="440" customFormat="false" ht="15" hidden="false" customHeight="false" outlineLevel="0" collapsed="false">
      <c r="A440" s="28"/>
      <c r="B440" s="63"/>
      <c r="C440" s="64"/>
      <c r="D440" s="28"/>
      <c r="E440" s="28"/>
      <c r="F440" s="28"/>
      <c r="G440" s="64"/>
      <c r="H440" s="64"/>
      <c r="I440" s="28"/>
      <c r="J440" s="28"/>
      <c r="K440" s="65" t="str">
        <f aca="false">IF($A440="","",IF(OR($C440="Decision",$C440="Conflict"),IF(COUNTIFS($I$2:$I$1001,$A440,$C$2:$C$1001,"Resolved")=0,"Open","Closed"),IF(AND($H440="Unconfirmed",OR($C440="New",$C440="Know")),IF(COUNTIFS($I$2:$I$1001,$A440,$C$2:$C$1001,"Confirmed")=0,"Unconfirmed","Confirmed"),"Logged")))</f>
        <v/>
      </c>
      <c r="L440" s="65" t="str">
        <f aca="false">IF($A440="","",AsOf-$B440)</f>
        <v/>
      </c>
      <c r="M440" s="65" t="str">
        <f aca="false">IF($K440="Open",IF($C440="Conflict","Critical",IF($L440&gt;=DecisionCritical,"Critical",IF($L440&gt;=DecisionWarn,"Warning","On track"))),IF($K440="Unconfirmed",IF($L440&gt;=UnconfirmedWarn,"Warning","On track"),""))</f>
        <v/>
      </c>
      <c r="N440" s="65" t="str">
        <f aca="false">IF($M440="","",IF($M440="Critical",3000,IF($M440="Warning",2000,1000))+$L440+ROW()/100000)</f>
        <v/>
      </c>
      <c r="O440" s="65" t="str">
        <f aca="false">IF($K440="Open",IF($C440="Conflict","decide "&amp;$A440&amp;": &lt;which version stands&gt;","decide "&amp;$A440&amp;": &lt;outcome&gt;"),IF($K440="Unconfirmed","confirm "&amp;$A440,""))</f>
        <v/>
      </c>
      <c r="P440" s="65" t="str">
        <f aca="false">IF(AND($C440="New",$B440&gt;=WeekStart),$B440+ROW()/100000,"")</f>
        <v/>
      </c>
      <c r="Q440" s="65" t="str">
        <f aca="false">IF(AND($C440="Know",$B440&gt;=WeekStart),$B440+ROW()/100000,"")</f>
        <v/>
      </c>
      <c r="R440" s="65" t="str">
        <f aca="false">IF(AND($K440="Open",$C440="Decision"),$L440+ROW()/100000,"")</f>
        <v/>
      </c>
      <c r="S440" s="65" t="str">
        <f aca="false">IF(AND($J440&lt;&gt;"",$J440=UCSel),$B440+ROW()/100000,"")</f>
        <v/>
      </c>
    </row>
    <row r="441" customFormat="false" ht="15" hidden="false" customHeight="false" outlineLevel="0" collapsed="false">
      <c r="A441" s="28"/>
      <c r="B441" s="63"/>
      <c r="C441" s="64"/>
      <c r="D441" s="28"/>
      <c r="E441" s="28"/>
      <c r="F441" s="28"/>
      <c r="G441" s="64"/>
      <c r="H441" s="64"/>
      <c r="I441" s="28"/>
      <c r="J441" s="28"/>
      <c r="K441" s="65" t="str">
        <f aca="false">IF($A441="","",IF(OR($C441="Decision",$C441="Conflict"),IF(COUNTIFS($I$2:$I$1001,$A441,$C$2:$C$1001,"Resolved")=0,"Open","Closed"),IF(AND($H441="Unconfirmed",OR($C441="New",$C441="Know")),IF(COUNTIFS($I$2:$I$1001,$A441,$C$2:$C$1001,"Confirmed")=0,"Unconfirmed","Confirmed"),"Logged")))</f>
        <v/>
      </c>
      <c r="L441" s="65" t="str">
        <f aca="false">IF($A441="","",AsOf-$B441)</f>
        <v/>
      </c>
      <c r="M441" s="65" t="str">
        <f aca="false">IF($K441="Open",IF($C441="Conflict","Critical",IF($L441&gt;=DecisionCritical,"Critical",IF($L441&gt;=DecisionWarn,"Warning","On track"))),IF($K441="Unconfirmed",IF($L441&gt;=UnconfirmedWarn,"Warning","On track"),""))</f>
        <v/>
      </c>
      <c r="N441" s="65" t="str">
        <f aca="false">IF($M441="","",IF($M441="Critical",3000,IF($M441="Warning",2000,1000))+$L441+ROW()/100000)</f>
        <v/>
      </c>
      <c r="O441" s="65" t="str">
        <f aca="false">IF($K441="Open",IF($C441="Conflict","decide "&amp;$A441&amp;": &lt;which version stands&gt;","decide "&amp;$A441&amp;": &lt;outcome&gt;"),IF($K441="Unconfirmed","confirm "&amp;$A441,""))</f>
        <v/>
      </c>
      <c r="P441" s="65" t="str">
        <f aca="false">IF(AND($C441="New",$B441&gt;=WeekStart),$B441+ROW()/100000,"")</f>
        <v/>
      </c>
      <c r="Q441" s="65" t="str">
        <f aca="false">IF(AND($C441="Know",$B441&gt;=WeekStart),$B441+ROW()/100000,"")</f>
        <v/>
      </c>
      <c r="R441" s="65" t="str">
        <f aca="false">IF(AND($K441="Open",$C441="Decision"),$L441+ROW()/100000,"")</f>
        <v/>
      </c>
      <c r="S441" s="65" t="str">
        <f aca="false">IF(AND($J441&lt;&gt;"",$J441=UCSel),$B441+ROW()/100000,"")</f>
        <v/>
      </c>
    </row>
    <row r="442" customFormat="false" ht="15" hidden="false" customHeight="false" outlineLevel="0" collapsed="false">
      <c r="A442" s="28"/>
      <c r="B442" s="63"/>
      <c r="C442" s="64"/>
      <c r="D442" s="28"/>
      <c r="E442" s="28"/>
      <c r="F442" s="28"/>
      <c r="G442" s="64"/>
      <c r="H442" s="64"/>
      <c r="I442" s="28"/>
      <c r="J442" s="28"/>
      <c r="K442" s="65" t="str">
        <f aca="false">IF($A442="","",IF(OR($C442="Decision",$C442="Conflict"),IF(COUNTIFS($I$2:$I$1001,$A442,$C$2:$C$1001,"Resolved")=0,"Open","Closed"),IF(AND($H442="Unconfirmed",OR($C442="New",$C442="Know")),IF(COUNTIFS($I$2:$I$1001,$A442,$C$2:$C$1001,"Confirmed")=0,"Unconfirmed","Confirmed"),"Logged")))</f>
        <v/>
      </c>
      <c r="L442" s="65" t="str">
        <f aca="false">IF($A442="","",AsOf-$B442)</f>
        <v/>
      </c>
      <c r="M442" s="65" t="str">
        <f aca="false">IF($K442="Open",IF($C442="Conflict","Critical",IF($L442&gt;=DecisionCritical,"Critical",IF($L442&gt;=DecisionWarn,"Warning","On track"))),IF($K442="Unconfirmed",IF($L442&gt;=UnconfirmedWarn,"Warning","On track"),""))</f>
        <v/>
      </c>
      <c r="N442" s="65" t="str">
        <f aca="false">IF($M442="","",IF($M442="Critical",3000,IF($M442="Warning",2000,1000))+$L442+ROW()/100000)</f>
        <v/>
      </c>
      <c r="O442" s="65" t="str">
        <f aca="false">IF($K442="Open",IF($C442="Conflict","decide "&amp;$A442&amp;": &lt;which version stands&gt;","decide "&amp;$A442&amp;": &lt;outcome&gt;"),IF($K442="Unconfirmed","confirm "&amp;$A442,""))</f>
        <v/>
      </c>
      <c r="P442" s="65" t="str">
        <f aca="false">IF(AND($C442="New",$B442&gt;=WeekStart),$B442+ROW()/100000,"")</f>
        <v/>
      </c>
      <c r="Q442" s="65" t="str">
        <f aca="false">IF(AND($C442="Know",$B442&gt;=WeekStart),$B442+ROW()/100000,"")</f>
        <v/>
      </c>
      <c r="R442" s="65" t="str">
        <f aca="false">IF(AND($K442="Open",$C442="Decision"),$L442+ROW()/100000,"")</f>
        <v/>
      </c>
      <c r="S442" s="65" t="str">
        <f aca="false">IF(AND($J442&lt;&gt;"",$J442=UCSel),$B442+ROW()/100000,"")</f>
        <v/>
      </c>
    </row>
    <row r="443" customFormat="false" ht="15" hidden="false" customHeight="false" outlineLevel="0" collapsed="false">
      <c r="A443" s="28"/>
      <c r="B443" s="63"/>
      <c r="C443" s="64"/>
      <c r="D443" s="28"/>
      <c r="E443" s="28"/>
      <c r="F443" s="28"/>
      <c r="G443" s="64"/>
      <c r="H443" s="64"/>
      <c r="I443" s="28"/>
      <c r="J443" s="28"/>
      <c r="K443" s="65" t="str">
        <f aca="false">IF($A443="","",IF(OR($C443="Decision",$C443="Conflict"),IF(COUNTIFS($I$2:$I$1001,$A443,$C$2:$C$1001,"Resolved")=0,"Open","Closed"),IF(AND($H443="Unconfirmed",OR($C443="New",$C443="Know")),IF(COUNTIFS($I$2:$I$1001,$A443,$C$2:$C$1001,"Confirmed")=0,"Unconfirmed","Confirmed"),"Logged")))</f>
        <v/>
      </c>
      <c r="L443" s="65" t="str">
        <f aca="false">IF($A443="","",AsOf-$B443)</f>
        <v/>
      </c>
      <c r="M443" s="65" t="str">
        <f aca="false">IF($K443="Open",IF($C443="Conflict","Critical",IF($L443&gt;=DecisionCritical,"Critical",IF($L443&gt;=DecisionWarn,"Warning","On track"))),IF($K443="Unconfirmed",IF($L443&gt;=UnconfirmedWarn,"Warning","On track"),""))</f>
        <v/>
      </c>
      <c r="N443" s="65" t="str">
        <f aca="false">IF($M443="","",IF($M443="Critical",3000,IF($M443="Warning",2000,1000))+$L443+ROW()/100000)</f>
        <v/>
      </c>
      <c r="O443" s="65" t="str">
        <f aca="false">IF($K443="Open",IF($C443="Conflict","decide "&amp;$A443&amp;": &lt;which version stands&gt;","decide "&amp;$A443&amp;": &lt;outcome&gt;"),IF($K443="Unconfirmed","confirm "&amp;$A443,""))</f>
        <v/>
      </c>
      <c r="P443" s="65" t="str">
        <f aca="false">IF(AND($C443="New",$B443&gt;=WeekStart),$B443+ROW()/100000,"")</f>
        <v/>
      </c>
      <c r="Q443" s="65" t="str">
        <f aca="false">IF(AND($C443="Know",$B443&gt;=WeekStart),$B443+ROW()/100000,"")</f>
        <v/>
      </c>
      <c r="R443" s="65" t="str">
        <f aca="false">IF(AND($K443="Open",$C443="Decision"),$L443+ROW()/100000,"")</f>
        <v/>
      </c>
      <c r="S443" s="65" t="str">
        <f aca="false">IF(AND($J443&lt;&gt;"",$J443=UCSel),$B443+ROW()/100000,"")</f>
        <v/>
      </c>
    </row>
    <row r="444" customFormat="false" ht="15" hidden="false" customHeight="false" outlineLevel="0" collapsed="false">
      <c r="A444" s="28"/>
      <c r="B444" s="63"/>
      <c r="C444" s="64"/>
      <c r="D444" s="28"/>
      <c r="E444" s="28"/>
      <c r="F444" s="28"/>
      <c r="G444" s="64"/>
      <c r="H444" s="64"/>
      <c r="I444" s="28"/>
      <c r="J444" s="28"/>
      <c r="K444" s="65" t="str">
        <f aca="false">IF($A444="","",IF(OR($C444="Decision",$C444="Conflict"),IF(COUNTIFS($I$2:$I$1001,$A444,$C$2:$C$1001,"Resolved")=0,"Open","Closed"),IF(AND($H444="Unconfirmed",OR($C444="New",$C444="Know")),IF(COUNTIFS($I$2:$I$1001,$A444,$C$2:$C$1001,"Confirmed")=0,"Unconfirmed","Confirmed"),"Logged")))</f>
        <v/>
      </c>
      <c r="L444" s="65" t="str">
        <f aca="false">IF($A444="","",AsOf-$B444)</f>
        <v/>
      </c>
      <c r="M444" s="65" t="str">
        <f aca="false">IF($K444="Open",IF($C444="Conflict","Critical",IF($L444&gt;=DecisionCritical,"Critical",IF($L444&gt;=DecisionWarn,"Warning","On track"))),IF($K444="Unconfirmed",IF($L444&gt;=UnconfirmedWarn,"Warning","On track"),""))</f>
        <v/>
      </c>
      <c r="N444" s="65" t="str">
        <f aca="false">IF($M444="","",IF($M444="Critical",3000,IF($M444="Warning",2000,1000))+$L444+ROW()/100000)</f>
        <v/>
      </c>
      <c r="O444" s="65" t="str">
        <f aca="false">IF($K444="Open",IF($C444="Conflict","decide "&amp;$A444&amp;": &lt;which version stands&gt;","decide "&amp;$A444&amp;": &lt;outcome&gt;"),IF($K444="Unconfirmed","confirm "&amp;$A444,""))</f>
        <v/>
      </c>
      <c r="P444" s="65" t="str">
        <f aca="false">IF(AND($C444="New",$B444&gt;=WeekStart),$B444+ROW()/100000,"")</f>
        <v/>
      </c>
      <c r="Q444" s="65" t="str">
        <f aca="false">IF(AND($C444="Know",$B444&gt;=WeekStart),$B444+ROW()/100000,"")</f>
        <v/>
      </c>
      <c r="R444" s="65" t="str">
        <f aca="false">IF(AND($K444="Open",$C444="Decision"),$L444+ROW()/100000,"")</f>
        <v/>
      </c>
      <c r="S444" s="65" t="str">
        <f aca="false">IF(AND($J444&lt;&gt;"",$J444=UCSel),$B444+ROW()/100000,"")</f>
        <v/>
      </c>
    </row>
    <row r="445" customFormat="false" ht="15" hidden="false" customHeight="false" outlineLevel="0" collapsed="false">
      <c r="A445" s="28"/>
      <c r="B445" s="63"/>
      <c r="C445" s="64"/>
      <c r="D445" s="28"/>
      <c r="E445" s="28"/>
      <c r="F445" s="28"/>
      <c r="G445" s="64"/>
      <c r="H445" s="64"/>
      <c r="I445" s="28"/>
      <c r="J445" s="28"/>
      <c r="K445" s="65" t="str">
        <f aca="false">IF($A445="","",IF(OR($C445="Decision",$C445="Conflict"),IF(COUNTIFS($I$2:$I$1001,$A445,$C$2:$C$1001,"Resolved")=0,"Open","Closed"),IF(AND($H445="Unconfirmed",OR($C445="New",$C445="Know")),IF(COUNTIFS($I$2:$I$1001,$A445,$C$2:$C$1001,"Confirmed")=0,"Unconfirmed","Confirmed"),"Logged")))</f>
        <v/>
      </c>
      <c r="L445" s="65" t="str">
        <f aca="false">IF($A445="","",AsOf-$B445)</f>
        <v/>
      </c>
      <c r="M445" s="65" t="str">
        <f aca="false">IF($K445="Open",IF($C445="Conflict","Critical",IF($L445&gt;=DecisionCritical,"Critical",IF($L445&gt;=DecisionWarn,"Warning","On track"))),IF($K445="Unconfirmed",IF($L445&gt;=UnconfirmedWarn,"Warning","On track"),""))</f>
        <v/>
      </c>
      <c r="N445" s="65" t="str">
        <f aca="false">IF($M445="","",IF($M445="Critical",3000,IF($M445="Warning",2000,1000))+$L445+ROW()/100000)</f>
        <v/>
      </c>
      <c r="O445" s="65" t="str">
        <f aca="false">IF($K445="Open",IF($C445="Conflict","decide "&amp;$A445&amp;": &lt;which version stands&gt;","decide "&amp;$A445&amp;": &lt;outcome&gt;"),IF($K445="Unconfirmed","confirm "&amp;$A445,""))</f>
        <v/>
      </c>
      <c r="P445" s="65" t="str">
        <f aca="false">IF(AND($C445="New",$B445&gt;=WeekStart),$B445+ROW()/100000,"")</f>
        <v/>
      </c>
      <c r="Q445" s="65" t="str">
        <f aca="false">IF(AND($C445="Know",$B445&gt;=WeekStart),$B445+ROW()/100000,"")</f>
        <v/>
      </c>
      <c r="R445" s="65" t="str">
        <f aca="false">IF(AND($K445="Open",$C445="Decision"),$L445+ROW()/100000,"")</f>
        <v/>
      </c>
      <c r="S445" s="65" t="str">
        <f aca="false">IF(AND($J445&lt;&gt;"",$J445=UCSel),$B445+ROW()/100000,"")</f>
        <v/>
      </c>
    </row>
    <row r="446" customFormat="false" ht="15" hidden="false" customHeight="false" outlineLevel="0" collapsed="false">
      <c r="A446" s="28"/>
      <c r="B446" s="63"/>
      <c r="C446" s="64"/>
      <c r="D446" s="28"/>
      <c r="E446" s="28"/>
      <c r="F446" s="28"/>
      <c r="G446" s="64"/>
      <c r="H446" s="64"/>
      <c r="I446" s="28"/>
      <c r="J446" s="28"/>
      <c r="K446" s="65" t="str">
        <f aca="false">IF($A446="","",IF(OR($C446="Decision",$C446="Conflict"),IF(COUNTIFS($I$2:$I$1001,$A446,$C$2:$C$1001,"Resolved")=0,"Open","Closed"),IF(AND($H446="Unconfirmed",OR($C446="New",$C446="Know")),IF(COUNTIFS($I$2:$I$1001,$A446,$C$2:$C$1001,"Confirmed")=0,"Unconfirmed","Confirmed"),"Logged")))</f>
        <v/>
      </c>
      <c r="L446" s="65" t="str">
        <f aca="false">IF($A446="","",AsOf-$B446)</f>
        <v/>
      </c>
      <c r="M446" s="65" t="str">
        <f aca="false">IF($K446="Open",IF($C446="Conflict","Critical",IF($L446&gt;=DecisionCritical,"Critical",IF($L446&gt;=DecisionWarn,"Warning","On track"))),IF($K446="Unconfirmed",IF($L446&gt;=UnconfirmedWarn,"Warning","On track"),""))</f>
        <v/>
      </c>
      <c r="N446" s="65" t="str">
        <f aca="false">IF($M446="","",IF($M446="Critical",3000,IF($M446="Warning",2000,1000))+$L446+ROW()/100000)</f>
        <v/>
      </c>
      <c r="O446" s="65" t="str">
        <f aca="false">IF($K446="Open",IF($C446="Conflict","decide "&amp;$A446&amp;": &lt;which version stands&gt;","decide "&amp;$A446&amp;": &lt;outcome&gt;"),IF($K446="Unconfirmed","confirm "&amp;$A446,""))</f>
        <v/>
      </c>
      <c r="P446" s="65" t="str">
        <f aca="false">IF(AND($C446="New",$B446&gt;=WeekStart),$B446+ROW()/100000,"")</f>
        <v/>
      </c>
      <c r="Q446" s="65" t="str">
        <f aca="false">IF(AND($C446="Know",$B446&gt;=WeekStart),$B446+ROW()/100000,"")</f>
        <v/>
      </c>
      <c r="R446" s="65" t="str">
        <f aca="false">IF(AND($K446="Open",$C446="Decision"),$L446+ROW()/100000,"")</f>
        <v/>
      </c>
      <c r="S446" s="65" t="str">
        <f aca="false">IF(AND($J446&lt;&gt;"",$J446=UCSel),$B446+ROW()/100000,"")</f>
        <v/>
      </c>
    </row>
    <row r="447" customFormat="false" ht="15" hidden="false" customHeight="false" outlineLevel="0" collapsed="false">
      <c r="A447" s="28"/>
      <c r="B447" s="63"/>
      <c r="C447" s="64"/>
      <c r="D447" s="28"/>
      <c r="E447" s="28"/>
      <c r="F447" s="28"/>
      <c r="G447" s="64"/>
      <c r="H447" s="64"/>
      <c r="I447" s="28"/>
      <c r="J447" s="28"/>
      <c r="K447" s="65" t="str">
        <f aca="false">IF($A447="","",IF(OR($C447="Decision",$C447="Conflict"),IF(COUNTIFS($I$2:$I$1001,$A447,$C$2:$C$1001,"Resolved")=0,"Open","Closed"),IF(AND($H447="Unconfirmed",OR($C447="New",$C447="Know")),IF(COUNTIFS($I$2:$I$1001,$A447,$C$2:$C$1001,"Confirmed")=0,"Unconfirmed","Confirmed"),"Logged")))</f>
        <v/>
      </c>
      <c r="L447" s="65" t="str">
        <f aca="false">IF($A447="","",AsOf-$B447)</f>
        <v/>
      </c>
      <c r="M447" s="65" t="str">
        <f aca="false">IF($K447="Open",IF($C447="Conflict","Critical",IF($L447&gt;=DecisionCritical,"Critical",IF($L447&gt;=DecisionWarn,"Warning","On track"))),IF($K447="Unconfirmed",IF($L447&gt;=UnconfirmedWarn,"Warning","On track"),""))</f>
        <v/>
      </c>
      <c r="N447" s="65" t="str">
        <f aca="false">IF($M447="","",IF($M447="Critical",3000,IF($M447="Warning",2000,1000))+$L447+ROW()/100000)</f>
        <v/>
      </c>
      <c r="O447" s="65" t="str">
        <f aca="false">IF($K447="Open",IF($C447="Conflict","decide "&amp;$A447&amp;": &lt;which version stands&gt;","decide "&amp;$A447&amp;": &lt;outcome&gt;"),IF($K447="Unconfirmed","confirm "&amp;$A447,""))</f>
        <v/>
      </c>
      <c r="P447" s="65" t="str">
        <f aca="false">IF(AND($C447="New",$B447&gt;=WeekStart),$B447+ROW()/100000,"")</f>
        <v/>
      </c>
      <c r="Q447" s="65" t="str">
        <f aca="false">IF(AND($C447="Know",$B447&gt;=WeekStart),$B447+ROW()/100000,"")</f>
        <v/>
      </c>
      <c r="R447" s="65" t="str">
        <f aca="false">IF(AND($K447="Open",$C447="Decision"),$L447+ROW()/100000,"")</f>
        <v/>
      </c>
      <c r="S447" s="65" t="str">
        <f aca="false">IF(AND($J447&lt;&gt;"",$J447=UCSel),$B447+ROW()/100000,"")</f>
        <v/>
      </c>
    </row>
    <row r="448" customFormat="false" ht="15" hidden="false" customHeight="false" outlineLevel="0" collapsed="false">
      <c r="A448" s="28"/>
      <c r="B448" s="63"/>
      <c r="C448" s="64"/>
      <c r="D448" s="28"/>
      <c r="E448" s="28"/>
      <c r="F448" s="28"/>
      <c r="G448" s="64"/>
      <c r="H448" s="64"/>
      <c r="I448" s="28"/>
      <c r="J448" s="28"/>
      <c r="K448" s="65" t="str">
        <f aca="false">IF($A448="","",IF(OR($C448="Decision",$C448="Conflict"),IF(COUNTIFS($I$2:$I$1001,$A448,$C$2:$C$1001,"Resolved")=0,"Open","Closed"),IF(AND($H448="Unconfirmed",OR($C448="New",$C448="Know")),IF(COUNTIFS($I$2:$I$1001,$A448,$C$2:$C$1001,"Confirmed")=0,"Unconfirmed","Confirmed"),"Logged")))</f>
        <v/>
      </c>
      <c r="L448" s="65" t="str">
        <f aca="false">IF($A448="","",AsOf-$B448)</f>
        <v/>
      </c>
      <c r="M448" s="65" t="str">
        <f aca="false">IF($K448="Open",IF($C448="Conflict","Critical",IF($L448&gt;=DecisionCritical,"Critical",IF($L448&gt;=DecisionWarn,"Warning","On track"))),IF($K448="Unconfirmed",IF($L448&gt;=UnconfirmedWarn,"Warning","On track"),""))</f>
        <v/>
      </c>
      <c r="N448" s="65" t="str">
        <f aca="false">IF($M448="","",IF($M448="Critical",3000,IF($M448="Warning",2000,1000))+$L448+ROW()/100000)</f>
        <v/>
      </c>
      <c r="O448" s="65" t="str">
        <f aca="false">IF($K448="Open",IF($C448="Conflict","decide "&amp;$A448&amp;": &lt;which version stands&gt;","decide "&amp;$A448&amp;": &lt;outcome&gt;"),IF($K448="Unconfirmed","confirm "&amp;$A448,""))</f>
        <v/>
      </c>
      <c r="P448" s="65" t="str">
        <f aca="false">IF(AND($C448="New",$B448&gt;=WeekStart),$B448+ROW()/100000,"")</f>
        <v/>
      </c>
      <c r="Q448" s="65" t="str">
        <f aca="false">IF(AND($C448="Know",$B448&gt;=WeekStart),$B448+ROW()/100000,"")</f>
        <v/>
      </c>
      <c r="R448" s="65" t="str">
        <f aca="false">IF(AND($K448="Open",$C448="Decision"),$L448+ROW()/100000,"")</f>
        <v/>
      </c>
      <c r="S448" s="65" t="str">
        <f aca="false">IF(AND($J448&lt;&gt;"",$J448=UCSel),$B448+ROW()/100000,"")</f>
        <v/>
      </c>
    </row>
    <row r="449" customFormat="false" ht="15" hidden="false" customHeight="false" outlineLevel="0" collapsed="false">
      <c r="A449" s="28"/>
      <c r="B449" s="63"/>
      <c r="C449" s="64"/>
      <c r="D449" s="28"/>
      <c r="E449" s="28"/>
      <c r="F449" s="28"/>
      <c r="G449" s="64"/>
      <c r="H449" s="64"/>
      <c r="I449" s="28"/>
      <c r="J449" s="28"/>
      <c r="K449" s="65" t="str">
        <f aca="false">IF($A449="","",IF(OR($C449="Decision",$C449="Conflict"),IF(COUNTIFS($I$2:$I$1001,$A449,$C$2:$C$1001,"Resolved")=0,"Open","Closed"),IF(AND($H449="Unconfirmed",OR($C449="New",$C449="Know")),IF(COUNTIFS($I$2:$I$1001,$A449,$C$2:$C$1001,"Confirmed")=0,"Unconfirmed","Confirmed"),"Logged")))</f>
        <v/>
      </c>
      <c r="L449" s="65" t="str">
        <f aca="false">IF($A449="","",AsOf-$B449)</f>
        <v/>
      </c>
      <c r="M449" s="65" t="str">
        <f aca="false">IF($K449="Open",IF($C449="Conflict","Critical",IF($L449&gt;=DecisionCritical,"Critical",IF($L449&gt;=DecisionWarn,"Warning","On track"))),IF($K449="Unconfirmed",IF($L449&gt;=UnconfirmedWarn,"Warning","On track"),""))</f>
        <v/>
      </c>
      <c r="N449" s="65" t="str">
        <f aca="false">IF($M449="","",IF($M449="Critical",3000,IF($M449="Warning",2000,1000))+$L449+ROW()/100000)</f>
        <v/>
      </c>
      <c r="O449" s="65" t="str">
        <f aca="false">IF($K449="Open",IF($C449="Conflict","decide "&amp;$A449&amp;": &lt;which version stands&gt;","decide "&amp;$A449&amp;": &lt;outcome&gt;"),IF($K449="Unconfirmed","confirm "&amp;$A449,""))</f>
        <v/>
      </c>
      <c r="P449" s="65" t="str">
        <f aca="false">IF(AND($C449="New",$B449&gt;=WeekStart),$B449+ROW()/100000,"")</f>
        <v/>
      </c>
      <c r="Q449" s="65" t="str">
        <f aca="false">IF(AND($C449="Know",$B449&gt;=WeekStart),$B449+ROW()/100000,"")</f>
        <v/>
      </c>
      <c r="R449" s="65" t="str">
        <f aca="false">IF(AND($K449="Open",$C449="Decision"),$L449+ROW()/100000,"")</f>
        <v/>
      </c>
      <c r="S449" s="65" t="str">
        <f aca="false">IF(AND($J449&lt;&gt;"",$J449=UCSel),$B449+ROW()/100000,"")</f>
        <v/>
      </c>
    </row>
    <row r="450" customFormat="false" ht="15" hidden="false" customHeight="false" outlineLevel="0" collapsed="false">
      <c r="A450" s="28"/>
      <c r="B450" s="63"/>
      <c r="C450" s="64"/>
      <c r="D450" s="28"/>
      <c r="E450" s="28"/>
      <c r="F450" s="28"/>
      <c r="G450" s="64"/>
      <c r="H450" s="64"/>
      <c r="I450" s="28"/>
      <c r="J450" s="28"/>
      <c r="K450" s="65" t="str">
        <f aca="false">IF($A450="","",IF(OR($C450="Decision",$C450="Conflict"),IF(COUNTIFS($I$2:$I$1001,$A450,$C$2:$C$1001,"Resolved")=0,"Open","Closed"),IF(AND($H450="Unconfirmed",OR($C450="New",$C450="Know")),IF(COUNTIFS($I$2:$I$1001,$A450,$C$2:$C$1001,"Confirmed")=0,"Unconfirmed","Confirmed"),"Logged")))</f>
        <v/>
      </c>
      <c r="L450" s="65" t="str">
        <f aca="false">IF($A450="","",AsOf-$B450)</f>
        <v/>
      </c>
      <c r="M450" s="65" t="str">
        <f aca="false">IF($K450="Open",IF($C450="Conflict","Critical",IF($L450&gt;=DecisionCritical,"Critical",IF($L450&gt;=DecisionWarn,"Warning","On track"))),IF($K450="Unconfirmed",IF($L450&gt;=UnconfirmedWarn,"Warning","On track"),""))</f>
        <v/>
      </c>
      <c r="N450" s="65" t="str">
        <f aca="false">IF($M450="","",IF($M450="Critical",3000,IF($M450="Warning",2000,1000))+$L450+ROW()/100000)</f>
        <v/>
      </c>
      <c r="O450" s="65" t="str">
        <f aca="false">IF($K450="Open",IF($C450="Conflict","decide "&amp;$A450&amp;": &lt;which version stands&gt;","decide "&amp;$A450&amp;": &lt;outcome&gt;"),IF($K450="Unconfirmed","confirm "&amp;$A450,""))</f>
        <v/>
      </c>
      <c r="P450" s="65" t="str">
        <f aca="false">IF(AND($C450="New",$B450&gt;=WeekStart),$B450+ROW()/100000,"")</f>
        <v/>
      </c>
      <c r="Q450" s="65" t="str">
        <f aca="false">IF(AND($C450="Know",$B450&gt;=WeekStart),$B450+ROW()/100000,"")</f>
        <v/>
      </c>
      <c r="R450" s="65" t="str">
        <f aca="false">IF(AND($K450="Open",$C450="Decision"),$L450+ROW()/100000,"")</f>
        <v/>
      </c>
      <c r="S450" s="65" t="str">
        <f aca="false">IF(AND($J450&lt;&gt;"",$J450=UCSel),$B450+ROW()/100000,"")</f>
        <v/>
      </c>
    </row>
    <row r="451" customFormat="false" ht="15" hidden="false" customHeight="false" outlineLevel="0" collapsed="false">
      <c r="A451" s="28"/>
      <c r="B451" s="63"/>
      <c r="C451" s="64"/>
      <c r="D451" s="28"/>
      <c r="E451" s="28"/>
      <c r="F451" s="28"/>
      <c r="G451" s="64"/>
      <c r="H451" s="64"/>
      <c r="I451" s="28"/>
      <c r="J451" s="28"/>
      <c r="K451" s="65" t="str">
        <f aca="false">IF($A451="","",IF(OR($C451="Decision",$C451="Conflict"),IF(COUNTIFS($I$2:$I$1001,$A451,$C$2:$C$1001,"Resolved")=0,"Open","Closed"),IF(AND($H451="Unconfirmed",OR($C451="New",$C451="Know")),IF(COUNTIFS($I$2:$I$1001,$A451,$C$2:$C$1001,"Confirmed")=0,"Unconfirmed","Confirmed"),"Logged")))</f>
        <v/>
      </c>
      <c r="L451" s="65" t="str">
        <f aca="false">IF($A451="","",AsOf-$B451)</f>
        <v/>
      </c>
      <c r="M451" s="65" t="str">
        <f aca="false">IF($K451="Open",IF($C451="Conflict","Critical",IF($L451&gt;=DecisionCritical,"Critical",IF($L451&gt;=DecisionWarn,"Warning","On track"))),IF($K451="Unconfirmed",IF($L451&gt;=UnconfirmedWarn,"Warning","On track"),""))</f>
        <v/>
      </c>
      <c r="N451" s="65" t="str">
        <f aca="false">IF($M451="","",IF($M451="Critical",3000,IF($M451="Warning",2000,1000))+$L451+ROW()/100000)</f>
        <v/>
      </c>
      <c r="O451" s="65" t="str">
        <f aca="false">IF($K451="Open",IF($C451="Conflict","decide "&amp;$A451&amp;": &lt;which version stands&gt;","decide "&amp;$A451&amp;": &lt;outcome&gt;"),IF($K451="Unconfirmed","confirm "&amp;$A451,""))</f>
        <v/>
      </c>
      <c r="P451" s="65" t="str">
        <f aca="false">IF(AND($C451="New",$B451&gt;=WeekStart),$B451+ROW()/100000,"")</f>
        <v/>
      </c>
      <c r="Q451" s="65" t="str">
        <f aca="false">IF(AND($C451="Know",$B451&gt;=WeekStart),$B451+ROW()/100000,"")</f>
        <v/>
      </c>
      <c r="R451" s="65" t="str">
        <f aca="false">IF(AND($K451="Open",$C451="Decision"),$L451+ROW()/100000,"")</f>
        <v/>
      </c>
      <c r="S451" s="65" t="str">
        <f aca="false">IF(AND($J451&lt;&gt;"",$J451=UCSel),$B451+ROW()/100000,"")</f>
        <v/>
      </c>
    </row>
    <row r="452" customFormat="false" ht="15" hidden="false" customHeight="false" outlineLevel="0" collapsed="false">
      <c r="A452" s="28"/>
      <c r="B452" s="63"/>
      <c r="C452" s="64"/>
      <c r="D452" s="28"/>
      <c r="E452" s="28"/>
      <c r="F452" s="28"/>
      <c r="G452" s="64"/>
      <c r="H452" s="64"/>
      <c r="I452" s="28"/>
      <c r="J452" s="28"/>
      <c r="K452" s="65" t="str">
        <f aca="false">IF($A452="","",IF(OR($C452="Decision",$C452="Conflict"),IF(COUNTIFS($I$2:$I$1001,$A452,$C$2:$C$1001,"Resolved")=0,"Open","Closed"),IF(AND($H452="Unconfirmed",OR($C452="New",$C452="Know")),IF(COUNTIFS($I$2:$I$1001,$A452,$C$2:$C$1001,"Confirmed")=0,"Unconfirmed","Confirmed"),"Logged")))</f>
        <v/>
      </c>
      <c r="L452" s="65" t="str">
        <f aca="false">IF($A452="","",AsOf-$B452)</f>
        <v/>
      </c>
      <c r="M452" s="65" t="str">
        <f aca="false">IF($K452="Open",IF($C452="Conflict","Critical",IF($L452&gt;=DecisionCritical,"Critical",IF($L452&gt;=DecisionWarn,"Warning","On track"))),IF($K452="Unconfirmed",IF($L452&gt;=UnconfirmedWarn,"Warning","On track"),""))</f>
        <v/>
      </c>
      <c r="N452" s="65" t="str">
        <f aca="false">IF($M452="","",IF($M452="Critical",3000,IF($M452="Warning",2000,1000))+$L452+ROW()/100000)</f>
        <v/>
      </c>
      <c r="O452" s="65" t="str">
        <f aca="false">IF($K452="Open",IF($C452="Conflict","decide "&amp;$A452&amp;": &lt;which version stands&gt;","decide "&amp;$A452&amp;": &lt;outcome&gt;"),IF($K452="Unconfirmed","confirm "&amp;$A452,""))</f>
        <v/>
      </c>
      <c r="P452" s="65" t="str">
        <f aca="false">IF(AND($C452="New",$B452&gt;=WeekStart),$B452+ROW()/100000,"")</f>
        <v/>
      </c>
      <c r="Q452" s="65" t="str">
        <f aca="false">IF(AND($C452="Know",$B452&gt;=WeekStart),$B452+ROW()/100000,"")</f>
        <v/>
      </c>
      <c r="R452" s="65" t="str">
        <f aca="false">IF(AND($K452="Open",$C452="Decision"),$L452+ROW()/100000,"")</f>
        <v/>
      </c>
      <c r="S452" s="65" t="str">
        <f aca="false">IF(AND($J452&lt;&gt;"",$J452=UCSel),$B452+ROW()/100000,"")</f>
        <v/>
      </c>
    </row>
    <row r="453" customFormat="false" ht="15" hidden="false" customHeight="false" outlineLevel="0" collapsed="false">
      <c r="A453" s="28"/>
      <c r="B453" s="63"/>
      <c r="C453" s="64"/>
      <c r="D453" s="28"/>
      <c r="E453" s="28"/>
      <c r="F453" s="28"/>
      <c r="G453" s="64"/>
      <c r="H453" s="64"/>
      <c r="I453" s="28"/>
      <c r="J453" s="28"/>
      <c r="K453" s="65" t="str">
        <f aca="false">IF($A453="","",IF(OR($C453="Decision",$C453="Conflict"),IF(COUNTIFS($I$2:$I$1001,$A453,$C$2:$C$1001,"Resolved")=0,"Open","Closed"),IF(AND($H453="Unconfirmed",OR($C453="New",$C453="Know")),IF(COUNTIFS($I$2:$I$1001,$A453,$C$2:$C$1001,"Confirmed")=0,"Unconfirmed","Confirmed"),"Logged")))</f>
        <v/>
      </c>
      <c r="L453" s="65" t="str">
        <f aca="false">IF($A453="","",AsOf-$B453)</f>
        <v/>
      </c>
      <c r="M453" s="65" t="str">
        <f aca="false">IF($K453="Open",IF($C453="Conflict","Critical",IF($L453&gt;=DecisionCritical,"Critical",IF($L453&gt;=DecisionWarn,"Warning","On track"))),IF($K453="Unconfirmed",IF($L453&gt;=UnconfirmedWarn,"Warning","On track"),""))</f>
        <v/>
      </c>
      <c r="N453" s="65" t="str">
        <f aca="false">IF($M453="","",IF($M453="Critical",3000,IF($M453="Warning",2000,1000))+$L453+ROW()/100000)</f>
        <v/>
      </c>
      <c r="O453" s="65" t="str">
        <f aca="false">IF($K453="Open",IF($C453="Conflict","decide "&amp;$A453&amp;": &lt;which version stands&gt;","decide "&amp;$A453&amp;": &lt;outcome&gt;"),IF($K453="Unconfirmed","confirm "&amp;$A453,""))</f>
        <v/>
      </c>
      <c r="P453" s="65" t="str">
        <f aca="false">IF(AND($C453="New",$B453&gt;=WeekStart),$B453+ROW()/100000,"")</f>
        <v/>
      </c>
      <c r="Q453" s="65" t="str">
        <f aca="false">IF(AND($C453="Know",$B453&gt;=WeekStart),$B453+ROW()/100000,"")</f>
        <v/>
      </c>
      <c r="R453" s="65" t="str">
        <f aca="false">IF(AND($K453="Open",$C453="Decision"),$L453+ROW()/100000,"")</f>
        <v/>
      </c>
      <c r="S453" s="65" t="str">
        <f aca="false">IF(AND($J453&lt;&gt;"",$J453=UCSel),$B453+ROW()/100000,"")</f>
        <v/>
      </c>
    </row>
    <row r="454" customFormat="false" ht="15" hidden="false" customHeight="false" outlineLevel="0" collapsed="false">
      <c r="A454" s="28"/>
      <c r="B454" s="63"/>
      <c r="C454" s="64"/>
      <c r="D454" s="28"/>
      <c r="E454" s="28"/>
      <c r="F454" s="28"/>
      <c r="G454" s="64"/>
      <c r="H454" s="64"/>
      <c r="I454" s="28"/>
      <c r="J454" s="28"/>
      <c r="K454" s="65" t="str">
        <f aca="false">IF($A454="","",IF(OR($C454="Decision",$C454="Conflict"),IF(COUNTIFS($I$2:$I$1001,$A454,$C$2:$C$1001,"Resolved")=0,"Open","Closed"),IF(AND($H454="Unconfirmed",OR($C454="New",$C454="Know")),IF(COUNTIFS($I$2:$I$1001,$A454,$C$2:$C$1001,"Confirmed")=0,"Unconfirmed","Confirmed"),"Logged")))</f>
        <v/>
      </c>
      <c r="L454" s="65" t="str">
        <f aca="false">IF($A454="","",AsOf-$B454)</f>
        <v/>
      </c>
      <c r="M454" s="65" t="str">
        <f aca="false">IF($K454="Open",IF($C454="Conflict","Critical",IF($L454&gt;=DecisionCritical,"Critical",IF($L454&gt;=DecisionWarn,"Warning","On track"))),IF($K454="Unconfirmed",IF($L454&gt;=UnconfirmedWarn,"Warning","On track"),""))</f>
        <v/>
      </c>
      <c r="N454" s="65" t="str">
        <f aca="false">IF($M454="","",IF($M454="Critical",3000,IF($M454="Warning",2000,1000))+$L454+ROW()/100000)</f>
        <v/>
      </c>
      <c r="O454" s="65" t="str">
        <f aca="false">IF($K454="Open",IF($C454="Conflict","decide "&amp;$A454&amp;": &lt;which version stands&gt;","decide "&amp;$A454&amp;": &lt;outcome&gt;"),IF($K454="Unconfirmed","confirm "&amp;$A454,""))</f>
        <v/>
      </c>
      <c r="P454" s="65" t="str">
        <f aca="false">IF(AND($C454="New",$B454&gt;=WeekStart),$B454+ROW()/100000,"")</f>
        <v/>
      </c>
      <c r="Q454" s="65" t="str">
        <f aca="false">IF(AND($C454="Know",$B454&gt;=WeekStart),$B454+ROW()/100000,"")</f>
        <v/>
      </c>
      <c r="R454" s="65" t="str">
        <f aca="false">IF(AND($K454="Open",$C454="Decision"),$L454+ROW()/100000,"")</f>
        <v/>
      </c>
      <c r="S454" s="65" t="str">
        <f aca="false">IF(AND($J454&lt;&gt;"",$J454=UCSel),$B454+ROW()/100000,"")</f>
        <v/>
      </c>
    </row>
    <row r="455" customFormat="false" ht="15" hidden="false" customHeight="false" outlineLevel="0" collapsed="false">
      <c r="A455" s="28"/>
      <c r="B455" s="63"/>
      <c r="C455" s="64"/>
      <c r="D455" s="28"/>
      <c r="E455" s="28"/>
      <c r="F455" s="28"/>
      <c r="G455" s="64"/>
      <c r="H455" s="64"/>
      <c r="I455" s="28"/>
      <c r="J455" s="28"/>
      <c r="K455" s="65" t="str">
        <f aca="false">IF($A455="","",IF(OR($C455="Decision",$C455="Conflict"),IF(COUNTIFS($I$2:$I$1001,$A455,$C$2:$C$1001,"Resolved")=0,"Open","Closed"),IF(AND($H455="Unconfirmed",OR($C455="New",$C455="Know")),IF(COUNTIFS($I$2:$I$1001,$A455,$C$2:$C$1001,"Confirmed")=0,"Unconfirmed","Confirmed"),"Logged")))</f>
        <v/>
      </c>
      <c r="L455" s="65" t="str">
        <f aca="false">IF($A455="","",AsOf-$B455)</f>
        <v/>
      </c>
      <c r="M455" s="65" t="str">
        <f aca="false">IF($K455="Open",IF($C455="Conflict","Critical",IF($L455&gt;=DecisionCritical,"Critical",IF($L455&gt;=DecisionWarn,"Warning","On track"))),IF($K455="Unconfirmed",IF($L455&gt;=UnconfirmedWarn,"Warning","On track"),""))</f>
        <v/>
      </c>
      <c r="N455" s="65" t="str">
        <f aca="false">IF($M455="","",IF($M455="Critical",3000,IF($M455="Warning",2000,1000))+$L455+ROW()/100000)</f>
        <v/>
      </c>
      <c r="O455" s="65" t="str">
        <f aca="false">IF($K455="Open",IF($C455="Conflict","decide "&amp;$A455&amp;": &lt;which version stands&gt;","decide "&amp;$A455&amp;": &lt;outcome&gt;"),IF($K455="Unconfirmed","confirm "&amp;$A455,""))</f>
        <v/>
      </c>
      <c r="P455" s="65" t="str">
        <f aca="false">IF(AND($C455="New",$B455&gt;=WeekStart),$B455+ROW()/100000,"")</f>
        <v/>
      </c>
      <c r="Q455" s="65" t="str">
        <f aca="false">IF(AND($C455="Know",$B455&gt;=WeekStart),$B455+ROW()/100000,"")</f>
        <v/>
      </c>
      <c r="R455" s="65" t="str">
        <f aca="false">IF(AND($K455="Open",$C455="Decision"),$L455+ROW()/100000,"")</f>
        <v/>
      </c>
      <c r="S455" s="65" t="str">
        <f aca="false">IF(AND($J455&lt;&gt;"",$J455=UCSel),$B455+ROW()/100000,"")</f>
        <v/>
      </c>
    </row>
    <row r="456" customFormat="false" ht="15" hidden="false" customHeight="false" outlineLevel="0" collapsed="false">
      <c r="A456" s="28"/>
      <c r="B456" s="63"/>
      <c r="C456" s="64"/>
      <c r="D456" s="28"/>
      <c r="E456" s="28"/>
      <c r="F456" s="28"/>
      <c r="G456" s="64"/>
      <c r="H456" s="64"/>
      <c r="I456" s="28"/>
      <c r="J456" s="28"/>
      <c r="K456" s="65" t="str">
        <f aca="false">IF($A456="","",IF(OR($C456="Decision",$C456="Conflict"),IF(COUNTIFS($I$2:$I$1001,$A456,$C$2:$C$1001,"Resolved")=0,"Open","Closed"),IF(AND($H456="Unconfirmed",OR($C456="New",$C456="Know")),IF(COUNTIFS($I$2:$I$1001,$A456,$C$2:$C$1001,"Confirmed")=0,"Unconfirmed","Confirmed"),"Logged")))</f>
        <v/>
      </c>
      <c r="L456" s="65" t="str">
        <f aca="false">IF($A456="","",AsOf-$B456)</f>
        <v/>
      </c>
      <c r="M456" s="65" t="str">
        <f aca="false">IF($K456="Open",IF($C456="Conflict","Critical",IF($L456&gt;=DecisionCritical,"Critical",IF($L456&gt;=DecisionWarn,"Warning","On track"))),IF($K456="Unconfirmed",IF($L456&gt;=UnconfirmedWarn,"Warning","On track"),""))</f>
        <v/>
      </c>
      <c r="N456" s="65" t="str">
        <f aca="false">IF($M456="","",IF($M456="Critical",3000,IF($M456="Warning",2000,1000))+$L456+ROW()/100000)</f>
        <v/>
      </c>
      <c r="O456" s="65" t="str">
        <f aca="false">IF($K456="Open",IF($C456="Conflict","decide "&amp;$A456&amp;": &lt;which version stands&gt;","decide "&amp;$A456&amp;": &lt;outcome&gt;"),IF($K456="Unconfirmed","confirm "&amp;$A456,""))</f>
        <v/>
      </c>
      <c r="P456" s="65" t="str">
        <f aca="false">IF(AND($C456="New",$B456&gt;=WeekStart),$B456+ROW()/100000,"")</f>
        <v/>
      </c>
      <c r="Q456" s="65" t="str">
        <f aca="false">IF(AND($C456="Know",$B456&gt;=WeekStart),$B456+ROW()/100000,"")</f>
        <v/>
      </c>
      <c r="R456" s="65" t="str">
        <f aca="false">IF(AND($K456="Open",$C456="Decision"),$L456+ROW()/100000,"")</f>
        <v/>
      </c>
      <c r="S456" s="65" t="str">
        <f aca="false">IF(AND($J456&lt;&gt;"",$J456=UCSel),$B456+ROW()/100000,"")</f>
        <v/>
      </c>
    </row>
    <row r="457" customFormat="false" ht="15" hidden="false" customHeight="false" outlineLevel="0" collapsed="false">
      <c r="A457" s="28"/>
      <c r="B457" s="63"/>
      <c r="C457" s="64"/>
      <c r="D457" s="28"/>
      <c r="E457" s="28"/>
      <c r="F457" s="28"/>
      <c r="G457" s="64"/>
      <c r="H457" s="64"/>
      <c r="I457" s="28"/>
      <c r="J457" s="28"/>
      <c r="K457" s="65" t="str">
        <f aca="false">IF($A457="","",IF(OR($C457="Decision",$C457="Conflict"),IF(COUNTIFS($I$2:$I$1001,$A457,$C$2:$C$1001,"Resolved")=0,"Open","Closed"),IF(AND($H457="Unconfirmed",OR($C457="New",$C457="Know")),IF(COUNTIFS($I$2:$I$1001,$A457,$C$2:$C$1001,"Confirmed")=0,"Unconfirmed","Confirmed"),"Logged")))</f>
        <v/>
      </c>
      <c r="L457" s="65" t="str">
        <f aca="false">IF($A457="","",AsOf-$B457)</f>
        <v/>
      </c>
      <c r="M457" s="65" t="str">
        <f aca="false">IF($K457="Open",IF($C457="Conflict","Critical",IF($L457&gt;=DecisionCritical,"Critical",IF($L457&gt;=DecisionWarn,"Warning","On track"))),IF($K457="Unconfirmed",IF($L457&gt;=UnconfirmedWarn,"Warning","On track"),""))</f>
        <v/>
      </c>
      <c r="N457" s="65" t="str">
        <f aca="false">IF($M457="","",IF($M457="Critical",3000,IF($M457="Warning",2000,1000))+$L457+ROW()/100000)</f>
        <v/>
      </c>
      <c r="O457" s="65" t="str">
        <f aca="false">IF($K457="Open",IF($C457="Conflict","decide "&amp;$A457&amp;": &lt;which version stands&gt;","decide "&amp;$A457&amp;": &lt;outcome&gt;"),IF($K457="Unconfirmed","confirm "&amp;$A457,""))</f>
        <v/>
      </c>
      <c r="P457" s="65" t="str">
        <f aca="false">IF(AND($C457="New",$B457&gt;=WeekStart),$B457+ROW()/100000,"")</f>
        <v/>
      </c>
      <c r="Q457" s="65" t="str">
        <f aca="false">IF(AND($C457="Know",$B457&gt;=WeekStart),$B457+ROW()/100000,"")</f>
        <v/>
      </c>
      <c r="R457" s="65" t="str">
        <f aca="false">IF(AND($K457="Open",$C457="Decision"),$L457+ROW()/100000,"")</f>
        <v/>
      </c>
      <c r="S457" s="65" t="str">
        <f aca="false">IF(AND($J457&lt;&gt;"",$J457=UCSel),$B457+ROW()/100000,"")</f>
        <v/>
      </c>
    </row>
    <row r="458" customFormat="false" ht="15" hidden="false" customHeight="false" outlineLevel="0" collapsed="false">
      <c r="A458" s="28"/>
      <c r="B458" s="63"/>
      <c r="C458" s="64"/>
      <c r="D458" s="28"/>
      <c r="E458" s="28"/>
      <c r="F458" s="28"/>
      <c r="G458" s="64"/>
      <c r="H458" s="64"/>
      <c r="I458" s="28"/>
      <c r="J458" s="28"/>
      <c r="K458" s="65" t="str">
        <f aca="false">IF($A458="","",IF(OR($C458="Decision",$C458="Conflict"),IF(COUNTIFS($I$2:$I$1001,$A458,$C$2:$C$1001,"Resolved")=0,"Open","Closed"),IF(AND($H458="Unconfirmed",OR($C458="New",$C458="Know")),IF(COUNTIFS($I$2:$I$1001,$A458,$C$2:$C$1001,"Confirmed")=0,"Unconfirmed","Confirmed"),"Logged")))</f>
        <v/>
      </c>
      <c r="L458" s="65" t="str">
        <f aca="false">IF($A458="","",AsOf-$B458)</f>
        <v/>
      </c>
      <c r="M458" s="65" t="str">
        <f aca="false">IF($K458="Open",IF($C458="Conflict","Critical",IF($L458&gt;=DecisionCritical,"Critical",IF($L458&gt;=DecisionWarn,"Warning","On track"))),IF($K458="Unconfirmed",IF($L458&gt;=UnconfirmedWarn,"Warning","On track"),""))</f>
        <v/>
      </c>
      <c r="N458" s="65" t="str">
        <f aca="false">IF($M458="","",IF($M458="Critical",3000,IF($M458="Warning",2000,1000))+$L458+ROW()/100000)</f>
        <v/>
      </c>
      <c r="O458" s="65" t="str">
        <f aca="false">IF($K458="Open",IF($C458="Conflict","decide "&amp;$A458&amp;": &lt;which version stands&gt;","decide "&amp;$A458&amp;": &lt;outcome&gt;"),IF($K458="Unconfirmed","confirm "&amp;$A458,""))</f>
        <v/>
      </c>
      <c r="P458" s="65" t="str">
        <f aca="false">IF(AND($C458="New",$B458&gt;=WeekStart),$B458+ROW()/100000,"")</f>
        <v/>
      </c>
      <c r="Q458" s="65" t="str">
        <f aca="false">IF(AND($C458="Know",$B458&gt;=WeekStart),$B458+ROW()/100000,"")</f>
        <v/>
      </c>
      <c r="R458" s="65" t="str">
        <f aca="false">IF(AND($K458="Open",$C458="Decision"),$L458+ROW()/100000,"")</f>
        <v/>
      </c>
      <c r="S458" s="65" t="str">
        <f aca="false">IF(AND($J458&lt;&gt;"",$J458=UCSel),$B458+ROW()/100000,"")</f>
        <v/>
      </c>
    </row>
    <row r="459" customFormat="false" ht="15" hidden="false" customHeight="false" outlineLevel="0" collapsed="false">
      <c r="A459" s="28"/>
      <c r="B459" s="63"/>
      <c r="C459" s="64"/>
      <c r="D459" s="28"/>
      <c r="E459" s="28"/>
      <c r="F459" s="28"/>
      <c r="G459" s="64"/>
      <c r="H459" s="64"/>
      <c r="I459" s="28"/>
      <c r="J459" s="28"/>
      <c r="K459" s="65" t="str">
        <f aca="false">IF($A459="","",IF(OR($C459="Decision",$C459="Conflict"),IF(COUNTIFS($I$2:$I$1001,$A459,$C$2:$C$1001,"Resolved")=0,"Open","Closed"),IF(AND($H459="Unconfirmed",OR($C459="New",$C459="Know")),IF(COUNTIFS($I$2:$I$1001,$A459,$C$2:$C$1001,"Confirmed")=0,"Unconfirmed","Confirmed"),"Logged")))</f>
        <v/>
      </c>
      <c r="L459" s="65" t="str">
        <f aca="false">IF($A459="","",AsOf-$B459)</f>
        <v/>
      </c>
      <c r="M459" s="65" t="str">
        <f aca="false">IF($K459="Open",IF($C459="Conflict","Critical",IF($L459&gt;=DecisionCritical,"Critical",IF($L459&gt;=DecisionWarn,"Warning","On track"))),IF($K459="Unconfirmed",IF($L459&gt;=UnconfirmedWarn,"Warning","On track"),""))</f>
        <v/>
      </c>
      <c r="N459" s="65" t="str">
        <f aca="false">IF($M459="","",IF($M459="Critical",3000,IF($M459="Warning",2000,1000))+$L459+ROW()/100000)</f>
        <v/>
      </c>
      <c r="O459" s="65" t="str">
        <f aca="false">IF($K459="Open",IF($C459="Conflict","decide "&amp;$A459&amp;": &lt;which version stands&gt;","decide "&amp;$A459&amp;": &lt;outcome&gt;"),IF($K459="Unconfirmed","confirm "&amp;$A459,""))</f>
        <v/>
      </c>
      <c r="P459" s="65" t="str">
        <f aca="false">IF(AND($C459="New",$B459&gt;=WeekStart),$B459+ROW()/100000,"")</f>
        <v/>
      </c>
      <c r="Q459" s="65" t="str">
        <f aca="false">IF(AND($C459="Know",$B459&gt;=WeekStart),$B459+ROW()/100000,"")</f>
        <v/>
      </c>
      <c r="R459" s="65" t="str">
        <f aca="false">IF(AND($K459="Open",$C459="Decision"),$L459+ROW()/100000,"")</f>
        <v/>
      </c>
      <c r="S459" s="65" t="str">
        <f aca="false">IF(AND($J459&lt;&gt;"",$J459=UCSel),$B459+ROW()/100000,"")</f>
        <v/>
      </c>
    </row>
    <row r="460" customFormat="false" ht="15" hidden="false" customHeight="false" outlineLevel="0" collapsed="false">
      <c r="A460" s="28"/>
      <c r="B460" s="63"/>
      <c r="C460" s="64"/>
      <c r="D460" s="28"/>
      <c r="E460" s="28"/>
      <c r="F460" s="28"/>
      <c r="G460" s="64"/>
      <c r="H460" s="64"/>
      <c r="I460" s="28"/>
      <c r="J460" s="28"/>
      <c r="K460" s="65" t="str">
        <f aca="false">IF($A460="","",IF(OR($C460="Decision",$C460="Conflict"),IF(COUNTIFS($I$2:$I$1001,$A460,$C$2:$C$1001,"Resolved")=0,"Open","Closed"),IF(AND($H460="Unconfirmed",OR($C460="New",$C460="Know")),IF(COUNTIFS($I$2:$I$1001,$A460,$C$2:$C$1001,"Confirmed")=0,"Unconfirmed","Confirmed"),"Logged")))</f>
        <v/>
      </c>
      <c r="L460" s="65" t="str">
        <f aca="false">IF($A460="","",AsOf-$B460)</f>
        <v/>
      </c>
      <c r="M460" s="65" t="str">
        <f aca="false">IF($K460="Open",IF($C460="Conflict","Critical",IF($L460&gt;=DecisionCritical,"Critical",IF($L460&gt;=DecisionWarn,"Warning","On track"))),IF($K460="Unconfirmed",IF($L460&gt;=UnconfirmedWarn,"Warning","On track"),""))</f>
        <v/>
      </c>
      <c r="N460" s="65" t="str">
        <f aca="false">IF($M460="","",IF($M460="Critical",3000,IF($M460="Warning",2000,1000))+$L460+ROW()/100000)</f>
        <v/>
      </c>
      <c r="O460" s="65" t="str">
        <f aca="false">IF($K460="Open",IF($C460="Conflict","decide "&amp;$A460&amp;": &lt;which version stands&gt;","decide "&amp;$A460&amp;": &lt;outcome&gt;"),IF($K460="Unconfirmed","confirm "&amp;$A460,""))</f>
        <v/>
      </c>
      <c r="P460" s="65" t="str">
        <f aca="false">IF(AND($C460="New",$B460&gt;=WeekStart),$B460+ROW()/100000,"")</f>
        <v/>
      </c>
      <c r="Q460" s="65" t="str">
        <f aca="false">IF(AND($C460="Know",$B460&gt;=WeekStart),$B460+ROW()/100000,"")</f>
        <v/>
      </c>
      <c r="R460" s="65" t="str">
        <f aca="false">IF(AND($K460="Open",$C460="Decision"),$L460+ROW()/100000,"")</f>
        <v/>
      </c>
      <c r="S460" s="65" t="str">
        <f aca="false">IF(AND($J460&lt;&gt;"",$J460=UCSel),$B460+ROW()/100000,"")</f>
        <v/>
      </c>
    </row>
    <row r="461" customFormat="false" ht="15" hidden="false" customHeight="false" outlineLevel="0" collapsed="false">
      <c r="A461" s="28"/>
      <c r="B461" s="63"/>
      <c r="C461" s="64"/>
      <c r="D461" s="28"/>
      <c r="E461" s="28"/>
      <c r="F461" s="28"/>
      <c r="G461" s="64"/>
      <c r="H461" s="64"/>
      <c r="I461" s="28"/>
      <c r="J461" s="28"/>
      <c r="K461" s="65" t="str">
        <f aca="false">IF($A461="","",IF(OR($C461="Decision",$C461="Conflict"),IF(COUNTIFS($I$2:$I$1001,$A461,$C$2:$C$1001,"Resolved")=0,"Open","Closed"),IF(AND($H461="Unconfirmed",OR($C461="New",$C461="Know")),IF(COUNTIFS($I$2:$I$1001,$A461,$C$2:$C$1001,"Confirmed")=0,"Unconfirmed","Confirmed"),"Logged")))</f>
        <v/>
      </c>
      <c r="L461" s="65" t="str">
        <f aca="false">IF($A461="","",AsOf-$B461)</f>
        <v/>
      </c>
      <c r="M461" s="65" t="str">
        <f aca="false">IF($K461="Open",IF($C461="Conflict","Critical",IF($L461&gt;=DecisionCritical,"Critical",IF($L461&gt;=DecisionWarn,"Warning","On track"))),IF($K461="Unconfirmed",IF($L461&gt;=UnconfirmedWarn,"Warning","On track"),""))</f>
        <v/>
      </c>
      <c r="N461" s="65" t="str">
        <f aca="false">IF($M461="","",IF($M461="Critical",3000,IF($M461="Warning",2000,1000))+$L461+ROW()/100000)</f>
        <v/>
      </c>
      <c r="O461" s="65" t="str">
        <f aca="false">IF($K461="Open",IF($C461="Conflict","decide "&amp;$A461&amp;": &lt;which version stands&gt;","decide "&amp;$A461&amp;": &lt;outcome&gt;"),IF($K461="Unconfirmed","confirm "&amp;$A461,""))</f>
        <v/>
      </c>
      <c r="P461" s="65" t="str">
        <f aca="false">IF(AND($C461="New",$B461&gt;=WeekStart),$B461+ROW()/100000,"")</f>
        <v/>
      </c>
      <c r="Q461" s="65" t="str">
        <f aca="false">IF(AND($C461="Know",$B461&gt;=WeekStart),$B461+ROW()/100000,"")</f>
        <v/>
      </c>
      <c r="R461" s="65" t="str">
        <f aca="false">IF(AND($K461="Open",$C461="Decision"),$L461+ROW()/100000,"")</f>
        <v/>
      </c>
      <c r="S461" s="65" t="str">
        <f aca="false">IF(AND($J461&lt;&gt;"",$J461=UCSel),$B461+ROW()/100000,"")</f>
        <v/>
      </c>
    </row>
    <row r="462" customFormat="false" ht="15" hidden="false" customHeight="false" outlineLevel="0" collapsed="false">
      <c r="A462" s="28"/>
      <c r="B462" s="63"/>
      <c r="C462" s="64"/>
      <c r="D462" s="28"/>
      <c r="E462" s="28"/>
      <c r="F462" s="28"/>
      <c r="G462" s="64"/>
      <c r="H462" s="64"/>
      <c r="I462" s="28"/>
      <c r="J462" s="28"/>
      <c r="K462" s="65" t="str">
        <f aca="false">IF($A462="","",IF(OR($C462="Decision",$C462="Conflict"),IF(COUNTIFS($I$2:$I$1001,$A462,$C$2:$C$1001,"Resolved")=0,"Open","Closed"),IF(AND($H462="Unconfirmed",OR($C462="New",$C462="Know")),IF(COUNTIFS($I$2:$I$1001,$A462,$C$2:$C$1001,"Confirmed")=0,"Unconfirmed","Confirmed"),"Logged")))</f>
        <v/>
      </c>
      <c r="L462" s="65" t="str">
        <f aca="false">IF($A462="","",AsOf-$B462)</f>
        <v/>
      </c>
      <c r="M462" s="65" t="str">
        <f aca="false">IF($K462="Open",IF($C462="Conflict","Critical",IF($L462&gt;=DecisionCritical,"Critical",IF($L462&gt;=DecisionWarn,"Warning","On track"))),IF($K462="Unconfirmed",IF($L462&gt;=UnconfirmedWarn,"Warning","On track"),""))</f>
        <v/>
      </c>
      <c r="N462" s="65" t="str">
        <f aca="false">IF($M462="","",IF($M462="Critical",3000,IF($M462="Warning",2000,1000))+$L462+ROW()/100000)</f>
        <v/>
      </c>
      <c r="O462" s="65" t="str">
        <f aca="false">IF($K462="Open",IF($C462="Conflict","decide "&amp;$A462&amp;": &lt;which version stands&gt;","decide "&amp;$A462&amp;": &lt;outcome&gt;"),IF($K462="Unconfirmed","confirm "&amp;$A462,""))</f>
        <v/>
      </c>
      <c r="P462" s="65" t="str">
        <f aca="false">IF(AND($C462="New",$B462&gt;=WeekStart),$B462+ROW()/100000,"")</f>
        <v/>
      </c>
      <c r="Q462" s="65" t="str">
        <f aca="false">IF(AND($C462="Know",$B462&gt;=WeekStart),$B462+ROW()/100000,"")</f>
        <v/>
      </c>
      <c r="R462" s="65" t="str">
        <f aca="false">IF(AND($K462="Open",$C462="Decision"),$L462+ROW()/100000,"")</f>
        <v/>
      </c>
      <c r="S462" s="65" t="str">
        <f aca="false">IF(AND($J462&lt;&gt;"",$J462=UCSel),$B462+ROW()/100000,"")</f>
        <v/>
      </c>
    </row>
    <row r="463" customFormat="false" ht="15" hidden="false" customHeight="false" outlineLevel="0" collapsed="false">
      <c r="A463" s="28"/>
      <c r="B463" s="63"/>
      <c r="C463" s="64"/>
      <c r="D463" s="28"/>
      <c r="E463" s="28"/>
      <c r="F463" s="28"/>
      <c r="G463" s="64"/>
      <c r="H463" s="64"/>
      <c r="I463" s="28"/>
      <c r="J463" s="28"/>
      <c r="K463" s="65" t="str">
        <f aca="false">IF($A463="","",IF(OR($C463="Decision",$C463="Conflict"),IF(COUNTIFS($I$2:$I$1001,$A463,$C$2:$C$1001,"Resolved")=0,"Open","Closed"),IF(AND($H463="Unconfirmed",OR($C463="New",$C463="Know")),IF(COUNTIFS($I$2:$I$1001,$A463,$C$2:$C$1001,"Confirmed")=0,"Unconfirmed","Confirmed"),"Logged")))</f>
        <v/>
      </c>
      <c r="L463" s="65" t="str">
        <f aca="false">IF($A463="","",AsOf-$B463)</f>
        <v/>
      </c>
      <c r="M463" s="65" t="str">
        <f aca="false">IF($K463="Open",IF($C463="Conflict","Critical",IF($L463&gt;=DecisionCritical,"Critical",IF($L463&gt;=DecisionWarn,"Warning","On track"))),IF($K463="Unconfirmed",IF($L463&gt;=UnconfirmedWarn,"Warning","On track"),""))</f>
        <v/>
      </c>
      <c r="N463" s="65" t="str">
        <f aca="false">IF($M463="","",IF($M463="Critical",3000,IF($M463="Warning",2000,1000))+$L463+ROW()/100000)</f>
        <v/>
      </c>
      <c r="O463" s="65" t="str">
        <f aca="false">IF($K463="Open",IF($C463="Conflict","decide "&amp;$A463&amp;": &lt;which version stands&gt;","decide "&amp;$A463&amp;": &lt;outcome&gt;"),IF($K463="Unconfirmed","confirm "&amp;$A463,""))</f>
        <v/>
      </c>
      <c r="P463" s="65" t="str">
        <f aca="false">IF(AND($C463="New",$B463&gt;=WeekStart),$B463+ROW()/100000,"")</f>
        <v/>
      </c>
      <c r="Q463" s="65" t="str">
        <f aca="false">IF(AND($C463="Know",$B463&gt;=WeekStart),$B463+ROW()/100000,"")</f>
        <v/>
      </c>
      <c r="R463" s="65" t="str">
        <f aca="false">IF(AND($K463="Open",$C463="Decision"),$L463+ROW()/100000,"")</f>
        <v/>
      </c>
      <c r="S463" s="65" t="str">
        <f aca="false">IF(AND($J463&lt;&gt;"",$J463=UCSel),$B463+ROW()/100000,"")</f>
        <v/>
      </c>
    </row>
    <row r="464" customFormat="false" ht="15" hidden="false" customHeight="false" outlineLevel="0" collapsed="false">
      <c r="A464" s="28"/>
      <c r="B464" s="63"/>
      <c r="C464" s="64"/>
      <c r="D464" s="28"/>
      <c r="E464" s="28"/>
      <c r="F464" s="28"/>
      <c r="G464" s="64"/>
      <c r="H464" s="64"/>
      <c r="I464" s="28"/>
      <c r="J464" s="28"/>
      <c r="K464" s="65" t="str">
        <f aca="false">IF($A464="","",IF(OR($C464="Decision",$C464="Conflict"),IF(COUNTIFS($I$2:$I$1001,$A464,$C$2:$C$1001,"Resolved")=0,"Open","Closed"),IF(AND($H464="Unconfirmed",OR($C464="New",$C464="Know")),IF(COUNTIFS($I$2:$I$1001,$A464,$C$2:$C$1001,"Confirmed")=0,"Unconfirmed","Confirmed"),"Logged")))</f>
        <v/>
      </c>
      <c r="L464" s="65" t="str">
        <f aca="false">IF($A464="","",AsOf-$B464)</f>
        <v/>
      </c>
      <c r="M464" s="65" t="str">
        <f aca="false">IF($K464="Open",IF($C464="Conflict","Critical",IF($L464&gt;=DecisionCritical,"Critical",IF($L464&gt;=DecisionWarn,"Warning","On track"))),IF($K464="Unconfirmed",IF($L464&gt;=UnconfirmedWarn,"Warning","On track"),""))</f>
        <v/>
      </c>
      <c r="N464" s="65" t="str">
        <f aca="false">IF($M464="","",IF($M464="Critical",3000,IF($M464="Warning",2000,1000))+$L464+ROW()/100000)</f>
        <v/>
      </c>
      <c r="O464" s="65" t="str">
        <f aca="false">IF($K464="Open",IF($C464="Conflict","decide "&amp;$A464&amp;": &lt;which version stands&gt;","decide "&amp;$A464&amp;": &lt;outcome&gt;"),IF($K464="Unconfirmed","confirm "&amp;$A464,""))</f>
        <v/>
      </c>
      <c r="P464" s="65" t="str">
        <f aca="false">IF(AND($C464="New",$B464&gt;=WeekStart),$B464+ROW()/100000,"")</f>
        <v/>
      </c>
      <c r="Q464" s="65" t="str">
        <f aca="false">IF(AND($C464="Know",$B464&gt;=WeekStart),$B464+ROW()/100000,"")</f>
        <v/>
      </c>
      <c r="R464" s="65" t="str">
        <f aca="false">IF(AND($K464="Open",$C464="Decision"),$L464+ROW()/100000,"")</f>
        <v/>
      </c>
      <c r="S464" s="65" t="str">
        <f aca="false">IF(AND($J464&lt;&gt;"",$J464=UCSel),$B464+ROW()/100000,"")</f>
        <v/>
      </c>
    </row>
    <row r="465" customFormat="false" ht="15" hidden="false" customHeight="false" outlineLevel="0" collapsed="false">
      <c r="A465" s="28"/>
      <c r="B465" s="63"/>
      <c r="C465" s="64"/>
      <c r="D465" s="28"/>
      <c r="E465" s="28"/>
      <c r="F465" s="28"/>
      <c r="G465" s="64"/>
      <c r="H465" s="64"/>
      <c r="I465" s="28"/>
      <c r="J465" s="28"/>
      <c r="K465" s="65" t="str">
        <f aca="false">IF($A465="","",IF(OR($C465="Decision",$C465="Conflict"),IF(COUNTIFS($I$2:$I$1001,$A465,$C$2:$C$1001,"Resolved")=0,"Open","Closed"),IF(AND($H465="Unconfirmed",OR($C465="New",$C465="Know")),IF(COUNTIFS($I$2:$I$1001,$A465,$C$2:$C$1001,"Confirmed")=0,"Unconfirmed","Confirmed"),"Logged")))</f>
        <v/>
      </c>
      <c r="L465" s="65" t="str">
        <f aca="false">IF($A465="","",AsOf-$B465)</f>
        <v/>
      </c>
      <c r="M465" s="65" t="str">
        <f aca="false">IF($K465="Open",IF($C465="Conflict","Critical",IF($L465&gt;=DecisionCritical,"Critical",IF($L465&gt;=DecisionWarn,"Warning","On track"))),IF($K465="Unconfirmed",IF($L465&gt;=UnconfirmedWarn,"Warning","On track"),""))</f>
        <v/>
      </c>
      <c r="N465" s="65" t="str">
        <f aca="false">IF($M465="","",IF($M465="Critical",3000,IF($M465="Warning",2000,1000))+$L465+ROW()/100000)</f>
        <v/>
      </c>
      <c r="O465" s="65" t="str">
        <f aca="false">IF($K465="Open",IF($C465="Conflict","decide "&amp;$A465&amp;": &lt;which version stands&gt;","decide "&amp;$A465&amp;": &lt;outcome&gt;"),IF($K465="Unconfirmed","confirm "&amp;$A465,""))</f>
        <v/>
      </c>
      <c r="P465" s="65" t="str">
        <f aca="false">IF(AND($C465="New",$B465&gt;=WeekStart),$B465+ROW()/100000,"")</f>
        <v/>
      </c>
      <c r="Q465" s="65" t="str">
        <f aca="false">IF(AND($C465="Know",$B465&gt;=WeekStart),$B465+ROW()/100000,"")</f>
        <v/>
      </c>
      <c r="R465" s="65" t="str">
        <f aca="false">IF(AND($K465="Open",$C465="Decision"),$L465+ROW()/100000,"")</f>
        <v/>
      </c>
      <c r="S465" s="65" t="str">
        <f aca="false">IF(AND($J465&lt;&gt;"",$J465=UCSel),$B465+ROW()/100000,"")</f>
        <v/>
      </c>
    </row>
    <row r="466" customFormat="false" ht="15" hidden="false" customHeight="false" outlineLevel="0" collapsed="false">
      <c r="A466" s="28"/>
      <c r="B466" s="63"/>
      <c r="C466" s="64"/>
      <c r="D466" s="28"/>
      <c r="E466" s="28"/>
      <c r="F466" s="28"/>
      <c r="G466" s="64"/>
      <c r="H466" s="64"/>
      <c r="I466" s="28"/>
      <c r="J466" s="28"/>
      <c r="K466" s="65" t="str">
        <f aca="false">IF($A466="","",IF(OR($C466="Decision",$C466="Conflict"),IF(COUNTIFS($I$2:$I$1001,$A466,$C$2:$C$1001,"Resolved")=0,"Open","Closed"),IF(AND($H466="Unconfirmed",OR($C466="New",$C466="Know")),IF(COUNTIFS($I$2:$I$1001,$A466,$C$2:$C$1001,"Confirmed")=0,"Unconfirmed","Confirmed"),"Logged")))</f>
        <v/>
      </c>
      <c r="L466" s="65" t="str">
        <f aca="false">IF($A466="","",AsOf-$B466)</f>
        <v/>
      </c>
      <c r="M466" s="65" t="str">
        <f aca="false">IF($K466="Open",IF($C466="Conflict","Critical",IF($L466&gt;=DecisionCritical,"Critical",IF($L466&gt;=DecisionWarn,"Warning","On track"))),IF($K466="Unconfirmed",IF($L466&gt;=UnconfirmedWarn,"Warning","On track"),""))</f>
        <v/>
      </c>
      <c r="N466" s="65" t="str">
        <f aca="false">IF($M466="","",IF($M466="Critical",3000,IF($M466="Warning",2000,1000))+$L466+ROW()/100000)</f>
        <v/>
      </c>
      <c r="O466" s="65" t="str">
        <f aca="false">IF($K466="Open",IF($C466="Conflict","decide "&amp;$A466&amp;": &lt;which version stands&gt;","decide "&amp;$A466&amp;": &lt;outcome&gt;"),IF($K466="Unconfirmed","confirm "&amp;$A466,""))</f>
        <v/>
      </c>
      <c r="P466" s="65" t="str">
        <f aca="false">IF(AND($C466="New",$B466&gt;=WeekStart),$B466+ROW()/100000,"")</f>
        <v/>
      </c>
      <c r="Q466" s="65" t="str">
        <f aca="false">IF(AND($C466="Know",$B466&gt;=WeekStart),$B466+ROW()/100000,"")</f>
        <v/>
      </c>
      <c r="R466" s="65" t="str">
        <f aca="false">IF(AND($K466="Open",$C466="Decision"),$L466+ROW()/100000,"")</f>
        <v/>
      </c>
      <c r="S466" s="65" t="str">
        <f aca="false">IF(AND($J466&lt;&gt;"",$J466=UCSel),$B466+ROW()/100000,"")</f>
        <v/>
      </c>
    </row>
    <row r="467" customFormat="false" ht="15" hidden="false" customHeight="false" outlineLevel="0" collapsed="false">
      <c r="A467" s="28"/>
      <c r="B467" s="63"/>
      <c r="C467" s="64"/>
      <c r="D467" s="28"/>
      <c r="E467" s="28"/>
      <c r="F467" s="28"/>
      <c r="G467" s="64"/>
      <c r="H467" s="64"/>
      <c r="I467" s="28"/>
      <c r="J467" s="28"/>
      <c r="K467" s="65" t="str">
        <f aca="false">IF($A467="","",IF(OR($C467="Decision",$C467="Conflict"),IF(COUNTIFS($I$2:$I$1001,$A467,$C$2:$C$1001,"Resolved")=0,"Open","Closed"),IF(AND($H467="Unconfirmed",OR($C467="New",$C467="Know")),IF(COUNTIFS($I$2:$I$1001,$A467,$C$2:$C$1001,"Confirmed")=0,"Unconfirmed","Confirmed"),"Logged")))</f>
        <v/>
      </c>
      <c r="L467" s="65" t="str">
        <f aca="false">IF($A467="","",AsOf-$B467)</f>
        <v/>
      </c>
      <c r="M467" s="65" t="str">
        <f aca="false">IF($K467="Open",IF($C467="Conflict","Critical",IF($L467&gt;=DecisionCritical,"Critical",IF($L467&gt;=DecisionWarn,"Warning","On track"))),IF($K467="Unconfirmed",IF($L467&gt;=UnconfirmedWarn,"Warning","On track"),""))</f>
        <v/>
      </c>
      <c r="N467" s="65" t="str">
        <f aca="false">IF($M467="","",IF($M467="Critical",3000,IF($M467="Warning",2000,1000))+$L467+ROW()/100000)</f>
        <v/>
      </c>
      <c r="O467" s="65" t="str">
        <f aca="false">IF($K467="Open",IF($C467="Conflict","decide "&amp;$A467&amp;": &lt;which version stands&gt;","decide "&amp;$A467&amp;": &lt;outcome&gt;"),IF($K467="Unconfirmed","confirm "&amp;$A467,""))</f>
        <v/>
      </c>
      <c r="P467" s="65" t="str">
        <f aca="false">IF(AND($C467="New",$B467&gt;=WeekStart),$B467+ROW()/100000,"")</f>
        <v/>
      </c>
      <c r="Q467" s="65" t="str">
        <f aca="false">IF(AND($C467="Know",$B467&gt;=WeekStart),$B467+ROW()/100000,"")</f>
        <v/>
      </c>
      <c r="R467" s="65" t="str">
        <f aca="false">IF(AND($K467="Open",$C467="Decision"),$L467+ROW()/100000,"")</f>
        <v/>
      </c>
      <c r="S467" s="65" t="str">
        <f aca="false">IF(AND($J467&lt;&gt;"",$J467=UCSel),$B467+ROW()/100000,"")</f>
        <v/>
      </c>
    </row>
    <row r="468" customFormat="false" ht="15" hidden="false" customHeight="false" outlineLevel="0" collapsed="false">
      <c r="A468" s="28"/>
      <c r="B468" s="63"/>
      <c r="C468" s="64"/>
      <c r="D468" s="28"/>
      <c r="E468" s="28"/>
      <c r="F468" s="28"/>
      <c r="G468" s="64"/>
      <c r="H468" s="64"/>
      <c r="I468" s="28"/>
      <c r="J468" s="28"/>
      <c r="K468" s="65" t="str">
        <f aca="false">IF($A468="","",IF(OR($C468="Decision",$C468="Conflict"),IF(COUNTIFS($I$2:$I$1001,$A468,$C$2:$C$1001,"Resolved")=0,"Open","Closed"),IF(AND($H468="Unconfirmed",OR($C468="New",$C468="Know")),IF(COUNTIFS($I$2:$I$1001,$A468,$C$2:$C$1001,"Confirmed")=0,"Unconfirmed","Confirmed"),"Logged")))</f>
        <v/>
      </c>
      <c r="L468" s="65" t="str">
        <f aca="false">IF($A468="","",AsOf-$B468)</f>
        <v/>
      </c>
      <c r="M468" s="65" t="str">
        <f aca="false">IF($K468="Open",IF($C468="Conflict","Critical",IF($L468&gt;=DecisionCritical,"Critical",IF($L468&gt;=DecisionWarn,"Warning","On track"))),IF($K468="Unconfirmed",IF($L468&gt;=UnconfirmedWarn,"Warning","On track"),""))</f>
        <v/>
      </c>
      <c r="N468" s="65" t="str">
        <f aca="false">IF($M468="","",IF($M468="Critical",3000,IF($M468="Warning",2000,1000))+$L468+ROW()/100000)</f>
        <v/>
      </c>
      <c r="O468" s="65" t="str">
        <f aca="false">IF($K468="Open",IF($C468="Conflict","decide "&amp;$A468&amp;": &lt;which version stands&gt;","decide "&amp;$A468&amp;": &lt;outcome&gt;"),IF($K468="Unconfirmed","confirm "&amp;$A468,""))</f>
        <v/>
      </c>
      <c r="P468" s="65" t="str">
        <f aca="false">IF(AND($C468="New",$B468&gt;=WeekStart),$B468+ROW()/100000,"")</f>
        <v/>
      </c>
      <c r="Q468" s="65" t="str">
        <f aca="false">IF(AND($C468="Know",$B468&gt;=WeekStart),$B468+ROW()/100000,"")</f>
        <v/>
      </c>
      <c r="R468" s="65" t="str">
        <f aca="false">IF(AND($K468="Open",$C468="Decision"),$L468+ROW()/100000,"")</f>
        <v/>
      </c>
      <c r="S468" s="65" t="str">
        <f aca="false">IF(AND($J468&lt;&gt;"",$J468=UCSel),$B468+ROW()/100000,"")</f>
        <v/>
      </c>
    </row>
    <row r="469" customFormat="false" ht="15" hidden="false" customHeight="false" outlineLevel="0" collapsed="false">
      <c r="A469" s="28"/>
      <c r="B469" s="63"/>
      <c r="C469" s="64"/>
      <c r="D469" s="28"/>
      <c r="E469" s="28"/>
      <c r="F469" s="28"/>
      <c r="G469" s="64"/>
      <c r="H469" s="64"/>
      <c r="I469" s="28"/>
      <c r="J469" s="28"/>
      <c r="K469" s="65" t="str">
        <f aca="false">IF($A469="","",IF(OR($C469="Decision",$C469="Conflict"),IF(COUNTIFS($I$2:$I$1001,$A469,$C$2:$C$1001,"Resolved")=0,"Open","Closed"),IF(AND($H469="Unconfirmed",OR($C469="New",$C469="Know")),IF(COUNTIFS($I$2:$I$1001,$A469,$C$2:$C$1001,"Confirmed")=0,"Unconfirmed","Confirmed"),"Logged")))</f>
        <v/>
      </c>
      <c r="L469" s="65" t="str">
        <f aca="false">IF($A469="","",AsOf-$B469)</f>
        <v/>
      </c>
      <c r="M469" s="65" t="str">
        <f aca="false">IF($K469="Open",IF($C469="Conflict","Critical",IF($L469&gt;=DecisionCritical,"Critical",IF($L469&gt;=DecisionWarn,"Warning","On track"))),IF($K469="Unconfirmed",IF($L469&gt;=UnconfirmedWarn,"Warning","On track"),""))</f>
        <v/>
      </c>
      <c r="N469" s="65" t="str">
        <f aca="false">IF($M469="","",IF($M469="Critical",3000,IF($M469="Warning",2000,1000))+$L469+ROW()/100000)</f>
        <v/>
      </c>
      <c r="O469" s="65" t="str">
        <f aca="false">IF($K469="Open",IF($C469="Conflict","decide "&amp;$A469&amp;": &lt;which version stands&gt;","decide "&amp;$A469&amp;": &lt;outcome&gt;"),IF($K469="Unconfirmed","confirm "&amp;$A469,""))</f>
        <v/>
      </c>
      <c r="P469" s="65" t="str">
        <f aca="false">IF(AND($C469="New",$B469&gt;=WeekStart),$B469+ROW()/100000,"")</f>
        <v/>
      </c>
      <c r="Q469" s="65" t="str">
        <f aca="false">IF(AND($C469="Know",$B469&gt;=WeekStart),$B469+ROW()/100000,"")</f>
        <v/>
      </c>
      <c r="R469" s="65" t="str">
        <f aca="false">IF(AND($K469="Open",$C469="Decision"),$L469+ROW()/100000,"")</f>
        <v/>
      </c>
      <c r="S469" s="65" t="str">
        <f aca="false">IF(AND($J469&lt;&gt;"",$J469=UCSel),$B469+ROW()/100000,"")</f>
        <v/>
      </c>
    </row>
    <row r="470" customFormat="false" ht="15" hidden="false" customHeight="false" outlineLevel="0" collapsed="false">
      <c r="A470" s="28"/>
      <c r="B470" s="63"/>
      <c r="C470" s="64"/>
      <c r="D470" s="28"/>
      <c r="E470" s="28"/>
      <c r="F470" s="28"/>
      <c r="G470" s="64"/>
      <c r="H470" s="64"/>
      <c r="I470" s="28"/>
      <c r="J470" s="28"/>
      <c r="K470" s="65" t="str">
        <f aca="false">IF($A470="","",IF(OR($C470="Decision",$C470="Conflict"),IF(COUNTIFS($I$2:$I$1001,$A470,$C$2:$C$1001,"Resolved")=0,"Open","Closed"),IF(AND($H470="Unconfirmed",OR($C470="New",$C470="Know")),IF(COUNTIFS($I$2:$I$1001,$A470,$C$2:$C$1001,"Confirmed")=0,"Unconfirmed","Confirmed"),"Logged")))</f>
        <v/>
      </c>
      <c r="L470" s="65" t="str">
        <f aca="false">IF($A470="","",AsOf-$B470)</f>
        <v/>
      </c>
      <c r="M470" s="65" t="str">
        <f aca="false">IF($K470="Open",IF($C470="Conflict","Critical",IF($L470&gt;=DecisionCritical,"Critical",IF($L470&gt;=DecisionWarn,"Warning","On track"))),IF($K470="Unconfirmed",IF($L470&gt;=UnconfirmedWarn,"Warning","On track"),""))</f>
        <v/>
      </c>
      <c r="N470" s="65" t="str">
        <f aca="false">IF($M470="","",IF($M470="Critical",3000,IF($M470="Warning",2000,1000))+$L470+ROW()/100000)</f>
        <v/>
      </c>
      <c r="O470" s="65" t="str">
        <f aca="false">IF($K470="Open",IF($C470="Conflict","decide "&amp;$A470&amp;": &lt;which version stands&gt;","decide "&amp;$A470&amp;": &lt;outcome&gt;"),IF($K470="Unconfirmed","confirm "&amp;$A470,""))</f>
        <v/>
      </c>
      <c r="P470" s="65" t="str">
        <f aca="false">IF(AND($C470="New",$B470&gt;=WeekStart),$B470+ROW()/100000,"")</f>
        <v/>
      </c>
      <c r="Q470" s="65" t="str">
        <f aca="false">IF(AND($C470="Know",$B470&gt;=WeekStart),$B470+ROW()/100000,"")</f>
        <v/>
      </c>
      <c r="R470" s="65" t="str">
        <f aca="false">IF(AND($K470="Open",$C470="Decision"),$L470+ROW()/100000,"")</f>
        <v/>
      </c>
      <c r="S470" s="65" t="str">
        <f aca="false">IF(AND($J470&lt;&gt;"",$J470=UCSel),$B470+ROW()/100000,"")</f>
        <v/>
      </c>
    </row>
    <row r="471" customFormat="false" ht="15" hidden="false" customHeight="false" outlineLevel="0" collapsed="false">
      <c r="A471" s="28"/>
      <c r="B471" s="63"/>
      <c r="C471" s="64"/>
      <c r="D471" s="28"/>
      <c r="E471" s="28"/>
      <c r="F471" s="28"/>
      <c r="G471" s="64"/>
      <c r="H471" s="64"/>
      <c r="I471" s="28"/>
      <c r="J471" s="28"/>
      <c r="K471" s="65" t="str">
        <f aca="false">IF($A471="","",IF(OR($C471="Decision",$C471="Conflict"),IF(COUNTIFS($I$2:$I$1001,$A471,$C$2:$C$1001,"Resolved")=0,"Open","Closed"),IF(AND($H471="Unconfirmed",OR($C471="New",$C471="Know")),IF(COUNTIFS($I$2:$I$1001,$A471,$C$2:$C$1001,"Confirmed")=0,"Unconfirmed","Confirmed"),"Logged")))</f>
        <v/>
      </c>
      <c r="L471" s="65" t="str">
        <f aca="false">IF($A471="","",AsOf-$B471)</f>
        <v/>
      </c>
      <c r="M471" s="65" t="str">
        <f aca="false">IF($K471="Open",IF($C471="Conflict","Critical",IF($L471&gt;=DecisionCritical,"Critical",IF($L471&gt;=DecisionWarn,"Warning","On track"))),IF($K471="Unconfirmed",IF($L471&gt;=UnconfirmedWarn,"Warning","On track"),""))</f>
        <v/>
      </c>
      <c r="N471" s="65" t="str">
        <f aca="false">IF($M471="","",IF($M471="Critical",3000,IF($M471="Warning",2000,1000))+$L471+ROW()/100000)</f>
        <v/>
      </c>
      <c r="O471" s="65" t="str">
        <f aca="false">IF($K471="Open",IF($C471="Conflict","decide "&amp;$A471&amp;": &lt;which version stands&gt;","decide "&amp;$A471&amp;": &lt;outcome&gt;"),IF($K471="Unconfirmed","confirm "&amp;$A471,""))</f>
        <v/>
      </c>
      <c r="P471" s="65" t="str">
        <f aca="false">IF(AND($C471="New",$B471&gt;=WeekStart),$B471+ROW()/100000,"")</f>
        <v/>
      </c>
      <c r="Q471" s="65" t="str">
        <f aca="false">IF(AND($C471="Know",$B471&gt;=WeekStart),$B471+ROW()/100000,"")</f>
        <v/>
      </c>
      <c r="R471" s="65" t="str">
        <f aca="false">IF(AND($K471="Open",$C471="Decision"),$L471+ROW()/100000,"")</f>
        <v/>
      </c>
      <c r="S471" s="65" t="str">
        <f aca="false">IF(AND($J471&lt;&gt;"",$J471=UCSel),$B471+ROW()/100000,"")</f>
        <v/>
      </c>
    </row>
    <row r="472" customFormat="false" ht="15" hidden="false" customHeight="false" outlineLevel="0" collapsed="false">
      <c r="A472" s="28"/>
      <c r="B472" s="63"/>
      <c r="C472" s="64"/>
      <c r="D472" s="28"/>
      <c r="E472" s="28"/>
      <c r="F472" s="28"/>
      <c r="G472" s="64"/>
      <c r="H472" s="64"/>
      <c r="I472" s="28"/>
      <c r="J472" s="28"/>
      <c r="K472" s="65" t="str">
        <f aca="false">IF($A472="","",IF(OR($C472="Decision",$C472="Conflict"),IF(COUNTIFS($I$2:$I$1001,$A472,$C$2:$C$1001,"Resolved")=0,"Open","Closed"),IF(AND($H472="Unconfirmed",OR($C472="New",$C472="Know")),IF(COUNTIFS($I$2:$I$1001,$A472,$C$2:$C$1001,"Confirmed")=0,"Unconfirmed","Confirmed"),"Logged")))</f>
        <v/>
      </c>
      <c r="L472" s="65" t="str">
        <f aca="false">IF($A472="","",AsOf-$B472)</f>
        <v/>
      </c>
      <c r="M472" s="65" t="str">
        <f aca="false">IF($K472="Open",IF($C472="Conflict","Critical",IF($L472&gt;=DecisionCritical,"Critical",IF($L472&gt;=DecisionWarn,"Warning","On track"))),IF($K472="Unconfirmed",IF($L472&gt;=UnconfirmedWarn,"Warning","On track"),""))</f>
        <v/>
      </c>
      <c r="N472" s="65" t="str">
        <f aca="false">IF($M472="","",IF($M472="Critical",3000,IF($M472="Warning",2000,1000))+$L472+ROW()/100000)</f>
        <v/>
      </c>
      <c r="O472" s="65" t="str">
        <f aca="false">IF($K472="Open",IF($C472="Conflict","decide "&amp;$A472&amp;": &lt;which version stands&gt;","decide "&amp;$A472&amp;": &lt;outcome&gt;"),IF($K472="Unconfirmed","confirm "&amp;$A472,""))</f>
        <v/>
      </c>
      <c r="P472" s="65" t="str">
        <f aca="false">IF(AND($C472="New",$B472&gt;=WeekStart),$B472+ROW()/100000,"")</f>
        <v/>
      </c>
      <c r="Q472" s="65" t="str">
        <f aca="false">IF(AND($C472="Know",$B472&gt;=WeekStart),$B472+ROW()/100000,"")</f>
        <v/>
      </c>
      <c r="R472" s="65" t="str">
        <f aca="false">IF(AND($K472="Open",$C472="Decision"),$L472+ROW()/100000,"")</f>
        <v/>
      </c>
      <c r="S472" s="65" t="str">
        <f aca="false">IF(AND($J472&lt;&gt;"",$J472=UCSel),$B472+ROW()/100000,"")</f>
        <v/>
      </c>
    </row>
    <row r="473" customFormat="false" ht="15" hidden="false" customHeight="false" outlineLevel="0" collapsed="false">
      <c r="A473" s="28"/>
      <c r="B473" s="63"/>
      <c r="C473" s="64"/>
      <c r="D473" s="28"/>
      <c r="E473" s="28"/>
      <c r="F473" s="28"/>
      <c r="G473" s="64"/>
      <c r="H473" s="64"/>
      <c r="I473" s="28"/>
      <c r="J473" s="28"/>
      <c r="K473" s="65" t="str">
        <f aca="false">IF($A473="","",IF(OR($C473="Decision",$C473="Conflict"),IF(COUNTIFS($I$2:$I$1001,$A473,$C$2:$C$1001,"Resolved")=0,"Open","Closed"),IF(AND($H473="Unconfirmed",OR($C473="New",$C473="Know")),IF(COUNTIFS($I$2:$I$1001,$A473,$C$2:$C$1001,"Confirmed")=0,"Unconfirmed","Confirmed"),"Logged")))</f>
        <v/>
      </c>
      <c r="L473" s="65" t="str">
        <f aca="false">IF($A473="","",AsOf-$B473)</f>
        <v/>
      </c>
      <c r="M473" s="65" t="str">
        <f aca="false">IF($K473="Open",IF($C473="Conflict","Critical",IF($L473&gt;=DecisionCritical,"Critical",IF($L473&gt;=DecisionWarn,"Warning","On track"))),IF($K473="Unconfirmed",IF($L473&gt;=UnconfirmedWarn,"Warning","On track"),""))</f>
        <v/>
      </c>
      <c r="N473" s="65" t="str">
        <f aca="false">IF($M473="","",IF($M473="Critical",3000,IF($M473="Warning",2000,1000))+$L473+ROW()/100000)</f>
        <v/>
      </c>
      <c r="O473" s="65" t="str">
        <f aca="false">IF($K473="Open",IF($C473="Conflict","decide "&amp;$A473&amp;": &lt;which version stands&gt;","decide "&amp;$A473&amp;": &lt;outcome&gt;"),IF($K473="Unconfirmed","confirm "&amp;$A473,""))</f>
        <v/>
      </c>
      <c r="P473" s="65" t="str">
        <f aca="false">IF(AND($C473="New",$B473&gt;=WeekStart),$B473+ROW()/100000,"")</f>
        <v/>
      </c>
      <c r="Q473" s="65" t="str">
        <f aca="false">IF(AND($C473="Know",$B473&gt;=WeekStart),$B473+ROW()/100000,"")</f>
        <v/>
      </c>
      <c r="R473" s="65" t="str">
        <f aca="false">IF(AND($K473="Open",$C473="Decision"),$L473+ROW()/100000,"")</f>
        <v/>
      </c>
      <c r="S473" s="65" t="str">
        <f aca="false">IF(AND($J473&lt;&gt;"",$J473=UCSel),$B473+ROW()/100000,"")</f>
        <v/>
      </c>
    </row>
    <row r="474" customFormat="false" ht="15" hidden="false" customHeight="false" outlineLevel="0" collapsed="false">
      <c r="A474" s="28"/>
      <c r="B474" s="63"/>
      <c r="C474" s="64"/>
      <c r="D474" s="28"/>
      <c r="E474" s="28"/>
      <c r="F474" s="28"/>
      <c r="G474" s="64"/>
      <c r="H474" s="64"/>
      <c r="I474" s="28"/>
      <c r="J474" s="28"/>
      <c r="K474" s="65" t="str">
        <f aca="false">IF($A474="","",IF(OR($C474="Decision",$C474="Conflict"),IF(COUNTIFS($I$2:$I$1001,$A474,$C$2:$C$1001,"Resolved")=0,"Open","Closed"),IF(AND($H474="Unconfirmed",OR($C474="New",$C474="Know")),IF(COUNTIFS($I$2:$I$1001,$A474,$C$2:$C$1001,"Confirmed")=0,"Unconfirmed","Confirmed"),"Logged")))</f>
        <v/>
      </c>
      <c r="L474" s="65" t="str">
        <f aca="false">IF($A474="","",AsOf-$B474)</f>
        <v/>
      </c>
      <c r="M474" s="65" t="str">
        <f aca="false">IF($K474="Open",IF($C474="Conflict","Critical",IF($L474&gt;=DecisionCritical,"Critical",IF($L474&gt;=DecisionWarn,"Warning","On track"))),IF($K474="Unconfirmed",IF($L474&gt;=UnconfirmedWarn,"Warning","On track"),""))</f>
        <v/>
      </c>
      <c r="N474" s="65" t="str">
        <f aca="false">IF($M474="","",IF($M474="Critical",3000,IF($M474="Warning",2000,1000))+$L474+ROW()/100000)</f>
        <v/>
      </c>
      <c r="O474" s="65" t="str">
        <f aca="false">IF($K474="Open",IF($C474="Conflict","decide "&amp;$A474&amp;": &lt;which version stands&gt;","decide "&amp;$A474&amp;": &lt;outcome&gt;"),IF($K474="Unconfirmed","confirm "&amp;$A474,""))</f>
        <v/>
      </c>
      <c r="P474" s="65" t="str">
        <f aca="false">IF(AND($C474="New",$B474&gt;=WeekStart),$B474+ROW()/100000,"")</f>
        <v/>
      </c>
      <c r="Q474" s="65" t="str">
        <f aca="false">IF(AND($C474="Know",$B474&gt;=WeekStart),$B474+ROW()/100000,"")</f>
        <v/>
      </c>
      <c r="R474" s="65" t="str">
        <f aca="false">IF(AND($K474="Open",$C474="Decision"),$L474+ROW()/100000,"")</f>
        <v/>
      </c>
      <c r="S474" s="65" t="str">
        <f aca="false">IF(AND($J474&lt;&gt;"",$J474=UCSel),$B474+ROW()/100000,"")</f>
        <v/>
      </c>
    </row>
    <row r="475" customFormat="false" ht="15" hidden="false" customHeight="false" outlineLevel="0" collapsed="false">
      <c r="A475" s="28"/>
      <c r="B475" s="63"/>
      <c r="C475" s="64"/>
      <c r="D475" s="28"/>
      <c r="E475" s="28"/>
      <c r="F475" s="28"/>
      <c r="G475" s="64"/>
      <c r="H475" s="64"/>
      <c r="I475" s="28"/>
      <c r="J475" s="28"/>
      <c r="K475" s="65" t="str">
        <f aca="false">IF($A475="","",IF(OR($C475="Decision",$C475="Conflict"),IF(COUNTIFS($I$2:$I$1001,$A475,$C$2:$C$1001,"Resolved")=0,"Open","Closed"),IF(AND($H475="Unconfirmed",OR($C475="New",$C475="Know")),IF(COUNTIFS($I$2:$I$1001,$A475,$C$2:$C$1001,"Confirmed")=0,"Unconfirmed","Confirmed"),"Logged")))</f>
        <v/>
      </c>
      <c r="L475" s="65" t="str">
        <f aca="false">IF($A475="","",AsOf-$B475)</f>
        <v/>
      </c>
      <c r="M475" s="65" t="str">
        <f aca="false">IF($K475="Open",IF($C475="Conflict","Critical",IF($L475&gt;=DecisionCritical,"Critical",IF($L475&gt;=DecisionWarn,"Warning","On track"))),IF($K475="Unconfirmed",IF($L475&gt;=UnconfirmedWarn,"Warning","On track"),""))</f>
        <v/>
      </c>
      <c r="N475" s="65" t="str">
        <f aca="false">IF($M475="","",IF($M475="Critical",3000,IF($M475="Warning",2000,1000))+$L475+ROW()/100000)</f>
        <v/>
      </c>
      <c r="O475" s="65" t="str">
        <f aca="false">IF($K475="Open",IF($C475="Conflict","decide "&amp;$A475&amp;": &lt;which version stands&gt;","decide "&amp;$A475&amp;": &lt;outcome&gt;"),IF($K475="Unconfirmed","confirm "&amp;$A475,""))</f>
        <v/>
      </c>
      <c r="P475" s="65" t="str">
        <f aca="false">IF(AND($C475="New",$B475&gt;=WeekStart),$B475+ROW()/100000,"")</f>
        <v/>
      </c>
      <c r="Q475" s="65" t="str">
        <f aca="false">IF(AND($C475="Know",$B475&gt;=WeekStart),$B475+ROW()/100000,"")</f>
        <v/>
      </c>
      <c r="R475" s="65" t="str">
        <f aca="false">IF(AND($K475="Open",$C475="Decision"),$L475+ROW()/100000,"")</f>
        <v/>
      </c>
      <c r="S475" s="65" t="str">
        <f aca="false">IF(AND($J475&lt;&gt;"",$J475=UCSel),$B475+ROW()/100000,"")</f>
        <v/>
      </c>
    </row>
    <row r="476" customFormat="false" ht="15" hidden="false" customHeight="false" outlineLevel="0" collapsed="false">
      <c r="A476" s="28"/>
      <c r="B476" s="63"/>
      <c r="C476" s="64"/>
      <c r="D476" s="28"/>
      <c r="E476" s="28"/>
      <c r="F476" s="28"/>
      <c r="G476" s="64"/>
      <c r="H476" s="64"/>
      <c r="I476" s="28"/>
      <c r="J476" s="28"/>
      <c r="K476" s="65" t="str">
        <f aca="false">IF($A476="","",IF(OR($C476="Decision",$C476="Conflict"),IF(COUNTIFS($I$2:$I$1001,$A476,$C$2:$C$1001,"Resolved")=0,"Open","Closed"),IF(AND($H476="Unconfirmed",OR($C476="New",$C476="Know")),IF(COUNTIFS($I$2:$I$1001,$A476,$C$2:$C$1001,"Confirmed")=0,"Unconfirmed","Confirmed"),"Logged")))</f>
        <v/>
      </c>
      <c r="L476" s="65" t="str">
        <f aca="false">IF($A476="","",AsOf-$B476)</f>
        <v/>
      </c>
      <c r="M476" s="65" t="str">
        <f aca="false">IF($K476="Open",IF($C476="Conflict","Critical",IF($L476&gt;=DecisionCritical,"Critical",IF($L476&gt;=DecisionWarn,"Warning","On track"))),IF($K476="Unconfirmed",IF($L476&gt;=UnconfirmedWarn,"Warning","On track"),""))</f>
        <v/>
      </c>
      <c r="N476" s="65" t="str">
        <f aca="false">IF($M476="","",IF($M476="Critical",3000,IF($M476="Warning",2000,1000))+$L476+ROW()/100000)</f>
        <v/>
      </c>
      <c r="O476" s="65" t="str">
        <f aca="false">IF($K476="Open",IF($C476="Conflict","decide "&amp;$A476&amp;": &lt;which version stands&gt;","decide "&amp;$A476&amp;": &lt;outcome&gt;"),IF($K476="Unconfirmed","confirm "&amp;$A476,""))</f>
        <v/>
      </c>
      <c r="P476" s="65" t="str">
        <f aca="false">IF(AND($C476="New",$B476&gt;=WeekStart),$B476+ROW()/100000,"")</f>
        <v/>
      </c>
      <c r="Q476" s="65" t="str">
        <f aca="false">IF(AND($C476="Know",$B476&gt;=WeekStart),$B476+ROW()/100000,"")</f>
        <v/>
      </c>
      <c r="R476" s="65" t="str">
        <f aca="false">IF(AND($K476="Open",$C476="Decision"),$L476+ROW()/100000,"")</f>
        <v/>
      </c>
      <c r="S476" s="65" t="str">
        <f aca="false">IF(AND($J476&lt;&gt;"",$J476=UCSel),$B476+ROW()/100000,"")</f>
        <v/>
      </c>
    </row>
    <row r="477" customFormat="false" ht="15" hidden="false" customHeight="false" outlineLevel="0" collapsed="false">
      <c r="A477" s="28"/>
      <c r="B477" s="63"/>
      <c r="C477" s="64"/>
      <c r="D477" s="28"/>
      <c r="E477" s="28"/>
      <c r="F477" s="28"/>
      <c r="G477" s="64"/>
      <c r="H477" s="64"/>
      <c r="I477" s="28"/>
      <c r="J477" s="28"/>
      <c r="K477" s="65" t="str">
        <f aca="false">IF($A477="","",IF(OR($C477="Decision",$C477="Conflict"),IF(COUNTIFS($I$2:$I$1001,$A477,$C$2:$C$1001,"Resolved")=0,"Open","Closed"),IF(AND($H477="Unconfirmed",OR($C477="New",$C477="Know")),IF(COUNTIFS($I$2:$I$1001,$A477,$C$2:$C$1001,"Confirmed")=0,"Unconfirmed","Confirmed"),"Logged")))</f>
        <v/>
      </c>
      <c r="L477" s="65" t="str">
        <f aca="false">IF($A477="","",AsOf-$B477)</f>
        <v/>
      </c>
      <c r="M477" s="65" t="str">
        <f aca="false">IF($K477="Open",IF($C477="Conflict","Critical",IF($L477&gt;=DecisionCritical,"Critical",IF($L477&gt;=DecisionWarn,"Warning","On track"))),IF($K477="Unconfirmed",IF($L477&gt;=UnconfirmedWarn,"Warning","On track"),""))</f>
        <v/>
      </c>
      <c r="N477" s="65" t="str">
        <f aca="false">IF($M477="","",IF($M477="Critical",3000,IF($M477="Warning",2000,1000))+$L477+ROW()/100000)</f>
        <v/>
      </c>
      <c r="O477" s="65" t="str">
        <f aca="false">IF($K477="Open",IF($C477="Conflict","decide "&amp;$A477&amp;": &lt;which version stands&gt;","decide "&amp;$A477&amp;": &lt;outcome&gt;"),IF($K477="Unconfirmed","confirm "&amp;$A477,""))</f>
        <v/>
      </c>
      <c r="P477" s="65" t="str">
        <f aca="false">IF(AND($C477="New",$B477&gt;=WeekStart),$B477+ROW()/100000,"")</f>
        <v/>
      </c>
      <c r="Q477" s="65" t="str">
        <f aca="false">IF(AND($C477="Know",$B477&gt;=WeekStart),$B477+ROW()/100000,"")</f>
        <v/>
      </c>
      <c r="R477" s="65" t="str">
        <f aca="false">IF(AND($K477="Open",$C477="Decision"),$L477+ROW()/100000,"")</f>
        <v/>
      </c>
      <c r="S477" s="65" t="str">
        <f aca="false">IF(AND($J477&lt;&gt;"",$J477=UCSel),$B477+ROW()/100000,"")</f>
        <v/>
      </c>
    </row>
    <row r="478" customFormat="false" ht="15" hidden="false" customHeight="false" outlineLevel="0" collapsed="false">
      <c r="A478" s="28"/>
      <c r="B478" s="63"/>
      <c r="C478" s="64"/>
      <c r="D478" s="28"/>
      <c r="E478" s="28"/>
      <c r="F478" s="28"/>
      <c r="G478" s="64"/>
      <c r="H478" s="64"/>
      <c r="I478" s="28"/>
      <c r="J478" s="28"/>
      <c r="K478" s="65" t="str">
        <f aca="false">IF($A478="","",IF(OR($C478="Decision",$C478="Conflict"),IF(COUNTIFS($I$2:$I$1001,$A478,$C$2:$C$1001,"Resolved")=0,"Open","Closed"),IF(AND($H478="Unconfirmed",OR($C478="New",$C478="Know")),IF(COUNTIFS($I$2:$I$1001,$A478,$C$2:$C$1001,"Confirmed")=0,"Unconfirmed","Confirmed"),"Logged")))</f>
        <v/>
      </c>
      <c r="L478" s="65" t="str">
        <f aca="false">IF($A478="","",AsOf-$B478)</f>
        <v/>
      </c>
      <c r="M478" s="65" t="str">
        <f aca="false">IF($K478="Open",IF($C478="Conflict","Critical",IF($L478&gt;=DecisionCritical,"Critical",IF($L478&gt;=DecisionWarn,"Warning","On track"))),IF($K478="Unconfirmed",IF($L478&gt;=UnconfirmedWarn,"Warning","On track"),""))</f>
        <v/>
      </c>
      <c r="N478" s="65" t="str">
        <f aca="false">IF($M478="","",IF($M478="Critical",3000,IF($M478="Warning",2000,1000))+$L478+ROW()/100000)</f>
        <v/>
      </c>
      <c r="O478" s="65" t="str">
        <f aca="false">IF($K478="Open",IF($C478="Conflict","decide "&amp;$A478&amp;": &lt;which version stands&gt;","decide "&amp;$A478&amp;": &lt;outcome&gt;"),IF($K478="Unconfirmed","confirm "&amp;$A478,""))</f>
        <v/>
      </c>
      <c r="P478" s="65" t="str">
        <f aca="false">IF(AND($C478="New",$B478&gt;=WeekStart),$B478+ROW()/100000,"")</f>
        <v/>
      </c>
      <c r="Q478" s="65" t="str">
        <f aca="false">IF(AND($C478="Know",$B478&gt;=WeekStart),$B478+ROW()/100000,"")</f>
        <v/>
      </c>
      <c r="R478" s="65" t="str">
        <f aca="false">IF(AND($K478="Open",$C478="Decision"),$L478+ROW()/100000,"")</f>
        <v/>
      </c>
      <c r="S478" s="65" t="str">
        <f aca="false">IF(AND($J478&lt;&gt;"",$J478=UCSel),$B478+ROW()/100000,"")</f>
        <v/>
      </c>
    </row>
    <row r="479" customFormat="false" ht="15" hidden="false" customHeight="false" outlineLevel="0" collapsed="false">
      <c r="A479" s="28"/>
      <c r="B479" s="63"/>
      <c r="C479" s="64"/>
      <c r="D479" s="28"/>
      <c r="E479" s="28"/>
      <c r="F479" s="28"/>
      <c r="G479" s="64"/>
      <c r="H479" s="64"/>
      <c r="I479" s="28"/>
      <c r="J479" s="28"/>
      <c r="K479" s="65" t="str">
        <f aca="false">IF($A479="","",IF(OR($C479="Decision",$C479="Conflict"),IF(COUNTIFS($I$2:$I$1001,$A479,$C$2:$C$1001,"Resolved")=0,"Open","Closed"),IF(AND($H479="Unconfirmed",OR($C479="New",$C479="Know")),IF(COUNTIFS($I$2:$I$1001,$A479,$C$2:$C$1001,"Confirmed")=0,"Unconfirmed","Confirmed"),"Logged")))</f>
        <v/>
      </c>
      <c r="L479" s="65" t="str">
        <f aca="false">IF($A479="","",AsOf-$B479)</f>
        <v/>
      </c>
      <c r="M479" s="65" t="str">
        <f aca="false">IF($K479="Open",IF($C479="Conflict","Critical",IF($L479&gt;=DecisionCritical,"Critical",IF($L479&gt;=DecisionWarn,"Warning","On track"))),IF($K479="Unconfirmed",IF($L479&gt;=UnconfirmedWarn,"Warning","On track"),""))</f>
        <v/>
      </c>
      <c r="N479" s="65" t="str">
        <f aca="false">IF($M479="","",IF($M479="Critical",3000,IF($M479="Warning",2000,1000))+$L479+ROW()/100000)</f>
        <v/>
      </c>
      <c r="O479" s="65" t="str">
        <f aca="false">IF($K479="Open",IF($C479="Conflict","decide "&amp;$A479&amp;": &lt;which version stands&gt;","decide "&amp;$A479&amp;": &lt;outcome&gt;"),IF($K479="Unconfirmed","confirm "&amp;$A479,""))</f>
        <v/>
      </c>
      <c r="P479" s="65" t="str">
        <f aca="false">IF(AND($C479="New",$B479&gt;=WeekStart),$B479+ROW()/100000,"")</f>
        <v/>
      </c>
      <c r="Q479" s="65" t="str">
        <f aca="false">IF(AND($C479="Know",$B479&gt;=WeekStart),$B479+ROW()/100000,"")</f>
        <v/>
      </c>
      <c r="R479" s="65" t="str">
        <f aca="false">IF(AND($K479="Open",$C479="Decision"),$L479+ROW()/100000,"")</f>
        <v/>
      </c>
      <c r="S479" s="65" t="str">
        <f aca="false">IF(AND($J479&lt;&gt;"",$J479=UCSel),$B479+ROW()/100000,"")</f>
        <v/>
      </c>
    </row>
    <row r="480" customFormat="false" ht="15" hidden="false" customHeight="false" outlineLevel="0" collapsed="false">
      <c r="A480" s="28"/>
      <c r="B480" s="63"/>
      <c r="C480" s="64"/>
      <c r="D480" s="28"/>
      <c r="E480" s="28"/>
      <c r="F480" s="28"/>
      <c r="G480" s="64"/>
      <c r="H480" s="64"/>
      <c r="I480" s="28"/>
      <c r="J480" s="28"/>
      <c r="K480" s="65" t="str">
        <f aca="false">IF($A480="","",IF(OR($C480="Decision",$C480="Conflict"),IF(COUNTIFS($I$2:$I$1001,$A480,$C$2:$C$1001,"Resolved")=0,"Open","Closed"),IF(AND($H480="Unconfirmed",OR($C480="New",$C480="Know")),IF(COUNTIFS($I$2:$I$1001,$A480,$C$2:$C$1001,"Confirmed")=0,"Unconfirmed","Confirmed"),"Logged")))</f>
        <v/>
      </c>
      <c r="L480" s="65" t="str">
        <f aca="false">IF($A480="","",AsOf-$B480)</f>
        <v/>
      </c>
      <c r="M480" s="65" t="str">
        <f aca="false">IF($K480="Open",IF($C480="Conflict","Critical",IF($L480&gt;=DecisionCritical,"Critical",IF($L480&gt;=DecisionWarn,"Warning","On track"))),IF($K480="Unconfirmed",IF($L480&gt;=UnconfirmedWarn,"Warning","On track"),""))</f>
        <v/>
      </c>
      <c r="N480" s="65" t="str">
        <f aca="false">IF($M480="","",IF($M480="Critical",3000,IF($M480="Warning",2000,1000))+$L480+ROW()/100000)</f>
        <v/>
      </c>
      <c r="O480" s="65" t="str">
        <f aca="false">IF($K480="Open",IF($C480="Conflict","decide "&amp;$A480&amp;": &lt;which version stands&gt;","decide "&amp;$A480&amp;": &lt;outcome&gt;"),IF($K480="Unconfirmed","confirm "&amp;$A480,""))</f>
        <v/>
      </c>
      <c r="P480" s="65" t="str">
        <f aca="false">IF(AND($C480="New",$B480&gt;=WeekStart),$B480+ROW()/100000,"")</f>
        <v/>
      </c>
      <c r="Q480" s="65" t="str">
        <f aca="false">IF(AND($C480="Know",$B480&gt;=WeekStart),$B480+ROW()/100000,"")</f>
        <v/>
      </c>
      <c r="R480" s="65" t="str">
        <f aca="false">IF(AND($K480="Open",$C480="Decision"),$L480+ROW()/100000,"")</f>
        <v/>
      </c>
      <c r="S480" s="65" t="str">
        <f aca="false">IF(AND($J480&lt;&gt;"",$J480=UCSel),$B480+ROW()/100000,"")</f>
        <v/>
      </c>
    </row>
    <row r="481" customFormat="false" ht="15" hidden="false" customHeight="false" outlineLevel="0" collapsed="false">
      <c r="A481" s="28"/>
      <c r="B481" s="63"/>
      <c r="C481" s="64"/>
      <c r="D481" s="28"/>
      <c r="E481" s="28"/>
      <c r="F481" s="28"/>
      <c r="G481" s="64"/>
      <c r="H481" s="64"/>
      <c r="I481" s="28"/>
      <c r="J481" s="28"/>
      <c r="K481" s="65" t="str">
        <f aca="false">IF($A481="","",IF(OR($C481="Decision",$C481="Conflict"),IF(COUNTIFS($I$2:$I$1001,$A481,$C$2:$C$1001,"Resolved")=0,"Open","Closed"),IF(AND($H481="Unconfirmed",OR($C481="New",$C481="Know")),IF(COUNTIFS($I$2:$I$1001,$A481,$C$2:$C$1001,"Confirmed")=0,"Unconfirmed","Confirmed"),"Logged")))</f>
        <v/>
      </c>
      <c r="L481" s="65" t="str">
        <f aca="false">IF($A481="","",AsOf-$B481)</f>
        <v/>
      </c>
      <c r="M481" s="65" t="str">
        <f aca="false">IF($K481="Open",IF($C481="Conflict","Critical",IF($L481&gt;=DecisionCritical,"Critical",IF($L481&gt;=DecisionWarn,"Warning","On track"))),IF($K481="Unconfirmed",IF($L481&gt;=UnconfirmedWarn,"Warning","On track"),""))</f>
        <v/>
      </c>
      <c r="N481" s="65" t="str">
        <f aca="false">IF($M481="","",IF($M481="Critical",3000,IF($M481="Warning",2000,1000))+$L481+ROW()/100000)</f>
        <v/>
      </c>
      <c r="O481" s="65" t="str">
        <f aca="false">IF($K481="Open",IF($C481="Conflict","decide "&amp;$A481&amp;": &lt;which version stands&gt;","decide "&amp;$A481&amp;": &lt;outcome&gt;"),IF($K481="Unconfirmed","confirm "&amp;$A481,""))</f>
        <v/>
      </c>
      <c r="P481" s="65" t="str">
        <f aca="false">IF(AND($C481="New",$B481&gt;=WeekStart),$B481+ROW()/100000,"")</f>
        <v/>
      </c>
      <c r="Q481" s="65" t="str">
        <f aca="false">IF(AND($C481="Know",$B481&gt;=WeekStart),$B481+ROW()/100000,"")</f>
        <v/>
      </c>
      <c r="R481" s="65" t="str">
        <f aca="false">IF(AND($K481="Open",$C481="Decision"),$L481+ROW()/100000,"")</f>
        <v/>
      </c>
      <c r="S481" s="65" t="str">
        <f aca="false">IF(AND($J481&lt;&gt;"",$J481=UCSel),$B481+ROW()/100000,"")</f>
        <v/>
      </c>
    </row>
    <row r="482" customFormat="false" ht="15" hidden="false" customHeight="false" outlineLevel="0" collapsed="false">
      <c r="A482" s="28"/>
      <c r="B482" s="63"/>
      <c r="C482" s="64"/>
      <c r="D482" s="28"/>
      <c r="E482" s="28"/>
      <c r="F482" s="28"/>
      <c r="G482" s="64"/>
      <c r="H482" s="64"/>
      <c r="I482" s="28"/>
      <c r="J482" s="28"/>
      <c r="K482" s="65" t="str">
        <f aca="false">IF($A482="","",IF(OR($C482="Decision",$C482="Conflict"),IF(COUNTIFS($I$2:$I$1001,$A482,$C$2:$C$1001,"Resolved")=0,"Open","Closed"),IF(AND($H482="Unconfirmed",OR($C482="New",$C482="Know")),IF(COUNTIFS($I$2:$I$1001,$A482,$C$2:$C$1001,"Confirmed")=0,"Unconfirmed","Confirmed"),"Logged")))</f>
        <v/>
      </c>
      <c r="L482" s="65" t="str">
        <f aca="false">IF($A482="","",AsOf-$B482)</f>
        <v/>
      </c>
      <c r="M482" s="65" t="str">
        <f aca="false">IF($K482="Open",IF($C482="Conflict","Critical",IF($L482&gt;=DecisionCritical,"Critical",IF($L482&gt;=DecisionWarn,"Warning","On track"))),IF($K482="Unconfirmed",IF($L482&gt;=UnconfirmedWarn,"Warning","On track"),""))</f>
        <v/>
      </c>
      <c r="N482" s="65" t="str">
        <f aca="false">IF($M482="","",IF($M482="Critical",3000,IF($M482="Warning",2000,1000))+$L482+ROW()/100000)</f>
        <v/>
      </c>
      <c r="O482" s="65" t="str">
        <f aca="false">IF($K482="Open",IF($C482="Conflict","decide "&amp;$A482&amp;": &lt;which version stands&gt;","decide "&amp;$A482&amp;": &lt;outcome&gt;"),IF($K482="Unconfirmed","confirm "&amp;$A482,""))</f>
        <v/>
      </c>
      <c r="P482" s="65" t="str">
        <f aca="false">IF(AND($C482="New",$B482&gt;=WeekStart),$B482+ROW()/100000,"")</f>
        <v/>
      </c>
      <c r="Q482" s="65" t="str">
        <f aca="false">IF(AND($C482="Know",$B482&gt;=WeekStart),$B482+ROW()/100000,"")</f>
        <v/>
      </c>
      <c r="R482" s="65" t="str">
        <f aca="false">IF(AND($K482="Open",$C482="Decision"),$L482+ROW()/100000,"")</f>
        <v/>
      </c>
      <c r="S482" s="65" t="str">
        <f aca="false">IF(AND($J482&lt;&gt;"",$J482=UCSel),$B482+ROW()/100000,"")</f>
        <v/>
      </c>
    </row>
    <row r="483" customFormat="false" ht="15" hidden="false" customHeight="false" outlineLevel="0" collapsed="false">
      <c r="A483" s="28"/>
      <c r="B483" s="63"/>
      <c r="C483" s="64"/>
      <c r="D483" s="28"/>
      <c r="E483" s="28"/>
      <c r="F483" s="28"/>
      <c r="G483" s="64"/>
      <c r="H483" s="64"/>
      <c r="I483" s="28"/>
      <c r="J483" s="28"/>
      <c r="K483" s="65" t="str">
        <f aca="false">IF($A483="","",IF(OR($C483="Decision",$C483="Conflict"),IF(COUNTIFS($I$2:$I$1001,$A483,$C$2:$C$1001,"Resolved")=0,"Open","Closed"),IF(AND($H483="Unconfirmed",OR($C483="New",$C483="Know")),IF(COUNTIFS($I$2:$I$1001,$A483,$C$2:$C$1001,"Confirmed")=0,"Unconfirmed","Confirmed"),"Logged")))</f>
        <v/>
      </c>
      <c r="L483" s="65" t="str">
        <f aca="false">IF($A483="","",AsOf-$B483)</f>
        <v/>
      </c>
      <c r="M483" s="65" t="str">
        <f aca="false">IF($K483="Open",IF($C483="Conflict","Critical",IF($L483&gt;=DecisionCritical,"Critical",IF($L483&gt;=DecisionWarn,"Warning","On track"))),IF($K483="Unconfirmed",IF($L483&gt;=UnconfirmedWarn,"Warning","On track"),""))</f>
        <v/>
      </c>
      <c r="N483" s="65" t="str">
        <f aca="false">IF($M483="","",IF($M483="Critical",3000,IF($M483="Warning",2000,1000))+$L483+ROW()/100000)</f>
        <v/>
      </c>
      <c r="O483" s="65" t="str">
        <f aca="false">IF($K483="Open",IF($C483="Conflict","decide "&amp;$A483&amp;": &lt;which version stands&gt;","decide "&amp;$A483&amp;": &lt;outcome&gt;"),IF($K483="Unconfirmed","confirm "&amp;$A483,""))</f>
        <v/>
      </c>
      <c r="P483" s="65" t="str">
        <f aca="false">IF(AND($C483="New",$B483&gt;=WeekStart),$B483+ROW()/100000,"")</f>
        <v/>
      </c>
      <c r="Q483" s="65" t="str">
        <f aca="false">IF(AND($C483="Know",$B483&gt;=WeekStart),$B483+ROW()/100000,"")</f>
        <v/>
      </c>
      <c r="R483" s="65" t="str">
        <f aca="false">IF(AND($K483="Open",$C483="Decision"),$L483+ROW()/100000,"")</f>
        <v/>
      </c>
      <c r="S483" s="65" t="str">
        <f aca="false">IF(AND($J483&lt;&gt;"",$J483=UCSel),$B483+ROW()/100000,"")</f>
        <v/>
      </c>
    </row>
    <row r="484" customFormat="false" ht="15" hidden="false" customHeight="false" outlineLevel="0" collapsed="false">
      <c r="A484" s="28"/>
      <c r="B484" s="63"/>
      <c r="C484" s="64"/>
      <c r="D484" s="28"/>
      <c r="E484" s="28"/>
      <c r="F484" s="28"/>
      <c r="G484" s="64"/>
      <c r="H484" s="64"/>
      <c r="I484" s="28"/>
      <c r="J484" s="28"/>
      <c r="K484" s="65" t="str">
        <f aca="false">IF($A484="","",IF(OR($C484="Decision",$C484="Conflict"),IF(COUNTIFS($I$2:$I$1001,$A484,$C$2:$C$1001,"Resolved")=0,"Open","Closed"),IF(AND($H484="Unconfirmed",OR($C484="New",$C484="Know")),IF(COUNTIFS($I$2:$I$1001,$A484,$C$2:$C$1001,"Confirmed")=0,"Unconfirmed","Confirmed"),"Logged")))</f>
        <v/>
      </c>
      <c r="L484" s="65" t="str">
        <f aca="false">IF($A484="","",AsOf-$B484)</f>
        <v/>
      </c>
      <c r="M484" s="65" t="str">
        <f aca="false">IF($K484="Open",IF($C484="Conflict","Critical",IF($L484&gt;=DecisionCritical,"Critical",IF($L484&gt;=DecisionWarn,"Warning","On track"))),IF($K484="Unconfirmed",IF($L484&gt;=UnconfirmedWarn,"Warning","On track"),""))</f>
        <v/>
      </c>
      <c r="N484" s="65" t="str">
        <f aca="false">IF($M484="","",IF($M484="Critical",3000,IF($M484="Warning",2000,1000))+$L484+ROW()/100000)</f>
        <v/>
      </c>
      <c r="O484" s="65" t="str">
        <f aca="false">IF($K484="Open",IF($C484="Conflict","decide "&amp;$A484&amp;": &lt;which version stands&gt;","decide "&amp;$A484&amp;": &lt;outcome&gt;"),IF($K484="Unconfirmed","confirm "&amp;$A484,""))</f>
        <v/>
      </c>
      <c r="P484" s="65" t="str">
        <f aca="false">IF(AND($C484="New",$B484&gt;=WeekStart),$B484+ROW()/100000,"")</f>
        <v/>
      </c>
      <c r="Q484" s="65" t="str">
        <f aca="false">IF(AND($C484="Know",$B484&gt;=WeekStart),$B484+ROW()/100000,"")</f>
        <v/>
      </c>
      <c r="R484" s="65" t="str">
        <f aca="false">IF(AND($K484="Open",$C484="Decision"),$L484+ROW()/100000,"")</f>
        <v/>
      </c>
      <c r="S484" s="65" t="str">
        <f aca="false">IF(AND($J484&lt;&gt;"",$J484=UCSel),$B484+ROW()/100000,"")</f>
        <v/>
      </c>
    </row>
    <row r="485" customFormat="false" ht="15" hidden="false" customHeight="false" outlineLevel="0" collapsed="false">
      <c r="A485" s="28"/>
      <c r="B485" s="63"/>
      <c r="C485" s="64"/>
      <c r="D485" s="28"/>
      <c r="E485" s="28"/>
      <c r="F485" s="28"/>
      <c r="G485" s="64"/>
      <c r="H485" s="64"/>
      <c r="I485" s="28"/>
      <c r="J485" s="28"/>
      <c r="K485" s="65" t="str">
        <f aca="false">IF($A485="","",IF(OR($C485="Decision",$C485="Conflict"),IF(COUNTIFS($I$2:$I$1001,$A485,$C$2:$C$1001,"Resolved")=0,"Open","Closed"),IF(AND($H485="Unconfirmed",OR($C485="New",$C485="Know")),IF(COUNTIFS($I$2:$I$1001,$A485,$C$2:$C$1001,"Confirmed")=0,"Unconfirmed","Confirmed"),"Logged")))</f>
        <v/>
      </c>
      <c r="L485" s="65" t="str">
        <f aca="false">IF($A485="","",AsOf-$B485)</f>
        <v/>
      </c>
      <c r="M485" s="65" t="str">
        <f aca="false">IF($K485="Open",IF($C485="Conflict","Critical",IF($L485&gt;=DecisionCritical,"Critical",IF($L485&gt;=DecisionWarn,"Warning","On track"))),IF($K485="Unconfirmed",IF($L485&gt;=UnconfirmedWarn,"Warning","On track"),""))</f>
        <v/>
      </c>
      <c r="N485" s="65" t="str">
        <f aca="false">IF($M485="","",IF($M485="Critical",3000,IF($M485="Warning",2000,1000))+$L485+ROW()/100000)</f>
        <v/>
      </c>
      <c r="O485" s="65" t="str">
        <f aca="false">IF($K485="Open",IF($C485="Conflict","decide "&amp;$A485&amp;": &lt;which version stands&gt;","decide "&amp;$A485&amp;": &lt;outcome&gt;"),IF($K485="Unconfirmed","confirm "&amp;$A485,""))</f>
        <v/>
      </c>
      <c r="P485" s="65" t="str">
        <f aca="false">IF(AND($C485="New",$B485&gt;=WeekStart),$B485+ROW()/100000,"")</f>
        <v/>
      </c>
      <c r="Q485" s="65" t="str">
        <f aca="false">IF(AND($C485="Know",$B485&gt;=WeekStart),$B485+ROW()/100000,"")</f>
        <v/>
      </c>
      <c r="R485" s="65" t="str">
        <f aca="false">IF(AND($K485="Open",$C485="Decision"),$L485+ROW()/100000,"")</f>
        <v/>
      </c>
      <c r="S485" s="65" t="str">
        <f aca="false">IF(AND($J485&lt;&gt;"",$J485=UCSel),$B485+ROW()/100000,"")</f>
        <v/>
      </c>
    </row>
    <row r="486" customFormat="false" ht="15" hidden="false" customHeight="false" outlineLevel="0" collapsed="false">
      <c r="A486" s="28"/>
      <c r="B486" s="63"/>
      <c r="C486" s="64"/>
      <c r="D486" s="28"/>
      <c r="E486" s="28"/>
      <c r="F486" s="28"/>
      <c r="G486" s="64"/>
      <c r="H486" s="64"/>
      <c r="I486" s="28"/>
      <c r="J486" s="28"/>
      <c r="K486" s="65" t="str">
        <f aca="false">IF($A486="","",IF(OR($C486="Decision",$C486="Conflict"),IF(COUNTIFS($I$2:$I$1001,$A486,$C$2:$C$1001,"Resolved")=0,"Open","Closed"),IF(AND($H486="Unconfirmed",OR($C486="New",$C486="Know")),IF(COUNTIFS($I$2:$I$1001,$A486,$C$2:$C$1001,"Confirmed")=0,"Unconfirmed","Confirmed"),"Logged")))</f>
        <v/>
      </c>
      <c r="L486" s="65" t="str">
        <f aca="false">IF($A486="","",AsOf-$B486)</f>
        <v/>
      </c>
      <c r="M486" s="65" t="str">
        <f aca="false">IF($K486="Open",IF($C486="Conflict","Critical",IF($L486&gt;=DecisionCritical,"Critical",IF($L486&gt;=DecisionWarn,"Warning","On track"))),IF($K486="Unconfirmed",IF($L486&gt;=UnconfirmedWarn,"Warning","On track"),""))</f>
        <v/>
      </c>
      <c r="N486" s="65" t="str">
        <f aca="false">IF($M486="","",IF($M486="Critical",3000,IF($M486="Warning",2000,1000))+$L486+ROW()/100000)</f>
        <v/>
      </c>
      <c r="O486" s="65" t="str">
        <f aca="false">IF($K486="Open",IF($C486="Conflict","decide "&amp;$A486&amp;": &lt;which version stands&gt;","decide "&amp;$A486&amp;": &lt;outcome&gt;"),IF($K486="Unconfirmed","confirm "&amp;$A486,""))</f>
        <v/>
      </c>
      <c r="P486" s="65" t="str">
        <f aca="false">IF(AND($C486="New",$B486&gt;=WeekStart),$B486+ROW()/100000,"")</f>
        <v/>
      </c>
      <c r="Q486" s="65" t="str">
        <f aca="false">IF(AND($C486="Know",$B486&gt;=WeekStart),$B486+ROW()/100000,"")</f>
        <v/>
      </c>
      <c r="R486" s="65" t="str">
        <f aca="false">IF(AND($K486="Open",$C486="Decision"),$L486+ROW()/100000,"")</f>
        <v/>
      </c>
      <c r="S486" s="65" t="str">
        <f aca="false">IF(AND($J486&lt;&gt;"",$J486=UCSel),$B486+ROW()/100000,"")</f>
        <v/>
      </c>
    </row>
    <row r="487" customFormat="false" ht="15" hidden="false" customHeight="false" outlineLevel="0" collapsed="false">
      <c r="A487" s="28"/>
      <c r="B487" s="63"/>
      <c r="C487" s="64"/>
      <c r="D487" s="28"/>
      <c r="E487" s="28"/>
      <c r="F487" s="28"/>
      <c r="G487" s="64"/>
      <c r="H487" s="64"/>
      <c r="I487" s="28"/>
      <c r="J487" s="28"/>
      <c r="K487" s="65" t="str">
        <f aca="false">IF($A487="","",IF(OR($C487="Decision",$C487="Conflict"),IF(COUNTIFS($I$2:$I$1001,$A487,$C$2:$C$1001,"Resolved")=0,"Open","Closed"),IF(AND($H487="Unconfirmed",OR($C487="New",$C487="Know")),IF(COUNTIFS($I$2:$I$1001,$A487,$C$2:$C$1001,"Confirmed")=0,"Unconfirmed","Confirmed"),"Logged")))</f>
        <v/>
      </c>
      <c r="L487" s="65" t="str">
        <f aca="false">IF($A487="","",AsOf-$B487)</f>
        <v/>
      </c>
      <c r="M487" s="65" t="str">
        <f aca="false">IF($K487="Open",IF($C487="Conflict","Critical",IF($L487&gt;=DecisionCritical,"Critical",IF($L487&gt;=DecisionWarn,"Warning","On track"))),IF($K487="Unconfirmed",IF($L487&gt;=UnconfirmedWarn,"Warning","On track"),""))</f>
        <v/>
      </c>
      <c r="N487" s="65" t="str">
        <f aca="false">IF($M487="","",IF($M487="Critical",3000,IF($M487="Warning",2000,1000))+$L487+ROW()/100000)</f>
        <v/>
      </c>
      <c r="O487" s="65" t="str">
        <f aca="false">IF($K487="Open",IF($C487="Conflict","decide "&amp;$A487&amp;": &lt;which version stands&gt;","decide "&amp;$A487&amp;": &lt;outcome&gt;"),IF($K487="Unconfirmed","confirm "&amp;$A487,""))</f>
        <v/>
      </c>
      <c r="P487" s="65" t="str">
        <f aca="false">IF(AND($C487="New",$B487&gt;=WeekStart),$B487+ROW()/100000,"")</f>
        <v/>
      </c>
      <c r="Q487" s="65" t="str">
        <f aca="false">IF(AND($C487="Know",$B487&gt;=WeekStart),$B487+ROW()/100000,"")</f>
        <v/>
      </c>
      <c r="R487" s="65" t="str">
        <f aca="false">IF(AND($K487="Open",$C487="Decision"),$L487+ROW()/100000,"")</f>
        <v/>
      </c>
      <c r="S487" s="65" t="str">
        <f aca="false">IF(AND($J487&lt;&gt;"",$J487=UCSel),$B487+ROW()/100000,"")</f>
        <v/>
      </c>
    </row>
    <row r="488" customFormat="false" ht="15" hidden="false" customHeight="false" outlineLevel="0" collapsed="false">
      <c r="A488" s="28"/>
      <c r="B488" s="63"/>
      <c r="C488" s="64"/>
      <c r="D488" s="28"/>
      <c r="E488" s="28"/>
      <c r="F488" s="28"/>
      <c r="G488" s="64"/>
      <c r="H488" s="64"/>
      <c r="I488" s="28"/>
      <c r="J488" s="28"/>
      <c r="K488" s="65" t="str">
        <f aca="false">IF($A488="","",IF(OR($C488="Decision",$C488="Conflict"),IF(COUNTIFS($I$2:$I$1001,$A488,$C$2:$C$1001,"Resolved")=0,"Open","Closed"),IF(AND($H488="Unconfirmed",OR($C488="New",$C488="Know")),IF(COUNTIFS($I$2:$I$1001,$A488,$C$2:$C$1001,"Confirmed")=0,"Unconfirmed","Confirmed"),"Logged")))</f>
        <v/>
      </c>
      <c r="L488" s="65" t="str">
        <f aca="false">IF($A488="","",AsOf-$B488)</f>
        <v/>
      </c>
      <c r="M488" s="65" t="str">
        <f aca="false">IF($K488="Open",IF($C488="Conflict","Critical",IF($L488&gt;=DecisionCritical,"Critical",IF($L488&gt;=DecisionWarn,"Warning","On track"))),IF($K488="Unconfirmed",IF($L488&gt;=UnconfirmedWarn,"Warning","On track"),""))</f>
        <v/>
      </c>
      <c r="N488" s="65" t="str">
        <f aca="false">IF($M488="","",IF($M488="Critical",3000,IF($M488="Warning",2000,1000))+$L488+ROW()/100000)</f>
        <v/>
      </c>
      <c r="O488" s="65" t="str">
        <f aca="false">IF($K488="Open",IF($C488="Conflict","decide "&amp;$A488&amp;": &lt;which version stands&gt;","decide "&amp;$A488&amp;": &lt;outcome&gt;"),IF($K488="Unconfirmed","confirm "&amp;$A488,""))</f>
        <v/>
      </c>
      <c r="P488" s="65" t="str">
        <f aca="false">IF(AND($C488="New",$B488&gt;=WeekStart),$B488+ROW()/100000,"")</f>
        <v/>
      </c>
      <c r="Q488" s="65" t="str">
        <f aca="false">IF(AND($C488="Know",$B488&gt;=WeekStart),$B488+ROW()/100000,"")</f>
        <v/>
      </c>
      <c r="R488" s="65" t="str">
        <f aca="false">IF(AND($K488="Open",$C488="Decision"),$L488+ROW()/100000,"")</f>
        <v/>
      </c>
      <c r="S488" s="65" t="str">
        <f aca="false">IF(AND($J488&lt;&gt;"",$J488=UCSel),$B488+ROW()/100000,"")</f>
        <v/>
      </c>
    </row>
    <row r="489" customFormat="false" ht="15" hidden="false" customHeight="false" outlineLevel="0" collapsed="false">
      <c r="A489" s="28"/>
      <c r="B489" s="63"/>
      <c r="C489" s="64"/>
      <c r="D489" s="28"/>
      <c r="E489" s="28"/>
      <c r="F489" s="28"/>
      <c r="G489" s="64"/>
      <c r="H489" s="64"/>
      <c r="I489" s="28"/>
      <c r="J489" s="28"/>
      <c r="K489" s="65" t="str">
        <f aca="false">IF($A489="","",IF(OR($C489="Decision",$C489="Conflict"),IF(COUNTIFS($I$2:$I$1001,$A489,$C$2:$C$1001,"Resolved")=0,"Open","Closed"),IF(AND($H489="Unconfirmed",OR($C489="New",$C489="Know")),IF(COUNTIFS($I$2:$I$1001,$A489,$C$2:$C$1001,"Confirmed")=0,"Unconfirmed","Confirmed"),"Logged")))</f>
        <v/>
      </c>
      <c r="L489" s="65" t="str">
        <f aca="false">IF($A489="","",AsOf-$B489)</f>
        <v/>
      </c>
      <c r="M489" s="65" t="str">
        <f aca="false">IF($K489="Open",IF($C489="Conflict","Critical",IF($L489&gt;=DecisionCritical,"Critical",IF($L489&gt;=DecisionWarn,"Warning","On track"))),IF($K489="Unconfirmed",IF($L489&gt;=UnconfirmedWarn,"Warning","On track"),""))</f>
        <v/>
      </c>
      <c r="N489" s="65" t="str">
        <f aca="false">IF($M489="","",IF($M489="Critical",3000,IF($M489="Warning",2000,1000))+$L489+ROW()/100000)</f>
        <v/>
      </c>
      <c r="O489" s="65" t="str">
        <f aca="false">IF($K489="Open",IF($C489="Conflict","decide "&amp;$A489&amp;": &lt;which version stands&gt;","decide "&amp;$A489&amp;": &lt;outcome&gt;"),IF($K489="Unconfirmed","confirm "&amp;$A489,""))</f>
        <v/>
      </c>
      <c r="P489" s="65" t="str">
        <f aca="false">IF(AND($C489="New",$B489&gt;=WeekStart),$B489+ROW()/100000,"")</f>
        <v/>
      </c>
      <c r="Q489" s="65" t="str">
        <f aca="false">IF(AND($C489="Know",$B489&gt;=WeekStart),$B489+ROW()/100000,"")</f>
        <v/>
      </c>
      <c r="R489" s="65" t="str">
        <f aca="false">IF(AND($K489="Open",$C489="Decision"),$L489+ROW()/100000,"")</f>
        <v/>
      </c>
      <c r="S489" s="65" t="str">
        <f aca="false">IF(AND($J489&lt;&gt;"",$J489=UCSel),$B489+ROW()/100000,"")</f>
        <v/>
      </c>
    </row>
    <row r="490" customFormat="false" ht="15" hidden="false" customHeight="false" outlineLevel="0" collapsed="false">
      <c r="A490" s="28"/>
      <c r="B490" s="63"/>
      <c r="C490" s="64"/>
      <c r="D490" s="28"/>
      <c r="E490" s="28"/>
      <c r="F490" s="28"/>
      <c r="G490" s="64"/>
      <c r="H490" s="64"/>
      <c r="I490" s="28"/>
      <c r="J490" s="28"/>
      <c r="K490" s="65" t="str">
        <f aca="false">IF($A490="","",IF(OR($C490="Decision",$C490="Conflict"),IF(COUNTIFS($I$2:$I$1001,$A490,$C$2:$C$1001,"Resolved")=0,"Open","Closed"),IF(AND($H490="Unconfirmed",OR($C490="New",$C490="Know")),IF(COUNTIFS($I$2:$I$1001,$A490,$C$2:$C$1001,"Confirmed")=0,"Unconfirmed","Confirmed"),"Logged")))</f>
        <v/>
      </c>
      <c r="L490" s="65" t="str">
        <f aca="false">IF($A490="","",AsOf-$B490)</f>
        <v/>
      </c>
      <c r="M490" s="65" t="str">
        <f aca="false">IF($K490="Open",IF($C490="Conflict","Critical",IF($L490&gt;=DecisionCritical,"Critical",IF($L490&gt;=DecisionWarn,"Warning","On track"))),IF($K490="Unconfirmed",IF($L490&gt;=UnconfirmedWarn,"Warning","On track"),""))</f>
        <v/>
      </c>
      <c r="N490" s="65" t="str">
        <f aca="false">IF($M490="","",IF($M490="Critical",3000,IF($M490="Warning",2000,1000))+$L490+ROW()/100000)</f>
        <v/>
      </c>
      <c r="O490" s="65" t="str">
        <f aca="false">IF($K490="Open",IF($C490="Conflict","decide "&amp;$A490&amp;": &lt;which version stands&gt;","decide "&amp;$A490&amp;": &lt;outcome&gt;"),IF($K490="Unconfirmed","confirm "&amp;$A490,""))</f>
        <v/>
      </c>
      <c r="P490" s="65" t="str">
        <f aca="false">IF(AND($C490="New",$B490&gt;=WeekStart),$B490+ROW()/100000,"")</f>
        <v/>
      </c>
      <c r="Q490" s="65" t="str">
        <f aca="false">IF(AND($C490="Know",$B490&gt;=WeekStart),$B490+ROW()/100000,"")</f>
        <v/>
      </c>
      <c r="R490" s="65" t="str">
        <f aca="false">IF(AND($K490="Open",$C490="Decision"),$L490+ROW()/100000,"")</f>
        <v/>
      </c>
      <c r="S490" s="65" t="str">
        <f aca="false">IF(AND($J490&lt;&gt;"",$J490=UCSel),$B490+ROW()/100000,"")</f>
        <v/>
      </c>
    </row>
    <row r="491" customFormat="false" ht="15" hidden="false" customHeight="false" outlineLevel="0" collapsed="false">
      <c r="A491" s="28"/>
      <c r="B491" s="63"/>
      <c r="C491" s="64"/>
      <c r="D491" s="28"/>
      <c r="E491" s="28"/>
      <c r="F491" s="28"/>
      <c r="G491" s="64"/>
      <c r="H491" s="64"/>
      <c r="I491" s="28"/>
      <c r="J491" s="28"/>
      <c r="K491" s="65" t="str">
        <f aca="false">IF($A491="","",IF(OR($C491="Decision",$C491="Conflict"),IF(COUNTIFS($I$2:$I$1001,$A491,$C$2:$C$1001,"Resolved")=0,"Open","Closed"),IF(AND($H491="Unconfirmed",OR($C491="New",$C491="Know")),IF(COUNTIFS($I$2:$I$1001,$A491,$C$2:$C$1001,"Confirmed")=0,"Unconfirmed","Confirmed"),"Logged")))</f>
        <v/>
      </c>
      <c r="L491" s="65" t="str">
        <f aca="false">IF($A491="","",AsOf-$B491)</f>
        <v/>
      </c>
      <c r="M491" s="65" t="str">
        <f aca="false">IF($K491="Open",IF($C491="Conflict","Critical",IF($L491&gt;=DecisionCritical,"Critical",IF($L491&gt;=DecisionWarn,"Warning","On track"))),IF($K491="Unconfirmed",IF($L491&gt;=UnconfirmedWarn,"Warning","On track"),""))</f>
        <v/>
      </c>
      <c r="N491" s="65" t="str">
        <f aca="false">IF($M491="","",IF($M491="Critical",3000,IF($M491="Warning",2000,1000))+$L491+ROW()/100000)</f>
        <v/>
      </c>
      <c r="O491" s="65" t="str">
        <f aca="false">IF($K491="Open",IF($C491="Conflict","decide "&amp;$A491&amp;": &lt;which version stands&gt;","decide "&amp;$A491&amp;": &lt;outcome&gt;"),IF($K491="Unconfirmed","confirm "&amp;$A491,""))</f>
        <v/>
      </c>
      <c r="P491" s="65" t="str">
        <f aca="false">IF(AND($C491="New",$B491&gt;=WeekStart),$B491+ROW()/100000,"")</f>
        <v/>
      </c>
      <c r="Q491" s="65" t="str">
        <f aca="false">IF(AND($C491="Know",$B491&gt;=WeekStart),$B491+ROW()/100000,"")</f>
        <v/>
      </c>
      <c r="R491" s="65" t="str">
        <f aca="false">IF(AND($K491="Open",$C491="Decision"),$L491+ROW()/100000,"")</f>
        <v/>
      </c>
      <c r="S491" s="65" t="str">
        <f aca="false">IF(AND($J491&lt;&gt;"",$J491=UCSel),$B491+ROW()/100000,"")</f>
        <v/>
      </c>
    </row>
    <row r="492" customFormat="false" ht="15" hidden="false" customHeight="false" outlineLevel="0" collapsed="false">
      <c r="A492" s="28"/>
      <c r="B492" s="63"/>
      <c r="C492" s="64"/>
      <c r="D492" s="28"/>
      <c r="E492" s="28"/>
      <c r="F492" s="28"/>
      <c r="G492" s="64"/>
      <c r="H492" s="64"/>
      <c r="I492" s="28"/>
      <c r="J492" s="28"/>
      <c r="K492" s="65" t="str">
        <f aca="false">IF($A492="","",IF(OR($C492="Decision",$C492="Conflict"),IF(COUNTIFS($I$2:$I$1001,$A492,$C$2:$C$1001,"Resolved")=0,"Open","Closed"),IF(AND($H492="Unconfirmed",OR($C492="New",$C492="Know")),IF(COUNTIFS($I$2:$I$1001,$A492,$C$2:$C$1001,"Confirmed")=0,"Unconfirmed","Confirmed"),"Logged")))</f>
        <v/>
      </c>
      <c r="L492" s="65" t="str">
        <f aca="false">IF($A492="","",AsOf-$B492)</f>
        <v/>
      </c>
      <c r="M492" s="65" t="str">
        <f aca="false">IF($K492="Open",IF($C492="Conflict","Critical",IF($L492&gt;=DecisionCritical,"Critical",IF($L492&gt;=DecisionWarn,"Warning","On track"))),IF($K492="Unconfirmed",IF($L492&gt;=UnconfirmedWarn,"Warning","On track"),""))</f>
        <v/>
      </c>
      <c r="N492" s="65" t="str">
        <f aca="false">IF($M492="","",IF($M492="Critical",3000,IF($M492="Warning",2000,1000))+$L492+ROW()/100000)</f>
        <v/>
      </c>
      <c r="O492" s="65" t="str">
        <f aca="false">IF($K492="Open",IF($C492="Conflict","decide "&amp;$A492&amp;": &lt;which version stands&gt;","decide "&amp;$A492&amp;": &lt;outcome&gt;"),IF($K492="Unconfirmed","confirm "&amp;$A492,""))</f>
        <v/>
      </c>
      <c r="P492" s="65" t="str">
        <f aca="false">IF(AND($C492="New",$B492&gt;=WeekStart),$B492+ROW()/100000,"")</f>
        <v/>
      </c>
      <c r="Q492" s="65" t="str">
        <f aca="false">IF(AND($C492="Know",$B492&gt;=WeekStart),$B492+ROW()/100000,"")</f>
        <v/>
      </c>
      <c r="R492" s="65" t="str">
        <f aca="false">IF(AND($K492="Open",$C492="Decision"),$L492+ROW()/100000,"")</f>
        <v/>
      </c>
      <c r="S492" s="65" t="str">
        <f aca="false">IF(AND($J492&lt;&gt;"",$J492=UCSel),$B492+ROW()/100000,"")</f>
        <v/>
      </c>
    </row>
    <row r="493" customFormat="false" ht="15" hidden="false" customHeight="false" outlineLevel="0" collapsed="false">
      <c r="A493" s="28"/>
      <c r="B493" s="63"/>
      <c r="C493" s="64"/>
      <c r="D493" s="28"/>
      <c r="E493" s="28"/>
      <c r="F493" s="28"/>
      <c r="G493" s="64"/>
      <c r="H493" s="64"/>
      <c r="I493" s="28"/>
      <c r="J493" s="28"/>
      <c r="K493" s="65" t="str">
        <f aca="false">IF($A493="","",IF(OR($C493="Decision",$C493="Conflict"),IF(COUNTIFS($I$2:$I$1001,$A493,$C$2:$C$1001,"Resolved")=0,"Open","Closed"),IF(AND($H493="Unconfirmed",OR($C493="New",$C493="Know")),IF(COUNTIFS($I$2:$I$1001,$A493,$C$2:$C$1001,"Confirmed")=0,"Unconfirmed","Confirmed"),"Logged")))</f>
        <v/>
      </c>
      <c r="L493" s="65" t="str">
        <f aca="false">IF($A493="","",AsOf-$B493)</f>
        <v/>
      </c>
      <c r="M493" s="65" t="str">
        <f aca="false">IF($K493="Open",IF($C493="Conflict","Critical",IF($L493&gt;=DecisionCritical,"Critical",IF($L493&gt;=DecisionWarn,"Warning","On track"))),IF($K493="Unconfirmed",IF($L493&gt;=UnconfirmedWarn,"Warning","On track"),""))</f>
        <v/>
      </c>
      <c r="N493" s="65" t="str">
        <f aca="false">IF($M493="","",IF($M493="Critical",3000,IF($M493="Warning",2000,1000))+$L493+ROW()/100000)</f>
        <v/>
      </c>
      <c r="O493" s="65" t="str">
        <f aca="false">IF($K493="Open",IF($C493="Conflict","decide "&amp;$A493&amp;": &lt;which version stands&gt;","decide "&amp;$A493&amp;": &lt;outcome&gt;"),IF($K493="Unconfirmed","confirm "&amp;$A493,""))</f>
        <v/>
      </c>
      <c r="P493" s="65" t="str">
        <f aca="false">IF(AND($C493="New",$B493&gt;=WeekStart),$B493+ROW()/100000,"")</f>
        <v/>
      </c>
      <c r="Q493" s="65" t="str">
        <f aca="false">IF(AND($C493="Know",$B493&gt;=WeekStart),$B493+ROW()/100000,"")</f>
        <v/>
      </c>
      <c r="R493" s="65" t="str">
        <f aca="false">IF(AND($K493="Open",$C493="Decision"),$L493+ROW()/100000,"")</f>
        <v/>
      </c>
      <c r="S493" s="65" t="str">
        <f aca="false">IF(AND($J493&lt;&gt;"",$J493=UCSel),$B493+ROW()/100000,"")</f>
        <v/>
      </c>
    </row>
    <row r="494" customFormat="false" ht="15" hidden="false" customHeight="false" outlineLevel="0" collapsed="false">
      <c r="A494" s="28"/>
      <c r="B494" s="63"/>
      <c r="C494" s="64"/>
      <c r="D494" s="28"/>
      <c r="E494" s="28"/>
      <c r="F494" s="28"/>
      <c r="G494" s="64"/>
      <c r="H494" s="64"/>
      <c r="I494" s="28"/>
      <c r="J494" s="28"/>
      <c r="K494" s="65" t="str">
        <f aca="false">IF($A494="","",IF(OR($C494="Decision",$C494="Conflict"),IF(COUNTIFS($I$2:$I$1001,$A494,$C$2:$C$1001,"Resolved")=0,"Open","Closed"),IF(AND($H494="Unconfirmed",OR($C494="New",$C494="Know")),IF(COUNTIFS($I$2:$I$1001,$A494,$C$2:$C$1001,"Confirmed")=0,"Unconfirmed","Confirmed"),"Logged")))</f>
        <v/>
      </c>
      <c r="L494" s="65" t="str">
        <f aca="false">IF($A494="","",AsOf-$B494)</f>
        <v/>
      </c>
      <c r="M494" s="65" t="str">
        <f aca="false">IF($K494="Open",IF($C494="Conflict","Critical",IF($L494&gt;=DecisionCritical,"Critical",IF($L494&gt;=DecisionWarn,"Warning","On track"))),IF($K494="Unconfirmed",IF($L494&gt;=UnconfirmedWarn,"Warning","On track"),""))</f>
        <v/>
      </c>
      <c r="N494" s="65" t="str">
        <f aca="false">IF($M494="","",IF($M494="Critical",3000,IF($M494="Warning",2000,1000))+$L494+ROW()/100000)</f>
        <v/>
      </c>
      <c r="O494" s="65" t="str">
        <f aca="false">IF($K494="Open",IF($C494="Conflict","decide "&amp;$A494&amp;": &lt;which version stands&gt;","decide "&amp;$A494&amp;": &lt;outcome&gt;"),IF($K494="Unconfirmed","confirm "&amp;$A494,""))</f>
        <v/>
      </c>
      <c r="P494" s="65" t="str">
        <f aca="false">IF(AND($C494="New",$B494&gt;=WeekStart),$B494+ROW()/100000,"")</f>
        <v/>
      </c>
      <c r="Q494" s="65" t="str">
        <f aca="false">IF(AND($C494="Know",$B494&gt;=WeekStart),$B494+ROW()/100000,"")</f>
        <v/>
      </c>
      <c r="R494" s="65" t="str">
        <f aca="false">IF(AND($K494="Open",$C494="Decision"),$L494+ROW()/100000,"")</f>
        <v/>
      </c>
      <c r="S494" s="65" t="str">
        <f aca="false">IF(AND($J494&lt;&gt;"",$J494=UCSel),$B494+ROW()/100000,"")</f>
        <v/>
      </c>
    </row>
    <row r="495" customFormat="false" ht="15" hidden="false" customHeight="false" outlineLevel="0" collapsed="false">
      <c r="A495" s="28"/>
      <c r="B495" s="63"/>
      <c r="C495" s="64"/>
      <c r="D495" s="28"/>
      <c r="E495" s="28"/>
      <c r="F495" s="28"/>
      <c r="G495" s="64"/>
      <c r="H495" s="64"/>
      <c r="I495" s="28"/>
      <c r="J495" s="28"/>
      <c r="K495" s="65" t="str">
        <f aca="false">IF($A495="","",IF(OR($C495="Decision",$C495="Conflict"),IF(COUNTIFS($I$2:$I$1001,$A495,$C$2:$C$1001,"Resolved")=0,"Open","Closed"),IF(AND($H495="Unconfirmed",OR($C495="New",$C495="Know")),IF(COUNTIFS($I$2:$I$1001,$A495,$C$2:$C$1001,"Confirmed")=0,"Unconfirmed","Confirmed"),"Logged")))</f>
        <v/>
      </c>
      <c r="L495" s="65" t="str">
        <f aca="false">IF($A495="","",AsOf-$B495)</f>
        <v/>
      </c>
      <c r="M495" s="65" t="str">
        <f aca="false">IF($K495="Open",IF($C495="Conflict","Critical",IF($L495&gt;=DecisionCritical,"Critical",IF($L495&gt;=DecisionWarn,"Warning","On track"))),IF($K495="Unconfirmed",IF($L495&gt;=UnconfirmedWarn,"Warning","On track"),""))</f>
        <v/>
      </c>
      <c r="N495" s="65" t="str">
        <f aca="false">IF($M495="","",IF($M495="Critical",3000,IF($M495="Warning",2000,1000))+$L495+ROW()/100000)</f>
        <v/>
      </c>
      <c r="O495" s="65" t="str">
        <f aca="false">IF($K495="Open",IF($C495="Conflict","decide "&amp;$A495&amp;": &lt;which version stands&gt;","decide "&amp;$A495&amp;": &lt;outcome&gt;"),IF($K495="Unconfirmed","confirm "&amp;$A495,""))</f>
        <v/>
      </c>
      <c r="P495" s="65" t="str">
        <f aca="false">IF(AND($C495="New",$B495&gt;=WeekStart),$B495+ROW()/100000,"")</f>
        <v/>
      </c>
      <c r="Q495" s="65" t="str">
        <f aca="false">IF(AND($C495="Know",$B495&gt;=WeekStart),$B495+ROW()/100000,"")</f>
        <v/>
      </c>
      <c r="R495" s="65" t="str">
        <f aca="false">IF(AND($K495="Open",$C495="Decision"),$L495+ROW()/100000,"")</f>
        <v/>
      </c>
      <c r="S495" s="65" t="str">
        <f aca="false">IF(AND($J495&lt;&gt;"",$J495=UCSel),$B495+ROW()/100000,"")</f>
        <v/>
      </c>
    </row>
    <row r="496" customFormat="false" ht="15" hidden="false" customHeight="false" outlineLevel="0" collapsed="false">
      <c r="A496" s="28"/>
      <c r="B496" s="63"/>
      <c r="C496" s="64"/>
      <c r="D496" s="28"/>
      <c r="E496" s="28"/>
      <c r="F496" s="28"/>
      <c r="G496" s="64"/>
      <c r="H496" s="64"/>
      <c r="I496" s="28"/>
      <c r="J496" s="28"/>
      <c r="K496" s="65" t="str">
        <f aca="false">IF($A496="","",IF(OR($C496="Decision",$C496="Conflict"),IF(COUNTIFS($I$2:$I$1001,$A496,$C$2:$C$1001,"Resolved")=0,"Open","Closed"),IF(AND($H496="Unconfirmed",OR($C496="New",$C496="Know")),IF(COUNTIFS($I$2:$I$1001,$A496,$C$2:$C$1001,"Confirmed")=0,"Unconfirmed","Confirmed"),"Logged")))</f>
        <v/>
      </c>
      <c r="L496" s="65" t="str">
        <f aca="false">IF($A496="","",AsOf-$B496)</f>
        <v/>
      </c>
      <c r="M496" s="65" t="str">
        <f aca="false">IF($K496="Open",IF($C496="Conflict","Critical",IF($L496&gt;=DecisionCritical,"Critical",IF($L496&gt;=DecisionWarn,"Warning","On track"))),IF($K496="Unconfirmed",IF($L496&gt;=UnconfirmedWarn,"Warning","On track"),""))</f>
        <v/>
      </c>
      <c r="N496" s="65" t="str">
        <f aca="false">IF($M496="","",IF($M496="Critical",3000,IF($M496="Warning",2000,1000))+$L496+ROW()/100000)</f>
        <v/>
      </c>
      <c r="O496" s="65" t="str">
        <f aca="false">IF($K496="Open",IF($C496="Conflict","decide "&amp;$A496&amp;": &lt;which version stands&gt;","decide "&amp;$A496&amp;": &lt;outcome&gt;"),IF($K496="Unconfirmed","confirm "&amp;$A496,""))</f>
        <v/>
      </c>
      <c r="P496" s="65" t="str">
        <f aca="false">IF(AND($C496="New",$B496&gt;=WeekStart),$B496+ROW()/100000,"")</f>
        <v/>
      </c>
      <c r="Q496" s="65" t="str">
        <f aca="false">IF(AND($C496="Know",$B496&gt;=WeekStart),$B496+ROW()/100000,"")</f>
        <v/>
      </c>
      <c r="R496" s="65" t="str">
        <f aca="false">IF(AND($K496="Open",$C496="Decision"),$L496+ROW()/100000,"")</f>
        <v/>
      </c>
      <c r="S496" s="65" t="str">
        <f aca="false">IF(AND($J496&lt;&gt;"",$J496=UCSel),$B496+ROW()/100000,"")</f>
        <v/>
      </c>
    </row>
    <row r="497" customFormat="false" ht="15" hidden="false" customHeight="false" outlineLevel="0" collapsed="false">
      <c r="A497" s="28"/>
      <c r="B497" s="63"/>
      <c r="C497" s="64"/>
      <c r="D497" s="28"/>
      <c r="E497" s="28"/>
      <c r="F497" s="28"/>
      <c r="G497" s="64"/>
      <c r="H497" s="64"/>
      <c r="I497" s="28"/>
      <c r="J497" s="28"/>
      <c r="K497" s="65" t="str">
        <f aca="false">IF($A497="","",IF(OR($C497="Decision",$C497="Conflict"),IF(COUNTIFS($I$2:$I$1001,$A497,$C$2:$C$1001,"Resolved")=0,"Open","Closed"),IF(AND($H497="Unconfirmed",OR($C497="New",$C497="Know")),IF(COUNTIFS($I$2:$I$1001,$A497,$C$2:$C$1001,"Confirmed")=0,"Unconfirmed","Confirmed"),"Logged")))</f>
        <v/>
      </c>
      <c r="L497" s="65" t="str">
        <f aca="false">IF($A497="","",AsOf-$B497)</f>
        <v/>
      </c>
      <c r="M497" s="65" t="str">
        <f aca="false">IF($K497="Open",IF($C497="Conflict","Critical",IF($L497&gt;=DecisionCritical,"Critical",IF($L497&gt;=DecisionWarn,"Warning","On track"))),IF($K497="Unconfirmed",IF($L497&gt;=UnconfirmedWarn,"Warning","On track"),""))</f>
        <v/>
      </c>
      <c r="N497" s="65" t="str">
        <f aca="false">IF($M497="","",IF($M497="Critical",3000,IF($M497="Warning",2000,1000))+$L497+ROW()/100000)</f>
        <v/>
      </c>
      <c r="O497" s="65" t="str">
        <f aca="false">IF($K497="Open",IF($C497="Conflict","decide "&amp;$A497&amp;": &lt;which version stands&gt;","decide "&amp;$A497&amp;": &lt;outcome&gt;"),IF($K497="Unconfirmed","confirm "&amp;$A497,""))</f>
        <v/>
      </c>
      <c r="P497" s="65" t="str">
        <f aca="false">IF(AND($C497="New",$B497&gt;=WeekStart),$B497+ROW()/100000,"")</f>
        <v/>
      </c>
      <c r="Q497" s="65" t="str">
        <f aca="false">IF(AND($C497="Know",$B497&gt;=WeekStart),$B497+ROW()/100000,"")</f>
        <v/>
      </c>
      <c r="R497" s="65" t="str">
        <f aca="false">IF(AND($K497="Open",$C497="Decision"),$L497+ROW()/100000,"")</f>
        <v/>
      </c>
      <c r="S497" s="65" t="str">
        <f aca="false">IF(AND($J497&lt;&gt;"",$J497=UCSel),$B497+ROW()/100000,"")</f>
        <v/>
      </c>
    </row>
    <row r="498" customFormat="false" ht="15" hidden="false" customHeight="false" outlineLevel="0" collapsed="false">
      <c r="A498" s="28"/>
      <c r="B498" s="63"/>
      <c r="C498" s="64"/>
      <c r="D498" s="28"/>
      <c r="E498" s="28"/>
      <c r="F498" s="28"/>
      <c r="G498" s="64"/>
      <c r="H498" s="64"/>
      <c r="I498" s="28"/>
      <c r="J498" s="28"/>
      <c r="K498" s="65" t="str">
        <f aca="false">IF($A498="","",IF(OR($C498="Decision",$C498="Conflict"),IF(COUNTIFS($I$2:$I$1001,$A498,$C$2:$C$1001,"Resolved")=0,"Open","Closed"),IF(AND($H498="Unconfirmed",OR($C498="New",$C498="Know")),IF(COUNTIFS($I$2:$I$1001,$A498,$C$2:$C$1001,"Confirmed")=0,"Unconfirmed","Confirmed"),"Logged")))</f>
        <v/>
      </c>
      <c r="L498" s="65" t="str">
        <f aca="false">IF($A498="","",AsOf-$B498)</f>
        <v/>
      </c>
      <c r="M498" s="65" t="str">
        <f aca="false">IF($K498="Open",IF($C498="Conflict","Critical",IF($L498&gt;=DecisionCritical,"Critical",IF($L498&gt;=DecisionWarn,"Warning","On track"))),IF($K498="Unconfirmed",IF($L498&gt;=UnconfirmedWarn,"Warning","On track"),""))</f>
        <v/>
      </c>
      <c r="N498" s="65" t="str">
        <f aca="false">IF($M498="","",IF($M498="Critical",3000,IF($M498="Warning",2000,1000))+$L498+ROW()/100000)</f>
        <v/>
      </c>
      <c r="O498" s="65" t="str">
        <f aca="false">IF($K498="Open",IF($C498="Conflict","decide "&amp;$A498&amp;": &lt;which version stands&gt;","decide "&amp;$A498&amp;": &lt;outcome&gt;"),IF($K498="Unconfirmed","confirm "&amp;$A498,""))</f>
        <v/>
      </c>
      <c r="P498" s="65" t="str">
        <f aca="false">IF(AND($C498="New",$B498&gt;=WeekStart),$B498+ROW()/100000,"")</f>
        <v/>
      </c>
      <c r="Q498" s="65" t="str">
        <f aca="false">IF(AND($C498="Know",$B498&gt;=WeekStart),$B498+ROW()/100000,"")</f>
        <v/>
      </c>
      <c r="R498" s="65" t="str">
        <f aca="false">IF(AND($K498="Open",$C498="Decision"),$L498+ROW()/100000,"")</f>
        <v/>
      </c>
      <c r="S498" s="65" t="str">
        <f aca="false">IF(AND($J498&lt;&gt;"",$J498=UCSel),$B498+ROW()/100000,"")</f>
        <v/>
      </c>
    </row>
    <row r="499" customFormat="false" ht="15" hidden="false" customHeight="false" outlineLevel="0" collapsed="false">
      <c r="A499" s="28"/>
      <c r="B499" s="63"/>
      <c r="C499" s="64"/>
      <c r="D499" s="28"/>
      <c r="E499" s="28"/>
      <c r="F499" s="28"/>
      <c r="G499" s="64"/>
      <c r="H499" s="64"/>
      <c r="I499" s="28"/>
      <c r="J499" s="28"/>
      <c r="K499" s="65" t="str">
        <f aca="false">IF($A499="","",IF(OR($C499="Decision",$C499="Conflict"),IF(COUNTIFS($I$2:$I$1001,$A499,$C$2:$C$1001,"Resolved")=0,"Open","Closed"),IF(AND($H499="Unconfirmed",OR($C499="New",$C499="Know")),IF(COUNTIFS($I$2:$I$1001,$A499,$C$2:$C$1001,"Confirmed")=0,"Unconfirmed","Confirmed"),"Logged")))</f>
        <v/>
      </c>
      <c r="L499" s="65" t="str">
        <f aca="false">IF($A499="","",AsOf-$B499)</f>
        <v/>
      </c>
      <c r="M499" s="65" t="str">
        <f aca="false">IF($K499="Open",IF($C499="Conflict","Critical",IF($L499&gt;=DecisionCritical,"Critical",IF($L499&gt;=DecisionWarn,"Warning","On track"))),IF($K499="Unconfirmed",IF($L499&gt;=UnconfirmedWarn,"Warning","On track"),""))</f>
        <v/>
      </c>
      <c r="N499" s="65" t="str">
        <f aca="false">IF($M499="","",IF($M499="Critical",3000,IF($M499="Warning",2000,1000))+$L499+ROW()/100000)</f>
        <v/>
      </c>
      <c r="O499" s="65" t="str">
        <f aca="false">IF($K499="Open",IF($C499="Conflict","decide "&amp;$A499&amp;": &lt;which version stands&gt;","decide "&amp;$A499&amp;": &lt;outcome&gt;"),IF($K499="Unconfirmed","confirm "&amp;$A499,""))</f>
        <v/>
      </c>
      <c r="P499" s="65" t="str">
        <f aca="false">IF(AND($C499="New",$B499&gt;=WeekStart),$B499+ROW()/100000,"")</f>
        <v/>
      </c>
      <c r="Q499" s="65" t="str">
        <f aca="false">IF(AND($C499="Know",$B499&gt;=WeekStart),$B499+ROW()/100000,"")</f>
        <v/>
      </c>
      <c r="R499" s="65" t="str">
        <f aca="false">IF(AND($K499="Open",$C499="Decision"),$L499+ROW()/100000,"")</f>
        <v/>
      </c>
      <c r="S499" s="65" t="str">
        <f aca="false">IF(AND($J499&lt;&gt;"",$J499=UCSel),$B499+ROW()/100000,"")</f>
        <v/>
      </c>
    </row>
    <row r="500" customFormat="false" ht="15" hidden="false" customHeight="false" outlineLevel="0" collapsed="false">
      <c r="A500" s="28"/>
      <c r="B500" s="63"/>
      <c r="C500" s="64"/>
      <c r="D500" s="28"/>
      <c r="E500" s="28"/>
      <c r="F500" s="28"/>
      <c r="G500" s="64"/>
      <c r="H500" s="64"/>
      <c r="I500" s="28"/>
      <c r="J500" s="28"/>
      <c r="K500" s="65" t="str">
        <f aca="false">IF($A500="","",IF(OR($C500="Decision",$C500="Conflict"),IF(COUNTIFS($I$2:$I$1001,$A500,$C$2:$C$1001,"Resolved")=0,"Open","Closed"),IF(AND($H500="Unconfirmed",OR($C500="New",$C500="Know")),IF(COUNTIFS($I$2:$I$1001,$A500,$C$2:$C$1001,"Confirmed")=0,"Unconfirmed","Confirmed"),"Logged")))</f>
        <v/>
      </c>
      <c r="L500" s="65" t="str">
        <f aca="false">IF($A500="","",AsOf-$B500)</f>
        <v/>
      </c>
      <c r="M500" s="65" t="str">
        <f aca="false">IF($K500="Open",IF($C500="Conflict","Critical",IF($L500&gt;=DecisionCritical,"Critical",IF($L500&gt;=DecisionWarn,"Warning","On track"))),IF($K500="Unconfirmed",IF($L500&gt;=UnconfirmedWarn,"Warning","On track"),""))</f>
        <v/>
      </c>
      <c r="N500" s="65" t="str">
        <f aca="false">IF($M500="","",IF($M500="Critical",3000,IF($M500="Warning",2000,1000))+$L500+ROW()/100000)</f>
        <v/>
      </c>
      <c r="O500" s="65" t="str">
        <f aca="false">IF($K500="Open",IF($C500="Conflict","decide "&amp;$A500&amp;": &lt;which version stands&gt;","decide "&amp;$A500&amp;": &lt;outcome&gt;"),IF($K500="Unconfirmed","confirm "&amp;$A500,""))</f>
        <v/>
      </c>
      <c r="P500" s="65" t="str">
        <f aca="false">IF(AND($C500="New",$B500&gt;=WeekStart),$B500+ROW()/100000,"")</f>
        <v/>
      </c>
      <c r="Q500" s="65" t="str">
        <f aca="false">IF(AND($C500="Know",$B500&gt;=WeekStart),$B500+ROW()/100000,"")</f>
        <v/>
      </c>
      <c r="R500" s="65" t="str">
        <f aca="false">IF(AND($K500="Open",$C500="Decision"),$L500+ROW()/100000,"")</f>
        <v/>
      </c>
      <c r="S500" s="65" t="str">
        <f aca="false">IF(AND($J500&lt;&gt;"",$J500=UCSel),$B500+ROW()/100000,"")</f>
        <v/>
      </c>
    </row>
    <row r="501" customFormat="false" ht="15" hidden="false" customHeight="false" outlineLevel="0" collapsed="false">
      <c r="A501" s="28"/>
      <c r="B501" s="63"/>
      <c r="C501" s="64"/>
      <c r="D501" s="28"/>
      <c r="E501" s="28"/>
      <c r="F501" s="28"/>
      <c r="G501" s="64"/>
      <c r="H501" s="64"/>
      <c r="I501" s="28"/>
      <c r="J501" s="28"/>
      <c r="K501" s="65" t="str">
        <f aca="false">IF($A501="","",IF(OR($C501="Decision",$C501="Conflict"),IF(COUNTIFS($I$2:$I$1001,$A501,$C$2:$C$1001,"Resolved")=0,"Open","Closed"),IF(AND($H501="Unconfirmed",OR($C501="New",$C501="Know")),IF(COUNTIFS($I$2:$I$1001,$A501,$C$2:$C$1001,"Confirmed")=0,"Unconfirmed","Confirmed"),"Logged")))</f>
        <v/>
      </c>
      <c r="L501" s="65" t="str">
        <f aca="false">IF($A501="","",AsOf-$B501)</f>
        <v/>
      </c>
      <c r="M501" s="65" t="str">
        <f aca="false">IF($K501="Open",IF($C501="Conflict","Critical",IF($L501&gt;=DecisionCritical,"Critical",IF($L501&gt;=DecisionWarn,"Warning","On track"))),IF($K501="Unconfirmed",IF($L501&gt;=UnconfirmedWarn,"Warning","On track"),""))</f>
        <v/>
      </c>
      <c r="N501" s="65" t="str">
        <f aca="false">IF($M501="","",IF($M501="Critical",3000,IF($M501="Warning",2000,1000))+$L501+ROW()/100000)</f>
        <v/>
      </c>
      <c r="O501" s="65" t="str">
        <f aca="false">IF($K501="Open",IF($C501="Conflict","decide "&amp;$A501&amp;": &lt;which version stands&gt;","decide "&amp;$A501&amp;": &lt;outcome&gt;"),IF($K501="Unconfirmed","confirm "&amp;$A501,""))</f>
        <v/>
      </c>
      <c r="P501" s="65" t="str">
        <f aca="false">IF(AND($C501="New",$B501&gt;=WeekStart),$B501+ROW()/100000,"")</f>
        <v/>
      </c>
      <c r="Q501" s="65" t="str">
        <f aca="false">IF(AND($C501="Know",$B501&gt;=WeekStart),$B501+ROW()/100000,"")</f>
        <v/>
      </c>
      <c r="R501" s="65" t="str">
        <f aca="false">IF(AND($K501="Open",$C501="Decision"),$L501+ROW()/100000,"")</f>
        <v/>
      </c>
      <c r="S501" s="65" t="str">
        <f aca="false">IF(AND($J501&lt;&gt;"",$J501=UCSel),$B501+ROW()/100000,"")</f>
        <v/>
      </c>
    </row>
    <row r="502" customFormat="false" ht="15" hidden="false" customHeight="false" outlineLevel="0" collapsed="false">
      <c r="A502" s="28"/>
      <c r="B502" s="63"/>
      <c r="C502" s="64"/>
      <c r="D502" s="28"/>
      <c r="E502" s="28"/>
      <c r="F502" s="28"/>
      <c r="G502" s="64"/>
      <c r="H502" s="64"/>
      <c r="I502" s="28"/>
      <c r="J502" s="28"/>
      <c r="K502" s="65" t="str">
        <f aca="false">IF($A502="","",IF(OR($C502="Decision",$C502="Conflict"),IF(COUNTIFS($I$2:$I$1001,$A502,$C$2:$C$1001,"Resolved")=0,"Open","Closed"),IF(AND($H502="Unconfirmed",OR($C502="New",$C502="Know")),IF(COUNTIFS($I$2:$I$1001,$A502,$C$2:$C$1001,"Confirmed")=0,"Unconfirmed","Confirmed"),"Logged")))</f>
        <v/>
      </c>
      <c r="L502" s="65" t="str">
        <f aca="false">IF($A502="","",AsOf-$B502)</f>
        <v/>
      </c>
      <c r="M502" s="65" t="str">
        <f aca="false">IF($K502="Open",IF($C502="Conflict","Critical",IF($L502&gt;=DecisionCritical,"Critical",IF($L502&gt;=DecisionWarn,"Warning","On track"))),IF($K502="Unconfirmed",IF($L502&gt;=UnconfirmedWarn,"Warning","On track"),""))</f>
        <v/>
      </c>
      <c r="N502" s="65" t="str">
        <f aca="false">IF($M502="","",IF($M502="Critical",3000,IF($M502="Warning",2000,1000))+$L502+ROW()/100000)</f>
        <v/>
      </c>
      <c r="O502" s="65" t="str">
        <f aca="false">IF($K502="Open",IF($C502="Conflict","decide "&amp;$A502&amp;": &lt;which version stands&gt;","decide "&amp;$A502&amp;": &lt;outcome&gt;"),IF($K502="Unconfirmed","confirm "&amp;$A502,""))</f>
        <v/>
      </c>
      <c r="P502" s="65" t="str">
        <f aca="false">IF(AND($C502="New",$B502&gt;=WeekStart),$B502+ROW()/100000,"")</f>
        <v/>
      </c>
      <c r="Q502" s="65" t="str">
        <f aca="false">IF(AND($C502="Know",$B502&gt;=WeekStart),$B502+ROW()/100000,"")</f>
        <v/>
      </c>
      <c r="R502" s="65" t="str">
        <f aca="false">IF(AND($K502="Open",$C502="Decision"),$L502+ROW()/100000,"")</f>
        <v/>
      </c>
      <c r="S502" s="65" t="str">
        <f aca="false">IF(AND($J502&lt;&gt;"",$J502=UCSel),$B502+ROW()/100000,"")</f>
        <v/>
      </c>
    </row>
    <row r="503" customFormat="false" ht="15" hidden="false" customHeight="false" outlineLevel="0" collapsed="false">
      <c r="A503" s="28"/>
      <c r="B503" s="63"/>
      <c r="C503" s="64"/>
      <c r="D503" s="28"/>
      <c r="E503" s="28"/>
      <c r="F503" s="28"/>
      <c r="G503" s="64"/>
      <c r="H503" s="64"/>
      <c r="I503" s="28"/>
      <c r="J503" s="28"/>
      <c r="K503" s="65" t="str">
        <f aca="false">IF($A503="","",IF(OR($C503="Decision",$C503="Conflict"),IF(COUNTIFS($I$2:$I$1001,$A503,$C$2:$C$1001,"Resolved")=0,"Open","Closed"),IF(AND($H503="Unconfirmed",OR($C503="New",$C503="Know")),IF(COUNTIFS($I$2:$I$1001,$A503,$C$2:$C$1001,"Confirmed")=0,"Unconfirmed","Confirmed"),"Logged")))</f>
        <v/>
      </c>
      <c r="L503" s="65" t="str">
        <f aca="false">IF($A503="","",AsOf-$B503)</f>
        <v/>
      </c>
      <c r="M503" s="65" t="str">
        <f aca="false">IF($K503="Open",IF($C503="Conflict","Critical",IF($L503&gt;=DecisionCritical,"Critical",IF($L503&gt;=DecisionWarn,"Warning","On track"))),IF($K503="Unconfirmed",IF($L503&gt;=UnconfirmedWarn,"Warning","On track"),""))</f>
        <v/>
      </c>
      <c r="N503" s="65" t="str">
        <f aca="false">IF($M503="","",IF($M503="Critical",3000,IF($M503="Warning",2000,1000))+$L503+ROW()/100000)</f>
        <v/>
      </c>
      <c r="O503" s="65" t="str">
        <f aca="false">IF($K503="Open",IF($C503="Conflict","decide "&amp;$A503&amp;": &lt;which version stands&gt;","decide "&amp;$A503&amp;": &lt;outcome&gt;"),IF($K503="Unconfirmed","confirm "&amp;$A503,""))</f>
        <v/>
      </c>
      <c r="P503" s="65" t="str">
        <f aca="false">IF(AND($C503="New",$B503&gt;=WeekStart),$B503+ROW()/100000,"")</f>
        <v/>
      </c>
      <c r="Q503" s="65" t="str">
        <f aca="false">IF(AND($C503="Know",$B503&gt;=WeekStart),$B503+ROW()/100000,"")</f>
        <v/>
      </c>
      <c r="R503" s="65" t="str">
        <f aca="false">IF(AND($K503="Open",$C503="Decision"),$L503+ROW()/100000,"")</f>
        <v/>
      </c>
      <c r="S503" s="65" t="str">
        <f aca="false">IF(AND($J503&lt;&gt;"",$J503=UCSel),$B503+ROW()/100000,"")</f>
        <v/>
      </c>
    </row>
    <row r="504" customFormat="false" ht="15" hidden="false" customHeight="false" outlineLevel="0" collapsed="false">
      <c r="A504" s="28"/>
      <c r="B504" s="63"/>
      <c r="C504" s="64"/>
      <c r="D504" s="28"/>
      <c r="E504" s="28"/>
      <c r="F504" s="28"/>
      <c r="G504" s="64"/>
      <c r="H504" s="64"/>
      <c r="I504" s="28"/>
      <c r="J504" s="28"/>
      <c r="K504" s="65" t="str">
        <f aca="false">IF($A504="","",IF(OR($C504="Decision",$C504="Conflict"),IF(COUNTIFS($I$2:$I$1001,$A504,$C$2:$C$1001,"Resolved")=0,"Open","Closed"),IF(AND($H504="Unconfirmed",OR($C504="New",$C504="Know")),IF(COUNTIFS($I$2:$I$1001,$A504,$C$2:$C$1001,"Confirmed")=0,"Unconfirmed","Confirmed"),"Logged")))</f>
        <v/>
      </c>
      <c r="L504" s="65" t="str">
        <f aca="false">IF($A504="","",AsOf-$B504)</f>
        <v/>
      </c>
      <c r="M504" s="65" t="str">
        <f aca="false">IF($K504="Open",IF($C504="Conflict","Critical",IF($L504&gt;=DecisionCritical,"Critical",IF($L504&gt;=DecisionWarn,"Warning","On track"))),IF($K504="Unconfirmed",IF($L504&gt;=UnconfirmedWarn,"Warning","On track"),""))</f>
        <v/>
      </c>
      <c r="N504" s="65" t="str">
        <f aca="false">IF($M504="","",IF($M504="Critical",3000,IF($M504="Warning",2000,1000))+$L504+ROW()/100000)</f>
        <v/>
      </c>
      <c r="O504" s="65" t="str">
        <f aca="false">IF($K504="Open",IF($C504="Conflict","decide "&amp;$A504&amp;": &lt;which version stands&gt;","decide "&amp;$A504&amp;": &lt;outcome&gt;"),IF($K504="Unconfirmed","confirm "&amp;$A504,""))</f>
        <v/>
      </c>
      <c r="P504" s="65" t="str">
        <f aca="false">IF(AND($C504="New",$B504&gt;=WeekStart),$B504+ROW()/100000,"")</f>
        <v/>
      </c>
      <c r="Q504" s="65" t="str">
        <f aca="false">IF(AND($C504="Know",$B504&gt;=WeekStart),$B504+ROW()/100000,"")</f>
        <v/>
      </c>
      <c r="R504" s="65" t="str">
        <f aca="false">IF(AND($K504="Open",$C504="Decision"),$L504+ROW()/100000,"")</f>
        <v/>
      </c>
      <c r="S504" s="65" t="str">
        <f aca="false">IF(AND($J504&lt;&gt;"",$J504=UCSel),$B504+ROW()/100000,"")</f>
        <v/>
      </c>
    </row>
    <row r="505" customFormat="false" ht="15" hidden="false" customHeight="false" outlineLevel="0" collapsed="false">
      <c r="A505" s="28"/>
      <c r="B505" s="63"/>
      <c r="C505" s="64"/>
      <c r="D505" s="28"/>
      <c r="E505" s="28"/>
      <c r="F505" s="28"/>
      <c r="G505" s="64"/>
      <c r="H505" s="64"/>
      <c r="I505" s="28"/>
      <c r="J505" s="28"/>
      <c r="K505" s="65" t="str">
        <f aca="false">IF($A505="","",IF(OR($C505="Decision",$C505="Conflict"),IF(COUNTIFS($I$2:$I$1001,$A505,$C$2:$C$1001,"Resolved")=0,"Open","Closed"),IF(AND($H505="Unconfirmed",OR($C505="New",$C505="Know")),IF(COUNTIFS($I$2:$I$1001,$A505,$C$2:$C$1001,"Confirmed")=0,"Unconfirmed","Confirmed"),"Logged")))</f>
        <v/>
      </c>
      <c r="L505" s="65" t="str">
        <f aca="false">IF($A505="","",AsOf-$B505)</f>
        <v/>
      </c>
      <c r="M505" s="65" t="str">
        <f aca="false">IF($K505="Open",IF($C505="Conflict","Critical",IF($L505&gt;=DecisionCritical,"Critical",IF($L505&gt;=DecisionWarn,"Warning","On track"))),IF($K505="Unconfirmed",IF($L505&gt;=UnconfirmedWarn,"Warning","On track"),""))</f>
        <v/>
      </c>
      <c r="N505" s="65" t="str">
        <f aca="false">IF($M505="","",IF($M505="Critical",3000,IF($M505="Warning",2000,1000))+$L505+ROW()/100000)</f>
        <v/>
      </c>
      <c r="O505" s="65" t="str">
        <f aca="false">IF($K505="Open",IF($C505="Conflict","decide "&amp;$A505&amp;": &lt;which version stands&gt;","decide "&amp;$A505&amp;": &lt;outcome&gt;"),IF($K505="Unconfirmed","confirm "&amp;$A505,""))</f>
        <v/>
      </c>
      <c r="P505" s="65" t="str">
        <f aca="false">IF(AND($C505="New",$B505&gt;=WeekStart),$B505+ROW()/100000,"")</f>
        <v/>
      </c>
      <c r="Q505" s="65" t="str">
        <f aca="false">IF(AND($C505="Know",$B505&gt;=WeekStart),$B505+ROW()/100000,"")</f>
        <v/>
      </c>
      <c r="R505" s="65" t="str">
        <f aca="false">IF(AND($K505="Open",$C505="Decision"),$L505+ROW()/100000,"")</f>
        <v/>
      </c>
      <c r="S505" s="65" t="str">
        <f aca="false">IF(AND($J505&lt;&gt;"",$J505=UCSel),$B505+ROW()/100000,"")</f>
        <v/>
      </c>
    </row>
    <row r="506" customFormat="false" ht="15" hidden="false" customHeight="false" outlineLevel="0" collapsed="false">
      <c r="A506" s="28"/>
      <c r="B506" s="63"/>
      <c r="C506" s="64"/>
      <c r="D506" s="28"/>
      <c r="E506" s="28"/>
      <c r="F506" s="28"/>
      <c r="G506" s="64"/>
      <c r="H506" s="64"/>
      <c r="I506" s="28"/>
      <c r="J506" s="28"/>
      <c r="K506" s="65" t="str">
        <f aca="false">IF($A506="","",IF(OR($C506="Decision",$C506="Conflict"),IF(COUNTIFS($I$2:$I$1001,$A506,$C$2:$C$1001,"Resolved")=0,"Open","Closed"),IF(AND($H506="Unconfirmed",OR($C506="New",$C506="Know")),IF(COUNTIFS($I$2:$I$1001,$A506,$C$2:$C$1001,"Confirmed")=0,"Unconfirmed","Confirmed"),"Logged")))</f>
        <v/>
      </c>
      <c r="L506" s="65" t="str">
        <f aca="false">IF($A506="","",AsOf-$B506)</f>
        <v/>
      </c>
      <c r="M506" s="65" t="str">
        <f aca="false">IF($K506="Open",IF($C506="Conflict","Critical",IF($L506&gt;=DecisionCritical,"Critical",IF($L506&gt;=DecisionWarn,"Warning","On track"))),IF($K506="Unconfirmed",IF($L506&gt;=UnconfirmedWarn,"Warning","On track"),""))</f>
        <v/>
      </c>
      <c r="N506" s="65" t="str">
        <f aca="false">IF($M506="","",IF($M506="Critical",3000,IF($M506="Warning",2000,1000))+$L506+ROW()/100000)</f>
        <v/>
      </c>
      <c r="O506" s="65" t="str">
        <f aca="false">IF($K506="Open",IF($C506="Conflict","decide "&amp;$A506&amp;": &lt;which version stands&gt;","decide "&amp;$A506&amp;": &lt;outcome&gt;"),IF($K506="Unconfirmed","confirm "&amp;$A506,""))</f>
        <v/>
      </c>
      <c r="P506" s="65" t="str">
        <f aca="false">IF(AND($C506="New",$B506&gt;=WeekStart),$B506+ROW()/100000,"")</f>
        <v/>
      </c>
      <c r="Q506" s="65" t="str">
        <f aca="false">IF(AND($C506="Know",$B506&gt;=WeekStart),$B506+ROW()/100000,"")</f>
        <v/>
      </c>
      <c r="R506" s="65" t="str">
        <f aca="false">IF(AND($K506="Open",$C506="Decision"),$L506+ROW()/100000,"")</f>
        <v/>
      </c>
      <c r="S506" s="65" t="str">
        <f aca="false">IF(AND($J506&lt;&gt;"",$J506=UCSel),$B506+ROW()/100000,"")</f>
        <v/>
      </c>
    </row>
    <row r="507" customFormat="false" ht="15" hidden="false" customHeight="false" outlineLevel="0" collapsed="false">
      <c r="A507" s="28"/>
      <c r="B507" s="63"/>
      <c r="C507" s="64"/>
      <c r="D507" s="28"/>
      <c r="E507" s="28"/>
      <c r="F507" s="28"/>
      <c r="G507" s="64"/>
      <c r="H507" s="64"/>
      <c r="I507" s="28"/>
      <c r="J507" s="28"/>
      <c r="K507" s="65" t="str">
        <f aca="false">IF($A507="","",IF(OR($C507="Decision",$C507="Conflict"),IF(COUNTIFS($I$2:$I$1001,$A507,$C$2:$C$1001,"Resolved")=0,"Open","Closed"),IF(AND($H507="Unconfirmed",OR($C507="New",$C507="Know")),IF(COUNTIFS($I$2:$I$1001,$A507,$C$2:$C$1001,"Confirmed")=0,"Unconfirmed","Confirmed"),"Logged")))</f>
        <v/>
      </c>
      <c r="L507" s="65" t="str">
        <f aca="false">IF($A507="","",AsOf-$B507)</f>
        <v/>
      </c>
      <c r="M507" s="65" t="str">
        <f aca="false">IF($K507="Open",IF($C507="Conflict","Critical",IF($L507&gt;=DecisionCritical,"Critical",IF($L507&gt;=DecisionWarn,"Warning","On track"))),IF($K507="Unconfirmed",IF($L507&gt;=UnconfirmedWarn,"Warning","On track"),""))</f>
        <v/>
      </c>
      <c r="N507" s="65" t="str">
        <f aca="false">IF($M507="","",IF($M507="Critical",3000,IF($M507="Warning",2000,1000))+$L507+ROW()/100000)</f>
        <v/>
      </c>
      <c r="O507" s="65" t="str">
        <f aca="false">IF($K507="Open",IF($C507="Conflict","decide "&amp;$A507&amp;": &lt;which version stands&gt;","decide "&amp;$A507&amp;": &lt;outcome&gt;"),IF($K507="Unconfirmed","confirm "&amp;$A507,""))</f>
        <v/>
      </c>
      <c r="P507" s="65" t="str">
        <f aca="false">IF(AND($C507="New",$B507&gt;=WeekStart),$B507+ROW()/100000,"")</f>
        <v/>
      </c>
      <c r="Q507" s="65" t="str">
        <f aca="false">IF(AND($C507="Know",$B507&gt;=WeekStart),$B507+ROW()/100000,"")</f>
        <v/>
      </c>
      <c r="R507" s="65" t="str">
        <f aca="false">IF(AND($K507="Open",$C507="Decision"),$L507+ROW()/100000,"")</f>
        <v/>
      </c>
      <c r="S507" s="65" t="str">
        <f aca="false">IF(AND($J507&lt;&gt;"",$J507=UCSel),$B507+ROW()/100000,"")</f>
        <v/>
      </c>
    </row>
    <row r="508" customFormat="false" ht="15" hidden="false" customHeight="false" outlineLevel="0" collapsed="false">
      <c r="A508" s="28"/>
      <c r="B508" s="63"/>
      <c r="C508" s="64"/>
      <c r="D508" s="28"/>
      <c r="E508" s="28"/>
      <c r="F508" s="28"/>
      <c r="G508" s="64"/>
      <c r="H508" s="64"/>
      <c r="I508" s="28"/>
      <c r="J508" s="28"/>
      <c r="K508" s="65" t="str">
        <f aca="false">IF($A508="","",IF(OR($C508="Decision",$C508="Conflict"),IF(COUNTIFS($I$2:$I$1001,$A508,$C$2:$C$1001,"Resolved")=0,"Open","Closed"),IF(AND($H508="Unconfirmed",OR($C508="New",$C508="Know")),IF(COUNTIFS($I$2:$I$1001,$A508,$C$2:$C$1001,"Confirmed")=0,"Unconfirmed","Confirmed"),"Logged")))</f>
        <v/>
      </c>
      <c r="L508" s="65" t="str">
        <f aca="false">IF($A508="","",AsOf-$B508)</f>
        <v/>
      </c>
      <c r="M508" s="65" t="str">
        <f aca="false">IF($K508="Open",IF($C508="Conflict","Critical",IF($L508&gt;=DecisionCritical,"Critical",IF($L508&gt;=DecisionWarn,"Warning","On track"))),IF($K508="Unconfirmed",IF($L508&gt;=UnconfirmedWarn,"Warning","On track"),""))</f>
        <v/>
      </c>
      <c r="N508" s="65" t="str">
        <f aca="false">IF($M508="","",IF($M508="Critical",3000,IF($M508="Warning",2000,1000))+$L508+ROW()/100000)</f>
        <v/>
      </c>
      <c r="O508" s="65" t="str">
        <f aca="false">IF($K508="Open",IF($C508="Conflict","decide "&amp;$A508&amp;": &lt;which version stands&gt;","decide "&amp;$A508&amp;": &lt;outcome&gt;"),IF($K508="Unconfirmed","confirm "&amp;$A508,""))</f>
        <v/>
      </c>
      <c r="P508" s="65" t="str">
        <f aca="false">IF(AND($C508="New",$B508&gt;=WeekStart),$B508+ROW()/100000,"")</f>
        <v/>
      </c>
      <c r="Q508" s="65" t="str">
        <f aca="false">IF(AND($C508="Know",$B508&gt;=WeekStart),$B508+ROW()/100000,"")</f>
        <v/>
      </c>
      <c r="R508" s="65" t="str">
        <f aca="false">IF(AND($K508="Open",$C508="Decision"),$L508+ROW()/100000,"")</f>
        <v/>
      </c>
      <c r="S508" s="65" t="str">
        <f aca="false">IF(AND($J508&lt;&gt;"",$J508=UCSel),$B508+ROW()/100000,"")</f>
        <v/>
      </c>
    </row>
    <row r="509" customFormat="false" ht="15" hidden="false" customHeight="false" outlineLevel="0" collapsed="false">
      <c r="A509" s="28"/>
      <c r="B509" s="63"/>
      <c r="C509" s="64"/>
      <c r="D509" s="28"/>
      <c r="E509" s="28"/>
      <c r="F509" s="28"/>
      <c r="G509" s="64"/>
      <c r="H509" s="64"/>
      <c r="I509" s="28"/>
      <c r="J509" s="28"/>
      <c r="K509" s="65" t="str">
        <f aca="false">IF($A509="","",IF(OR($C509="Decision",$C509="Conflict"),IF(COUNTIFS($I$2:$I$1001,$A509,$C$2:$C$1001,"Resolved")=0,"Open","Closed"),IF(AND($H509="Unconfirmed",OR($C509="New",$C509="Know")),IF(COUNTIFS($I$2:$I$1001,$A509,$C$2:$C$1001,"Confirmed")=0,"Unconfirmed","Confirmed"),"Logged")))</f>
        <v/>
      </c>
      <c r="L509" s="65" t="str">
        <f aca="false">IF($A509="","",AsOf-$B509)</f>
        <v/>
      </c>
      <c r="M509" s="65" t="str">
        <f aca="false">IF($K509="Open",IF($C509="Conflict","Critical",IF($L509&gt;=DecisionCritical,"Critical",IF($L509&gt;=DecisionWarn,"Warning","On track"))),IF($K509="Unconfirmed",IF($L509&gt;=UnconfirmedWarn,"Warning","On track"),""))</f>
        <v/>
      </c>
      <c r="N509" s="65" t="str">
        <f aca="false">IF($M509="","",IF($M509="Critical",3000,IF($M509="Warning",2000,1000))+$L509+ROW()/100000)</f>
        <v/>
      </c>
      <c r="O509" s="65" t="str">
        <f aca="false">IF($K509="Open",IF($C509="Conflict","decide "&amp;$A509&amp;": &lt;which version stands&gt;","decide "&amp;$A509&amp;": &lt;outcome&gt;"),IF($K509="Unconfirmed","confirm "&amp;$A509,""))</f>
        <v/>
      </c>
      <c r="P509" s="65" t="str">
        <f aca="false">IF(AND($C509="New",$B509&gt;=WeekStart),$B509+ROW()/100000,"")</f>
        <v/>
      </c>
      <c r="Q509" s="65" t="str">
        <f aca="false">IF(AND($C509="Know",$B509&gt;=WeekStart),$B509+ROW()/100000,"")</f>
        <v/>
      </c>
      <c r="R509" s="65" t="str">
        <f aca="false">IF(AND($K509="Open",$C509="Decision"),$L509+ROW()/100000,"")</f>
        <v/>
      </c>
      <c r="S509" s="65" t="str">
        <f aca="false">IF(AND($J509&lt;&gt;"",$J509=UCSel),$B509+ROW()/100000,"")</f>
        <v/>
      </c>
    </row>
    <row r="510" customFormat="false" ht="15" hidden="false" customHeight="false" outlineLevel="0" collapsed="false">
      <c r="A510" s="28"/>
      <c r="B510" s="63"/>
      <c r="C510" s="64"/>
      <c r="D510" s="28"/>
      <c r="E510" s="28"/>
      <c r="F510" s="28"/>
      <c r="G510" s="64"/>
      <c r="H510" s="64"/>
      <c r="I510" s="28"/>
      <c r="J510" s="28"/>
      <c r="K510" s="65" t="str">
        <f aca="false">IF($A510="","",IF(OR($C510="Decision",$C510="Conflict"),IF(COUNTIFS($I$2:$I$1001,$A510,$C$2:$C$1001,"Resolved")=0,"Open","Closed"),IF(AND($H510="Unconfirmed",OR($C510="New",$C510="Know")),IF(COUNTIFS($I$2:$I$1001,$A510,$C$2:$C$1001,"Confirmed")=0,"Unconfirmed","Confirmed"),"Logged")))</f>
        <v/>
      </c>
      <c r="L510" s="65" t="str">
        <f aca="false">IF($A510="","",AsOf-$B510)</f>
        <v/>
      </c>
      <c r="M510" s="65" t="str">
        <f aca="false">IF($K510="Open",IF($C510="Conflict","Critical",IF($L510&gt;=DecisionCritical,"Critical",IF($L510&gt;=DecisionWarn,"Warning","On track"))),IF($K510="Unconfirmed",IF($L510&gt;=UnconfirmedWarn,"Warning","On track"),""))</f>
        <v/>
      </c>
      <c r="N510" s="65" t="str">
        <f aca="false">IF($M510="","",IF($M510="Critical",3000,IF($M510="Warning",2000,1000))+$L510+ROW()/100000)</f>
        <v/>
      </c>
      <c r="O510" s="65" t="str">
        <f aca="false">IF($K510="Open",IF($C510="Conflict","decide "&amp;$A510&amp;": &lt;which version stands&gt;","decide "&amp;$A510&amp;": &lt;outcome&gt;"),IF($K510="Unconfirmed","confirm "&amp;$A510,""))</f>
        <v/>
      </c>
      <c r="P510" s="65" t="str">
        <f aca="false">IF(AND($C510="New",$B510&gt;=WeekStart),$B510+ROW()/100000,"")</f>
        <v/>
      </c>
      <c r="Q510" s="65" t="str">
        <f aca="false">IF(AND($C510="Know",$B510&gt;=WeekStart),$B510+ROW()/100000,"")</f>
        <v/>
      </c>
      <c r="R510" s="65" t="str">
        <f aca="false">IF(AND($K510="Open",$C510="Decision"),$L510+ROW()/100000,"")</f>
        <v/>
      </c>
      <c r="S510" s="65" t="str">
        <f aca="false">IF(AND($J510&lt;&gt;"",$J510=UCSel),$B510+ROW()/100000,"")</f>
        <v/>
      </c>
    </row>
    <row r="511" customFormat="false" ht="15" hidden="false" customHeight="false" outlineLevel="0" collapsed="false">
      <c r="A511" s="28"/>
      <c r="B511" s="63"/>
      <c r="C511" s="64"/>
      <c r="D511" s="28"/>
      <c r="E511" s="28"/>
      <c r="F511" s="28"/>
      <c r="G511" s="64"/>
      <c r="H511" s="64"/>
      <c r="I511" s="28"/>
      <c r="J511" s="28"/>
      <c r="K511" s="65" t="str">
        <f aca="false">IF($A511="","",IF(OR($C511="Decision",$C511="Conflict"),IF(COUNTIFS($I$2:$I$1001,$A511,$C$2:$C$1001,"Resolved")=0,"Open","Closed"),IF(AND($H511="Unconfirmed",OR($C511="New",$C511="Know")),IF(COUNTIFS($I$2:$I$1001,$A511,$C$2:$C$1001,"Confirmed")=0,"Unconfirmed","Confirmed"),"Logged")))</f>
        <v/>
      </c>
      <c r="L511" s="65" t="str">
        <f aca="false">IF($A511="","",AsOf-$B511)</f>
        <v/>
      </c>
      <c r="M511" s="65" t="str">
        <f aca="false">IF($K511="Open",IF($C511="Conflict","Critical",IF($L511&gt;=DecisionCritical,"Critical",IF($L511&gt;=DecisionWarn,"Warning","On track"))),IF($K511="Unconfirmed",IF($L511&gt;=UnconfirmedWarn,"Warning","On track"),""))</f>
        <v/>
      </c>
      <c r="N511" s="65" t="str">
        <f aca="false">IF($M511="","",IF($M511="Critical",3000,IF($M511="Warning",2000,1000))+$L511+ROW()/100000)</f>
        <v/>
      </c>
      <c r="O511" s="65" t="str">
        <f aca="false">IF($K511="Open",IF($C511="Conflict","decide "&amp;$A511&amp;": &lt;which version stands&gt;","decide "&amp;$A511&amp;": &lt;outcome&gt;"),IF($K511="Unconfirmed","confirm "&amp;$A511,""))</f>
        <v/>
      </c>
      <c r="P511" s="65" t="str">
        <f aca="false">IF(AND($C511="New",$B511&gt;=WeekStart),$B511+ROW()/100000,"")</f>
        <v/>
      </c>
      <c r="Q511" s="65" t="str">
        <f aca="false">IF(AND($C511="Know",$B511&gt;=WeekStart),$B511+ROW()/100000,"")</f>
        <v/>
      </c>
      <c r="R511" s="65" t="str">
        <f aca="false">IF(AND($K511="Open",$C511="Decision"),$L511+ROW()/100000,"")</f>
        <v/>
      </c>
      <c r="S511" s="65" t="str">
        <f aca="false">IF(AND($J511&lt;&gt;"",$J511=UCSel),$B511+ROW()/100000,"")</f>
        <v/>
      </c>
    </row>
    <row r="512" customFormat="false" ht="15" hidden="false" customHeight="false" outlineLevel="0" collapsed="false">
      <c r="A512" s="28"/>
      <c r="B512" s="63"/>
      <c r="C512" s="64"/>
      <c r="D512" s="28"/>
      <c r="E512" s="28"/>
      <c r="F512" s="28"/>
      <c r="G512" s="64"/>
      <c r="H512" s="64"/>
      <c r="I512" s="28"/>
      <c r="J512" s="28"/>
      <c r="K512" s="65" t="str">
        <f aca="false">IF($A512="","",IF(OR($C512="Decision",$C512="Conflict"),IF(COUNTIFS($I$2:$I$1001,$A512,$C$2:$C$1001,"Resolved")=0,"Open","Closed"),IF(AND($H512="Unconfirmed",OR($C512="New",$C512="Know")),IF(COUNTIFS($I$2:$I$1001,$A512,$C$2:$C$1001,"Confirmed")=0,"Unconfirmed","Confirmed"),"Logged")))</f>
        <v/>
      </c>
      <c r="L512" s="65" t="str">
        <f aca="false">IF($A512="","",AsOf-$B512)</f>
        <v/>
      </c>
      <c r="M512" s="65" t="str">
        <f aca="false">IF($K512="Open",IF($C512="Conflict","Critical",IF($L512&gt;=DecisionCritical,"Critical",IF($L512&gt;=DecisionWarn,"Warning","On track"))),IF($K512="Unconfirmed",IF($L512&gt;=UnconfirmedWarn,"Warning","On track"),""))</f>
        <v/>
      </c>
      <c r="N512" s="65" t="str">
        <f aca="false">IF($M512="","",IF($M512="Critical",3000,IF($M512="Warning",2000,1000))+$L512+ROW()/100000)</f>
        <v/>
      </c>
      <c r="O512" s="65" t="str">
        <f aca="false">IF($K512="Open",IF($C512="Conflict","decide "&amp;$A512&amp;": &lt;which version stands&gt;","decide "&amp;$A512&amp;": &lt;outcome&gt;"),IF($K512="Unconfirmed","confirm "&amp;$A512,""))</f>
        <v/>
      </c>
      <c r="P512" s="65" t="str">
        <f aca="false">IF(AND($C512="New",$B512&gt;=WeekStart),$B512+ROW()/100000,"")</f>
        <v/>
      </c>
      <c r="Q512" s="65" t="str">
        <f aca="false">IF(AND($C512="Know",$B512&gt;=WeekStart),$B512+ROW()/100000,"")</f>
        <v/>
      </c>
      <c r="R512" s="65" t="str">
        <f aca="false">IF(AND($K512="Open",$C512="Decision"),$L512+ROW()/100000,"")</f>
        <v/>
      </c>
      <c r="S512" s="65" t="str">
        <f aca="false">IF(AND($J512&lt;&gt;"",$J512=UCSel),$B512+ROW()/100000,"")</f>
        <v/>
      </c>
    </row>
    <row r="513" customFormat="false" ht="15" hidden="false" customHeight="false" outlineLevel="0" collapsed="false">
      <c r="A513" s="28"/>
      <c r="B513" s="63"/>
      <c r="C513" s="64"/>
      <c r="D513" s="28"/>
      <c r="E513" s="28"/>
      <c r="F513" s="28"/>
      <c r="G513" s="64"/>
      <c r="H513" s="64"/>
      <c r="I513" s="28"/>
      <c r="J513" s="28"/>
      <c r="K513" s="65" t="str">
        <f aca="false">IF($A513="","",IF(OR($C513="Decision",$C513="Conflict"),IF(COUNTIFS($I$2:$I$1001,$A513,$C$2:$C$1001,"Resolved")=0,"Open","Closed"),IF(AND($H513="Unconfirmed",OR($C513="New",$C513="Know")),IF(COUNTIFS($I$2:$I$1001,$A513,$C$2:$C$1001,"Confirmed")=0,"Unconfirmed","Confirmed"),"Logged")))</f>
        <v/>
      </c>
      <c r="L513" s="65" t="str">
        <f aca="false">IF($A513="","",AsOf-$B513)</f>
        <v/>
      </c>
      <c r="M513" s="65" t="str">
        <f aca="false">IF($K513="Open",IF($C513="Conflict","Critical",IF($L513&gt;=DecisionCritical,"Critical",IF($L513&gt;=DecisionWarn,"Warning","On track"))),IF($K513="Unconfirmed",IF($L513&gt;=UnconfirmedWarn,"Warning","On track"),""))</f>
        <v/>
      </c>
      <c r="N513" s="65" t="str">
        <f aca="false">IF($M513="","",IF($M513="Critical",3000,IF($M513="Warning",2000,1000))+$L513+ROW()/100000)</f>
        <v/>
      </c>
      <c r="O513" s="65" t="str">
        <f aca="false">IF($K513="Open",IF($C513="Conflict","decide "&amp;$A513&amp;": &lt;which version stands&gt;","decide "&amp;$A513&amp;": &lt;outcome&gt;"),IF($K513="Unconfirmed","confirm "&amp;$A513,""))</f>
        <v/>
      </c>
      <c r="P513" s="65" t="str">
        <f aca="false">IF(AND($C513="New",$B513&gt;=WeekStart),$B513+ROW()/100000,"")</f>
        <v/>
      </c>
      <c r="Q513" s="65" t="str">
        <f aca="false">IF(AND($C513="Know",$B513&gt;=WeekStart),$B513+ROW()/100000,"")</f>
        <v/>
      </c>
      <c r="R513" s="65" t="str">
        <f aca="false">IF(AND($K513="Open",$C513="Decision"),$L513+ROW()/100000,"")</f>
        <v/>
      </c>
      <c r="S513" s="65" t="str">
        <f aca="false">IF(AND($J513&lt;&gt;"",$J513=UCSel),$B513+ROW()/100000,"")</f>
        <v/>
      </c>
    </row>
    <row r="514" customFormat="false" ht="15" hidden="false" customHeight="false" outlineLevel="0" collapsed="false">
      <c r="A514" s="28"/>
      <c r="B514" s="63"/>
      <c r="C514" s="64"/>
      <c r="D514" s="28"/>
      <c r="E514" s="28"/>
      <c r="F514" s="28"/>
      <c r="G514" s="64"/>
      <c r="H514" s="64"/>
      <c r="I514" s="28"/>
      <c r="J514" s="28"/>
      <c r="K514" s="65" t="str">
        <f aca="false">IF($A514="","",IF(OR($C514="Decision",$C514="Conflict"),IF(COUNTIFS($I$2:$I$1001,$A514,$C$2:$C$1001,"Resolved")=0,"Open","Closed"),IF(AND($H514="Unconfirmed",OR($C514="New",$C514="Know")),IF(COUNTIFS($I$2:$I$1001,$A514,$C$2:$C$1001,"Confirmed")=0,"Unconfirmed","Confirmed"),"Logged")))</f>
        <v/>
      </c>
      <c r="L514" s="65" t="str">
        <f aca="false">IF($A514="","",AsOf-$B514)</f>
        <v/>
      </c>
      <c r="M514" s="65" t="str">
        <f aca="false">IF($K514="Open",IF($C514="Conflict","Critical",IF($L514&gt;=DecisionCritical,"Critical",IF($L514&gt;=DecisionWarn,"Warning","On track"))),IF($K514="Unconfirmed",IF($L514&gt;=UnconfirmedWarn,"Warning","On track"),""))</f>
        <v/>
      </c>
      <c r="N514" s="65" t="str">
        <f aca="false">IF($M514="","",IF($M514="Critical",3000,IF($M514="Warning",2000,1000))+$L514+ROW()/100000)</f>
        <v/>
      </c>
      <c r="O514" s="65" t="str">
        <f aca="false">IF($K514="Open",IF($C514="Conflict","decide "&amp;$A514&amp;": &lt;which version stands&gt;","decide "&amp;$A514&amp;": &lt;outcome&gt;"),IF($K514="Unconfirmed","confirm "&amp;$A514,""))</f>
        <v/>
      </c>
      <c r="P514" s="65" t="str">
        <f aca="false">IF(AND($C514="New",$B514&gt;=WeekStart),$B514+ROW()/100000,"")</f>
        <v/>
      </c>
      <c r="Q514" s="65" t="str">
        <f aca="false">IF(AND($C514="Know",$B514&gt;=WeekStart),$B514+ROW()/100000,"")</f>
        <v/>
      </c>
      <c r="R514" s="65" t="str">
        <f aca="false">IF(AND($K514="Open",$C514="Decision"),$L514+ROW()/100000,"")</f>
        <v/>
      </c>
      <c r="S514" s="65" t="str">
        <f aca="false">IF(AND($J514&lt;&gt;"",$J514=UCSel),$B514+ROW()/100000,"")</f>
        <v/>
      </c>
    </row>
    <row r="515" customFormat="false" ht="15" hidden="false" customHeight="false" outlineLevel="0" collapsed="false">
      <c r="A515" s="28"/>
      <c r="B515" s="63"/>
      <c r="C515" s="64"/>
      <c r="D515" s="28"/>
      <c r="E515" s="28"/>
      <c r="F515" s="28"/>
      <c r="G515" s="64"/>
      <c r="H515" s="64"/>
      <c r="I515" s="28"/>
      <c r="J515" s="28"/>
      <c r="K515" s="65" t="str">
        <f aca="false">IF($A515="","",IF(OR($C515="Decision",$C515="Conflict"),IF(COUNTIFS($I$2:$I$1001,$A515,$C$2:$C$1001,"Resolved")=0,"Open","Closed"),IF(AND($H515="Unconfirmed",OR($C515="New",$C515="Know")),IF(COUNTIFS($I$2:$I$1001,$A515,$C$2:$C$1001,"Confirmed")=0,"Unconfirmed","Confirmed"),"Logged")))</f>
        <v/>
      </c>
      <c r="L515" s="65" t="str">
        <f aca="false">IF($A515="","",AsOf-$B515)</f>
        <v/>
      </c>
      <c r="M515" s="65" t="str">
        <f aca="false">IF($K515="Open",IF($C515="Conflict","Critical",IF($L515&gt;=DecisionCritical,"Critical",IF($L515&gt;=DecisionWarn,"Warning","On track"))),IF($K515="Unconfirmed",IF($L515&gt;=UnconfirmedWarn,"Warning","On track"),""))</f>
        <v/>
      </c>
      <c r="N515" s="65" t="str">
        <f aca="false">IF($M515="","",IF($M515="Critical",3000,IF($M515="Warning",2000,1000))+$L515+ROW()/100000)</f>
        <v/>
      </c>
      <c r="O515" s="65" t="str">
        <f aca="false">IF($K515="Open",IF($C515="Conflict","decide "&amp;$A515&amp;": &lt;which version stands&gt;","decide "&amp;$A515&amp;": &lt;outcome&gt;"),IF($K515="Unconfirmed","confirm "&amp;$A515,""))</f>
        <v/>
      </c>
      <c r="P515" s="65" t="str">
        <f aca="false">IF(AND($C515="New",$B515&gt;=WeekStart),$B515+ROW()/100000,"")</f>
        <v/>
      </c>
      <c r="Q515" s="65" t="str">
        <f aca="false">IF(AND($C515="Know",$B515&gt;=WeekStart),$B515+ROW()/100000,"")</f>
        <v/>
      </c>
      <c r="R515" s="65" t="str">
        <f aca="false">IF(AND($K515="Open",$C515="Decision"),$L515+ROW()/100000,"")</f>
        <v/>
      </c>
      <c r="S515" s="65" t="str">
        <f aca="false">IF(AND($J515&lt;&gt;"",$J515=UCSel),$B515+ROW()/100000,"")</f>
        <v/>
      </c>
    </row>
    <row r="516" customFormat="false" ht="15" hidden="false" customHeight="false" outlineLevel="0" collapsed="false">
      <c r="A516" s="28"/>
      <c r="B516" s="63"/>
      <c r="C516" s="64"/>
      <c r="D516" s="28"/>
      <c r="E516" s="28"/>
      <c r="F516" s="28"/>
      <c r="G516" s="64"/>
      <c r="H516" s="64"/>
      <c r="I516" s="28"/>
      <c r="J516" s="28"/>
      <c r="K516" s="65" t="str">
        <f aca="false">IF($A516="","",IF(OR($C516="Decision",$C516="Conflict"),IF(COUNTIFS($I$2:$I$1001,$A516,$C$2:$C$1001,"Resolved")=0,"Open","Closed"),IF(AND($H516="Unconfirmed",OR($C516="New",$C516="Know")),IF(COUNTIFS($I$2:$I$1001,$A516,$C$2:$C$1001,"Confirmed")=0,"Unconfirmed","Confirmed"),"Logged")))</f>
        <v/>
      </c>
      <c r="L516" s="65" t="str">
        <f aca="false">IF($A516="","",AsOf-$B516)</f>
        <v/>
      </c>
      <c r="M516" s="65" t="str">
        <f aca="false">IF($K516="Open",IF($C516="Conflict","Critical",IF($L516&gt;=DecisionCritical,"Critical",IF($L516&gt;=DecisionWarn,"Warning","On track"))),IF($K516="Unconfirmed",IF($L516&gt;=UnconfirmedWarn,"Warning","On track"),""))</f>
        <v/>
      </c>
      <c r="N516" s="65" t="str">
        <f aca="false">IF($M516="","",IF($M516="Critical",3000,IF($M516="Warning",2000,1000))+$L516+ROW()/100000)</f>
        <v/>
      </c>
      <c r="O516" s="65" t="str">
        <f aca="false">IF($K516="Open",IF($C516="Conflict","decide "&amp;$A516&amp;": &lt;which version stands&gt;","decide "&amp;$A516&amp;": &lt;outcome&gt;"),IF($K516="Unconfirmed","confirm "&amp;$A516,""))</f>
        <v/>
      </c>
      <c r="P516" s="65" t="str">
        <f aca="false">IF(AND($C516="New",$B516&gt;=WeekStart),$B516+ROW()/100000,"")</f>
        <v/>
      </c>
      <c r="Q516" s="65" t="str">
        <f aca="false">IF(AND($C516="Know",$B516&gt;=WeekStart),$B516+ROW()/100000,"")</f>
        <v/>
      </c>
      <c r="R516" s="65" t="str">
        <f aca="false">IF(AND($K516="Open",$C516="Decision"),$L516+ROW()/100000,"")</f>
        <v/>
      </c>
      <c r="S516" s="65" t="str">
        <f aca="false">IF(AND($J516&lt;&gt;"",$J516=UCSel),$B516+ROW()/100000,"")</f>
        <v/>
      </c>
    </row>
    <row r="517" customFormat="false" ht="15" hidden="false" customHeight="false" outlineLevel="0" collapsed="false">
      <c r="A517" s="28"/>
      <c r="B517" s="63"/>
      <c r="C517" s="64"/>
      <c r="D517" s="28"/>
      <c r="E517" s="28"/>
      <c r="F517" s="28"/>
      <c r="G517" s="64"/>
      <c r="H517" s="64"/>
      <c r="I517" s="28"/>
      <c r="J517" s="28"/>
      <c r="K517" s="65" t="str">
        <f aca="false">IF($A517="","",IF(OR($C517="Decision",$C517="Conflict"),IF(COUNTIFS($I$2:$I$1001,$A517,$C$2:$C$1001,"Resolved")=0,"Open","Closed"),IF(AND($H517="Unconfirmed",OR($C517="New",$C517="Know")),IF(COUNTIFS($I$2:$I$1001,$A517,$C$2:$C$1001,"Confirmed")=0,"Unconfirmed","Confirmed"),"Logged")))</f>
        <v/>
      </c>
      <c r="L517" s="65" t="str">
        <f aca="false">IF($A517="","",AsOf-$B517)</f>
        <v/>
      </c>
      <c r="M517" s="65" t="str">
        <f aca="false">IF($K517="Open",IF($C517="Conflict","Critical",IF($L517&gt;=DecisionCritical,"Critical",IF($L517&gt;=DecisionWarn,"Warning","On track"))),IF($K517="Unconfirmed",IF($L517&gt;=UnconfirmedWarn,"Warning","On track"),""))</f>
        <v/>
      </c>
      <c r="N517" s="65" t="str">
        <f aca="false">IF($M517="","",IF($M517="Critical",3000,IF($M517="Warning",2000,1000))+$L517+ROW()/100000)</f>
        <v/>
      </c>
      <c r="O517" s="65" t="str">
        <f aca="false">IF($K517="Open",IF($C517="Conflict","decide "&amp;$A517&amp;": &lt;which version stands&gt;","decide "&amp;$A517&amp;": &lt;outcome&gt;"),IF($K517="Unconfirmed","confirm "&amp;$A517,""))</f>
        <v/>
      </c>
      <c r="P517" s="65" t="str">
        <f aca="false">IF(AND($C517="New",$B517&gt;=WeekStart),$B517+ROW()/100000,"")</f>
        <v/>
      </c>
      <c r="Q517" s="65" t="str">
        <f aca="false">IF(AND($C517="Know",$B517&gt;=WeekStart),$B517+ROW()/100000,"")</f>
        <v/>
      </c>
      <c r="R517" s="65" t="str">
        <f aca="false">IF(AND($K517="Open",$C517="Decision"),$L517+ROW()/100000,"")</f>
        <v/>
      </c>
      <c r="S517" s="65" t="str">
        <f aca="false">IF(AND($J517&lt;&gt;"",$J517=UCSel),$B517+ROW()/100000,"")</f>
        <v/>
      </c>
    </row>
    <row r="518" customFormat="false" ht="15" hidden="false" customHeight="false" outlineLevel="0" collapsed="false">
      <c r="A518" s="28"/>
      <c r="B518" s="63"/>
      <c r="C518" s="64"/>
      <c r="D518" s="28"/>
      <c r="E518" s="28"/>
      <c r="F518" s="28"/>
      <c r="G518" s="64"/>
      <c r="H518" s="64"/>
      <c r="I518" s="28"/>
      <c r="J518" s="28"/>
      <c r="K518" s="65" t="str">
        <f aca="false">IF($A518="","",IF(OR($C518="Decision",$C518="Conflict"),IF(COUNTIFS($I$2:$I$1001,$A518,$C$2:$C$1001,"Resolved")=0,"Open","Closed"),IF(AND($H518="Unconfirmed",OR($C518="New",$C518="Know")),IF(COUNTIFS($I$2:$I$1001,$A518,$C$2:$C$1001,"Confirmed")=0,"Unconfirmed","Confirmed"),"Logged")))</f>
        <v/>
      </c>
      <c r="L518" s="65" t="str">
        <f aca="false">IF($A518="","",AsOf-$B518)</f>
        <v/>
      </c>
      <c r="M518" s="65" t="str">
        <f aca="false">IF($K518="Open",IF($C518="Conflict","Critical",IF($L518&gt;=DecisionCritical,"Critical",IF($L518&gt;=DecisionWarn,"Warning","On track"))),IF($K518="Unconfirmed",IF($L518&gt;=UnconfirmedWarn,"Warning","On track"),""))</f>
        <v/>
      </c>
      <c r="N518" s="65" t="str">
        <f aca="false">IF($M518="","",IF($M518="Critical",3000,IF($M518="Warning",2000,1000))+$L518+ROW()/100000)</f>
        <v/>
      </c>
      <c r="O518" s="65" t="str">
        <f aca="false">IF($K518="Open",IF($C518="Conflict","decide "&amp;$A518&amp;": &lt;which version stands&gt;","decide "&amp;$A518&amp;": &lt;outcome&gt;"),IF($K518="Unconfirmed","confirm "&amp;$A518,""))</f>
        <v/>
      </c>
      <c r="P518" s="65" t="str">
        <f aca="false">IF(AND($C518="New",$B518&gt;=WeekStart),$B518+ROW()/100000,"")</f>
        <v/>
      </c>
      <c r="Q518" s="65" t="str">
        <f aca="false">IF(AND($C518="Know",$B518&gt;=WeekStart),$B518+ROW()/100000,"")</f>
        <v/>
      </c>
      <c r="R518" s="65" t="str">
        <f aca="false">IF(AND($K518="Open",$C518="Decision"),$L518+ROW()/100000,"")</f>
        <v/>
      </c>
      <c r="S518" s="65" t="str">
        <f aca="false">IF(AND($J518&lt;&gt;"",$J518=UCSel),$B518+ROW()/100000,"")</f>
        <v/>
      </c>
    </row>
    <row r="519" customFormat="false" ht="15" hidden="false" customHeight="false" outlineLevel="0" collapsed="false">
      <c r="A519" s="28"/>
      <c r="B519" s="63"/>
      <c r="C519" s="64"/>
      <c r="D519" s="28"/>
      <c r="E519" s="28"/>
      <c r="F519" s="28"/>
      <c r="G519" s="64"/>
      <c r="H519" s="64"/>
      <c r="I519" s="28"/>
      <c r="J519" s="28"/>
      <c r="K519" s="65" t="str">
        <f aca="false">IF($A519="","",IF(OR($C519="Decision",$C519="Conflict"),IF(COUNTIFS($I$2:$I$1001,$A519,$C$2:$C$1001,"Resolved")=0,"Open","Closed"),IF(AND($H519="Unconfirmed",OR($C519="New",$C519="Know")),IF(COUNTIFS($I$2:$I$1001,$A519,$C$2:$C$1001,"Confirmed")=0,"Unconfirmed","Confirmed"),"Logged")))</f>
        <v/>
      </c>
      <c r="L519" s="65" t="str">
        <f aca="false">IF($A519="","",AsOf-$B519)</f>
        <v/>
      </c>
      <c r="M519" s="65" t="str">
        <f aca="false">IF($K519="Open",IF($C519="Conflict","Critical",IF($L519&gt;=DecisionCritical,"Critical",IF($L519&gt;=DecisionWarn,"Warning","On track"))),IF($K519="Unconfirmed",IF($L519&gt;=UnconfirmedWarn,"Warning","On track"),""))</f>
        <v/>
      </c>
      <c r="N519" s="65" t="str">
        <f aca="false">IF($M519="","",IF($M519="Critical",3000,IF($M519="Warning",2000,1000))+$L519+ROW()/100000)</f>
        <v/>
      </c>
      <c r="O519" s="65" t="str">
        <f aca="false">IF($K519="Open",IF($C519="Conflict","decide "&amp;$A519&amp;": &lt;which version stands&gt;","decide "&amp;$A519&amp;": &lt;outcome&gt;"),IF($K519="Unconfirmed","confirm "&amp;$A519,""))</f>
        <v/>
      </c>
      <c r="P519" s="65" t="str">
        <f aca="false">IF(AND($C519="New",$B519&gt;=WeekStart),$B519+ROW()/100000,"")</f>
        <v/>
      </c>
      <c r="Q519" s="65" t="str">
        <f aca="false">IF(AND($C519="Know",$B519&gt;=WeekStart),$B519+ROW()/100000,"")</f>
        <v/>
      </c>
      <c r="R519" s="65" t="str">
        <f aca="false">IF(AND($K519="Open",$C519="Decision"),$L519+ROW()/100000,"")</f>
        <v/>
      </c>
      <c r="S519" s="65" t="str">
        <f aca="false">IF(AND($J519&lt;&gt;"",$J519=UCSel),$B519+ROW()/100000,"")</f>
        <v/>
      </c>
    </row>
    <row r="520" customFormat="false" ht="15" hidden="false" customHeight="false" outlineLevel="0" collapsed="false">
      <c r="A520" s="28"/>
      <c r="B520" s="63"/>
      <c r="C520" s="64"/>
      <c r="D520" s="28"/>
      <c r="E520" s="28"/>
      <c r="F520" s="28"/>
      <c r="G520" s="64"/>
      <c r="H520" s="64"/>
      <c r="I520" s="28"/>
      <c r="J520" s="28"/>
      <c r="K520" s="65" t="str">
        <f aca="false">IF($A520="","",IF(OR($C520="Decision",$C520="Conflict"),IF(COUNTIFS($I$2:$I$1001,$A520,$C$2:$C$1001,"Resolved")=0,"Open","Closed"),IF(AND($H520="Unconfirmed",OR($C520="New",$C520="Know")),IF(COUNTIFS($I$2:$I$1001,$A520,$C$2:$C$1001,"Confirmed")=0,"Unconfirmed","Confirmed"),"Logged")))</f>
        <v/>
      </c>
      <c r="L520" s="65" t="str">
        <f aca="false">IF($A520="","",AsOf-$B520)</f>
        <v/>
      </c>
      <c r="M520" s="65" t="str">
        <f aca="false">IF($K520="Open",IF($C520="Conflict","Critical",IF($L520&gt;=DecisionCritical,"Critical",IF($L520&gt;=DecisionWarn,"Warning","On track"))),IF($K520="Unconfirmed",IF($L520&gt;=UnconfirmedWarn,"Warning","On track"),""))</f>
        <v/>
      </c>
      <c r="N520" s="65" t="str">
        <f aca="false">IF($M520="","",IF($M520="Critical",3000,IF($M520="Warning",2000,1000))+$L520+ROW()/100000)</f>
        <v/>
      </c>
      <c r="O520" s="65" t="str">
        <f aca="false">IF($K520="Open",IF($C520="Conflict","decide "&amp;$A520&amp;": &lt;which version stands&gt;","decide "&amp;$A520&amp;": &lt;outcome&gt;"),IF($K520="Unconfirmed","confirm "&amp;$A520,""))</f>
        <v/>
      </c>
      <c r="P520" s="65" t="str">
        <f aca="false">IF(AND($C520="New",$B520&gt;=WeekStart),$B520+ROW()/100000,"")</f>
        <v/>
      </c>
      <c r="Q520" s="65" t="str">
        <f aca="false">IF(AND($C520="Know",$B520&gt;=WeekStart),$B520+ROW()/100000,"")</f>
        <v/>
      </c>
      <c r="R520" s="65" t="str">
        <f aca="false">IF(AND($K520="Open",$C520="Decision"),$L520+ROW()/100000,"")</f>
        <v/>
      </c>
      <c r="S520" s="65" t="str">
        <f aca="false">IF(AND($J520&lt;&gt;"",$J520=UCSel),$B520+ROW()/100000,"")</f>
        <v/>
      </c>
    </row>
    <row r="521" customFormat="false" ht="15" hidden="false" customHeight="false" outlineLevel="0" collapsed="false">
      <c r="A521" s="28"/>
      <c r="B521" s="63"/>
      <c r="C521" s="64"/>
      <c r="D521" s="28"/>
      <c r="E521" s="28"/>
      <c r="F521" s="28"/>
      <c r="G521" s="64"/>
      <c r="H521" s="64"/>
      <c r="I521" s="28"/>
      <c r="J521" s="28"/>
      <c r="K521" s="65" t="str">
        <f aca="false">IF($A521="","",IF(OR($C521="Decision",$C521="Conflict"),IF(COUNTIFS($I$2:$I$1001,$A521,$C$2:$C$1001,"Resolved")=0,"Open","Closed"),IF(AND($H521="Unconfirmed",OR($C521="New",$C521="Know")),IF(COUNTIFS($I$2:$I$1001,$A521,$C$2:$C$1001,"Confirmed")=0,"Unconfirmed","Confirmed"),"Logged")))</f>
        <v/>
      </c>
      <c r="L521" s="65" t="str">
        <f aca="false">IF($A521="","",AsOf-$B521)</f>
        <v/>
      </c>
      <c r="M521" s="65" t="str">
        <f aca="false">IF($K521="Open",IF($C521="Conflict","Critical",IF($L521&gt;=DecisionCritical,"Critical",IF($L521&gt;=DecisionWarn,"Warning","On track"))),IF($K521="Unconfirmed",IF($L521&gt;=UnconfirmedWarn,"Warning","On track"),""))</f>
        <v/>
      </c>
      <c r="N521" s="65" t="str">
        <f aca="false">IF($M521="","",IF($M521="Critical",3000,IF($M521="Warning",2000,1000))+$L521+ROW()/100000)</f>
        <v/>
      </c>
      <c r="O521" s="65" t="str">
        <f aca="false">IF($K521="Open",IF($C521="Conflict","decide "&amp;$A521&amp;": &lt;which version stands&gt;","decide "&amp;$A521&amp;": &lt;outcome&gt;"),IF($K521="Unconfirmed","confirm "&amp;$A521,""))</f>
        <v/>
      </c>
      <c r="P521" s="65" t="str">
        <f aca="false">IF(AND($C521="New",$B521&gt;=WeekStart),$B521+ROW()/100000,"")</f>
        <v/>
      </c>
      <c r="Q521" s="65" t="str">
        <f aca="false">IF(AND($C521="Know",$B521&gt;=WeekStart),$B521+ROW()/100000,"")</f>
        <v/>
      </c>
      <c r="R521" s="65" t="str">
        <f aca="false">IF(AND($K521="Open",$C521="Decision"),$L521+ROW()/100000,"")</f>
        <v/>
      </c>
      <c r="S521" s="65" t="str">
        <f aca="false">IF(AND($J521&lt;&gt;"",$J521=UCSel),$B521+ROW()/100000,"")</f>
        <v/>
      </c>
    </row>
    <row r="522" customFormat="false" ht="15" hidden="false" customHeight="false" outlineLevel="0" collapsed="false">
      <c r="A522" s="28"/>
      <c r="B522" s="63"/>
      <c r="C522" s="64"/>
      <c r="D522" s="28"/>
      <c r="E522" s="28"/>
      <c r="F522" s="28"/>
      <c r="G522" s="64"/>
      <c r="H522" s="64"/>
      <c r="I522" s="28"/>
      <c r="J522" s="28"/>
      <c r="K522" s="65" t="str">
        <f aca="false">IF($A522="","",IF(OR($C522="Decision",$C522="Conflict"),IF(COUNTIFS($I$2:$I$1001,$A522,$C$2:$C$1001,"Resolved")=0,"Open","Closed"),IF(AND($H522="Unconfirmed",OR($C522="New",$C522="Know")),IF(COUNTIFS($I$2:$I$1001,$A522,$C$2:$C$1001,"Confirmed")=0,"Unconfirmed","Confirmed"),"Logged")))</f>
        <v/>
      </c>
      <c r="L522" s="65" t="str">
        <f aca="false">IF($A522="","",AsOf-$B522)</f>
        <v/>
      </c>
      <c r="M522" s="65" t="str">
        <f aca="false">IF($K522="Open",IF($C522="Conflict","Critical",IF($L522&gt;=DecisionCritical,"Critical",IF($L522&gt;=DecisionWarn,"Warning","On track"))),IF($K522="Unconfirmed",IF($L522&gt;=UnconfirmedWarn,"Warning","On track"),""))</f>
        <v/>
      </c>
      <c r="N522" s="65" t="str">
        <f aca="false">IF($M522="","",IF($M522="Critical",3000,IF($M522="Warning",2000,1000))+$L522+ROW()/100000)</f>
        <v/>
      </c>
      <c r="O522" s="65" t="str">
        <f aca="false">IF($K522="Open",IF($C522="Conflict","decide "&amp;$A522&amp;": &lt;which version stands&gt;","decide "&amp;$A522&amp;": &lt;outcome&gt;"),IF($K522="Unconfirmed","confirm "&amp;$A522,""))</f>
        <v/>
      </c>
      <c r="P522" s="65" t="str">
        <f aca="false">IF(AND($C522="New",$B522&gt;=WeekStart),$B522+ROW()/100000,"")</f>
        <v/>
      </c>
      <c r="Q522" s="65" t="str">
        <f aca="false">IF(AND($C522="Know",$B522&gt;=WeekStart),$B522+ROW()/100000,"")</f>
        <v/>
      </c>
      <c r="R522" s="65" t="str">
        <f aca="false">IF(AND($K522="Open",$C522="Decision"),$L522+ROW()/100000,"")</f>
        <v/>
      </c>
      <c r="S522" s="65" t="str">
        <f aca="false">IF(AND($J522&lt;&gt;"",$J522=UCSel),$B522+ROW()/100000,"")</f>
        <v/>
      </c>
    </row>
    <row r="523" customFormat="false" ht="15" hidden="false" customHeight="false" outlineLevel="0" collapsed="false">
      <c r="A523" s="28"/>
      <c r="B523" s="63"/>
      <c r="C523" s="64"/>
      <c r="D523" s="28"/>
      <c r="E523" s="28"/>
      <c r="F523" s="28"/>
      <c r="G523" s="64"/>
      <c r="H523" s="64"/>
      <c r="I523" s="28"/>
      <c r="J523" s="28"/>
      <c r="K523" s="65" t="str">
        <f aca="false">IF($A523="","",IF(OR($C523="Decision",$C523="Conflict"),IF(COUNTIFS($I$2:$I$1001,$A523,$C$2:$C$1001,"Resolved")=0,"Open","Closed"),IF(AND($H523="Unconfirmed",OR($C523="New",$C523="Know")),IF(COUNTIFS($I$2:$I$1001,$A523,$C$2:$C$1001,"Confirmed")=0,"Unconfirmed","Confirmed"),"Logged")))</f>
        <v/>
      </c>
      <c r="L523" s="65" t="str">
        <f aca="false">IF($A523="","",AsOf-$B523)</f>
        <v/>
      </c>
      <c r="M523" s="65" t="str">
        <f aca="false">IF($K523="Open",IF($C523="Conflict","Critical",IF($L523&gt;=DecisionCritical,"Critical",IF($L523&gt;=DecisionWarn,"Warning","On track"))),IF($K523="Unconfirmed",IF($L523&gt;=UnconfirmedWarn,"Warning","On track"),""))</f>
        <v/>
      </c>
      <c r="N523" s="65" t="str">
        <f aca="false">IF($M523="","",IF($M523="Critical",3000,IF($M523="Warning",2000,1000))+$L523+ROW()/100000)</f>
        <v/>
      </c>
      <c r="O523" s="65" t="str">
        <f aca="false">IF($K523="Open",IF($C523="Conflict","decide "&amp;$A523&amp;": &lt;which version stands&gt;","decide "&amp;$A523&amp;": &lt;outcome&gt;"),IF($K523="Unconfirmed","confirm "&amp;$A523,""))</f>
        <v/>
      </c>
      <c r="P523" s="65" t="str">
        <f aca="false">IF(AND($C523="New",$B523&gt;=WeekStart),$B523+ROW()/100000,"")</f>
        <v/>
      </c>
      <c r="Q523" s="65" t="str">
        <f aca="false">IF(AND($C523="Know",$B523&gt;=WeekStart),$B523+ROW()/100000,"")</f>
        <v/>
      </c>
      <c r="R523" s="65" t="str">
        <f aca="false">IF(AND($K523="Open",$C523="Decision"),$L523+ROW()/100000,"")</f>
        <v/>
      </c>
      <c r="S523" s="65" t="str">
        <f aca="false">IF(AND($J523&lt;&gt;"",$J523=UCSel),$B523+ROW()/100000,"")</f>
        <v/>
      </c>
    </row>
    <row r="524" customFormat="false" ht="15" hidden="false" customHeight="false" outlineLevel="0" collapsed="false">
      <c r="A524" s="28"/>
      <c r="B524" s="63"/>
      <c r="C524" s="64"/>
      <c r="D524" s="28"/>
      <c r="E524" s="28"/>
      <c r="F524" s="28"/>
      <c r="G524" s="64"/>
      <c r="H524" s="64"/>
      <c r="I524" s="28"/>
      <c r="J524" s="28"/>
      <c r="K524" s="65" t="str">
        <f aca="false">IF($A524="","",IF(OR($C524="Decision",$C524="Conflict"),IF(COUNTIFS($I$2:$I$1001,$A524,$C$2:$C$1001,"Resolved")=0,"Open","Closed"),IF(AND($H524="Unconfirmed",OR($C524="New",$C524="Know")),IF(COUNTIFS($I$2:$I$1001,$A524,$C$2:$C$1001,"Confirmed")=0,"Unconfirmed","Confirmed"),"Logged")))</f>
        <v/>
      </c>
      <c r="L524" s="65" t="str">
        <f aca="false">IF($A524="","",AsOf-$B524)</f>
        <v/>
      </c>
      <c r="M524" s="65" t="str">
        <f aca="false">IF($K524="Open",IF($C524="Conflict","Critical",IF($L524&gt;=DecisionCritical,"Critical",IF($L524&gt;=DecisionWarn,"Warning","On track"))),IF($K524="Unconfirmed",IF($L524&gt;=UnconfirmedWarn,"Warning","On track"),""))</f>
        <v/>
      </c>
      <c r="N524" s="65" t="str">
        <f aca="false">IF($M524="","",IF($M524="Critical",3000,IF($M524="Warning",2000,1000))+$L524+ROW()/100000)</f>
        <v/>
      </c>
      <c r="O524" s="65" t="str">
        <f aca="false">IF($K524="Open",IF($C524="Conflict","decide "&amp;$A524&amp;": &lt;which version stands&gt;","decide "&amp;$A524&amp;": &lt;outcome&gt;"),IF($K524="Unconfirmed","confirm "&amp;$A524,""))</f>
        <v/>
      </c>
      <c r="P524" s="65" t="str">
        <f aca="false">IF(AND($C524="New",$B524&gt;=WeekStart),$B524+ROW()/100000,"")</f>
        <v/>
      </c>
      <c r="Q524" s="65" t="str">
        <f aca="false">IF(AND($C524="Know",$B524&gt;=WeekStart),$B524+ROW()/100000,"")</f>
        <v/>
      </c>
      <c r="R524" s="65" t="str">
        <f aca="false">IF(AND($K524="Open",$C524="Decision"),$L524+ROW()/100000,"")</f>
        <v/>
      </c>
      <c r="S524" s="65" t="str">
        <f aca="false">IF(AND($J524&lt;&gt;"",$J524=UCSel),$B524+ROW()/100000,"")</f>
        <v/>
      </c>
    </row>
    <row r="525" customFormat="false" ht="15" hidden="false" customHeight="false" outlineLevel="0" collapsed="false">
      <c r="A525" s="28"/>
      <c r="B525" s="63"/>
      <c r="C525" s="64"/>
      <c r="D525" s="28"/>
      <c r="E525" s="28"/>
      <c r="F525" s="28"/>
      <c r="G525" s="64"/>
      <c r="H525" s="64"/>
      <c r="I525" s="28"/>
      <c r="J525" s="28"/>
      <c r="K525" s="65" t="str">
        <f aca="false">IF($A525="","",IF(OR($C525="Decision",$C525="Conflict"),IF(COUNTIFS($I$2:$I$1001,$A525,$C$2:$C$1001,"Resolved")=0,"Open","Closed"),IF(AND($H525="Unconfirmed",OR($C525="New",$C525="Know")),IF(COUNTIFS($I$2:$I$1001,$A525,$C$2:$C$1001,"Confirmed")=0,"Unconfirmed","Confirmed"),"Logged")))</f>
        <v/>
      </c>
      <c r="L525" s="65" t="str">
        <f aca="false">IF($A525="","",AsOf-$B525)</f>
        <v/>
      </c>
      <c r="M525" s="65" t="str">
        <f aca="false">IF($K525="Open",IF($C525="Conflict","Critical",IF($L525&gt;=DecisionCritical,"Critical",IF($L525&gt;=DecisionWarn,"Warning","On track"))),IF($K525="Unconfirmed",IF($L525&gt;=UnconfirmedWarn,"Warning","On track"),""))</f>
        <v/>
      </c>
      <c r="N525" s="65" t="str">
        <f aca="false">IF($M525="","",IF($M525="Critical",3000,IF($M525="Warning",2000,1000))+$L525+ROW()/100000)</f>
        <v/>
      </c>
      <c r="O525" s="65" t="str">
        <f aca="false">IF($K525="Open",IF($C525="Conflict","decide "&amp;$A525&amp;": &lt;which version stands&gt;","decide "&amp;$A525&amp;": &lt;outcome&gt;"),IF($K525="Unconfirmed","confirm "&amp;$A525,""))</f>
        <v/>
      </c>
      <c r="P525" s="65" t="str">
        <f aca="false">IF(AND($C525="New",$B525&gt;=WeekStart),$B525+ROW()/100000,"")</f>
        <v/>
      </c>
      <c r="Q525" s="65" t="str">
        <f aca="false">IF(AND($C525="Know",$B525&gt;=WeekStart),$B525+ROW()/100000,"")</f>
        <v/>
      </c>
      <c r="R525" s="65" t="str">
        <f aca="false">IF(AND($K525="Open",$C525="Decision"),$L525+ROW()/100000,"")</f>
        <v/>
      </c>
      <c r="S525" s="65" t="str">
        <f aca="false">IF(AND($J525&lt;&gt;"",$J525=UCSel),$B525+ROW()/100000,"")</f>
        <v/>
      </c>
    </row>
    <row r="526" customFormat="false" ht="15" hidden="false" customHeight="false" outlineLevel="0" collapsed="false">
      <c r="A526" s="28"/>
      <c r="B526" s="63"/>
      <c r="C526" s="64"/>
      <c r="D526" s="28"/>
      <c r="E526" s="28"/>
      <c r="F526" s="28"/>
      <c r="G526" s="64"/>
      <c r="H526" s="64"/>
      <c r="I526" s="28"/>
      <c r="J526" s="28"/>
      <c r="K526" s="65" t="str">
        <f aca="false">IF($A526="","",IF(OR($C526="Decision",$C526="Conflict"),IF(COUNTIFS($I$2:$I$1001,$A526,$C$2:$C$1001,"Resolved")=0,"Open","Closed"),IF(AND($H526="Unconfirmed",OR($C526="New",$C526="Know")),IF(COUNTIFS($I$2:$I$1001,$A526,$C$2:$C$1001,"Confirmed")=0,"Unconfirmed","Confirmed"),"Logged")))</f>
        <v/>
      </c>
      <c r="L526" s="65" t="str">
        <f aca="false">IF($A526="","",AsOf-$B526)</f>
        <v/>
      </c>
      <c r="M526" s="65" t="str">
        <f aca="false">IF($K526="Open",IF($C526="Conflict","Critical",IF($L526&gt;=DecisionCritical,"Critical",IF($L526&gt;=DecisionWarn,"Warning","On track"))),IF($K526="Unconfirmed",IF($L526&gt;=UnconfirmedWarn,"Warning","On track"),""))</f>
        <v/>
      </c>
      <c r="N526" s="65" t="str">
        <f aca="false">IF($M526="","",IF($M526="Critical",3000,IF($M526="Warning",2000,1000))+$L526+ROW()/100000)</f>
        <v/>
      </c>
      <c r="O526" s="65" t="str">
        <f aca="false">IF($K526="Open",IF($C526="Conflict","decide "&amp;$A526&amp;": &lt;which version stands&gt;","decide "&amp;$A526&amp;": &lt;outcome&gt;"),IF($K526="Unconfirmed","confirm "&amp;$A526,""))</f>
        <v/>
      </c>
      <c r="P526" s="65" t="str">
        <f aca="false">IF(AND($C526="New",$B526&gt;=WeekStart),$B526+ROW()/100000,"")</f>
        <v/>
      </c>
      <c r="Q526" s="65" t="str">
        <f aca="false">IF(AND($C526="Know",$B526&gt;=WeekStart),$B526+ROW()/100000,"")</f>
        <v/>
      </c>
      <c r="R526" s="65" t="str">
        <f aca="false">IF(AND($K526="Open",$C526="Decision"),$L526+ROW()/100000,"")</f>
        <v/>
      </c>
      <c r="S526" s="65" t="str">
        <f aca="false">IF(AND($J526&lt;&gt;"",$J526=UCSel),$B526+ROW()/100000,"")</f>
        <v/>
      </c>
    </row>
    <row r="527" customFormat="false" ht="15" hidden="false" customHeight="false" outlineLevel="0" collapsed="false">
      <c r="A527" s="28"/>
      <c r="B527" s="63"/>
      <c r="C527" s="64"/>
      <c r="D527" s="28"/>
      <c r="E527" s="28"/>
      <c r="F527" s="28"/>
      <c r="G527" s="64"/>
      <c r="H527" s="64"/>
      <c r="I527" s="28"/>
      <c r="J527" s="28"/>
      <c r="K527" s="65" t="str">
        <f aca="false">IF($A527="","",IF(OR($C527="Decision",$C527="Conflict"),IF(COUNTIFS($I$2:$I$1001,$A527,$C$2:$C$1001,"Resolved")=0,"Open","Closed"),IF(AND($H527="Unconfirmed",OR($C527="New",$C527="Know")),IF(COUNTIFS($I$2:$I$1001,$A527,$C$2:$C$1001,"Confirmed")=0,"Unconfirmed","Confirmed"),"Logged")))</f>
        <v/>
      </c>
      <c r="L527" s="65" t="str">
        <f aca="false">IF($A527="","",AsOf-$B527)</f>
        <v/>
      </c>
      <c r="M527" s="65" t="str">
        <f aca="false">IF($K527="Open",IF($C527="Conflict","Critical",IF($L527&gt;=DecisionCritical,"Critical",IF($L527&gt;=DecisionWarn,"Warning","On track"))),IF($K527="Unconfirmed",IF($L527&gt;=UnconfirmedWarn,"Warning","On track"),""))</f>
        <v/>
      </c>
      <c r="N527" s="65" t="str">
        <f aca="false">IF($M527="","",IF($M527="Critical",3000,IF($M527="Warning",2000,1000))+$L527+ROW()/100000)</f>
        <v/>
      </c>
      <c r="O527" s="65" t="str">
        <f aca="false">IF($K527="Open",IF($C527="Conflict","decide "&amp;$A527&amp;": &lt;which version stands&gt;","decide "&amp;$A527&amp;": &lt;outcome&gt;"),IF($K527="Unconfirmed","confirm "&amp;$A527,""))</f>
        <v/>
      </c>
      <c r="P527" s="65" t="str">
        <f aca="false">IF(AND($C527="New",$B527&gt;=WeekStart),$B527+ROW()/100000,"")</f>
        <v/>
      </c>
      <c r="Q527" s="65" t="str">
        <f aca="false">IF(AND($C527="Know",$B527&gt;=WeekStart),$B527+ROW()/100000,"")</f>
        <v/>
      </c>
      <c r="R527" s="65" t="str">
        <f aca="false">IF(AND($K527="Open",$C527="Decision"),$L527+ROW()/100000,"")</f>
        <v/>
      </c>
      <c r="S527" s="65" t="str">
        <f aca="false">IF(AND($J527&lt;&gt;"",$J527=UCSel),$B527+ROW()/100000,"")</f>
        <v/>
      </c>
    </row>
    <row r="528" customFormat="false" ht="15" hidden="false" customHeight="false" outlineLevel="0" collapsed="false">
      <c r="A528" s="28"/>
      <c r="B528" s="63"/>
      <c r="C528" s="64"/>
      <c r="D528" s="28"/>
      <c r="E528" s="28"/>
      <c r="F528" s="28"/>
      <c r="G528" s="64"/>
      <c r="H528" s="64"/>
      <c r="I528" s="28"/>
      <c r="J528" s="28"/>
      <c r="K528" s="65" t="str">
        <f aca="false">IF($A528="","",IF(OR($C528="Decision",$C528="Conflict"),IF(COUNTIFS($I$2:$I$1001,$A528,$C$2:$C$1001,"Resolved")=0,"Open","Closed"),IF(AND($H528="Unconfirmed",OR($C528="New",$C528="Know")),IF(COUNTIFS($I$2:$I$1001,$A528,$C$2:$C$1001,"Confirmed")=0,"Unconfirmed","Confirmed"),"Logged")))</f>
        <v/>
      </c>
      <c r="L528" s="65" t="str">
        <f aca="false">IF($A528="","",AsOf-$B528)</f>
        <v/>
      </c>
      <c r="M528" s="65" t="str">
        <f aca="false">IF($K528="Open",IF($C528="Conflict","Critical",IF($L528&gt;=DecisionCritical,"Critical",IF($L528&gt;=DecisionWarn,"Warning","On track"))),IF($K528="Unconfirmed",IF($L528&gt;=UnconfirmedWarn,"Warning","On track"),""))</f>
        <v/>
      </c>
      <c r="N528" s="65" t="str">
        <f aca="false">IF($M528="","",IF($M528="Critical",3000,IF($M528="Warning",2000,1000))+$L528+ROW()/100000)</f>
        <v/>
      </c>
      <c r="O528" s="65" t="str">
        <f aca="false">IF($K528="Open",IF($C528="Conflict","decide "&amp;$A528&amp;": &lt;which version stands&gt;","decide "&amp;$A528&amp;": &lt;outcome&gt;"),IF($K528="Unconfirmed","confirm "&amp;$A528,""))</f>
        <v/>
      </c>
      <c r="P528" s="65" t="str">
        <f aca="false">IF(AND($C528="New",$B528&gt;=WeekStart),$B528+ROW()/100000,"")</f>
        <v/>
      </c>
      <c r="Q528" s="65" t="str">
        <f aca="false">IF(AND($C528="Know",$B528&gt;=WeekStart),$B528+ROW()/100000,"")</f>
        <v/>
      </c>
      <c r="R528" s="65" t="str">
        <f aca="false">IF(AND($K528="Open",$C528="Decision"),$L528+ROW()/100000,"")</f>
        <v/>
      </c>
      <c r="S528" s="65" t="str">
        <f aca="false">IF(AND($J528&lt;&gt;"",$J528=UCSel),$B528+ROW()/100000,"")</f>
        <v/>
      </c>
    </row>
    <row r="529" customFormat="false" ht="15" hidden="false" customHeight="false" outlineLevel="0" collapsed="false">
      <c r="A529" s="28"/>
      <c r="B529" s="63"/>
      <c r="C529" s="64"/>
      <c r="D529" s="28"/>
      <c r="E529" s="28"/>
      <c r="F529" s="28"/>
      <c r="G529" s="64"/>
      <c r="H529" s="64"/>
      <c r="I529" s="28"/>
      <c r="J529" s="28"/>
      <c r="K529" s="65" t="str">
        <f aca="false">IF($A529="","",IF(OR($C529="Decision",$C529="Conflict"),IF(COUNTIFS($I$2:$I$1001,$A529,$C$2:$C$1001,"Resolved")=0,"Open","Closed"),IF(AND($H529="Unconfirmed",OR($C529="New",$C529="Know")),IF(COUNTIFS($I$2:$I$1001,$A529,$C$2:$C$1001,"Confirmed")=0,"Unconfirmed","Confirmed"),"Logged")))</f>
        <v/>
      </c>
      <c r="L529" s="65" t="str">
        <f aca="false">IF($A529="","",AsOf-$B529)</f>
        <v/>
      </c>
      <c r="M529" s="65" t="str">
        <f aca="false">IF($K529="Open",IF($C529="Conflict","Critical",IF($L529&gt;=DecisionCritical,"Critical",IF($L529&gt;=DecisionWarn,"Warning","On track"))),IF($K529="Unconfirmed",IF($L529&gt;=UnconfirmedWarn,"Warning","On track"),""))</f>
        <v/>
      </c>
      <c r="N529" s="65" t="str">
        <f aca="false">IF($M529="","",IF($M529="Critical",3000,IF($M529="Warning",2000,1000))+$L529+ROW()/100000)</f>
        <v/>
      </c>
      <c r="O529" s="65" t="str">
        <f aca="false">IF($K529="Open",IF($C529="Conflict","decide "&amp;$A529&amp;": &lt;which version stands&gt;","decide "&amp;$A529&amp;": &lt;outcome&gt;"),IF($K529="Unconfirmed","confirm "&amp;$A529,""))</f>
        <v/>
      </c>
      <c r="P529" s="65" t="str">
        <f aca="false">IF(AND($C529="New",$B529&gt;=WeekStart),$B529+ROW()/100000,"")</f>
        <v/>
      </c>
      <c r="Q529" s="65" t="str">
        <f aca="false">IF(AND($C529="Know",$B529&gt;=WeekStart),$B529+ROW()/100000,"")</f>
        <v/>
      </c>
      <c r="R529" s="65" t="str">
        <f aca="false">IF(AND($K529="Open",$C529="Decision"),$L529+ROW()/100000,"")</f>
        <v/>
      </c>
      <c r="S529" s="65" t="str">
        <f aca="false">IF(AND($J529&lt;&gt;"",$J529=UCSel),$B529+ROW()/100000,"")</f>
        <v/>
      </c>
    </row>
    <row r="530" customFormat="false" ht="15" hidden="false" customHeight="false" outlineLevel="0" collapsed="false">
      <c r="A530" s="28"/>
      <c r="B530" s="63"/>
      <c r="C530" s="64"/>
      <c r="D530" s="28"/>
      <c r="E530" s="28"/>
      <c r="F530" s="28"/>
      <c r="G530" s="64"/>
      <c r="H530" s="64"/>
      <c r="I530" s="28"/>
      <c r="J530" s="28"/>
      <c r="K530" s="65" t="str">
        <f aca="false">IF($A530="","",IF(OR($C530="Decision",$C530="Conflict"),IF(COUNTIFS($I$2:$I$1001,$A530,$C$2:$C$1001,"Resolved")=0,"Open","Closed"),IF(AND($H530="Unconfirmed",OR($C530="New",$C530="Know")),IF(COUNTIFS($I$2:$I$1001,$A530,$C$2:$C$1001,"Confirmed")=0,"Unconfirmed","Confirmed"),"Logged")))</f>
        <v/>
      </c>
      <c r="L530" s="65" t="str">
        <f aca="false">IF($A530="","",AsOf-$B530)</f>
        <v/>
      </c>
      <c r="M530" s="65" t="str">
        <f aca="false">IF($K530="Open",IF($C530="Conflict","Critical",IF($L530&gt;=DecisionCritical,"Critical",IF($L530&gt;=DecisionWarn,"Warning","On track"))),IF($K530="Unconfirmed",IF($L530&gt;=UnconfirmedWarn,"Warning","On track"),""))</f>
        <v/>
      </c>
      <c r="N530" s="65" t="str">
        <f aca="false">IF($M530="","",IF($M530="Critical",3000,IF($M530="Warning",2000,1000))+$L530+ROW()/100000)</f>
        <v/>
      </c>
      <c r="O530" s="65" t="str">
        <f aca="false">IF($K530="Open",IF($C530="Conflict","decide "&amp;$A530&amp;": &lt;which version stands&gt;","decide "&amp;$A530&amp;": &lt;outcome&gt;"),IF($K530="Unconfirmed","confirm "&amp;$A530,""))</f>
        <v/>
      </c>
      <c r="P530" s="65" t="str">
        <f aca="false">IF(AND($C530="New",$B530&gt;=WeekStart),$B530+ROW()/100000,"")</f>
        <v/>
      </c>
      <c r="Q530" s="65" t="str">
        <f aca="false">IF(AND($C530="Know",$B530&gt;=WeekStart),$B530+ROW()/100000,"")</f>
        <v/>
      </c>
      <c r="R530" s="65" t="str">
        <f aca="false">IF(AND($K530="Open",$C530="Decision"),$L530+ROW()/100000,"")</f>
        <v/>
      </c>
      <c r="S530" s="65" t="str">
        <f aca="false">IF(AND($J530&lt;&gt;"",$J530=UCSel),$B530+ROW()/100000,"")</f>
        <v/>
      </c>
    </row>
    <row r="531" customFormat="false" ht="15" hidden="false" customHeight="false" outlineLevel="0" collapsed="false">
      <c r="A531" s="28"/>
      <c r="B531" s="63"/>
      <c r="C531" s="64"/>
      <c r="D531" s="28"/>
      <c r="E531" s="28"/>
      <c r="F531" s="28"/>
      <c r="G531" s="64"/>
      <c r="H531" s="64"/>
      <c r="I531" s="28"/>
      <c r="J531" s="28"/>
      <c r="K531" s="65" t="str">
        <f aca="false">IF($A531="","",IF(OR($C531="Decision",$C531="Conflict"),IF(COUNTIFS($I$2:$I$1001,$A531,$C$2:$C$1001,"Resolved")=0,"Open","Closed"),IF(AND($H531="Unconfirmed",OR($C531="New",$C531="Know")),IF(COUNTIFS($I$2:$I$1001,$A531,$C$2:$C$1001,"Confirmed")=0,"Unconfirmed","Confirmed"),"Logged")))</f>
        <v/>
      </c>
      <c r="L531" s="65" t="str">
        <f aca="false">IF($A531="","",AsOf-$B531)</f>
        <v/>
      </c>
      <c r="M531" s="65" t="str">
        <f aca="false">IF($K531="Open",IF($C531="Conflict","Critical",IF($L531&gt;=DecisionCritical,"Critical",IF($L531&gt;=DecisionWarn,"Warning","On track"))),IF($K531="Unconfirmed",IF($L531&gt;=UnconfirmedWarn,"Warning","On track"),""))</f>
        <v/>
      </c>
      <c r="N531" s="65" t="str">
        <f aca="false">IF($M531="","",IF($M531="Critical",3000,IF($M531="Warning",2000,1000))+$L531+ROW()/100000)</f>
        <v/>
      </c>
      <c r="O531" s="65" t="str">
        <f aca="false">IF($K531="Open",IF($C531="Conflict","decide "&amp;$A531&amp;": &lt;which version stands&gt;","decide "&amp;$A531&amp;": &lt;outcome&gt;"),IF($K531="Unconfirmed","confirm "&amp;$A531,""))</f>
        <v/>
      </c>
      <c r="P531" s="65" t="str">
        <f aca="false">IF(AND($C531="New",$B531&gt;=WeekStart),$B531+ROW()/100000,"")</f>
        <v/>
      </c>
      <c r="Q531" s="65" t="str">
        <f aca="false">IF(AND($C531="Know",$B531&gt;=WeekStart),$B531+ROW()/100000,"")</f>
        <v/>
      </c>
      <c r="R531" s="65" t="str">
        <f aca="false">IF(AND($K531="Open",$C531="Decision"),$L531+ROW()/100000,"")</f>
        <v/>
      </c>
      <c r="S531" s="65" t="str">
        <f aca="false">IF(AND($J531&lt;&gt;"",$J531=UCSel),$B531+ROW()/100000,"")</f>
        <v/>
      </c>
    </row>
    <row r="532" customFormat="false" ht="15" hidden="false" customHeight="false" outlineLevel="0" collapsed="false">
      <c r="A532" s="28"/>
      <c r="B532" s="63"/>
      <c r="C532" s="64"/>
      <c r="D532" s="28"/>
      <c r="E532" s="28"/>
      <c r="F532" s="28"/>
      <c r="G532" s="64"/>
      <c r="H532" s="64"/>
      <c r="I532" s="28"/>
      <c r="J532" s="28"/>
      <c r="K532" s="65" t="str">
        <f aca="false">IF($A532="","",IF(OR($C532="Decision",$C532="Conflict"),IF(COUNTIFS($I$2:$I$1001,$A532,$C$2:$C$1001,"Resolved")=0,"Open","Closed"),IF(AND($H532="Unconfirmed",OR($C532="New",$C532="Know")),IF(COUNTIFS($I$2:$I$1001,$A532,$C$2:$C$1001,"Confirmed")=0,"Unconfirmed","Confirmed"),"Logged")))</f>
        <v/>
      </c>
      <c r="L532" s="65" t="str">
        <f aca="false">IF($A532="","",AsOf-$B532)</f>
        <v/>
      </c>
      <c r="M532" s="65" t="str">
        <f aca="false">IF($K532="Open",IF($C532="Conflict","Critical",IF($L532&gt;=DecisionCritical,"Critical",IF($L532&gt;=DecisionWarn,"Warning","On track"))),IF($K532="Unconfirmed",IF($L532&gt;=UnconfirmedWarn,"Warning","On track"),""))</f>
        <v/>
      </c>
      <c r="N532" s="65" t="str">
        <f aca="false">IF($M532="","",IF($M532="Critical",3000,IF($M532="Warning",2000,1000))+$L532+ROW()/100000)</f>
        <v/>
      </c>
      <c r="O532" s="65" t="str">
        <f aca="false">IF($K532="Open",IF($C532="Conflict","decide "&amp;$A532&amp;": &lt;which version stands&gt;","decide "&amp;$A532&amp;": &lt;outcome&gt;"),IF($K532="Unconfirmed","confirm "&amp;$A532,""))</f>
        <v/>
      </c>
      <c r="P532" s="65" t="str">
        <f aca="false">IF(AND($C532="New",$B532&gt;=WeekStart),$B532+ROW()/100000,"")</f>
        <v/>
      </c>
      <c r="Q532" s="65" t="str">
        <f aca="false">IF(AND($C532="Know",$B532&gt;=WeekStart),$B532+ROW()/100000,"")</f>
        <v/>
      </c>
      <c r="R532" s="65" t="str">
        <f aca="false">IF(AND($K532="Open",$C532="Decision"),$L532+ROW()/100000,"")</f>
        <v/>
      </c>
      <c r="S532" s="65" t="str">
        <f aca="false">IF(AND($J532&lt;&gt;"",$J532=UCSel),$B532+ROW()/100000,"")</f>
        <v/>
      </c>
    </row>
    <row r="533" customFormat="false" ht="15" hidden="false" customHeight="false" outlineLevel="0" collapsed="false">
      <c r="A533" s="28"/>
      <c r="B533" s="63"/>
      <c r="C533" s="64"/>
      <c r="D533" s="28"/>
      <c r="E533" s="28"/>
      <c r="F533" s="28"/>
      <c r="G533" s="64"/>
      <c r="H533" s="64"/>
      <c r="I533" s="28"/>
      <c r="J533" s="28"/>
      <c r="K533" s="65" t="str">
        <f aca="false">IF($A533="","",IF(OR($C533="Decision",$C533="Conflict"),IF(COUNTIFS($I$2:$I$1001,$A533,$C$2:$C$1001,"Resolved")=0,"Open","Closed"),IF(AND($H533="Unconfirmed",OR($C533="New",$C533="Know")),IF(COUNTIFS($I$2:$I$1001,$A533,$C$2:$C$1001,"Confirmed")=0,"Unconfirmed","Confirmed"),"Logged")))</f>
        <v/>
      </c>
      <c r="L533" s="65" t="str">
        <f aca="false">IF($A533="","",AsOf-$B533)</f>
        <v/>
      </c>
      <c r="M533" s="65" t="str">
        <f aca="false">IF($K533="Open",IF($C533="Conflict","Critical",IF($L533&gt;=DecisionCritical,"Critical",IF($L533&gt;=DecisionWarn,"Warning","On track"))),IF($K533="Unconfirmed",IF($L533&gt;=UnconfirmedWarn,"Warning","On track"),""))</f>
        <v/>
      </c>
      <c r="N533" s="65" t="str">
        <f aca="false">IF($M533="","",IF($M533="Critical",3000,IF($M533="Warning",2000,1000))+$L533+ROW()/100000)</f>
        <v/>
      </c>
      <c r="O533" s="65" t="str">
        <f aca="false">IF($K533="Open",IF($C533="Conflict","decide "&amp;$A533&amp;": &lt;which version stands&gt;","decide "&amp;$A533&amp;": &lt;outcome&gt;"),IF($K533="Unconfirmed","confirm "&amp;$A533,""))</f>
        <v/>
      </c>
      <c r="P533" s="65" t="str">
        <f aca="false">IF(AND($C533="New",$B533&gt;=WeekStart),$B533+ROW()/100000,"")</f>
        <v/>
      </c>
      <c r="Q533" s="65" t="str">
        <f aca="false">IF(AND($C533="Know",$B533&gt;=WeekStart),$B533+ROW()/100000,"")</f>
        <v/>
      </c>
      <c r="R533" s="65" t="str">
        <f aca="false">IF(AND($K533="Open",$C533="Decision"),$L533+ROW()/100000,"")</f>
        <v/>
      </c>
      <c r="S533" s="65" t="str">
        <f aca="false">IF(AND($J533&lt;&gt;"",$J533=UCSel),$B533+ROW()/100000,"")</f>
        <v/>
      </c>
    </row>
    <row r="534" customFormat="false" ht="15" hidden="false" customHeight="false" outlineLevel="0" collapsed="false">
      <c r="A534" s="28"/>
      <c r="B534" s="63"/>
      <c r="C534" s="64"/>
      <c r="D534" s="28"/>
      <c r="E534" s="28"/>
      <c r="F534" s="28"/>
      <c r="G534" s="64"/>
      <c r="H534" s="64"/>
      <c r="I534" s="28"/>
      <c r="J534" s="28"/>
      <c r="K534" s="65" t="str">
        <f aca="false">IF($A534="","",IF(OR($C534="Decision",$C534="Conflict"),IF(COUNTIFS($I$2:$I$1001,$A534,$C$2:$C$1001,"Resolved")=0,"Open","Closed"),IF(AND($H534="Unconfirmed",OR($C534="New",$C534="Know")),IF(COUNTIFS($I$2:$I$1001,$A534,$C$2:$C$1001,"Confirmed")=0,"Unconfirmed","Confirmed"),"Logged")))</f>
        <v/>
      </c>
      <c r="L534" s="65" t="str">
        <f aca="false">IF($A534="","",AsOf-$B534)</f>
        <v/>
      </c>
      <c r="M534" s="65" t="str">
        <f aca="false">IF($K534="Open",IF($C534="Conflict","Critical",IF($L534&gt;=DecisionCritical,"Critical",IF($L534&gt;=DecisionWarn,"Warning","On track"))),IF($K534="Unconfirmed",IF($L534&gt;=UnconfirmedWarn,"Warning","On track"),""))</f>
        <v/>
      </c>
      <c r="N534" s="65" t="str">
        <f aca="false">IF($M534="","",IF($M534="Critical",3000,IF($M534="Warning",2000,1000))+$L534+ROW()/100000)</f>
        <v/>
      </c>
      <c r="O534" s="65" t="str">
        <f aca="false">IF($K534="Open",IF($C534="Conflict","decide "&amp;$A534&amp;": &lt;which version stands&gt;","decide "&amp;$A534&amp;": &lt;outcome&gt;"),IF($K534="Unconfirmed","confirm "&amp;$A534,""))</f>
        <v/>
      </c>
      <c r="P534" s="65" t="str">
        <f aca="false">IF(AND($C534="New",$B534&gt;=WeekStart),$B534+ROW()/100000,"")</f>
        <v/>
      </c>
      <c r="Q534" s="65" t="str">
        <f aca="false">IF(AND($C534="Know",$B534&gt;=WeekStart),$B534+ROW()/100000,"")</f>
        <v/>
      </c>
      <c r="R534" s="65" t="str">
        <f aca="false">IF(AND($K534="Open",$C534="Decision"),$L534+ROW()/100000,"")</f>
        <v/>
      </c>
      <c r="S534" s="65" t="str">
        <f aca="false">IF(AND($J534&lt;&gt;"",$J534=UCSel),$B534+ROW()/100000,"")</f>
        <v/>
      </c>
    </row>
    <row r="535" customFormat="false" ht="15" hidden="false" customHeight="false" outlineLevel="0" collapsed="false">
      <c r="A535" s="28"/>
      <c r="B535" s="63"/>
      <c r="C535" s="64"/>
      <c r="D535" s="28"/>
      <c r="E535" s="28"/>
      <c r="F535" s="28"/>
      <c r="G535" s="64"/>
      <c r="H535" s="64"/>
      <c r="I535" s="28"/>
      <c r="J535" s="28"/>
      <c r="K535" s="65" t="str">
        <f aca="false">IF($A535="","",IF(OR($C535="Decision",$C535="Conflict"),IF(COUNTIFS($I$2:$I$1001,$A535,$C$2:$C$1001,"Resolved")=0,"Open","Closed"),IF(AND($H535="Unconfirmed",OR($C535="New",$C535="Know")),IF(COUNTIFS($I$2:$I$1001,$A535,$C$2:$C$1001,"Confirmed")=0,"Unconfirmed","Confirmed"),"Logged")))</f>
        <v/>
      </c>
      <c r="L535" s="65" t="str">
        <f aca="false">IF($A535="","",AsOf-$B535)</f>
        <v/>
      </c>
      <c r="M535" s="65" t="str">
        <f aca="false">IF($K535="Open",IF($C535="Conflict","Critical",IF($L535&gt;=DecisionCritical,"Critical",IF($L535&gt;=DecisionWarn,"Warning","On track"))),IF($K535="Unconfirmed",IF($L535&gt;=UnconfirmedWarn,"Warning","On track"),""))</f>
        <v/>
      </c>
      <c r="N535" s="65" t="str">
        <f aca="false">IF($M535="","",IF($M535="Critical",3000,IF($M535="Warning",2000,1000))+$L535+ROW()/100000)</f>
        <v/>
      </c>
      <c r="O535" s="65" t="str">
        <f aca="false">IF($K535="Open",IF($C535="Conflict","decide "&amp;$A535&amp;": &lt;which version stands&gt;","decide "&amp;$A535&amp;": &lt;outcome&gt;"),IF($K535="Unconfirmed","confirm "&amp;$A535,""))</f>
        <v/>
      </c>
      <c r="P535" s="65" t="str">
        <f aca="false">IF(AND($C535="New",$B535&gt;=WeekStart),$B535+ROW()/100000,"")</f>
        <v/>
      </c>
      <c r="Q535" s="65" t="str">
        <f aca="false">IF(AND($C535="Know",$B535&gt;=WeekStart),$B535+ROW()/100000,"")</f>
        <v/>
      </c>
      <c r="R535" s="65" t="str">
        <f aca="false">IF(AND($K535="Open",$C535="Decision"),$L535+ROW()/100000,"")</f>
        <v/>
      </c>
      <c r="S535" s="65" t="str">
        <f aca="false">IF(AND($J535&lt;&gt;"",$J535=UCSel),$B535+ROW()/100000,"")</f>
        <v/>
      </c>
    </row>
    <row r="536" customFormat="false" ht="15" hidden="false" customHeight="false" outlineLevel="0" collapsed="false">
      <c r="A536" s="28"/>
      <c r="B536" s="63"/>
      <c r="C536" s="64"/>
      <c r="D536" s="28"/>
      <c r="E536" s="28"/>
      <c r="F536" s="28"/>
      <c r="G536" s="64"/>
      <c r="H536" s="64"/>
      <c r="I536" s="28"/>
      <c r="J536" s="28"/>
      <c r="K536" s="65" t="str">
        <f aca="false">IF($A536="","",IF(OR($C536="Decision",$C536="Conflict"),IF(COUNTIFS($I$2:$I$1001,$A536,$C$2:$C$1001,"Resolved")=0,"Open","Closed"),IF(AND($H536="Unconfirmed",OR($C536="New",$C536="Know")),IF(COUNTIFS($I$2:$I$1001,$A536,$C$2:$C$1001,"Confirmed")=0,"Unconfirmed","Confirmed"),"Logged")))</f>
        <v/>
      </c>
      <c r="L536" s="65" t="str">
        <f aca="false">IF($A536="","",AsOf-$B536)</f>
        <v/>
      </c>
      <c r="M536" s="65" t="str">
        <f aca="false">IF($K536="Open",IF($C536="Conflict","Critical",IF($L536&gt;=DecisionCritical,"Critical",IF($L536&gt;=DecisionWarn,"Warning","On track"))),IF($K536="Unconfirmed",IF($L536&gt;=UnconfirmedWarn,"Warning","On track"),""))</f>
        <v/>
      </c>
      <c r="N536" s="65" t="str">
        <f aca="false">IF($M536="","",IF($M536="Critical",3000,IF($M536="Warning",2000,1000))+$L536+ROW()/100000)</f>
        <v/>
      </c>
      <c r="O536" s="65" t="str">
        <f aca="false">IF($K536="Open",IF($C536="Conflict","decide "&amp;$A536&amp;": &lt;which version stands&gt;","decide "&amp;$A536&amp;": &lt;outcome&gt;"),IF($K536="Unconfirmed","confirm "&amp;$A536,""))</f>
        <v/>
      </c>
      <c r="P536" s="65" t="str">
        <f aca="false">IF(AND($C536="New",$B536&gt;=WeekStart),$B536+ROW()/100000,"")</f>
        <v/>
      </c>
      <c r="Q536" s="65" t="str">
        <f aca="false">IF(AND($C536="Know",$B536&gt;=WeekStart),$B536+ROW()/100000,"")</f>
        <v/>
      </c>
      <c r="R536" s="65" t="str">
        <f aca="false">IF(AND($K536="Open",$C536="Decision"),$L536+ROW()/100000,"")</f>
        <v/>
      </c>
      <c r="S536" s="65" t="str">
        <f aca="false">IF(AND($J536&lt;&gt;"",$J536=UCSel),$B536+ROW()/100000,"")</f>
        <v/>
      </c>
    </row>
    <row r="537" customFormat="false" ht="15" hidden="false" customHeight="false" outlineLevel="0" collapsed="false">
      <c r="A537" s="28"/>
      <c r="B537" s="63"/>
      <c r="C537" s="64"/>
      <c r="D537" s="28"/>
      <c r="E537" s="28"/>
      <c r="F537" s="28"/>
      <c r="G537" s="64"/>
      <c r="H537" s="64"/>
      <c r="I537" s="28"/>
      <c r="J537" s="28"/>
      <c r="K537" s="65" t="str">
        <f aca="false">IF($A537="","",IF(OR($C537="Decision",$C537="Conflict"),IF(COUNTIFS($I$2:$I$1001,$A537,$C$2:$C$1001,"Resolved")=0,"Open","Closed"),IF(AND($H537="Unconfirmed",OR($C537="New",$C537="Know")),IF(COUNTIFS($I$2:$I$1001,$A537,$C$2:$C$1001,"Confirmed")=0,"Unconfirmed","Confirmed"),"Logged")))</f>
        <v/>
      </c>
      <c r="L537" s="65" t="str">
        <f aca="false">IF($A537="","",AsOf-$B537)</f>
        <v/>
      </c>
      <c r="M537" s="65" t="str">
        <f aca="false">IF($K537="Open",IF($C537="Conflict","Critical",IF($L537&gt;=DecisionCritical,"Critical",IF($L537&gt;=DecisionWarn,"Warning","On track"))),IF($K537="Unconfirmed",IF($L537&gt;=UnconfirmedWarn,"Warning","On track"),""))</f>
        <v/>
      </c>
      <c r="N537" s="65" t="str">
        <f aca="false">IF($M537="","",IF($M537="Critical",3000,IF($M537="Warning",2000,1000))+$L537+ROW()/100000)</f>
        <v/>
      </c>
      <c r="O537" s="65" t="str">
        <f aca="false">IF($K537="Open",IF($C537="Conflict","decide "&amp;$A537&amp;": &lt;which version stands&gt;","decide "&amp;$A537&amp;": &lt;outcome&gt;"),IF($K537="Unconfirmed","confirm "&amp;$A537,""))</f>
        <v/>
      </c>
      <c r="P537" s="65" t="str">
        <f aca="false">IF(AND($C537="New",$B537&gt;=WeekStart),$B537+ROW()/100000,"")</f>
        <v/>
      </c>
      <c r="Q537" s="65" t="str">
        <f aca="false">IF(AND($C537="Know",$B537&gt;=WeekStart),$B537+ROW()/100000,"")</f>
        <v/>
      </c>
      <c r="R537" s="65" t="str">
        <f aca="false">IF(AND($K537="Open",$C537="Decision"),$L537+ROW()/100000,"")</f>
        <v/>
      </c>
      <c r="S537" s="65" t="str">
        <f aca="false">IF(AND($J537&lt;&gt;"",$J537=UCSel),$B537+ROW()/100000,"")</f>
        <v/>
      </c>
    </row>
    <row r="538" customFormat="false" ht="15" hidden="false" customHeight="false" outlineLevel="0" collapsed="false">
      <c r="A538" s="28"/>
      <c r="B538" s="63"/>
      <c r="C538" s="64"/>
      <c r="D538" s="28"/>
      <c r="E538" s="28"/>
      <c r="F538" s="28"/>
      <c r="G538" s="64"/>
      <c r="H538" s="64"/>
      <c r="I538" s="28"/>
      <c r="J538" s="28"/>
      <c r="K538" s="65" t="str">
        <f aca="false">IF($A538="","",IF(OR($C538="Decision",$C538="Conflict"),IF(COUNTIFS($I$2:$I$1001,$A538,$C$2:$C$1001,"Resolved")=0,"Open","Closed"),IF(AND($H538="Unconfirmed",OR($C538="New",$C538="Know")),IF(COUNTIFS($I$2:$I$1001,$A538,$C$2:$C$1001,"Confirmed")=0,"Unconfirmed","Confirmed"),"Logged")))</f>
        <v/>
      </c>
      <c r="L538" s="65" t="str">
        <f aca="false">IF($A538="","",AsOf-$B538)</f>
        <v/>
      </c>
      <c r="M538" s="65" t="str">
        <f aca="false">IF($K538="Open",IF($C538="Conflict","Critical",IF($L538&gt;=DecisionCritical,"Critical",IF($L538&gt;=DecisionWarn,"Warning","On track"))),IF($K538="Unconfirmed",IF($L538&gt;=UnconfirmedWarn,"Warning","On track"),""))</f>
        <v/>
      </c>
      <c r="N538" s="65" t="str">
        <f aca="false">IF($M538="","",IF($M538="Critical",3000,IF($M538="Warning",2000,1000))+$L538+ROW()/100000)</f>
        <v/>
      </c>
      <c r="O538" s="65" t="str">
        <f aca="false">IF($K538="Open",IF($C538="Conflict","decide "&amp;$A538&amp;": &lt;which version stands&gt;","decide "&amp;$A538&amp;": &lt;outcome&gt;"),IF($K538="Unconfirmed","confirm "&amp;$A538,""))</f>
        <v/>
      </c>
      <c r="P538" s="65" t="str">
        <f aca="false">IF(AND($C538="New",$B538&gt;=WeekStart),$B538+ROW()/100000,"")</f>
        <v/>
      </c>
      <c r="Q538" s="65" t="str">
        <f aca="false">IF(AND($C538="Know",$B538&gt;=WeekStart),$B538+ROW()/100000,"")</f>
        <v/>
      </c>
      <c r="R538" s="65" t="str">
        <f aca="false">IF(AND($K538="Open",$C538="Decision"),$L538+ROW()/100000,"")</f>
        <v/>
      </c>
      <c r="S538" s="65" t="str">
        <f aca="false">IF(AND($J538&lt;&gt;"",$J538=UCSel),$B538+ROW()/100000,"")</f>
        <v/>
      </c>
    </row>
    <row r="539" customFormat="false" ht="15" hidden="false" customHeight="false" outlineLevel="0" collapsed="false">
      <c r="A539" s="28"/>
      <c r="B539" s="63"/>
      <c r="C539" s="64"/>
      <c r="D539" s="28"/>
      <c r="E539" s="28"/>
      <c r="F539" s="28"/>
      <c r="G539" s="64"/>
      <c r="H539" s="64"/>
      <c r="I539" s="28"/>
      <c r="J539" s="28"/>
      <c r="K539" s="65" t="str">
        <f aca="false">IF($A539="","",IF(OR($C539="Decision",$C539="Conflict"),IF(COUNTIFS($I$2:$I$1001,$A539,$C$2:$C$1001,"Resolved")=0,"Open","Closed"),IF(AND($H539="Unconfirmed",OR($C539="New",$C539="Know")),IF(COUNTIFS($I$2:$I$1001,$A539,$C$2:$C$1001,"Confirmed")=0,"Unconfirmed","Confirmed"),"Logged")))</f>
        <v/>
      </c>
      <c r="L539" s="65" t="str">
        <f aca="false">IF($A539="","",AsOf-$B539)</f>
        <v/>
      </c>
      <c r="M539" s="65" t="str">
        <f aca="false">IF($K539="Open",IF($C539="Conflict","Critical",IF($L539&gt;=DecisionCritical,"Critical",IF($L539&gt;=DecisionWarn,"Warning","On track"))),IF($K539="Unconfirmed",IF($L539&gt;=UnconfirmedWarn,"Warning","On track"),""))</f>
        <v/>
      </c>
      <c r="N539" s="65" t="str">
        <f aca="false">IF($M539="","",IF($M539="Critical",3000,IF($M539="Warning",2000,1000))+$L539+ROW()/100000)</f>
        <v/>
      </c>
      <c r="O539" s="65" t="str">
        <f aca="false">IF($K539="Open",IF($C539="Conflict","decide "&amp;$A539&amp;": &lt;which version stands&gt;","decide "&amp;$A539&amp;": &lt;outcome&gt;"),IF($K539="Unconfirmed","confirm "&amp;$A539,""))</f>
        <v/>
      </c>
      <c r="P539" s="65" t="str">
        <f aca="false">IF(AND($C539="New",$B539&gt;=WeekStart),$B539+ROW()/100000,"")</f>
        <v/>
      </c>
      <c r="Q539" s="65" t="str">
        <f aca="false">IF(AND($C539="Know",$B539&gt;=WeekStart),$B539+ROW()/100000,"")</f>
        <v/>
      </c>
      <c r="R539" s="65" t="str">
        <f aca="false">IF(AND($K539="Open",$C539="Decision"),$L539+ROW()/100000,"")</f>
        <v/>
      </c>
      <c r="S539" s="65" t="str">
        <f aca="false">IF(AND($J539&lt;&gt;"",$J539=UCSel),$B539+ROW()/100000,"")</f>
        <v/>
      </c>
    </row>
    <row r="540" customFormat="false" ht="15" hidden="false" customHeight="false" outlineLevel="0" collapsed="false">
      <c r="A540" s="28"/>
      <c r="B540" s="63"/>
      <c r="C540" s="64"/>
      <c r="D540" s="28"/>
      <c r="E540" s="28"/>
      <c r="F540" s="28"/>
      <c r="G540" s="64"/>
      <c r="H540" s="64"/>
      <c r="I540" s="28"/>
      <c r="J540" s="28"/>
      <c r="K540" s="65" t="str">
        <f aca="false">IF($A540="","",IF(OR($C540="Decision",$C540="Conflict"),IF(COUNTIFS($I$2:$I$1001,$A540,$C$2:$C$1001,"Resolved")=0,"Open","Closed"),IF(AND($H540="Unconfirmed",OR($C540="New",$C540="Know")),IF(COUNTIFS($I$2:$I$1001,$A540,$C$2:$C$1001,"Confirmed")=0,"Unconfirmed","Confirmed"),"Logged")))</f>
        <v/>
      </c>
      <c r="L540" s="65" t="str">
        <f aca="false">IF($A540="","",AsOf-$B540)</f>
        <v/>
      </c>
      <c r="M540" s="65" t="str">
        <f aca="false">IF($K540="Open",IF($C540="Conflict","Critical",IF($L540&gt;=DecisionCritical,"Critical",IF($L540&gt;=DecisionWarn,"Warning","On track"))),IF($K540="Unconfirmed",IF($L540&gt;=UnconfirmedWarn,"Warning","On track"),""))</f>
        <v/>
      </c>
      <c r="N540" s="65" t="str">
        <f aca="false">IF($M540="","",IF($M540="Critical",3000,IF($M540="Warning",2000,1000))+$L540+ROW()/100000)</f>
        <v/>
      </c>
      <c r="O540" s="65" t="str">
        <f aca="false">IF($K540="Open",IF($C540="Conflict","decide "&amp;$A540&amp;": &lt;which version stands&gt;","decide "&amp;$A540&amp;": &lt;outcome&gt;"),IF($K540="Unconfirmed","confirm "&amp;$A540,""))</f>
        <v/>
      </c>
      <c r="P540" s="65" t="str">
        <f aca="false">IF(AND($C540="New",$B540&gt;=WeekStart),$B540+ROW()/100000,"")</f>
        <v/>
      </c>
      <c r="Q540" s="65" t="str">
        <f aca="false">IF(AND($C540="Know",$B540&gt;=WeekStart),$B540+ROW()/100000,"")</f>
        <v/>
      </c>
      <c r="R540" s="65" t="str">
        <f aca="false">IF(AND($K540="Open",$C540="Decision"),$L540+ROW()/100000,"")</f>
        <v/>
      </c>
      <c r="S540" s="65" t="str">
        <f aca="false">IF(AND($J540&lt;&gt;"",$J540=UCSel),$B540+ROW()/100000,"")</f>
        <v/>
      </c>
    </row>
    <row r="541" customFormat="false" ht="15" hidden="false" customHeight="false" outlineLevel="0" collapsed="false">
      <c r="A541" s="28"/>
      <c r="B541" s="63"/>
      <c r="C541" s="64"/>
      <c r="D541" s="28"/>
      <c r="E541" s="28"/>
      <c r="F541" s="28"/>
      <c r="G541" s="64"/>
      <c r="H541" s="64"/>
      <c r="I541" s="28"/>
      <c r="J541" s="28"/>
      <c r="K541" s="65" t="str">
        <f aca="false">IF($A541="","",IF(OR($C541="Decision",$C541="Conflict"),IF(COUNTIFS($I$2:$I$1001,$A541,$C$2:$C$1001,"Resolved")=0,"Open","Closed"),IF(AND($H541="Unconfirmed",OR($C541="New",$C541="Know")),IF(COUNTIFS($I$2:$I$1001,$A541,$C$2:$C$1001,"Confirmed")=0,"Unconfirmed","Confirmed"),"Logged")))</f>
        <v/>
      </c>
      <c r="L541" s="65" t="str">
        <f aca="false">IF($A541="","",AsOf-$B541)</f>
        <v/>
      </c>
      <c r="M541" s="65" t="str">
        <f aca="false">IF($K541="Open",IF($C541="Conflict","Critical",IF($L541&gt;=DecisionCritical,"Critical",IF($L541&gt;=DecisionWarn,"Warning","On track"))),IF($K541="Unconfirmed",IF($L541&gt;=UnconfirmedWarn,"Warning","On track"),""))</f>
        <v/>
      </c>
      <c r="N541" s="65" t="str">
        <f aca="false">IF($M541="","",IF($M541="Critical",3000,IF($M541="Warning",2000,1000))+$L541+ROW()/100000)</f>
        <v/>
      </c>
      <c r="O541" s="65" t="str">
        <f aca="false">IF($K541="Open",IF($C541="Conflict","decide "&amp;$A541&amp;": &lt;which version stands&gt;","decide "&amp;$A541&amp;": &lt;outcome&gt;"),IF($K541="Unconfirmed","confirm "&amp;$A541,""))</f>
        <v/>
      </c>
      <c r="P541" s="65" t="str">
        <f aca="false">IF(AND($C541="New",$B541&gt;=WeekStart),$B541+ROW()/100000,"")</f>
        <v/>
      </c>
      <c r="Q541" s="65" t="str">
        <f aca="false">IF(AND($C541="Know",$B541&gt;=WeekStart),$B541+ROW()/100000,"")</f>
        <v/>
      </c>
      <c r="R541" s="65" t="str">
        <f aca="false">IF(AND($K541="Open",$C541="Decision"),$L541+ROW()/100000,"")</f>
        <v/>
      </c>
      <c r="S541" s="65" t="str">
        <f aca="false">IF(AND($J541&lt;&gt;"",$J541=UCSel),$B541+ROW()/100000,"")</f>
        <v/>
      </c>
    </row>
    <row r="542" customFormat="false" ht="15" hidden="false" customHeight="false" outlineLevel="0" collapsed="false">
      <c r="A542" s="28"/>
      <c r="B542" s="63"/>
      <c r="C542" s="64"/>
      <c r="D542" s="28"/>
      <c r="E542" s="28"/>
      <c r="F542" s="28"/>
      <c r="G542" s="64"/>
      <c r="H542" s="64"/>
      <c r="I542" s="28"/>
      <c r="J542" s="28"/>
      <c r="K542" s="65" t="str">
        <f aca="false">IF($A542="","",IF(OR($C542="Decision",$C542="Conflict"),IF(COUNTIFS($I$2:$I$1001,$A542,$C$2:$C$1001,"Resolved")=0,"Open","Closed"),IF(AND($H542="Unconfirmed",OR($C542="New",$C542="Know")),IF(COUNTIFS($I$2:$I$1001,$A542,$C$2:$C$1001,"Confirmed")=0,"Unconfirmed","Confirmed"),"Logged")))</f>
        <v/>
      </c>
      <c r="L542" s="65" t="str">
        <f aca="false">IF($A542="","",AsOf-$B542)</f>
        <v/>
      </c>
      <c r="M542" s="65" t="str">
        <f aca="false">IF($K542="Open",IF($C542="Conflict","Critical",IF($L542&gt;=DecisionCritical,"Critical",IF($L542&gt;=DecisionWarn,"Warning","On track"))),IF($K542="Unconfirmed",IF($L542&gt;=UnconfirmedWarn,"Warning","On track"),""))</f>
        <v/>
      </c>
      <c r="N542" s="65" t="str">
        <f aca="false">IF($M542="","",IF($M542="Critical",3000,IF($M542="Warning",2000,1000))+$L542+ROW()/100000)</f>
        <v/>
      </c>
      <c r="O542" s="65" t="str">
        <f aca="false">IF($K542="Open",IF($C542="Conflict","decide "&amp;$A542&amp;": &lt;which version stands&gt;","decide "&amp;$A542&amp;": &lt;outcome&gt;"),IF($K542="Unconfirmed","confirm "&amp;$A542,""))</f>
        <v/>
      </c>
      <c r="P542" s="65" t="str">
        <f aca="false">IF(AND($C542="New",$B542&gt;=WeekStart),$B542+ROW()/100000,"")</f>
        <v/>
      </c>
      <c r="Q542" s="65" t="str">
        <f aca="false">IF(AND($C542="Know",$B542&gt;=WeekStart),$B542+ROW()/100000,"")</f>
        <v/>
      </c>
      <c r="R542" s="65" t="str">
        <f aca="false">IF(AND($K542="Open",$C542="Decision"),$L542+ROW()/100000,"")</f>
        <v/>
      </c>
      <c r="S542" s="65" t="str">
        <f aca="false">IF(AND($J542&lt;&gt;"",$J542=UCSel),$B542+ROW()/100000,"")</f>
        <v/>
      </c>
    </row>
    <row r="543" customFormat="false" ht="15" hidden="false" customHeight="false" outlineLevel="0" collapsed="false">
      <c r="A543" s="28"/>
      <c r="B543" s="63"/>
      <c r="C543" s="64"/>
      <c r="D543" s="28"/>
      <c r="E543" s="28"/>
      <c r="F543" s="28"/>
      <c r="G543" s="64"/>
      <c r="H543" s="64"/>
      <c r="I543" s="28"/>
      <c r="J543" s="28"/>
      <c r="K543" s="65" t="str">
        <f aca="false">IF($A543="","",IF(OR($C543="Decision",$C543="Conflict"),IF(COUNTIFS($I$2:$I$1001,$A543,$C$2:$C$1001,"Resolved")=0,"Open","Closed"),IF(AND($H543="Unconfirmed",OR($C543="New",$C543="Know")),IF(COUNTIFS($I$2:$I$1001,$A543,$C$2:$C$1001,"Confirmed")=0,"Unconfirmed","Confirmed"),"Logged")))</f>
        <v/>
      </c>
      <c r="L543" s="65" t="str">
        <f aca="false">IF($A543="","",AsOf-$B543)</f>
        <v/>
      </c>
      <c r="M543" s="65" t="str">
        <f aca="false">IF($K543="Open",IF($C543="Conflict","Critical",IF($L543&gt;=DecisionCritical,"Critical",IF($L543&gt;=DecisionWarn,"Warning","On track"))),IF($K543="Unconfirmed",IF($L543&gt;=UnconfirmedWarn,"Warning","On track"),""))</f>
        <v/>
      </c>
      <c r="N543" s="65" t="str">
        <f aca="false">IF($M543="","",IF($M543="Critical",3000,IF($M543="Warning",2000,1000))+$L543+ROW()/100000)</f>
        <v/>
      </c>
      <c r="O543" s="65" t="str">
        <f aca="false">IF($K543="Open",IF($C543="Conflict","decide "&amp;$A543&amp;": &lt;which version stands&gt;","decide "&amp;$A543&amp;": &lt;outcome&gt;"),IF($K543="Unconfirmed","confirm "&amp;$A543,""))</f>
        <v/>
      </c>
      <c r="P543" s="65" t="str">
        <f aca="false">IF(AND($C543="New",$B543&gt;=WeekStart),$B543+ROW()/100000,"")</f>
        <v/>
      </c>
      <c r="Q543" s="65" t="str">
        <f aca="false">IF(AND($C543="Know",$B543&gt;=WeekStart),$B543+ROW()/100000,"")</f>
        <v/>
      </c>
      <c r="R543" s="65" t="str">
        <f aca="false">IF(AND($K543="Open",$C543="Decision"),$L543+ROW()/100000,"")</f>
        <v/>
      </c>
      <c r="S543" s="65" t="str">
        <f aca="false">IF(AND($J543&lt;&gt;"",$J543=UCSel),$B543+ROW()/100000,"")</f>
        <v/>
      </c>
    </row>
    <row r="544" customFormat="false" ht="15" hidden="false" customHeight="false" outlineLevel="0" collapsed="false">
      <c r="A544" s="28"/>
      <c r="B544" s="63"/>
      <c r="C544" s="64"/>
      <c r="D544" s="28"/>
      <c r="E544" s="28"/>
      <c r="F544" s="28"/>
      <c r="G544" s="64"/>
      <c r="H544" s="64"/>
      <c r="I544" s="28"/>
      <c r="J544" s="28"/>
      <c r="K544" s="65" t="str">
        <f aca="false">IF($A544="","",IF(OR($C544="Decision",$C544="Conflict"),IF(COUNTIFS($I$2:$I$1001,$A544,$C$2:$C$1001,"Resolved")=0,"Open","Closed"),IF(AND($H544="Unconfirmed",OR($C544="New",$C544="Know")),IF(COUNTIFS($I$2:$I$1001,$A544,$C$2:$C$1001,"Confirmed")=0,"Unconfirmed","Confirmed"),"Logged")))</f>
        <v/>
      </c>
      <c r="L544" s="65" t="str">
        <f aca="false">IF($A544="","",AsOf-$B544)</f>
        <v/>
      </c>
      <c r="M544" s="65" t="str">
        <f aca="false">IF($K544="Open",IF($C544="Conflict","Critical",IF($L544&gt;=DecisionCritical,"Critical",IF($L544&gt;=DecisionWarn,"Warning","On track"))),IF($K544="Unconfirmed",IF($L544&gt;=UnconfirmedWarn,"Warning","On track"),""))</f>
        <v/>
      </c>
      <c r="N544" s="65" t="str">
        <f aca="false">IF($M544="","",IF($M544="Critical",3000,IF($M544="Warning",2000,1000))+$L544+ROW()/100000)</f>
        <v/>
      </c>
      <c r="O544" s="65" t="str">
        <f aca="false">IF($K544="Open",IF($C544="Conflict","decide "&amp;$A544&amp;": &lt;which version stands&gt;","decide "&amp;$A544&amp;": &lt;outcome&gt;"),IF($K544="Unconfirmed","confirm "&amp;$A544,""))</f>
        <v/>
      </c>
      <c r="P544" s="65" t="str">
        <f aca="false">IF(AND($C544="New",$B544&gt;=WeekStart),$B544+ROW()/100000,"")</f>
        <v/>
      </c>
      <c r="Q544" s="65" t="str">
        <f aca="false">IF(AND($C544="Know",$B544&gt;=WeekStart),$B544+ROW()/100000,"")</f>
        <v/>
      </c>
      <c r="R544" s="65" t="str">
        <f aca="false">IF(AND($K544="Open",$C544="Decision"),$L544+ROW()/100000,"")</f>
        <v/>
      </c>
      <c r="S544" s="65" t="str">
        <f aca="false">IF(AND($J544&lt;&gt;"",$J544=UCSel),$B544+ROW()/100000,"")</f>
        <v/>
      </c>
    </row>
    <row r="545" customFormat="false" ht="15" hidden="false" customHeight="false" outlineLevel="0" collapsed="false">
      <c r="A545" s="28"/>
      <c r="B545" s="63"/>
      <c r="C545" s="64"/>
      <c r="D545" s="28"/>
      <c r="E545" s="28"/>
      <c r="F545" s="28"/>
      <c r="G545" s="64"/>
      <c r="H545" s="64"/>
      <c r="I545" s="28"/>
      <c r="J545" s="28"/>
      <c r="K545" s="65" t="str">
        <f aca="false">IF($A545="","",IF(OR($C545="Decision",$C545="Conflict"),IF(COUNTIFS($I$2:$I$1001,$A545,$C$2:$C$1001,"Resolved")=0,"Open","Closed"),IF(AND($H545="Unconfirmed",OR($C545="New",$C545="Know")),IF(COUNTIFS($I$2:$I$1001,$A545,$C$2:$C$1001,"Confirmed")=0,"Unconfirmed","Confirmed"),"Logged")))</f>
        <v/>
      </c>
      <c r="L545" s="65" t="str">
        <f aca="false">IF($A545="","",AsOf-$B545)</f>
        <v/>
      </c>
      <c r="M545" s="65" t="str">
        <f aca="false">IF($K545="Open",IF($C545="Conflict","Critical",IF($L545&gt;=DecisionCritical,"Critical",IF($L545&gt;=DecisionWarn,"Warning","On track"))),IF($K545="Unconfirmed",IF($L545&gt;=UnconfirmedWarn,"Warning","On track"),""))</f>
        <v/>
      </c>
      <c r="N545" s="65" t="str">
        <f aca="false">IF($M545="","",IF($M545="Critical",3000,IF($M545="Warning",2000,1000))+$L545+ROW()/100000)</f>
        <v/>
      </c>
      <c r="O545" s="65" t="str">
        <f aca="false">IF($K545="Open",IF($C545="Conflict","decide "&amp;$A545&amp;": &lt;which version stands&gt;","decide "&amp;$A545&amp;": &lt;outcome&gt;"),IF($K545="Unconfirmed","confirm "&amp;$A545,""))</f>
        <v/>
      </c>
      <c r="P545" s="65" t="str">
        <f aca="false">IF(AND($C545="New",$B545&gt;=WeekStart),$B545+ROW()/100000,"")</f>
        <v/>
      </c>
      <c r="Q545" s="65" t="str">
        <f aca="false">IF(AND($C545="Know",$B545&gt;=WeekStart),$B545+ROW()/100000,"")</f>
        <v/>
      </c>
      <c r="R545" s="65" t="str">
        <f aca="false">IF(AND($K545="Open",$C545="Decision"),$L545+ROW()/100000,"")</f>
        <v/>
      </c>
      <c r="S545" s="65" t="str">
        <f aca="false">IF(AND($J545&lt;&gt;"",$J545=UCSel),$B545+ROW()/100000,"")</f>
        <v/>
      </c>
    </row>
    <row r="546" customFormat="false" ht="15" hidden="false" customHeight="false" outlineLevel="0" collapsed="false">
      <c r="A546" s="28"/>
      <c r="B546" s="63"/>
      <c r="C546" s="64"/>
      <c r="D546" s="28"/>
      <c r="E546" s="28"/>
      <c r="F546" s="28"/>
      <c r="G546" s="64"/>
      <c r="H546" s="64"/>
      <c r="I546" s="28"/>
      <c r="J546" s="28"/>
      <c r="K546" s="65" t="str">
        <f aca="false">IF($A546="","",IF(OR($C546="Decision",$C546="Conflict"),IF(COUNTIFS($I$2:$I$1001,$A546,$C$2:$C$1001,"Resolved")=0,"Open","Closed"),IF(AND($H546="Unconfirmed",OR($C546="New",$C546="Know")),IF(COUNTIFS($I$2:$I$1001,$A546,$C$2:$C$1001,"Confirmed")=0,"Unconfirmed","Confirmed"),"Logged")))</f>
        <v/>
      </c>
      <c r="L546" s="65" t="str">
        <f aca="false">IF($A546="","",AsOf-$B546)</f>
        <v/>
      </c>
      <c r="M546" s="65" t="str">
        <f aca="false">IF($K546="Open",IF($C546="Conflict","Critical",IF($L546&gt;=DecisionCritical,"Critical",IF($L546&gt;=DecisionWarn,"Warning","On track"))),IF($K546="Unconfirmed",IF($L546&gt;=UnconfirmedWarn,"Warning","On track"),""))</f>
        <v/>
      </c>
      <c r="N546" s="65" t="str">
        <f aca="false">IF($M546="","",IF($M546="Critical",3000,IF($M546="Warning",2000,1000))+$L546+ROW()/100000)</f>
        <v/>
      </c>
      <c r="O546" s="65" t="str">
        <f aca="false">IF($K546="Open",IF($C546="Conflict","decide "&amp;$A546&amp;": &lt;which version stands&gt;","decide "&amp;$A546&amp;": &lt;outcome&gt;"),IF($K546="Unconfirmed","confirm "&amp;$A546,""))</f>
        <v/>
      </c>
      <c r="P546" s="65" t="str">
        <f aca="false">IF(AND($C546="New",$B546&gt;=WeekStart),$B546+ROW()/100000,"")</f>
        <v/>
      </c>
      <c r="Q546" s="65" t="str">
        <f aca="false">IF(AND($C546="Know",$B546&gt;=WeekStart),$B546+ROW()/100000,"")</f>
        <v/>
      </c>
      <c r="R546" s="65" t="str">
        <f aca="false">IF(AND($K546="Open",$C546="Decision"),$L546+ROW()/100000,"")</f>
        <v/>
      </c>
      <c r="S546" s="65" t="str">
        <f aca="false">IF(AND($J546&lt;&gt;"",$J546=UCSel),$B546+ROW()/100000,"")</f>
        <v/>
      </c>
    </row>
    <row r="547" customFormat="false" ht="15" hidden="false" customHeight="false" outlineLevel="0" collapsed="false">
      <c r="A547" s="28"/>
      <c r="B547" s="63"/>
      <c r="C547" s="64"/>
      <c r="D547" s="28"/>
      <c r="E547" s="28"/>
      <c r="F547" s="28"/>
      <c r="G547" s="64"/>
      <c r="H547" s="64"/>
      <c r="I547" s="28"/>
      <c r="J547" s="28"/>
      <c r="K547" s="65" t="str">
        <f aca="false">IF($A547="","",IF(OR($C547="Decision",$C547="Conflict"),IF(COUNTIFS($I$2:$I$1001,$A547,$C$2:$C$1001,"Resolved")=0,"Open","Closed"),IF(AND($H547="Unconfirmed",OR($C547="New",$C547="Know")),IF(COUNTIFS($I$2:$I$1001,$A547,$C$2:$C$1001,"Confirmed")=0,"Unconfirmed","Confirmed"),"Logged")))</f>
        <v/>
      </c>
      <c r="L547" s="65" t="str">
        <f aca="false">IF($A547="","",AsOf-$B547)</f>
        <v/>
      </c>
      <c r="M547" s="65" t="str">
        <f aca="false">IF($K547="Open",IF($C547="Conflict","Critical",IF($L547&gt;=DecisionCritical,"Critical",IF($L547&gt;=DecisionWarn,"Warning","On track"))),IF($K547="Unconfirmed",IF($L547&gt;=UnconfirmedWarn,"Warning","On track"),""))</f>
        <v/>
      </c>
      <c r="N547" s="65" t="str">
        <f aca="false">IF($M547="","",IF($M547="Critical",3000,IF($M547="Warning",2000,1000))+$L547+ROW()/100000)</f>
        <v/>
      </c>
      <c r="O547" s="65" t="str">
        <f aca="false">IF($K547="Open",IF($C547="Conflict","decide "&amp;$A547&amp;": &lt;which version stands&gt;","decide "&amp;$A547&amp;": &lt;outcome&gt;"),IF($K547="Unconfirmed","confirm "&amp;$A547,""))</f>
        <v/>
      </c>
      <c r="P547" s="65" t="str">
        <f aca="false">IF(AND($C547="New",$B547&gt;=WeekStart),$B547+ROW()/100000,"")</f>
        <v/>
      </c>
      <c r="Q547" s="65" t="str">
        <f aca="false">IF(AND($C547="Know",$B547&gt;=WeekStart),$B547+ROW()/100000,"")</f>
        <v/>
      </c>
      <c r="R547" s="65" t="str">
        <f aca="false">IF(AND($K547="Open",$C547="Decision"),$L547+ROW()/100000,"")</f>
        <v/>
      </c>
      <c r="S547" s="65" t="str">
        <f aca="false">IF(AND($J547&lt;&gt;"",$J547=UCSel),$B547+ROW()/100000,"")</f>
        <v/>
      </c>
    </row>
    <row r="548" customFormat="false" ht="15" hidden="false" customHeight="false" outlineLevel="0" collapsed="false">
      <c r="A548" s="28"/>
      <c r="B548" s="63"/>
      <c r="C548" s="64"/>
      <c r="D548" s="28"/>
      <c r="E548" s="28"/>
      <c r="F548" s="28"/>
      <c r="G548" s="64"/>
      <c r="H548" s="64"/>
      <c r="I548" s="28"/>
      <c r="J548" s="28"/>
      <c r="K548" s="65" t="str">
        <f aca="false">IF($A548="","",IF(OR($C548="Decision",$C548="Conflict"),IF(COUNTIFS($I$2:$I$1001,$A548,$C$2:$C$1001,"Resolved")=0,"Open","Closed"),IF(AND($H548="Unconfirmed",OR($C548="New",$C548="Know")),IF(COUNTIFS($I$2:$I$1001,$A548,$C$2:$C$1001,"Confirmed")=0,"Unconfirmed","Confirmed"),"Logged")))</f>
        <v/>
      </c>
      <c r="L548" s="65" t="str">
        <f aca="false">IF($A548="","",AsOf-$B548)</f>
        <v/>
      </c>
      <c r="M548" s="65" t="str">
        <f aca="false">IF($K548="Open",IF($C548="Conflict","Critical",IF($L548&gt;=DecisionCritical,"Critical",IF($L548&gt;=DecisionWarn,"Warning","On track"))),IF($K548="Unconfirmed",IF($L548&gt;=UnconfirmedWarn,"Warning","On track"),""))</f>
        <v/>
      </c>
      <c r="N548" s="65" t="str">
        <f aca="false">IF($M548="","",IF($M548="Critical",3000,IF($M548="Warning",2000,1000))+$L548+ROW()/100000)</f>
        <v/>
      </c>
      <c r="O548" s="65" t="str">
        <f aca="false">IF($K548="Open",IF($C548="Conflict","decide "&amp;$A548&amp;": &lt;which version stands&gt;","decide "&amp;$A548&amp;": &lt;outcome&gt;"),IF($K548="Unconfirmed","confirm "&amp;$A548,""))</f>
        <v/>
      </c>
      <c r="P548" s="65" t="str">
        <f aca="false">IF(AND($C548="New",$B548&gt;=WeekStart),$B548+ROW()/100000,"")</f>
        <v/>
      </c>
      <c r="Q548" s="65" t="str">
        <f aca="false">IF(AND($C548="Know",$B548&gt;=WeekStart),$B548+ROW()/100000,"")</f>
        <v/>
      </c>
      <c r="R548" s="65" t="str">
        <f aca="false">IF(AND($K548="Open",$C548="Decision"),$L548+ROW()/100000,"")</f>
        <v/>
      </c>
      <c r="S548" s="65" t="str">
        <f aca="false">IF(AND($J548&lt;&gt;"",$J548=UCSel),$B548+ROW()/100000,"")</f>
        <v/>
      </c>
    </row>
    <row r="549" customFormat="false" ht="15" hidden="false" customHeight="false" outlineLevel="0" collapsed="false">
      <c r="A549" s="28"/>
      <c r="B549" s="63"/>
      <c r="C549" s="64"/>
      <c r="D549" s="28"/>
      <c r="E549" s="28"/>
      <c r="F549" s="28"/>
      <c r="G549" s="64"/>
      <c r="H549" s="64"/>
      <c r="I549" s="28"/>
      <c r="J549" s="28"/>
      <c r="K549" s="65" t="str">
        <f aca="false">IF($A549="","",IF(OR($C549="Decision",$C549="Conflict"),IF(COUNTIFS($I$2:$I$1001,$A549,$C$2:$C$1001,"Resolved")=0,"Open","Closed"),IF(AND($H549="Unconfirmed",OR($C549="New",$C549="Know")),IF(COUNTIFS($I$2:$I$1001,$A549,$C$2:$C$1001,"Confirmed")=0,"Unconfirmed","Confirmed"),"Logged")))</f>
        <v/>
      </c>
      <c r="L549" s="65" t="str">
        <f aca="false">IF($A549="","",AsOf-$B549)</f>
        <v/>
      </c>
      <c r="M549" s="65" t="str">
        <f aca="false">IF($K549="Open",IF($C549="Conflict","Critical",IF($L549&gt;=DecisionCritical,"Critical",IF($L549&gt;=DecisionWarn,"Warning","On track"))),IF($K549="Unconfirmed",IF($L549&gt;=UnconfirmedWarn,"Warning","On track"),""))</f>
        <v/>
      </c>
      <c r="N549" s="65" t="str">
        <f aca="false">IF($M549="","",IF($M549="Critical",3000,IF($M549="Warning",2000,1000))+$L549+ROW()/100000)</f>
        <v/>
      </c>
      <c r="O549" s="65" t="str">
        <f aca="false">IF($K549="Open",IF($C549="Conflict","decide "&amp;$A549&amp;": &lt;which version stands&gt;","decide "&amp;$A549&amp;": &lt;outcome&gt;"),IF($K549="Unconfirmed","confirm "&amp;$A549,""))</f>
        <v/>
      </c>
      <c r="P549" s="65" t="str">
        <f aca="false">IF(AND($C549="New",$B549&gt;=WeekStart),$B549+ROW()/100000,"")</f>
        <v/>
      </c>
      <c r="Q549" s="65" t="str">
        <f aca="false">IF(AND($C549="Know",$B549&gt;=WeekStart),$B549+ROW()/100000,"")</f>
        <v/>
      </c>
      <c r="R549" s="65" t="str">
        <f aca="false">IF(AND($K549="Open",$C549="Decision"),$L549+ROW()/100000,"")</f>
        <v/>
      </c>
      <c r="S549" s="65" t="str">
        <f aca="false">IF(AND($J549&lt;&gt;"",$J549=UCSel),$B549+ROW()/100000,"")</f>
        <v/>
      </c>
    </row>
    <row r="550" customFormat="false" ht="15" hidden="false" customHeight="false" outlineLevel="0" collapsed="false">
      <c r="A550" s="28"/>
      <c r="B550" s="63"/>
      <c r="C550" s="64"/>
      <c r="D550" s="28"/>
      <c r="E550" s="28"/>
      <c r="F550" s="28"/>
      <c r="G550" s="64"/>
      <c r="H550" s="64"/>
      <c r="I550" s="28"/>
      <c r="J550" s="28"/>
      <c r="K550" s="65" t="str">
        <f aca="false">IF($A550="","",IF(OR($C550="Decision",$C550="Conflict"),IF(COUNTIFS($I$2:$I$1001,$A550,$C$2:$C$1001,"Resolved")=0,"Open","Closed"),IF(AND($H550="Unconfirmed",OR($C550="New",$C550="Know")),IF(COUNTIFS($I$2:$I$1001,$A550,$C$2:$C$1001,"Confirmed")=0,"Unconfirmed","Confirmed"),"Logged")))</f>
        <v/>
      </c>
      <c r="L550" s="65" t="str">
        <f aca="false">IF($A550="","",AsOf-$B550)</f>
        <v/>
      </c>
      <c r="M550" s="65" t="str">
        <f aca="false">IF($K550="Open",IF($C550="Conflict","Critical",IF($L550&gt;=DecisionCritical,"Critical",IF($L550&gt;=DecisionWarn,"Warning","On track"))),IF($K550="Unconfirmed",IF($L550&gt;=UnconfirmedWarn,"Warning","On track"),""))</f>
        <v/>
      </c>
      <c r="N550" s="65" t="str">
        <f aca="false">IF($M550="","",IF($M550="Critical",3000,IF($M550="Warning",2000,1000))+$L550+ROW()/100000)</f>
        <v/>
      </c>
      <c r="O550" s="65" t="str">
        <f aca="false">IF($K550="Open",IF($C550="Conflict","decide "&amp;$A550&amp;": &lt;which version stands&gt;","decide "&amp;$A550&amp;": &lt;outcome&gt;"),IF($K550="Unconfirmed","confirm "&amp;$A550,""))</f>
        <v/>
      </c>
      <c r="P550" s="65" t="str">
        <f aca="false">IF(AND($C550="New",$B550&gt;=WeekStart),$B550+ROW()/100000,"")</f>
        <v/>
      </c>
      <c r="Q550" s="65" t="str">
        <f aca="false">IF(AND($C550="Know",$B550&gt;=WeekStart),$B550+ROW()/100000,"")</f>
        <v/>
      </c>
      <c r="R550" s="65" t="str">
        <f aca="false">IF(AND($K550="Open",$C550="Decision"),$L550+ROW()/100000,"")</f>
        <v/>
      </c>
      <c r="S550" s="65" t="str">
        <f aca="false">IF(AND($J550&lt;&gt;"",$J550=UCSel),$B550+ROW()/100000,"")</f>
        <v/>
      </c>
    </row>
    <row r="551" customFormat="false" ht="15" hidden="false" customHeight="false" outlineLevel="0" collapsed="false">
      <c r="A551" s="28"/>
      <c r="B551" s="63"/>
      <c r="C551" s="64"/>
      <c r="D551" s="28"/>
      <c r="E551" s="28"/>
      <c r="F551" s="28"/>
      <c r="G551" s="64"/>
      <c r="H551" s="64"/>
      <c r="I551" s="28"/>
      <c r="J551" s="28"/>
      <c r="K551" s="65" t="str">
        <f aca="false">IF($A551="","",IF(OR($C551="Decision",$C551="Conflict"),IF(COUNTIFS($I$2:$I$1001,$A551,$C$2:$C$1001,"Resolved")=0,"Open","Closed"),IF(AND($H551="Unconfirmed",OR($C551="New",$C551="Know")),IF(COUNTIFS($I$2:$I$1001,$A551,$C$2:$C$1001,"Confirmed")=0,"Unconfirmed","Confirmed"),"Logged")))</f>
        <v/>
      </c>
      <c r="L551" s="65" t="str">
        <f aca="false">IF($A551="","",AsOf-$B551)</f>
        <v/>
      </c>
      <c r="M551" s="65" t="str">
        <f aca="false">IF($K551="Open",IF($C551="Conflict","Critical",IF($L551&gt;=DecisionCritical,"Critical",IF($L551&gt;=DecisionWarn,"Warning","On track"))),IF($K551="Unconfirmed",IF($L551&gt;=UnconfirmedWarn,"Warning","On track"),""))</f>
        <v/>
      </c>
      <c r="N551" s="65" t="str">
        <f aca="false">IF($M551="","",IF($M551="Critical",3000,IF($M551="Warning",2000,1000))+$L551+ROW()/100000)</f>
        <v/>
      </c>
      <c r="O551" s="65" t="str">
        <f aca="false">IF($K551="Open",IF($C551="Conflict","decide "&amp;$A551&amp;": &lt;which version stands&gt;","decide "&amp;$A551&amp;": &lt;outcome&gt;"),IF($K551="Unconfirmed","confirm "&amp;$A551,""))</f>
        <v/>
      </c>
      <c r="P551" s="65" t="str">
        <f aca="false">IF(AND($C551="New",$B551&gt;=WeekStart),$B551+ROW()/100000,"")</f>
        <v/>
      </c>
      <c r="Q551" s="65" t="str">
        <f aca="false">IF(AND($C551="Know",$B551&gt;=WeekStart),$B551+ROW()/100000,"")</f>
        <v/>
      </c>
      <c r="R551" s="65" t="str">
        <f aca="false">IF(AND($K551="Open",$C551="Decision"),$L551+ROW()/100000,"")</f>
        <v/>
      </c>
      <c r="S551" s="65" t="str">
        <f aca="false">IF(AND($J551&lt;&gt;"",$J551=UCSel),$B551+ROW()/100000,"")</f>
        <v/>
      </c>
    </row>
    <row r="552" customFormat="false" ht="15" hidden="false" customHeight="false" outlineLevel="0" collapsed="false">
      <c r="A552" s="28"/>
      <c r="B552" s="63"/>
      <c r="C552" s="64"/>
      <c r="D552" s="28"/>
      <c r="E552" s="28"/>
      <c r="F552" s="28"/>
      <c r="G552" s="64"/>
      <c r="H552" s="64"/>
      <c r="I552" s="28"/>
      <c r="J552" s="28"/>
      <c r="K552" s="65" t="str">
        <f aca="false">IF($A552="","",IF(OR($C552="Decision",$C552="Conflict"),IF(COUNTIFS($I$2:$I$1001,$A552,$C$2:$C$1001,"Resolved")=0,"Open","Closed"),IF(AND($H552="Unconfirmed",OR($C552="New",$C552="Know")),IF(COUNTIFS($I$2:$I$1001,$A552,$C$2:$C$1001,"Confirmed")=0,"Unconfirmed","Confirmed"),"Logged")))</f>
        <v/>
      </c>
      <c r="L552" s="65" t="str">
        <f aca="false">IF($A552="","",AsOf-$B552)</f>
        <v/>
      </c>
      <c r="M552" s="65" t="str">
        <f aca="false">IF($K552="Open",IF($C552="Conflict","Critical",IF($L552&gt;=DecisionCritical,"Critical",IF($L552&gt;=DecisionWarn,"Warning","On track"))),IF($K552="Unconfirmed",IF($L552&gt;=UnconfirmedWarn,"Warning","On track"),""))</f>
        <v/>
      </c>
      <c r="N552" s="65" t="str">
        <f aca="false">IF($M552="","",IF($M552="Critical",3000,IF($M552="Warning",2000,1000))+$L552+ROW()/100000)</f>
        <v/>
      </c>
      <c r="O552" s="65" t="str">
        <f aca="false">IF($K552="Open",IF($C552="Conflict","decide "&amp;$A552&amp;": &lt;which version stands&gt;","decide "&amp;$A552&amp;": &lt;outcome&gt;"),IF($K552="Unconfirmed","confirm "&amp;$A552,""))</f>
        <v/>
      </c>
      <c r="P552" s="65" t="str">
        <f aca="false">IF(AND($C552="New",$B552&gt;=WeekStart),$B552+ROW()/100000,"")</f>
        <v/>
      </c>
      <c r="Q552" s="65" t="str">
        <f aca="false">IF(AND($C552="Know",$B552&gt;=WeekStart),$B552+ROW()/100000,"")</f>
        <v/>
      </c>
      <c r="R552" s="65" t="str">
        <f aca="false">IF(AND($K552="Open",$C552="Decision"),$L552+ROW()/100000,"")</f>
        <v/>
      </c>
      <c r="S552" s="65" t="str">
        <f aca="false">IF(AND($J552&lt;&gt;"",$J552=UCSel),$B552+ROW()/100000,"")</f>
        <v/>
      </c>
    </row>
    <row r="553" customFormat="false" ht="15" hidden="false" customHeight="false" outlineLevel="0" collapsed="false">
      <c r="A553" s="28"/>
      <c r="B553" s="63"/>
      <c r="C553" s="64"/>
      <c r="D553" s="28"/>
      <c r="E553" s="28"/>
      <c r="F553" s="28"/>
      <c r="G553" s="64"/>
      <c r="H553" s="64"/>
      <c r="I553" s="28"/>
      <c r="J553" s="28"/>
      <c r="K553" s="65" t="str">
        <f aca="false">IF($A553="","",IF(OR($C553="Decision",$C553="Conflict"),IF(COUNTIFS($I$2:$I$1001,$A553,$C$2:$C$1001,"Resolved")=0,"Open","Closed"),IF(AND($H553="Unconfirmed",OR($C553="New",$C553="Know")),IF(COUNTIFS($I$2:$I$1001,$A553,$C$2:$C$1001,"Confirmed")=0,"Unconfirmed","Confirmed"),"Logged")))</f>
        <v/>
      </c>
      <c r="L553" s="65" t="str">
        <f aca="false">IF($A553="","",AsOf-$B553)</f>
        <v/>
      </c>
      <c r="M553" s="65" t="str">
        <f aca="false">IF($K553="Open",IF($C553="Conflict","Critical",IF($L553&gt;=DecisionCritical,"Critical",IF($L553&gt;=DecisionWarn,"Warning","On track"))),IF($K553="Unconfirmed",IF($L553&gt;=UnconfirmedWarn,"Warning","On track"),""))</f>
        <v/>
      </c>
      <c r="N553" s="65" t="str">
        <f aca="false">IF($M553="","",IF($M553="Critical",3000,IF($M553="Warning",2000,1000))+$L553+ROW()/100000)</f>
        <v/>
      </c>
      <c r="O553" s="65" t="str">
        <f aca="false">IF($K553="Open",IF($C553="Conflict","decide "&amp;$A553&amp;": &lt;which version stands&gt;","decide "&amp;$A553&amp;": &lt;outcome&gt;"),IF($K553="Unconfirmed","confirm "&amp;$A553,""))</f>
        <v/>
      </c>
      <c r="P553" s="65" t="str">
        <f aca="false">IF(AND($C553="New",$B553&gt;=WeekStart),$B553+ROW()/100000,"")</f>
        <v/>
      </c>
      <c r="Q553" s="65" t="str">
        <f aca="false">IF(AND($C553="Know",$B553&gt;=WeekStart),$B553+ROW()/100000,"")</f>
        <v/>
      </c>
      <c r="R553" s="65" t="str">
        <f aca="false">IF(AND($K553="Open",$C553="Decision"),$L553+ROW()/100000,"")</f>
        <v/>
      </c>
      <c r="S553" s="65" t="str">
        <f aca="false">IF(AND($J553&lt;&gt;"",$J553=UCSel),$B553+ROW()/100000,"")</f>
        <v/>
      </c>
    </row>
    <row r="554" customFormat="false" ht="15" hidden="false" customHeight="false" outlineLevel="0" collapsed="false">
      <c r="A554" s="28"/>
      <c r="B554" s="63"/>
      <c r="C554" s="64"/>
      <c r="D554" s="28"/>
      <c r="E554" s="28"/>
      <c r="F554" s="28"/>
      <c r="G554" s="64"/>
      <c r="H554" s="64"/>
      <c r="I554" s="28"/>
      <c r="J554" s="28"/>
      <c r="K554" s="65" t="str">
        <f aca="false">IF($A554="","",IF(OR($C554="Decision",$C554="Conflict"),IF(COUNTIFS($I$2:$I$1001,$A554,$C$2:$C$1001,"Resolved")=0,"Open","Closed"),IF(AND($H554="Unconfirmed",OR($C554="New",$C554="Know")),IF(COUNTIFS($I$2:$I$1001,$A554,$C$2:$C$1001,"Confirmed")=0,"Unconfirmed","Confirmed"),"Logged")))</f>
        <v/>
      </c>
      <c r="L554" s="65" t="str">
        <f aca="false">IF($A554="","",AsOf-$B554)</f>
        <v/>
      </c>
      <c r="M554" s="65" t="str">
        <f aca="false">IF($K554="Open",IF($C554="Conflict","Critical",IF($L554&gt;=DecisionCritical,"Critical",IF($L554&gt;=DecisionWarn,"Warning","On track"))),IF($K554="Unconfirmed",IF($L554&gt;=UnconfirmedWarn,"Warning","On track"),""))</f>
        <v/>
      </c>
      <c r="N554" s="65" t="str">
        <f aca="false">IF($M554="","",IF($M554="Critical",3000,IF($M554="Warning",2000,1000))+$L554+ROW()/100000)</f>
        <v/>
      </c>
      <c r="O554" s="65" t="str">
        <f aca="false">IF($K554="Open",IF($C554="Conflict","decide "&amp;$A554&amp;": &lt;which version stands&gt;","decide "&amp;$A554&amp;": &lt;outcome&gt;"),IF($K554="Unconfirmed","confirm "&amp;$A554,""))</f>
        <v/>
      </c>
      <c r="P554" s="65" t="str">
        <f aca="false">IF(AND($C554="New",$B554&gt;=WeekStart),$B554+ROW()/100000,"")</f>
        <v/>
      </c>
      <c r="Q554" s="65" t="str">
        <f aca="false">IF(AND($C554="Know",$B554&gt;=WeekStart),$B554+ROW()/100000,"")</f>
        <v/>
      </c>
      <c r="R554" s="65" t="str">
        <f aca="false">IF(AND($K554="Open",$C554="Decision"),$L554+ROW()/100000,"")</f>
        <v/>
      </c>
      <c r="S554" s="65" t="str">
        <f aca="false">IF(AND($J554&lt;&gt;"",$J554=UCSel),$B554+ROW()/100000,"")</f>
        <v/>
      </c>
    </row>
    <row r="555" customFormat="false" ht="15" hidden="false" customHeight="false" outlineLevel="0" collapsed="false">
      <c r="A555" s="28"/>
      <c r="B555" s="63"/>
      <c r="C555" s="64"/>
      <c r="D555" s="28"/>
      <c r="E555" s="28"/>
      <c r="F555" s="28"/>
      <c r="G555" s="64"/>
      <c r="H555" s="64"/>
      <c r="I555" s="28"/>
      <c r="J555" s="28"/>
      <c r="K555" s="65" t="str">
        <f aca="false">IF($A555="","",IF(OR($C555="Decision",$C555="Conflict"),IF(COUNTIFS($I$2:$I$1001,$A555,$C$2:$C$1001,"Resolved")=0,"Open","Closed"),IF(AND($H555="Unconfirmed",OR($C555="New",$C555="Know")),IF(COUNTIFS($I$2:$I$1001,$A555,$C$2:$C$1001,"Confirmed")=0,"Unconfirmed","Confirmed"),"Logged")))</f>
        <v/>
      </c>
      <c r="L555" s="65" t="str">
        <f aca="false">IF($A555="","",AsOf-$B555)</f>
        <v/>
      </c>
      <c r="M555" s="65" t="str">
        <f aca="false">IF($K555="Open",IF($C555="Conflict","Critical",IF($L555&gt;=DecisionCritical,"Critical",IF($L555&gt;=DecisionWarn,"Warning","On track"))),IF($K555="Unconfirmed",IF($L555&gt;=UnconfirmedWarn,"Warning","On track"),""))</f>
        <v/>
      </c>
      <c r="N555" s="65" t="str">
        <f aca="false">IF($M555="","",IF($M555="Critical",3000,IF($M555="Warning",2000,1000))+$L555+ROW()/100000)</f>
        <v/>
      </c>
      <c r="O555" s="65" t="str">
        <f aca="false">IF($K555="Open",IF($C555="Conflict","decide "&amp;$A555&amp;": &lt;which version stands&gt;","decide "&amp;$A555&amp;": &lt;outcome&gt;"),IF($K555="Unconfirmed","confirm "&amp;$A555,""))</f>
        <v/>
      </c>
      <c r="P555" s="65" t="str">
        <f aca="false">IF(AND($C555="New",$B555&gt;=WeekStart),$B555+ROW()/100000,"")</f>
        <v/>
      </c>
      <c r="Q555" s="65" t="str">
        <f aca="false">IF(AND($C555="Know",$B555&gt;=WeekStart),$B555+ROW()/100000,"")</f>
        <v/>
      </c>
      <c r="R555" s="65" t="str">
        <f aca="false">IF(AND($K555="Open",$C555="Decision"),$L555+ROW()/100000,"")</f>
        <v/>
      </c>
      <c r="S555" s="65" t="str">
        <f aca="false">IF(AND($J555&lt;&gt;"",$J555=UCSel),$B555+ROW()/100000,"")</f>
        <v/>
      </c>
    </row>
    <row r="556" customFormat="false" ht="15" hidden="false" customHeight="false" outlineLevel="0" collapsed="false">
      <c r="A556" s="28"/>
      <c r="B556" s="63"/>
      <c r="C556" s="64"/>
      <c r="D556" s="28"/>
      <c r="E556" s="28"/>
      <c r="F556" s="28"/>
      <c r="G556" s="64"/>
      <c r="H556" s="64"/>
      <c r="I556" s="28"/>
      <c r="J556" s="28"/>
      <c r="K556" s="65" t="str">
        <f aca="false">IF($A556="","",IF(OR($C556="Decision",$C556="Conflict"),IF(COUNTIFS($I$2:$I$1001,$A556,$C$2:$C$1001,"Resolved")=0,"Open","Closed"),IF(AND($H556="Unconfirmed",OR($C556="New",$C556="Know")),IF(COUNTIFS($I$2:$I$1001,$A556,$C$2:$C$1001,"Confirmed")=0,"Unconfirmed","Confirmed"),"Logged")))</f>
        <v/>
      </c>
      <c r="L556" s="65" t="str">
        <f aca="false">IF($A556="","",AsOf-$B556)</f>
        <v/>
      </c>
      <c r="M556" s="65" t="str">
        <f aca="false">IF($K556="Open",IF($C556="Conflict","Critical",IF($L556&gt;=DecisionCritical,"Critical",IF($L556&gt;=DecisionWarn,"Warning","On track"))),IF($K556="Unconfirmed",IF($L556&gt;=UnconfirmedWarn,"Warning","On track"),""))</f>
        <v/>
      </c>
      <c r="N556" s="65" t="str">
        <f aca="false">IF($M556="","",IF($M556="Critical",3000,IF($M556="Warning",2000,1000))+$L556+ROW()/100000)</f>
        <v/>
      </c>
      <c r="O556" s="65" t="str">
        <f aca="false">IF($K556="Open",IF($C556="Conflict","decide "&amp;$A556&amp;": &lt;which version stands&gt;","decide "&amp;$A556&amp;": &lt;outcome&gt;"),IF($K556="Unconfirmed","confirm "&amp;$A556,""))</f>
        <v/>
      </c>
      <c r="P556" s="65" t="str">
        <f aca="false">IF(AND($C556="New",$B556&gt;=WeekStart),$B556+ROW()/100000,"")</f>
        <v/>
      </c>
      <c r="Q556" s="65" t="str">
        <f aca="false">IF(AND($C556="Know",$B556&gt;=WeekStart),$B556+ROW()/100000,"")</f>
        <v/>
      </c>
      <c r="R556" s="65" t="str">
        <f aca="false">IF(AND($K556="Open",$C556="Decision"),$L556+ROW()/100000,"")</f>
        <v/>
      </c>
      <c r="S556" s="65" t="str">
        <f aca="false">IF(AND($J556&lt;&gt;"",$J556=UCSel),$B556+ROW()/100000,"")</f>
        <v/>
      </c>
    </row>
    <row r="557" customFormat="false" ht="15" hidden="false" customHeight="false" outlineLevel="0" collapsed="false">
      <c r="A557" s="28"/>
      <c r="B557" s="63"/>
      <c r="C557" s="64"/>
      <c r="D557" s="28"/>
      <c r="E557" s="28"/>
      <c r="F557" s="28"/>
      <c r="G557" s="64"/>
      <c r="H557" s="64"/>
      <c r="I557" s="28"/>
      <c r="J557" s="28"/>
      <c r="K557" s="65" t="str">
        <f aca="false">IF($A557="","",IF(OR($C557="Decision",$C557="Conflict"),IF(COUNTIFS($I$2:$I$1001,$A557,$C$2:$C$1001,"Resolved")=0,"Open","Closed"),IF(AND($H557="Unconfirmed",OR($C557="New",$C557="Know")),IF(COUNTIFS($I$2:$I$1001,$A557,$C$2:$C$1001,"Confirmed")=0,"Unconfirmed","Confirmed"),"Logged")))</f>
        <v/>
      </c>
      <c r="L557" s="65" t="str">
        <f aca="false">IF($A557="","",AsOf-$B557)</f>
        <v/>
      </c>
      <c r="M557" s="65" t="str">
        <f aca="false">IF($K557="Open",IF($C557="Conflict","Critical",IF($L557&gt;=DecisionCritical,"Critical",IF($L557&gt;=DecisionWarn,"Warning","On track"))),IF($K557="Unconfirmed",IF($L557&gt;=UnconfirmedWarn,"Warning","On track"),""))</f>
        <v/>
      </c>
      <c r="N557" s="65" t="str">
        <f aca="false">IF($M557="","",IF($M557="Critical",3000,IF($M557="Warning",2000,1000))+$L557+ROW()/100000)</f>
        <v/>
      </c>
      <c r="O557" s="65" t="str">
        <f aca="false">IF($K557="Open",IF($C557="Conflict","decide "&amp;$A557&amp;": &lt;which version stands&gt;","decide "&amp;$A557&amp;": &lt;outcome&gt;"),IF($K557="Unconfirmed","confirm "&amp;$A557,""))</f>
        <v/>
      </c>
      <c r="P557" s="65" t="str">
        <f aca="false">IF(AND($C557="New",$B557&gt;=WeekStart),$B557+ROW()/100000,"")</f>
        <v/>
      </c>
      <c r="Q557" s="65" t="str">
        <f aca="false">IF(AND($C557="Know",$B557&gt;=WeekStart),$B557+ROW()/100000,"")</f>
        <v/>
      </c>
      <c r="R557" s="65" t="str">
        <f aca="false">IF(AND($K557="Open",$C557="Decision"),$L557+ROW()/100000,"")</f>
        <v/>
      </c>
      <c r="S557" s="65" t="str">
        <f aca="false">IF(AND($J557&lt;&gt;"",$J557=UCSel),$B557+ROW()/100000,"")</f>
        <v/>
      </c>
    </row>
    <row r="558" customFormat="false" ht="15" hidden="false" customHeight="false" outlineLevel="0" collapsed="false">
      <c r="A558" s="28"/>
      <c r="B558" s="63"/>
      <c r="C558" s="64"/>
      <c r="D558" s="28"/>
      <c r="E558" s="28"/>
      <c r="F558" s="28"/>
      <c r="G558" s="64"/>
      <c r="H558" s="64"/>
      <c r="I558" s="28"/>
      <c r="J558" s="28"/>
      <c r="K558" s="65" t="str">
        <f aca="false">IF($A558="","",IF(OR($C558="Decision",$C558="Conflict"),IF(COUNTIFS($I$2:$I$1001,$A558,$C$2:$C$1001,"Resolved")=0,"Open","Closed"),IF(AND($H558="Unconfirmed",OR($C558="New",$C558="Know")),IF(COUNTIFS($I$2:$I$1001,$A558,$C$2:$C$1001,"Confirmed")=0,"Unconfirmed","Confirmed"),"Logged")))</f>
        <v/>
      </c>
      <c r="L558" s="65" t="str">
        <f aca="false">IF($A558="","",AsOf-$B558)</f>
        <v/>
      </c>
      <c r="M558" s="65" t="str">
        <f aca="false">IF($K558="Open",IF($C558="Conflict","Critical",IF($L558&gt;=DecisionCritical,"Critical",IF($L558&gt;=DecisionWarn,"Warning","On track"))),IF($K558="Unconfirmed",IF($L558&gt;=UnconfirmedWarn,"Warning","On track"),""))</f>
        <v/>
      </c>
      <c r="N558" s="65" t="str">
        <f aca="false">IF($M558="","",IF($M558="Critical",3000,IF($M558="Warning",2000,1000))+$L558+ROW()/100000)</f>
        <v/>
      </c>
      <c r="O558" s="65" t="str">
        <f aca="false">IF($K558="Open",IF($C558="Conflict","decide "&amp;$A558&amp;": &lt;which version stands&gt;","decide "&amp;$A558&amp;": &lt;outcome&gt;"),IF($K558="Unconfirmed","confirm "&amp;$A558,""))</f>
        <v/>
      </c>
      <c r="P558" s="65" t="str">
        <f aca="false">IF(AND($C558="New",$B558&gt;=WeekStart),$B558+ROW()/100000,"")</f>
        <v/>
      </c>
      <c r="Q558" s="65" t="str">
        <f aca="false">IF(AND($C558="Know",$B558&gt;=WeekStart),$B558+ROW()/100000,"")</f>
        <v/>
      </c>
      <c r="R558" s="65" t="str">
        <f aca="false">IF(AND($K558="Open",$C558="Decision"),$L558+ROW()/100000,"")</f>
        <v/>
      </c>
      <c r="S558" s="65" t="str">
        <f aca="false">IF(AND($J558&lt;&gt;"",$J558=UCSel),$B558+ROW()/100000,"")</f>
        <v/>
      </c>
    </row>
    <row r="559" customFormat="false" ht="15" hidden="false" customHeight="false" outlineLevel="0" collapsed="false">
      <c r="A559" s="28"/>
      <c r="B559" s="63"/>
      <c r="C559" s="64"/>
      <c r="D559" s="28"/>
      <c r="E559" s="28"/>
      <c r="F559" s="28"/>
      <c r="G559" s="64"/>
      <c r="H559" s="64"/>
      <c r="I559" s="28"/>
      <c r="J559" s="28"/>
      <c r="K559" s="65" t="str">
        <f aca="false">IF($A559="","",IF(OR($C559="Decision",$C559="Conflict"),IF(COUNTIFS($I$2:$I$1001,$A559,$C$2:$C$1001,"Resolved")=0,"Open","Closed"),IF(AND($H559="Unconfirmed",OR($C559="New",$C559="Know")),IF(COUNTIFS($I$2:$I$1001,$A559,$C$2:$C$1001,"Confirmed")=0,"Unconfirmed","Confirmed"),"Logged")))</f>
        <v/>
      </c>
      <c r="L559" s="65" t="str">
        <f aca="false">IF($A559="","",AsOf-$B559)</f>
        <v/>
      </c>
      <c r="M559" s="65" t="str">
        <f aca="false">IF($K559="Open",IF($C559="Conflict","Critical",IF($L559&gt;=DecisionCritical,"Critical",IF($L559&gt;=DecisionWarn,"Warning","On track"))),IF($K559="Unconfirmed",IF($L559&gt;=UnconfirmedWarn,"Warning","On track"),""))</f>
        <v/>
      </c>
      <c r="N559" s="65" t="str">
        <f aca="false">IF($M559="","",IF($M559="Critical",3000,IF($M559="Warning",2000,1000))+$L559+ROW()/100000)</f>
        <v/>
      </c>
      <c r="O559" s="65" t="str">
        <f aca="false">IF($K559="Open",IF($C559="Conflict","decide "&amp;$A559&amp;": &lt;which version stands&gt;","decide "&amp;$A559&amp;": &lt;outcome&gt;"),IF($K559="Unconfirmed","confirm "&amp;$A559,""))</f>
        <v/>
      </c>
      <c r="P559" s="65" t="str">
        <f aca="false">IF(AND($C559="New",$B559&gt;=WeekStart),$B559+ROW()/100000,"")</f>
        <v/>
      </c>
      <c r="Q559" s="65" t="str">
        <f aca="false">IF(AND($C559="Know",$B559&gt;=WeekStart),$B559+ROW()/100000,"")</f>
        <v/>
      </c>
      <c r="R559" s="65" t="str">
        <f aca="false">IF(AND($K559="Open",$C559="Decision"),$L559+ROW()/100000,"")</f>
        <v/>
      </c>
      <c r="S559" s="65" t="str">
        <f aca="false">IF(AND($J559&lt;&gt;"",$J559=UCSel),$B559+ROW()/100000,"")</f>
        <v/>
      </c>
    </row>
    <row r="560" customFormat="false" ht="15" hidden="false" customHeight="false" outlineLevel="0" collapsed="false">
      <c r="A560" s="28"/>
      <c r="B560" s="63"/>
      <c r="C560" s="64"/>
      <c r="D560" s="28"/>
      <c r="E560" s="28"/>
      <c r="F560" s="28"/>
      <c r="G560" s="64"/>
      <c r="H560" s="64"/>
      <c r="I560" s="28"/>
      <c r="J560" s="28"/>
      <c r="K560" s="65" t="str">
        <f aca="false">IF($A560="","",IF(OR($C560="Decision",$C560="Conflict"),IF(COUNTIFS($I$2:$I$1001,$A560,$C$2:$C$1001,"Resolved")=0,"Open","Closed"),IF(AND($H560="Unconfirmed",OR($C560="New",$C560="Know")),IF(COUNTIFS($I$2:$I$1001,$A560,$C$2:$C$1001,"Confirmed")=0,"Unconfirmed","Confirmed"),"Logged")))</f>
        <v/>
      </c>
      <c r="L560" s="65" t="str">
        <f aca="false">IF($A560="","",AsOf-$B560)</f>
        <v/>
      </c>
      <c r="M560" s="65" t="str">
        <f aca="false">IF($K560="Open",IF($C560="Conflict","Critical",IF($L560&gt;=DecisionCritical,"Critical",IF($L560&gt;=DecisionWarn,"Warning","On track"))),IF($K560="Unconfirmed",IF($L560&gt;=UnconfirmedWarn,"Warning","On track"),""))</f>
        <v/>
      </c>
      <c r="N560" s="65" t="str">
        <f aca="false">IF($M560="","",IF($M560="Critical",3000,IF($M560="Warning",2000,1000))+$L560+ROW()/100000)</f>
        <v/>
      </c>
      <c r="O560" s="65" t="str">
        <f aca="false">IF($K560="Open",IF($C560="Conflict","decide "&amp;$A560&amp;": &lt;which version stands&gt;","decide "&amp;$A560&amp;": &lt;outcome&gt;"),IF($K560="Unconfirmed","confirm "&amp;$A560,""))</f>
        <v/>
      </c>
      <c r="P560" s="65" t="str">
        <f aca="false">IF(AND($C560="New",$B560&gt;=WeekStart),$B560+ROW()/100000,"")</f>
        <v/>
      </c>
      <c r="Q560" s="65" t="str">
        <f aca="false">IF(AND($C560="Know",$B560&gt;=WeekStart),$B560+ROW()/100000,"")</f>
        <v/>
      </c>
      <c r="R560" s="65" t="str">
        <f aca="false">IF(AND($K560="Open",$C560="Decision"),$L560+ROW()/100000,"")</f>
        <v/>
      </c>
      <c r="S560" s="65" t="str">
        <f aca="false">IF(AND($J560&lt;&gt;"",$J560=UCSel),$B560+ROW()/100000,"")</f>
        <v/>
      </c>
    </row>
    <row r="561" customFormat="false" ht="15" hidden="false" customHeight="false" outlineLevel="0" collapsed="false">
      <c r="A561" s="28"/>
      <c r="B561" s="63"/>
      <c r="C561" s="64"/>
      <c r="D561" s="28"/>
      <c r="E561" s="28"/>
      <c r="F561" s="28"/>
      <c r="G561" s="64"/>
      <c r="H561" s="64"/>
      <c r="I561" s="28"/>
      <c r="J561" s="28"/>
      <c r="K561" s="65" t="str">
        <f aca="false">IF($A561="","",IF(OR($C561="Decision",$C561="Conflict"),IF(COUNTIFS($I$2:$I$1001,$A561,$C$2:$C$1001,"Resolved")=0,"Open","Closed"),IF(AND($H561="Unconfirmed",OR($C561="New",$C561="Know")),IF(COUNTIFS($I$2:$I$1001,$A561,$C$2:$C$1001,"Confirmed")=0,"Unconfirmed","Confirmed"),"Logged")))</f>
        <v/>
      </c>
      <c r="L561" s="65" t="str">
        <f aca="false">IF($A561="","",AsOf-$B561)</f>
        <v/>
      </c>
      <c r="M561" s="65" t="str">
        <f aca="false">IF($K561="Open",IF($C561="Conflict","Critical",IF($L561&gt;=DecisionCritical,"Critical",IF($L561&gt;=DecisionWarn,"Warning","On track"))),IF($K561="Unconfirmed",IF($L561&gt;=UnconfirmedWarn,"Warning","On track"),""))</f>
        <v/>
      </c>
      <c r="N561" s="65" t="str">
        <f aca="false">IF($M561="","",IF($M561="Critical",3000,IF($M561="Warning",2000,1000))+$L561+ROW()/100000)</f>
        <v/>
      </c>
      <c r="O561" s="65" t="str">
        <f aca="false">IF($K561="Open",IF($C561="Conflict","decide "&amp;$A561&amp;": &lt;which version stands&gt;","decide "&amp;$A561&amp;": &lt;outcome&gt;"),IF($K561="Unconfirmed","confirm "&amp;$A561,""))</f>
        <v/>
      </c>
      <c r="P561" s="65" t="str">
        <f aca="false">IF(AND($C561="New",$B561&gt;=WeekStart),$B561+ROW()/100000,"")</f>
        <v/>
      </c>
      <c r="Q561" s="65" t="str">
        <f aca="false">IF(AND($C561="Know",$B561&gt;=WeekStart),$B561+ROW()/100000,"")</f>
        <v/>
      </c>
      <c r="R561" s="65" t="str">
        <f aca="false">IF(AND($K561="Open",$C561="Decision"),$L561+ROW()/100000,"")</f>
        <v/>
      </c>
      <c r="S561" s="65" t="str">
        <f aca="false">IF(AND($J561&lt;&gt;"",$J561=UCSel),$B561+ROW()/100000,"")</f>
        <v/>
      </c>
    </row>
    <row r="562" customFormat="false" ht="15" hidden="false" customHeight="false" outlineLevel="0" collapsed="false">
      <c r="A562" s="28"/>
      <c r="B562" s="63"/>
      <c r="C562" s="64"/>
      <c r="D562" s="28"/>
      <c r="E562" s="28"/>
      <c r="F562" s="28"/>
      <c r="G562" s="64"/>
      <c r="H562" s="64"/>
      <c r="I562" s="28"/>
      <c r="J562" s="28"/>
      <c r="K562" s="65" t="str">
        <f aca="false">IF($A562="","",IF(OR($C562="Decision",$C562="Conflict"),IF(COUNTIFS($I$2:$I$1001,$A562,$C$2:$C$1001,"Resolved")=0,"Open","Closed"),IF(AND($H562="Unconfirmed",OR($C562="New",$C562="Know")),IF(COUNTIFS($I$2:$I$1001,$A562,$C$2:$C$1001,"Confirmed")=0,"Unconfirmed","Confirmed"),"Logged")))</f>
        <v/>
      </c>
      <c r="L562" s="65" t="str">
        <f aca="false">IF($A562="","",AsOf-$B562)</f>
        <v/>
      </c>
      <c r="M562" s="65" t="str">
        <f aca="false">IF($K562="Open",IF($C562="Conflict","Critical",IF($L562&gt;=DecisionCritical,"Critical",IF($L562&gt;=DecisionWarn,"Warning","On track"))),IF($K562="Unconfirmed",IF($L562&gt;=UnconfirmedWarn,"Warning","On track"),""))</f>
        <v/>
      </c>
      <c r="N562" s="65" t="str">
        <f aca="false">IF($M562="","",IF($M562="Critical",3000,IF($M562="Warning",2000,1000))+$L562+ROW()/100000)</f>
        <v/>
      </c>
      <c r="O562" s="65" t="str">
        <f aca="false">IF($K562="Open",IF($C562="Conflict","decide "&amp;$A562&amp;": &lt;which version stands&gt;","decide "&amp;$A562&amp;": &lt;outcome&gt;"),IF($K562="Unconfirmed","confirm "&amp;$A562,""))</f>
        <v/>
      </c>
      <c r="P562" s="65" t="str">
        <f aca="false">IF(AND($C562="New",$B562&gt;=WeekStart),$B562+ROW()/100000,"")</f>
        <v/>
      </c>
      <c r="Q562" s="65" t="str">
        <f aca="false">IF(AND($C562="Know",$B562&gt;=WeekStart),$B562+ROW()/100000,"")</f>
        <v/>
      </c>
      <c r="R562" s="65" t="str">
        <f aca="false">IF(AND($K562="Open",$C562="Decision"),$L562+ROW()/100000,"")</f>
        <v/>
      </c>
      <c r="S562" s="65" t="str">
        <f aca="false">IF(AND($J562&lt;&gt;"",$J562=UCSel),$B562+ROW()/100000,"")</f>
        <v/>
      </c>
    </row>
    <row r="563" customFormat="false" ht="15" hidden="false" customHeight="false" outlineLevel="0" collapsed="false">
      <c r="A563" s="28"/>
      <c r="B563" s="63"/>
      <c r="C563" s="64"/>
      <c r="D563" s="28"/>
      <c r="E563" s="28"/>
      <c r="F563" s="28"/>
      <c r="G563" s="64"/>
      <c r="H563" s="64"/>
      <c r="I563" s="28"/>
      <c r="J563" s="28"/>
      <c r="K563" s="65" t="str">
        <f aca="false">IF($A563="","",IF(OR($C563="Decision",$C563="Conflict"),IF(COUNTIFS($I$2:$I$1001,$A563,$C$2:$C$1001,"Resolved")=0,"Open","Closed"),IF(AND($H563="Unconfirmed",OR($C563="New",$C563="Know")),IF(COUNTIFS($I$2:$I$1001,$A563,$C$2:$C$1001,"Confirmed")=0,"Unconfirmed","Confirmed"),"Logged")))</f>
        <v/>
      </c>
      <c r="L563" s="65" t="str">
        <f aca="false">IF($A563="","",AsOf-$B563)</f>
        <v/>
      </c>
      <c r="M563" s="65" t="str">
        <f aca="false">IF($K563="Open",IF($C563="Conflict","Critical",IF($L563&gt;=DecisionCritical,"Critical",IF($L563&gt;=DecisionWarn,"Warning","On track"))),IF($K563="Unconfirmed",IF($L563&gt;=UnconfirmedWarn,"Warning","On track"),""))</f>
        <v/>
      </c>
      <c r="N563" s="65" t="str">
        <f aca="false">IF($M563="","",IF($M563="Critical",3000,IF($M563="Warning",2000,1000))+$L563+ROW()/100000)</f>
        <v/>
      </c>
      <c r="O563" s="65" t="str">
        <f aca="false">IF($K563="Open",IF($C563="Conflict","decide "&amp;$A563&amp;": &lt;which version stands&gt;","decide "&amp;$A563&amp;": &lt;outcome&gt;"),IF($K563="Unconfirmed","confirm "&amp;$A563,""))</f>
        <v/>
      </c>
      <c r="P563" s="65" t="str">
        <f aca="false">IF(AND($C563="New",$B563&gt;=WeekStart),$B563+ROW()/100000,"")</f>
        <v/>
      </c>
      <c r="Q563" s="65" t="str">
        <f aca="false">IF(AND($C563="Know",$B563&gt;=WeekStart),$B563+ROW()/100000,"")</f>
        <v/>
      </c>
      <c r="R563" s="65" t="str">
        <f aca="false">IF(AND($K563="Open",$C563="Decision"),$L563+ROW()/100000,"")</f>
        <v/>
      </c>
      <c r="S563" s="65" t="str">
        <f aca="false">IF(AND($J563&lt;&gt;"",$J563=UCSel),$B563+ROW()/100000,"")</f>
        <v/>
      </c>
    </row>
    <row r="564" customFormat="false" ht="15" hidden="false" customHeight="false" outlineLevel="0" collapsed="false">
      <c r="A564" s="28"/>
      <c r="B564" s="63"/>
      <c r="C564" s="64"/>
      <c r="D564" s="28"/>
      <c r="E564" s="28"/>
      <c r="F564" s="28"/>
      <c r="G564" s="64"/>
      <c r="H564" s="64"/>
      <c r="I564" s="28"/>
      <c r="J564" s="28"/>
      <c r="K564" s="65" t="str">
        <f aca="false">IF($A564="","",IF(OR($C564="Decision",$C564="Conflict"),IF(COUNTIFS($I$2:$I$1001,$A564,$C$2:$C$1001,"Resolved")=0,"Open","Closed"),IF(AND($H564="Unconfirmed",OR($C564="New",$C564="Know")),IF(COUNTIFS($I$2:$I$1001,$A564,$C$2:$C$1001,"Confirmed")=0,"Unconfirmed","Confirmed"),"Logged")))</f>
        <v/>
      </c>
      <c r="L564" s="65" t="str">
        <f aca="false">IF($A564="","",AsOf-$B564)</f>
        <v/>
      </c>
      <c r="M564" s="65" t="str">
        <f aca="false">IF($K564="Open",IF($C564="Conflict","Critical",IF($L564&gt;=DecisionCritical,"Critical",IF($L564&gt;=DecisionWarn,"Warning","On track"))),IF($K564="Unconfirmed",IF($L564&gt;=UnconfirmedWarn,"Warning","On track"),""))</f>
        <v/>
      </c>
      <c r="N564" s="65" t="str">
        <f aca="false">IF($M564="","",IF($M564="Critical",3000,IF($M564="Warning",2000,1000))+$L564+ROW()/100000)</f>
        <v/>
      </c>
      <c r="O564" s="65" t="str">
        <f aca="false">IF($K564="Open",IF($C564="Conflict","decide "&amp;$A564&amp;": &lt;which version stands&gt;","decide "&amp;$A564&amp;": &lt;outcome&gt;"),IF($K564="Unconfirmed","confirm "&amp;$A564,""))</f>
        <v/>
      </c>
      <c r="P564" s="65" t="str">
        <f aca="false">IF(AND($C564="New",$B564&gt;=WeekStart),$B564+ROW()/100000,"")</f>
        <v/>
      </c>
      <c r="Q564" s="65" t="str">
        <f aca="false">IF(AND($C564="Know",$B564&gt;=WeekStart),$B564+ROW()/100000,"")</f>
        <v/>
      </c>
      <c r="R564" s="65" t="str">
        <f aca="false">IF(AND($K564="Open",$C564="Decision"),$L564+ROW()/100000,"")</f>
        <v/>
      </c>
      <c r="S564" s="65" t="str">
        <f aca="false">IF(AND($J564&lt;&gt;"",$J564=UCSel),$B564+ROW()/100000,"")</f>
        <v/>
      </c>
    </row>
    <row r="565" customFormat="false" ht="15" hidden="false" customHeight="false" outlineLevel="0" collapsed="false">
      <c r="A565" s="28"/>
      <c r="B565" s="63"/>
      <c r="C565" s="64"/>
      <c r="D565" s="28"/>
      <c r="E565" s="28"/>
      <c r="F565" s="28"/>
      <c r="G565" s="64"/>
      <c r="H565" s="64"/>
      <c r="I565" s="28"/>
      <c r="J565" s="28"/>
      <c r="K565" s="65" t="str">
        <f aca="false">IF($A565="","",IF(OR($C565="Decision",$C565="Conflict"),IF(COUNTIFS($I$2:$I$1001,$A565,$C$2:$C$1001,"Resolved")=0,"Open","Closed"),IF(AND($H565="Unconfirmed",OR($C565="New",$C565="Know")),IF(COUNTIFS($I$2:$I$1001,$A565,$C$2:$C$1001,"Confirmed")=0,"Unconfirmed","Confirmed"),"Logged")))</f>
        <v/>
      </c>
      <c r="L565" s="65" t="str">
        <f aca="false">IF($A565="","",AsOf-$B565)</f>
        <v/>
      </c>
      <c r="M565" s="65" t="str">
        <f aca="false">IF($K565="Open",IF($C565="Conflict","Critical",IF($L565&gt;=DecisionCritical,"Critical",IF($L565&gt;=DecisionWarn,"Warning","On track"))),IF($K565="Unconfirmed",IF($L565&gt;=UnconfirmedWarn,"Warning","On track"),""))</f>
        <v/>
      </c>
      <c r="N565" s="65" t="str">
        <f aca="false">IF($M565="","",IF($M565="Critical",3000,IF($M565="Warning",2000,1000))+$L565+ROW()/100000)</f>
        <v/>
      </c>
      <c r="O565" s="65" t="str">
        <f aca="false">IF($K565="Open",IF($C565="Conflict","decide "&amp;$A565&amp;": &lt;which version stands&gt;","decide "&amp;$A565&amp;": &lt;outcome&gt;"),IF($K565="Unconfirmed","confirm "&amp;$A565,""))</f>
        <v/>
      </c>
      <c r="P565" s="65" t="str">
        <f aca="false">IF(AND($C565="New",$B565&gt;=WeekStart),$B565+ROW()/100000,"")</f>
        <v/>
      </c>
      <c r="Q565" s="65" t="str">
        <f aca="false">IF(AND($C565="Know",$B565&gt;=WeekStart),$B565+ROW()/100000,"")</f>
        <v/>
      </c>
      <c r="R565" s="65" t="str">
        <f aca="false">IF(AND($K565="Open",$C565="Decision"),$L565+ROW()/100000,"")</f>
        <v/>
      </c>
      <c r="S565" s="65" t="str">
        <f aca="false">IF(AND($J565&lt;&gt;"",$J565=UCSel),$B565+ROW()/100000,"")</f>
        <v/>
      </c>
    </row>
    <row r="566" customFormat="false" ht="15" hidden="false" customHeight="false" outlineLevel="0" collapsed="false">
      <c r="A566" s="28"/>
      <c r="B566" s="63"/>
      <c r="C566" s="64"/>
      <c r="D566" s="28"/>
      <c r="E566" s="28"/>
      <c r="F566" s="28"/>
      <c r="G566" s="64"/>
      <c r="H566" s="64"/>
      <c r="I566" s="28"/>
      <c r="J566" s="28"/>
      <c r="K566" s="65" t="str">
        <f aca="false">IF($A566="","",IF(OR($C566="Decision",$C566="Conflict"),IF(COUNTIFS($I$2:$I$1001,$A566,$C$2:$C$1001,"Resolved")=0,"Open","Closed"),IF(AND($H566="Unconfirmed",OR($C566="New",$C566="Know")),IF(COUNTIFS($I$2:$I$1001,$A566,$C$2:$C$1001,"Confirmed")=0,"Unconfirmed","Confirmed"),"Logged")))</f>
        <v/>
      </c>
      <c r="L566" s="65" t="str">
        <f aca="false">IF($A566="","",AsOf-$B566)</f>
        <v/>
      </c>
      <c r="M566" s="65" t="str">
        <f aca="false">IF($K566="Open",IF($C566="Conflict","Critical",IF($L566&gt;=DecisionCritical,"Critical",IF($L566&gt;=DecisionWarn,"Warning","On track"))),IF($K566="Unconfirmed",IF($L566&gt;=UnconfirmedWarn,"Warning","On track"),""))</f>
        <v/>
      </c>
      <c r="N566" s="65" t="str">
        <f aca="false">IF($M566="","",IF($M566="Critical",3000,IF($M566="Warning",2000,1000))+$L566+ROW()/100000)</f>
        <v/>
      </c>
      <c r="O566" s="65" t="str">
        <f aca="false">IF($K566="Open",IF($C566="Conflict","decide "&amp;$A566&amp;": &lt;which version stands&gt;","decide "&amp;$A566&amp;": &lt;outcome&gt;"),IF($K566="Unconfirmed","confirm "&amp;$A566,""))</f>
        <v/>
      </c>
      <c r="P566" s="65" t="str">
        <f aca="false">IF(AND($C566="New",$B566&gt;=WeekStart),$B566+ROW()/100000,"")</f>
        <v/>
      </c>
      <c r="Q566" s="65" t="str">
        <f aca="false">IF(AND($C566="Know",$B566&gt;=WeekStart),$B566+ROW()/100000,"")</f>
        <v/>
      </c>
      <c r="R566" s="65" t="str">
        <f aca="false">IF(AND($K566="Open",$C566="Decision"),$L566+ROW()/100000,"")</f>
        <v/>
      </c>
      <c r="S566" s="65" t="str">
        <f aca="false">IF(AND($J566&lt;&gt;"",$J566=UCSel),$B566+ROW()/100000,"")</f>
        <v/>
      </c>
    </row>
    <row r="567" customFormat="false" ht="15" hidden="false" customHeight="false" outlineLevel="0" collapsed="false">
      <c r="A567" s="28"/>
      <c r="B567" s="63"/>
      <c r="C567" s="64"/>
      <c r="D567" s="28"/>
      <c r="E567" s="28"/>
      <c r="F567" s="28"/>
      <c r="G567" s="64"/>
      <c r="H567" s="64"/>
      <c r="I567" s="28"/>
      <c r="J567" s="28"/>
      <c r="K567" s="65" t="str">
        <f aca="false">IF($A567="","",IF(OR($C567="Decision",$C567="Conflict"),IF(COUNTIFS($I$2:$I$1001,$A567,$C$2:$C$1001,"Resolved")=0,"Open","Closed"),IF(AND($H567="Unconfirmed",OR($C567="New",$C567="Know")),IF(COUNTIFS($I$2:$I$1001,$A567,$C$2:$C$1001,"Confirmed")=0,"Unconfirmed","Confirmed"),"Logged")))</f>
        <v/>
      </c>
      <c r="L567" s="65" t="str">
        <f aca="false">IF($A567="","",AsOf-$B567)</f>
        <v/>
      </c>
      <c r="M567" s="65" t="str">
        <f aca="false">IF($K567="Open",IF($C567="Conflict","Critical",IF($L567&gt;=DecisionCritical,"Critical",IF($L567&gt;=DecisionWarn,"Warning","On track"))),IF($K567="Unconfirmed",IF($L567&gt;=UnconfirmedWarn,"Warning","On track"),""))</f>
        <v/>
      </c>
      <c r="N567" s="65" t="str">
        <f aca="false">IF($M567="","",IF($M567="Critical",3000,IF($M567="Warning",2000,1000))+$L567+ROW()/100000)</f>
        <v/>
      </c>
      <c r="O567" s="65" t="str">
        <f aca="false">IF($K567="Open",IF($C567="Conflict","decide "&amp;$A567&amp;": &lt;which version stands&gt;","decide "&amp;$A567&amp;": &lt;outcome&gt;"),IF($K567="Unconfirmed","confirm "&amp;$A567,""))</f>
        <v/>
      </c>
      <c r="P567" s="65" t="str">
        <f aca="false">IF(AND($C567="New",$B567&gt;=WeekStart),$B567+ROW()/100000,"")</f>
        <v/>
      </c>
      <c r="Q567" s="65" t="str">
        <f aca="false">IF(AND($C567="Know",$B567&gt;=WeekStart),$B567+ROW()/100000,"")</f>
        <v/>
      </c>
      <c r="R567" s="65" t="str">
        <f aca="false">IF(AND($K567="Open",$C567="Decision"),$L567+ROW()/100000,"")</f>
        <v/>
      </c>
      <c r="S567" s="65" t="str">
        <f aca="false">IF(AND($J567&lt;&gt;"",$J567=UCSel),$B567+ROW()/100000,"")</f>
        <v/>
      </c>
    </row>
    <row r="568" customFormat="false" ht="15" hidden="false" customHeight="false" outlineLevel="0" collapsed="false">
      <c r="A568" s="28"/>
      <c r="B568" s="63"/>
      <c r="C568" s="64"/>
      <c r="D568" s="28"/>
      <c r="E568" s="28"/>
      <c r="F568" s="28"/>
      <c r="G568" s="64"/>
      <c r="H568" s="64"/>
      <c r="I568" s="28"/>
      <c r="J568" s="28"/>
      <c r="K568" s="65" t="str">
        <f aca="false">IF($A568="","",IF(OR($C568="Decision",$C568="Conflict"),IF(COUNTIFS($I$2:$I$1001,$A568,$C$2:$C$1001,"Resolved")=0,"Open","Closed"),IF(AND($H568="Unconfirmed",OR($C568="New",$C568="Know")),IF(COUNTIFS($I$2:$I$1001,$A568,$C$2:$C$1001,"Confirmed")=0,"Unconfirmed","Confirmed"),"Logged")))</f>
        <v/>
      </c>
      <c r="L568" s="65" t="str">
        <f aca="false">IF($A568="","",AsOf-$B568)</f>
        <v/>
      </c>
      <c r="M568" s="65" t="str">
        <f aca="false">IF($K568="Open",IF($C568="Conflict","Critical",IF($L568&gt;=DecisionCritical,"Critical",IF($L568&gt;=DecisionWarn,"Warning","On track"))),IF($K568="Unconfirmed",IF($L568&gt;=UnconfirmedWarn,"Warning","On track"),""))</f>
        <v/>
      </c>
      <c r="N568" s="65" t="str">
        <f aca="false">IF($M568="","",IF($M568="Critical",3000,IF($M568="Warning",2000,1000))+$L568+ROW()/100000)</f>
        <v/>
      </c>
      <c r="O568" s="65" t="str">
        <f aca="false">IF($K568="Open",IF($C568="Conflict","decide "&amp;$A568&amp;": &lt;which version stands&gt;","decide "&amp;$A568&amp;": &lt;outcome&gt;"),IF($K568="Unconfirmed","confirm "&amp;$A568,""))</f>
        <v/>
      </c>
      <c r="P568" s="65" t="str">
        <f aca="false">IF(AND($C568="New",$B568&gt;=WeekStart),$B568+ROW()/100000,"")</f>
        <v/>
      </c>
      <c r="Q568" s="65" t="str">
        <f aca="false">IF(AND($C568="Know",$B568&gt;=WeekStart),$B568+ROW()/100000,"")</f>
        <v/>
      </c>
      <c r="R568" s="65" t="str">
        <f aca="false">IF(AND($K568="Open",$C568="Decision"),$L568+ROW()/100000,"")</f>
        <v/>
      </c>
      <c r="S568" s="65" t="str">
        <f aca="false">IF(AND($J568&lt;&gt;"",$J568=UCSel),$B568+ROW()/100000,"")</f>
        <v/>
      </c>
    </row>
    <row r="569" customFormat="false" ht="15" hidden="false" customHeight="false" outlineLevel="0" collapsed="false">
      <c r="A569" s="28"/>
      <c r="B569" s="63"/>
      <c r="C569" s="64"/>
      <c r="D569" s="28"/>
      <c r="E569" s="28"/>
      <c r="F569" s="28"/>
      <c r="G569" s="64"/>
      <c r="H569" s="64"/>
      <c r="I569" s="28"/>
      <c r="J569" s="28"/>
      <c r="K569" s="65" t="str">
        <f aca="false">IF($A569="","",IF(OR($C569="Decision",$C569="Conflict"),IF(COUNTIFS($I$2:$I$1001,$A569,$C$2:$C$1001,"Resolved")=0,"Open","Closed"),IF(AND($H569="Unconfirmed",OR($C569="New",$C569="Know")),IF(COUNTIFS($I$2:$I$1001,$A569,$C$2:$C$1001,"Confirmed")=0,"Unconfirmed","Confirmed"),"Logged")))</f>
        <v/>
      </c>
      <c r="L569" s="65" t="str">
        <f aca="false">IF($A569="","",AsOf-$B569)</f>
        <v/>
      </c>
      <c r="M569" s="65" t="str">
        <f aca="false">IF($K569="Open",IF($C569="Conflict","Critical",IF($L569&gt;=DecisionCritical,"Critical",IF($L569&gt;=DecisionWarn,"Warning","On track"))),IF($K569="Unconfirmed",IF($L569&gt;=UnconfirmedWarn,"Warning","On track"),""))</f>
        <v/>
      </c>
      <c r="N569" s="65" t="str">
        <f aca="false">IF($M569="","",IF($M569="Critical",3000,IF($M569="Warning",2000,1000))+$L569+ROW()/100000)</f>
        <v/>
      </c>
      <c r="O569" s="65" t="str">
        <f aca="false">IF($K569="Open",IF($C569="Conflict","decide "&amp;$A569&amp;": &lt;which version stands&gt;","decide "&amp;$A569&amp;": &lt;outcome&gt;"),IF($K569="Unconfirmed","confirm "&amp;$A569,""))</f>
        <v/>
      </c>
      <c r="P569" s="65" t="str">
        <f aca="false">IF(AND($C569="New",$B569&gt;=WeekStart),$B569+ROW()/100000,"")</f>
        <v/>
      </c>
      <c r="Q569" s="65" t="str">
        <f aca="false">IF(AND($C569="Know",$B569&gt;=WeekStart),$B569+ROW()/100000,"")</f>
        <v/>
      </c>
      <c r="R569" s="65" t="str">
        <f aca="false">IF(AND($K569="Open",$C569="Decision"),$L569+ROW()/100000,"")</f>
        <v/>
      </c>
      <c r="S569" s="65" t="str">
        <f aca="false">IF(AND($J569&lt;&gt;"",$J569=UCSel),$B569+ROW()/100000,"")</f>
        <v/>
      </c>
    </row>
    <row r="570" customFormat="false" ht="15" hidden="false" customHeight="false" outlineLevel="0" collapsed="false">
      <c r="A570" s="28"/>
      <c r="B570" s="63"/>
      <c r="C570" s="64"/>
      <c r="D570" s="28"/>
      <c r="E570" s="28"/>
      <c r="F570" s="28"/>
      <c r="G570" s="64"/>
      <c r="H570" s="64"/>
      <c r="I570" s="28"/>
      <c r="J570" s="28"/>
      <c r="K570" s="65" t="str">
        <f aca="false">IF($A570="","",IF(OR($C570="Decision",$C570="Conflict"),IF(COUNTIFS($I$2:$I$1001,$A570,$C$2:$C$1001,"Resolved")=0,"Open","Closed"),IF(AND($H570="Unconfirmed",OR($C570="New",$C570="Know")),IF(COUNTIFS($I$2:$I$1001,$A570,$C$2:$C$1001,"Confirmed")=0,"Unconfirmed","Confirmed"),"Logged")))</f>
        <v/>
      </c>
      <c r="L570" s="65" t="str">
        <f aca="false">IF($A570="","",AsOf-$B570)</f>
        <v/>
      </c>
      <c r="M570" s="65" t="str">
        <f aca="false">IF($K570="Open",IF($C570="Conflict","Critical",IF($L570&gt;=DecisionCritical,"Critical",IF($L570&gt;=DecisionWarn,"Warning","On track"))),IF($K570="Unconfirmed",IF($L570&gt;=UnconfirmedWarn,"Warning","On track"),""))</f>
        <v/>
      </c>
      <c r="N570" s="65" t="str">
        <f aca="false">IF($M570="","",IF($M570="Critical",3000,IF($M570="Warning",2000,1000))+$L570+ROW()/100000)</f>
        <v/>
      </c>
      <c r="O570" s="65" t="str">
        <f aca="false">IF($K570="Open",IF($C570="Conflict","decide "&amp;$A570&amp;": &lt;which version stands&gt;","decide "&amp;$A570&amp;": &lt;outcome&gt;"),IF($K570="Unconfirmed","confirm "&amp;$A570,""))</f>
        <v/>
      </c>
      <c r="P570" s="65" t="str">
        <f aca="false">IF(AND($C570="New",$B570&gt;=WeekStart),$B570+ROW()/100000,"")</f>
        <v/>
      </c>
      <c r="Q570" s="65" t="str">
        <f aca="false">IF(AND($C570="Know",$B570&gt;=WeekStart),$B570+ROW()/100000,"")</f>
        <v/>
      </c>
      <c r="R570" s="65" t="str">
        <f aca="false">IF(AND($K570="Open",$C570="Decision"),$L570+ROW()/100000,"")</f>
        <v/>
      </c>
      <c r="S570" s="65" t="str">
        <f aca="false">IF(AND($J570&lt;&gt;"",$J570=UCSel),$B570+ROW()/100000,"")</f>
        <v/>
      </c>
    </row>
    <row r="571" customFormat="false" ht="15" hidden="false" customHeight="false" outlineLevel="0" collapsed="false">
      <c r="A571" s="28"/>
      <c r="B571" s="63"/>
      <c r="C571" s="64"/>
      <c r="D571" s="28"/>
      <c r="E571" s="28"/>
      <c r="F571" s="28"/>
      <c r="G571" s="64"/>
      <c r="H571" s="64"/>
      <c r="I571" s="28"/>
      <c r="J571" s="28"/>
      <c r="K571" s="65" t="str">
        <f aca="false">IF($A571="","",IF(OR($C571="Decision",$C571="Conflict"),IF(COUNTIFS($I$2:$I$1001,$A571,$C$2:$C$1001,"Resolved")=0,"Open","Closed"),IF(AND($H571="Unconfirmed",OR($C571="New",$C571="Know")),IF(COUNTIFS($I$2:$I$1001,$A571,$C$2:$C$1001,"Confirmed")=0,"Unconfirmed","Confirmed"),"Logged")))</f>
        <v/>
      </c>
      <c r="L571" s="65" t="str">
        <f aca="false">IF($A571="","",AsOf-$B571)</f>
        <v/>
      </c>
      <c r="M571" s="65" t="str">
        <f aca="false">IF($K571="Open",IF($C571="Conflict","Critical",IF($L571&gt;=DecisionCritical,"Critical",IF($L571&gt;=DecisionWarn,"Warning","On track"))),IF($K571="Unconfirmed",IF($L571&gt;=UnconfirmedWarn,"Warning","On track"),""))</f>
        <v/>
      </c>
      <c r="N571" s="65" t="str">
        <f aca="false">IF($M571="","",IF($M571="Critical",3000,IF($M571="Warning",2000,1000))+$L571+ROW()/100000)</f>
        <v/>
      </c>
      <c r="O571" s="65" t="str">
        <f aca="false">IF($K571="Open",IF($C571="Conflict","decide "&amp;$A571&amp;": &lt;which version stands&gt;","decide "&amp;$A571&amp;": &lt;outcome&gt;"),IF($K571="Unconfirmed","confirm "&amp;$A571,""))</f>
        <v/>
      </c>
      <c r="P571" s="65" t="str">
        <f aca="false">IF(AND($C571="New",$B571&gt;=WeekStart),$B571+ROW()/100000,"")</f>
        <v/>
      </c>
      <c r="Q571" s="65" t="str">
        <f aca="false">IF(AND($C571="Know",$B571&gt;=WeekStart),$B571+ROW()/100000,"")</f>
        <v/>
      </c>
      <c r="R571" s="65" t="str">
        <f aca="false">IF(AND($K571="Open",$C571="Decision"),$L571+ROW()/100000,"")</f>
        <v/>
      </c>
      <c r="S571" s="65" t="str">
        <f aca="false">IF(AND($J571&lt;&gt;"",$J571=UCSel),$B571+ROW()/100000,"")</f>
        <v/>
      </c>
    </row>
    <row r="572" customFormat="false" ht="15" hidden="false" customHeight="false" outlineLevel="0" collapsed="false">
      <c r="A572" s="28"/>
      <c r="B572" s="63"/>
      <c r="C572" s="64"/>
      <c r="D572" s="28"/>
      <c r="E572" s="28"/>
      <c r="F572" s="28"/>
      <c r="G572" s="64"/>
      <c r="H572" s="64"/>
      <c r="I572" s="28"/>
      <c r="J572" s="28"/>
      <c r="K572" s="65" t="str">
        <f aca="false">IF($A572="","",IF(OR($C572="Decision",$C572="Conflict"),IF(COUNTIFS($I$2:$I$1001,$A572,$C$2:$C$1001,"Resolved")=0,"Open","Closed"),IF(AND($H572="Unconfirmed",OR($C572="New",$C572="Know")),IF(COUNTIFS($I$2:$I$1001,$A572,$C$2:$C$1001,"Confirmed")=0,"Unconfirmed","Confirmed"),"Logged")))</f>
        <v/>
      </c>
      <c r="L572" s="65" t="str">
        <f aca="false">IF($A572="","",AsOf-$B572)</f>
        <v/>
      </c>
      <c r="M572" s="65" t="str">
        <f aca="false">IF($K572="Open",IF($C572="Conflict","Critical",IF($L572&gt;=DecisionCritical,"Critical",IF($L572&gt;=DecisionWarn,"Warning","On track"))),IF($K572="Unconfirmed",IF($L572&gt;=UnconfirmedWarn,"Warning","On track"),""))</f>
        <v/>
      </c>
      <c r="N572" s="65" t="str">
        <f aca="false">IF($M572="","",IF($M572="Critical",3000,IF($M572="Warning",2000,1000))+$L572+ROW()/100000)</f>
        <v/>
      </c>
      <c r="O572" s="65" t="str">
        <f aca="false">IF($K572="Open",IF($C572="Conflict","decide "&amp;$A572&amp;": &lt;which version stands&gt;","decide "&amp;$A572&amp;": &lt;outcome&gt;"),IF($K572="Unconfirmed","confirm "&amp;$A572,""))</f>
        <v/>
      </c>
      <c r="P572" s="65" t="str">
        <f aca="false">IF(AND($C572="New",$B572&gt;=WeekStart),$B572+ROW()/100000,"")</f>
        <v/>
      </c>
      <c r="Q572" s="65" t="str">
        <f aca="false">IF(AND($C572="Know",$B572&gt;=WeekStart),$B572+ROW()/100000,"")</f>
        <v/>
      </c>
      <c r="R572" s="65" t="str">
        <f aca="false">IF(AND($K572="Open",$C572="Decision"),$L572+ROW()/100000,"")</f>
        <v/>
      </c>
      <c r="S572" s="65" t="str">
        <f aca="false">IF(AND($J572&lt;&gt;"",$J572=UCSel),$B572+ROW()/100000,"")</f>
        <v/>
      </c>
    </row>
    <row r="573" customFormat="false" ht="15" hidden="false" customHeight="false" outlineLevel="0" collapsed="false">
      <c r="A573" s="28"/>
      <c r="B573" s="63"/>
      <c r="C573" s="64"/>
      <c r="D573" s="28"/>
      <c r="E573" s="28"/>
      <c r="F573" s="28"/>
      <c r="G573" s="64"/>
      <c r="H573" s="64"/>
      <c r="I573" s="28"/>
      <c r="J573" s="28"/>
      <c r="K573" s="65" t="str">
        <f aca="false">IF($A573="","",IF(OR($C573="Decision",$C573="Conflict"),IF(COUNTIFS($I$2:$I$1001,$A573,$C$2:$C$1001,"Resolved")=0,"Open","Closed"),IF(AND($H573="Unconfirmed",OR($C573="New",$C573="Know")),IF(COUNTIFS($I$2:$I$1001,$A573,$C$2:$C$1001,"Confirmed")=0,"Unconfirmed","Confirmed"),"Logged")))</f>
        <v/>
      </c>
      <c r="L573" s="65" t="str">
        <f aca="false">IF($A573="","",AsOf-$B573)</f>
        <v/>
      </c>
      <c r="M573" s="65" t="str">
        <f aca="false">IF($K573="Open",IF($C573="Conflict","Critical",IF($L573&gt;=DecisionCritical,"Critical",IF($L573&gt;=DecisionWarn,"Warning","On track"))),IF($K573="Unconfirmed",IF($L573&gt;=UnconfirmedWarn,"Warning","On track"),""))</f>
        <v/>
      </c>
      <c r="N573" s="65" t="str">
        <f aca="false">IF($M573="","",IF($M573="Critical",3000,IF($M573="Warning",2000,1000))+$L573+ROW()/100000)</f>
        <v/>
      </c>
      <c r="O573" s="65" t="str">
        <f aca="false">IF($K573="Open",IF($C573="Conflict","decide "&amp;$A573&amp;": &lt;which version stands&gt;","decide "&amp;$A573&amp;": &lt;outcome&gt;"),IF($K573="Unconfirmed","confirm "&amp;$A573,""))</f>
        <v/>
      </c>
      <c r="P573" s="65" t="str">
        <f aca="false">IF(AND($C573="New",$B573&gt;=WeekStart),$B573+ROW()/100000,"")</f>
        <v/>
      </c>
      <c r="Q573" s="65" t="str">
        <f aca="false">IF(AND($C573="Know",$B573&gt;=WeekStart),$B573+ROW()/100000,"")</f>
        <v/>
      </c>
      <c r="R573" s="65" t="str">
        <f aca="false">IF(AND($K573="Open",$C573="Decision"),$L573+ROW()/100000,"")</f>
        <v/>
      </c>
      <c r="S573" s="65" t="str">
        <f aca="false">IF(AND($J573&lt;&gt;"",$J573=UCSel),$B573+ROW()/100000,"")</f>
        <v/>
      </c>
    </row>
    <row r="574" customFormat="false" ht="15" hidden="false" customHeight="false" outlineLevel="0" collapsed="false">
      <c r="A574" s="28"/>
      <c r="B574" s="63"/>
      <c r="C574" s="64"/>
      <c r="D574" s="28"/>
      <c r="E574" s="28"/>
      <c r="F574" s="28"/>
      <c r="G574" s="64"/>
      <c r="H574" s="64"/>
      <c r="I574" s="28"/>
      <c r="J574" s="28"/>
      <c r="K574" s="65" t="str">
        <f aca="false">IF($A574="","",IF(OR($C574="Decision",$C574="Conflict"),IF(COUNTIFS($I$2:$I$1001,$A574,$C$2:$C$1001,"Resolved")=0,"Open","Closed"),IF(AND($H574="Unconfirmed",OR($C574="New",$C574="Know")),IF(COUNTIFS($I$2:$I$1001,$A574,$C$2:$C$1001,"Confirmed")=0,"Unconfirmed","Confirmed"),"Logged")))</f>
        <v/>
      </c>
      <c r="L574" s="65" t="str">
        <f aca="false">IF($A574="","",AsOf-$B574)</f>
        <v/>
      </c>
      <c r="M574" s="65" t="str">
        <f aca="false">IF($K574="Open",IF($C574="Conflict","Critical",IF($L574&gt;=DecisionCritical,"Critical",IF($L574&gt;=DecisionWarn,"Warning","On track"))),IF($K574="Unconfirmed",IF($L574&gt;=UnconfirmedWarn,"Warning","On track"),""))</f>
        <v/>
      </c>
      <c r="N574" s="65" t="str">
        <f aca="false">IF($M574="","",IF($M574="Critical",3000,IF($M574="Warning",2000,1000))+$L574+ROW()/100000)</f>
        <v/>
      </c>
      <c r="O574" s="65" t="str">
        <f aca="false">IF($K574="Open",IF($C574="Conflict","decide "&amp;$A574&amp;": &lt;which version stands&gt;","decide "&amp;$A574&amp;": &lt;outcome&gt;"),IF($K574="Unconfirmed","confirm "&amp;$A574,""))</f>
        <v/>
      </c>
      <c r="P574" s="65" t="str">
        <f aca="false">IF(AND($C574="New",$B574&gt;=WeekStart),$B574+ROW()/100000,"")</f>
        <v/>
      </c>
      <c r="Q574" s="65" t="str">
        <f aca="false">IF(AND($C574="Know",$B574&gt;=WeekStart),$B574+ROW()/100000,"")</f>
        <v/>
      </c>
      <c r="R574" s="65" t="str">
        <f aca="false">IF(AND($K574="Open",$C574="Decision"),$L574+ROW()/100000,"")</f>
        <v/>
      </c>
      <c r="S574" s="65" t="str">
        <f aca="false">IF(AND($J574&lt;&gt;"",$J574=UCSel),$B574+ROW()/100000,"")</f>
        <v/>
      </c>
    </row>
    <row r="575" customFormat="false" ht="15" hidden="false" customHeight="false" outlineLevel="0" collapsed="false">
      <c r="A575" s="28"/>
      <c r="B575" s="63"/>
      <c r="C575" s="64"/>
      <c r="D575" s="28"/>
      <c r="E575" s="28"/>
      <c r="F575" s="28"/>
      <c r="G575" s="64"/>
      <c r="H575" s="64"/>
      <c r="I575" s="28"/>
      <c r="J575" s="28"/>
      <c r="K575" s="65" t="str">
        <f aca="false">IF($A575="","",IF(OR($C575="Decision",$C575="Conflict"),IF(COUNTIFS($I$2:$I$1001,$A575,$C$2:$C$1001,"Resolved")=0,"Open","Closed"),IF(AND($H575="Unconfirmed",OR($C575="New",$C575="Know")),IF(COUNTIFS($I$2:$I$1001,$A575,$C$2:$C$1001,"Confirmed")=0,"Unconfirmed","Confirmed"),"Logged")))</f>
        <v/>
      </c>
      <c r="L575" s="65" t="str">
        <f aca="false">IF($A575="","",AsOf-$B575)</f>
        <v/>
      </c>
      <c r="M575" s="65" t="str">
        <f aca="false">IF($K575="Open",IF($C575="Conflict","Critical",IF($L575&gt;=DecisionCritical,"Critical",IF($L575&gt;=DecisionWarn,"Warning","On track"))),IF($K575="Unconfirmed",IF($L575&gt;=UnconfirmedWarn,"Warning","On track"),""))</f>
        <v/>
      </c>
      <c r="N575" s="65" t="str">
        <f aca="false">IF($M575="","",IF($M575="Critical",3000,IF($M575="Warning",2000,1000))+$L575+ROW()/100000)</f>
        <v/>
      </c>
      <c r="O575" s="65" t="str">
        <f aca="false">IF($K575="Open",IF($C575="Conflict","decide "&amp;$A575&amp;": &lt;which version stands&gt;","decide "&amp;$A575&amp;": &lt;outcome&gt;"),IF($K575="Unconfirmed","confirm "&amp;$A575,""))</f>
        <v/>
      </c>
      <c r="P575" s="65" t="str">
        <f aca="false">IF(AND($C575="New",$B575&gt;=WeekStart),$B575+ROW()/100000,"")</f>
        <v/>
      </c>
      <c r="Q575" s="65" t="str">
        <f aca="false">IF(AND($C575="Know",$B575&gt;=WeekStart),$B575+ROW()/100000,"")</f>
        <v/>
      </c>
      <c r="R575" s="65" t="str">
        <f aca="false">IF(AND($K575="Open",$C575="Decision"),$L575+ROW()/100000,"")</f>
        <v/>
      </c>
      <c r="S575" s="65" t="str">
        <f aca="false">IF(AND($J575&lt;&gt;"",$J575=UCSel),$B575+ROW()/100000,"")</f>
        <v/>
      </c>
    </row>
    <row r="576" customFormat="false" ht="15" hidden="false" customHeight="false" outlineLevel="0" collapsed="false">
      <c r="A576" s="28"/>
      <c r="B576" s="63"/>
      <c r="C576" s="64"/>
      <c r="D576" s="28"/>
      <c r="E576" s="28"/>
      <c r="F576" s="28"/>
      <c r="G576" s="64"/>
      <c r="H576" s="64"/>
      <c r="I576" s="28"/>
      <c r="J576" s="28"/>
      <c r="K576" s="65" t="str">
        <f aca="false">IF($A576="","",IF(OR($C576="Decision",$C576="Conflict"),IF(COUNTIFS($I$2:$I$1001,$A576,$C$2:$C$1001,"Resolved")=0,"Open","Closed"),IF(AND($H576="Unconfirmed",OR($C576="New",$C576="Know")),IF(COUNTIFS($I$2:$I$1001,$A576,$C$2:$C$1001,"Confirmed")=0,"Unconfirmed","Confirmed"),"Logged")))</f>
        <v/>
      </c>
      <c r="L576" s="65" t="str">
        <f aca="false">IF($A576="","",AsOf-$B576)</f>
        <v/>
      </c>
      <c r="M576" s="65" t="str">
        <f aca="false">IF($K576="Open",IF($C576="Conflict","Critical",IF($L576&gt;=DecisionCritical,"Critical",IF($L576&gt;=DecisionWarn,"Warning","On track"))),IF($K576="Unconfirmed",IF($L576&gt;=UnconfirmedWarn,"Warning","On track"),""))</f>
        <v/>
      </c>
      <c r="N576" s="65" t="str">
        <f aca="false">IF($M576="","",IF($M576="Critical",3000,IF($M576="Warning",2000,1000))+$L576+ROW()/100000)</f>
        <v/>
      </c>
      <c r="O576" s="65" t="str">
        <f aca="false">IF($K576="Open",IF($C576="Conflict","decide "&amp;$A576&amp;": &lt;which version stands&gt;","decide "&amp;$A576&amp;": &lt;outcome&gt;"),IF($K576="Unconfirmed","confirm "&amp;$A576,""))</f>
        <v/>
      </c>
      <c r="P576" s="65" t="str">
        <f aca="false">IF(AND($C576="New",$B576&gt;=WeekStart),$B576+ROW()/100000,"")</f>
        <v/>
      </c>
      <c r="Q576" s="65" t="str">
        <f aca="false">IF(AND($C576="Know",$B576&gt;=WeekStart),$B576+ROW()/100000,"")</f>
        <v/>
      </c>
      <c r="R576" s="65" t="str">
        <f aca="false">IF(AND($K576="Open",$C576="Decision"),$L576+ROW()/100000,"")</f>
        <v/>
      </c>
      <c r="S576" s="65" t="str">
        <f aca="false">IF(AND($J576&lt;&gt;"",$J576=UCSel),$B576+ROW()/100000,"")</f>
        <v/>
      </c>
    </row>
    <row r="577" customFormat="false" ht="15" hidden="false" customHeight="false" outlineLevel="0" collapsed="false">
      <c r="A577" s="28"/>
      <c r="B577" s="63"/>
      <c r="C577" s="64"/>
      <c r="D577" s="28"/>
      <c r="E577" s="28"/>
      <c r="F577" s="28"/>
      <c r="G577" s="64"/>
      <c r="H577" s="64"/>
      <c r="I577" s="28"/>
      <c r="J577" s="28"/>
      <c r="K577" s="65" t="str">
        <f aca="false">IF($A577="","",IF(OR($C577="Decision",$C577="Conflict"),IF(COUNTIFS($I$2:$I$1001,$A577,$C$2:$C$1001,"Resolved")=0,"Open","Closed"),IF(AND($H577="Unconfirmed",OR($C577="New",$C577="Know")),IF(COUNTIFS($I$2:$I$1001,$A577,$C$2:$C$1001,"Confirmed")=0,"Unconfirmed","Confirmed"),"Logged")))</f>
        <v/>
      </c>
      <c r="L577" s="65" t="str">
        <f aca="false">IF($A577="","",AsOf-$B577)</f>
        <v/>
      </c>
      <c r="M577" s="65" t="str">
        <f aca="false">IF($K577="Open",IF($C577="Conflict","Critical",IF($L577&gt;=DecisionCritical,"Critical",IF($L577&gt;=DecisionWarn,"Warning","On track"))),IF($K577="Unconfirmed",IF($L577&gt;=UnconfirmedWarn,"Warning","On track"),""))</f>
        <v/>
      </c>
      <c r="N577" s="65" t="str">
        <f aca="false">IF($M577="","",IF($M577="Critical",3000,IF($M577="Warning",2000,1000))+$L577+ROW()/100000)</f>
        <v/>
      </c>
      <c r="O577" s="65" t="str">
        <f aca="false">IF($K577="Open",IF($C577="Conflict","decide "&amp;$A577&amp;": &lt;which version stands&gt;","decide "&amp;$A577&amp;": &lt;outcome&gt;"),IF($K577="Unconfirmed","confirm "&amp;$A577,""))</f>
        <v/>
      </c>
      <c r="P577" s="65" t="str">
        <f aca="false">IF(AND($C577="New",$B577&gt;=WeekStart),$B577+ROW()/100000,"")</f>
        <v/>
      </c>
      <c r="Q577" s="65" t="str">
        <f aca="false">IF(AND($C577="Know",$B577&gt;=WeekStart),$B577+ROW()/100000,"")</f>
        <v/>
      </c>
      <c r="R577" s="65" t="str">
        <f aca="false">IF(AND($K577="Open",$C577="Decision"),$L577+ROW()/100000,"")</f>
        <v/>
      </c>
      <c r="S577" s="65" t="str">
        <f aca="false">IF(AND($J577&lt;&gt;"",$J577=UCSel),$B577+ROW()/100000,"")</f>
        <v/>
      </c>
    </row>
    <row r="578" customFormat="false" ht="15" hidden="false" customHeight="false" outlineLevel="0" collapsed="false">
      <c r="A578" s="28"/>
      <c r="B578" s="63"/>
      <c r="C578" s="64"/>
      <c r="D578" s="28"/>
      <c r="E578" s="28"/>
      <c r="F578" s="28"/>
      <c r="G578" s="64"/>
      <c r="H578" s="64"/>
      <c r="I578" s="28"/>
      <c r="J578" s="28"/>
      <c r="K578" s="65" t="str">
        <f aca="false">IF($A578="","",IF(OR($C578="Decision",$C578="Conflict"),IF(COUNTIFS($I$2:$I$1001,$A578,$C$2:$C$1001,"Resolved")=0,"Open","Closed"),IF(AND($H578="Unconfirmed",OR($C578="New",$C578="Know")),IF(COUNTIFS($I$2:$I$1001,$A578,$C$2:$C$1001,"Confirmed")=0,"Unconfirmed","Confirmed"),"Logged")))</f>
        <v/>
      </c>
      <c r="L578" s="65" t="str">
        <f aca="false">IF($A578="","",AsOf-$B578)</f>
        <v/>
      </c>
      <c r="M578" s="65" t="str">
        <f aca="false">IF($K578="Open",IF($C578="Conflict","Critical",IF($L578&gt;=DecisionCritical,"Critical",IF($L578&gt;=DecisionWarn,"Warning","On track"))),IF($K578="Unconfirmed",IF($L578&gt;=UnconfirmedWarn,"Warning","On track"),""))</f>
        <v/>
      </c>
      <c r="N578" s="65" t="str">
        <f aca="false">IF($M578="","",IF($M578="Critical",3000,IF($M578="Warning",2000,1000))+$L578+ROW()/100000)</f>
        <v/>
      </c>
      <c r="O578" s="65" t="str">
        <f aca="false">IF($K578="Open",IF($C578="Conflict","decide "&amp;$A578&amp;": &lt;which version stands&gt;","decide "&amp;$A578&amp;": &lt;outcome&gt;"),IF($K578="Unconfirmed","confirm "&amp;$A578,""))</f>
        <v/>
      </c>
      <c r="P578" s="65" t="str">
        <f aca="false">IF(AND($C578="New",$B578&gt;=WeekStart),$B578+ROW()/100000,"")</f>
        <v/>
      </c>
      <c r="Q578" s="65" t="str">
        <f aca="false">IF(AND($C578="Know",$B578&gt;=WeekStart),$B578+ROW()/100000,"")</f>
        <v/>
      </c>
      <c r="R578" s="65" t="str">
        <f aca="false">IF(AND($K578="Open",$C578="Decision"),$L578+ROW()/100000,"")</f>
        <v/>
      </c>
      <c r="S578" s="65" t="str">
        <f aca="false">IF(AND($J578&lt;&gt;"",$J578=UCSel),$B578+ROW()/100000,"")</f>
        <v/>
      </c>
    </row>
    <row r="579" customFormat="false" ht="15" hidden="false" customHeight="false" outlineLevel="0" collapsed="false">
      <c r="A579" s="28"/>
      <c r="B579" s="63"/>
      <c r="C579" s="64"/>
      <c r="D579" s="28"/>
      <c r="E579" s="28"/>
      <c r="F579" s="28"/>
      <c r="G579" s="64"/>
      <c r="H579" s="64"/>
      <c r="I579" s="28"/>
      <c r="J579" s="28"/>
      <c r="K579" s="65" t="str">
        <f aca="false">IF($A579="","",IF(OR($C579="Decision",$C579="Conflict"),IF(COUNTIFS($I$2:$I$1001,$A579,$C$2:$C$1001,"Resolved")=0,"Open","Closed"),IF(AND($H579="Unconfirmed",OR($C579="New",$C579="Know")),IF(COUNTIFS($I$2:$I$1001,$A579,$C$2:$C$1001,"Confirmed")=0,"Unconfirmed","Confirmed"),"Logged")))</f>
        <v/>
      </c>
      <c r="L579" s="65" t="str">
        <f aca="false">IF($A579="","",AsOf-$B579)</f>
        <v/>
      </c>
      <c r="M579" s="65" t="str">
        <f aca="false">IF($K579="Open",IF($C579="Conflict","Critical",IF($L579&gt;=DecisionCritical,"Critical",IF($L579&gt;=DecisionWarn,"Warning","On track"))),IF($K579="Unconfirmed",IF($L579&gt;=UnconfirmedWarn,"Warning","On track"),""))</f>
        <v/>
      </c>
      <c r="N579" s="65" t="str">
        <f aca="false">IF($M579="","",IF($M579="Critical",3000,IF($M579="Warning",2000,1000))+$L579+ROW()/100000)</f>
        <v/>
      </c>
      <c r="O579" s="65" t="str">
        <f aca="false">IF($K579="Open",IF($C579="Conflict","decide "&amp;$A579&amp;": &lt;which version stands&gt;","decide "&amp;$A579&amp;": &lt;outcome&gt;"),IF($K579="Unconfirmed","confirm "&amp;$A579,""))</f>
        <v/>
      </c>
      <c r="P579" s="65" t="str">
        <f aca="false">IF(AND($C579="New",$B579&gt;=WeekStart),$B579+ROW()/100000,"")</f>
        <v/>
      </c>
      <c r="Q579" s="65" t="str">
        <f aca="false">IF(AND($C579="Know",$B579&gt;=WeekStart),$B579+ROW()/100000,"")</f>
        <v/>
      </c>
      <c r="R579" s="65" t="str">
        <f aca="false">IF(AND($K579="Open",$C579="Decision"),$L579+ROW()/100000,"")</f>
        <v/>
      </c>
      <c r="S579" s="65" t="str">
        <f aca="false">IF(AND($J579&lt;&gt;"",$J579=UCSel),$B579+ROW()/100000,"")</f>
        <v/>
      </c>
    </row>
    <row r="580" customFormat="false" ht="15" hidden="false" customHeight="false" outlineLevel="0" collapsed="false">
      <c r="A580" s="28"/>
      <c r="B580" s="63"/>
      <c r="C580" s="64"/>
      <c r="D580" s="28"/>
      <c r="E580" s="28"/>
      <c r="F580" s="28"/>
      <c r="G580" s="64"/>
      <c r="H580" s="64"/>
      <c r="I580" s="28"/>
      <c r="J580" s="28"/>
      <c r="K580" s="65" t="str">
        <f aca="false">IF($A580="","",IF(OR($C580="Decision",$C580="Conflict"),IF(COUNTIFS($I$2:$I$1001,$A580,$C$2:$C$1001,"Resolved")=0,"Open","Closed"),IF(AND($H580="Unconfirmed",OR($C580="New",$C580="Know")),IF(COUNTIFS($I$2:$I$1001,$A580,$C$2:$C$1001,"Confirmed")=0,"Unconfirmed","Confirmed"),"Logged")))</f>
        <v/>
      </c>
      <c r="L580" s="65" t="str">
        <f aca="false">IF($A580="","",AsOf-$B580)</f>
        <v/>
      </c>
      <c r="M580" s="65" t="str">
        <f aca="false">IF($K580="Open",IF($C580="Conflict","Critical",IF($L580&gt;=DecisionCritical,"Critical",IF($L580&gt;=DecisionWarn,"Warning","On track"))),IF($K580="Unconfirmed",IF($L580&gt;=UnconfirmedWarn,"Warning","On track"),""))</f>
        <v/>
      </c>
      <c r="N580" s="65" t="str">
        <f aca="false">IF($M580="","",IF($M580="Critical",3000,IF($M580="Warning",2000,1000))+$L580+ROW()/100000)</f>
        <v/>
      </c>
      <c r="O580" s="65" t="str">
        <f aca="false">IF($K580="Open",IF($C580="Conflict","decide "&amp;$A580&amp;": &lt;which version stands&gt;","decide "&amp;$A580&amp;": &lt;outcome&gt;"),IF($K580="Unconfirmed","confirm "&amp;$A580,""))</f>
        <v/>
      </c>
      <c r="P580" s="65" t="str">
        <f aca="false">IF(AND($C580="New",$B580&gt;=WeekStart),$B580+ROW()/100000,"")</f>
        <v/>
      </c>
      <c r="Q580" s="65" t="str">
        <f aca="false">IF(AND($C580="Know",$B580&gt;=WeekStart),$B580+ROW()/100000,"")</f>
        <v/>
      </c>
      <c r="R580" s="65" t="str">
        <f aca="false">IF(AND($K580="Open",$C580="Decision"),$L580+ROW()/100000,"")</f>
        <v/>
      </c>
      <c r="S580" s="65" t="str">
        <f aca="false">IF(AND($J580&lt;&gt;"",$J580=UCSel),$B580+ROW()/100000,"")</f>
        <v/>
      </c>
    </row>
    <row r="581" customFormat="false" ht="15" hidden="false" customHeight="false" outlineLevel="0" collapsed="false">
      <c r="A581" s="28"/>
      <c r="B581" s="63"/>
      <c r="C581" s="64"/>
      <c r="D581" s="28"/>
      <c r="E581" s="28"/>
      <c r="F581" s="28"/>
      <c r="G581" s="64"/>
      <c r="H581" s="64"/>
      <c r="I581" s="28"/>
      <c r="J581" s="28"/>
      <c r="K581" s="65" t="str">
        <f aca="false">IF($A581="","",IF(OR($C581="Decision",$C581="Conflict"),IF(COUNTIFS($I$2:$I$1001,$A581,$C$2:$C$1001,"Resolved")=0,"Open","Closed"),IF(AND($H581="Unconfirmed",OR($C581="New",$C581="Know")),IF(COUNTIFS($I$2:$I$1001,$A581,$C$2:$C$1001,"Confirmed")=0,"Unconfirmed","Confirmed"),"Logged")))</f>
        <v/>
      </c>
      <c r="L581" s="65" t="str">
        <f aca="false">IF($A581="","",AsOf-$B581)</f>
        <v/>
      </c>
      <c r="M581" s="65" t="str">
        <f aca="false">IF($K581="Open",IF($C581="Conflict","Critical",IF($L581&gt;=DecisionCritical,"Critical",IF($L581&gt;=DecisionWarn,"Warning","On track"))),IF($K581="Unconfirmed",IF($L581&gt;=UnconfirmedWarn,"Warning","On track"),""))</f>
        <v/>
      </c>
      <c r="N581" s="65" t="str">
        <f aca="false">IF($M581="","",IF($M581="Critical",3000,IF($M581="Warning",2000,1000))+$L581+ROW()/100000)</f>
        <v/>
      </c>
      <c r="O581" s="65" t="str">
        <f aca="false">IF($K581="Open",IF($C581="Conflict","decide "&amp;$A581&amp;": &lt;which version stands&gt;","decide "&amp;$A581&amp;": &lt;outcome&gt;"),IF($K581="Unconfirmed","confirm "&amp;$A581,""))</f>
        <v/>
      </c>
      <c r="P581" s="65" t="str">
        <f aca="false">IF(AND($C581="New",$B581&gt;=WeekStart),$B581+ROW()/100000,"")</f>
        <v/>
      </c>
      <c r="Q581" s="65" t="str">
        <f aca="false">IF(AND($C581="Know",$B581&gt;=WeekStart),$B581+ROW()/100000,"")</f>
        <v/>
      </c>
      <c r="R581" s="65" t="str">
        <f aca="false">IF(AND($K581="Open",$C581="Decision"),$L581+ROW()/100000,"")</f>
        <v/>
      </c>
      <c r="S581" s="65" t="str">
        <f aca="false">IF(AND($J581&lt;&gt;"",$J581=UCSel),$B581+ROW()/100000,"")</f>
        <v/>
      </c>
    </row>
    <row r="582" customFormat="false" ht="15" hidden="false" customHeight="false" outlineLevel="0" collapsed="false">
      <c r="A582" s="28"/>
      <c r="B582" s="63"/>
      <c r="C582" s="64"/>
      <c r="D582" s="28"/>
      <c r="E582" s="28"/>
      <c r="F582" s="28"/>
      <c r="G582" s="64"/>
      <c r="H582" s="64"/>
      <c r="I582" s="28"/>
      <c r="J582" s="28"/>
      <c r="K582" s="65" t="str">
        <f aca="false">IF($A582="","",IF(OR($C582="Decision",$C582="Conflict"),IF(COUNTIFS($I$2:$I$1001,$A582,$C$2:$C$1001,"Resolved")=0,"Open","Closed"),IF(AND($H582="Unconfirmed",OR($C582="New",$C582="Know")),IF(COUNTIFS($I$2:$I$1001,$A582,$C$2:$C$1001,"Confirmed")=0,"Unconfirmed","Confirmed"),"Logged")))</f>
        <v/>
      </c>
      <c r="L582" s="65" t="str">
        <f aca="false">IF($A582="","",AsOf-$B582)</f>
        <v/>
      </c>
      <c r="M582" s="65" t="str">
        <f aca="false">IF($K582="Open",IF($C582="Conflict","Critical",IF($L582&gt;=DecisionCritical,"Critical",IF($L582&gt;=DecisionWarn,"Warning","On track"))),IF($K582="Unconfirmed",IF($L582&gt;=UnconfirmedWarn,"Warning","On track"),""))</f>
        <v/>
      </c>
      <c r="N582" s="65" t="str">
        <f aca="false">IF($M582="","",IF($M582="Critical",3000,IF($M582="Warning",2000,1000))+$L582+ROW()/100000)</f>
        <v/>
      </c>
      <c r="O582" s="65" t="str">
        <f aca="false">IF($K582="Open",IF($C582="Conflict","decide "&amp;$A582&amp;": &lt;which version stands&gt;","decide "&amp;$A582&amp;": &lt;outcome&gt;"),IF($K582="Unconfirmed","confirm "&amp;$A582,""))</f>
        <v/>
      </c>
      <c r="P582" s="65" t="str">
        <f aca="false">IF(AND($C582="New",$B582&gt;=WeekStart),$B582+ROW()/100000,"")</f>
        <v/>
      </c>
      <c r="Q582" s="65" t="str">
        <f aca="false">IF(AND($C582="Know",$B582&gt;=WeekStart),$B582+ROW()/100000,"")</f>
        <v/>
      </c>
      <c r="R582" s="65" t="str">
        <f aca="false">IF(AND($K582="Open",$C582="Decision"),$L582+ROW()/100000,"")</f>
        <v/>
      </c>
      <c r="S582" s="65" t="str">
        <f aca="false">IF(AND($J582&lt;&gt;"",$J582=UCSel),$B582+ROW()/100000,"")</f>
        <v/>
      </c>
    </row>
    <row r="583" customFormat="false" ht="15" hidden="false" customHeight="false" outlineLevel="0" collapsed="false">
      <c r="A583" s="28"/>
      <c r="B583" s="63"/>
      <c r="C583" s="64"/>
      <c r="D583" s="28"/>
      <c r="E583" s="28"/>
      <c r="F583" s="28"/>
      <c r="G583" s="64"/>
      <c r="H583" s="64"/>
      <c r="I583" s="28"/>
      <c r="J583" s="28"/>
      <c r="K583" s="65" t="str">
        <f aca="false">IF($A583="","",IF(OR($C583="Decision",$C583="Conflict"),IF(COUNTIFS($I$2:$I$1001,$A583,$C$2:$C$1001,"Resolved")=0,"Open","Closed"),IF(AND($H583="Unconfirmed",OR($C583="New",$C583="Know")),IF(COUNTIFS($I$2:$I$1001,$A583,$C$2:$C$1001,"Confirmed")=0,"Unconfirmed","Confirmed"),"Logged")))</f>
        <v/>
      </c>
      <c r="L583" s="65" t="str">
        <f aca="false">IF($A583="","",AsOf-$B583)</f>
        <v/>
      </c>
      <c r="M583" s="65" t="str">
        <f aca="false">IF($K583="Open",IF($C583="Conflict","Critical",IF($L583&gt;=DecisionCritical,"Critical",IF($L583&gt;=DecisionWarn,"Warning","On track"))),IF($K583="Unconfirmed",IF($L583&gt;=UnconfirmedWarn,"Warning","On track"),""))</f>
        <v/>
      </c>
      <c r="N583" s="65" t="str">
        <f aca="false">IF($M583="","",IF($M583="Critical",3000,IF($M583="Warning",2000,1000))+$L583+ROW()/100000)</f>
        <v/>
      </c>
      <c r="O583" s="65" t="str">
        <f aca="false">IF($K583="Open",IF($C583="Conflict","decide "&amp;$A583&amp;": &lt;which version stands&gt;","decide "&amp;$A583&amp;": &lt;outcome&gt;"),IF($K583="Unconfirmed","confirm "&amp;$A583,""))</f>
        <v/>
      </c>
      <c r="P583" s="65" t="str">
        <f aca="false">IF(AND($C583="New",$B583&gt;=WeekStart),$B583+ROW()/100000,"")</f>
        <v/>
      </c>
      <c r="Q583" s="65" t="str">
        <f aca="false">IF(AND($C583="Know",$B583&gt;=WeekStart),$B583+ROW()/100000,"")</f>
        <v/>
      </c>
      <c r="R583" s="65" t="str">
        <f aca="false">IF(AND($K583="Open",$C583="Decision"),$L583+ROW()/100000,"")</f>
        <v/>
      </c>
      <c r="S583" s="65" t="str">
        <f aca="false">IF(AND($J583&lt;&gt;"",$J583=UCSel),$B583+ROW()/100000,"")</f>
        <v/>
      </c>
    </row>
    <row r="584" customFormat="false" ht="15" hidden="false" customHeight="false" outlineLevel="0" collapsed="false">
      <c r="A584" s="28"/>
      <c r="B584" s="63"/>
      <c r="C584" s="64"/>
      <c r="D584" s="28"/>
      <c r="E584" s="28"/>
      <c r="F584" s="28"/>
      <c r="G584" s="64"/>
      <c r="H584" s="64"/>
      <c r="I584" s="28"/>
      <c r="J584" s="28"/>
      <c r="K584" s="65" t="str">
        <f aca="false">IF($A584="","",IF(OR($C584="Decision",$C584="Conflict"),IF(COUNTIFS($I$2:$I$1001,$A584,$C$2:$C$1001,"Resolved")=0,"Open","Closed"),IF(AND($H584="Unconfirmed",OR($C584="New",$C584="Know")),IF(COUNTIFS($I$2:$I$1001,$A584,$C$2:$C$1001,"Confirmed")=0,"Unconfirmed","Confirmed"),"Logged")))</f>
        <v/>
      </c>
      <c r="L584" s="65" t="str">
        <f aca="false">IF($A584="","",AsOf-$B584)</f>
        <v/>
      </c>
      <c r="M584" s="65" t="str">
        <f aca="false">IF($K584="Open",IF($C584="Conflict","Critical",IF($L584&gt;=DecisionCritical,"Critical",IF($L584&gt;=DecisionWarn,"Warning","On track"))),IF($K584="Unconfirmed",IF($L584&gt;=UnconfirmedWarn,"Warning","On track"),""))</f>
        <v/>
      </c>
      <c r="N584" s="65" t="str">
        <f aca="false">IF($M584="","",IF($M584="Critical",3000,IF($M584="Warning",2000,1000))+$L584+ROW()/100000)</f>
        <v/>
      </c>
      <c r="O584" s="65" t="str">
        <f aca="false">IF($K584="Open",IF($C584="Conflict","decide "&amp;$A584&amp;": &lt;which version stands&gt;","decide "&amp;$A584&amp;": &lt;outcome&gt;"),IF($K584="Unconfirmed","confirm "&amp;$A584,""))</f>
        <v/>
      </c>
      <c r="P584" s="65" t="str">
        <f aca="false">IF(AND($C584="New",$B584&gt;=WeekStart),$B584+ROW()/100000,"")</f>
        <v/>
      </c>
      <c r="Q584" s="65" t="str">
        <f aca="false">IF(AND($C584="Know",$B584&gt;=WeekStart),$B584+ROW()/100000,"")</f>
        <v/>
      </c>
      <c r="R584" s="65" t="str">
        <f aca="false">IF(AND($K584="Open",$C584="Decision"),$L584+ROW()/100000,"")</f>
        <v/>
      </c>
      <c r="S584" s="65" t="str">
        <f aca="false">IF(AND($J584&lt;&gt;"",$J584=UCSel),$B584+ROW()/100000,"")</f>
        <v/>
      </c>
    </row>
    <row r="585" customFormat="false" ht="15" hidden="false" customHeight="false" outlineLevel="0" collapsed="false">
      <c r="A585" s="28"/>
      <c r="B585" s="63"/>
      <c r="C585" s="64"/>
      <c r="D585" s="28"/>
      <c r="E585" s="28"/>
      <c r="F585" s="28"/>
      <c r="G585" s="64"/>
      <c r="H585" s="64"/>
      <c r="I585" s="28"/>
      <c r="J585" s="28"/>
      <c r="K585" s="65" t="str">
        <f aca="false">IF($A585="","",IF(OR($C585="Decision",$C585="Conflict"),IF(COUNTIFS($I$2:$I$1001,$A585,$C$2:$C$1001,"Resolved")=0,"Open","Closed"),IF(AND($H585="Unconfirmed",OR($C585="New",$C585="Know")),IF(COUNTIFS($I$2:$I$1001,$A585,$C$2:$C$1001,"Confirmed")=0,"Unconfirmed","Confirmed"),"Logged")))</f>
        <v/>
      </c>
      <c r="L585" s="65" t="str">
        <f aca="false">IF($A585="","",AsOf-$B585)</f>
        <v/>
      </c>
      <c r="M585" s="65" t="str">
        <f aca="false">IF($K585="Open",IF($C585="Conflict","Critical",IF($L585&gt;=DecisionCritical,"Critical",IF($L585&gt;=DecisionWarn,"Warning","On track"))),IF($K585="Unconfirmed",IF($L585&gt;=UnconfirmedWarn,"Warning","On track"),""))</f>
        <v/>
      </c>
      <c r="N585" s="65" t="str">
        <f aca="false">IF($M585="","",IF($M585="Critical",3000,IF($M585="Warning",2000,1000))+$L585+ROW()/100000)</f>
        <v/>
      </c>
      <c r="O585" s="65" t="str">
        <f aca="false">IF($K585="Open",IF($C585="Conflict","decide "&amp;$A585&amp;": &lt;which version stands&gt;","decide "&amp;$A585&amp;": &lt;outcome&gt;"),IF($K585="Unconfirmed","confirm "&amp;$A585,""))</f>
        <v/>
      </c>
      <c r="P585" s="65" t="str">
        <f aca="false">IF(AND($C585="New",$B585&gt;=WeekStart),$B585+ROW()/100000,"")</f>
        <v/>
      </c>
      <c r="Q585" s="65" t="str">
        <f aca="false">IF(AND($C585="Know",$B585&gt;=WeekStart),$B585+ROW()/100000,"")</f>
        <v/>
      </c>
      <c r="R585" s="65" t="str">
        <f aca="false">IF(AND($K585="Open",$C585="Decision"),$L585+ROW()/100000,"")</f>
        <v/>
      </c>
      <c r="S585" s="65" t="str">
        <f aca="false">IF(AND($J585&lt;&gt;"",$J585=UCSel),$B585+ROW()/100000,"")</f>
        <v/>
      </c>
    </row>
    <row r="586" customFormat="false" ht="15" hidden="false" customHeight="false" outlineLevel="0" collapsed="false">
      <c r="A586" s="28"/>
      <c r="B586" s="63"/>
      <c r="C586" s="64"/>
      <c r="D586" s="28"/>
      <c r="E586" s="28"/>
      <c r="F586" s="28"/>
      <c r="G586" s="64"/>
      <c r="H586" s="64"/>
      <c r="I586" s="28"/>
      <c r="J586" s="28"/>
      <c r="K586" s="65" t="str">
        <f aca="false">IF($A586="","",IF(OR($C586="Decision",$C586="Conflict"),IF(COUNTIFS($I$2:$I$1001,$A586,$C$2:$C$1001,"Resolved")=0,"Open","Closed"),IF(AND($H586="Unconfirmed",OR($C586="New",$C586="Know")),IF(COUNTIFS($I$2:$I$1001,$A586,$C$2:$C$1001,"Confirmed")=0,"Unconfirmed","Confirmed"),"Logged")))</f>
        <v/>
      </c>
      <c r="L586" s="65" t="str">
        <f aca="false">IF($A586="","",AsOf-$B586)</f>
        <v/>
      </c>
      <c r="M586" s="65" t="str">
        <f aca="false">IF($K586="Open",IF($C586="Conflict","Critical",IF($L586&gt;=DecisionCritical,"Critical",IF($L586&gt;=DecisionWarn,"Warning","On track"))),IF($K586="Unconfirmed",IF($L586&gt;=UnconfirmedWarn,"Warning","On track"),""))</f>
        <v/>
      </c>
      <c r="N586" s="65" t="str">
        <f aca="false">IF($M586="","",IF($M586="Critical",3000,IF($M586="Warning",2000,1000))+$L586+ROW()/100000)</f>
        <v/>
      </c>
      <c r="O586" s="65" t="str">
        <f aca="false">IF($K586="Open",IF($C586="Conflict","decide "&amp;$A586&amp;": &lt;which version stands&gt;","decide "&amp;$A586&amp;": &lt;outcome&gt;"),IF($K586="Unconfirmed","confirm "&amp;$A586,""))</f>
        <v/>
      </c>
      <c r="P586" s="65" t="str">
        <f aca="false">IF(AND($C586="New",$B586&gt;=WeekStart),$B586+ROW()/100000,"")</f>
        <v/>
      </c>
      <c r="Q586" s="65" t="str">
        <f aca="false">IF(AND($C586="Know",$B586&gt;=WeekStart),$B586+ROW()/100000,"")</f>
        <v/>
      </c>
      <c r="R586" s="65" t="str">
        <f aca="false">IF(AND($K586="Open",$C586="Decision"),$L586+ROW()/100000,"")</f>
        <v/>
      </c>
      <c r="S586" s="65" t="str">
        <f aca="false">IF(AND($J586&lt;&gt;"",$J586=UCSel),$B586+ROW()/100000,"")</f>
        <v/>
      </c>
    </row>
    <row r="587" customFormat="false" ht="15" hidden="false" customHeight="false" outlineLevel="0" collapsed="false">
      <c r="A587" s="28"/>
      <c r="B587" s="63"/>
      <c r="C587" s="64"/>
      <c r="D587" s="28"/>
      <c r="E587" s="28"/>
      <c r="F587" s="28"/>
      <c r="G587" s="64"/>
      <c r="H587" s="64"/>
      <c r="I587" s="28"/>
      <c r="J587" s="28"/>
      <c r="K587" s="65" t="str">
        <f aca="false">IF($A587="","",IF(OR($C587="Decision",$C587="Conflict"),IF(COUNTIFS($I$2:$I$1001,$A587,$C$2:$C$1001,"Resolved")=0,"Open","Closed"),IF(AND($H587="Unconfirmed",OR($C587="New",$C587="Know")),IF(COUNTIFS($I$2:$I$1001,$A587,$C$2:$C$1001,"Confirmed")=0,"Unconfirmed","Confirmed"),"Logged")))</f>
        <v/>
      </c>
      <c r="L587" s="65" t="str">
        <f aca="false">IF($A587="","",AsOf-$B587)</f>
        <v/>
      </c>
      <c r="M587" s="65" t="str">
        <f aca="false">IF($K587="Open",IF($C587="Conflict","Critical",IF($L587&gt;=DecisionCritical,"Critical",IF($L587&gt;=DecisionWarn,"Warning","On track"))),IF($K587="Unconfirmed",IF($L587&gt;=UnconfirmedWarn,"Warning","On track"),""))</f>
        <v/>
      </c>
      <c r="N587" s="65" t="str">
        <f aca="false">IF($M587="","",IF($M587="Critical",3000,IF($M587="Warning",2000,1000))+$L587+ROW()/100000)</f>
        <v/>
      </c>
      <c r="O587" s="65" t="str">
        <f aca="false">IF($K587="Open",IF($C587="Conflict","decide "&amp;$A587&amp;": &lt;which version stands&gt;","decide "&amp;$A587&amp;": &lt;outcome&gt;"),IF($K587="Unconfirmed","confirm "&amp;$A587,""))</f>
        <v/>
      </c>
      <c r="P587" s="65" t="str">
        <f aca="false">IF(AND($C587="New",$B587&gt;=WeekStart),$B587+ROW()/100000,"")</f>
        <v/>
      </c>
      <c r="Q587" s="65" t="str">
        <f aca="false">IF(AND($C587="Know",$B587&gt;=WeekStart),$B587+ROW()/100000,"")</f>
        <v/>
      </c>
      <c r="R587" s="65" t="str">
        <f aca="false">IF(AND($K587="Open",$C587="Decision"),$L587+ROW()/100000,"")</f>
        <v/>
      </c>
      <c r="S587" s="65" t="str">
        <f aca="false">IF(AND($J587&lt;&gt;"",$J587=UCSel),$B587+ROW()/100000,"")</f>
        <v/>
      </c>
    </row>
    <row r="588" customFormat="false" ht="15" hidden="false" customHeight="false" outlineLevel="0" collapsed="false">
      <c r="A588" s="28"/>
      <c r="B588" s="63"/>
      <c r="C588" s="64"/>
      <c r="D588" s="28"/>
      <c r="E588" s="28"/>
      <c r="F588" s="28"/>
      <c r="G588" s="64"/>
      <c r="H588" s="64"/>
      <c r="I588" s="28"/>
      <c r="J588" s="28"/>
      <c r="K588" s="65" t="str">
        <f aca="false">IF($A588="","",IF(OR($C588="Decision",$C588="Conflict"),IF(COUNTIFS($I$2:$I$1001,$A588,$C$2:$C$1001,"Resolved")=0,"Open","Closed"),IF(AND($H588="Unconfirmed",OR($C588="New",$C588="Know")),IF(COUNTIFS($I$2:$I$1001,$A588,$C$2:$C$1001,"Confirmed")=0,"Unconfirmed","Confirmed"),"Logged")))</f>
        <v/>
      </c>
      <c r="L588" s="65" t="str">
        <f aca="false">IF($A588="","",AsOf-$B588)</f>
        <v/>
      </c>
      <c r="M588" s="65" t="str">
        <f aca="false">IF($K588="Open",IF($C588="Conflict","Critical",IF($L588&gt;=DecisionCritical,"Critical",IF($L588&gt;=DecisionWarn,"Warning","On track"))),IF($K588="Unconfirmed",IF($L588&gt;=UnconfirmedWarn,"Warning","On track"),""))</f>
        <v/>
      </c>
      <c r="N588" s="65" t="str">
        <f aca="false">IF($M588="","",IF($M588="Critical",3000,IF($M588="Warning",2000,1000))+$L588+ROW()/100000)</f>
        <v/>
      </c>
      <c r="O588" s="65" t="str">
        <f aca="false">IF($K588="Open",IF($C588="Conflict","decide "&amp;$A588&amp;": &lt;which version stands&gt;","decide "&amp;$A588&amp;": &lt;outcome&gt;"),IF($K588="Unconfirmed","confirm "&amp;$A588,""))</f>
        <v/>
      </c>
      <c r="P588" s="65" t="str">
        <f aca="false">IF(AND($C588="New",$B588&gt;=WeekStart),$B588+ROW()/100000,"")</f>
        <v/>
      </c>
      <c r="Q588" s="65" t="str">
        <f aca="false">IF(AND($C588="Know",$B588&gt;=WeekStart),$B588+ROW()/100000,"")</f>
        <v/>
      </c>
      <c r="R588" s="65" t="str">
        <f aca="false">IF(AND($K588="Open",$C588="Decision"),$L588+ROW()/100000,"")</f>
        <v/>
      </c>
      <c r="S588" s="65" t="str">
        <f aca="false">IF(AND($J588&lt;&gt;"",$J588=UCSel),$B588+ROW()/100000,"")</f>
        <v/>
      </c>
    </row>
    <row r="589" customFormat="false" ht="15" hidden="false" customHeight="false" outlineLevel="0" collapsed="false">
      <c r="A589" s="28"/>
      <c r="B589" s="63"/>
      <c r="C589" s="64"/>
      <c r="D589" s="28"/>
      <c r="E589" s="28"/>
      <c r="F589" s="28"/>
      <c r="G589" s="64"/>
      <c r="H589" s="64"/>
      <c r="I589" s="28"/>
      <c r="J589" s="28"/>
      <c r="K589" s="65" t="str">
        <f aca="false">IF($A589="","",IF(OR($C589="Decision",$C589="Conflict"),IF(COUNTIFS($I$2:$I$1001,$A589,$C$2:$C$1001,"Resolved")=0,"Open","Closed"),IF(AND($H589="Unconfirmed",OR($C589="New",$C589="Know")),IF(COUNTIFS($I$2:$I$1001,$A589,$C$2:$C$1001,"Confirmed")=0,"Unconfirmed","Confirmed"),"Logged")))</f>
        <v/>
      </c>
      <c r="L589" s="65" t="str">
        <f aca="false">IF($A589="","",AsOf-$B589)</f>
        <v/>
      </c>
      <c r="M589" s="65" t="str">
        <f aca="false">IF($K589="Open",IF($C589="Conflict","Critical",IF($L589&gt;=DecisionCritical,"Critical",IF($L589&gt;=DecisionWarn,"Warning","On track"))),IF($K589="Unconfirmed",IF($L589&gt;=UnconfirmedWarn,"Warning","On track"),""))</f>
        <v/>
      </c>
      <c r="N589" s="65" t="str">
        <f aca="false">IF($M589="","",IF($M589="Critical",3000,IF($M589="Warning",2000,1000))+$L589+ROW()/100000)</f>
        <v/>
      </c>
      <c r="O589" s="65" t="str">
        <f aca="false">IF($K589="Open",IF($C589="Conflict","decide "&amp;$A589&amp;": &lt;which version stands&gt;","decide "&amp;$A589&amp;": &lt;outcome&gt;"),IF($K589="Unconfirmed","confirm "&amp;$A589,""))</f>
        <v/>
      </c>
      <c r="P589" s="65" t="str">
        <f aca="false">IF(AND($C589="New",$B589&gt;=WeekStart),$B589+ROW()/100000,"")</f>
        <v/>
      </c>
      <c r="Q589" s="65" t="str">
        <f aca="false">IF(AND($C589="Know",$B589&gt;=WeekStart),$B589+ROW()/100000,"")</f>
        <v/>
      </c>
      <c r="R589" s="65" t="str">
        <f aca="false">IF(AND($K589="Open",$C589="Decision"),$L589+ROW()/100000,"")</f>
        <v/>
      </c>
      <c r="S589" s="65" t="str">
        <f aca="false">IF(AND($J589&lt;&gt;"",$J589=UCSel),$B589+ROW()/100000,"")</f>
        <v/>
      </c>
    </row>
    <row r="590" customFormat="false" ht="15" hidden="false" customHeight="false" outlineLevel="0" collapsed="false">
      <c r="A590" s="28"/>
      <c r="B590" s="63"/>
      <c r="C590" s="64"/>
      <c r="D590" s="28"/>
      <c r="E590" s="28"/>
      <c r="F590" s="28"/>
      <c r="G590" s="64"/>
      <c r="H590" s="64"/>
      <c r="I590" s="28"/>
      <c r="J590" s="28"/>
      <c r="K590" s="65" t="str">
        <f aca="false">IF($A590="","",IF(OR($C590="Decision",$C590="Conflict"),IF(COUNTIFS($I$2:$I$1001,$A590,$C$2:$C$1001,"Resolved")=0,"Open","Closed"),IF(AND($H590="Unconfirmed",OR($C590="New",$C590="Know")),IF(COUNTIFS($I$2:$I$1001,$A590,$C$2:$C$1001,"Confirmed")=0,"Unconfirmed","Confirmed"),"Logged")))</f>
        <v/>
      </c>
      <c r="L590" s="65" t="str">
        <f aca="false">IF($A590="","",AsOf-$B590)</f>
        <v/>
      </c>
      <c r="M590" s="65" t="str">
        <f aca="false">IF($K590="Open",IF($C590="Conflict","Critical",IF($L590&gt;=DecisionCritical,"Critical",IF($L590&gt;=DecisionWarn,"Warning","On track"))),IF($K590="Unconfirmed",IF($L590&gt;=UnconfirmedWarn,"Warning","On track"),""))</f>
        <v/>
      </c>
      <c r="N590" s="65" t="str">
        <f aca="false">IF($M590="","",IF($M590="Critical",3000,IF($M590="Warning",2000,1000))+$L590+ROW()/100000)</f>
        <v/>
      </c>
      <c r="O590" s="65" t="str">
        <f aca="false">IF($K590="Open",IF($C590="Conflict","decide "&amp;$A590&amp;": &lt;which version stands&gt;","decide "&amp;$A590&amp;": &lt;outcome&gt;"),IF($K590="Unconfirmed","confirm "&amp;$A590,""))</f>
        <v/>
      </c>
      <c r="P590" s="65" t="str">
        <f aca="false">IF(AND($C590="New",$B590&gt;=WeekStart),$B590+ROW()/100000,"")</f>
        <v/>
      </c>
      <c r="Q590" s="65" t="str">
        <f aca="false">IF(AND($C590="Know",$B590&gt;=WeekStart),$B590+ROW()/100000,"")</f>
        <v/>
      </c>
      <c r="R590" s="65" t="str">
        <f aca="false">IF(AND($K590="Open",$C590="Decision"),$L590+ROW()/100000,"")</f>
        <v/>
      </c>
      <c r="S590" s="65" t="str">
        <f aca="false">IF(AND($J590&lt;&gt;"",$J590=UCSel),$B590+ROW()/100000,"")</f>
        <v/>
      </c>
    </row>
    <row r="591" customFormat="false" ht="15" hidden="false" customHeight="false" outlineLevel="0" collapsed="false">
      <c r="A591" s="28"/>
      <c r="B591" s="63"/>
      <c r="C591" s="64"/>
      <c r="D591" s="28"/>
      <c r="E591" s="28"/>
      <c r="F591" s="28"/>
      <c r="G591" s="64"/>
      <c r="H591" s="64"/>
      <c r="I591" s="28"/>
      <c r="J591" s="28"/>
      <c r="K591" s="65" t="str">
        <f aca="false">IF($A591="","",IF(OR($C591="Decision",$C591="Conflict"),IF(COUNTIFS($I$2:$I$1001,$A591,$C$2:$C$1001,"Resolved")=0,"Open","Closed"),IF(AND($H591="Unconfirmed",OR($C591="New",$C591="Know")),IF(COUNTIFS($I$2:$I$1001,$A591,$C$2:$C$1001,"Confirmed")=0,"Unconfirmed","Confirmed"),"Logged")))</f>
        <v/>
      </c>
      <c r="L591" s="65" t="str">
        <f aca="false">IF($A591="","",AsOf-$B591)</f>
        <v/>
      </c>
      <c r="M591" s="65" t="str">
        <f aca="false">IF($K591="Open",IF($C591="Conflict","Critical",IF($L591&gt;=DecisionCritical,"Critical",IF($L591&gt;=DecisionWarn,"Warning","On track"))),IF($K591="Unconfirmed",IF($L591&gt;=UnconfirmedWarn,"Warning","On track"),""))</f>
        <v/>
      </c>
      <c r="N591" s="65" t="str">
        <f aca="false">IF($M591="","",IF($M591="Critical",3000,IF($M591="Warning",2000,1000))+$L591+ROW()/100000)</f>
        <v/>
      </c>
      <c r="O591" s="65" t="str">
        <f aca="false">IF($K591="Open",IF($C591="Conflict","decide "&amp;$A591&amp;": &lt;which version stands&gt;","decide "&amp;$A591&amp;": &lt;outcome&gt;"),IF($K591="Unconfirmed","confirm "&amp;$A591,""))</f>
        <v/>
      </c>
      <c r="P591" s="65" t="str">
        <f aca="false">IF(AND($C591="New",$B591&gt;=WeekStart),$B591+ROW()/100000,"")</f>
        <v/>
      </c>
      <c r="Q591" s="65" t="str">
        <f aca="false">IF(AND($C591="Know",$B591&gt;=WeekStart),$B591+ROW()/100000,"")</f>
        <v/>
      </c>
      <c r="R591" s="65" t="str">
        <f aca="false">IF(AND($K591="Open",$C591="Decision"),$L591+ROW()/100000,"")</f>
        <v/>
      </c>
      <c r="S591" s="65" t="str">
        <f aca="false">IF(AND($J591&lt;&gt;"",$J591=UCSel),$B591+ROW()/100000,"")</f>
        <v/>
      </c>
    </row>
    <row r="592" customFormat="false" ht="15" hidden="false" customHeight="false" outlineLevel="0" collapsed="false">
      <c r="A592" s="28"/>
      <c r="B592" s="63"/>
      <c r="C592" s="64"/>
      <c r="D592" s="28"/>
      <c r="E592" s="28"/>
      <c r="F592" s="28"/>
      <c r="G592" s="64"/>
      <c r="H592" s="64"/>
      <c r="I592" s="28"/>
      <c r="J592" s="28"/>
      <c r="K592" s="65" t="str">
        <f aca="false">IF($A592="","",IF(OR($C592="Decision",$C592="Conflict"),IF(COUNTIFS($I$2:$I$1001,$A592,$C$2:$C$1001,"Resolved")=0,"Open","Closed"),IF(AND($H592="Unconfirmed",OR($C592="New",$C592="Know")),IF(COUNTIFS($I$2:$I$1001,$A592,$C$2:$C$1001,"Confirmed")=0,"Unconfirmed","Confirmed"),"Logged")))</f>
        <v/>
      </c>
      <c r="L592" s="65" t="str">
        <f aca="false">IF($A592="","",AsOf-$B592)</f>
        <v/>
      </c>
      <c r="M592" s="65" t="str">
        <f aca="false">IF($K592="Open",IF($C592="Conflict","Critical",IF($L592&gt;=DecisionCritical,"Critical",IF($L592&gt;=DecisionWarn,"Warning","On track"))),IF($K592="Unconfirmed",IF($L592&gt;=UnconfirmedWarn,"Warning","On track"),""))</f>
        <v/>
      </c>
      <c r="N592" s="65" t="str">
        <f aca="false">IF($M592="","",IF($M592="Critical",3000,IF($M592="Warning",2000,1000))+$L592+ROW()/100000)</f>
        <v/>
      </c>
      <c r="O592" s="65" t="str">
        <f aca="false">IF($K592="Open",IF($C592="Conflict","decide "&amp;$A592&amp;": &lt;which version stands&gt;","decide "&amp;$A592&amp;": &lt;outcome&gt;"),IF($K592="Unconfirmed","confirm "&amp;$A592,""))</f>
        <v/>
      </c>
      <c r="P592" s="65" t="str">
        <f aca="false">IF(AND($C592="New",$B592&gt;=WeekStart),$B592+ROW()/100000,"")</f>
        <v/>
      </c>
      <c r="Q592" s="65" t="str">
        <f aca="false">IF(AND($C592="Know",$B592&gt;=WeekStart),$B592+ROW()/100000,"")</f>
        <v/>
      </c>
      <c r="R592" s="65" t="str">
        <f aca="false">IF(AND($K592="Open",$C592="Decision"),$L592+ROW()/100000,"")</f>
        <v/>
      </c>
      <c r="S592" s="65" t="str">
        <f aca="false">IF(AND($J592&lt;&gt;"",$J592=UCSel),$B592+ROW()/100000,"")</f>
        <v/>
      </c>
    </row>
    <row r="593" customFormat="false" ht="15" hidden="false" customHeight="false" outlineLevel="0" collapsed="false">
      <c r="A593" s="28"/>
      <c r="B593" s="63"/>
      <c r="C593" s="64"/>
      <c r="D593" s="28"/>
      <c r="E593" s="28"/>
      <c r="F593" s="28"/>
      <c r="G593" s="64"/>
      <c r="H593" s="64"/>
      <c r="I593" s="28"/>
      <c r="J593" s="28"/>
      <c r="K593" s="65" t="str">
        <f aca="false">IF($A593="","",IF(OR($C593="Decision",$C593="Conflict"),IF(COUNTIFS($I$2:$I$1001,$A593,$C$2:$C$1001,"Resolved")=0,"Open","Closed"),IF(AND($H593="Unconfirmed",OR($C593="New",$C593="Know")),IF(COUNTIFS($I$2:$I$1001,$A593,$C$2:$C$1001,"Confirmed")=0,"Unconfirmed","Confirmed"),"Logged")))</f>
        <v/>
      </c>
      <c r="L593" s="65" t="str">
        <f aca="false">IF($A593="","",AsOf-$B593)</f>
        <v/>
      </c>
      <c r="M593" s="65" t="str">
        <f aca="false">IF($K593="Open",IF($C593="Conflict","Critical",IF($L593&gt;=DecisionCritical,"Critical",IF($L593&gt;=DecisionWarn,"Warning","On track"))),IF($K593="Unconfirmed",IF($L593&gt;=UnconfirmedWarn,"Warning","On track"),""))</f>
        <v/>
      </c>
      <c r="N593" s="65" t="str">
        <f aca="false">IF($M593="","",IF($M593="Critical",3000,IF($M593="Warning",2000,1000))+$L593+ROW()/100000)</f>
        <v/>
      </c>
      <c r="O593" s="65" t="str">
        <f aca="false">IF($K593="Open",IF($C593="Conflict","decide "&amp;$A593&amp;": &lt;which version stands&gt;","decide "&amp;$A593&amp;": &lt;outcome&gt;"),IF($K593="Unconfirmed","confirm "&amp;$A593,""))</f>
        <v/>
      </c>
      <c r="P593" s="65" t="str">
        <f aca="false">IF(AND($C593="New",$B593&gt;=WeekStart),$B593+ROW()/100000,"")</f>
        <v/>
      </c>
      <c r="Q593" s="65" t="str">
        <f aca="false">IF(AND($C593="Know",$B593&gt;=WeekStart),$B593+ROW()/100000,"")</f>
        <v/>
      </c>
      <c r="R593" s="65" t="str">
        <f aca="false">IF(AND($K593="Open",$C593="Decision"),$L593+ROW()/100000,"")</f>
        <v/>
      </c>
      <c r="S593" s="65" t="str">
        <f aca="false">IF(AND($J593&lt;&gt;"",$J593=UCSel),$B593+ROW()/100000,"")</f>
        <v/>
      </c>
    </row>
    <row r="594" customFormat="false" ht="15" hidden="false" customHeight="false" outlineLevel="0" collapsed="false">
      <c r="A594" s="28"/>
      <c r="B594" s="63"/>
      <c r="C594" s="64"/>
      <c r="D594" s="28"/>
      <c r="E594" s="28"/>
      <c r="F594" s="28"/>
      <c r="G594" s="64"/>
      <c r="H594" s="64"/>
      <c r="I594" s="28"/>
      <c r="J594" s="28"/>
      <c r="K594" s="65" t="str">
        <f aca="false">IF($A594="","",IF(OR($C594="Decision",$C594="Conflict"),IF(COUNTIFS($I$2:$I$1001,$A594,$C$2:$C$1001,"Resolved")=0,"Open","Closed"),IF(AND($H594="Unconfirmed",OR($C594="New",$C594="Know")),IF(COUNTIFS($I$2:$I$1001,$A594,$C$2:$C$1001,"Confirmed")=0,"Unconfirmed","Confirmed"),"Logged")))</f>
        <v/>
      </c>
      <c r="L594" s="65" t="str">
        <f aca="false">IF($A594="","",AsOf-$B594)</f>
        <v/>
      </c>
      <c r="M594" s="65" t="str">
        <f aca="false">IF($K594="Open",IF($C594="Conflict","Critical",IF($L594&gt;=DecisionCritical,"Critical",IF($L594&gt;=DecisionWarn,"Warning","On track"))),IF($K594="Unconfirmed",IF($L594&gt;=UnconfirmedWarn,"Warning","On track"),""))</f>
        <v/>
      </c>
      <c r="N594" s="65" t="str">
        <f aca="false">IF($M594="","",IF($M594="Critical",3000,IF($M594="Warning",2000,1000))+$L594+ROW()/100000)</f>
        <v/>
      </c>
      <c r="O594" s="65" t="str">
        <f aca="false">IF($K594="Open",IF($C594="Conflict","decide "&amp;$A594&amp;": &lt;which version stands&gt;","decide "&amp;$A594&amp;": &lt;outcome&gt;"),IF($K594="Unconfirmed","confirm "&amp;$A594,""))</f>
        <v/>
      </c>
      <c r="P594" s="65" t="str">
        <f aca="false">IF(AND($C594="New",$B594&gt;=WeekStart),$B594+ROW()/100000,"")</f>
        <v/>
      </c>
      <c r="Q594" s="65" t="str">
        <f aca="false">IF(AND($C594="Know",$B594&gt;=WeekStart),$B594+ROW()/100000,"")</f>
        <v/>
      </c>
      <c r="R594" s="65" t="str">
        <f aca="false">IF(AND($K594="Open",$C594="Decision"),$L594+ROW()/100000,"")</f>
        <v/>
      </c>
      <c r="S594" s="65" t="str">
        <f aca="false">IF(AND($J594&lt;&gt;"",$J594=UCSel),$B594+ROW()/100000,"")</f>
        <v/>
      </c>
    </row>
    <row r="595" customFormat="false" ht="15" hidden="false" customHeight="false" outlineLevel="0" collapsed="false">
      <c r="A595" s="28"/>
      <c r="B595" s="63"/>
      <c r="C595" s="64"/>
      <c r="D595" s="28"/>
      <c r="E595" s="28"/>
      <c r="F595" s="28"/>
      <c r="G595" s="64"/>
      <c r="H595" s="64"/>
      <c r="I595" s="28"/>
      <c r="J595" s="28"/>
      <c r="K595" s="65" t="str">
        <f aca="false">IF($A595="","",IF(OR($C595="Decision",$C595="Conflict"),IF(COUNTIFS($I$2:$I$1001,$A595,$C$2:$C$1001,"Resolved")=0,"Open","Closed"),IF(AND($H595="Unconfirmed",OR($C595="New",$C595="Know")),IF(COUNTIFS($I$2:$I$1001,$A595,$C$2:$C$1001,"Confirmed")=0,"Unconfirmed","Confirmed"),"Logged")))</f>
        <v/>
      </c>
      <c r="L595" s="65" t="str">
        <f aca="false">IF($A595="","",AsOf-$B595)</f>
        <v/>
      </c>
      <c r="M595" s="65" t="str">
        <f aca="false">IF($K595="Open",IF($C595="Conflict","Critical",IF($L595&gt;=DecisionCritical,"Critical",IF($L595&gt;=DecisionWarn,"Warning","On track"))),IF($K595="Unconfirmed",IF($L595&gt;=UnconfirmedWarn,"Warning","On track"),""))</f>
        <v/>
      </c>
      <c r="N595" s="65" t="str">
        <f aca="false">IF($M595="","",IF($M595="Critical",3000,IF($M595="Warning",2000,1000))+$L595+ROW()/100000)</f>
        <v/>
      </c>
      <c r="O595" s="65" t="str">
        <f aca="false">IF($K595="Open",IF($C595="Conflict","decide "&amp;$A595&amp;": &lt;which version stands&gt;","decide "&amp;$A595&amp;": &lt;outcome&gt;"),IF($K595="Unconfirmed","confirm "&amp;$A595,""))</f>
        <v/>
      </c>
      <c r="P595" s="65" t="str">
        <f aca="false">IF(AND($C595="New",$B595&gt;=WeekStart),$B595+ROW()/100000,"")</f>
        <v/>
      </c>
      <c r="Q595" s="65" t="str">
        <f aca="false">IF(AND($C595="Know",$B595&gt;=WeekStart),$B595+ROW()/100000,"")</f>
        <v/>
      </c>
      <c r="R595" s="65" t="str">
        <f aca="false">IF(AND($K595="Open",$C595="Decision"),$L595+ROW()/100000,"")</f>
        <v/>
      </c>
      <c r="S595" s="65" t="str">
        <f aca="false">IF(AND($J595&lt;&gt;"",$J595=UCSel),$B595+ROW()/100000,"")</f>
        <v/>
      </c>
    </row>
    <row r="596" customFormat="false" ht="15" hidden="false" customHeight="false" outlineLevel="0" collapsed="false">
      <c r="A596" s="28"/>
      <c r="B596" s="63"/>
      <c r="C596" s="64"/>
      <c r="D596" s="28"/>
      <c r="E596" s="28"/>
      <c r="F596" s="28"/>
      <c r="G596" s="64"/>
      <c r="H596" s="64"/>
      <c r="I596" s="28"/>
      <c r="J596" s="28"/>
      <c r="K596" s="65" t="str">
        <f aca="false">IF($A596="","",IF(OR($C596="Decision",$C596="Conflict"),IF(COUNTIFS($I$2:$I$1001,$A596,$C$2:$C$1001,"Resolved")=0,"Open","Closed"),IF(AND($H596="Unconfirmed",OR($C596="New",$C596="Know")),IF(COUNTIFS($I$2:$I$1001,$A596,$C$2:$C$1001,"Confirmed")=0,"Unconfirmed","Confirmed"),"Logged")))</f>
        <v/>
      </c>
      <c r="L596" s="65" t="str">
        <f aca="false">IF($A596="","",AsOf-$B596)</f>
        <v/>
      </c>
      <c r="M596" s="65" t="str">
        <f aca="false">IF($K596="Open",IF($C596="Conflict","Critical",IF($L596&gt;=DecisionCritical,"Critical",IF($L596&gt;=DecisionWarn,"Warning","On track"))),IF($K596="Unconfirmed",IF($L596&gt;=UnconfirmedWarn,"Warning","On track"),""))</f>
        <v/>
      </c>
      <c r="N596" s="65" t="str">
        <f aca="false">IF($M596="","",IF($M596="Critical",3000,IF($M596="Warning",2000,1000))+$L596+ROW()/100000)</f>
        <v/>
      </c>
      <c r="O596" s="65" t="str">
        <f aca="false">IF($K596="Open",IF($C596="Conflict","decide "&amp;$A596&amp;": &lt;which version stands&gt;","decide "&amp;$A596&amp;": &lt;outcome&gt;"),IF($K596="Unconfirmed","confirm "&amp;$A596,""))</f>
        <v/>
      </c>
      <c r="P596" s="65" t="str">
        <f aca="false">IF(AND($C596="New",$B596&gt;=WeekStart),$B596+ROW()/100000,"")</f>
        <v/>
      </c>
      <c r="Q596" s="65" t="str">
        <f aca="false">IF(AND($C596="Know",$B596&gt;=WeekStart),$B596+ROW()/100000,"")</f>
        <v/>
      </c>
      <c r="R596" s="65" t="str">
        <f aca="false">IF(AND($K596="Open",$C596="Decision"),$L596+ROW()/100000,"")</f>
        <v/>
      </c>
      <c r="S596" s="65" t="str">
        <f aca="false">IF(AND($J596&lt;&gt;"",$J596=UCSel),$B596+ROW()/100000,"")</f>
        <v/>
      </c>
    </row>
    <row r="597" customFormat="false" ht="15" hidden="false" customHeight="false" outlineLevel="0" collapsed="false">
      <c r="A597" s="28"/>
      <c r="B597" s="63"/>
      <c r="C597" s="64"/>
      <c r="D597" s="28"/>
      <c r="E597" s="28"/>
      <c r="F597" s="28"/>
      <c r="G597" s="64"/>
      <c r="H597" s="64"/>
      <c r="I597" s="28"/>
      <c r="J597" s="28"/>
      <c r="K597" s="65" t="str">
        <f aca="false">IF($A597="","",IF(OR($C597="Decision",$C597="Conflict"),IF(COUNTIFS($I$2:$I$1001,$A597,$C$2:$C$1001,"Resolved")=0,"Open","Closed"),IF(AND($H597="Unconfirmed",OR($C597="New",$C597="Know")),IF(COUNTIFS($I$2:$I$1001,$A597,$C$2:$C$1001,"Confirmed")=0,"Unconfirmed","Confirmed"),"Logged")))</f>
        <v/>
      </c>
      <c r="L597" s="65" t="str">
        <f aca="false">IF($A597="","",AsOf-$B597)</f>
        <v/>
      </c>
      <c r="M597" s="65" t="str">
        <f aca="false">IF($K597="Open",IF($C597="Conflict","Critical",IF($L597&gt;=DecisionCritical,"Critical",IF($L597&gt;=DecisionWarn,"Warning","On track"))),IF($K597="Unconfirmed",IF($L597&gt;=UnconfirmedWarn,"Warning","On track"),""))</f>
        <v/>
      </c>
      <c r="N597" s="65" t="str">
        <f aca="false">IF($M597="","",IF($M597="Critical",3000,IF($M597="Warning",2000,1000))+$L597+ROW()/100000)</f>
        <v/>
      </c>
      <c r="O597" s="65" t="str">
        <f aca="false">IF($K597="Open",IF($C597="Conflict","decide "&amp;$A597&amp;": &lt;which version stands&gt;","decide "&amp;$A597&amp;": &lt;outcome&gt;"),IF($K597="Unconfirmed","confirm "&amp;$A597,""))</f>
        <v/>
      </c>
      <c r="P597" s="65" t="str">
        <f aca="false">IF(AND($C597="New",$B597&gt;=WeekStart),$B597+ROW()/100000,"")</f>
        <v/>
      </c>
      <c r="Q597" s="65" t="str">
        <f aca="false">IF(AND($C597="Know",$B597&gt;=WeekStart),$B597+ROW()/100000,"")</f>
        <v/>
      </c>
      <c r="R597" s="65" t="str">
        <f aca="false">IF(AND($K597="Open",$C597="Decision"),$L597+ROW()/100000,"")</f>
        <v/>
      </c>
      <c r="S597" s="65" t="str">
        <f aca="false">IF(AND($J597&lt;&gt;"",$J597=UCSel),$B597+ROW()/100000,"")</f>
        <v/>
      </c>
    </row>
    <row r="598" customFormat="false" ht="15" hidden="false" customHeight="false" outlineLevel="0" collapsed="false">
      <c r="A598" s="28"/>
      <c r="B598" s="63"/>
      <c r="C598" s="64"/>
      <c r="D598" s="28"/>
      <c r="E598" s="28"/>
      <c r="F598" s="28"/>
      <c r="G598" s="64"/>
      <c r="H598" s="64"/>
      <c r="I598" s="28"/>
      <c r="J598" s="28"/>
      <c r="K598" s="65" t="str">
        <f aca="false">IF($A598="","",IF(OR($C598="Decision",$C598="Conflict"),IF(COUNTIFS($I$2:$I$1001,$A598,$C$2:$C$1001,"Resolved")=0,"Open","Closed"),IF(AND($H598="Unconfirmed",OR($C598="New",$C598="Know")),IF(COUNTIFS($I$2:$I$1001,$A598,$C$2:$C$1001,"Confirmed")=0,"Unconfirmed","Confirmed"),"Logged")))</f>
        <v/>
      </c>
      <c r="L598" s="65" t="str">
        <f aca="false">IF($A598="","",AsOf-$B598)</f>
        <v/>
      </c>
      <c r="M598" s="65" t="str">
        <f aca="false">IF($K598="Open",IF($C598="Conflict","Critical",IF($L598&gt;=DecisionCritical,"Critical",IF($L598&gt;=DecisionWarn,"Warning","On track"))),IF($K598="Unconfirmed",IF($L598&gt;=UnconfirmedWarn,"Warning","On track"),""))</f>
        <v/>
      </c>
      <c r="N598" s="65" t="str">
        <f aca="false">IF($M598="","",IF($M598="Critical",3000,IF($M598="Warning",2000,1000))+$L598+ROW()/100000)</f>
        <v/>
      </c>
      <c r="O598" s="65" t="str">
        <f aca="false">IF($K598="Open",IF($C598="Conflict","decide "&amp;$A598&amp;": &lt;which version stands&gt;","decide "&amp;$A598&amp;": &lt;outcome&gt;"),IF($K598="Unconfirmed","confirm "&amp;$A598,""))</f>
        <v/>
      </c>
      <c r="P598" s="65" t="str">
        <f aca="false">IF(AND($C598="New",$B598&gt;=WeekStart),$B598+ROW()/100000,"")</f>
        <v/>
      </c>
      <c r="Q598" s="65" t="str">
        <f aca="false">IF(AND($C598="Know",$B598&gt;=WeekStart),$B598+ROW()/100000,"")</f>
        <v/>
      </c>
      <c r="R598" s="65" t="str">
        <f aca="false">IF(AND($K598="Open",$C598="Decision"),$L598+ROW()/100000,"")</f>
        <v/>
      </c>
      <c r="S598" s="65" t="str">
        <f aca="false">IF(AND($J598&lt;&gt;"",$J598=UCSel),$B598+ROW()/100000,"")</f>
        <v/>
      </c>
    </row>
    <row r="599" customFormat="false" ht="15" hidden="false" customHeight="false" outlineLevel="0" collapsed="false">
      <c r="A599" s="28"/>
      <c r="B599" s="63"/>
      <c r="C599" s="64"/>
      <c r="D599" s="28"/>
      <c r="E599" s="28"/>
      <c r="F599" s="28"/>
      <c r="G599" s="64"/>
      <c r="H599" s="64"/>
      <c r="I599" s="28"/>
      <c r="J599" s="28"/>
      <c r="K599" s="65" t="str">
        <f aca="false">IF($A599="","",IF(OR($C599="Decision",$C599="Conflict"),IF(COUNTIFS($I$2:$I$1001,$A599,$C$2:$C$1001,"Resolved")=0,"Open","Closed"),IF(AND($H599="Unconfirmed",OR($C599="New",$C599="Know")),IF(COUNTIFS($I$2:$I$1001,$A599,$C$2:$C$1001,"Confirmed")=0,"Unconfirmed","Confirmed"),"Logged")))</f>
        <v/>
      </c>
      <c r="L599" s="65" t="str">
        <f aca="false">IF($A599="","",AsOf-$B599)</f>
        <v/>
      </c>
      <c r="M599" s="65" t="str">
        <f aca="false">IF($K599="Open",IF($C599="Conflict","Critical",IF($L599&gt;=DecisionCritical,"Critical",IF($L599&gt;=DecisionWarn,"Warning","On track"))),IF($K599="Unconfirmed",IF($L599&gt;=UnconfirmedWarn,"Warning","On track"),""))</f>
        <v/>
      </c>
      <c r="N599" s="65" t="str">
        <f aca="false">IF($M599="","",IF($M599="Critical",3000,IF($M599="Warning",2000,1000))+$L599+ROW()/100000)</f>
        <v/>
      </c>
      <c r="O599" s="65" t="str">
        <f aca="false">IF($K599="Open",IF($C599="Conflict","decide "&amp;$A599&amp;": &lt;which version stands&gt;","decide "&amp;$A599&amp;": &lt;outcome&gt;"),IF($K599="Unconfirmed","confirm "&amp;$A599,""))</f>
        <v/>
      </c>
      <c r="P599" s="65" t="str">
        <f aca="false">IF(AND($C599="New",$B599&gt;=WeekStart),$B599+ROW()/100000,"")</f>
        <v/>
      </c>
      <c r="Q599" s="65" t="str">
        <f aca="false">IF(AND($C599="Know",$B599&gt;=WeekStart),$B599+ROW()/100000,"")</f>
        <v/>
      </c>
      <c r="R599" s="65" t="str">
        <f aca="false">IF(AND($K599="Open",$C599="Decision"),$L599+ROW()/100000,"")</f>
        <v/>
      </c>
      <c r="S599" s="65" t="str">
        <f aca="false">IF(AND($J599&lt;&gt;"",$J599=UCSel),$B599+ROW()/100000,"")</f>
        <v/>
      </c>
    </row>
    <row r="600" customFormat="false" ht="15" hidden="false" customHeight="false" outlineLevel="0" collapsed="false">
      <c r="A600" s="28"/>
      <c r="B600" s="63"/>
      <c r="C600" s="64"/>
      <c r="D600" s="28"/>
      <c r="E600" s="28"/>
      <c r="F600" s="28"/>
      <c r="G600" s="64"/>
      <c r="H600" s="64"/>
      <c r="I600" s="28"/>
      <c r="J600" s="28"/>
      <c r="K600" s="65" t="str">
        <f aca="false">IF($A600="","",IF(OR($C600="Decision",$C600="Conflict"),IF(COUNTIFS($I$2:$I$1001,$A600,$C$2:$C$1001,"Resolved")=0,"Open","Closed"),IF(AND($H600="Unconfirmed",OR($C600="New",$C600="Know")),IF(COUNTIFS($I$2:$I$1001,$A600,$C$2:$C$1001,"Confirmed")=0,"Unconfirmed","Confirmed"),"Logged")))</f>
        <v/>
      </c>
      <c r="L600" s="65" t="str">
        <f aca="false">IF($A600="","",AsOf-$B600)</f>
        <v/>
      </c>
      <c r="M600" s="65" t="str">
        <f aca="false">IF($K600="Open",IF($C600="Conflict","Critical",IF($L600&gt;=DecisionCritical,"Critical",IF($L600&gt;=DecisionWarn,"Warning","On track"))),IF($K600="Unconfirmed",IF($L600&gt;=UnconfirmedWarn,"Warning","On track"),""))</f>
        <v/>
      </c>
      <c r="N600" s="65" t="str">
        <f aca="false">IF($M600="","",IF($M600="Critical",3000,IF($M600="Warning",2000,1000))+$L600+ROW()/100000)</f>
        <v/>
      </c>
      <c r="O600" s="65" t="str">
        <f aca="false">IF($K600="Open",IF($C600="Conflict","decide "&amp;$A600&amp;": &lt;which version stands&gt;","decide "&amp;$A600&amp;": &lt;outcome&gt;"),IF($K600="Unconfirmed","confirm "&amp;$A600,""))</f>
        <v/>
      </c>
      <c r="P600" s="65" t="str">
        <f aca="false">IF(AND($C600="New",$B600&gt;=WeekStart),$B600+ROW()/100000,"")</f>
        <v/>
      </c>
      <c r="Q600" s="65" t="str">
        <f aca="false">IF(AND($C600="Know",$B600&gt;=WeekStart),$B600+ROW()/100000,"")</f>
        <v/>
      </c>
      <c r="R600" s="65" t="str">
        <f aca="false">IF(AND($K600="Open",$C600="Decision"),$L600+ROW()/100000,"")</f>
        <v/>
      </c>
      <c r="S600" s="65" t="str">
        <f aca="false">IF(AND($J600&lt;&gt;"",$J600=UCSel),$B600+ROW()/100000,"")</f>
        <v/>
      </c>
    </row>
    <row r="601" customFormat="false" ht="15" hidden="false" customHeight="false" outlineLevel="0" collapsed="false">
      <c r="A601" s="28"/>
      <c r="B601" s="63"/>
      <c r="C601" s="64"/>
      <c r="D601" s="28"/>
      <c r="E601" s="28"/>
      <c r="F601" s="28"/>
      <c r="G601" s="64"/>
      <c r="H601" s="64"/>
      <c r="I601" s="28"/>
      <c r="J601" s="28"/>
      <c r="K601" s="65" t="str">
        <f aca="false">IF($A601="","",IF(OR($C601="Decision",$C601="Conflict"),IF(COUNTIFS($I$2:$I$1001,$A601,$C$2:$C$1001,"Resolved")=0,"Open","Closed"),IF(AND($H601="Unconfirmed",OR($C601="New",$C601="Know")),IF(COUNTIFS($I$2:$I$1001,$A601,$C$2:$C$1001,"Confirmed")=0,"Unconfirmed","Confirmed"),"Logged")))</f>
        <v/>
      </c>
      <c r="L601" s="65" t="str">
        <f aca="false">IF($A601="","",AsOf-$B601)</f>
        <v/>
      </c>
      <c r="M601" s="65" t="str">
        <f aca="false">IF($K601="Open",IF($C601="Conflict","Critical",IF($L601&gt;=DecisionCritical,"Critical",IF($L601&gt;=DecisionWarn,"Warning","On track"))),IF($K601="Unconfirmed",IF($L601&gt;=UnconfirmedWarn,"Warning","On track"),""))</f>
        <v/>
      </c>
      <c r="N601" s="65" t="str">
        <f aca="false">IF($M601="","",IF($M601="Critical",3000,IF($M601="Warning",2000,1000))+$L601+ROW()/100000)</f>
        <v/>
      </c>
      <c r="O601" s="65" t="str">
        <f aca="false">IF($K601="Open",IF($C601="Conflict","decide "&amp;$A601&amp;": &lt;which version stands&gt;","decide "&amp;$A601&amp;": &lt;outcome&gt;"),IF($K601="Unconfirmed","confirm "&amp;$A601,""))</f>
        <v/>
      </c>
      <c r="P601" s="65" t="str">
        <f aca="false">IF(AND($C601="New",$B601&gt;=WeekStart),$B601+ROW()/100000,"")</f>
        <v/>
      </c>
      <c r="Q601" s="65" t="str">
        <f aca="false">IF(AND($C601="Know",$B601&gt;=WeekStart),$B601+ROW()/100000,"")</f>
        <v/>
      </c>
      <c r="R601" s="65" t="str">
        <f aca="false">IF(AND($K601="Open",$C601="Decision"),$L601+ROW()/100000,"")</f>
        <v/>
      </c>
      <c r="S601" s="65" t="str">
        <f aca="false">IF(AND($J601&lt;&gt;"",$J601=UCSel),$B601+ROW()/100000,"")</f>
        <v/>
      </c>
    </row>
    <row r="602" customFormat="false" ht="15" hidden="false" customHeight="false" outlineLevel="0" collapsed="false">
      <c r="A602" s="28"/>
      <c r="B602" s="63"/>
      <c r="C602" s="64"/>
      <c r="D602" s="28"/>
      <c r="E602" s="28"/>
      <c r="F602" s="28"/>
      <c r="G602" s="64"/>
      <c r="H602" s="64"/>
      <c r="I602" s="28"/>
      <c r="J602" s="28"/>
      <c r="K602" s="65" t="str">
        <f aca="false">IF($A602="","",IF(OR($C602="Decision",$C602="Conflict"),IF(COUNTIFS($I$2:$I$1001,$A602,$C$2:$C$1001,"Resolved")=0,"Open","Closed"),IF(AND($H602="Unconfirmed",OR($C602="New",$C602="Know")),IF(COUNTIFS($I$2:$I$1001,$A602,$C$2:$C$1001,"Confirmed")=0,"Unconfirmed","Confirmed"),"Logged")))</f>
        <v/>
      </c>
      <c r="L602" s="65" t="str">
        <f aca="false">IF($A602="","",AsOf-$B602)</f>
        <v/>
      </c>
      <c r="M602" s="65" t="str">
        <f aca="false">IF($K602="Open",IF($C602="Conflict","Critical",IF($L602&gt;=DecisionCritical,"Critical",IF($L602&gt;=DecisionWarn,"Warning","On track"))),IF($K602="Unconfirmed",IF($L602&gt;=UnconfirmedWarn,"Warning","On track"),""))</f>
        <v/>
      </c>
      <c r="N602" s="65" t="str">
        <f aca="false">IF($M602="","",IF($M602="Critical",3000,IF($M602="Warning",2000,1000))+$L602+ROW()/100000)</f>
        <v/>
      </c>
      <c r="O602" s="65" t="str">
        <f aca="false">IF($K602="Open",IF($C602="Conflict","decide "&amp;$A602&amp;": &lt;which version stands&gt;","decide "&amp;$A602&amp;": &lt;outcome&gt;"),IF($K602="Unconfirmed","confirm "&amp;$A602,""))</f>
        <v/>
      </c>
      <c r="P602" s="65" t="str">
        <f aca="false">IF(AND($C602="New",$B602&gt;=WeekStart),$B602+ROW()/100000,"")</f>
        <v/>
      </c>
      <c r="Q602" s="65" t="str">
        <f aca="false">IF(AND($C602="Know",$B602&gt;=WeekStart),$B602+ROW()/100000,"")</f>
        <v/>
      </c>
      <c r="R602" s="65" t="str">
        <f aca="false">IF(AND($K602="Open",$C602="Decision"),$L602+ROW()/100000,"")</f>
        <v/>
      </c>
      <c r="S602" s="65" t="str">
        <f aca="false">IF(AND($J602&lt;&gt;"",$J602=UCSel),$B602+ROW()/100000,"")</f>
        <v/>
      </c>
    </row>
    <row r="603" customFormat="false" ht="15" hidden="false" customHeight="false" outlineLevel="0" collapsed="false">
      <c r="A603" s="28"/>
      <c r="B603" s="63"/>
      <c r="C603" s="64"/>
      <c r="D603" s="28"/>
      <c r="E603" s="28"/>
      <c r="F603" s="28"/>
      <c r="G603" s="64"/>
      <c r="H603" s="64"/>
      <c r="I603" s="28"/>
      <c r="J603" s="28"/>
      <c r="K603" s="65" t="str">
        <f aca="false">IF($A603="","",IF(OR($C603="Decision",$C603="Conflict"),IF(COUNTIFS($I$2:$I$1001,$A603,$C$2:$C$1001,"Resolved")=0,"Open","Closed"),IF(AND($H603="Unconfirmed",OR($C603="New",$C603="Know")),IF(COUNTIFS($I$2:$I$1001,$A603,$C$2:$C$1001,"Confirmed")=0,"Unconfirmed","Confirmed"),"Logged")))</f>
        <v/>
      </c>
      <c r="L603" s="65" t="str">
        <f aca="false">IF($A603="","",AsOf-$B603)</f>
        <v/>
      </c>
      <c r="M603" s="65" t="str">
        <f aca="false">IF($K603="Open",IF($C603="Conflict","Critical",IF($L603&gt;=DecisionCritical,"Critical",IF($L603&gt;=DecisionWarn,"Warning","On track"))),IF($K603="Unconfirmed",IF($L603&gt;=UnconfirmedWarn,"Warning","On track"),""))</f>
        <v/>
      </c>
      <c r="N603" s="65" t="str">
        <f aca="false">IF($M603="","",IF($M603="Critical",3000,IF($M603="Warning",2000,1000))+$L603+ROW()/100000)</f>
        <v/>
      </c>
      <c r="O603" s="65" t="str">
        <f aca="false">IF($K603="Open",IF($C603="Conflict","decide "&amp;$A603&amp;": &lt;which version stands&gt;","decide "&amp;$A603&amp;": &lt;outcome&gt;"),IF($K603="Unconfirmed","confirm "&amp;$A603,""))</f>
        <v/>
      </c>
      <c r="P603" s="65" t="str">
        <f aca="false">IF(AND($C603="New",$B603&gt;=WeekStart),$B603+ROW()/100000,"")</f>
        <v/>
      </c>
      <c r="Q603" s="65" t="str">
        <f aca="false">IF(AND($C603="Know",$B603&gt;=WeekStart),$B603+ROW()/100000,"")</f>
        <v/>
      </c>
      <c r="R603" s="65" t="str">
        <f aca="false">IF(AND($K603="Open",$C603="Decision"),$L603+ROW()/100000,"")</f>
        <v/>
      </c>
      <c r="S603" s="65" t="str">
        <f aca="false">IF(AND($J603&lt;&gt;"",$J603=UCSel),$B603+ROW()/100000,"")</f>
        <v/>
      </c>
    </row>
    <row r="604" customFormat="false" ht="15" hidden="false" customHeight="false" outlineLevel="0" collapsed="false">
      <c r="A604" s="28"/>
      <c r="B604" s="63"/>
      <c r="C604" s="64"/>
      <c r="D604" s="28"/>
      <c r="E604" s="28"/>
      <c r="F604" s="28"/>
      <c r="G604" s="64"/>
      <c r="H604" s="64"/>
      <c r="I604" s="28"/>
      <c r="J604" s="28"/>
      <c r="K604" s="65" t="str">
        <f aca="false">IF($A604="","",IF(OR($C604="Decision",$C604="Conflict"),IF(COUNTIFS($I$2:$I$1001,$A604,$C$2:$C$1001,"Resolved")=0,"Open","Closed"),IF(AND($H604="Unconfirmed",OR($C604="New",$C604="Know")),IF(COUNTIFS($I$2:$I$1001,$A604,$C$2:$C$1001,"Confirmed")=0,"Unconfirmed","Confirmed"),"Logged")))</f>
        <v/>
      </c>
      <c r="L604" s="65" t="str">
        <f aca="false">IF($A604="","",AsOf-$B604)</f>
        <v/>
      </c>
      <c r="M604" s="65" t="str">
        <f aca="false">IF($K604="Open",IF($C604="Conflict","Critical",IF($L604&gt;=DecisionCritical,"Critical",IF($L604&gt;=DecisionWarn,"Warning","On track"))),IF($K604="Unconfirmed",IF($L604&gt;=UnconfirmedWarn,"Warning","On track"),""))</f>
        <v/>
      </c>
      <c r="N604" s="65" t="str">
        <f aca="false">IF($M604="","",IF($M604="Critical",3000,IF($M604="Warning",2000,1000))+$L604+ROW()/100000)</f>
        <v/>
      </c>
      <c r="O604" s="65" t="str">
        <f aca="false">IF($K604="Open",IF($C604="Conflict","decide "&amp;$A604&amp;": &lt;which version stands&gt;","decide "&amp;$A604&amp;": &lt;outcome&gt;"),IF($K604="Unconfirmed","confirm "&amp;$A604,""))</f>
        <v/>
      </c>
      <c r="P604" s="65" t="str">
        <f aca="false">IF(AND($C604="New",$B604&gt;=WeekStart),$B604+ROW()/100000,"")</f>
        <v/>
      </c>
      <c r="Q604" s="65" t="str">
        <f aca="false">IF(AND($C604="Know",$B604&gt;=WeekStart),$B604+ROW()/100000,"")</f>
        <v/>
      </c>
      <c r="R604" s="65" t="str">
        <f aca="false">IF(AND($K604="Open",$C604="Decision"),$L604+ROW()/100000,"")</f>
        <v/>
      </c>
      <c r="S604" s="65" t="str">
        <f aca="false">IF(AND($J604&lt;&gt;"",$J604=UCSel),$B604+ROW()/100000,"")</f>
        <v/>
      </c>
    </row>
    <row r="605" customFormat="false" ht="15" hidden="false" customHeight="false" outlineLevel="0" collapsed="false">
      <c r="A605" s="28"/>
      <c r="B605" s="63"/>
      <c r="C605" s="64"/>
      <c r="D605" s="28"/>
      <c r="E605" s="28"/>
      <c r="F605" s="28"/>
      <c r="G605" s="64"/>
      <c r="H605" s="64"/>
      <c r="I605" s="28"/>
      <c r="J605" s="28"/>
      <c r="K605" s="65" t="str">
        <f aca="false">IF($A605="","",IF(OR($C605="Decision",$C605="Conflict"),IF(COUNTIFS($I$2:$I$1001,$A605,$C$2:$C$1001,"Resolved")=0,"Open","Closed"),IF(AND($H605="Unconfirmed",OR($C605="New",$C605="Know")),IF(COUNTIFS($I$2:$I$1001,$A605,$C$2:$C$1001,"Confirmed")=0,"Unconfirmed","Confirmed"),"Logged")))</f>
        <v/>
      </c>
      <c r="L605" s="65" t="str">
        <f aca="false">IF($A605="","",AsOf-$B605)</f>
        <v/>
      </c>
      <c r="M605" s="65" t="str">
        <f aca="false">IF($K605="Open",IF($C605="Conflict","Critical",IF($L605&gt;=DecisionCritical,"Critical",IF($L605&gt;=DecisionWarn,"Warning","On track"))),IF($K605="Unconfirmed",IF($L605&gt;=UnconfirmedWarn,"Warning","On track"),""))</f>
        <v/>
      </c>
      <c r="N605" s="65" t="str">
        <f aca="false">IF($M605="","",IF($M605="Critical",3000,IF($M605="Warning",2000,1000))+$L605+ROW()/100000)</f>
        <v/>
      </c>
      <c r="O605" s="65" t="str">
        <f aca="false">IF($K605="Open",IF($C605="Conflict","decide "&amp;$A605&amp;": &lt;which version stands&gt;","decide "&amp;$A605&amp;": &lt;outcome&gt;"),IF($K605="Unconfirmed","confirm "&amp;$A605,""))</f>
        <v/>
      </c>
      <c r="P605" s="65" t="str">
        <f aca="false">IF(AND($C605="New",$B605&gt;=WeekStart),$B605+ROW()/100000,"")</f>
        <v/>
      </c>
      <c r="Q605" s="65" t="str">
        <f aca="false">IF(AND($C605="Know",$B605&gt;=WeekStart),$B605+ROW()/100000,"")</f>
        <v/>
      </c>
      <c r="R605" s="65" t="str">
        <f aca="false">IF(AND($K605="Open",$C605="Decision"),$L605+ROW()/100000,"")</f>
        <v/>
      </c>
      <c r="S605" s="65" t="str">
        <f aca="false">IF(AND($J605&lt;&gt;"",$J605=UCSel),$B605+ROW()/100000,"")</f>
        <v/>
      </c>
    </row>
    <row r="606" customFormat="false" ht="15" hidden="false" customHeight="false" outlineLevel="0" collapsed="false">
      <c r="A606" s="28"/>
      <c r="B606" s="63"/>
      <c r="C606" s="64"/>
      <c r="D606" s="28"/>
      <c r="E606" s="28"/>
      <c r="F606" s="28"/>
      <c r="G606" s="64"/>
      <c r="H606" s="64"/>
      <c r="I606" s="28"/>
      <c r="J606" s="28"/>
      <c r="K606" s="65" t="str">
        <f aca="false">IF($A606="","",IF(OR($C606="Decision",$C606="Conflict"),IF(COUNTIFS($I$2:$I$1001,$A606,$C$2:$C$1001,"Resolved")=0,"Open","Closed"),IF(AND($H606="Unconfirmed",OR($C606="New",$C606="Know")),IF(COUNTIFS($I$2:$I$1001,$A606,$C$2:$C$1001,"Confirmed")=0,"Unconfirmed","Confirmed"),"Logged")))</f>
        <v/>
      </c>
      <c r="L606" s="65" t="str">
        <f aca="false">IF($A606="","",AsOf-$B606)</f>
        <v/>
      </c>
      <c r="M606" s="65" t="str">
        <f aca="false">IF($K606="Open",IF($C606="Conflict","Critical",IF($L606&gt;=DecisionCritical,"Critical",IF($L606&gt;=DecisionWarn,"Warning","On track"))),IF($K606="Unconfirmed",IF($L606&gt;=UnconfirmedWarn,"Warning","On track"),""))</f>
        <v/>
      </c>
      <c r="N606" s="65" t="str">
        <f aca="false">IF($M606="","",IF($M606="Critical",3000,IF($M606="Warning",2000,1000))+$L606+ROW()/100000)</f>
        <v/>
      </c>
      <c r="O606" s="65" t="str">
        <f aca="false">IF($K606="Open",IF($C606="Conflict","decide "&amp;$A606&amp;": &lt;which version stands&gt;","decide "&amp;$A606&amp;": &lt;outcome&gt;"),IF($K606="Unconfirmed","confirm "&amp;$A606,""))</f>
        <v/>
      </c>
      <c r="P606" s="65" t="str">
        <f aca="false">IF(AND($C606="New",$B606&gt;=WeekStart),$B606+ROW()/100000,"")</f>
        <v/>
      </c>
      <c r="Q606" s="65" t="str">
        <f aca="false">IF(AND($C606="Know",$B606&gt;=WeekStart),$B606+ROW()/100000,"")</f>
        <v/>
      </c>
      <c r="R606" s="65" t="str">
        <f aca="false">IF(AND($K606="Open",$C606="Decision"),$L606+ROW()/100000,"")</f>
        <v/>
      </c>
      <c r="S606" s="65" t="str">
        <f aca="false">IF(AND($J606&lt;&gt;"",$J606=UCSel),$B606+ROW()/100000,"")</f>
        <v/>
      </c>
    </row>
    <row r="607" customFormat="false" ht="15" hidden="false" customHeight="false" outlineLevel="0" collapsed="false">
      <c r="A607" s="28"/>
      <c r="B607" s="63"/>
      <c r="C607" s="64"/>
      <c r="D607" s="28"/>
      <c r="E607" s="28"/>
      <c r="F607" s="28"/>
      <c r="G607" s="64"/>
      <c r="H607" s="64"/>
      <c r="I607" s="28"/>
      <c r="J607" s="28"/>
      <c r="K607" s="65" t="str">
        <f aca="false">IF($A607="","",IF(OR($C607="Decision",$C607="Conflict"),IF(COUNTIFS($I$2:$I$1001,$A607,$C$2:$C$1001,"Resolved")=0,"Open","Closed"),IF(AND($H607="Unconfirmed",OR($C607="New",$C607="Know")),IF(COUNTIFS($I$2:$I$1001,$A607,$C$2:$C$1001,"Confirmed")=0,"Unconfirmed","Confirmed"),"Logged")))</f>
        <v/>
      </c>
      <c r="L607" s="65" t="str">
        <f aca="false">IF($A607="","",AsOf-$B607)</f>
        <v/>
      </c>
      <c r="M607" s="65" t="str">
        <f aca="false">IF($K607="Open",IF($C607="Conflict","Critical",IF($L607&gt;=DecisionCritical,"Critical",IF($L607&gt;=DecisionWarn,"Warning","On track"))),IF($K607="Unconfirmed",IF($L607&gt;=UnconfirmedWarn,"Warning","On track"),""))</f>
        <v/>
      </c>
      <c r="N607" s="65" t="str">
        <f aca="false">IF($M607="","",IF($M607="Critical",3000,IF($M607="Warning",2000,1000))+$L607+ROW()/100000)</f>
        <v/>
      </c>
      <c r="O607" s="65" t="str">
        <f aca="false">IF($K607="Open",IF($C607="Conflict","decide "&amp;$A607&amp;": &lt;which version stands&gt;","decide "&amp;$A607&amp;": &lt;outcome&gt;"),IF($K607="Unconfirmed","confirm "&amp;$A607,""))</f>
        <v/>
      </c>
      <c r="P607" s="65" t="str">
        <f aca="false">IF(AND($C607="New",$B607&gt;=WeekStart),$B607+ROW()/100000,"")</f>
        <v/>
      </c>
      <c r="Q607" s="65" t="str">
        <f aca="false">IF(AND($C607="Know",$B607&gt;=WeekStart),$B607+ROW()/100000,"")</f>
        <v/>
      </c>
      <c r="R607" s="65" t="str">
        <f aca="false">IF(AND($K607="Open",$C607="Decision"),$L607+ROW()/100000,"")</f>
        <v/>
      </c>
      <c r="S607" s="65" t="str">
        <f aca="false">IF(AND($J607&lt;&gt;"",$J607=UCSel),$B607+ROW()/100000,"")</f>
        <v/>
      </c>
    </row>
    <row r="608" customFormat="false" ht="15" hidden="false" customHeight="false" outlineLevel="0" collapsed="false">
      <c r="A608" s="28"/>
      <c r="B608" s="63"/>
      <c r="C608" s="64"/>
      <c r="D608" s="28"/>
      <c r="E608" s="28"/>
      <c r="F608" s="28"/>
      <c r="G608" s="64"/>
      <c r="H608" s="64"/>
      <c r="I608" s="28"/>
      <c r="J608" s="28"/>
      <c r="K608" s="65" t="str">
        <f aca="false">IF($A608="","",IF(OR($C608="Decision",$C608="Conflict"),IF(COUNTIFS($I$2:$I$1001,$A608,$C$2:$C$1001,"Resolved")=0,"Open","Closed"),IF(AND($H608="Unconfirmed",OR($C608="New",$C608="Know")),IF(COUNTIFS($I$2:$I$1001,$A608,$C$2:$C$1001,"Confirmed")=0,"Unconfirmed","Confirmed"),"Logged")))</f>
        <v/>
      </c>
      <c r="L608" s="65" t="str">
        <f aca="false">IF($A608="","",AsOf-$B608)</f>
        <v/>
      </c>
      <c r="M608" s="65" t="str">
        <f aca="false">IF($K608="Open",IF($C608="Conflict","Critical",IF($L608&gt;=DecisionCritical,"Critical",IF($L608&gt;=DecisionWarn,"Warning","On track"))),IF($K608="Unconfirmed",IF($L608&gt;=UnconfirmedWarn,"Warning","On track"),""))</f>
        <v/>
      </c>
      <c r="N608" s="65" t="str">
        <f aca="false">IF($M608="","",IF($M608="Critical",3000,IF($M608="Warning",2000,1000))+$L608+ROW()/100000)</f>
        <v/>
      </c>
      <c r="O608" s="65" t="str">
        <f aca="false">IF($K608="Open",IF($C608="Conflict","decide "&amp;$A608&amp;": &lt;which version stands&gt;","decide "&amp;$A608&amp;": &lt;outcome&gt;"),IF($K608="Unconfirmed","confirm "&amp;$A608,""))</f>
        <v/>
      </c>
      <c r="P608" s="65" t="str">
        <f aca="false">IF(AND($C608="New",$B608&gt;=WeekStart),$B608+ROW()/100000,"")</f>
        <v/>
      </c>
      <c r="Q608" s="65" t="str">
        <f aca="false">IF(AND($C608="Know",$B608&gt;=WeekStart),$B608+ROW()/100000,"")</f>
        <v/>
      </c>
      <c r="R608" s="65" t="str">
        <f aca="false">IF(AND($K608="Open",$C608="Decision"),$L608+ROW()/100000,"")</f>
        <v/>
      </c>
      <c r="S608" s="65" t="str">
        <f aca="false">IF(AND($J608&lt;&gt;"",$J608=UCSel),$B608+ROW()/100000,"")</f>
        <v/>
      </c>
    </row>
    <row r="609" customFormat="false" ht="15" hidden="false" customHeight="false" outlineLevel="0" collapsed="false">
      <c r="A609" s="28"/>
      <c r="B609" s="63"/>
      <c r="C609" s="64"/>
      <c r="D609" s="28"/>
      <c r="E609" s="28"/>
      <c r="F609" s="28"/>
      <c r="G609" s="64"/>
      <c r="H609" s="64"/>
      <c r="I609" s="28"/>
      <c r="J609" s="28"/>
      <c r="K609" s="65" t="str">
        <f aca="false">IF($A609="","",IF(OR($C609="Decision",$C609="Conflict"),IF(COUNTIFS($I$2:$I$1001,$A609,$C$2:$C$1001,"Resolved")=0,"Open","Closed"),IF(AND($H609="Unconfirmed",OR($C609="New",$C609="Know")),IF(COUNTIFS($I$2:$I$1001,$A609,$C$2:$C$1001,"Confirmed")=0,"Unconfirmed","Confirmed"),"Logged")))</f>
        <v/>
      </c>
      <c r="L609" s="65" t="str">
        <f aca="false">IF($A609="","",AsOf-$B609)</f>
        <v/>
      </c>
      <c r="M609" s="65" t="str">
        <f aca="false">IF($K609="Open",IF($C609="Conflict","Critical",IF($L609&gt;=DecisionCritical,"Critical",IF($L609&gt;=DecisionWarn,"Warning","On track"))),IF($K609="Unconfirmed",IF($L609&gt;=UnconfirmedWarn,"Warning","On track"),""))</f>
        <v/>
      </c>
      <c r="N609" s="65" t="str">
        <f aca="false">IF($M609="","",IF($M609="Critical",3000,IF($M609="Warning",2000,1000))+$L609+ROW()/100000)</f>
        <v/>
      </c>
      <c r="O609" s="65" t="str">
        <f aca="false">IF($K609="Open",IF($C609="Conflict","decide "&amp;$A609&amp;": &lt;which version stands&gt;","decide "&amp;$A609&amp;": &lt;outcome&gt;"),IF($K609="Unconfirmed","confirm "&amp;$A609,""))</f>
        <v/>
      </c>
      <c r="P609" s="65" t="str">
        <f aca="false">IF(AND($C609="New",$B609&gt;=WeekStart),$B609+ROW()/100000,"")</f>
        <v/>
      </c>
      <c r="Q609" s="65" t="str">
        <f aca="false">IF(AND($C609="Know",$B609&gt;=WeekStart),$B609+ROW()/100000,"")</f>
        <v/>
      </c>
      <c r="R609" s="65" t="str">
        <f aca="false">IF(AND($K609="Open",$C609="Decision"),$L609+ROW()/100000,"")</f>
        <v/>
      </c>
      <c r="S609" s="65" t="str">
        <f aca="false">IF(AND($J609&lt;&gt;"",$J609=UCSel),$B609+ROW()/100000,"")</f>
        <v/>
      </c>
    </row>
    <row r="610" customFormat="false" ht="15" hidden="false" customHeight="false" outlineLevel="0" collapsed="false">
      <c r="A610" s="28"/>
      <c r="B610" s="63"/>
      <c r="C610" s="64"/>
      <c r="D610" s="28"/>
      <c r="E610" s="28"/>
      <c r="F610" s="28"/>
      <c r="G610" s="64"/>
      <c r="H610" s="64"/>
      <c r="I610" s="28"/>
      <c r="J610" s="28"/>
      <c r="K610" s="65" t="str">
        <f aca="false">IF($A610="","",IF(OR($C610="Decision",$C610="Conflict"),IF(COUNTIFS($I$2:$I$1001,$A610,$C$2:$C$1001,"Resolved")=0,"Open","Closed"),IF(AND($H610="Unconfirmed",OR($C610="New",$C610="Know")),IF(COUNTIFS($I$2:$I$1001,$A610,$C$2:$C$1001,"Confirmed")=0,"Unconfirmed","Confirmed"),"Logged")))</f>
        <v/>
      </c>
      <c r="L610" s="65" t="str">
        <f aca="false">IF($A610="","",AsOf-$B610)</f>
        <v/>
      </c>
      <c r="M610" s="65" t="str">
        <f aca="false">IF($K610="Open",IF($C610="Conflict","Critical",IF($L610&gt;=DecisionCritical,"Critical",IF($L610&gt;=DecisionWarn,"Warning","On track"))),IF($K610="Unconfirmed",IF($L610&gt;=UnconfirmedWarn,"Warning","On track"),""))</f>
        <v/>
      </c>
      <c r="N610" s="65" t="str">
        <f aca="false">IF($M610="","",IF($M610="Critical",3000,IF($M610="Warning",2000,1000))+$L610+ROW()/100000)</f>
        <v/>
      </c>
      <c r="O610" s="65" t="str">
        <f aca="false">IF($K610="Open",IF($C610="Conflict","decide "&amp;$A610&amp;": &lt;which version stands&gt;","decide "&amp;$A610&amp;": &lt;outcome&gt;"),IF($K610="Unconfirmed","confirm "&amp;$A610,""))</f>
        <v/>
      </c>
      <c r="P610" s="65" t="str">
        <f aca="false">IF(AND($C610="New",$B610&gt;=WeekStart),$B610+ROW()/100000,"")</f>
        <v/>
      </c>
      <c r="Q610" s="65" t="str">
        <f aca="false">IF(AND($C610="Know",$B610&gt;=WeekStart),$B610+ROW()/100000,"")</f>
        <v/>
      </c>
      <c r="R610" s="65" t="str">
        <f aca="false">IF(AND($K610="Open",$C610="Decision"),$L610+ROW()/100000,"")</f>
        <v/>
      </c>
      <c r="S610" s="65" t="str">
        <f aca="false">IF(AND($J610&lt;&gt;"",$J610=UCSel),$B610+ROW()/100000,"")</f>
        <v/>
      </c>
    </row>
    <row r="611" customFormat="false" ht="15" hidden="false" customHeight="false" outlineLevel="0" collapsed="false">
      <c r="A611" s="28"/>
      <c r="B611" s="63"/>
      <c r="C611" s="64"/>
      <c r="D611" s="28"/>
      <c r="E611" s="28"/>
      <c r="F611" s="28"/>
      <c r="G611" s="64"/>
      <c r="H611" s="64"/>
      <c r="I611" s="28"/>
      <c r="J611" s="28"/>
      <c r="K611" s="65" t="str">
        <f aca="false">IF($A611="","",IF(OR($C611="Decision",$C611="Conflict"),IF(COUNTIFS($I$2:$I$1001,$A611,$C$2:$C$1001,"Resolved")=0,"Open","Closed"),IF(AND($H611="Unconfirmed",OR($C611="New",$C611="Know")),IF(COUNTIFS($I$2:$I$1001,$A611,$C$2:$C$1001,"Confirmed")=0,"Unconfirmed","Confirmed"),"Logged")))</f>
        <v/>
      </c>
      <c r="L611" s="65" t="str">
        <f aca="false">IF($A611="","",AsOf-$B611)</f>
        <v/>
      </c>
      <c r="M611" s="65" t="str">
        <f aca="false">IF($K611="Open",IF($C611="Conflict","Critical",IF($L611&gt;=DecisionCritical,"Critical",IF($L611&gt;=DecisionWarn,"Warning","On track"))),IF($K611="Unconfirmed",IF($L611&gt;=UnconfirmedWarn,"Warning","On track"),""))</f>
        <v/>
      </c>
      <c r="N611" s="65" t="str">
        <f aca="false">IF($M611="","",IF($M611="Critical",3000,IF($M611="Warning",2000,1000))+$L611+ROW()/100000)</f>
        <v/>
      </c>
      <c r="O611" s="65" t="str">
        <f aca="false">IF($K611="Open",IF($C611="Conflict","decide "&amp;$A611&amp;": &lt;which version stands&gt;","decide "&amp;$A611&amp;": &lt;outcome&gt;"),IF($K611="Unconfirmed","confirm "&amp;$A611,""))</f>
        <v/>
      </c>
      <c r="P611" s="65" t="str">
        <f aca="false">IF(AND($C611="New",$B611&gt;=WeekStart),$B611+ROW()/100000,"")</f>
        <v/>
      </c>
      <c r="Q611" s="65" t="str">
        <f aca="false">IF(AND($C611="Know",$B611&gt;=WeekStart),$B611+ROW()/100000,"")</f>
        <v/>
      </c>
      <c r="R611" s="65" t="str">
        <f aca="false">IF(AND($K611="Open",$C611="Decision"),$L611+ROW()/100000,"")</f>
        <v/>
      </c>
      <c r="S611" s="65" t="str">
        <f aca="false">IF(AND($J611&lt;&gt;"",$J611=UCSel),$B611+ROW()/100000,"")</f>
        <v/>
      </c>
    </row>
    <row r="612" customFormat="false" ht="15" hidden="false" customHeight="false" outlineLevel="0" collapsed="false">
      <c r="A612" s="28"/>
      <c r="B612" s="63"/>
      <c r="C612" s="64"/>
      <c r="D612" s="28"/>
      <c r="E612" s="28"/>
      <c r="F612" s="28"/>
      <c r="G612" s="64"/>
      <c r="H612" s="64"/>
      <c r="I612" s="28"/>
      <c r="J612" s="28"/>
      <c r="K612" s="65" t="str">
        <f aca="false">IF($A612="","",IF(OR($C612="Decision",$C612="Conflict"),IF(COUNTIFS($I$2:$I$1001,$A612,$C$2:$C$1001,"Resolved")=0,"Open","Closed"),IF(AND($H612="Unconfirmed",OR($C612="New",$C612="Know")),IF(COUNTIFS($I$2:$I$1001,$A612,$C$2:$C$1001,"Confirmed")=0,"Unconfirmed","Confirmed"),"Logged")))</f>
        <v/>
      </c>
      <c r="L612" s="65" t="str">
        <f aca="false">IF($A612="","",AsOf-$B612)</f>
        <v/>
      </c>
      <c r="M612" s="65" t="str">
        <f aca="false">IF($K612="Open",IF($C612="Conflict","Critical",IF($L612&gt;=DecisionCritical,"Critical",IF($L612&gt;=DecisionWarn,"Warning","On track"))),IF($K612="Unconfirmed",IF($L612&gt;=UnconfirmedWarn,"Warning","On track"),""))</f>
        <v/>
      </c>
      <c r="N612" s="65" t="str">
        <f aca="false">IF($M612="","",IF($M612="Critical",3000,IF($M612="Warning",2000,1000))+$L612+ROW()/100000)</f>
        <v/>
      </c>
      <c r="O612" s="65" t="str">
        <f aca="false">IF($K612="Open",IF($C612="Conflict","decide "&amp;$A612&amp;": &lt;which version stands&gt;","decide "&amp;$A612&amp;": &lt;outcome&gt;"),IF($K612="Unconfirmed","confirm "&amp;$A612,""))</f>
        <v/>
      </c>
      <c r="P612" s="65" t="str">
        <f aca="false">IF(AND($C612="New",$B612&gt;=WeekStart),$B612+ROW()/100000,"")</f>
        <v/>
      </c>
      <c r="Q612" s="65" t="str">
        <f aca="false">IF(AND($C612="Know",$B612&gt;=WeekStart),$B612+ROW()/100000,"")</f>
        <v/>
      </c>
      <c r="R612" s="65" t="str">
        <f aca="false">IF(AND($K612="Open",$C612="Decision"),$L612+ROW()/100000,"")</f>
        <v/>
      </c>
      <c r="S612" s="65" t="str">
        <f aca="false">IF(AND($J612&lt;&gt;"",$J612=UCSel),$B612+ROW()/100000,"")</f>
        <v/>
      </c>
    </row>
    <row r="613" customFormat="false" ht="15" hidden="false" customHeight="false" outlineLevel="0" collapsed="false">
      <c r="A613" s="28"/>
      <c r="B613" s="63"/>
      <c r="C613" s="64"/>
      <c r="D613" s="28"/>
      <c r="E613" s="28"/>
      <c r="F613" s="28"/>
      <c r="G613" s="64"/>
      <c r="H613" s="64"/>
      <c r="I613" s="28"/>
      <c r="J613" s="28"/>
      <c r="K613" s="65" t="str">
        <f aca="false">IF($A613="","",IF(OR($C613="Decision",$C613="Conflict"),IF(COUNTIFS($I$2:$I$1001,$A613,$C$2:$C$1001,"Resolved")=0,"Open","Closed"),IF(AND($H613="Unconfirmed",OR($C613="New",$C613="Know")),IF(COUNTIFS($I$2:$I$1001,$A613,$C$2:$C$1001,"Confirmed")=0,"Unconfirmed","Confirmed"),"Logged")))</f>
        <v/>
      </c>
      <c r="L613" s="65" t="str">
        <f aca="false">IF($A613="","",AsOf-$B613)</f>
        <v/>
      </c>
      <c r="M613" s="65" t="str">
        <f aca="false">IF($K613="Open",IF($C613="Conflict","Critical",IF($L613&gt;=DecisionCritical,"Critical",IF($L613&gt;=DecisionWarn,"Warning","On track"))),IF($K613="Unconfirmed",IF($L613&gt;=UnconfirmedWarn,"Warning","On track"),""))</f>
        <v/>
      </c>
      <c r="N613" s="65" t="str">
        <f aca="false">IF($M613="","",IF($M613="Critical",3000,IF($M613="Warning",2000,1000))+$L613+ROW()/100000)</f>
        <v/>
      </c>
      <c r="O613" s="65" t="str">
        <f aca="false">IF($K613="Open",IF($C613="Conflict","decide "&amp;$A613&amp;": &lt;which version stands&gt;","decide "&amp;$A613&amp;": &lt;outcome&gt;"),IF($K613="Unconfirmed","confirm "&amp;$A613,""))</f>
        <v/>
      </c>
      <c r="P613" s="65" t="str">
        <f aca="false">IF(AND($C613="New",$B613&gt;=WeekStart),$B613+ROW()/100000,"")</f>
        <v/>
      </c>
      <c r="Q613" s="65" t="str">
        <f aca="false">IF(AND($C613="Know",$B613&gt;=WeekStart),$B613+ROW()/100000,"")</f>
        <v/>
      </c>
      <c r="R613" s="65" t="str">
        <f aca="false">IF(AND($K613="Open",$C613="Decision"),$L613+ROW()/100000,"")</f>
        <v/>
      </c>
      <c r="S613" s="65" t="str">
        <f aca="false">IF(AND($J613&lt;&gt;"",$J613=UCSel),$B613+ROW()/100000,"")</f>
        <v/>
      </c>
    </row>
    <row r="614" customFormat="false" ht="15" hidden="false" customHeight="false" outlineLevel="0" collapsed="false">
      <c r="A614" s="28"/>
      <c r="B614" s="63"/>
      <c r="C614" s="64"/>
      <c r="D614" s="28"/>
      <c r="E614" s="28"/>
      <c r="F614" s="28"/>
      <c r="G614" s="64"/>
      <c r="H614" s="64"/>
      <c r="I614" s="28"/>
      <c r="J614" s="28"/>
      <c r="K614" s="65" t="str">
        <f aca="false">IF($A614="","",IF(OR($C614="Decision",$C614="Conflict"),IF(COUNTIFS($I$2:$I$1001,$A614,$C$2:$C$1001,"Resolved")=0,"Open","Closed"),IF(AND($H614="Unconfirmed",OR($C614="New",$C614="Know")),IF(COUNTIFS($I$2:$I$1001,$A614,$C$2:$C$1001,"Confirmed")=0,"Unconfirmed","Confirmed"),"Logged")))</f>
        <v/>
      </c>
      <c r="L614" s="65" t="str">
        <f aca="false">IF($A614="","",AsOf-$B614)</f>
        <v/>
      </c>
      <c r="M614" s="65" t="str">
        <f aca="false">IF($K614="Open",IF($C614="Conflict","Critical",IF($L614&gt;=DecisionCritical,"Critical",IF($L614&gt;=DecisionWarn,"Warning","On track"))),IF($K614="Unconfirmed",IF($L614&gt;=UnconfirmedWarn,"Warning","On track"),""))</f>
        <v/>
      </c>
      <c r="N614" s="65" t="str">
        <f aca="false">IF($M614="","",IF($M614="Critical",3000,IF($M614="Warning",2000,1000))+$L614+ROW()/100000)</f>
        <v/>
      </c>
      <c r="O614" s="65" t="str">
        <f aca="false">IF($K614="Open",IF($C614="Conflict","decide "&amp;$A614&amp;": &lt;which version stands&gt;","decide "&amp;$A614&amp;": &lt;outcome&gt;"),IF($K614="Unconfirmed","confirm "&amp;$A614,""))</f>
        <v/>
      </c>
      <c r="P614" s="65" t="str">
        <f aca="false">IF(AND($C614="New",$B614&gt;=WeekStart),$B614+ROW()/100000,"")</f>
        <v/>
      </c>
      <c r="Q614" s="65" t="str">
        <f aca="false">IF(AND($C614="Know",$B614&gt;=WeekStart),$B614+ROW()/100000,"")</f>
        <v/>
      </c>
      <c r="R614" s="65" t="str">
        <f aca="false">IF(AND($K614="Open",$C614="Decision"),$L614+ROW()/100000,"")</f>
        <v/>
      </c>
      <c r="S614" s="65" t="str">
        <f aca="false">IF(AND($J614&lt;&gt;"",$J614=UCSel),$B614+ROW()/100000,"")</f>
        <v/>
      </c>
    </row>
    <row r="615" customFormat="false" ht="15" hidden="false" customHeight="false" outlineLevel="0" collapsed="false">
      <c r="A615" s="28"/>
      <c r="B615" s="63"/>
      <c r="C615" s="64"/>
      <c r="D615" s="28"/>
      <c r="E615" s="28"/>
      <c r="F615" s="28"/>
      <c r="G615" s="64"/>
      <c r="H615" s="64"/>
      <c r="I615" s="28"/>
      <c r="J615" s="28"/>
      <c r="K615" s="65" t="str">
        <f aca="false">IF($A615="","",IF(OR($C615="Decision",$C615="Conflict"),IF(COUNTIFS($I$2:$I$1001,$A615,$C$2:$C$1001,"Resolved")=0,"Open","Closed"),IF(AND($H615="Unconfirmed",OR($C615="New",$C615="Know")),IF(COUNTIFS($I$2:$I$1001,$A615,$C$2:$C$1001,"Confirmed")=0,"Unconfirmed","Confirmed"),"Logged")))</f>
        <v/>
      </c>
      <c r="L615" s="65" t="str">
        <f aca="false">IF($A615="","",AsOf-$B615)</f>
        <v/>
      </c>
      <c r="M615" s="65" t="str">
        <f aca="false">IF($K615="Open",IF($C615="Conflict","Critical",IF($L615&gt;=DecisionCritical,"Critical",IF($L615&gt;=DecisionWarn,"Warning","On track"))),IF($K615="Unconfirmed",IF($L615&gt;=UnconfirmedWarn,"Warning","On track"),""))</f>
        <v/>
      </c>
      <c r="N615" s="65" t="str">
        <f aca="false">IF($M615="","",IF($M615="Critical",3000,IF($M615="Warning",2000,1000))+$L615+ROW()/100000)</f>
        <v/>
      </c>
      <c r="O615" s="65" t="str">
        <f aca="false">IF($K615="Open",IF($C615="Conflict","decide "&amp;$A615&amp;": &lt;which version stands&gt;","decide "&amp;$A615&amp;": &lt;outcome&gt;"),IF($K615="Unconfirmed","confirm "&amp;$A615,""))</f>
        <v/>
      </c>
      <c r="P615" s="65" t="str">
        <f aca="false">IF(AND($C615="New",$B615&gt;=WeekStart),$B615+ROW()/100000,"")</f>
        <v/>
      </c>
      <c r="Q615" s="65" t="str">
        <f aca="false">IF(AND($C615="Know",$B615&gt;=WeekStart),$B615+ROW()/100000,"")</f>
        <v/>
      </c>
      <c r="R615" s="65" t="str">
        <f aca="false">IF(AND($K615="Open",$C615="Decision"),$L615+ROW()/100000,"")</f>
        <v/>
      </c>
      <c r="S615" s="65" t="str">
        <f aca="false">IF(AND($J615&lt;&gt;"",$J615=UCSel),$B615+ROW()/100000,"")</f>
        <v/>
      </c>
    </row>
    <row r="616" customFormat="false" ht="15" hidden="false" customHeight="false" outlineLevel="0" collapsed="false">
      <c r="A616" s="28"/>
      <c r="B616" s="63"/>
      <c r="C616" s="64"/>
      <c r="D616" s="28"/>
      <c r="E616" s="28"/>
      <c r="F616" s="28"/>
      <c r="G616" s="64"/>
      <c r="H616" s="64"/>
      <c r="I616" s="28"/>
      <c r="J616" s="28"/>
      <c r="K616" s="65" t="str">
        <f aca="false">IF($A616="","",IF(OR($C616="Decision",$C616="Conflict"),IF(COUNTIFS($I$2:$I$1001,$A616,$C$2:$C$1001,"Resolved")=0,"Open","Closed"),IF(AND($H616="Unconfirmed",OR($C616="New",$C616="Know")),IF(COUNTIFS($I$2:$I$1001,$A616,$C$2:$C$1001,"Confirmed")=0,"Unconfirmed","Confirmed"),"Logged")))</f>
        <v/>
      </c>
      <c r="L616" s="65" t="str">
        <f aca="false">IF($A616="","",AsOf-$B616)</f>
        <v/>
      </c>
      <c r="M616" s="65" t="str">
        <f aca="false">IF($K616="Open",IF($C616="Conflict","Critical",IF($L616&gt;=DecisionCritical,"Critical",IF($L616&gt;=DecisionWarn,"Warning","On track"))),IF($K616="Unconfirmed",IF($L616&gt;=UnconfirmedWarn,"Warning","On track"),""))</f>
        <v/>
      </c>
      <c r="N616" s="65" t="str">
        <f aca="false">IF($M616="","",IF($M616="Critical",3000,IF($M616="Warning",2000,1000))+$L616+ROW()/100000)</f>
        <v/>
      </c>
      <c r="O616" s="65" t="str">
        <f aca="false">IF($K616="Open",IF($C616="Conflict","decide "&amp;$A616&amp;": &lt;which version stands&gt;","decide "&amp;$A616&amp;": &lt;outcome&gt;"),IF($K616="Unconfirmed","confirm "&amp;$A616,""))</f>
        <v/>
      </c>
      <c r="P616" s="65" t="str">
        <f aca="false">IF(AND($C616="New",$B616&gt;=WeekStart),$B616+ROW()/100000,"")</f>
        <v/>
      </c>
      <c r="Q616" s="65" t="str">
        <f aca="false">IF(AND($C616="Know",$B616&gt;=WeekStart),$B616+ROW()/100000,"")</f>
        <v/>
      </c>
      <c r="R616" s="65" t="str">
        <f aca="false">IF(AND($K616="Open",$C616="Decision"),$L616+ROW()/100000,"")</f>
        <v/>
      </c>
      <c r="S616" s="65" t="str">
        <f aca="false">IF(AND($J616&lt;&gt;"",$J616=UCSel),$B616+ROW()/100000,"")</f>
        <v/>
      </c>
    </row>
    <row r="617" customFormat="false" ht="15" hidden="false" customHeight="false" outlineLevel="0" collapsed="false">
      <c r="A617" s="28"/>
      <c r="B617" s="63"/>
      <c r="C617" s="64"/>
      <c r="D617" s="28"/>
      <c r="E617" s="28"/>
      <c r="F617" s="28"/>
      <c r="G617" s="64"/>
      <c r="H617" s="64"/>
      <c r="I617" s="28"/>
      <c r="J617" s="28"/>
      <c r="K617" s="65" t="str">
        <f aca="false">IF($A617="","",IF(OR($C617="Decision",$C617="Conflict"),IF(COUNTIFS($I$2:$I$1001,$A617,$C$2:$C$1001,"Resolved")=0,"Open","Closed"),IF(AND($H617="Unconfirmed",OR($C617="New",$C617="Know")),IF(COUNTIFS($I$2:$I$1001,$A617,$C$2:$C$1001,"Confirmed")=0,"Unconfirmed","Confirmed"),"Logged")))</f>
        <v/>
      </c>
      <c r="L617" s="65" t="str">
        <f aca="false">IF($A617="","",AsOf-$B617)</f>
        <v/>
      </c>
      <c r="M617" s="65" t="str">
        <f aca="false">IF($K617="Open",IF($C617="Conflict","Critical",IF($L617&gt;=DecisionCritical,"Critical",IF($L617&gt;=DecisionWarn,"Warning","On track"))),IF($K617="Unconfirmed",IF($L617&gt;=UnconfirmedWarn,"Warning","On track"),""))</f>
        <v/>
      </c>
      <c r="N617" s="65" t="str">
        <f aca="false">IF($M617="","",IF($M617="Critical",3000,IF($M617="Warning",2000,1000))+$L617+ROW()/100000)</f>
        <v/>
      </c>
      <c r="O617" s="65" t="str">
        <f aca="false">IF($K617="Open",IF($C617="Conflict","decide "&amp;$A617&amp;": &lt;which version stands&gt;","decide "&amp;$A617&amp;": &lt;outcome&gt;"),IF($K617="Unconfirmed","confirm "&amp;$A617,""))</f>
        <v/>
      </c>
      <c r="P617" s="65" t="str">
        <f aca="false">IF(AND($C617="New",$B617&gt;=WeekStart),$B617+ROW()/100000,"")</f>
        <v/>
      </c>
      <c r="Q617" s="65" t="str">
        <f aca="false">IF(AND($C617="Know",$B617&gt;=WeekStart),$B617+ROW()/100000,"")</f>
        <v/>
      </c>
      <c r="R617" s="65" t="str">
        <f aca="false">IF(AND($K617="Open",$C617="Decision"),$L617+ROW()/100000,"")</f>
        <v/>
      </c>
      <c r="S617" s="65" t="str">
        <f aca="false">IF(AND($J617&lt;&gt;"",$J617=UCSel),$B617+ROW()/100000,"")</f>
        <v/>
      </c>
    </row>
    <row r="618" customFormat="false" ht="15" hidden="false" customHeight="false" outlineLevel="0" collapsed="false">
      <c r="A618" s="28"/>
      <c r="B618" s="63"/>
      <c r="C618" s="64"/>
      <c r="D618" s="28"/>
      <c r="E618" s="28"/>
      <c r="F618" s="28"/>
      <c r="G618" s="64"/>
      <c r="H618" s="64"/>
      <c r="I618" s="28"/>
      <c r="J618" s="28"/>
      <c r="K618" s="65" t="str">
        <f aca="false">IF($A618="","",IF(OR($C618="Decision",$C618="Conflict"),IF(COUNTIFS($I$2:$I$1001,$A618,$C$2:$C$1001,"Resolved")=0,"Open","Closed"),IF(AND($H618="Unconfirmed",OR($C618="New",$C618="Know")),IF(COUNTIFS($I$2:$I$1001,$A618,$C$2:$C$1001,"Confirmed")=0,"Unconfirmed","Confirmed"),"Logged")))</f>
        <v/>
      </c>
      <c r="L618" s="65" t="str">
        <f aca="false">IF($A618="","",AsOf-$B618)</f>
        <v/>
      </c>
      <c r="M618" s="65" t="str">
        <f aca="false">IF($K618="Open",IF($C618="Conflict","Critical",IF($L618&gt;=DecisionCritical,"Critical",IF($L618&gt;=DecisionWarn,"Warning","On track"))),IF($K618="Unconfirmed",IF($L618&gt;=UnconfirmedWarn,"Warning","On track"),""))</f>
        <v/>
      </c>
      <c r="N618" s="65" t="str">
        <f aca="false">IF($M618="","",IF($M618="Critical",3000,IF($M618="Warning",2000,1000))+$L618+ROW()/100000)</f>
        <v/>
      </c>
      <c r="O618" s="65" t="str">
        <f aca="false">IF($K618="Open",IF($C618="Conflict","decide "&amp;$A618&amp;": &lt;which version stands&gt;","decide "&amp;$A618&amp;": &lt;outcome&gt;"),IF($K618="Unconfirmed","confirm "&amp;$A618,""))</f>
        <v/>
      </c>
      <c r="P618" s="65" t="str">
        <f aca="false">IF(AND($C618="New",$B618&gt;=WeekStart),$B618+ROW()/100000,"")</f>
        <v/>
      </c>
      <c r="Q618" s="65" t="str">
        <f aca="false">IF(AND($C618="Know",$B618&gt;=WeekStart),$B618+ROW()/100000,"")</f>
        <v/>
      </c>
      <c r="R618" s="65" t="str">
        <f aca="false">IF(AND($K618="Open",$C618="Decision"),$L618+ROW()/100000,"")</f>
        <v/>
      </c>
      <c r="S618" s="65" t="str">
        <f aca="false">IF(AND($J618&lt;&gt;"",$J618=UCSel),$B618+ROW()/100000,"")</f>
        <v/>
      </c>
    </row>
    <row r="619" customFormat="false" ht="15" hidden="false" customHeight="false" outlineLevel="0" collapsed="false">
      <c r="A619" s="28"/>
      <c r="B619" s="63"/>
      <c r="C619" s="64"/>
      <c r="D619" s="28"/>
      <c r="E619" s="28"/>
      <c r="F619" s="28"/>
      <c r="G619" s="64"/>
      <c r="H619" s="64"/>
      <c r="I619" s="28"/>
      <c r="J619" s="28"/>
      <c r="K619" s="65" t="str">
        <f aca="false">IF($A619="","",IF(OR($C619="Decision",$C619="Conflict"),IF(COUNTIFS($I$2:$I$1001,$A619,$C$2:$C$1001,"Resolved")=0,"Open","Closed"),IF(AND($H619="Unconfirmed",OR($C619="New",$C619="Know")),IF(COUNTIFS($I$2:$I$1001,$A619,$C$2:$C$1001,"Confirmed")=0,"Unconfirmed","Confirmed"),"Logged")))</f>
        <v/>
      </c>
      <c r="L619" s="65" t="str">
        <f aca="false">IF($A619="","",AsOf-$B619)</f>
        <v/>
      </c>
      <c r="M619" s="65" t="str">
        <f aca="false">IF($K619="Open",IF($C619="Conflict","Critical",IF($L619&gt;=DecisionCritical,"Critical",IF($L619&gt;=DecisionWarn,"Warning","On track"))),IF($K619="Unconfirmed",IF($L619&gt;=UnconfirmedWarn,"Warning","On track"),""))</f>
        <v/>
      </c>
      <c r="N619" s="65" t="str">
        <f aca="false">IF($M619="","",IF($M619="Critical",3000,IF($M619="Warning",2000,1000))+$L619+ROW()/100000)</f>
        <v/>
      </c>
      <c r="O619" s="65" t="str">
        <f aca="false">IF($K619="Open",IF($C619="Conflict","decide "&amp;$A619&amp;": &lt;which version stands&gt;","decide "&amp;$A619&amp;": &lt;outcome&gt;"),IF($K619="Unconfirmed","confirm "&amp;$A619,""))</f>
        <v/>
      </c>
      <c r="P619" s="65" t="str">
        <f aca="false">IF(AND($C619="New",$B619&gt;=WeekStart),$B619+ROW()/100000,"")</f>
        <v/>
      </c>
      <c r="Q619" s="65" t="str">
        <f aca="false">IF(AND($C619="Know",$B619&gt;=WeekStart),$B619+ROW()/100000,"")</f>
        <v/>
      </c>
      <c r="R619" s="65" t="str">
        <f aca="false">IF(AND($K619="Open",$C619="Decision"),$L619+ROW()/100000,"")</f>
        <v/>
      </c>
      <c r="S619" s="65" t="str">
        <f aca="false">IF(AND($J619&lt;&gt;"",$J619=UCSel),$B619+ROW()/100000,"")</f>
        <v/>
      </c>
    </row>
    <row r="620" customFormat="false" ht="15" hidden="false" customHeight="false" outlineLevel="0" collapsed="false">
      <c r="A620" s="28"/>
      <c r="B620" s="63"/>
      <c r="C620" s="64"/>
      <c r="D620" s="28"/>
      <c r="E620" s="28"/>
      <c r="F620" s="28"/>
      <c r="G620" s="64"/>
      <c r="H620" s="64"/>
      <c r="I620" s="28"/>
      <c r="J620" s="28"/>
      <c r="K620" s="65" t="str">
        <f aca="false">IF($A620="","",IF(OR($C620="Decision",$C620="Conflict"),IF(COUNTIFS($I$2:$I$1001,$A620,$C$2:$C$1001,"Resolved")=0,"Open","Closed"),IF(AND($H620="Unconfirmed",OR($C620="New",$C620="Know")),IF(COUNTIFS($I$2:$I$1001,$A620,$C$2:$C$1001,"Confirmed")=0,"Unconfirmed","Confirmed"),"Logged")))</f>
        <v/>
      </c>
      <c r="L620" s="65" t="str">
        <f aca="false">IF($A620="","",AsOf-$B620)</f>
        <v/>
      </c>
      <c r="M620" s="65" t="str">
        <f aca="false">IF($K620="Open",IF($C620="Conflict","Critical",IF($L620&gt;=DecisionCritical,"Critical",IF($L620&gt;=DecisionWarn,"Warning","On track"))),IF($K620="Unconfirmed",IF($L620&gt;=UnconfirmedWarn,"Warning","On track"),""))</f>
        <v/>
      </c>
      <c r="N620" s="65" t="str">
        <f aca="false">IF($M620="","",IF($M620="Critical",3000,IF($M620="Warning",2000,1000))+$L620+ROW()/100000)</f>
        <v/>
      </c>
      <c r="O620" s="65" t="str">
        <f aca="false">IF($K620="Open",IF($C620="Conflict","decide "&amp;$A620&amp;": &lt;which version stands&gt;","decide "&amp;$A620&amp;": &lt;outcome&gt;"),IF($K620="Unconfirmed","confirm "&amp;$A620,""))</f>
        <v/>
      </c>
      <c r="P620" s="65" t="str">
        <f aca="false">IF(AND($C620="New",$B620&gt;=WeekStart),$B620+ROW()/100000,"")</f>
        <v/>
      </c>
      <c r="Q620" s="65" t="str">
        <f aca="false">IF(AND($C620="Know",$B620&gt;=WeekStart),$B620+ROW()/100000,"")</f>
        <v/>
      </c>
      <c r="R620" s="65" t="str">
        <f aca="false">IF(AND($K620="Open",$C620="Decision"),$L620+ROW()/100000,"")</f>
        <v/>
      </c>
      <c r="S620" s="65" t="str">
        <f aca="false">IF(AND($J620&lt;&gt;"",$J620=UCSel),$B620+ROW()/100000,"")</f>
        <v/>
      </c>
    </row>
    <row r="621" customFormat="false" ht="15" hidden="false" customHeight="false" outlineLevel="0" collapsed="false">
      <c r="A621" s="28"/>
      <c r="B621" s="63"/>
      <c r="C621" s="64"/>
      <c r="D621" s="28"/>
      <c r="E621" s="28"/>
      <c r="F621" s="28"/>
      <c r="G621" s="64"/>
      <c r="H621" s="64"/>
      <c r="I621" s="28"/>
      <c r="J621" s="28"/>
      <c r="K621" s="65" t="str">
        <f aca="false">IF($A621="","",IF(OR($C621="Decision",$C621="Conflict"),IF(COUNTIFS($I$2:$I$1001,$A621,$C$2:$C$1001,"Resolved")=0,"Open","Closed"),IF(AND($H621="Unconfirmed",OR($C621="New",$C621="Know")),IF(COUNTIFS($I$2:$I$1001,$A621,$C$2:$C$1001,"Confirmed")=0,"Unconfirmed","Confirmed"),"Logged")))</f>
        <v/>
      </c>
      <c r="L621" s="65" t="str">
        <f aca="false">IF($A621="","",AsOf-$B621)</f>
        <v/>
      </c>
      <c r="M621" s="65" t="str">
        <f aca="false">IF($K621="Open",IF($C621="Conflict","Critical",IF($L621&gt;=DecisionCritical,"Critical",IF($L621&gt;=DecisionWarn,"Warning","On track"))),IF($K621="Unconfirmed",IF($L621&gt;=UnconfirmedWarn,"Warning","On track"),""))</f>
        <v/>
      </c>
      <c r="N621" s="65" t="str">
        <f aca="false">IF($M621="","",IF($M621="Critical",3000,IF($M621="Warning",2000,1000))+$L621+ROW()/100000)</f>
        <v/>
      </c>
      <c r="O621" s="65" t="str">
        <f aca="false">IF($K621="Open",IF($C621="Conflict","decide "&amp;$A621&amp;": &lt;which version stands&gt;","decide "&amp;$A621&amp;": &lt;outcome&gt;"),IF($K621="Unconfirmed","confirm "&amp;$A621,""))</f>
        <v/>
      </c>
      <c r="P621" s="65" t="str">
        <f aca="false">IF(AND($C621="New",$B621&gt;=WeekStart),$B621+ROW()/100000,"")</f>
        <v/>
      </c>
      <c r="Q621" s="65" t="str">
        <f aca="false">IF(AND($C621="Know",$B621&gt;=WeekStart),$B621+ROW()/100000,"")</f>
        <v/>
      </c>
      <c r="R621" s="65" t="str">
        <f aca="false">IF(AND($K621="Open",$C621="Decision"),$L621+ROW()/100000,"")</f>
        <v/>
      </c>
      <c r="S621" s="65" t="str">
        <f aca="false">IF(AND($J621&lt;&gt;"",$J621=UCSel),$B621+ROW()/100000,"")</f>
        <v/>
      </c>
    </row>
    <row r="622" customFormat="false" ht="15" hidden="false" customHeight="false" outlineLevel="0" collapsed="false">
      <c r="A622" s="28"/>
      <c r="B622" s="63"/>
      <c r="C622" s="64"/>
      <c r="D622" s="28"/>
      <c r="E622" s="28"/>
      <c r="F622" s="28"/>
      <c r="G622" s="64"/>
      <c r="H622" s="64"/>
      <c r="I622" s="28"/>
      <c r="J622" s="28"/>
      <c r="K622" s="65" t="str">
        <f aca="false">IF($A622="","",IF(OR($C622="Decision",$C622="Conflict"),IF(COUNTIFS($I$2:$I$1001,$A622,$C$2:$C$1001,"Resolved")=0,"Open","Closed"),IF(AND($H622="Unconfirmed",OR($C622="New",$C622="Know")),IF(COUNTIFS($I$2:$I$1001,$A622,$C$2:$C$1001,"Confirmed")=0,"Unconfirmed","Confirmed"),"Logged")))</f>
        <v/>
      </c>
      <c r="L622" s="65" t="str">
        <f aca="false">IF($A622="","",AsOf-$B622)</f>
        <v/>
      </c>
      <c r="M622" s="65" t="str">
        <f aca="false">IF($K622="Open",IF($C622="Conflict","Critical",IF($L622&gt;=DecisionCritical,"Critical",IF($L622&gt;=DecisionWarn,"Warning","On track"))),IF($K622="Unconfirmed",IF($L622&gt;=UnconfirmedWarn,"Warning","On track"),""))</f>
        <v/>
      </c>
      <c r="N622" s="65" t="str">
        <f aca="false">IF($M622="","",IF($M622="Critical",3000,IF($M622="Warning",2000,1000))+$L622+ROW()/100000)</f>
        <v/>
      </c>
      <c r="O622" s="65" t="str">
        <f aca="false">IF($K622="Open",IF($C622="Conflict","decide "&amp;$A622&amp;": &lt;which version stands&gt;","decide "&amp;$A622&amp;": &lt;outcome&gt;"),IF($K622="Unconfirmed","confirm "&amp;$A622,""))</f>
        <v/>
      </c>
      <c r="P622" s="65" t="str">
        <f aca="false">IF(AND($C622="New",$B622&gt;=WeekStart),$B622+ROW()/100000,"")</f>
        <v/>
      </c>
      <c r="Q622" s="65" t="str">
        <f aca="false">IF(AND($C622="Know",$B622&gt;=WeekStart),$B622+ROW()/100000,"")</f>
        <v/>
      </c>
      <c r="R622" s="65" t="str">
        <f aca="false">IF(AND($K622="Open",$C622="Decision"),$L622+ROW()/100000,"")</f>
        <v/>
      </c>
      <c r="S622" s="65" t="str">
        <f aca="false">IF(AND($J622&lt;&gt;"",$J622=UCSel),$B622+ROW()/100000,"")</f>
        <v/>
      </c>
    </row>
    <row r="623" customFormat="false" ht="15" hidden="false" customHeight="false" outlineLevel="0" collapsed="false">
      <c r="A623" s="28"/>
      <c r="B623" s="63"/>
      <c r="C623" s="64"/>
      <c r="D623" s="28"/>
      <c r="E623" s="28"/>
      <c r="F623" s="28"/>
      <c r="G623" s="64"/>
      <c r="H623" s="64"/>
      <c r="I623" s="28"/>
      <c r="J623" s="28"/>
      <c r="K623" s="65" t="str">
        <f aca="false">IF($A623="","",IF(OR($C623="Decision",$C623="Conflict"),IF(COUNTIFS($I$2:$I$1001,$A623,$C$2:$C$1001,"Resolved")=0,"Open","Closed"),IF(AND($H623="Unconfirmed",OR($C623="New",$C623="Know")),IF(COUNTIFS($I$2:$I$1001,$A623,$C$2:$C$1001,"Confirmed")=0,"Unconfirmed","Confirmed"),"Logged")))</f>
        <v/>
      </c>
      <c r="L623" s="65" t="str">
        <f aca="false">IF($A623="","",AsOf-$B623)</f>
        <v/>
      </c>
      <c r="M623" s="65" t="str">
        <f aca="false">IF($K623="Open",IF($C623="Conflict","Critical",IF($L623&gt;=DecisionCritical,"Critical",IF($L623&gt;=DecisionWarn,"Warning","On track"))),IF($K623="Unconfirmed",IF($L623&gt;=UnconfirmedWarn,"Warning","On track"),""))</f>
        <v/>
      </c>
      <c r="N623" s="65" t="str">
        <f aca="false">IF($M623="","",IF($M623="Critical",3000,IF($M623="Warning",2000,1000))+$L623+ROW()/100000)</f>
        <v/>
      </c>
      <c r="O623" s="65" t="str">
        <f aca="false">IF($K623="Open",IF($C623="Conflict","decide "&amp;$A623&amp;": &lt;which version stands&gt;","decide "&amp;$A623&amp;": &lt;outcome&gt;"),IF($K623="Unconfirmed","confirm "&amp;$A623,""))</f>
        <v/>
      </c>
      <c r="P623" s="65" t="str">
        <f aca="false">IF(AND($C623="New",$B623&gt;=WeekStart),$B623+ROW()/100000,"")</f>
        <v/>
      </c>
      <c r="Q623" s="65" t="str">
        <f aca="false">IF(AND($C623="Know",$B623&gt;=WeekStart),$B623+ROW()/100000,"")</f>
        <v/>
      </c>
      <c r="R623" s="65" t="str">
        <f aca="false">IF(AND($K623="Open",$C623="Decision"),$L623+ROW()/100000,"")</f>
        <v/>
      </c>
      <c r="S623" s="65" t="str">
        <f aca="false">IF(AND($J623&lt;&gt;"",$J623=UCSel),$B623+ROW()/100000,"")</f>
        <v/>
      </c>
    </row>
    <row r="624" customFormat="false" ht="15" hidden="false" customHeight="false" outlineLevel="0" collapsed="false">
      <c r="A624" s="28"/>
      <c r="B624" s="63"/>
      <c r="C624" s="64"/>
      <c r="D624" s="28"/>
      <c r="E624" s="28"/>
      <c r="F624" s="28"/>
      <c r="G624" s="64"/>
      <c r="H624" s="64"/>
      <c r="I624" s="28"/>
      <c r="J624" s="28"/>
      <c r="K624" s="65" t="str">
        <f aca="false">IF($A624="","",IF(OR($C624="Decision",$C624="Conflict"),IF(COUNTIFS($I$2:$I$1001,$A624,$C$2:$C$1001,"Resolved")=0,"Open","Closed"),IF(AND($H624="Unconfirmed",OR($C624="New",$C624="Know")),IF(COUNTIFS($I$2:$I$1001,$A624,$C$2:$C$1001,"Confirmed")=0,"Unconfirmed","Confirmed"),"Logged")))</f>
        <v/>
      </c>
      <c r="L624" s="65" t="str">
        <f aca="false">IF($A624="","",AsOf-$B624)</f>
        <v/>
      </c>
      <c r="M624" s="65" t="str">
        <f aca="false">IF($K624="Open",IF($C624="Conflict","Critical",IF($L624&gt;=DecisionCritical,"Critical",IF($L624&gt;=DecisionWarn,"Warning","On track"))),IF($K624="Unconfirmed",IF($L624&gt;=UnconfirmedWarn,"Warning","On track"),""))</f>
        <v/>
      </c>
      <c r="N624" s="65" t="str">
        <f aca="false">IF($M624="","",IF($M624="Critical",3000,IF($M624="Warning",2000,1000))+$L624+ROW()/100000)</f>
        <v/>
      </c>
      <c r="O624" s="65" t="str">
        <f aca="false">IF($K624="Open",IF($C624="Conflict","decide "&amp;$A624&amp;": &lt;which version stands&gt;","decide "&amp;$A624&amp;": &lt;outcome&gt;"),IF($K624="Unconfirmed","confirm "&amp;$A624,""))</f>
        <v/>
      </c>
      <c r="P624" s="65" t="str">
        <f aca="false">IF(AND($C624="New",$B624&gt;=WeekStart),$B624+ROW()/100000,"")</f>
        <v/>
      </c>
      <c r="Q624" s="65" t="str">
        <f aca="false">IF(AND($C624="Know",$B624&gt;=WeekStart),$B624+ROW()/100000,"")</f>
        <v/>
      </c>
      <c r="R624" s="65" t="str">
        <f aca="false">IF(AND($K624="Open",$C624="Decision"),$L624+ROW()/100000,"")</f>
        <v/>
      </c>
      <c r="S624" s="65" t="str">
        <f aca="false">IF(AND($J624&lt;&gt;"",$J624=UCSel),$B624+ROW()/100000,"")</f>
        <v/>
      </c>
    </row>
    <row r="625" customFormat="false" ht="15" hidden="false" customHeight="false" outlineLevel="0" collapsed="false">
      <c r="A625" s="28"/>
      <c r="B625" s="63"/>
      <c r="C625" s="64"/>
      <c r="D625" s="28"/>
      <c r="E625" s="28"/>
      <c r="F625" s="28"/>
      <c r="G625" s="64"/>
      <c r="H625" s="64"/>
      <c r="I625" s="28"/>
      <c r="J625" s="28"/>
      <c r="K625" s="65" t="str">
        <f aca="false">IF($A625="","",IF(OR($C625="Decision",$C625="Conflict"),IF(COUNTIFS($I$2:$I$1001,$A625,$C$2:$C$1001,"Resolved")=0,"Open","Closed"),IF(AND($H625="Unconfirmed",OR($C625="New",$C625="Know")),IF(COUNTIFS($I$2:$I$1001,$A625,$C$2:$C$1001,"Confirmed")=0,"Unconfirmed","Confirmed"),"Logged")))</f>
        <v/>
      </c>
      <c r="L625" s="65" t="str">
        <f aca="false">IF($A625="","",AsOf-$B625)</f>
        <v/>
      </c>
      <c r="M625" s="65" t="str">
        <f aca="false">IF($K625="Open",IF($C625="Conflict","Critical",IF($L625&gt;=DecisionCritical,"Critical",IF($L625&gt;=DecisionWarn,"Warning","On track"))),IF($K625="Unconfirmed",IF($L625&gt;=UnconfirmedWarn,"Warning","On track"),""))</f>
        <v/>
      </c>
      <c r="N625" s="65" t="str">
        <f aca="false">IF($M625="","",IF($M625="Critical",3000,IF($M625="Warning",2000,1000))+$L625+ROW()/100000)</f>
        <v/>
      </c>
      <c r="O625" s="65" t="str">
        <f aca="false">IF($K625="Open",IF($C625="Conflict","decide "&amp;$A625&amp;": &lt;which version stands&gt;","decide "&amp;$A625&amp;": &lt;outcome&gt;"),IF($K625="Unconfirmed","confirm "&amp;$A625,""))</f>
        <v/>
      </c>
      <c r="P625" s="65" t="str">
        <f aca="false">IF(AND($C625="New",$B625&gt;=WeekStart),$B625+ROW()/100000,"")</f>
        <v/>
      </c>
      <c r="Q625" s="65" t="str">
        <f aca="false">IF(AND($C625="Know",$B625&gt;=WeekStart),$B625+ROW()/100000,"")</f>
        <v/>
      </c>
      <c r="R625" s="65" t="str">
        <f aca="false">IF(AND($K625="Open",$C625="Decision"),$L625+ROW()/100000,"")</f>
        <v/>
      </c>
      <c r="S625" s="65" t="str">
        <f aca="false">IF(AND($J625&lt;&gt;"",$J625=UCSel),$B625+ROW()/100000,"")</f>
        <v/>
      </c>
    </row>
    <row r="626" customFormat="false" ht="15" hidden="false" customHeight="false" outlineLevel="0" collapsed="false">
      <c r="A626" s="28"/>
      <c r="B626" s="63"/>
      <c r="C626" s="64"/>
      <c r="D626" s="28"/>
      <c r="E626" s="28"/>
      <c r="F626" s="28"/>
      <c r="G626" s="64"/>
      <c r="H626" s="64"/>
      <c r="I626" s="28"/>
      <c r="J626" s="28"/>
      <c r="K626" s="65" t="str">
        <f aca="false">IF($A626="","",IF(OR($C626="Decision",$C626="Conflict"),IF(COUNTIFS($I$2:$I$1001,$A626,$C$2:$C$1001,"Resolved")=0,"Open","Closed"),IF(AND($H626="Unconfirmed",OR($C626="New",$C626="Know")),IF(COUNTIFS($I$2:$I$1001,$A626,$C$2:$C$1001,"Confirmed")=0,"Unconfirmed","Confirmed"),"Logged")))</f>
        <v/>
      </c>
      <c r="L626" s="65" t="str">
        <f aca="false">IF($A626="","",AsOf-$B626)</f>
        <v/>
      </c>
      <c r="M626" s="65" t="str">
        <f aca="false">IF($K626="Open",IF($C626="Conflict","Critical",IF($L626&gt;=DecisionCritical,"Critical",IF($L626&gt;=DecisionWarn,"Warning","On track"))),IF($K626="Unconfirmed",IF($L626&gt;=UnconfirmedWarn,"Warning","On track"),""))</f>
        <v/>
      </c>
      <c r="N626" s="65" t="str">
        <f aca="false">IF($M626="","",IF($M626="Critical",3000,IF($M626="Warning",2000,1000))+$L626+ROW()/100000)</f>
        <v/>
      </c>
      <c r="O626" s="65" t="str">
        <f aca="false">IF($K626="Open",IF($C626="Conflict","decide "&amp;$A626&amp;": &lt;which version stands&gt;","decide "&amp;$A626&amp;": &lt;outcome&gt;"),IF($K626="Unconfirmed","confirm "&amp;$A626,""))</f>
        <v/>
      </c>
      <c r="P626" s="65" t="str">
        <f aca="false">IF(AND($C626="New",$B626&gt;=WeekStart),$B626+ROW()/100000,"")</f>
        <v/>
      </c>
      <c r="Q626" s="65" t="str">
        <f aca="false">IF(AND($C626="Know",$B626&gt;=WeekStart),$B626+ROW()/100000,"")</f>
        <v/>
      </c>
      <c r="R626" s="65" t="str">
        <f aca="false">IF(AND($K626="Open",$C626="Decision"),$L626+ROW()/100000,"")</f>
        <v/>
      </c>
      <c r="S626" s="65" t="str">
        <f aca="false">IF(AND($J626&lt;&gt;"",$J626=UCSel),$B626+ROW()/100000,"")</f>
        <v/>
      </c>
    </row>
    <row r="627" customFormat="false" ht="15" hidden="false" customHeight="false" outlineLevel="0" collapsed="false">
      <c r="A627" s="28"/>
      <c r="B627" s="63"/>
      <c r="C627" s="64"/>
      <c r="D627" s="28"/>
      <c r="E627" s="28"/>
      <c r="F627" s="28"/>
      <c r="G627" s="64"/>
      <c r="H627" s="64"/>
      <c r="I627" s="28"/>
      <c r="J627" s="28"/>
      <c r="K627" s="65" t="str">
        <f aca="false">IF($A627="","",IF(OR($C627="Decision",$C627="Conflict"),IF(COUNTIFS($I$2:$I$1001,$A627,$C$2:$C$1001,"Resolved")=0,"Open","Closed"),IF(AND($H627="Unconfirmed",OR($C627="New",$C627="Know")),IF(COUNTIFS($I$2:$I$1001,$A627,$C$2:$C$1001,"Confirmed")=0,"Unconfirmed","Confirmed"),"Logged")))</f>
        <v/>
      </c>
      <c r="L627" s="65" t="str">
        <f aca="false">IF($A627="","",AsOf-$B627)</f>
        <v/>
      </c>
      <c r="M627" s="65" t="str">
        <f aca="false">IF($K627="Open",IF($C627="Conflict","Critical",IF($L627&gt;=DecisionCritical,"Critical",IF($L627&gt;=DecisionWarn,"Warning","On track"))),IF($K627="Unconfirmed",IF($L627&gt;=UnconfirmedWarn,"Warning","On track"),""))</f>
        <v/>
      </c>
      <c r="N627" s="65" t="str">
        <f aca="false">IF($M627="","",IF($M627="Critical",3000,IF($M627="Warning",2000,1000))+$L627+ROW()/100000)</f>
        <v/>
      </c>
      <c r="O627" s="65" t="str">
        <f aca="false">IF($K627="Open",IF($C627="Conflict","decide "&amp;$A627&amp;": &lt;which version stands&gt;","decide "&amp;$A627&amp;": &lt;outcome&gt;"),IF($K627="Unconfirmed","confirm "&amp;$A627,""))</f>
        <v/>
      </c>
      <c r="P627" s="65" t="str">
        <f aca="false">IF(AND($C627="New",$B627&gt;=WeekStart),$B627+ROW()/100000,"")</f>
        <v/>
      </c>
      <c r="Q627" s="65" t="str">
        <f aca="false">IF(AND($C627="Know",$B627&gt;=WeekStart),$B627+ROW()/100000,"")</f>
        <v/>
      </c>
      <c r="R627" s="65" t="str">
        <f aca="false">IF(AND($K627="Open",$C627="Decision"),$L627+ROW()/100000,"")</f>
        <v/>
      </c>
      <c r="S627" s="65" t="str">
        <f aca="false">IF(AND($J627&lt;&gt;"",$J627=UCSel),$B627+ROW()/100000,"")</f>
        <v/>
      </c>
    </row>
    <row r="628" customFormat="false" ht="15" hidden="false" customHeight="false" outlineLevel="0" collapsed="false">
      <c r="A628" s="28"/>
      <c r="B628" s="63"/>
      <c r="C628" s="64"/>
      <c r="D628" s="28"/>
      <c r="E628" s="28"/>
      <c r="F628" s="28"/>
      <c r="G628" s="64"/>
      <c r="H628" s="64"/>
      <c r="I628" s="28"/>
      <c r="J628" s="28"/>
      <c r="K628" s="65" t="str">
        <f aca="false">IF($A628="","",IF(OR($C628="Decision",$C628="Conflict"),IF(COUNTIFS($I$2:$I$1001,$A628,$C$2:$C$1001,"Resolved")=0,"Open","Closed"),IF(AND($H628="Unconfirmed",OR($C628="New",$C628="Know")),IF(COUNTIFS($I$2:$I$1001,$A628,$C$2:$C$1001,"Confirmed")=0,"Unconfirmed","Confirmed"),"Logged")))</f>
        <v/>
      </c>
      <c r="L628" s="65" t="str">
        <f aca="false">IF($A628="","",AsOf-$B628)</f>
        <v/>
      </c>
      <c r="M628" s="65" t="str">
        <f aca="false">IF($K628="Open",IF($C628="Conflict","Critical",IF($L628&gt;=DecisionCritical,"Critical",IF($L628&gt;=DecisionWarn,"Warning","On track"))),IF($K628="Unconfirmed",IF($L628&gt;=UnconfirmedWarn,"Warning","On track"),""))</f>
        <v/>
      </c>
      <c r="N628" s="65" t="str">
        <f aca="false">IF($M628="","",IF($M628="Critical",3000,IF($M628="Warning",2000,1000))+$L628+ROW()/100000)</f>
        <v/>
      </c>
      <c r="O628" s="65" t="str">
        <f aca="false">IF($K628="Open",IF($C628="Conflict","decide "&amp;$A628&amp;": &lt;which version stands&gt;","decide "&amp;$A628&amp;": &lt;outcome&gt;"),IF($K628="Unconfirmed","confirm "&amp;$A628,""))</f>
        <v/>
      </c>
      <c r="P628" s="65" t="str">
        <f aca="false">IF(AND($C628="New",$B628&gt;=WeekStart),$B628+ROW()/100000,"")</f>
        <v/>
      </c>
      <c r="Q628" s="65" t="str">
        <f aca="false">IF(AND($C628="Know",$B628&gt;=WeekStart),$B628+ROW()/100000,"")</f>
        <v/>
      </c>
      <c r="R628" s="65" t="str">
        <f aca="false">IF(AND($K628="Open",$C628="Decision"),$L628+ROW()/100000,"")</f>
        <v/>
      </c>
      <c r="S628" s="65" t="str">
        <f aca="false">IF(AND($J628&lt;&gt;"",$J628=UCSel),$B628+ROW()/100000,"")</f>
        <v/>
      </c>
    </row>
    <row r="629" customFormat="false" ht="15" hidden="false" customHeight="false" outlineLevel="0" collapsed="false">
      <c r="A629" s="28"/>
      <c r="B629" s="63"/>
      <c r="C629" s="64"/>
      <c r="D629" s="28"/>
      <c r="E629" s="28"/>
      <c r="F629" s="28"/>
      <c r="G629" s="64"/>
      <c r="H629" s="64"/>
      <c r="I629" s="28"/>
      <c r="J629" s="28"/>
      <c r="K629" s="65" t="str">
        <f aca="false">IF($A629="","",IF(OR($C629="Decision",$C629="Conflict"),IF(COUNTIFS($I$2:$I$1001,$A629,$C$2:$C$1001,"Resolved")=0,"Open","Closed"),IF(AND($H629="Unconfirmed",OR($C629="New",$C629="Know")),IF(COUNTIFS($I$2:$I$1001,$A629,$C$2:$C$1001,"Confirmed")=0,"Unconfirmed","Confirmed"),"Logged")))</f>
        <v/>
      </c>
      <c r="L629" s="65" t="str">
        <f aca="false">IF($A629="","",AsOf-$B629)</f>
        <v/>
      </c>
      <c r="M629" s="65" t="str">
        <f aca="false">IF($K629="Open",IF($C629="Conflict","Critical",IF($L629&gt;=DecisionCritical,"Critical",IF($L629&gt;=DecisionWarn,"Warning","On track"))),IF($K629="Unconfirmed",IF($L629&gt;=UnconfirmedWarn,"Warning","On track"),""))</f>
        <v/>
      </c>
      <c r="N629" s="65" t="str">
        <f aca="false">IF($M629="","",IF($M629="Critical",3000,IF($M629="Warning",2000,1000))+$L629+ROW()/100000)</f>
        <v/>
      </c>
      <c r="O629" s="65" t="str">
        <f aca="false">IF($K629="Open",IF($C629="Conflict","decide "&amp;$A629&amp;": &lt;which version stands&gt;","decide "&amp;$A629&amp;": &lt;outcome&gt;"),IF($K629="Unconfirmed","confirm "&amp;$A629,""))</f>
        <v/>
      </c>
      <c r="P629" s="65" t="str">
        <f aca="false">IF(AND($C629="New",$B629&gt;=WeekStart),$B629+ROW()/100000,"")</f>
        <v/>
      </c>
      <c r="Q629" s="65" t="str">
        <f aca="false">IF(AND($C629="Know",$B629&gt;=WeekStart),$B629+ROW()/100000,"")</f>
        <v/>
      </c>
      <c r="R629" s="65" t="str">
        <f aca="false">IF(AND($K629="Open",$C629="Decision"),$L629+ROW()/100000,"")</f>
        <v/>
      </c>
      <c r="S629" s="65" t="str">
        <f aca="false">IF(AND($J629&lt;&gt;"",$J629=UCSel),$B629+ROW()/100000,"")</f>
        <v/>
      </c>
    </row>
    <row r="630" customFormat="false" ht="15" hidden="false" customHeight="false" outlineLevel="0" collapsed="false">
      <c r="A630" s="28"/>
      <c r="B630" s="63"/>
      <c r="C630" s="64"/>
      <c r="D630" s="28"/>
      <c r="E630" s="28"/>
      <c r="F630" s="28"/>
      <c r="G630" s="64"/>
      <c r="H630" s="64"/>
      <c r="I630" s="28"/>
      <c r="J630" s="28"/>
      <c r="K630" s="65" t="str">
        <f aca="false">IF($A630="","",IF(OR($C630="Decision",$C630="Conflict"),IF(COUNTIFS($I$2:$I$1001,$A630,$C$2:$C$1001,"Resolved")=0,"Open","Closed"),IF(AND($H630="Unconfirmed",OR($C630="New",$C630="Know")),IF(COUNTIFS($I$2:$I$1001,$A630,$C$2:$C$1001,"Confirmed")=0,"Unconfirmed","Confirmed"),"Logged")))</f>
        <v/>
      </c>
      <c r="L630" s="65" t="str">
        <f aca="false">IF($A630="","",AsOf-$B630)</f>
        <v/>
      </c>
      <c r="M630" s="65" t="str">
        <f aca="false">IF($K630="Open",IF($C630="Conflict","Critical",IF($L630&gt;=DecisionCritical,"Critical",IF($L630&gt;=DecisionWarn,"Warning","On track"))),IF($K630="Unconfirmed",IF($L630&gt;=UnconfirmedWarn,"Warning","On track"),""))</f>
        <v/>
      </c>
      <c r="N630" s="65" t="str">
        <f aca="false">IF($M630="","",IF($M630="Critical",3000,IF($M630="Warning",2000,1000))+$L630+ROW()/100000)</f>
        <v/>
      </c>
      <c r="O630" s="65" t="str">
        <f aca="false">IF($K630="Open",IF($C630="Conflict","decide "&amp;$A630&amp;": &lt;which version stands&gt;","decide "&amp;$A630&amp;": &lt;outcome&gt;"),IF($K630="Unconfirmed","confirm "&amp;$A630,""))</f>
        <v/>
      </c>
      <c r="P630" s="65" t="str">
        <f aca="false">IF(AND($C630="New",$B630&gt;=WeekStart),$B630+ROW()/100000,"")</f>
        <v/>
      </c>
      <c r="Q630" s="65" t="str">
        <f aca="false">IF(AND($C630="Know",$B630&gt;=WeekStart),$B630+ROW()/100000,"")</f>
        <v/>
      </c>
      <c r="R630" s="65" t="str">
        <f aca="false">IF(AND($K630="Open",$C630="Decision"),$L630+ROW()/100000,"")</f>
        <v/>
      </c>
      <c r="S630" s="65" t="str">
        <f aca="false">IF(AND($J630&lt;&gt;"",$J630=UCSel),$B630+ROW()/100000,"")</f>
        <v/>
      </c>
    </row>
    <row r="631" customFormat="false" ht="15" hidden="false" customHeight="false" outlineLevel="0" collapsed="false">
      <c r="A631" s="28"/>
      <c r="B631" s="63"/>
      <c r="C631" s="64"/>
      <c r="D631" s="28"/>
      <c r="E631" s="28"/>
      <c r="F631" s="28"/>
      <c r="G631" s="64"/>
      <c r="H631" s="64"/>
      <c r="I631" s="28"/>
      <c r="J631" s="28"/>
      <c r="K631" s="65" t="str">
        <f aca="false">IF($A631="","",IF(OR($C631="Decision",$C631="Conflict"),IF(COUNTIFS($I$2:$I$1001,$A631,$C$2:$C$1001,"Resolved")=0,"Open","Closed"),IF(AND($H631="Unconfirmed",OR($C631="New",$C631="Know")),IF(COUNTIFS($I$2:$I$1001,$A631,$C$2:$C$1001,"Confirmed")=0,"Unconfirmed","Confirmed"),"Logged")))</f>
        <v/>
      </c>
      <c r="L631" s="65" t="str">
        <f aca="false">IF($A631="","",AsOf-$B631)</f>
        <v/>
      </c>
      <c r="M631" s="65" t="str">
        <f aca="false">IF($K631="Open",IF($C631="Conflict","Critical",IF($L631&gt;=DecisionCritical,"Critical",IF($L631&gt;=DecisionWarn,"Warning","On track"))),IF($K631="Unconfirmed",IF($L631&gt;=UnconfirmedWarn,"Warning","On track"),""))</f>
        <v/>
      </c>
      <c r="N631" s="65" t="str">
        <f aca="false">IF($M631="","",IF($M631="Critical",3000,IF($M631="Warning",2000,1000))+$L631+ROW()/100000)</f>
        <v/>
      </c>
      <c r="O631" s="65" t="str">
        <f aca="false">IF($K631="Open",IF($C631="Conflict","decide "&amp;$A631&amp;": &lt;which version stands&gt;","decide "&amp;$A631&amp;": &lt;outcome&gt;"),IF($K631="Unconfirmed","confirm "&amp;$A631,""))</f>
        <v/>
      </c>
      <c r="P631" s="65" t="str">
        <f aca="false">IF(AND($C631="New",$B631&gt;=WeekStart),$B631+ROW()/100000,"")</f>
        <v/>
      </c>
      <c r="Q631" s="65" t="str">
        <f aca="false">IF(AND($C631="Know",$B631&gt;=WeekStart),$B631+ROW()/100000,"")</f>
        <v/>
      </c>
      <c r="R631" s="65" t="str">
        <f aca="false">IF(AND($K631="Open",$C631="Decision"),$L631+ROW()/100000,"")</f>
        <v/>
      </c>
      <c r="S631" s="65" t="str">
        <f aca="false">IF(AND($J631&lt;&gt;"",$J631=UCSel),$B631+ROW()/100000,"")</f>
        <v/>
      </c>
    </row>
    <row r="632" customFormat="false" ht="15" hidden="false" customHeight="false" outlineLevel="0" collapsed="false">
      <c r="A632" s="28"/>
      <c r="B632" s="63"/>
      <c r="C632" s="64"/>
      <c r="D632" s="28"/>
      <c r="E632" s="28"/>
      <c r="F632" s="28"/>
      <c r="G632" s="64"/>
      <c r="H632" s="64"/>
      <c r="I632" s="28"/>
      <c r="J632" s="28"/>
      <c r="K632" s="65" t="str">
        <f aca="false">IF($A632="","",IF(OR($C632="Decision",$C632="Conflict"),IF(COUNTIFS($I$2:$I$1001,$A632,$C$2:$C$1001,"Resolved")=0,"Open","Closed"),IF(AND($H632="Unconfirmed",OR($C632="New",$C632="Know")),IF(COUNTIFS($I$2:$I$1001,$A632,$C$2:$C$1001,"Confirmed")=0,"Unconfirmed","Confirmed"),"Logged")))</f>
        <v/>
      </c>
      <c r="L632" s="65" t="str">
        <f aca="false">IF($A632="","",AsOf-$B632)</f>
        <v/>
      </c>
      <c r="M632" s="65" t="str">
        <f aca="false">IF($K632="Open",IF($C632="Conflict","Critical",IF($L632&gt;=DecisionCritical,"Critical",IF($L632&gt;=DecisionWarn,"Warning","On track"))),IF($K632="Unconfirmed",IF($L632&gt;=UnconfirmedWarn,"Warning","On track"),""))</f>
        <v/>
      </c>
      <c r="N632" s="65" t="str">
        <f aca="false">IF($M632="","",IF($M632="Critical",3000,IF($M632="Warning",2000,1000))+$L632+ROW()/100000)</f>
        <v/>
      </c>
      <c r="O632" s="65" t="str">
        <f aca="false">IF($K632="Open",IF($C632="Conflict","decide "&amp;$A632&amp;": &lt;which version stands&gt;","decide "&amp;$A632&amp;": &lt;outcome&gt;"),IF($K632="Unconfirmed","confirm "&amp;$A632,""))</f>
        <v/>
      </c>
      <c r="P632" s="65" t="str">
        <f aca="false">IF(AND($C632="New",$B632&gt;=WeekStart),$B632+ROW()/100000,"")</f>
        <v/>
      </c>
      <c r="Q632" s="65" t="str">
        <f aca="false">IF(AND($C632="Know",$B632&gt;=WeekStart),$B632+ROW()/100000,"")</f>
        <v/>
      </c>
      <c r="R632" s="65" t="str">
        <f aca="false">IF(AND($K632="Open",$C632="Decision"),$L632+ROW()/100000,"")</f>
        <v/>
      </c>
      <c r="S632" s="65" t="str">
        <f aca="false">IF(AND($J632&lt;&gt;"",$J632=UCSel),$B632+ROW()/100000,"")</f>
        <v/>
      </c>
    </row>
    <row r="633" customFormat="false" ht="15" hidden="false" customHeight="false" outlineLevel="0" collapsed="false">
      <c r="A633" s="28"/>
      <c r="B633" s="63"/>
      <c r="C633" s="64"/>
      <c r="D633" s="28"/>
      <c r="E633" s="28"/>
      <c r="F633" s="28"/>
      <c r="G633" s="64"/>
      <c r="H633" s="64"/>
      <c r="I633" s="28"/>
      <c r="J633" s="28"/>
      <c r="K633" s="65" t="str">
        <f aca="false">IF($A633="","",IF(OR($C633="Decision",$C633="Conflict"),IF(COUNTIFS($I$2:$I$1001,$A633,$C$2:$C$1001,"Resolved")=0,"Open","Closed"),IF(AND($H633="Unconfirmed",OR($C633="New",$C633="Know")),IF(COUNTIFS($I$2:$I$1001,$A633,$C$2:$C$1001,"Confirmed")=0,"Unconfirmed","Confirmed"),"Logged")))</f>
        <v/>
      </c>
      <c r="L633" s="65" t="str">
        <f aca="false">IF($A633="","",AsOf-$B633)</f>
        <v/>
      </c>
      <c r="M633" s="65" t="str">
        <f aca="false">IF($K633="Open",IF($C633="Conflict","Critical",IF($L633&gt;=DecisionCritical,"Critical",IF($L633&gt;=DecisionWarn,"Warning","On track"))),IF($K633="Unconfirmed",IF($L633&gt;=UnconfirmedWarn,"Warning","On track"),""))</f>
        <v/>
      </c>
      <c r="N633" s="65" t="str">
        <f aca="false">IF($M633="","",IF($M633="Critical",3000,IF($M633="Warning",2000,1000))+$L633+ROW()/100000)</f>
        <v/>
      </c>
      <c r="O633" s="65" t="str">
        <f aca="false">IF($K633="Open",IF($C633="Conflict","decide "&amp;$A633&amp;": &lt;which version stands&gt;","decide "&amp;$A633&amp;": &lt;outcome&gt;"),IF($K633="Unconfirmed","confirm "&amp;$A633,""))</f>
        <v/>
      </c>
      <c r="P633" s="65" t="str">
        <f aca="false">IF(AND($C633="New",$B633&gt;=WeekStart),$B633+ROW()/100000,"")</f>
        <v/>
      </c>
      <c r="Q633" s="65" t="str">
        <f aca="false">IF(AND($C633="Know",$B633&gt;=WeekStart),$B633+ROW()/100000,"")</f>
        <v/>
      </c>
      <c r="R633" s="65" t="str">
        <f aca="false">IF(AND($K633="Open",$C633="Decision"),$L633+ROW()/100000,"")</f>
        <v/>
      </c>
      <c r="S633" s="65" t="str">
        <f aca="false">IF(AND($J633&lt;&gt;"",$J633=UCSel),$B633+ROW()/100000,"")</f>
        <v/>
      </c>
    </row>
    <row r="634" customFormat="false" ht="15" hidden="false" customHeight="false" outlineLevel="0" collapsed="false">
      <c r="A634" s="28"/>
      <c r="B634" s="63"/>
      <c r="C634" s="64"/>
      <c r="D634" s="28"/>
      <c r="E634" s="28"/>
      <c r="F634" s="28"/>
      <c r="G634" s="64"/>
      <c r="H634" s="64"/>
      <c r="I634" s="28"/>
      <c r="J634" s="28"/>
      <c r="K634" s="65" t="str">
        <f aca="false">IF($A634="","",IF(OR($C634="Decision",$C634="Conflict"),IF(COUNTIFS($I$2:$I$1001,$A634,$C$2:$C$1001,"Resolved")=0,"Open","Closed"),IF(AND($H634="Unconfirmed",OR($C634="New",$C634="Know")),IF(COUNTIFS($I$2:$I$1001,$A634,$C$2:$C$1001,"Confirmed")=0,"Unconfirmed","Confirmed"),"Logged")))</f>
        <v/>
      </c>
      <c r="L634" s="65" t="str">
        <f aca="false">IF($A634="","",AsOf-$B634)</f>
        <v/>
      </c>
      <c r="M634" s="65" t="str">
        <f aca="false">IF($K634="Open",IF($C634="Conflict","Critical",IF($L634&gt;=DecisionCritical,"Critical",IF($L634&gt;=DecisionWarn,"Warning","On track"))),IF($K634="Unconfirmed",IF($L634&gt;=UnconfirmedWarn,"Warning","On track"),""))</f>
        <v/>
      </c>
      <c r="N634" s="65" t="str">
        <f aca="false">IF($M634="","",IF($M634="Critical",3000,IF($M634="Warning",2000,1000))+$L634+ROW()/100000)</f>
        <v/>
      </c>
      <c r="O634" s="65" t="str">
        <f aca="false">IF($K634="Open",IF($C634="Conflict","decide "&amp;$A634&amp;": &lt;which version stands&gt;","decide "&amp;$A634&amp;": &lt;outcome&gt;"),IF($K634="Unconfirmed","confirm "&amp;$A634,""))</f>
        <v/>
      </c>
      <c r="P634" s="65" t="str">
        <f aca="false">IF(AND($C634="New",$B634&gt;=WeekStart),$B634+ROW()/100000,"")</f>
        <v/>
      </c>
      <c r="Q634" s="65" t="str">
        <f aca="false">IF(AND($C634="Know",$B634&gt;=WeekStart),$B634+ROW()/100000,"")</f>
        <v/>
      </c>
      <c r="R634" s="65" t="str">
        <f aca="false">IF(AND($K634="Open",$C634="Decision"),$L634+ROW()/100000,"")</f>
        <v/>
      </c>
      <c r="S634" s="65" t="str">
        <f aca="false">IF(AND($J634&lt;&gt;"",$J634=UCSel),$B634+ROW()/100000,"")</f>
        <v/>
      </c>
    </row>
    <row r="635" customFormat="false" ht="15" hidden="false" customHeight="false" outlineLevel="0" collapsed="false">
      <c r="A635" s="28"/>
      <c r="B635" s="63"/>
      <c r="C635" s="64"/>
      <c r="D635" s="28"/>
      <c r="E635" s="28"/>
      <c r="F635" s="28"/>
      <c r="G635" s="64"/>
      <c r="H635" s="64"/>
      <c r="I635" s="28"/>
      <c r="J635" s="28"/>
      <c r="K635" s="65" t="str">
        <f aca="false">IF($A635="","",IF(OR($C635="Decision",$C635="Conflict"),IF(COUNTIFS($I$2:$I$1001,$A635,$C$2:$C$1001,"Resolved")=0,"Open","Closed"),IF(AND($H635="Unconfirmed",OR($C635="New",$C635="Know")),IF(COUNTIFS($I$2:$I$1001,$A635,$C$2:$C$1001,"Confirmed")=0,"Unconfirmed","Confirmed"),"Logged")))</f>
        <v/>
      </c>
      <c r="L635" s="65" t="str">
        <f aca="false">IF($A635="","",AsOf-$B635)</f>
        <v/>
      </c>
      <c r="M635" s="65" t="str">
        <f aca="false">IF($K635="Open",IF($C635="Conflict","Critical",IF($L635&gt;=DecisionCritical,"Critical",IF($L635&gt;=DecisionWarn,"Warning","On track"))),IF($K635="Unconfirmed",IF($L635&gt;=UnconfirmedWarn,"Warning","On track"),""))</f>
        <v/>
      </c>
      <c r="N635" s="65" t="str">
        <f aca="false">IF($M635="","",IF($M635="Critical",3000,IF($M635="Warning",2000,1000))+$L635+ROW()/100000)</f>
        <v/>
      </c>
      <c r="O635" s="65" t="str">
        <f aca="false">IF($K635="Open",IF($C635="Conflict","decide "&amp;$A635&amp;": &lt;which version stands&gt;","decide "&amp;$A635&amp;": &lt;outcome&gt;"),IF($K635="Unconfirmed","confirm "&amp;$A635,""))</f>
        <v/>
      </c>
      <c r="P635" s="65" t="str">
        <f aca="false">IF(AND($C635="New",$B635&gt;=WeekStart),$B635+ROW()/100000,"")</f>
        <v/>
      </c>
      <c r="Q635" s="65" t="str">
        <f aca="false">IF(AND($C635="Know",$B635&gt;=WeekStart),$B635+ROW()/100000,"")</f>
        <v/>
      </c>
      <c r="R635" s="65" t="str">
        <f aca="false">IF(AND($K635="Open",$C635="Decision"),$L635+ROW()/100000,"")</f>
        <v/>
      </c>
      <c r="S635" s="65" t="str">
        <f aca="false">IF(AND($J635&lt;&gt;"",$J635=UCSel),$B635+ROW()/100000,"")</f>
        <v/>
      </c>
    </row>
    <row r="636" customFormat="false" ht="15" hidden="false" customHeight="false" outlineLevel="0" collapsed="false">
      <c r="A636" s="28"/>
      <c r="B636" s="63"/>
      <c r="C636" s="64"/>
      <c r="D636" s="28"/>
      <c r="E636" s="28"/>
      <c r="F636" s="28"/>
      <c r="G636" s="64"/>
      <c r="H636" s="64"/>
      <c r="I636" s="28"/>
      <c r="J636" s="28"/>
      <c r="K636" s="65" t="str">
        <f aca="false">IF($A636="","",IF(OR($C636="Decision",$C636="Conflict"),IF(COUNTIFS($I$2:$I$1001,$A636,$C$2:$C$1001,"Resolved")=0,"Open","Closed"),IF(AND($H636="Unconfirmed",OR($C636="New",$C636="Know")),IF(COUNTIFS($I$2:$I$1001,$A636,$C$2:$C$1001,"Confirmed")=0,"Unconfirmed","Confirmed"),"Logged")))</f>
        <v/>
      </c>
      <c r="L636" s="65" t="str">
        <f aca="false">IF($A636="","",AsOf-$B636)</f>
        <v/>
      </c>
      <c r="M636" s="65" t="str">
        <f aca="false">IF($K636="Open",IF($C636="Conflict","Critical",IF($L636&gt;=DecisionCritical,"Critical",IF($L636&gt;=DecisionWarn,"Warning","On track"))),IF($K636="Unconfirmed",IF($L636&gt;=UnconfirmedWarn,"Warning","On track"),""))</f>
        <v/>
      </c>
      <c r="N636" s="65" t="str">
        <f aca="false">IF($M636="","",IF($M636="Critical",3000,IF($M636="Warning",2000,1000))+$L636+ROW()/100000)</f>
        <v/>
      </c>
      <c r="O636" s="65" t="str">
        <f aca="false">IF($K636="Open",IF($C636="Conflict","decide "&amp;$A636&amp;": &lt;which version stands&gt;","decide "&amp;$A636&amp;": &lt;outcome&gt;"),IF($K636="Unconfirmed","confirm "&amp;$A636,""))</f>
        <v/>
      </c>
      <c r="P636" s="65" t="str">
        <f aca="false">IF(AND($C636="New",$B636&gt;=WeekStart),$B636+ROW()/100000,"")</f>
        <v/>
      </c>
      <c r="Q636" s="65" t="str">
        <f aca="false">IF(AND($C636="Know",$B636&gt;=WeekStart),$B636+ROW()/100000,"")</f>
        <v/>
      </c>
      <c r="R636" s="65" t="str">
        <f aca="false">IF(AND($K636="Open",$C636="Decision"),$L636+ROW()/100000,"")</f>
        <v/>
      </c>
      <c r="S636" s="65" t="str">
        <f aca="false">IF(AND($J636&lt;&gt;"",$J636=UCSel),$B636+ROW()/100000,"")</f>
        <v/>
      </c>
    </row>
    <row r="637" customFormat="false" ht="15" hidden="false" customHeight="false" outlineLevel="0" collapsed="false">
      <c r="A637" s="28"/>
      <c r="B637" s="63"/>
      <c r="C637" s="64"/>
      <c r="D637" s="28"/>
      <c r="E637" s="28"/>
      <c r="F637" s="28"/>
      <c r="G637" s="64"/>
      <c r="H637" s="64"/>
      <c r="I637" s="28"/>
      <c r="J637" s="28"/>
      <c r="K637" s="65" t="str">
        <f aca="false">IF($A637="","",IF(OR($C637="Decision",$C637="Conflict"),IF(COUNTIFS($I$2:$I$1001,$A637,$C$2:$C$1001,"Resolved")=0,"Open","Closed"),IF(AND($H637="Unconfirmed",OR($C637="New",$C637="Know")),IF(COUNTIFS($I$2:$I$1001,$A637,$C$2:$C$1001,"Confirmed")=0,"Unconfirmed","Confirmed"),"Logged")))</f>
        <v/>
      </c>
      <c r="L637" s="65" t="str">
        <f aca="false">IF($A637="","",AsOf-$B637)</f>
        <v/>
      </c>
      <c r="M637" s="65" t="str">
        <f aca="false">IF($K637="Open",IF($C637="Conflict","Critical",IF($L637&gt;=DecisionCritical,"Critical",IF($L637&gt;=DecisionWarn,"Warning","On track"))),IF($K637="Unconfirmed",IF($L637&gt;=UnconfirmedWarn,"Warning","On track"),""))</f>
        <v/>
      </c>
      <c r="N637" s="65" t="str">
        <f aca="false">IF($M637="","",IF($M637="Critical",3000,IF($M637="Warning",2000,1000))+$L637+ROW()/100000)</f>
        <v/>
      </c>
      <c r="O637" s="65" t="str">
        <f aca="false">IF($K637="Open",IF($C637="Conflict","decide "&amp;$A637&amp;": &lt;which version stands&gt;","decide "&amp;$A637&amp;": &lt;outcome&gt;"),IF($K637="Unconfirmed","confirm "&amp;$A637,""))</f>
        <v/>
      </c>
      <c r="P637" s="65" t="str">
        <f aca="false">IF(AND($C637="New",$B637&gt;=WeekStart),$B637+ROW()/100000,"")</f>
        <v/>
      </c>
      <c r="Q637" s="65" t="str">
        <f aca="false">IF(AND($C637="Know",$B637&gt;=WeekStart),$B637+ROW()/100000,"")</f>
        <v/>
      </c>
      <c r="R637" s="65" t="str">
        <f aca="false">IF(AND($K637="Open",$C637="Decision"),$L637+ROW()/100000,"")</f>
        <v/>
      </c>
      <c r="S637" s="65" t="str">
        <f aca="false">IF(AND($J637&lt;&gt;"",$J637=UCSel),$B637+ROW()/100000,"")</f>
        <v/>
      </c>
    </row>
    <row r="638" customFormat="false" ht="15" hidden="false" customHeight="false" outlineLevel="0" collapsed="false">
      <c r="A638" s="28"/>
      <c r="B638" s="63"/>
      <c r="C638" s="64"/>
      <c r="D638" s="28"/>
      <c r="E638" s="28"/>
      <c r="F638" s="28"/>
      <c r="G638" s="64"/>
      <c r="H638" s="64"/>
      <c r="I638" s="28"/>
      <c r="J638" s="28"/>
      <c r="K638" s="65" t="str">
        <f aca="false">IF($A638="","",IF(OR($C638="Decision",$C638="Conflict"),IF(COUNTIFS($I$2:$I$1001,$A638,$C$2:$C$1001,"Resolved")=0,"Open","Closed"),IF(AND($H638="Unconfirmed",OR($C638="New",$C638="Know")),IF(COUNTIFS($I$2:$I$1001,$A638,$C$2:$C$1001,"Confirmed")=0,"Unconfirmed","Confirmed"),"Logged")))</f>
        <v/>
      </c>
      <c r="L638" s="65" t="str">
        <f aca="false">IF($A638="","",AsOf-$B638)</f>
        <v/>
      </c>
      <c r="M638" s="65" t="str">
        <f aca="false">IF($K638="Open",IF($C638="Conflict","Critical",IF($L638&gt;=DecisionCritical,"Critical",IF($L638&gt;=DecisionWarn,"Warning","On track"))),IF($K638="Unconfirmed",IF($L638&gt;=UnconfirmedWarn,"Warning","On track"),""))</f>
        <v/>
      </c>
      <c r="N638" s="65" t="str">
        <f aca="false">IF($M638="","",IF($M638="Critical",3000,IF($M638="Warning",2000,1000))+$L638+ROW()/100000)</f>
        <v/>
      </c>
      <c r="O638" s="65" t="str">
        <f aca="false">IF($K638="Open",IF($C638="Conflict","decide "&amp;$A638&amp;": &lt;which version stands&gt;","decide "&amp;$A638&amp;": &lt;outcome&gt;"),IF($K638="Unconfirmed","confirm "&amp;$A638,""))</f>
        <v/>
      </c>
      <c r="P638" s="65" t="str">
        <f aca="false">IF(AND($C638="New",$B638&gt;=WeekStart),$B638+ROW()/100000,"")</f>
        <v/>
      </c>
      <c r="Q638" s="65" t="str">
        <f aca="false">IF(AND($C638="Know",$B638&gt;=WeekStart),$B638+ROW()/100000,"")</f>
        <v/>
      </c>
      <c r="R638" s="65" t="str">
        <f aca="false">IF(AND($K638="Open",$C638="Decision"),$L638+ROW()/100000,"")</f>
        <v/>
      </c>
      <c r="S638" s="65" t="str">
        <f aca="false">IF(AND($J638&lt;&gt;"",$J638=UCSel),$B638+ROW()/100000,"")</f>
        <v/>
      </c>
    </row>
    <row r="639" customFormat="false" ht="15" hidden="false" customHeight="false" outlineLevel="0" collapsed="false">
      <c r="A639" s="28"/>
      <c r="B639" s="63"/>
      <c r="C639" s="64"/>
      <c r="D639" s="28"/>
      <c r="E639" s="28"/>
      <c r="F639" s="28"/>
      <c r="G639" s="64"/>
      <c r="H639" s="64"/>
      <c r="I639" s="28"/>
      <c r="J639" s="28"/>
      <c r="K639" s="65" t="str">
        <f aca="false">IF($A639="","",IF(OR($C639="Decision",$C639="Conflict"),IF(COUNTIFS($I$2:$I$1001,$A639,$C$2:$C$1001,"Resolved")=0,"Open","Closed"),IF(AND($H639="Unconfirmed",OR($C639="New",$C639="Know")),IF(COUNTIFS($I$2:$I$1001,$A639,$C$2:$C$1001,"Confirmed")=0,"Unconfirmed","Confirmed"),"Logged")))</f>
        <v/>
      </c>
      <c r="L639" s="65" t="str">
        <f aca="false">IF($A639="","",AsOf-$B639)</f>
        <v/>
      </c>
      <c r="M639" s="65" t="str">
        <f aca="false">IF($K639="Open",IF($C639="Conflict","Critical",IF($L639&gt;=DecisionCritical,"Critical",IF($L639&gt;=DecisionWarn,"Warning","On track"))),IF($K639="Unconfirmed",IF($L639&gt;=UnconfirmedWarn,"Warning","On track"),""))</f>
        <v/>
      </c>
      <c r="N639" s="65" t="str">
        <f aca="false">IF($M639="","",IF($M639="Critical",3000,IF($M639="Warning",2000,1000))+$L639+ROW()/100000)</f>
        <v/>
      </c>
      <c r="O639" s="65" t="str">
        <f aca="false">IF($K639="Open",IF($C639="Conflict","decide "&amp;$A639&amp;": &lt;which version stands&gt;","decide "&amp;$A639&amp;": &lt;outcome&gt;"),IF($K639="Unconfirmed","confirm "&amp;$A639,""))</f>
        <v/>
      </c>
      <c r="P639" s="65" t="str">
        <f aca="false">IF(AND($C639="New",$B639&gt;=WeekStart),$B639+ROW()/100000,"")</f>
        <v/>
      </c>
      <c r="Q639" s="65" t="str">
        <f aca="false">IF(AND($C639="Know",$B639&gt;=WeekStart),$B639+ROW()/100000,"")</f>
        <v/>
      </c>
      <c r="R639" s="65" t="str">
        <f aca="false">IF(AND($K639="Open",$C639="Decision"),$L639+ROW()/100000,"")</f>
        <v/>
      </c>
      <c r="S639" s="65" t="str">
        <f aca="false">IF(AND($J639&lt;&gt;"",$J639=UCSel),$B639+ROW()/100000,"")</f>
        <v/>
      </c>
    </row>
    <row r="640" customFormat="false" ht="15" hidden="false" customHeight="false" outlineLevel="0" collapsed="false">
      <c r="A640" s="28"/>
      <c r="B640" s="63"/>
      <c r="C640" s="64"/>
      <c r="D640" s="28"/>
      <c r="E640" s="28"/>
      <c r="F640" s="28"/>
      <c r="G640" s="64"/>
      <c r="H640" s="64"/>
      <c r="I640" s="28"/>
      <c r="J640" s="28"/>
      <c r="K640" s="65" t="str">
        <f aca="false">IF($A640="","",IF(OR($C640="Decision",$C640="Conflict"),IF(COUNTIFS($I$2:$I$1001,$A640,$C$2:$C$1001,"Resolved")=0,"Open","Closed"),IF(AND($H640="Unconfirmed",OR($C640="New",$C640="Know")),IF(COUNTIFS($I$2:$I$1001,$A640,$C$2:$C$1001,"Confirmed")=0,"Unconfirmed","Confirmed"),"Logged")))</f>
        <v/>
      </c>
      <c r="L640" s="65" t="str">
        <f aca="false">IF($A640="","",AsOf-$B640)</f>
        <v/>
      </c>
      <c r="M640" s="65" t="str">
        <f aca="false">IF($K640="Open",IF($C640="Conflict","Critical",IF($L640&gt;=DecisionCritical,"Critical",IF($L640&gt;=DecisionWarn,"Warning","On track"))),IF($K640="Unconfirmed",IF($L640&gt;=UnconfirmedWarn,"Warning","On track"),""))</f>
        <v/>
      </c>
      <c r="N640" s="65" t="str">
        <f aca="false">IF($M640="","",IF($M640="Critical",3000,IF($M640="Warning",2000,1000))+$L640+ROW()/100000)</f>
        <v/>
      </c>
      <c r="O640" s="65" t="str">
        <f aca="false">IF($K640="Open",IF($C640="Conflict","decide "&amp;$A640&amp;": &lt;which version stands&gt;","decide "&amp;$A640&amp;": &lt;outcome&gt;"),IF($K640="Unconfirmed","confirm "&amp;$A640,""))</f>
        <v/>
      </c>
      <c r="P640" s="65" t="str">
        <f aca="false">IF(AND($C640="New",$B640&gt;=WeekStart),$B640+ROW()/100000,"")</f>
        <v/>
      </c>
      <c r="Q640" s="65" t="str">
        <f aca="false">IF(AND($C640="Know",$B640&gt;=WeekStart),$B640+ROW()/100000,"")</f>
        <v/>
      </c>
      <c r="R640" s="65" t="str">
        <f aca="false">IF(AND($K640="Open",$C640="Decision"),$L640+ROW()/100000,"")</f>
        <v/>
      </c>
      <c r="S640" s="65" t="str">
        <f aca="false">IF(AND($J640&lt;&gt;"",$J640=UCSel),$B640+ROW()/100000,"")</f>
        <v/>
      </c>
    </row>
    <row r="641" customFormat="false" ht="15" hidden="false" customHeight="false" outlineLevel="0" collapsed="false">
      <c r="A641" s="28"/>
      <c r="B641" s="63"/>
      <c r="C641" s="64"/>
      <c r="D641" s="28"/>
      <c r="E641" s="28"/>
      <c r="F641" s="28"/>
      <c r="G641" s="64"/>
      <c r="H641" s="64"/>
      <c r="I641" s="28"/>
      <c r="J641" s="28"/>
      <c r="K641" s="65" t="str">
        <f aca="false">IF($A641="","",IF(OR($C641="Decision",$C641="Conflict"),IF(COUNTIFS($I$2:$I$1001,$A641,$C$2:$C$1001,"Resolved")=0,"Open","Closed"),IF(AND($H641="Unconfirmed",OR($C641="New",$C641="Know")),IF(COUNTIFS($I$2:$I$1001,$A641,$C$2:$C$1001,"Confirmed")=0,"Unconfirmed","Confirmed"),"Logged")))</f>
        <v/>
      </c>
      <c r="L641" s="65" t="str">
        <f aca="false">IF($A641="","",AsOf-$B641)</f>
        <v/>
      </c>
      <c r="M641" s="65" t="str">
        <f aca="false">IF($K641="Open",IF($C641="Conflict","Critical",IF($L641&gt;=DecisionCritical,"Critical",IF($L641&gt;=DecisionWarn,"Warning","On track"))),IF($K641="Unconfirmed",IF($L641&gt;=UnconfirmedWarn,"Warning","On track"),""))</f>
        <v/>
      </c>
      <c r="N641" s="65" t="str">
        <f aca="false">IF($M641="","",IF($M641="Critical",3000,IF($M641="Warning",2000,1000))+$L641+ROW()/100000)</f>
        <v/>
      </c>
      <c r="O641" s="65" t="str">
        <f aca="false">IF($K641="Open",IF($C641="Conflict","decide "&amp;$A641&amp;": &lt;which version stands&gt;","decide "&amp;$A641&amp;": &lt;outcome&gt;"),IF($K641="Unconfirmed","confirm "&amp;$A641,""))</f>
        <v/>
      </c>
      <c r="P641" s="65" t="str">
        <f aca="false">IF(AND($C641="New",$B641&gt;=WeekStart),$B641+ROW()/100000,"")</f>
        <v/>
      </c>
      <c r="Q641" s="65" t="str">
        <f aca="false">IF(AND($C641="Know",$B641&gt;=WeekStart),$B641+ROW()/100000,"")</f>
        <v/>
      </c>
      <c r="R641" s="65" t="str">
        <f aca="false">IF(AND($K641="Open",$C641="Decision"),$L641+ROW()/100000,"")</f>
        <v/>
      </c>
      <c r="S641" s="65" t="str">
        <f aca="false">IF(AND($J641&lt;&gt;"",$J641=UCSel),$B641+ROW()/100000,"")</f>
        <v/>
      </c>
    </row>
    <row r="642" customFormat="false" ht="15" hidden="false" customHeight="false" outlineLevel="0" collapsed="false">
      <c r="A642" s="28"/>
      <c r="B642" s="63"/>
      <c r="C642" s="64"/>
      <c r="D642" s="28"/>
      <c r="E642" s="28"/>
      <c r="F642" s="28"/>
      <c r="G642" s="64"/>
      <c r="H642" s="64"/>
      <c r="I642" s="28"/>
      <c r="J642" s="28"/>
      <c r="K642" s="65" t="str">
        <f aca="false">IF($A642="","",IF(OR($C642="Decision",$C642="Conflict"),IF(COUNTIFS($I$2:$I$1001,$A642,$C$2:$C$1001,"Resolved")=0,"Open","Closed"),IF(AND($H642="Unconfirmed",OR($C642="New",$C642="Know")),IF(COUNTIFS($I$2:$I$1001,$A642,$C$2:$C$1001,"Confirmed")=0,"Unconfirmed","Confirmed"),"Logged")))</f>
        <v/>
      </c>
      <c r="L642" s="65" t="str">
        <f aca="false">IF($A642="","",AsOf-$B642)</f>
        <v/>
      </c>
      <c r="M642" s="65" t="str">
        <f aca="false">IF($K642="Open",IF($C642="Conflict","Critical",IF($L642&gt;=DecisionCritical,"Critical",IF($L642&gt;=DecisionWarn,"Warning","On track"))),IF($K642="Unconfirmed",IF($L642&gt;=UnconfirmedWarn,"Warning","On track"),""))</f>
        <v/>
      </c>
      <c r="N642" s="65" t="str">
        <f aca="false">IF($M642="","",IF($M642="Critical",3000,IF($M642="Warning",2000,1000))+$L642+ROW()/100000)</f>
        <v/>
      </c>
      <c r="O642" s="65" t="str">
        <f aca="false">IF($K642="Open",IF($C642="Conflict","decide "&amp;$A642&amp;": &lt;which version stands&gt;","decide "&amp;$A642&amp;": &lt;outcome&gt;"),IF($K642="Unconfirmed","confirm "&amp;$A642,""))</f>
        <v/>
      </c>
      <c r="P642" s="65" t="str">
        <f aca="false">IF(AND($C642="New",$B642&gt;=WeekStart),$B642+ROW()/100000,"")</f>
        <v/>
      </c>
      <c r="Q642" s="65" t="str">
        <f aca="false">IF(AND($C642="Know",$B642&gt;=WeekStart),$B642+ROW()/100000,"")</f>
        <v/>
      </c>
      <c r="R642" s="65" t="str">
        <f aca="false">IF(AND($K642="Open",$C642="Decision"),$L642+ROW()/100000,"")</f>
        <v/>
      </c>
      <c r="S642" s="65" t="str">
        <f aca="false">IF(AND($J642&lt;&gt;"",$J642=UCSel),$B642+ROW()/100000,"")</f>
        <v/>
      </c>
    </row>
    <row r="643" customFormat="false" ht="15" hidden="false" customHeight="false" outlineLevel="0" collapsed="false">
      <c r="A643" s="28"/>
      <c r="B643" s="63"/>
      <c r="C643" s="64"/>
      <c r="D643" s="28"/>
      <c r="E643" s="28"/>
      <c r="F643" s="28"/>
      <c r="G643" s="64"/>
      <c r="H643" s="64"/>
      <c r="I643" s="28"/>
      <c r="J643" s="28"/>
      <c r="K643" s="65" t="str">
        <f aca="false">IF($A643="","",IF(OR($C643="Decision",$C643="Conflict"),IF(COUNTIFS($I$2:$I$1001,$A643,$C$2:$C$1001,"Resolved")=0,"Open","Closed"),IF(AND($H643="Unconfirmed",OR($C643="New",$C643="Know")),IF(COUNTIFS($I$2:$I$1001,$A643,$C$2:$C$1001,"Confirmed")=0,"Unconfirmed","Confirmed"),"Logged")))</f>
        <v/>
      </c>
      <c r="L643" s="65" t="str">
        <f aca="false">IF($A643="","",AsOf-$B643)</f>
        <v/>
      </c>
      <c r="M643" s="65" t="str">
        <f aca="false">IF($K643="Open",IF($C643="Conflict","Critical",IF($L643&gt;=DecisionCritical,"Critical",IF($L643&gt;=DecisionWarn,"Warning","On track"))),IF($K643="Unconfirmed",IF($L643&gt;=UnconfirmedWarn,"Warning","On track"),""))</f>
        <v/>
      </c>
      <c r="N643" s="65" t="str">
        <f aca="false">IF($M643="","",IF($M643="Critical",3000,IF($M643="Warning",2000,1000))+$L643+ROW()/100000)</f>
        <v/>
      </c>
      <c r="O643" s="65" t="str">
        <f aca="false">IF($K643="Open",IF($C643="Conflict","decide "&amp;$A643&amp;": &lt;which version stands&gt;","decide "&amp;$A643&amp;": &lt;outcome&gt;"),IF($K643="Unconfirmed","confirm "&amp;$A643,""))</f>
        <v/>
      </c>
      <c r="P643" s="65" t="str">
        <f aca="false">IF(AND($C643="New",$B643&gt;=WeekStart),$B643+ROW()/100000,"")</f>
        <v/>
      </c>
      <c r="Q643" s="65" t="str">
        <f aca="false">IF(AND($C643="Know",$B643&gt;=WeekStart),$B643+ROW()/100000,"")</f>
        <v/>
      </c>
      <c r="R643" s="65" t="str">
        <f aca="false">IF(AND($K643="Open",$C643="Decision"),$L643+ROW()/100000,"")</f>
        <v/>
      </c>
      <c r="S643" s="65" t="str">
        <f aca="false">IF(AND($J643&lt;&gt;"",$J643=UCSel),$B643+ROW()/100000,"")</f>
        <v/>
      </c>
    </row>
    <row r="644" customFormat="false" ht="15" hidden="false" customHeight="false" outlineLevel="0" collapsed="false">
      <c r="A644" s="28"/>
      <c r="B644" s="63"/>
      <c r="C644" s="64"/>
      <c r="D644" s="28"/>
      <c r="E644" s="28"/>
      <c r="F644" s="28"/>
      <c r="G644" s="64"/>
      <c r="H644" s="64"/>
      <c r="I644" s="28"/>
      <c r="J644" s="28"/>
      <c r="K644" s="65" t="str">
        <f aca="false">IF($A644="","",IF(OR($C644="Decision",$C644="Conflict"),IF(COUNTIFS($I$2:$I$1001,$A644,$C$2:$C$1001,"Resolved")=0,"Open","Closed"),IF(AND($H644="Unconfirmed",OR($C644="New",$C644="Know")),IF(COUNTIFS($I$2:$I$1001,$A644,$C$2:$C$1001,"Confirmed")=0,"Unconfirmed","Confirmed"),"Logged")))</f>
        <v/>
      </c>
      <c r="L644" s="65" t="str">
        <f aca="false">IF($A644="","",AsOf-$B644)</f>
        <v/>
      </c>
      <c r="M644" s="65" t="str">
        <f aca="false">IF($K644="Open",IF($C644="Conflict","Critical",IF($L644&gt;=DecisionCritical,"Critical",IF($L644&gt;=DecisionWarn,"Warning","On track"))),IF($K644="Unconfirmed",IF($L644&gt;=UnconfirmedWarn,"Warning","On track"),""))</f>
        <v/>
      </c>
      <c r="N644" s="65" t="str">
        <f aca="false">IF($M644="","",IF($M644="Critical",3000,IF($M644="Warning",2000,1000))+$L644+ROW()/100000)</f>
        <v/>
      </c>
      <c r="O644" s="65" t="str">
        <f aca="false">IF($K644="Open",IF($C644="Conflict","decide "&amp;$A644&amp;": &lt;which version stands&gt;","decide "&amp;$A644&amp;": &lt;outcome&gt;"),IF($K644="Unconfirmed","confirm "&amp;$A644,""))</f>
        <v/>
      </c>
      <c r="P644" s="65" t="str">
        <f aca="false">IF(AND($C644="New",$B644&gt;=WeekStart),$B644+ROW()/100000,"")</f>
        <v/>
      </c>
      <c r="Q644" s="65" t="str">
        <f aca="false">IF(AND($C644="Know",$B644&gt;=WeekStart),$B644+ROW()/100000,"")</f>
        <v/>
      </c>
      <c r="R644" s="65" t="str">
        <f aca="false">IF(AND($K644="Open",$C644="Decision"),$L644+ROW()/100000,"")</f>
        <v/>
      </c>
      <c r="S644" s="65" t="str">
        <f aca="false">IF(AND($J644&lt;&gt;"",$J644=UCSel),$B644+ROW()/100000,"")</f>
        <v/>
      </c>
    </row>
    <row r="645" customFormat="false" ht="15" hidden="false" customHeight="false" outlineLevel="0" collapsed="false">
      <c r="A645" s="28"/>
      <c r="B645" s="63"/>
      <c r="C645" s="64"/>
      <c r="D645" s="28"/>
      <c r="E645" s="28"/>
      <c r="F645" s="28"/>
      <c r="G645" s="64"/>
      <c r="H645" s="64"/>
      <c r="I645" s="28"/>
      <c r="J645" s="28"/>
      <c r="K645" s="65" t="str">
        <f aca="false">IF($A645="","",IF(OR($C645="Decision",$C645="Conflict"),IF(COUNTIFS($I$2:$I$1001,$A645,$C$2:$C$1001,"Resolved")=0,"Open","Closed"),IF(AND($H645="Unconfirmed",OR($C645="New",$C645="Know")),IF(COUNTIFS($I$2:$I$1001,$A645,$C$2:$C$1001,"Confirmed")=0,"Unconfirmed","Confirmed"),"Logged")))</f>
        <v/>
      </c>
      <c r="L645" s="65" t="str">
        <f aca="false">IF($A645="","",AsOf-$B645)</f>
        <v/>
      </c>
      <c r="M645" s="65" t="str">
        <f aca="false">IF($K645="Open",IF($C645="Conflict","Critical",IF($L645&gt;=DecisionCritical,"Critical",IF($L645&gt;=DecisionWarn,"Warning","On track"))),IF($K645="Unconfirmed",IF($L645&gt;=UnconfirmedWarn,"Warning","On track"),""))</f>
        <v/>
      </c>
      <c r="N645" s="65" t="str">
        <f aca="false">IF($M645="","",IF($M645="Critical",3000,IF($M645="Warning",2000,1000))+$L645+ROW()/100000)</f>
        <v/>
      </c>
      <c r="O645" s="65" t="str">
        <f aca="false">IF($K645="Open",IF($C645="Conflict","decide "&amp;$A645&amp;": &lt;which version stands&gt;","decide "&amp;$A645&amp;": &lt;outcome&gt;"),IF($K645="Unconfirmed","confirm "&amp;$A645,""))</f>
        <v/>
      </c>
      <c r="P645" s="65" t="str">
        <f aca="false">IF(AND($C645="New",$B645&gt;=WeekStart),$B645+ROW()/100000,"")</f>
        <v/>
      </c>
      <c r="Q645" s="65" t="str">
        <f aca="false">IF(AND($C645="Know",$B645&gt;=WeekStart),$B645+ROW()/100000,"")</f>
        <v/>
      </c>
      <c r="R645" s="65" t="str">
        <f aca="false">IF(AND($K645="Open",$C645="Decision"),$L645+ROW()/100000,"")</f>
        <v/>
      </c>
      <c r="S645" s="65" t="str">
        <f aca="false">IF(AND($J645&lt;&gt;"",$J645=UCSel),$B645+ROW()/100000,"")</f>
        <v/>
      </c>
    </row>
    <row r="646" customFormat="false" ht="15" hidden="false" customHeight="false" outlineLevel="0" collapsed="false">
      <c r="A646" s="28"/>
      <c r="B646" s="63"/>
      <c r="C646" s="64"/>
      <c r="D646" s="28"/>
      <c r="E646" s="28"/>
      <c r="F646" s="28"/>
      <c r="G646" s="64"/>
      <c r="H646" s="64"/>
      <c r="I646" s="28"/>
      <c r="J646" s="28"/>
      <c r="K646" s="65" t="str">
        <f aca="false">IF($A646="","",IF(OR($C646="Decision",$C646="Conflict"),IF(COUNTIFS($I$2:$I$1001,$A646,$C$2:$C$1001,"Resolved")=0,"Open","Closed"),IF(AND($H646="Unconfirmed",OR($C646="New",$C646="Know")),IF(COUNTIFS($I$2:$I$1001,$A646,$C$2:$C$1001,"Confirmed")=0,"Unconfirmed","Confirmed"),"Logged")))</f>
        <v/>
      </c>
      <c r="L646" s="65" t="str">
        <f aca="false">IF($A646="","",AsOf-$B646)</f>
        <v/>
      </c>
      <c r="M646" s="65" t="str">
        <f aca="false">IF($K646="Open",IF($C646="Conflict","Critical",IF($L646&gt;=DecisionCritical,"Critical",IF($L646&gt;=DecisionWarn,"Warning","On track"))),IF($K646="Unconfirmed",IF($L646&gt;=UnconfirmedWarn,"Warning","On track"),""))</f>
        <v/>
      </c>
      <c r="N646" s="65" t="str">
        <f aca="false">IF($M646="","",IF($M646="Critical",3000,IF($M646="Warning",2000,1000))+$L646+ROW()/100000)</f>
        <v/>
      </c>
      <c r="O646" s="65" t="str">
        <f aca="false">IF($K646="Open",IF($C646="Conflict","decide "&amp;$A646&amp;": &lt;which version stands&gt;","decide "&amp;$A646&amp;": &lt;outcome&gt;"),IF($K646="Unconfirmed","confirm "&amp;$A646,""))</f>
        <v/>
      </c>
      <c r="P646" s="65" t="str">
        <f aca="false">IF(AND($C646="New",$B646&gt;=WeekStart),$B646+ROW()/100000,"")</f>
        <v/>
      </c>
      <c r="Q646" s="65" t="str">
        <f aca="false">IF(AND($C646="Know",$B646&gt;=WeekStart),$B646+ROW()/100000,"")</f>
        <v/>
      </c>
      <c r="R646" s="65" t="str">
        <f aca="false">IF(AND($K646="Open",$C646="Decision"),$L646+ROW()/100000,"")</f>
        <v/>
      </c>
      <c r="S646" s="65" t="str">
        <f aca="false">IF(AND($J646&lt;&gt;"",$J646=UCSel),$B646+ROW()/100000,"")</f>
        <v/>
      </c>
    </row>
    <row r="647" customFormat="false" ht="15" hidden="false" customHeight="false" outlineLevel="0" collapsed="false">
      <c r="A647" s="28"/>
      <c r="B647" s="63"/>
      <c r="C647" s="64"/>
      <c r="D647" s="28"/>
      <c r="E647" s="28"/>
      <c r="F647" s="28"/>
      <c r="G647" s="64"/>
      <c r="H647" s="64"/>
      <c r="I647" s="28"/>
      <c r="J647" s="28"/>
      <c r="K647" s="65" t="str">
        <f aca="false">IF($A647="","",IF(OR($C647="Decision",$C647="Conflict"),IF(COUNTIFS($I$2:$I$1001,$A647,$C$2:$C$1001,"Resolved")=0,"Open","Closed"),IF(AND($H647="Unconfirmed",OR($C647="New",$C647="Know")),IF(COUNTIFS($I$2:$I$1001,$A647,$C$2:$C$1001,"Confirmed")=0,"Unconfirmed","Confirmed"),"Logged")))</f>
        <v/>
      </c>
      <c r="L647" s="65" t="str">
        <f aca="false">IF($A647="","",AsOf-$B647)</f>
        <v/>
      </c>
      <c r="M647" s="65" t="str">
        <f aca="false">IF($K647="Open",IF($C647="Conflict","Critical",IF($L647&gt;=DecisionCritical,"Critical",IF($L647&gt;=DecisionWarn,"Warning","On track"))),IF($K647="Unconfirmed",IF($L647&gt;=UnconfirmedWarn,"Warning","On track"),""))</f>
        <v/>
      </c>
      <c r="N647" s="65" t="str">
        <f aca="false">IF($M647="","",IF($M647="Critical",3000,IF($M647="Warning",2000,1000))+$L647+ROW()/100000)</f>
        <v/>
      </c>
      <c r="O647" s="65" t="str">
        <f aca="false">IF($K647="Open",IF($C647="Conflict","decide "&amp;$A647&amp;": &lt;which version stands&gt;","decide "&amp;$A647&amp;": &lt;outcome&gt;"),IF($K647="Unconfirmed","confirm "&amp;$A647,""))</f>
        <v/>
      </c>
      <c r="P647" s="65" t="str">
        <f aca="false">IF(AND($C647="New",$B647&gt;=WeekStart),$B647+ROW()/100000,"")</f>
        <v/>
      </c>
      <c r="Q647" s="65" t="str">
        <f aca="false">IF(AND($C647="Know",$B647&gt;=WeekStart),$B647+ROW()/100000,"")</f>
        <v/>
      </c>
      <c r="R647" s="65" t="str">
        <f aca="false">IF(AND($K647="Open",$C647="Decision"),$L647+ROW()/100000,"")</f>
        <v/>
      </c>
      <c r="S647" s="65" t="str">
        <f aca="false">IF(AND($J647&lt;&gt;"",$J647=UCSel),$B647+ROW()/100000,"")</f>
        <v/>
      </c>
    </row>
    <row r="648" customFormat="false" ht="15" hidden="false" customHeight="false" outlineLevel="0" collapsed="false">
      <c r="A648" s="28"/>
      <c r="B648" s="63"/>
      <c r="C648" s="64"/>
      <c r="D648" s="28"/>
      <c r="E648" s="28"/>
      <c r="F648" s="28"/>
      <c r="G648" s="64"/>
      <c r="H648" s="64"/>
      <c r="I648" s="28"/>
      <c r="J648" s="28"/>
      <c r="K648" s="65" t="str">
        <f aca="false">IF($A648="","",IF(OR($C648="Decision",$C648="Conflict"),IF(COUNTIFS($I$2:$I$1001,$A648,$C$2:$C$1001,"Resolved")=0,"Open","Closed"),IF(AND($H648="Unconfirmed",OR($C648="New",$C648="Know")),IF(COUNTIFS($I$2:$I$1001,$A648,$C$2:$C$1001,"Confirmed")=0,"Unconfirmed","Confirmed"),"Logged")))</f>
        <v/>
      </c>
      <c r="L648" s="65" t="str">
        <f aca="false">IF($A648="","",AsOf-$B648)</f>
        <v/>
      </c>
      <c r="M648" s="65" t="str">
        <f aca="false">IF($K648="Open",IF($C648="Conflict","Critical",IF($L648&gt;=DecisionCritical,"Critical",IF($L648&gt;=DecisionWarn,"Warning","On track"))),IF($K648="Unconfirmed",IF($L648&gt;=UnconfirmedWarn,"Warning","On track"),""))</f>
        <v/>
      </c>
      <c r="N648" s="65" t="str">
        <f aca="false">IF($M648="","",IF($M648="Critical",3000,IF($M648="Warning",2000,1000))+$L648+ROW()/100000)</f>
        <v/>
      </c>
      <c r="O648" s="65" t="str">
        <f aca="false">IF($K648="Open",IF($C648="Conflict","decide "&amp;$A648&amp;": &lt;which version stands&gt;","decide "&amp;$A648&amp;": &lt;outcome&gt;"),IF($K648="Unconfirmed","confirm "&amp;$A648,""))</f>
        <v/>
      </c>
      <c r="P648" s="65" t="str">
        <f aca="false">IF(AND($C648="New",$B648&gt;=WeekStart),$B648+ROW()/100000,"")</f>
        <v/>
      </c>
      <c r="Q648" s="65" t="str">
        <f aca="false">IF(AND($C648="Know",$B648&gt;=WeekStart),$B648+ROW()/100000,"")</f>
        <v/>
      </c>
      <c r="R648" s="65" t="str">
        <f aca="false">IF(AND($K648="Open",$C648="Decision"),$L648+ROW()/100000,"")</f>
        <v/>
      </c>
      <c r="S648" s="65" t="str">
        <f aca="false">IF(AND($J648&lt;&gt;"",$J648=UCSel),$B648+ROW()/100000,"")</f>
        <v/>
      </c>
    </row>
    <row r="649" customFormat="false" ht="15" hidden="false" customHeight="false" outlineLevel="0" collapsed="false">
      <c r="A649" s="28"/>
      <c r="B649" s="63"/>
      <c r="C649" s="64"/>
      <c r="D649" s="28"/>
      <c r="E649" s="28"/>
      <c r="F649" s="28"/>
      <c r="G649" s="64"/>
      <c r="H649" s="64"/>
      <c r="I649" s="28"/>
      <c r="J649" s="28"/>
      <c r="K649" s="65" t="str">
        <f aca="false">IF($A649="","",IF(OR($C649="Decision",$C649="Conflict"),IF(COUNTIFS($I$2:$I$1001,$A649,$C$2:$C$1001,"Resolved")=0,"Open","Closed"),IF(AND($H649="Unconfirmed",OR($C649="New",$C649="Know")),IF(COUNTIFS($I$2:$I$1001,$A649,$C$2:$C$1001,"Confirmed")=0,"Unconfirmed","Confirmed"),"Logged")))</f>
        <v/>
      </c>
      <c r="L649" s="65" t="str">
        <f aca="false">IF($A649="","",AsOf-$B649)</f>
        <v/>
      </c>
      <c r="M649" s="65" t="str">
        <f aca="false">IF($K649="Open",IF($C649="Conflict","Critical",IF($L649&gt;=DecisionCritical,"Critical",IF($L649&gt;=DecisionWarn,"Warning","On track"))),IF($K649="Unconfirmed",IF($L649&gt;=UnconfirmedWarn,"Warning","On track"),""))</f>
        <v/>
      </c>
      <c r="N649" s="65" t="str">
        <f aca="false">IF($M649="","",IF($M649="Critical",3000,IF($M649="Warning",2000,1000))+$L649+ROW()/100000)</f>
        <v/>
      </c>
      <c r="O649" s="65" t="str">
        <f aca="false">IF($K649="Open",IF($C649="Conflict","decide "&amp;$A649&amp;": &lt;which version stands&gt;","decide "&amp;$A649&amp;": &lt;outcome&gt;"),IF($K649="Unconfirmed","confirm "&amp;$A649,""))</f>
        <v/>
      </c>
      <c r="P649" s="65" t="str">
        <f aca="false">IF(AND($C649="New",$B649&gt;=WeekStart),$B649+ROW()/100000,"")</f>
        <v/>
      </c>
      <c r="Q649" s="65" t="str">
        <f aca="false">IF(AND($C649="Know",$B649&gt;=WeekStart),$B649+ROW()/100000,"")</f>
        <v/>
      </c>
      <c r="R649" s="65" t="str">
        <f aca="false">IF(AND($K649="Open",$C649="Decision"),$L649+ROW()/100000,"")</f>
        <v/>
      </c>
      <c r="S649" s="65" t="str">
        <f aca="false">IF(AND($J649&lt;&gt;"",$J649=UCSel),$B649+ROW()/100000,"")</f>
        <v/>
      </c>
    </row>
    <row r="650" customFormat="false" ht="15" hidden="false" customHeight="false" outlineLevel="0" collapsed="false">
      <c r="A650" s="28"/>
      <c r="B650" s="63"/>
      <c r="C650" s="64"/>
      <c r="D650" s="28"/>
      <c r="E650" s="28"/>
      <c r="F650" s="28"/>
      <c r="G650" s="64"/>
      <c r="H650" s="64"/>
      <c r="I650" s="28"/>
      <c r="J650" s="28"/>
      <c r="K650" s="65" t="str">
        <f aca="false">IF($A650="","",IF(OR($C650="Decision",$C650="Conflict"),IF(COUNTIFS($I$2:$I$1001,$A650,$C$2:$C$1001,"Resolved")=0,"Open","Closed"),IF(AND($H650="Unconfirmed",OR($C650="New",$C650="Know")),IF(COUNTIFS($I$2:$I$1001,$A650,$C$2:$C$1001,"Confirmed")=0,"Unconfirmed","Confirmed"),"Logged")))</f>
        <v/>
      </c>
      <c r="L650" s="65" t="str">
        <f aca="false">IF($A650="","",AsOf-$B650)</f>
        <v/>
      </c>
      <c r="M650" s="65" t="str">
        <f aca="false">IF($K650="Open",IF($C650="Conflict","Critical",IF($L650&gt;=DecisionCritical,"Critical",IF($L650&gt;=DecisionWarn,"Warning","On track"))),IF($K650="Unconfirmed",IF($L650&gt;=UnconfirmedWarn,"Warning","On track"),""))</f>
        <v/>
      </c>
      <c r="N650" s="65" t="str">
        <f aca="false">IF($M650="","",IF($M650="Critical",3000,IF($M650="Warning",2000,1000))+$L650+ROW()/100000)</f>
        <v/>
      </c>
      <c r="O650" s="65" t="str">
        <f aca="false">IF($K650="Open",IF($C650="Conflict","decide "&amp;$A650&amp;": &lt;which version stands&gt;","decide "&amp;$A650&amp;": &lt;outcome&gt;"),IF($K650="Unconfirmed","confirm "&amp;$A650,""))</f>
        <v/>
      </c>
      <c r="P650" s="65" t="str">
        <f aca="false">IF(AND($C650="New",$B650&gt;=WeekStart),$B650+ROW()/100000,"")</f>
        <v/>
      </c>
      <c r="Q650" s="65" t="str">
        <f aca="false">IF(AND($C650="Know",$B650&gt;=WeekStart),$B650+ROW()/100000,"")</f>
        <v/>
      </c>
      <c r="R650" s="65" t="str">
        <f aca="false">IF(AND($K650="Open",$C650="Decision"),$L650+ROW()/100000,"")</f>
        <v/>
      </c>
      <c r="S650" s="65" t="str">
        <f aca="false">IF(AND($J650&lt;&gt;"",$J650=UCSel),$B650+ROW()/100000,"")</f>
        <v/>
      </c>
    </row>
    <row r="651" customFormat="false" ht="15" hidden="false" customHeight="false" outlineLevel="0" collapsed="false">
      <c r="A651" s="28"/>
      <c r="B651" s="63"/>
      <c r="C651" s="64"/>
      <c r="D651" s="28"/>
      <c r="E651" s="28"/>
      <c r="F651" s="28"/>
      <c r="G651" s="64"/>
      <c r="H651" s="64"/>
      <c r="I651" s="28"/>
      <c r="J651" s="28"/>
      <c r="K651" s="65" t="str">
        <f aca="false">IF($A651="","",IF(OR($C651="Decision",$C651="Conflict"),IF(COUNTIFS($I$2:$I$1001,$A651,$C$2:$C$1001,"Resolved")=0,"Open","Closed"),IF(AND($H651="Unconfirmed",OR($C651="New",$C651="Know")),IF(COUNTIFS($I$2:$I$1001,$A651,$C$2:$C$1001,"Confirmed")=0,"Unconfirmed","Confirmed"),"Logged")))</f>
        <v/>
      </c>
      <c r="L651" s="65" t="str">
        <f aca="false">IF($A651="","",AsOf-$B651)</f>
        <v/>
      </c>
      <c r="M651" s="65" t="str">
        <f aca="false">IF($K651="Open",IF($C651="Conflict","Critical",IF($L651&gt;=DecisionCritical,"Critical",IF($L651&gt;=DecisionWarn,"Warning","On track"))),IF($K651="Unconfirmed",IF($L651&gt;=UnconfirmedWarn,"Warning","On track"),""))</f>
        <v/>
      </c>
      <c r="N651" s="65" t="str">
        <f aca="false">IF($M651="","",IF($M651="Critical",3000,IF($M651="Warning",2000,1000))+$L651+ROW()/100000)</f>
        <v/>
      </c>
      <c r="O651" s="65" t="str">
        <f aca="false">IF($K651="Open",IF($C651="Conflict","decide "&amp;$A651&amp;": &lt;which version stands&gt;","decide "&amp;$A651&amp;": &lt;outcome&gt;"),IF($K651="Unconfirmed","confirm "&amp;$A651,""))</f>
        <v/>
      </c>
      <c r="P651" s="65" t="str">
        <f aca="false">IF(AND($C651="New",$B651&gt;=WeekStart),$B651+ROW()/100000,"")</f>
        <v/>
      </c>
      <c r="Q651" s="65" t="str">
        <f aca="false">IF(AND($C651="Know",$B651&gt;=WeekStart),$B651+ROW()/100000,"")</f>
        <v/>
      </c>
      <c r="R651" s="65" t="str">
        <f aca="false">IF(AND($K651="Open",$C651="Decision"),$L651+ROW()/100000,"")</f>
        <v/>
      </c>
      <c r="S651" s="65" t="str">
        <f aca="false">IF(AND($J651&lt;&gt;"",$J651=UCSel),$B651+ROW()/100000,"")</f>
        <v/>
      </c>
    </row>
    <row r="652" customFormat="false" ht="15" hidden="false" customHeight="false" outlineLevel="0" collapsed="false">
      <c r="A652" s="28"/>
      <c r="B652" s="63"/>
      <c r="C652" s="64"/>
      <c r="D652" s="28"/>
      <c r="E652" s="28"/>
      <c r="F652" s="28"/>
      <c r="G652" s="64"/>
      <c r="H652" s="64"/>
      <c r="I652" s="28"/>
      <c r="J652" s="28"/>
      <c r="K652" s="65" t="str">
        <f aca="false">IF($A652="","",IF(OR($C652="Decision",$C652="Conflict"),IF(COUNTIFS($I$2:$I$1001,$A652,$C$2:$C$1001,"Resolved")=0,"Open","Closed"),IF(AND($H652="Unconfirmed",OR($C652="New",$C652="Know")),IF(COUNTIFS($I$2:$I$1001,$A652,$C$2:$C$1001,"Confirmed")=0,"Unconfirmed","Confirmed"),"Logged")))</f>
        <v/>
      </c>
      <c r="L652" s="65" t="str">
        <f aca="false">IF($A652="","",AsOf-$B652)</f>
        <v/>
      </c>
      <c r="M652" s="65" t="str">
        <f aca="false">IF($K652="Open",IF($C652="Conflict","Critical",IF($L652&gt;=DecisionCritical,"Critical",IF($L652&gt;=DecisionWarn,"Warning","On track"))),IF($K652="Unconfirmed",IF($L652&gt;=UnconfirmedWarn,"Warning","On track"),""))</f>
        <v/>
      </c>
      <c r="N652" s="65" t="str">
        <f aca="false">IF($M652="","",IF($M652="Critical",3000,IF($M652="Warning",2000,1000))+$L652+ROW()/100000)</f>
        <v/>
      </c>
      <c r="O652" s="65" t="str">
        <f aca="false">IF($K652="Open",IF($C652="Conflict","decide "&amp;$A652&amp;": &lt;which version stands&gt;","decide "&amp;$A652&amp;": &lt;outcome&gt;"),IF($K652="Unconfirmed","confirm "&amp;$A652,""))</f>
        <v/>
      </c>
      <c r="P652" s="65" t="str">
        <f aca="false">IF(AND($C652="New",$B652&gt;=WeekStart),$B652+ROW()/100000,"")</f>
        <v/>
      </c>
      <c r="Q652" s="65" t="str">
        <f aca="false">IF(AND($C652="Know",$B652&gt;=WeekStart),$B652+ROW()/100000,"")</f>
        <v/>
      </c>
      <c r="R652" s="65" t="str">
        <f aca="false">IF(AND($K652="Open",$C652="Decision"),$L652+ROW()/100000,"")</f>
        <v/>
      </c>
      <c r="S652" s="65" t="str">
        <f aca="false">IF(AND($J652&lt;&gt;"",$J652=UCSel),$B652+ROW()/100000,"")</f>
        <v/>
      </c>
    </row>
    <row r="653" customFormat="false" ht="15" hidden="false" customHeight="false" outlineLevel="0" collapsed="false">
      <c r="A653" s="28"/>
      <c r="B653" s="63"/>
      <c r="C653" s="64"/>
      <c r="D653" s="28"/>
      <c r="E653" s="28"/>
      <c r="F653" s="28"/>
      <c r="G653" s="64"/>
      <c r="H653" s="64"/>
      <c r="I653" s="28"/>
      <c r="J653" s="28"/>
      <c r="K653" s="65" t="str">
        <f aca="false">IF($A653="","",IF(OR($C653="Decision",$C653="Conflict"),IF(COUNTIFS($I$2:$I$1001,$A653,$C$2:$C$1001,"Resolved")=0,"Open","Closed"),IF(AND($H653="Unconfirmed",OR($C653="New",$C653="Know")),IF(COUNTIFS($I$2:$I$1001,$A653,$C$2:$C$1001,"Confirmed")=0,"Unconfirmed","Confirmed"),"Logged")))</f>
        <v/>
      </c>
      <c r="L653" s="65" t="str">
        <f aca="false">IF($A653="","",AsOf-$B653)</f>
        <v/>
      </c>
      <c r="M653" s="65" t="str">
        <f aca="false">IF($K653="Open",IF($C653="Conflict","Critical",IF($L653&gt;=DecisionCritical,"Critical",IF($L653&gt;=DecisionWarn,"Warning","On track"))),IF($K653="Unconfirmed",IF($L653&gt;=UnconfirmedWarn,"Warning","On track"),""))</f>
        <v/>
      </c>
      <c r="N653" s="65" t="str">
        <f aca="false">IF($M653="","",IF($M653="Critical",3000,IF($M653="Warning",2000,1000))+$L653+ROW()/100000)</f>
        <v/>
      </c>
      <c r="O653" s="65" t="str">
        <f aca="false">IF($K653="Open",IF($C653="Conflict","decide "&amp;$A653&amp;": &lt;which version stands&gt;","decide "&amp;$A653&amp;": &lt;outcome&gt;"),IF($K653="Unconfirmed","confirm "&amp;$A653,""))</f>
        <v/>
      </c>
      <c r="P653" s="65" t="str">
        <f aca="false">IF(AND($C653="New",$B653&gt;=WeekStart),$B653+ROW()/100000,"")</f>
        <v/>
      </c>
      <c r="Q653" s="65" t="str">
        <f aca="false">IF(AND($C653="Know",$B653&gt;=WeekStart),$B653+ROW()/100000,"")</f>
        <v/>
      </c>
      <c r="R653" s="65" t="str">
        <f aca="false">IF(AND($K653="Open",$C653="Decision"),$L653+ROW()/100000,"")</f>
        <v/>
      </c>
      <c r="S653" s="65" t="str">
        <f aca="false">IF(AND($J653&lt;&gt;"",$J653=UCSel),$B653+ROW()/100000,"")</f>
        <v/>
      </c>
    </row>
    <row r="654" customFormat="false" ht="15" hidden="false" customHeight="false" outlineLevel="0" collapsed="false">
      <c r="A654" s="28"/>
      <c r="B654" s="63"/>
      <c r="C654" s="64"/>
      <c r="D654" s="28"/>
      <c r="E654" s="28"/>
      <c r="F654" s="28"/>
      <c r="G654" s="64"/>
      <c r="H654" s="64"/>
      <c r="I654" s="28"/>
      <c r="J654" s="28"/>
      <c r="K654" s="65" t="str">
        <f aca="false">IF($A654="","",IF(OR($C654="Decision",$C654="Conflict"),IF(COUNTIFS($I$2:$I$1001,$A654,$C$2:$C$1001,"Resolved")=0,"Open","Closed"),IF(AND($H654="Unconfirmed",OR($C654="New",$C654="Know")),IF(COUNTIFS($I$2:$I$1001,$A654,$C$2:$C$1001,"Confirmed")=0,"Unconfirmed","Confirmed"),"Logged")))</f>
        <v/>
      </c>
      <c r="L654" s="65" t="str">
        <f aca="false">IF($A654="","",AsOf-$B654)</f>
        <v/>
      </c>
      <c r="M654" s="65" t="str">
        <f aca="false">IF($K654="Open",IF($C654="Conflict","Critical",IF($L654&gt;=DecisionCritical,"Critical",IF($L654&gt;=DecisionWarn,"Warning","On track"))),IF($K654="Unconfirmed",IF($L654&gt;=UnconfirmedWarn,"Warning","On track"),""))</f>
        <v/>
      </c>
      <c r="N654" s="65" t="str">
        <f aca="false">IF($M654="","",IF($M654="Critical",3000,IF($M654="Warning",2000,1000))+$L654+ROW()/100000)</f>
        <v/>
      </c>
      <c r="O654" s="65" t="str">
        <f aca="false">IF($K654="Open",IF($C654="Conflict","decide "&amp;$A654&amp;": &lt;which version stands&gt;","decide "&amp;$A654&amp;": &lt;outcome&gt;"),IF($K654="Unconfirmed","confirm "&amp;$A654,""))</f>
        <v/>
      </c>
      <c r="P654" s="65" t="str">
        <f aca="false">IF(AND($C654="New",$B654&gt;=WeekStart),$B654+ROW()/100000,"")</f>
        <v/>
      </c>
      <c r="Q654" s="65" t="str">
        <f aca="false">IF(AND($C654="Know",$B654&gt;=WeekStart),$B654+ROW()/100000,"")</f>
        <v/>
      </c>
      <c r="R654" s="65" t="str">
        <f aca="false">IF(AND($K654="Open",$C654="Decision"),$L654+ROW()/100000,"")</f>
        <v/>
      </c>
      <c r="S654" s="65" t="str">
        <f aca="false">IF(AND($J654&lt;&gt;"",$J654=UCSel),$B654+ROW()/100000,"")</f>
        <v/>
      </c>
    </row>
    <row r="655" customFormat="false" ht="15" hidden="false" customHeight="false" outlineLevel="0" collapsed="false">
      <c r="A655" s="28"/>
      <c r="B655" s="63"/>
      <c r="C655" s="64"/>
      <c r="D655" s="28"/>
      <c r="E655" s="28"/>
      <c r="F655" s="28"/>
      <c r="G655" s="64"/>
      <c r="H655" s="64"/>
      <c r="I655" s="28"/>
      <c r="J655" s="28"/>
      <c r="K655" s="65" t="str">
        <f aca="false">IF($A655="","",IF(OR($C655="Decision",$C655="Conflict"),IF(COUNTIFS($I$2:$I$1001,$A655,$C$2:$C$1001,"Resolved")=0,"Open","Closed"),IF(AND($H655="Unconfirmed",OR($C655="New",$C655="Know")),IF(COUNTIFS($I$2:$I$1001,$A655,$C$2:$C$1001,"Confirmed")=0,"Unconfirmed","Confirmed"),"Logged")))</f>
        <v/>
      </c>
      <c r="L655" s="65" t="str">
        <f aca="false">IF($A655="","",AsOf-$B655)</f>
        <v/>
      </c>
      <c r="M655" s="65" t="str">
        <f aca="false">IF($K655="Open",IF($C655="Conflict","Critical",IF($L655&gt;=DecisionCritical,"Critical",IF($L655&gt;=DecisionWarn,"Warning","On track"))),IF($K655="Unconfirmed",IF($L655&gt;=UnconfirmedWarn,"Warning","On track"),""))</f>
        <v/>
      </c>
      <c r="N655" s="65" t="str">
        <f aca="false">IF($M655="","",IF($M655="Critical",3000,IF($M655="Warning",2000,1000))+$L655+ROW()/100000)</f>
        <v/>
      </c>
      <c r="O655" s="65" t="str">
        <f aca="false">IF($K655="Open",IF($C655="Conflict","decide "&amp;$A655&amp;": &lt;which version stands&gt;","decide "&amp;$A655&amp;": &lt;outcome&gt;"),IF($K655="Unconfirmed","confirm "&amp;$A655,""))</f>
        <v/>
      </c>
      <c r="P655" s="65" t="str">
        <f aca="false">IF(AND($C655="New",$B655&gt;=WeekStart),$B655+ROW()/100000,"")</f>
        <v/>
      </c>
      <c r="Q655" s="65" t="str">
        <f aca="false">IF(AND($C655="Know",$B655&gt;=WeekStart),$B655+ROW()/100000,"")</f>
        <v/>
      </c>
      <c r="R655" s="65" t="str">
        <f aca="false">IF(AND($K655="Open",$C655="Decision"),$L655+ROW()/100000,"")</f>
        <v/>
      </c>
      <c r="S655" s="65" t="str">
        <f aca="false">IF(AND($J655&lt;&gt;"",$J655=UCSel),$B655+ROW()/100000,"")</f>
        <v/>
      </c>
    </row>
    <row r="656" customFormat="false" ht="15" hidden="false" customHeight="false" outlineLevel="0" collapsed="false">
      <c r="A656" s="28"/>
      <c r="B656" s="63"/>
      <c r="C656" s="64"/>
      <c r="D656" s="28"/>
      <c r="E656" s="28"/>
      <c r="F656" s="28"/>
      <c r="G656" s="64"/>
      <c r="H656" s="64"/>
      <c r="I656" s="28"/>
      <c r="J656" s="28"/>
      <c r="K656" s="65" t="str">
        <f aca="false">IF($A656="","",IF(OR($C656="Decision",$C656="Conflict"),IF(COUNTIFS($I$2:$I$1001,$A656,$C$2:$C$1001,"Resolved")=0,"Open","Closed"),IF(AND($H656="Unconfirmed",OR($C656="New",$C656="Know")),IF(COUNTIFS($I$2:$I$1001,$A656,$C$2:$C$1001,"Confirmed")=0,"Unconfirmed","Confirmed"),"Logged")))</f>
        <v/>
      </c>
      <c r="L656" s="65" t="str">
        <f aca="false">IF($A656="","",AsOf-$B656)</f>
        <v/>
      </c>
      <c r="M656" s="65" t="str">
        <f aca="false">IF($K656="Open",IF($C656="Conflict","Critical",IF($L656&gt;=DecisionCritical,"Critical",IF($L656&gt;=DecisionWarn,"Warning","On track"))),IF($K656="Unconfirmed",IF($L656&gt;=UnconfirmedWarn,"Warning","On track"),""))</f>
        <v/>
      </c>
      <c r="N656" s="65" t="str">
        <f aca="false">IF($M656="","",IF($M656="Critical",3000,IF($M656="Warning",2000,1000))+$L656+ROW()/100000)</f>
        <v/>
      </c>
      <c r="O656" s="65" t="str">
        <f aca="false">IF($K656="Open",IF($C656="Conflict","decide "&amp;$A656&amp;": &lt;which version stands&gt;","decide "&amp;$A656&amp;": &lt;outcome&gt;"),IF($K656="Unconfirmed","confirm "&amp;$A656,""))</f>
        <v/>
      </c>
      <c r="P656" s="65" t="str">
        <f aca="false">IF(AND($C656="New",$B656&gt;=WeekStart),$B656+ROW()/100000,"")</f>
        <v/>
      </c>
      <c r="Q656" s="65" t="str">
        <f aca="false">IF(AND($C656="Know",$B656&gt;=WeekStart),$B656+ROW()/100000,"")</f>
        <v/>
      </c>
      <c r="R656" s="65" t="str">
        <f aca="false">IF(AND($K656="Open",$C656="Decision"),$L656+ROW()/100000,"")</f>
        <v/>
      </c>
      <c r="S656" s="65" t="str">
        <f aca="false">IF(AND($J656&lt;&gt;"",$J656=UCSel),$B656+ROW()/100000,"")</f>
        <v/>
      </c>
    </row>
    <row r="657" customFormat="false" ht="15" hidden="false" customHeight="false" outlineLevel="0" collapsed="false">
      <c r="A657" s="28"/>
      <c r="B657" s="63"/>
      <c r="C657" s="64"/>
      <c r="D657" s="28"/>
      <c r="E657" s="28"/>
      <c r="F657" s="28"/>
      <c r="G657" s="64"/>
      <c r="H657" s="64"/>
      <c r="I657" s="28"/>
      <c r="J657" s="28"/>
      <c r="K657" s="65" t="str">
        <f aca="false">IF($A657="","",IF(OR($C657="Decision",$C657="Conflict"),IF(COUNTIFS($I$2:$I$1001,$A657,$C$2:$C$1001,"Resolved")=0,"Open","Closed"),IF(AND($H657="Unconfirmed",OR($C657="New",$C657="Know")),IF(COUNTIFS($I$2:$I$1001,$A657,$C$2:$C$1001,"Confirmed")=0,"Unconfirmed","Confirmed"),"Logged")))</f>
        <v/>
      </c>
      <c r="L657" s="65" t="str">
        <f aca="false">IF($A657="","",AsOf-$B657)</f>
        <v/>
      </c>
      <c r="M657" s="65" t="str">
        <f aca="false">IF($K657="Open",IF($C657="Conflict","Critical",IF($L657&gt;=DecisionCritical,"Critical",IF($L657&gt;=DecisionWarn,"Warning","On track"))),IF($K657="Unconfirmed",IF($L657&gt;=UnconfirmedWarn,"Warning","On track"),""))</f>
        <v/>
      </c>
      <c r="N657" s="65" t="str">
        <f aca="false">IF($M657="","",IF($M657="Critical",3000,IF($M657="Warning",2000,1000))+$L657+ROW()/100000)</f>
        <v/>
      </c>
      <c r="O657" s="65" t="str">
        <f aca="false">IF($K657="Open",IF($C657="Conflict","decide "&amp;$A657&amp;": &lt;which version stands&gt;","decide "&amp;$A657&amp;": &lt;outcome&gt;"),IF($K657="Unconfirmed","confirm "&amp;$A657,""))</f>
        <v/>
      </c>
      <c r="P657" s="65" t="str">
        <f aca="false">IF(AND($C657="New",$B657&gt;=WeekStart),$B657+ROW()/100000,"")</f>
        <v/>
      </c>
      <c r="Q657" s="65" t="str">
        <f aca="false">IF(AND($C657="Know",$B657&gt;=WeekStart),$B657+ROW()/100000,"")</f>
        <v/>
      </c>
      <c r="R657" s="65" t="str">
        <f aca="false">IF(AND($K657="Open",$C657="Decision"),$L657+ROW()/100000,"")</f>
        <v/>
      </c>
      <c r="S657" s="65" t="str">
        <f aca="false">IF(AND($J657&lt;&gt;"",$J657=UCSel),$B657+ROW()/100000,"")</f>
        <v/>
      </c>
    </row>
    <row r="658" customFormat="false" ht="15" hidden="false" customHeight="false" outlineLevel="0" collapsed="false">
      <c r="A658" s="28"/>
      <c r="B658" s="63"/>
      <c r="C658" s="64"/>
      <c r="D658" s="28"/>
      <c r="E658" s="28"/>
      <c r="F658" s="28"/>
      <c r="G658" s="64"/>
      <c r="H658" s="64"/>
      <c r="I658" s="28"/>
      <c r="J658" s="28"/>
      <c r="K658" s="65" t="str">
        <f aca="false">IF($A658="","",IF(OR($C658="Decision",$C658="Conflict"),IF(COUNTIFS($I$2:$I$1001,$A658,$C$2:$C$1001,"Resolved")=0,"Open","Closed"),IF(AND($H658="Unconfirmed",OR($C658="New",$C658="Know")),IF(COUNTIFS($I$2:$I$1001,$A658,$C$2:$C$1001,"Confirmed")=0,"Unconfirmed","Confirmed"),"Logged")))</f>
        <v/>
      </c>
      <c r="L658" s="65" t="str">
        <f aca="false">IF($A658="","",AsOf-$B658)</f>
        <v/>
      </c>
      <c r="M658" s="65" t="str">
        <f aca="false">IF($K658="Open",IF($C658="Conflict","Critical",IF($L658&gt;=DecisionCritical,"Critical",IF($L658&gt;=DecisionWarn,"Warning","On track"))),IF($K658="Unconfirmed",IF($L658&gt;=UnconfirmedWarn,"Warning","On track"),""))</f>
        <v/>
      </c>
      <c r="N658" s="65" t="str">
        <f aca="false">IF($M658="","",IF($M658="Critical",3000,IF($M658="Warning",2000,1000))+$L658+ROW()/100000)</f>
        <v/>
      </c>
      <c r="O658" s="65" t="str">
        <f aca="false">IF($K658="Open",IF($C658="Conflict","decide "&amp;$A658&amp;": &lt;which version stands&gt;","decide "&amp;$A658&amp;": &lt;outcome&gt;"),IF($K658="Unconfirmed","confirm "&amp;$A658,""))</f>
        <v/>
      </c>
      <c r="P658" s="65" t="str">
        <f aca="false">IF(AND($C658="New",$B658&gt;=WeekStart),$B658+ROW()/100000,"")</f>
        <v/>
      </c>
      <c r="Q658" s="65" t="str">
        <f aca="false">IF(AND($C658="Know",$B658&gt;=WeekStart),$B658+ROW()/100000,"")</f>
        <v/>
      </c>
      <c r="R658" s="65" t="str">
        <f aca="false">IF(AND($K658="Open",$C658="Decision"),$L658+ROW()/100000,"")</f>
        <v/>
      </c>
      <c r="S658" s="65" t="str">
        <f aca="false">IF(AND($J658&lt;&gt;"",$J658=UCSel),$B658+ROW()/100000,"")</f>
        <v/>
      </c>
    </row>
    <row r="659" customFormat="false" ht="15" hidden="false" customHeight="false" outlineLevel="0" collapsed="false">
      <c r="A659" s="28"/>
      <c r="B659" s="63"/>
      <c r="C659" s="64"/>
      <c r="D659" s="28"/>
      <c r="E659" s="28"/>
      <c r="F659" s="28"/>
      <c r="G659" s="64"/>
      <c r="H659" s="64"/>
      <c r="I659" s="28"/>
      <c r="J659" s="28"/>
      <c r="K659" s="65" t="str">
        <f aca="false">IF($A659="","",IF(OR($C659="Decision",$C659="Conflict"),IF(COUNTIFS($I$2:$I$1001,$A659,$C$2:$C$1001,"Resolved")=0,"Open","Closed"),IF(AND($H659="Unconfirmed",OR($C659="New",$C659="Know")),IF(COUNTIFS($I$2:$I$1001,$A659,$C$2:$C$1001,"Confirmed")=0,"Unconfirmed","Confirmed"),"Logged")))</f>
        <v/>
      </c>
      <c r="L659" s="65" t="str">
        <f aca="false">IF($A659="","",AsOf-$B659)</f>
        <v/>
      </c>
      <c r="M659" s="65" t="str">
        <f aca="false">IF($K659="Open",IF($C659="Conflict","Critical",IF($L659&gt;=DecisionCritical,"Critical",IF($L659&gt;=DecisionWarn,"Warning","On track"))),IF($K659="Unconfirmed",IF($L659&gt;=UnconfirmedWarn,"Warning","On track"),""))</f>
        <v/>
      </c>
      <c r="N659" s="65" t="str">
        <f aca="false">IF($M659="","",IF($M659="Critical",3000,IF($M659="Warning",2000,1000))+$L659+ROW()/100000)</f>
        <v/>
      </c>
      <c r="O659" s="65" t="str">
        <f aca="false">IF($K659="Open",IF($C659="Conflict","decide "&amp;$A659&amp;": &lt;which version stands&gt;","decide "&amp;$A659&amp;": &lt;outcome&gt;"),IF($K659="Unconfirmed","confirm "&amp;$A659,""))</f>
        <v/>
      </c>
      <c r="P659" s="65" t="str">
        <f aca="false">IF(AND($C659="New",$B659&gt;=WeekStart),$B659+ROW()/100000,"")</f>
        <v/>
      </c>
      <c r="Q659" s="65" t="str">
        <f aca="false">IF(AND($C659="Know",$B659&gt;=WeekStart),$B659+ROW()/100000,"")</f>
        <v/>
      </c>
      <c r="R659" s="65" t="str">
        <f aca="false">IF(AND($K659="Open",$C659="Decision"),$L659+ROW()/100000,"")</f>
        <v/>
      </c>
      <c r="S659" s="65" t="str">
        <f aca="false">IF(AND($J659&lt;&gt;"",$J659=UCSel),$B659+ROW()/100000,"")</f>
        <v/>
      </c>
    </row>
    <row r="660" customFormat="false" ht="15" hidden="false" customHeight="false" outlineLevel="0" collapsed="false">
      <c r="A660" s="28"/>
      <c r="B660" s="63"/>
      <c r="C660" s="64"/>
      <c r="D660" s="28"/>
      <c r="E660" s="28"/>
      <c r="F660" s="28"/>
      <c r="G660" s="64"/>
      <c r="H660" s="64"/>
      <c r="I660" s="28"/>
      <c r="J660" s="28"/>
      <c r="K660" s="65" t="str">
        <f aca="false">IF($A660="","",IF(OR($C660="Decision",$C660="Conflict"),IF(COUNTIFS($I$2:$I$1001,$A660,$C$2:$C$1001,"Resolved")=0,"Open","Closed"),IF(AND($H660="Unconfirmed",OR($C660="New",$C660="Know")),IF(COUNTIFS($I$2:$I$1001,$A660,$C$2:$C$1001,"Confirmed")=0,"Unconfirmed","Confirmed"),"Logged")))</f>
        <v/>
      </c>
      <c r="L660" s="65" t="str">
        <f aca="false">IF($A660="","",AsOf-$B660)</f>
        <v/>
      </c>
      <c r="M660" s="65" t="str">
        <f aca="false">IF($K660="Open",IF($C660="Conflict","Critical",IF($L660&gt;=DecisionCritical,"Critical",IF($L660&gt;=DecisionWarn,"Warning","On track"))),IF($K660="Unconfirmed",IF($L660&gt;=UnconfirmedWarn,"Warning","On track"),""))</f>
        <v/>
      </c>
      <c r="N660" s="65" t="str">
        <f aca="false">IF($M660="","",IF($M660="Critical",3000,IF($M660="Warning",2000,1000))+$L660+ROW()/100000)</f>
        <v/>
      </c>
      <c r="O660" s="65" t="str">
        <f aca="false">IF($K660="Open",IF($C660="Conflict","decide "&amp;$A660&amp;": &lt;which version stands&gt;","decide "&amp;$A660&amp;": &lt;outcome&gt;"),IF($K660="Unconfirmed","confirm "&amp;$A660,""))</f>
        <v/>
      </c>
      <c r="P660" s="65" t="str">
        <f aca="false">IF(AND($C660="New",$B660&gt;=WeekStart),$B660+ROW()/100000,"")</f>
        <v/>
      </c>
      <c r="Q660" s="65" t="str">
        <f aca="false">IF(AND($C660="Know",$B660&gt;=WeekStart),$B660+ROW()/100000,"")</f>
        <v/>
      </c>
      <c r="R660" s="65" t="str">
        <f aca="false">IF(AND($K660="Open",$C660="Decision"),$L660+ROW()/100000,"")</f>
        <v/>
      </c>
      <c r="S660" s="65" t="str">
        <f aca="false">IF(AND($J660&lt;&gt;"",$J660=UCSel),$B660+ROW()/100000,"")</f>
        <v/>
      </c>
    </row>
    <row r="661" customFormat="false" ht="15" hidden="false" customHeight="false" outlineLevel="0" collapsed="false">
      <c r="A661" s="28"/>
      <c r="B661" s="63"/>
      <c r="C661" s="64"/>
      <c r="D661" s="28"/>
      <c r="E661" s="28"/>
      <c r="F661" s="28"/>
      <c r="G661" s="64"/>
      <c r="H661" s="64"/>
      <c r="I661" s="28"/>
      <c r="J661" s="28"/>
      <c r="K661" s="65" t="str">
        <f aca="false">IF($A661="","",IF(OR($C661="Decision",$C661="Conflict"),IF(COUNTIFS($I$2:$I$1001,$A661,$C$2:$C$1001,"Resolved")=0,"Open","Closed"),IF(AND($H661="Unconfirmed",OR($C661="New",$C661="Know")),IF(COUNTIFS($I$2:$I$1001,$A661,$C$2:$C$1001,"Confirmed")=0,"Unconfirmed","Confirmed"),"Logged")))</f>
        <v/>
      </c>
      <c r="L661" s="65" t="str">
        <f aca="false">IF($A661="","",AsOf-$B661)</f>
        <v/>
      </c>
      <c r="M661" s="65" t="str">
        <f aca="false">IF($K661="Open",IF($C661="Conflict","Critical",IF($L661&gt;=DecisionCritical,"Critical",IF($L661&gt;=DecisionWarn,"Warning","On track"))),IF($K661="Unconfirmed",IF($L661&gt;=UnconfirmedWarn,"Warning","On track"),""))</f>
        <v/>
      </c>
      <c r="N661" s="65" t="str">
        <f aca="false">IF($M661="","",IF($M661="Critical",3000,IF($M661="Warning",2000,1000))+$L661+ROW()/100000)</f>
        <v/>
      </c>
      <c r="O661" s="65" t="str">
        <f aca="false">IF($K661="Open",IF($C661="Conflict","decide "&amp;$A661&amp;": &lt;which version stands&gt;","decide "&amp;$A661&amp;": &lt;outcome&gt;"),IF($K661="Unconfirmed","confirm "&amp;$A661,""))</f>
        <v/>
      </c>
      <c r="P661" s="65" t="str">
        <f aca="false">IF(AND($C661="New",$B661&gt;=WeekStart),$B661+ROW()/100000,"")</f>
        <v/>
      </c>
      <c r="Q661" s="65" t="str">
        <f aca="false">IF(AND($C661="Know",$B661&gt;=WeekStart),$B661+ROW()/100000,"")</f>
        <v/>
      </c>
      <c r="R661" s="65" t="str">
        <f aca="false">IF(AND($K661="Open",$C661="Decision"),$L661+ROW()/100000,"")</f>
        <v/>
      </c>
      <c r="S661" s="65" t="str">
        <f aca="false">IF(AND($J661&lt;&gt;"",$J661=UCSel),$B661+ROW()/100000,"")</f>
        <v/>
      </c>
    </row>
    <row r="662" customFormat="false" ht="15" hidden="false" customHeight="false" outlineLevel="0" collapsed="false">
      <c r="A662" s="28"/>
      <c r="B662" s="63"/>
      <c r="C662" s="64"/>
      <c r="D662" s="28"/>
      <c r="E662" s="28"/>
      <c r="F662" s="28"/>
      <c r="G662" s="64"/>
      <c r="H662" s="64"/>
      <c r="I662" s="28"/>
      <c r="J662" s="28"/>
      <c r="K662" s="65" t="str">
        <f aca="false">IF($A662="","",IF(OR($C662="Decision",$C662="Conflict"),IF(COUNTIFS($I$2:$I$1001,$A662,$C$2:$C$1001,"Resolved")=0,"Open","Closed"),IF(AND($H662="Unconfirmed",OR($C662="New",$C662="Know")),IF(COUNTIFS($I$2:$I$1001,$A662,$C$2:$C$1001,"Confirmed")=0,"Unconfirmed","Confirmed"),"Logged")))</f>
        <v/>
      </c>
      <c r="L662" s="65" t="str">
        <f aca="false">IF($A662="","",AsOf-$B662)</f>
        <v/>
      </c>
      <c r="M662" s="65" t="str">
        <f aca="false">IF($K662="Open",IF($C662="Conflict","Critical",IF($L662&gt;=DecisionCritical,"Critical",IF($L662&gt;=DecisionWarn,"Warning","On track"))),IF($K662="Unconfirmed",IF($L662&gt;=UnconfirmedWarn,"Warning","On track"),""))</f>
        <v/>
      </c>
      <c r="N662" s="65" t="str">
        <f aca="false">IF($M662="","",IF($M662="Critical",3000,IF($M662="Warning",2000,1000))+$L662+ROW()/100000)</f>
        <v/>
      </c>
      <c r="O662" s="65" t="str">
        <f aca="false">IF($K662="Open",IF($C662="Conflict","decide "&amp;$A662&amp;": &lt;which version stands&gt;","decide "&amp;$A662&amp;": &lt;outcome&gt;"),IF($K662="Unconfirmed","confirm "&amp;$A662,""))</f>
        <v/>
      </c>
      <c r="P662" s="65" t="str">
        <f aca="false">IF(AND($C662="New",$B662&gt;=WeekStart),$B662+ROW()/100000,"")</f>
        <v/>
      </c>
      <c r="Q662" s="65" t="str">
        <f aca="false">IF(AND($C662="Know",$B662&gt;=WeekStart),$B662+ROW()/100000,"")</f>
        <v/>
      </c>
      <c r="R662" s="65" t="str">
        <f aca="false">IF(AND($K662="Open",$C662="Decision"),$L662+ROW()/100000,"")</f>
        <v/>
      </c>
      <c r="S662" s="65" t="str">
        <f aca="false">IF(AND($J662&lt;&gt;"",$J662=UCSel),$B662+ROW()/100000,"")</f>
        <v/>
      </c>
    </row>
    <row r="663" customFormat="false" ht="15" hidden="false" customHeight="false" outlineLevel="0" collapsed="false">
      <c r="A663" s="28"/>
      <c r="B663" s="63"/>
      <c r="C663" s="64"/>
      <c r="D663" s="28"/>
      <c r="E663" s="28"/>
      <c r="F663" s="28"/>
      <c r="G663" s="64"/>
      <c r="H663" s="64"/>
      <c r="I663" s="28"/>
      <c r="J663" s="28"/>
      <c r="K663" s="65" t="str">
        <f aca="false">IF($A663="","",IF(OR($C663="Decision",$C663="Conflict"),IF(COUNTIFS($I$2:$I$1001,$A663,$C$2:$C$1001,"Resolved")=0,"Open","Closed"),IF(AND($H663="Unconfirmed",OR($C663="New",$C663="Know")),IF(COUNTIFS($I$2:$I$1001,$A663,$C$2:$C$1001,"Confirmed")=0,"Unconfirmed","Confirmed"),"Logged")))</f>
        <v/>
      </c>
      <c r="L663" s="65" t="str">
        <f aca="false">IF($A663="","",AsOf-$B663)</f>
        <v/>
      </c>
      <c r="M663" s="65" t="str">
        <f aca="false">IF($K663="Open",IF($C663="Conflict","Critical",IF($L663&gt;=DecisionCritical,"Critical",IF($L663&gt;=DecisionWarn,"Warning","On track"))),IF($K663="Unconfirmed",IF($L663&gt;=UnconfirmedWarn,"Warning","On track"),""))</f>
        <v/>
      </c>
      <c r="N663" s="65" t="str">
        <f aca="false">IF($M663="","",IF($M663="Critical",3000,IF($M663="Warning",2000,1000))+$L663+ROW()/100000)</f>
        <v/>
      </c>
      <c r="O663" s="65" t="str">
        <f aca="false">IF($K663="Open",IF($C663="Conflict","decide "&amp;$A663&amp;": &lt;which version stands&gt;","decide "&amp;$A663&amp;": &lt;outcome&gt;"),IF($K663="Unconfirmed","confirm "&amp;$A663,""))</f>
        <v/>
      </c>
      <c r="P663" s="65" t="str">
        <f aca="false">IF(AND($C663="New",$B663&gt;=WeekStart),$B663+ROW()/100000,"")</f>
        <v/>
      </c>
      <c r="Q663" s="65" t="str">
        <f aca="false">IF(AND($C663="Know",$B663&gt;=WeekStart),$B663+ROW()/100000,"")</f>
        <v/>
      </c>
      <c r="R663" s="65" t="str">
        <f aca="false">IF(AND($K663="Open",$C663="Decision"),$L663+ROW()/100000,"")</f>
        <v/>
      </c>
      <c r="S663" s="65" t="str">
        <f aca="false">IF(AND($J663&lt;&gt;"",$J663=UCSel),$B663+ROW()/100000,"")</f>
        <v/>
      </c>
    </row>
    <row r="664" customFormat="false" ht="15" hidden="false" customHeight="false" outlineLevel="0" collapsed="false">
      <c r="A664" s="28"/>
      <c r="B664" s="63"/>
      <c r="C664" s="64"/>
      <c r="D664" s="28"/>
      <c r="E664" s="28"/>
      <c r="F664" s="28"/>
      <c r="G664" s="64"/>
      <c r="H664" s="64"/>
      <c r="I664" s="28"/>
      <c r="J664" s="28"/>
      <c r="K664" s="65" t="str">
        <f aca="false">IF($A664="","",IF(OR($C664="Decision",$C664="Conflict"),IF(COUNTIFS($I$2:$I$1001,$A664,$C$2:$C$1001,"Resolved")=0,"Open","Closed"),IF(AND($H664="Unconfirmed",OR($C664="New",$C664="Know")),IF(COUNTIFS($I$2:$I$1001,$A664,$C$2:$C$1001,"Confirmed")=0,"Unconfirmed","Confirmed"),"Logged")))</f>
        <v/>
      </c>
      <c r="L664" s="65" t="str">
        <f aca="false">IF($A664="","",AsOf-$B664)</f>
        <v/>
      </c>
      <c r="M664" s="65" t="str">
        <f aca="false">IF($K664="Open",IF($C664="Conflict","Critical",IF($L664&gt;=DecisionCritical,"Critical",IF($L664&gt;=DecisionWarn,"Warning","On track"))),IF($K664="Unconfirmed",IF($L664&gt;=UnconfirmedWarn,"Warning","On track"),""))</f>
        <v/>
      </c>
      <c r="N664" s="65" t="str">
        <f aca="false">IF($M664="","",IF($M664="Critical",3000,IF($M664="Warning",2000,1000))+$L664+ROW()/100000)</f>
        <v/>
      </c>
      <c r="O664" s="65" t="str">
        <f aca="false">IF($K664="Open",IF($C664="Conflict","decide "&amp;$A664&amp;": &lt;which version stands&gt;","decide "&amp;$A664&amp;": &lt;outcome&gt;"),IF($K664="Unconfirmed","confirm "&amp;$A664,""))</f>
        <v/>
      </c>
      <c r="P664" s="65" t="str">
        <f aca="false">IF(AND($C664="New",$B664&gt;=WeekStart),$B664+ROW()/100000,"")</f>
        <v/>
      </c>
      <c r="Q664" s="65" t="str">
        <f aca="false">IF(AND($C664="Know",$B664&gt;=WeekStart),$B664+ROW()/100000,"")</f>
        <v/>
      </c>
      <c r="R664" s="65" t="str">
        <f aca="false">IF(AND($K664="Open",$C664="Decision"),$L664+ROW()/100000,"")</f>
        <v/>
      </c>
      <c r="S664" s="65" t="str">
        <f aca="false">IF(AND($J664&lt;&gt;"",$J664=UCSel),$B664+ROW()/100000,"")</f>
        <v/>
      </c>
    </row>
    <row r="665" customFormat="false" ht="15" hidden="false" customHeight="false" outlineLevel="0" collapsed="false">
      <c r="A665" s="28"/>
      <c r="B665" s="63"/>
      <c r="C665" s="64"/>
      <c r="D665" s="28"/>
      <c r="E665" s="28"/>
      <c r="F665" s="28"/>
      <c r="G665" s="64"/>
      <c r="H665" s="64"/>
      <c r="I665" s="28"/>
      <c r="J665" s="28"/>
      <c r="K665" s="65" t="str">
        <f aca="false">IF($A665="","",IF(OR($C665="Decision",$C665="Conflict"),IF(COUNTIFS($I$2:$I$1001,$A665,$C$2:$C$1001,"Resolved")=0,"Open","Closed"),IF(AND($H665="Unconfirmed",OR($C665="New",$C665="Know")),IF(COUNTIFS($I$2:$I$1001,$A665,$C$2:$C$1001,"Confirmed")=0,"Unconfirmed","Confirmed"),"Logged")))</f>
        <v/>
      </c>
      <c r="L665" s="65" t="str">
        <f aca="false">IF($A665="","",AsOf-$B665)</f>
        <v/>
      </c>
      <c r="M665" s="65" t="str">
        <f aca="false">IF($K665="Open",IF($C665="Conflict","Critical",IF($L665&gt;=DecisionCritical,"Critical",IF($L665&gt;=DecisionWarn,"Warning","On track"))),IF($K665="Unconfirmed",IF($L665&gt;=UnconfirmedWarn,"Warning","On track"),""))</f>
        <v/>
      </c>
      <c r="N665" s="65" t="str">
        <f aca="false">IF($M665="","",IF($M665="Critical",3000,IF($M665="Warning",2000,1000))+$L665+ROW()/100000)</f>
        <v/>
      </c>
      <c r="O665" s="65" t="str">
        <f aca="false">IF($K665="Open",IF($C665="Conflict","decide "&amp;$A665&amp;": &lt;which version stands&gt;","decide "&amp;$A665&amp;": &lt;outcome&gt;"),IF($K665="Unconfirmed","confirm "&amp;$A665,""))</f>
        <v/>
      </c>
      <c r="P665" s="65" t="str">
        <f aca="false">IF(AND($C665="New",$B665&gt;=WeekStart),$B665+ROW()/100000,"")</f>
        <v/>
      </c>
      <c r="Q665" s="65" t="str">
        <f aca="false">IF(AND($C665="Know",$B665&gt;=WeekStart),$B665+ROW()/100000,"")</f>
        <v/>
      </c>
      <c r="R665" s="65" t="str">
        <f aca="false">IF(AND($K665="Open",$C665="Decision"),$L665+ROW()/100000,"")</f>
        <v/>
      </c>
      <c r="S665" s="65" t="str">
        <f aca="false">IF(AND($J665&lt;&gt;"",$J665=UCSel),$B665+ROW()/100000,"")</f>
        <v/>
      </c>
    </row>
    <row r="666" customFormat="false" ht="15" hidden="false" customHeight="false" outlineLevel="0" collapsed="false">
      <c r="A666" s="28"/>
      <c r="B666" s="63"/>
      <c r="C666" s="64"/>
      <c r="D666" s="28"/>
      <c r="E666" s="28"/>
      <c r="F666" s="28"/>
      <c r="G666" s="64"/>
      <c r="H666" s="64"/>
      <c r="I666" s="28"/>
      <c r="J666" s="28"/>
      <c r="K666" s="65" t="str">
        <f aca="false">IF($A666="","",IF(OR($C666="Decision",$C666="Conflict"),IF(COUNTIFS($I$2:$I$1001,$A666,$C$2:$C$1001,"Resolved")=0,"Open","Closed"),IF(AND($H666="Unconfirmed",OR($C666="New",$C666="Know")),IF(COUNTIFS($I$2:$I$1001,$A666,$C$2:$C$1001,"Confirmed")=0,"Unconfirmed","Confirmed"),"Logged")))</f>
        <v/>
      </c>
      <c r="L666" s="65" t="str">
        <f aca="false">IF($A666="","",AsOf-$B666)</f>
        <v/>
      </c>
      <c r="M666" s="65" t="str">
        <f aca="false">IF($K666="Open",IF($C666="Conflict","Critical",IF($L666&gt;=DecisionCritical,"Critical",IF($L666&gt;=DecisionWarn,"Warning","On track"))),IF($K666="Unconfirmed",IF($L666&gt;=UnconfirmedWarn,"Warning","On track"),""))</f>
        <v/>
      </c>
      <c r="N666" s="65" t="str">
        <f aca="false">IF($M666="","",IF($M666="Critical",3000,IF($M666="Warning",2000,1000))+$L666+ROW()/100000)</f>
        <v/>
      </c>
      <c r="O666" s="65" t="str">
        <f aca="false">IF($K666="Open",IF($C666="Conflict","decide "&amp;$A666&amp;": &lt;which version stands&gt;","decide "&amp;$A666&amp;": &lt;outcome&gt;"),IF($K666="Unconfirmed","confirm "&amp;$A666,""))</f>
        <v/>
      </c>
      <c r="P666" s="65" t="str">
        <f aca="false">IF(AND($C666="New",$B666&gt;=WeekStart),$B666+ROW()/100000,"")</f>
        <v/>
      </c>
      <c r="Q666" s="65" t="str">
        <f aca="false">IF(AND($C666="Know",$B666&gt;=WeekStart),$B666+ROW()/100000,"")</f>
        <v/>
      </c>
      <c r="R666" s="65" t="str">
        <f aca="false">IF(AND($K666="Open",$C666="Decision"),$L666+ROW()/100000,"")</f>
        <v/>
      </c>
      <c r="S666" s="65" t="str">
        <f aca="false">IF(AND($J666&lt;&gt;"",$J666=UCSel),$B666+ROW()/100000,"")</f>
        <v/>
      </c>
    </row>
    <row r="667" customFormat="false" ht="15" hidden="false" customHeight="false" outlineLevel="0" collapsed="false">
      <c r="A667" s="28"/>
      <c r="B667" s="63"/>
      <c r="C667" s="64"/>
      <c r="D667" s="28"/>
      <c r="E667" s="28"/>
      <c r="F667" s="28"/>
      <c r="G667" s="64"/>
      <c r="H667" s="64"/>
      <c r="I667" s="28"/>
      <c r="J667" s="28"/>
      <c r="K667" s="65" t="str">
        <f aca="false">IF($A667="","",IF(OR($C667="Decision",$C667="Conflict"),IF(COUNTIFS($I$2:$I$1001,$A667,$C$2:$C$1001,"Resolved")=0,"Open","Closed"),IF(AND($H667="Unconfirmed",OR($C667="New",$C667="Know")),IF(COUNTIFS($I$2:$I$1001,$A667,$C$2:$C$1001,"Confirmed")=0,"Unconfirmed","Confirmed"),"Logged")))</f>
        <v/>
      </c>
      <c r="L667" s="65" t="str">
        <f aca="false">IF($A667="","",AsOf-$B667)</f>
        <v/>
      </c>
      <c r="M667" s="65" t="str">
        <f aca="false">IF($K667="Open",IF($C667="Conflict","Critical",IF($L667&gt;=DecisionCritical,"Critical",IF($L667&gt;=DecisionWarn,"Warning","On track"))),IF($K667="Unconfirmed",IF($L667&gt;=UnconfirmedWarn,"Warning","On track"),""))</f>
        <v/>
      </c>
      <c r="N667" s="65" t="str">
        <f aca="false">IF($M667="","",IF($M667="Critical",3000,IF($M667="Warning",2000,1000))+$L667+ROW()/100000)</f>
        <v/>
      </c>
      <c r="O667" s="65" t="str">
        <f aca="false">IF($K667="Open",IF($C667="Conflict","decide "&amp;$A667&amp;": &lt;which version stands&gt;","decide "&amp;$A667&amp;": &lt;outcome&gt;"),IF($K667="Unconfirmed","confirm "&amp;$A667,""))</f>
        <v/>
      </c>
      <c r="P667" s="65" t="str">
        <f aca="false">IF(AND($C667="New",$B667&gt;=WeekStart),$B667+ROW()/100000,"")</f>
        <v/>
      </c>
      <c r="Q667" s="65" t="str">
        <f aca="false">IF(AND($C667="Know",$B667&gt;=WeekStart),$B667+ROW()/100000,"")</f>
        <v/>
      </c>
      <c r="R667" s="65" t="str">
        <f aca="false">IF(AND($K667="Open",$C667="Decision"),$L667+ROW()/100000,"")</f>
        <v/>
      </c>
      <c r="S667" s="65" t="str">
        <f aca="false">IF(AND($J667&lt;&gt;"",$J667=UCSel),$B667+ROW()/100000,"")</f>
        <v/>
      </c>
    </row>
    <row r="668" customFormat="false" ht="15" hidden="false" customHeight="false" outlineLevel="0" collapsed="false">
      <c r="A668" s="28"/>
      <c r="B668" s="63"/>
      <c r="C668" s="64"/>
      <c r="D668" s="28"/>
      <c r="E668" s="28"/>
      <c r="F668" s="28"/>
      <c r="G668" s="64"/>
      <c r="H668" s="64"/>
      <c r="I668" s="28"/>
      <c r="J668" s="28"/>
      <c r="K668" s="65" t="str">
        <f aca="false">IF($A668="","",IF(OR($C668="Decision",$C668="Conflict"),IF(COUNTIFS($I$2:$I$1001,$A668,$C$2:$C$1001,"Resolved")=0,"Open","Closed"),IF(AND($H668="Unconfirmed",OR($C668="New",$C668="Know")),IF(COUNTIFS($I$2:$I$1001,$A668,$C$2:$C$1001,"Confirmed")=0,"Unconfirmed","Confirmed"),"Logged")))</f>
        <v/>
      </c>
      <c r="L668" s="65" t="str">
        <f aca="false">IF($A668="","",AsOf-$B668)</f>
        <v/>
      </c>
      <c r="M668" s="65" t="str">
        <f aca="false">IF($K668="Open",IF($C668="Conflict","Critical",IF($L668&gt;=DecisionCritical,"Critical",IF($L668&gt;=DecisionWarn,"Warning","On track"))),IF($K668="Unconfirmed",IF($L668&gt;=UnconfirmedWarn,"Warning","On track"),""))</f>
        <v/>
      </c>
      <c r="N668" s="65" t="str">
        <f aca="false">IF($M668="","",IF($M668="Critical",3000,IF($M668="Warning",2000,1000))+$L668+ROW()/100000)</f>
        <v/>
      </c>
      <c r="O668" s="65" t="str">
        <f aca="false">IF($K668="Open",IF($C668="Conflict","decide "&amp;$A668&amp;": &lt;which version stands&gt;","decide "&amp;$A668&amp;": &lt;outcome&gt;"),IF($K668="Unconfirmed","confirm "&amp;$A668,""))</f>
        <v/>
      </c>
      <c r="P668" s="65" t="str">
        <f aca="false">IF(AND($C668="New",$B668&gt;=WeekStart),$B668+ROW()/100000,"")</f>
        <v/>
      </c>
      <c r="Q668" s="65" t="str">
        <f aca="false">IF(AND($C668="Know",$B668&gt;=WeekStart),$B668+ROW()/100000,"")</f>
        <v/>
      </c>
      <c r="R668" s="65" t="str">
        <f aca="false">IF(AND($K668="Open",$C668="Decision"),$L668+ROW()/100000,"")</f>
        <v/>
      </c>
      <c r="S668" s="65" t="str">
        <f aca="false">IF(AND($J668&lt;&gt;"",$J668=UCSel),$B668+ROW()/100000,"")</f>
        <v/>
      </c>
    </row>
    <row r="669" customFormat="false" ht="15" hidden="false" customHeight="false" outlineLevel="0" collapsed="false">
      <c r="A669" s="28"/>
      <c r="B669" s="63"/>
      <c r="C669" s="64"/>
      <c r="D669" s="28"/>
      <c r="E669" s="28"/>
      <c r="F669" s="28"/>
      <c r="G669" s="64"/>
      <c r="H669" s="64"/>
      <c r="I669" s="28"/>
      <c r="J669" s="28"/>
      <c r="K669" s="65" t="str">
        <f aca="false">IF($A669="","",IF(OR($C669="Decision",$C669="Conflict"),IF(COUNTIFS($I$2:$I$1001,$A669,$C$2:$C$1001,"Resolved")=0,"Open","Closed"),IF(AND($H669="Unconfirmed",OR($C669="New",$C669="Know")),IF(COUNTIFS($I$2:$I$1001,$A669,$C$2:$C$1001,"Confirmed")=0,"Unconfirmed","Confirmed"),"Logged")))</f>
        <v/>
      </c>
      <c r="L669" s="65" t="str">
        <f aca="false">IF($A669="","",AsOf-$B669)</f>
        <v/>
      </c>
      <c r="M669" s="65" t="str">
        <f aca="false">IF($K669="Open",IF($C669="Conflict","Critical",IF($L669&gt;=DecisionCritical,"Critical",IF($L669&gt;=DecisionWarn,"Warning","On track"))),IF($K669="Unconfirmed",IF($L669&gt;=UnconfirmedWarn,"Warning","On track"),""))</f>
        <v/>
      </c>
      <c r="N669" s="65" t="str">
        <f aca="false">IF($M669="","",IF($M669="Critical",3000,IF($M669="Warning",2000,1000))+$L669+ROW()/100000)</f>
        <v/>
      </c>
      <c r="O669" s="65" t="str">
        <f aca="false">IF($K669="Open",IF($C669="Conflict","decide "&amp;$A669&amp;": &lt;which version stands&gt;","decide "&amp;$A669&amp;": &lt;outcome&gt;"),IF($K669="Unconfirmed","confirm "&amp;$A669,""))</f>
        <v/>
      </c>
      <c r="P669" s="65" t="str">
        <f aca="false">IF(AND($C669="New",$B669&gt;=WeekStart),$B669+ROW()/100000,"")</f>
        <v/>
      </c>
      <c r="Q669" s="65" t="str">
        <f aca="false">IF(AND($C669="Know",$B669&gt;=WeekStart),$B669+ROW()/100000,"")</f>
        <v/>
      </c>
      <c r="R669" s="65" t="str">
        <f aca="false">IF(AND($K669="Open",$C669="Decision"),$L669+ROW()/100000,"")</f>
        <v/>
      </c>
      <c r="S669" s="65" t="str">
        <f aca="false">IF(AND($J669&lt;&gt;"",$J669=UCSel),$B669+ROW()/100000,"")</f>
        <v/>
      </c>
    </row>
    <row r="670" customFormat="false" ht="15" hidden="false" customHeight="false" outlineLevel="0" collapsed="false">
      <c r="A670" s="28"/>
      <c r="B670" s="63"/>
      <c r="C670" s="64"/>
      <c r="D670" s="28"/>
      <c r="E670" s="28"/>
      <c r="F670" s="28"/>
      <c r="G670" s="64"/>
      <c r="H670" s="64"/>
      <c r="I670" s="28"/>
      <c r="J670" s="28"/>
      <c r="K670" s="65" t="str">
        <f aca="false">IF($A670="","",IF(OR($C670="Decision",$C670="Conflict"),IF(COUNTIFS($I$2:$I$1001,$A670,$C$2:$C$1001,"Resolved")=0,"Open","Closed"),IF(AND($H670="Unconfirmed",OR($C670="New",$C670="Know")),IF(COUNTIFS($I$2:$I$1001,$A670,$C$2:$C$1001,"Confirmed")=0,"Unconfirmed","Confirmed"),"Logged")))</f>
        <v/>
      </c>
      <c r="L670" s="65" t="str">
        <f aca="false">IF($A670="","",AsOf-$B670)</f>
        <v/>
      </c>
      <c r="M670" s="65" t="str">
        <f aca="false">IF($K670="Open",IF($C670="Conflict","Critical",IF($L670&gt;=DecisionCritical,"Critical",IF($L670&gt;=DecisionWarn,"Warning","On track"))),IF($K670="Unconfirmed",IF($L670&gt;=UnconfirmedWarn,"Warning","On track"),""))</f>
        <v/>
      </c>
      <c r="N670" s="65" t="str">
        <f aca="false">IF($M670="","",IF($M670="Critical",3000,IF($M670="Warning",2000,1000))+$L670+ROW()/100000)</f>
        <v/>
      </c>
      <c r="O670" s="65" t="str">
        <f aca="false">IF($K670="Open",IF($C670="Conflict","decide "&amp;$A670&amp;": &lt;which version stands&gt;","decide "&amp;$A670&amp;": &lt;outcome&gt;"),IF($K670="Unconfirmed","confirm "&amp;$A670,""))</f>
        <v/>
      </c>
      <c r="P670" s="65" t="str">
        <f aca="false">IF(AND($C670="New",$B670&gt;=WeekStart),$B670+ROW()/100000,"")</f>
        <v/>
      </c>
      <c r="Q670" s="65" t="str">
        <f aca="false">IF(AND($C670="Know",$B670&gt;=WeekStart),$B670+ROW()/100000,"")</f>
        <v/>
      </c>
      <c r="R670" s="65" t="str">
        <f aca="false">IF(AND($K670="Open",$C670="Decision"),$L670+ROW()/100000,"")</f>
        <v/>
      </c>
      <c r="S670" s="65" t="str">
        <f aca="false">IF(AND($J670&lt;&gt;"",$J670=UCSel),$B670+ROW()/100000,"")</f>
        <v/>
      </c>
    </row>
    <row r="671" customFormat="false" ht="15" hidden="false" customHeight="false" outlineLevel="0" collapsed="false">
      <c r="A671" s="28"/>
      <c r="B671" s="63"/>
      <c r="C671" s="64"/>
      <c r="D671" s="28"/>
      <c r="E671" s="28"/>
      <c r="F671" s="28"/>
      <c r="G671" s="64"/>
      <c r="H671" s="64"/>
      <c r="I671" s="28"/>
      <c r="J671" s="28"/>
      <c r="K671" s="65" t="str">
        <f aca="false">IF($A671="","",IF(OR($C671="Decision",$C671="Conflict"),IF(COUNTIFS($I$2:$I$1001,$A671,$C$2:$C$1001,"Resolved")=0,"Open","Closed"),IF(AND($H671="Unconfirmed",OR($C671="New",$C671="Know")),IF(COUNTIFS($I$2:$I$1001,$A671,$C$2:$C$1001,"Confirmed")=0,"Unconfirmed","Confirmed"),"Logged")))</f>
        <v/>
      </c>
      <c r="L671" s="65" t="str">
        <f aca="false">IF($A671="","",AsOf-$B671)</f>
        <v/>
      </c>
      <c r="M671" s="65" t="str">
        <f aca="false">IF($K671="Open",IF($C671="Conflict","Critical",IF($L671&gt;=DecisionCritical,"Critical",IF($L671&gt;=DecisionWarn,"Warning","On track"))),IF($K671="Unconfirmed",IF($L671&gt;=UnconfirmedWarn,"Warning","On track"),""))</f>
        <v/>
      </c>
      <c r="N671" s="65" t="str">
        <f aca="false">IF($M671="","",IF($M671="Critical",3000,IF($M671="Warning",2000,1000))+$L671+ROW()/100000)</f>
        <v/>
      </c>
      <c r="O671" s="65" t="str">
        <f aca="false">IF($K671="Open",IF($C671="Conflict","decide "&amp;$A671&amp;": &lt;which version stands&gt;","decide "&amp;$A671&amp;": &lt;outcome&gt;"),IF($K671="Unconfirmed","confirm "&amp;$A671,""))</f>
        <v/>
      </c>
      <c r="P671" s="65" t="str">
        <f aca="false">IF(AND($C671="New",$B671&gt;=WeekStart),$B671+ROW()/100000,"")</f>
        <v/>
      </c>
      <c r="Q671" s="65" t="str">
        <f aca="false">IF(AND($C671="Know",$B671&gt;=WeekStart),$B671+ROW()/100000,"")</f>
        <v/>
      </c>
      <c r="R671" s="65" t="str">
        <f aca="false">IF(AND($K671="Open",$C671="Decision"),$L671+ROW()/100000,"")</f>
        <v/>
      </c>
      <c r="S671" s="65" t="str">
        <f aca="false">IF(AND($J671&lt;&gt;"",$J671=UCSel),$B671+ROW()/100000,"")</f>
        <v/>
      </c>
    </row>
    <row r="672" customFormat="false" ht="15" hidden="false" customHeight="false" outlineLevel="0" collapsed="false">
      <c r="A672" s="28"/>
      <c r="B672" s="63"/>
      <c r="C672" s="64"/>
      <c r="D672" s="28"/>
      <c r="E672" s="28"/>
      <c r="F672" s="28"/>
      <c r="G672" s="64"/>
      <c r="H672" s="64"/>
      <c r="I672" s="28"/>
      <c r="J672" s="28"/>
      <c r="K672" s="65" t="str">
        <f aca="false">IF($A672="","",IF(OR($C672="Decision",$C672="Conflict"),IF(COUNTIFS($I$2:$I$1001,$A672,$C$2:$C$1001,"Resolved")=0,"Open","Closed"),IF(AND($H672="Unconfirmed",OR($C672="New",$C672="Know")),IF(COUNTIFS($I$2:$I$1001,$A672,$C$2:$C$1001,"Confirmed")=0,"Unconfirmed","Confirmed"),"Logged")))</f>
        <v/>
      </c>
      <c r="L672" s="65" t="str">
        <f aca="false">IF($A672="","",AsOf-$B672)</f>
        <v/>
      </c>
      <c r="M672" s="65" t="str">
        <f aca="false">IF($K672="Open",IF($C672="Conflict","Critical",IF($L672&gt;=DecisionCritical,"Critical",IF($L672&gt;=DecisionWarn,"Warning","On track"))),IF($K672="Unconfirmed",IF($L672&gt;=UnconfirmedWarn,"Warning","On track"),""))</f>
        <v/>
      </c>
      <c r="N672" s="65" t="str">
        <f aca="false">IF($M672="","",IF($M672="Critical",3000,IF($M672="Warning",2000,1000))+$L672+ROW()/100000)</f>
        <v/>
      </c>
      <c r="O672" s="65" t="str">
        <f aca="false">IF($K672="Open",IF($C672="Conflict","decide "&amp;$A672&amp;": &lt;which version stands&gt;","decide "&amp;$A672&amp;": &lt;outcome&gt;"),IF($K672="Unconfirmed","confirm "&amp;$A672,""))</f>
        <v/>
      </c>
      <c r="P672" s="65" t="str">
        <f aca="false">IF(AND($C672="New",$B672&gt;=WeekStart),$B672+ROW()/100000,"")</f>
        <v/>
      </c>
      <c r="Q672" s="65" t="str">
        <f aca="false">IF(AND($C672="Know",$B672&gt;=WeekStart),$B672+ROW()/100000,"")</f>
        <v/>
      </c>
      <c r="R672" s="65" t="str">
        <f aca="false">IF(AND($K672="Open",$C672="Decision"),$L672+ROW()/100000,"")</f>
        <v/>
      </c>
      <c r="S672" s="65" t="str">
        <f aca="false">IF(AND($J672&lt;&gt;"",$J672=UCSel),$B672+ROW()/100000,"")</f>
        <v/>
      </c>
    </row>
    <row r="673" customFormat="false" ht="15" hidden="false" customHeight="false" outlineLevel="0" collapsed="false">
      <c r="A673" s="28"/>
      <c r="B673" s="63"/>
      <c r="C673" s="64"/>
      <c r="D673" s="28"/>
      <c r="E673" s="28"/>
      <c r="F673" s="28"/>
      <c r="G673" s="64"/>
      <c r="H673" s="64"/>
      <c r="I673" s="28"/>
      <c r="J673" s="28"/>
      <c r="K673" s="65" t="str">
        <f aca="false">IF($A673="","",IF(OR($C673="Decision",$C673="Conflict"),IF(COUNTIFS($I$2:$I$1001,$A673,$C$2:$C$1001,"Resolved")=0,"Open","Closed"),IF(AND($H673="Unconfirmed",OR($C673="New",$C673="Know")),IF(COUNTIFS($I$2:$I$1001,$A673,$C$2:$C$1001,"Confirmed")=0,"Unconfirmed","Confirmed"),"Logged")))</f>
        <v/>
      </c>
      <c r="L673" s="65" t="str">
        <f aca="false">IF($A673="","",AsOf-$B673)</f>
        <v/>
      </c>
      <c r="M673" s="65" t="str">
        <f aca="false">IF($K673="Open",IF($C673="Conflict","Critical",IF($L673&gt;=DecisionCritical,"Critical",IF($L673&gt;=DecisionWarn,"Warning","On track"))),IF($K673="Unconfirmed",IF($L673&gt;=UnconfirmedWarn,"Warning","On track"),""))</f>
        <v/>
      </c>
      <c r="N673" s="65" t="str">
        <f aca="false">IF($M673="","",IF($M673="Critical",3000,IF($M673="Warning",2000,1000))+$L673+ROW()/100000)</f>
        <v/>
      </c>
      <c r="O673" s="65" t="str">
        <f aca="false">IF($K673="Open",IF($C673="Conflict","decide "&amp;$A673&amp;": &lt;which version stands&gt;","decide "&amp;$A673&amp;": &lt;outcome&gt;"),IF($K673="Unconfirmed","confirm "&amp;$A673,""))</f>
        <v/>
      </c>
      <c r="P673" s="65" t="str">
        <f aca="false">IF(AND($C673="New",$B673&gt;=WeekStart),$B673+ROW()/100000,"")</f>
        <v/>
      </c>
      <c r="Q673" s="65" t="str">
        <f aca="false">IF(AND($C673="Know",$B673&gt;=WeekStart),$B673+ROW()/100000,"")</f>
        <v/>
      </c>
      <c r="R673" s="65" t="str">
        <f aca="false">IF(AND($K673="Open",$C673="Decision"),$L673+ROW()/100000,"")</f>
        <v/>
      </c>
      <c r="S673" s="65" t="str">
        <f aca="false">IF(AND($J673&lt;&gt;"",$J673=UCSel),$B673+ROW()/100000,"")</f>
        <v/>
      </c>
    </row>
    <row r="674" customFormat="false" ht="15" hidden="false" customHeight="false" outlineLevel="0" collapsed="false">
      <c r="A674" s="28"/>
      <c r="B674" s="63"/>
      <c r="C674" s="64"/>
      <c r="D674" s="28"/>
      <c r="E674" s="28"/>
      <c r="F674" s="28"/>
      <c r="G674" s="64"/>
      <c r="H674" s="64"/>
      <c r="I674" s="28"/>
      <c r="J674" s="28"/>
      <c r="K674" s="65" t="str">
        <f aca="false">IF($A674="","",IF(OR($C674="Decision",$C674="Conflict"),IF(COUNTIFS($I$2:$I$1001,$A674,$C$2:$C$1001,"Resolved")=0,"Open","Closed"),IF(AND($H674="Unconfirmed",OR($C674="New",$C674="Know")),IF(COUNTIFS($I$2:$I$1001,$A674,$C$2:$C$1001,"Confirmed")=0,"Unconfirmed","Confirmed"),"Logged")))</f>
        <v/>
      </c>
      <c r="L674" s="65" t="str">
        <f aca="false">IF($A674="","",AsOf-$B674)</f>
        <v/>
      </c>
      <c r="M674" s="65" t="str">
        <f aca="false">IF($K674="Open",IF($C674="Conflict","Critical",IF($L674&gt;=DecisionCritical,"Critical",IF($L674&gt;=DecisionWarn,"Warning","On track"))),IF($K674="Unconfirmed",IF($L674&gt;=UnconfirmedWarn,"Warning","On track"),""))</f>
        <v/>
      </c>
      <c r="N674" s="65" t="str">
        <f aca="false">IF($M674="","",IF($M674="Critical",3000,IF($M674="Warning",2000,1000))+$L674+ROW()/100000)</f>
        <v/>
      </c>
      <c r="O674" s="65" t="str">
        <f aca="false">IF($K674="Open",IF($C674="Conflict","decide "&amp;$A674&amp;": &lt;which version stands&gt;","decide "&amp;$A674&amp;": &lt;outcome&gt;"),IF($K674="Unconfirmed","confirm "&amp;$A674,""))</f>
        <v/>
      </c>
      <c r="P674" s="65" t="str">
        <f aca="false">IF(AND($C674="New",$B674&gt;=WeekStart),$B674+ROW()/100000,"")</f>
        <v/>
      </c>
      <c r="Q674" s="65" t="str">
        <f aca="false">IF(AND($C674="Know",$B674&gt;=WeekStart),$B674+ROW()/100000,"")</f>
        <v/>
      </c>
      <c r="R674" s="65" t="str">
        <f aca="false">IF(AND($K674="Open",$C674="Decision"),$L674+ROW()/100000,"")</f>
        <v/>
      </c>
      <c r="S674" s="65" t="str">
        <f aca="false">IF(AND($J674&lt;&gt;"",$J674=UCSel),$B674+ROW()/100000,"")</f>
        <v/>
      </c>
    </row>
    <row r="675" customFormat="false" ht="15" hidden="false" customHeight="false" outlineLevel="0" collapsed="false">
      <c r="A675" s="28"/>
      <c r="B675" s="63"/>
      <c r="C675" s="64"/>
      <c r="D675" s="28"/>
      <c r="E675" s="28"/>
      <c r="F675" s="28"/>
      <c r="G675" s="64"/>
      <c r="H675" s="64"/>
      <c r="I675" s="28"/>
      <c r="J675" s="28"/>
      <c r="K675" s="65" t="str">
        <f aca="false">IF($A675="","",IF(OR($C675="Decision",$C675="Conflict"),IF(COUNTIFS($I$2:$I$1001,$A675,$C$2:$C$1001,"Resolved")=0,"Open","Closed"),IF(AND($H675="Unconfirmed",OR($C675="New",$C675="Know")),IF(COUNTIFS($I$2:$I$1001,$A675,$C$2:$C$1001,"Confirmed")=0,"Unconfirmed","Confirmed"),"Logged")))</f>
        <v/>
      </c>
      <c r="L675" s="65" t="str">
        <f aca="false">IF($A675="","",AsOf-$B675)</f>
        <v/>
      </c>
      <c r="M675" s="65" t="str">
        <f aca="false">IF($K675="Open",IF($C675="Conflict","Critical",IF($L675&gt;=DecisionCritical,"Critical",IF($L675&gt;=DecisionWarn,"Warning","On track"))),IF($K675="Unconfirmed",IF($L675&gt;=UnconfirmedWarn,"Warning","On track"),""))</f>
        <v/>
      </c>
      <c r="N675" s="65" t="str">
        <f aca="false">IF($M675="","",IF($M675="Critical",3000,IF($M675="Warning",2000,1000))+$L675+ROW()/100000)</f>
        <v/>
      </c>
      <c r="O675" s="65" t="str">
        <f aca="false">IF($K675="Open",IF($C675="Conflict","decide "&amp;$A675&amp;": &lt;which version stands&gt;","decide "&amp;$A675&amp;": &lt;outcome&gt;"),IF($K675="Unconfirmed","confirm "&amp;$A675,""))</f>
        <v/>
      </c>
      <c r="P675" s="65" t="str">
        <f aca="false">IF(AND($C675="New",$B675&gt;=WeekStart),$B675+ROW()/100000,"")</f>
        <v/>
      </c>
      <c r="Q675" s="65" t="str">
        <f aca="false">IF(AND($C675="Know",$B675&gt;=WeekStart),$B675+ROW()/100000,"")</f>
        <v/>
      </c>
      <c r="R675" s="65" t="str">
        <f aca="false">IF(AND($K675="Open",$C675="Decision"),$L675+ROW()/100000,"")</f>
        <v/>
      </c>
      <c r="S675" s="65" t="str">
        <f aca="false">IF(AND($J675&lt;&gt;"",$J675=UCSel),$B675+ROW()/100000,"")</f>
        <v/>
      </c>
    </row>
    <row r="676" customFormat="false" ht="15" hidden="false" customHeight="false" outlineLevel="0" collapsed="false">
      <c r="A676" s="28"/>
      <c r="B676" s="63"/>
      <c r="C676" s="64"/>
      <c r="D676" s="28"/>
      <c r="E676" s="28"/>
      <c r="F676" s="28"/>
      <c r="G676" s="64"/>
      <c r="H676" s="64"/>
      <c r="I676" s="28"/>
      <c r="J676" s="28"/>
      <c r="K676" s="65" t="str">
        <f aca="false">IF($A676="","",IF(OR($C676="Decision",$C676="Conflict"),IF(COUNTIFS($I$2:$I$1001,$A676,$C$2:$C$1001,"Resolved")=0,"Open","Closed"),IF(AND($H676="Unconfirmed",OR($C676="New",$C676="Know")),IF(COUNTIFS($I$2:$I$1001,$A676,$C$2:$C$1001,"Confirmed")=0,"Unconfirmed","Confirmed"),"Logged")))</f>
        <v/>
      </c>
      <c r="L676" s="65" t="str">
        <f aca="false">IF($A676="","",AsOf-$B676)</f>
        <v/>
      </c>
      <c r="M676" s="65" t="str">
        <f aca="false">IF($K676="Open",IF($C676="Conflict","Critical",IF($L676&gt;=DecisionCritical,"Critical",IF($L676&gt;=DecisionWarn,"Warning","On track"))),IF($K676="Unconfirmed",IF($L676&gt;=UnconfirmedWarn,"Warning","On track"),""))</f>
        <v/>
      </c>
      <c r="N676" s="65" t="str">
        <f aca="false">IF($M676="","",IF($M676="Critical",3000,IF($M676="Warning",2000,1000))+$L676+ROW()/100000)</f>
        <v/>
      </c>
      <c r="O676" s="65" t="str">
        <f aca="false">IF($K676="Open",IF($C676="Conflict","decide "&amp;$A676&amp;": &lt;which version stands&gt;","decide "&amp;$A676&amp;": &lt;outcome&gt;"),IF($K676="Unconfirmed","confirm "&amp;$A676,""))</f>
        <v/>
      </c>
      <c r="P676" s="65" t="str">
        <f aca="false">IF(AND($C676="New",$B676&gt;=WeekStart),$B676+ROW()/100000,"")</f>
        <v/>
      </c>
      <c r="Q676" s="65" t="str">
        <f aca="false">IF(AND($C676="Know",$B676&gt;=WeekStart),$B676+ROW()/100000,"")</f>
        <v/>
      </c>
      <c r="R676" s="65" t="str">
        <f aca="false">IF(AND($K676="Open",$C676="Decision"),$L676+ROW()/100000,"")</f>
        <v/>
      </c>
      <c r="S676" s="65" t="str">
        <f aca="false">IF(AND($J676&lt;&gt;"",$J676=UCSel),$B676+ROW()/100000,"")</f>
        <v/>
      </c>
    </row>
    <row r="677" customFormat="false" ht="15" hidden="false" customHeight="false" outlineLevel="0" collapsed="false">
      <c r="A677" s="28"/>
      <c r="B677" s="63"/>
      <c r="C677" s="64"/>
      <c r="D677" s="28"/>
      <c r="E677" s="28"/>
      <c r="F677" s="28"/>
      <c r="G677" s="64"/>
      <c r="H677" s="64"/>
      <c r="I677" s="28"/>
      <c r="J677" s="28"/>
      <c r="K677" s="65" t="str">
        <f aca="false">IF($A677="","",IF(OR($C677="Decision",$C677="Conflict"),IF(COUNTIFS($I$2:$I$1001,$A677,$C$2:$C$1001,"Resolved")=0,"Open","Closed"),IF(AND($H677="Unconfirmed",OR($C677="New",$C677="Know")),IF(COUNTIFS($I$2:$I$1001,$A677,$C$2:$C$1001,"Confirmed")=0,"Unconfirmed","Confirmed"),"Logged")))</f>
        <v/>
      </c>
      <c r="L677" s="65" t="str">
        <f aca="false">IF($A677="","",AsOf-$B677)</f>
        <v/>
      </c>
      <c r="M677" s="65" t="str">
        <f aca="false">IF($K677="Open",IF($C677="Conflict","Critical",IF($L677&gt;=DecisionCritical,"Critical",IF($L677&gt;=DecisionWarn,"Warning","On track"))),IF($K677="Unconfirmed",IF($L677&gt;=UnconfirmedWarn,"Warning","On track"),""))</f>
        <v/>
      </c>
      <c r="N677" s="65" t="str">
        <f aca="false">IF($M677="","",IF($M677="Critical",3000,IF($M677="Warning",2000,1000))+$L677+ROW()/100000)</f>
        <v/>
      </c>
      <c r="O677" s="65" t="str">
        <f aca="false">IF($K677="Open",IF($C677="Conflict","decide "&amp;$A677&amp;": &lt;which version stands&gt;","decide "&amp;$A677&amp;": &lt;outcome&gt;"),IF($K677="Unconfirmed","confirm "&amp;$A677,""))</f>
        <v/>
      </c>
      <c r="P677" s="65" t="str">
        <f aca="false">IF(AND($C677="New",$B677&gt;=WeekStart),$B677+ROW()/100000,"")</f>
        <v/>
      </c>
      <c r="Q677" s="65" t="str">
        <f aca="false">IF(AND($C677="Know",$B677&gt;=WeekStart),$B677+ROW()/100000,"")</f>
        <v/>
      </c>
      <c r="R677" s="65" t="str">
        <f aca="false">IF(AND($K677="Open",$C677="Decision"),$L677+ROW()/100000,"")</f>
        <v/>
      </c>
      <c r="S677" s="65" t="str">
        <f aca="false">IF(AND($J677&lt;&gt;"",$J677=UCSel),$B677+ROW()/100000,"")</f>
        <v/>
      </c>
    </row>
    <row r="678" customFormat="false" ht="15" hidden="false" customHeight="false" outlineLevel="0" collapsed="false">
      <c r="A678" s="28"/>
      <c r="B678" s="63"/>
      <c r="C678" s="64"/>
      <c r="D678" s="28"/>
      <c r="E678" s="28"/>
      <c r="F678" s="28"/>
      <c r="G678" s="64"/>
      <c r="H678" s="64"/>
      <c r="I678" s="28"/>
      <c r="J678" s="28"/>
      <c r="K678" s="65" t="str">
        <f aca="false">IF($A678="","",IF(OR($C678="Decision",$C678="Conflict"),IF(COUNTIFS($I$2:$I$1001,$A678,$C$2:$C$1001,"Resolved")=0,"Open","Closed"),IF(AND($H678="Unconfirmed",OR($C678="New",$C678="Know")),IF(COUNTIFS($I$2:$I$1001,$A678,$C$2:$C$1001,"Confirmed")=0,"Unconfirmed","Confirmed"),"Logged")))</f>
        <v/>
      </c>
      <c r="L678" s="65" t="str">
        <f aca="false">IF($A678="","",AsOf-$B678)</f>
        <v/>
      </c>
      <c r="M678" s="65" t="str">
        <f aca="false">IF($K678="Open",IF($C678="Conflict","Critical",IF($L678&gt;=DecisionCritical,"Critical",IF($L678&gt;=DecisionWarn,"Warning","On track"))),IF($K678="Unconfirmed",IF($L678&gt;=UnconfirmedWarn,"Warning","On track"),""))</f>
        <v/>
      </c>
      <c r="N678" s="65" t="str">
        <f aca="false">IF($M678="","",IF($M678="Critical",3000,IF($M678="Warning",2000,1000))+$L678+ROW()/100000)</f>
        <v/>
      </c>
      <c r="O678" s="65" t="str">
        <f aca="false">IF($K678="Open",IF($C678="Conflict","decide "&amp;$A678&amp;": &lt;which version stands&gt;","decide "&amp;$A678&amp;": &lt;outcome&gt;"),IF($K678="Unconfirmed","confirm "&amp;$A678,""))</f>
        <v/>
      </c>
      <c r="P678" s="65" t="str">
        <f aca="false">IF(AND($C678="New",$B678&gt;=WeekStart),$B678+ROW()/100000,"")</f>
        <v/>
      </c>
      <c r="Q678" s="65" t="str">
        <f aca="false">IF(AND($C678="Know",$B678&gt;=WeekStart),$B678+ROW()/100000,"")</f>
        <v/>
      </c>
      <c r="R678" s="65" t="str">
        <f aca="false">IF(AND($K678="Open",$C678="Decision"),$L678+ROW()/100000,"")</f>
        <v/>
      </c>
      <c r="S678" s="65" t="str">
        <f aca="false">IF(AND($J678&lt;&gt;"",$J678=UCSel),$B678+ROW()/100000,"")</f>
        <v/>
      </c>
    </row>
    <row r="679" customFormat="false" ht="15" hidden="false" customHeight="false" outlineLevel="0" collapsed="false">
      <c r="A679" s="28"/>
      <c r="B679" s="63"/>
      <c r="C679" s="64"/>
      <c r="D679" s="28"/>
      <c r="E679" s="28"/>
      <c r="F679" s="28"/>
      <c r="G679" s="64"/>
      <c r="H679" s="64"/>
      <c r="I679" s="28"/>
      <c r="J679" s="28"/>
      <c r="K679" s="65" t="str">
        <f aca="false">IF($A679="","",IF(OR($C679="Decision",$C679="Conflict"),IF(COUNTIFS($I$2:$I$1001,$A679,$C$2:$C$1001,"Resolved")=0,"Open","Closed"),IF(AND($H679="Unconfirmed",OR($C679="New",$C679="Know")),IF(COUNTIFS($I$2:$I$1001,$A679,$C$2:$C$1001,"Confirmed")=0,"Unconfirmed","Confirmed"),"Logged")))</f>
        <v/>
      </c>
      <c r="L679" s="65" t="str">
        <f aca="false">IF($A679="","",AsOf-$B679)</f>
        <v/>
      </c>
      <c r="M679" s="65" t="str">
        <f aca="false">IF($K679="Open",IF($C679="Conflict","Critical",IF($L679&gt;=DecisionCritical,"Critical",IF($L679&gt;=DecisionWarn,"Warning","On track"))),IF($K679="Unconfirmed",IF($L679&gt;=UnconfirmedWarn,"Warning","On track"),""))</f>
        <v/>
      </c>
      <c r="N679" s="65" t="str">
        <f aca="false">IF($M679="","",IF($M679="Critical",3000,IF($M679="Warning",2000,1000))+$L679+ROW()/100000)</f>
        <v/>
      </c>
      <c r="O679" s="65" t="str">
        <f aca="false">IF($K679="Open",IF($C679="Conflict","decide "&amp;$A679&amp;": &lt;which version stands&gt;","decide "&amp;$A679&amp;": &lt;outcome&gt;"),IF($K679="Unconfirmed","confirm "&amp;$A679,""))</f>
        <v/>
      </c>
      <c r="P679" s="65" t="str">
        <f aca="false">IF(AND($C679="New",$B679&gt;=WeekStart),$B679+ROW()/100000,"")</f>
        <v/>
      </c>
      <c r="Q679" s="65" t="str">
        <f aca="false">IF(AND($C679="Know",$B679&gt;=WeekStart),$B679+ROW()/100000,"")</f>
        <v/>
      </c>
      <c r="R679" s="65" t="str">
        <f aca="false">IF(AND($K679="Open",$C679="Decision"),$L679+ROW()/100000,"")</f>
        <v/>
      </c>
      <c r="S679" s="65" t="str">
        <f aca="false">IF(AND($J679&lt;&gt;"",$J679=UCSel),$B679+ROW()/100000,"")</f>
        <v/>
      </c>
    </row>
    <row r="680" customFormat="false" ht="15" hidden="false" customHeight="false" outlineLevel="0" collapsed="false">
      <c r="A680" s="28"/>
      <c r="B680" s="63"/>
      <c r="C680" s="64"/>
      <c r="D680" s="28"/>
      <c r="E680" s="28"/>
      <c r="F680" s="28"/>
      <c r="G680" s="64"/>
      <c r="H680" s="64"/>
      <c r="I680" s="28"/>
      <c r="J680" s="28"/>
      <c r="K680" s="65" t="str">
        <f aca="false">IF($A680="","",IF(OR($C680="Decision",$C680="Conflict"),IF(COUNTIFS($I$2:$I$1001,$A680,$C$2:$C$1001,"Resolved")=0,"Open","Closed"),IF(AND($H680="Unconfirmed",OR($C680="New",$C680="Know")),IF(COUNTIFS($I$2:$I$1001,$A680,$C$2:$C$1001,"Confirmed")=0,"Unconfirmed","Confirmed"),"Logged")))</f>
        <v/>
      </c>
      <c r="L680" s="65" t="str">
        <f aca="false">IF($A680="","",AsOf-$B680)</f>
        <v/>
      </c>
      <c r="M680" s="65" t="str">
        <f aca="false">IF($K680="Open",IF($C680="Conflict","Critical",IF($L680&gt;=DecisionCritical,"Critical",IF($L680&gt;=DecisionWarn,"Warning","On track"))),IF($K680="Unconfirmed",IF($L680&gt;=UnconfirmedWarn,"Warning","On track"),""))</f>
        <v/>
      </c>
      <c r="N680" s="65" t="str">
        <f aca="false">IF($M680="","",IF($M680="Critical",3000,IF($M680="Warning",2000,1000))+$L680+ROW()/100000)</f>
        <v/>
      </c>
      <c r="O680" s="65" t="str">
        <f aca="false">IF($K680="Open",IF($C680="Conflict","decide "&amp;$A680&amp;": &lt;which version stands&gt;","decide "&amp;$A680&amp;": &lt;outcome&gt;"),IF($K680="Unconfirmed","confirm "&amp;$A680,""))</f>
        <v/>
      </c>
      <c r="P680" s="65" t="str">
        <f aca="false">IF(AND($C680="New",$B680&gt;=WeekStart),$B680+ROW()/100000,"")</f>
        <v/>
      </c>
      <c r="Q680" s="65" t="str">
        <f aca="false">IF(AND($C680="Know",$B680&gt;=WeekStart),$B680+ROW()/100000,"")</f>
        <v/>
      </c>
      <c r="R680" s="65" t="str">
        <f aca="false">IF(AND($K680="Open",$C680="Decision"),$L680+ROW()/100000,"")</f>
        <v/>
      </c>
      <c r="S680" s="65" t="str">
        <f aca="false">IF(AND($J680&lt;&gt;"",$J680=UCSel),$B680+ROW()/100000,"")</f>
        <v/>
      </c>
    </row>
    <row r="681" customFormat="false" ht="15" hidden="false" customHeight="false" outlineLevel="0" collapsed="false">
      <c r="A681" s="28"/>
      <c r="B681" s="63"/>
      <c r="C681" s="64"/>
      <c r="D681" s="28"/>
      <c r="E681" s="28"/>
      <c r="F681" s="28"/>
      <c r="G681" s="64"/>
      <c r="H681" s="64"/>
      <c r="I681" s="28"/>
      <c r="J681" s="28"/>
      <c r="K681" s="65" t="str">
        <f aca="false">IF($A681="","",IF(OR($C681="Decision",$C681="Conflict"),IF(COUNTIFS($I$2:$I$1001,$A681,$C$2:$C$1001,"Resolved")=0,"Open","Closed"),IF(AND($H681="Unconfirmed",OR($C681="New",$C681="Know")),IF(COUNTIFS($I$2:$I$1001,$A681,$C$2:$C$1001,"Confirmed")=0,"Unconfirmed","Confirmed"),"Logged")))</f>
        <v/>
      </c>
      <c r="L681" s="65" t="str">
        <f aca="false">IF($A681="","",AsOf-$B681)</f>
        <v/>
      </c>
      <c r="M681" s="65" t="str">
        <f aca="false">IF($K681="Open",IF($C681="Conflict","Critical",IF($L681&gt;=DecisionCritical,"Critical",IF($L681&gt;=DecisionWarn,"Warning","On track"))),IF($K681="Unconfirmed",IF($L681&gt;=UnconfirmedWarn,"Warning","On track"),""))</f>
        <v/>
      </c>
      <c r="N681" s="65" t="str">
        <f aca="false">IF($M681="","",IF($M681="Critical",3000,IF($M681="Warning",2000,1000))+$L681+ROW()/100000)</f>
        <v/>
      </c>
      <c r="O681" s="65" t="str">
        <f aca="false">IF($K681="Open",IF($C681="Conflict","decide "&amp;$A681&amp;": &lt;which version stands&gt;","decide "&amp;$A681&amp;": &lt;outcome&gt;"),IF($K681="Unconfirmed","confirm "&amp;$A681,""))</f>
        <v/>
      </c>
      <c r="P681" s="65" t="str">
        <f aca="false">IF(AND($C681="New",$B681&gt;=WeekStart),$B681+ROW()/100000,"")</f>
        <v/>
      </c>
      <c r="Q681" s="65" t="str">
        <f aca="false">IF(AND($C681="Know",$B681&gt;=WeekStart),$B681+ROW()/100000,"")</f>
        <v/>
      </c>
      <c r="R681" s="65" t="str">
        <f aca="false">IF(AND($K681="Open",$C681="Decision"),$L681+ROW()/100000,"")</f>
        <v/>
      </c>
      <c r="S681" s="65" t="str">
        <f aca="false">IF(AND($J681&lt;&gt;"",$J681=UCSel),$B681+ROW()/100000,"")</f>
        <v/>
      </c>
    </row>
    <row r="682" customFormat="false" ht="15" hidden="false" customHeight="false" outlineLevel="0" collapsed="false">
      <c r="A682" s="28"/>
      <c r="B682" s="63"/>
      <c r="C682" s="64"/>
      <c r="D682" s="28"/>
      <c r="E682" s="28"/>
      <c r="F682" s="28"/>
      <c r="G682" s="64"/>
      <c r="H682" s="64"/>
      <c r="I682" s="28"/>
      <c r="J682" s="28"/>
      <c r="K682" s="65" t="str">
        <f aca="false">IF($A682="","",IF(OR($C682="Decision",$C682="Conflict"),IF(COUNTIFS($I$2:$I$1001,$A682,$C$2:$C$1001,"Resolved")=0,"Open","Closed"),IF(AND($H682="Unconfirmed",OR($C682="New",$C682="Know")),IF(COUNTIFS($I$2:$I$1001,$A682,$C$2:$C$1001,"Confirmed")=0,"Unconfirmed","Confirmed"),"Logged")))</f>
        <v/>
      </c>
      <c r="L682" s="65" t="str">
        <f aca="false">IF($A682="","",AsOf-$B682)</f>
        <v/>
      </c>
      <c r="M682" s="65" t="str">
        <f aca="false">IF($K682="Open",IF($C682="Conflict","Critical",IF($L682&gt;=DecisionCritical,"Critical",IF($L682&gt;=DecisionWarn,"Warning","On track"))),IF($K682="Unconfirmed",IF($L682&gt;=UnconfirmedWarn,"Warning","On track"),""))</f>
        <v/>
      </c>
      <c r="N682" s="65" t="str">
        <f aca="false">IF($M682="","",IF($M682="Critical",3000,IF($M682="Warning",2000,1000))+$L682+ROW()/100000)</f>
        <v/>
      </c>
      <c r="O682" s="65" t="str">
        <f aca="false">IF($K682="Open",IF($C682="Conflict","decide "&amp;$A682&amp;": &lt;which version stands&gt;","decide "&amp;$A682&amp;": &lt;outcome&gt;"),IF($K682="Unconfirmed","confirm "&amp;$A682,""))</f>
        <v/>
      </c>
      <c r="P682" s="65" t="str">
        <f aca="false">IF(AND($C682="New",$B682&gt;=WeekStart),$B682+ROW()/100000,"")</f>
        <v/>
      </c>
      <c r="Q682" s="65" t="str">
        <f aca="false">IF(AND($C682="Know",$B682&gt;=WeekStart),$B682+ROW()/100000,"")</f>
        <v/>
      </c>
      <c r="R682" s="65" t="str">
        <f aca="false">IF(AND($K682="Open",$C682="Decision"),$L682+ROW()/100000,"")</f>
        <v/>
      </c>
      <c r="S682" s="65" t="str">
        <f aca="false">IF(AND($J682&lt;&gt;"",$J682=UCSel),$B682+ROW()/100000,"")</f>
        <v/>
      </c>
    </row>
    <row r="683" customFormat="false" ht="15" hidden="false" customHeight="false" outlineLevel="0" collapsed="false">
      <c r="A683" s="28"/>
      <c r="B683" s="63"/>
      <c r="C683" s="64"/>
      <c r="D683" s="28"/>
      <c r="E683" s="28"/>
      <c r="F683" s="28"/>
      <c r="G683" s="64"/>
      <c r="H683" s="64"/>
      <c r="I683" s="28"/>
      <c r="J683" s="28"/>
      <c r="K683" s="65" t="str">
        <f aca="false">IF($A683="","",IF(OR($C683="Decision",$C683="Conflict"),IF(COUNTIFS($I$2:$I$1001,$A683,$C$2:$C$1001,"Resolved")=0,"Open","Closed"),IF(AND($H683="Unconfirmed",OR($C683="New",$C683="Know")),IF(COUNTIFS($I$2:$I$1001,$A683,$C$2:$C$1001,"Confirmed")=0,"Unconfirmed","Confirmed"),"Logged")))</f>
        <v/>
      </c>
      <c r="L683" s="65" t="str">
        <f aca="false">IF($A683="","",AsOf-$B683)</f>
        <v/>
      </c>
      <c r="M683" s="65" t="str">
        <f aca="false">IF($K683="Open",IF($C683="Conflict","Critical",IF($L683&gt;=DecisionCritical,"Critical",IF($L683&gt;=DecisionWarn,"Warning","On track"))),IF($K683="Unconfirmed",IF($L683&gt;=UnconfirmedWarn,"Warning","On track"),""))</f>
        <v/>
      </c>
      <c r="N683" s="65" t="str">
        <f aca="false">IF($M683="","",IF($M683="Critical",3000,IF($M683="Warning",2000,1000))+$L683+ROW()/100000)</f>
        <v/>
      </c>
      <c r="O683" s="65" t="str">
        <f aca="false">IF($K683="Open",IF($C683="Conflict","decide "&amp;$A683&amp;": &lt;which version stands&gt;","decide "&amp;$A683&amp;": &lt;outcome&gt;"),IF($K683="Unconfirmed","confirm "&amp;$A683,""))</f>
        <v/>
      </c>
      <c r="P683" s="65" t="str">
        <f aca="false">IF(AND($C683="New",$B683&gt;=WeekStart),$B683+ROW()/100000,"")</f>
        <v/>
      </c>
      <c r="Q683" s="65" t="str">
        <f aca="false">IF(AND($C683="Know",$B683&gt;=WeekStart),$B683+ROW()/100000,"")</f>
        <v/>
      </c>
      <c r="R683" s="65" t="str">
        <f aca="false">IF(AND($K683="Open",$C683="Decision"),$L683+ROW()/100000,"")</f>
        <v/>
      </c>
      <c r="S683" s="65" t="str">
        <f aca="false">IF(AND($J683&lt;&gt;"",$J683=UCSel),$B683+ROW()/100000,"")</f>
        <v/>
      </c>
    </row>
    <row r="684" customFormat="false" ht="15" hidden="false" customHeight="false" outlineLevel="0" collapsed="false">
      <c r="A684" s="28"/>
      <c r="B684" s="63"/>
      <c r="C684" s="64"/>
      <c r="D684" s="28"/>
      <c r="E684" s="28"/>
      <c r="F684" s="28"/>
      <c r="G684" s="64"/>
      <c r="H684" s="64"/>
      <c r="I684" s="28"/>
      <c r="J684" s="28"/>
      <c r="K684" s="65" t="str">
        <f aca="false">IF($A684="","",IF(OR($C684="Decision",$C684="Conflict"),IF(COUNTIFS($I$2:$I$1001,$A684,$C$2:$C$1001,"Resolved")=0,"Open","Closed"),IF(AND($H684="Unconfirmed",OR($C684="New",$C684="Know")),IF(COUNTIFS($I$2:$I$1001,$A684,$C$2:$C$1001,"Confirmed")=0,"Unconfirmed","Confirmed"),"Logged")))</f>
        <v/>
      </c>
      <c r="L684" s="65" t="str">
        <f aca="false">IF($A684="","",AsOf-$B684)</f>
        <v/>
      </c>
      <c r="M684" s="65" t="str">
        <f aca="false">IF($K684="Open",IF($C684="Conflict","Critical",IF($L684&gt;=DecisionCritical,"Critical",IF($L684&gt;=DecisionWarn,"Warning","On track"))),IF($K684="Unconfirmed",IF($L684&gt;=UnconfirmedWarn,"Warning","On track"),""))</f>
        <v/>
      </c>
      <c r="N684" s="65" t="str">
        <f aca="false">IF($M684="","",IF($M684="Critical",3000,IF($M684="Warning",2000,1000))+$L684+ROW()/100000)</f>
        <v/>
      </c>
      <c r="O684" s="65" t="str">
        <f aca="false">IF($K684="Open",IF($C684="Conflict","decide "&amp;$A684&amp;": &lt;which version stands&gt;","decide "&amp;$A684&amp;": &lt;outcome&gt;"),IF($K684="Unconfirmed","confirm "&amp;$A684,""))</f>
        <v/>
      </c>
      <c r="P684" s="65" t="str">
        <f aca="false">IF(AND($C684="New",$B684&gt;=WeekStart),$B684+ROW()/100000,"")</f>
        <v/>
      </c>
      <c r="Q684" s="65" t="str">
        <f aca="false">IF(AND($C684="Know",$B684&gt;=WeekStart),$B684+ROW()/100000,"")</f>
        <v/>
      </c>
      <c r="R684" s="65" t="str">
        <f aca="false">IF(AND($K684="Open",$C684="Decision"),$L684+ROW()/100000,"")</f>
        <v/>
      </c>
      <c r="S684" s="65" t="str">
        <f aca="false">IF(AND($J684&lt;&gt;"",$J684=UCSel),$B684+ROW()/100000,"")</f>
        <v/>
      </c>
    </row>
    <row r="685" customFormat="false" ht="15" hidden="false" customHeight="false" outlineLevel="0" collapsed="false">
      <c r="A685" s="28"/>
      <c r="B685" s="63"/>
      <c r="C685" s="64"/>
      <c r="D685" s="28"/>
      <c r="E685" s="28"/>
      <c r="F685" s="28"/>
      <c r="G685" s="64"/>
      <c r="H685" s="64"/>
      <c r="I685" s="28"/>
      <c r="J685" s="28"/>
      <c r="K685" s="65" t="str">
        <f aca="false">IF($A685="","",IF(OR($C685="Decision",$C685="Conflict"),IF(COUNTIFS($I$2:$I$1001,$A685,$C$2:$C$1001,"Resolved")=0,"Open","Closed"),IF(AND($H685="Unconfirmed",OR($C685="New",$C685="Know")),IF(COUNTIFS($I$2:$I$1001,$A685,$C$2:$C$1001,"Confirmed")=0,"Unconfirmed","Confirmed"),"Logged")))</f>
        <v/>
      </c>
      <c r="L685" s="65" t="str">
        <f aca="false">IF($A685="","",AsOf-$B685)</f>
        <v/>
      </c>
      <c r="M685" s="65" t="str">
        <f aca="false">IF($K685="Open",IF($C685="Conflict","Critical",IF($L685&gt;=DecisionCritical,"Critical",IF($L685&gt;=DecisionWarn,"Warning","On track"))),IF($K685="Unconfirmed",IF($L685&gt;=UnconfirmedWarn,"Warning","On track"),""))</f>
        <v/>
      </c>
      <c r="N685" s="65" t="str">
        <f aca="false">IF($M685="","",IF($M685="Critical",3000,IF($M685="Warning",2000,1000))+$L685+ROW()/100000)</f>
        <v/>
      </c>
      <c r="O685" s="65" t="str">
        <f aca="false">IF($K685="Open",IF($C685="Conflict","decide "&amp;$A685&amp;": &lt;which version stands&gt;","decide "&amp;$A685&amp;": &lt;outcome&gt;"),IF($K685="Unconfirmed","confirm "&amp;$A685,""))</f>
        <v/>
      </c>
      <c r="P685" s="65" t="str">
        <f aca="false">IF(AND($C685="New",$B685&gt;=WeekStart),$B685+ROW()/100000,"")</f>
        <v/>
      </c>
      <c r="Q685" s="65" t="str">
        <f aca="false">IF(AND($C685="Know",$B685&gt;=WeekStart),$B685+ROW()/100000,"")</f>
        <v/>
      </c>
      <c r="R685" s="65" t="str">
        <f aca="false">IF(AND($K685="Open",$C685="Decision"),$L685+ROW()/100000,"")</f>
        <v/>
      </c>
      <c r="S685" s="65" t="str">
        <f aca="false">IF(AND($J685&lt;&gt;"",$J685=UCSel),$B685+ROW()/100000,"")</f>
        <v/>
      </c>
    </row>
    <row r="686" customFormat="false" ht="15" hidden="false" customHeight="false" outlineLevel="0" collapsed="false">
      <c r="A686" s="28"/>
      <c r="B686" s="63"/>
      <c r="C686" s="64"/>
      <c r="D686" s="28"/>
      <c r="E686" s="28"/>
      <c r="F686" s="28"/>
      <c r="G686" s="64"/>
      <c r="H686" s="64"/>
      <c r="I686" s="28"/>
      <c r="J686" s="28"/>
      <c r="K686" s="65" t="str">
        <f aca="false">IF($A686="","",IF(OR($C686="Decision",$C686="Conflict"),IF(COUNTIFS($I$2:$I$1001,$A686,$C$2:$C$1001,"Resolved")=0,"Open","Closed"),IF(AND($H686="Unconfirmed",OR($C686="New",$C686="Know")),IF(COUNTIFS($I$2:$I$1001,$A686,$C$2:$C$1001,"Confirmed")=0,"Unconfirmed","Confirmed"),"Logged")))</f>
        <v/>
      </c>
      <c r="L686" s="65" t="str">
        <f aca="false">IF($A686="","",AsOf-$B686)</f>
        <v/>
      </c>
      <c r="M686" s="65" t="str">
        <f aca="false">IF($K686="Open",IF($C686="Conflict","Critical",IF($L686&gt;=DecisionCritical,"Critical",IF($L686&gt;=DecisionWarn,"Warning","On track"))),IF($K686="Unconfirmed",IF($L686&gt;=UnconfirmedWarn,"Warning","On track"),""))</f>
        <v/>
      </c>
      <c r="N686" s="65" t="str">
        <f aca="false">IF($M686="","",IF($M686="Critical",3000,IF($M686="Warning",2000,1000))+$L686+ROW()/100000)</f>
        <v/>
      </c>
      <c r="O686" s="65" t="str">
        <f aca="false">IF($K686="Open",IF($C686="Conflict","decide "&amp;$A686&amp;": &lt;which version stands&gt;","decide "&amp;$A686&amp;": &lt;outcome&gt;"),IF($K686="Unconfirmed","confirm "&amp;$A686,""))</f>
        <v/>
      </c>
      <c r="P686" s="65" t="str">
        <f aca="false">IF(AND($C686="New",$B686&gt;=WeekStart),$B686+ROW()/100000,"")</f>
        <v/>
      </c>
      <c r="Q686" s="65" t="str">
        <f aca="false">IF(AND($C686="Know",$B686&gt;=WeekStart),$B686+ROW()/100000,"")</f>
        <v/>
      </c>
      <c r="R686" s="65" t="str">
        <f aca="false">IF(AND($K686="Open",$C686="Decision"),$L686+ROW()/100000,"")</f>
        <v/>
      </c>
      <c r="S686" s="65" t="str">
        <f aca="false">IF(AND($J686&lt;&gt;"",$J686=UCSel),$B686+ROW()/100000,"")</f>
        <v/>
      </c>
    </row>
    <row r="687" customFormat="false" ht="15" hidden="false" customHeight="false" outlineLevel="0" collapsed="false">
      <c r="A687" s="28"/>
      <c r="B687" s="63"/>
      <c r="C687" s="64"/>
      <c r="D687" s="28"/>
      <c r="E687" s="28"/>
      <c r="F687" s="28"/>
      <c r="G687" s="64"/>
      <c r="H687" s="64"/>
      <c r="I687" s="28"/>
      <c r="J687" s="28"/>
      <c r="K687" s="65" t="str">
        <f aca="false">IF($A687="","",IF(OR($C687="Decision",$C687="Conflict"),IF(COUNTIFS($I$2:$I$1001,$A687,$C$2:$C$1001,"Resolved")=0,"Open","Closed"),IF(AND($H687="Unconfirmed",OR($C687="New",$C687="Know")),IF(COUNTIFS($I$2:$I$1001,$A687,$C$2:$C$1001,"Confirmed")=0,"Unconfirmed","Confirmed"),"Logged")))</f>
        <v/>
      </c>
      <c r="L687" s="65" t="str">
        <f aca="false">IF($A687="","",AsOf-$B687)</f>
        <v/>
      </c>
      <c r="M687" s="65" t="str">
        <f aca="false">IF($K687="Open",IF($C687="Conflict","Critical",IF($L687&gt;=DecisionCritical,"Critical",IF($L687&gt;=DecisionWarn,"Warning","On track"))),IF($K687="Unconfirmed",IF($L687&gt;=UnconfirmedWarn,"Warning","On track"),""))</f>
        <v/>
      </c>
      <c r="N687" s="65" t="str">
        <f aca="false">IF($M687="","",IF($M687="Critical",3000,IF($M687="Warning",2000,1000))+$L687+ROW()/100000)</f>
        <v/>
      </c>
      <c r="O687" s="65" t="str">
        <f aca="false">IF($K687="Open",IF($C687="Conflict","decide "&amp;$A687&amp;": &lt;which version stands&gt;","decide "&amp;$A687&amp;": &lt;outcome&gt;"),IF($K687="Unconfirmed","confirm "&amp;$A687,""))</f>
        <v/>
      </c>
      <c r="P687" s="65" t="str">
        <f aca="false">IF(AND($C687="New",$B687&gt;=WeekStart),$B687+ROW()/100000,"")</f>
        <v/>
      </c>
      <c r="Q687" s="65" t="str">
        <f aca="false">IF(AND($C687="Know",$B687&gt;=WeekStart),$B687+ROW()/100000,"")</f>
        <v/>
      </c>
      <c r="R687" s="65" t="str">
        <f aca="false">IF(AND($K687="Open",$C687="Decision"),$L687+ROW()/100000,"")</f>
        <v/>
      </c>
      <c r="S687" s="65" t="str">
        <f aca="false">IF(AND($J687&lt;&gt;"",$J687=UCSel),$B687+ROW()/100000,"")</f>
        <v/>
      </c>
    </row>
    <row r="688" customFormat="false" ht="15" hidden="false" customHeight="false" outlineLevel="0" collapsed="false">
      <c r="A688" s="28"/>
      <c r="B688" s="63"/>
      <c r="C688" s="64"/>
      <c r="D688" s="28"/>
      <c r="E688" s="28"/>
      <c r="F688" s="28"/>
      <c r="G688" s="64"/>
      <c r="H688" s="64"/>
      <c r="I688" s="28"/>
      <c r="J688" s="28"/>
      <c r="K688" s="65" t="str">
        <f aca="false">IF($A688="","",IF(OR($C688="Decision",$C688="Conflict"),IF(COUNTIFS($I$2:$I$1001,$A688,$C$2:$C$1001,"Resolved")=0,"Open","Closed"),IF(AND($H688="Unconfirmed",OR($C688="New",$C688="Know")),IF(COUNTIFS($I$2:$I$1001,$A688,$C$2:$C$1001,"Confirmed")=0,"Unconfirmed","Confirmed"),"Logged")))</f>
        <v/>
      </c>
      <c r="L688" s="65" t="str">
        <f aca="false">IF($A688="","",AsOf-$B688)</f>
        <v/>
      </c>
      <c r="M688" s="65" t="str">
        <f aca="false">IF($K688="Open",IF($C688="Conflict","Critical",IF($L688&gt;=DecisionCritical,"Critical",IF($L688&gt;=DecisionWarn,"Warning","On track"))),IF($K688="Unconfirmed",IF($L688&gt;=UnconfirmedWarn,"Warning","On track"),""))</f>
        <v/>
      </c>
      <c r="N688" s="65" t="str">
        <f aca="false">IF($M688="","",IF($M688="Critical",3000,IF($M688="Warning",2000,1000))+$L688+ROW()/100000)</f>
        <v/>
      </c>
      <c r="O688" s="65" t="str">
        <f aca="false">IF($K688="Open",IF($C688="Conflict","decide "&amp;$A688&amp;": &lt;which version stands&gt;","decide "&amp;$A688&amp;": &lt;outcome&gt;"),IF($K688="Unconfirmed","confirm "&amp;$A688,""))</f>
        <v/>
      </c>
      <c r="P688" s="65" t="str">
        <f aca="false">IF(AND($C688="New",$B688&gt;=WeekStart),$B688+ROW()/100000,"")</f>
        <v/>
      </c>
      <c r="Q688" s="65" t="str">
        <f aca="false">IF(AND($C688="Know",$B688&gt;=WeekStart),$B688+ROW()/100000,"")</f>
        <v/>
      </c>
      <c r="R688" s="65" t="str">
        <f aca="false">IF(AND($K688="Open",$C688="Decision"),$L688+ROW()/100000,"")</f>
        <v/>
      </c>
      <c r="S688" s="65" t="str">
        <f aca="false">IF(AND($J688&lt;&gt;"",$J688=UCSel),$B688+ROW()/100000,"")</f>
        <v/>
      </c>
    </row>
    <row r="689" customFormat="false" ht="15" hidden="false" customHeight="false" outlineLevel="0" collapsed="false">
      <c r="A689" s="28"/>
      <c r="B689" s="63"/>
      <c r="C689" s="64"/>
      <c r="D689" s="28"/>
      <c r="E689" s="28"/>
      <c r="F689" s="28"/>
      <c r="G689" s="64"/>
      <c r="H689" s="64"/>
      <c r="I689" s="28"/>
      <c r="J689" s="28"/>
      <c r="K689" s="65" t="str">
        <f aca="false">IF($A689="","",IF(OR($C689="Decision",$C689="Conflict"),IF(COUNTIFS($I$2:$I$1001,$A689,$C$2:$C$1001,"Resolved")=0,"Open","Closed"),IF(AND($H689="Unconfirmed",OR($C689="New",$C689="Know")),IF(COUNTIFS($I$2:$I$1001,$A689,$C$2:$C$1001,"Confirmed")=0,"Unconfirmed","Confirmed"),"Logged")))</f>
        <v/>
      </c>
      <c r="L689" s="65" t="str">
        <f aca="false">IF($A689="","",AsOf-$B689)</f>
        <v/>
      </c>
      <c r="M689" s="65" t="str">
        <f aca="false">IF($K689="Open",IF($C689="Conflict","Critical",IF($L689&gt;=DecisionCritical,"Critical",IF($L689&gt;=DecisionWarn,"Warning","On track"))),IF($K689="Unconfirmed",IF($L689&gt;=UnconfirmedWarn,"Warning","On track"),""))</f>
        <v/>
      </c>
      <c r="N689" s="65" t="str">
        <f aca="false">IF($M689="","",IF($M689="Critical",3000,IF($M689="Warning",2000,1000))+$L689+ROW()/100000)</f>
        <v/>
      </c>
      <c r="O689" s="65" t="str">
        <f aca="false">IF($K689="Open",IF($C689="Conflict","decide "&amp;$A689&amp;": &lt;which version stands&gt;","decide "&amp;$A689&amp;": &lt;outcome&gt;"),IF($K689="Unconfirmed","confirm "&amp;$A689,""))</f>
        <v/>
      </c>
      <c r="P689" s="65" t="str">
        <f aca="false">IF(AND($C689="New",$B689&gt;=WeekStart),$B689+ROW()/100000,"")</f>
        <v/>
      </c>
      <c r="Q689" s="65" t="str">
        <f aca="false">IF(AND($C689="Know",$B689&gt;=WeekStart),$B689+ROW()/100000,"")</f>
        <v/>
      </c>
      <c r="R689" s="65" t="str">
        <f aca="false">IF(AND($K689="Open",$C689="Decision"),$L689+ROW()/100000,"")</f>
        <v/>
      </c>
      <c r="S689" s="65" t="str">
        <f aca="false">IF(AND($J689&lt;&gt;"",$J689=UCSel),$B689+ROW()/100000,"")</f>
        <v/>
      </c>
    </row>
    <row r="690" customFormat="false" ht="15" hidden="false" customHeight="false" outlineLevel="0" collapsed="false">
      <c r="A690" s="28"/>
      <c r="B690" s="63"/>
      <c r="C690" s="64"/>
      <c r="D690" s="28"/>
      <c r="E690" s="28"/>
      <c r="F690" s="28"/>
      <c r="G690" s="64"/>
      <c r="H690" s="64"/>
      <c r="I690" s="28"/>
      <c r="J690" s="28"/>
      <c r="K690" s="65" t="str">
        <f aca="false">IF($A690="","",IF(OR($C690="Decision",$C690="Conflict"),IF(COUNTIFS($I$2:$I$1001,$A690,$C$2:$C$1001,"Resolved")=0,"Open","Closed"),IF(AND($H690="Unconfirmed",OR($C690="New",$C690="Know")),IF(COUNTIFS($I$2:$I$1001,$A690,$C$2:$C$1001,"Confirmed")=0,"Unconfirmed","Confirmed"),"Logged")))</f>
        <v/>
      </c>
      <c r="L690" s="65" t="str">
        <f aca="false">IF($A690="","",AsOf-$B690)</f>
        <v/>
      </c>
      <c r="M690" s="65" t="str">
        <f aca="false">IF($K690="Open",IF($C690="Conflict","Critical",IF($L690&gt;=DecisionCritical,"Critical",IF($L690&gt;=DecisionWarn,"Warning","On track"))),IF($K690="Unconfirmed",IF($L690&gt;=UnconfirmedWarn,"Warning","On track"),""))</f>
        <v/>
      </c>
      <c r="N690" s="65" t="str">
        <f aca="false">IF($M690="","",IF($M690="Critical",3000,IF($M690="Warning",2000,1000))+$L690+ROW()/100000)</f>
        <v/>
      </c>
      <c r="O690" s="65" t="str">
        <f aca="false">IF($K690="Open",IF($C690="Conflict","decide "&amp;$A690&amp;": &lt;which version stands&gt;","decide "&amp;$A690&amp;": &lt;outcome&gt;"),IF($K690="Unconfirmed","confirm "&amp;$A690,""))</f>
        <v/>
      </c>
      <c r="P690" s="65" t="str">
        <f aca="false">IF(AND($C690="New",$B690&gt;=WeekStart),$B690+ROW()/100000,"")</f>
        <v/>
      </c>
      <c r="Q690" s="65" t="str">
        <f aca="false">IF(AND($C690="Know",$B690&gt;=WeekStart),$B690+ROW()/100000,"")</f>
        <v/>
      </c>
      <c r="R690" s="65" t="str">
        <f aca="false">IF(AND($K690="Open",$C690="Decision"),$L690+ROW()/100000,"")</f>
        <v/>
      </c>
      <c r="S690" s="65" t="str">
        <f aca="false">IF(AND($J690&lt;&gt;"",$J690=UCSel),$B690+ROW()/100000,"")</f>
        <v/>
      </c>
    </row>
    <row r="691" customFormat="false" ht="15" hidden="false" customHeight="false" outlineLevel="0" collapsed="false">
      <c r="A691" s="28"/>
      <c r="B691" s="63"/>
      <c r="C691" s="64"/>
      <c r="D691" s="28"/>
      <c r="E691" s="28"/>
      <c r="F691" s="28"/>
      <c r="G691" s="64"/>
      <c r="H691" s="64"/>
      <c r="I691" s="28"/>
      <c r="J691" s="28"/>
      <c r="K691" s="65" t="str">
        <f aca="false">IF($A691="","",IF(OR($C691="Decision",$C691="Conflict"),IF(COUNTIFS($I$2:$I$1001,$A691,$C$2:$C$1001,"Resolved")=0,"Open","Closed"),IF(AND($H691="Unconfirmed",OR($C691="New",$C691="Know")),IF(COUNTIFS($I$2:$I$1001,$A691,$C$2:$C$1001,"Confirmed")=0,"Unconfirmed","Confirmed"),"Logged")))</f>
        <v/>
      </c>
      <c r="L691" s="65" t="str">
        <f aca="false">IF($A691="","",AsOf-$B691)</f>
        <v/>
      </c>
      <c r="M691" s="65" t="str">
        <f aca="false">IF($K691="Open",IF($C691="Conflict","Critical",IF($L691&gt;=DecisionCritical,"Critical",IF($L691&gt;=DecisionWarn,"Warning","On track"))),IF($K691="Unconfirmed",IF($L691&gt;=UnconfirmedWarn,"Warning","On track"),""))</f>
        <v/>
      </c>
      <c r="N691" s="65" t="str">
        <f aca="false">IF($M691="","",IF($M691="Critical",3000,IF($M691="Warning",2000,1000))+$L691+ROW()/100000)</f>
        <v/>
      </c>
      <c r="O691" s="65" t="str">
        <f aca="false">IF($K691="Open",IF($C691="Conflict","decide "&amp;$A691&amp;": &lt;which version stands&gt;","decide "&amp;$A691&amp;": &lt;outcome&gt;"),IF($K691="Unconfirmed","confirm "&amp;$A691,""))</f>
        <v/>
      </c>
      <c r="P691" s="65" t="str">
        <f aca="false">IF(AND($C691="New",$B691&gt;=WeekStart),$B691+ROW()/100000,"")</f>
        <v/>
      </c>
      <c r="Q691" s="65" t="str">
        <f aca="false">IF(AND($C691="Know",$B691&gt;=WeekStart),$B691+ROW()/100000,"")</f>
        <v/>
      </c>
      <c r="R691" s="65" t="str">
        <f aca="false">IF(AND($K691="Open",$C691="Decision"),$L691+ROW()/100000,"")</f>
        <v/>
      </c>
      <c r="S691" s="65" t="str">
        <f aca="false">IF(AND($J691&lt;&gt;"",$J691=UCSel),$B691+ROW()/100000,"")</f>
        <v/>
      </c>
    </row>
    <row r="692" customFormat="false" ht="15" hidden="false" customHeight="false" outlineLevel="0" collapsed="false">
      <c r="A692" s="28"/>
      <c r="B692" s="63"/>
      <c r="C692" s="64"/>
      <c r="D692" s="28"/>
      <c r="E692" s="28"/>
      <c r="F692" s="28"/>
      <c r="G692" s="64"/>
      <c r="H692" s="64"/>
      <c r="I692" s="28"/>
      <c r="J692" s="28"/>
      <c r="K692" s="65" t="str">
        <f aca="false">IF($A692="","",IF(OR($C692="Decision",$C692="Conflict"),IF(COUNTIFS($I$2:$I$1001,$A692,$C$2:$C$1001,"Resolved")=0,"Open","Closed"),IF(AND($H692="Unconfirmed",OR($C692="New",$C692="Know")),IF(COUNTIFS($I$2:$I$1001,$A692,$C$2:$C$1001,"Confirmed")=0,"Unconfirmed","Confirmed"),"Logged")))</f>
        <v/>
      </c>
      <c r="L692" s="65" t="str">
        <f aca="false">IF($A692="","",AsOf-$B692)</f>
        <v/>
      </c>
      <c r="M692" s="65" t="str">
        <f aca="false">IF($K692="Open",IF($C692="Conflict","Critical",IF($L692&gt;=DecisionCritical,"Critical",IF($L692&gt;=DecisionWarn,"Warning","On track"))),IF($K692="Unconfirmed",IF($L692&gt;=UnconfirmedWarn,"Warning","On track"),""))</f>
        <v/>
      </c>
      <c r="N692" s="65" t="str">
        <f aca="false">IF($M692="","",IF($M692="Critical",3000,IF($M692="Warning",2000,1000))+$L692+ROW()/100000)</f>
        <v/>
      </c>
      <c r="O692" s="65" t="str">
        <f aca="false">IF($K692="Open",IF($C692="Conflict","decide "&amp;$A692&amp;": &lt;which version stands&gt;","decide "&amp;$A692&amp;": &lt;outcome&gt;"),IF($K692="Unconfirmed","confirm "&amp;$A692,""))</f>
        <v/>
      </c>
      <c r="P692" s="65" t="str">
        <f aca="false">IF(AND($C692="New",$B692&gt;=WeekStart),$B692+ROW()/100000,"")</f>
        <v/>
      </c>
      <c r="Q692" s="65" t="str">
        <f aca="false">IF(AND($C692="Know",$B692&gt;=WeekStart),$B692+ROW()/100000,"")</f>
        <v/>
      </c>
      <c r="R692" s="65" t="str">
        <f aca="false">IF(AND($K692="Open",$C692="Decision"),$L692+ROW()/100000,"")</f>
        <v/>
      </c>
      <c r="S692" s="65" t="str">
        <f aca="false">IF(AND($J692&lt;&gt;"",$J692=UCSel),$B692+ROW()/100000,"")</f>
        <v/>
      </c>
    </row>
    <row r="693" customFormat="false" ht="15" hidden="false" customHeight="false" outlineLevel="0" collapsed="false">
      <c r="A693" s="28"/>
      <c r="B693" s="63"/>
      <c r="C693" s="64"/>
      <c r="D693" s="28"/>
      <c r="E693" s="28"/>
      <c r="F693" s="28"/>
      <c r="G693" s="64"/>
      <c r="H693" s="64"/>
      <c r="I693" s="28"/>
      <c r="J693" s="28"/>
      <c r="K693" s="65" t="str">
        <f aca="false">IF($A693="","",IF(OR($C693="Decision",$C693="Conflict"),IF(COUNTIFS($I$2:$I$1001,$A693,$C$2:$C$1001,"Resolved")=0,"Open","Closed"),IF(AND($H693="Unconfirmed",OR($C693="New",$C693="Know")),IF(COUNTIFS($I$2:$I$1001,$A693,$C$2:$C$1001,"Confirmed")=0,"Unconfirmed","Confirmed"),"Logged")))</f>
        <v/>
      </c>
      <c r="L693" s="65" t="str">
        <f aca="false">IF($A693="","",AsOf-$B693)</f>
        <v/>
      </c>
      <c r="M693" s="65" t="str">
        <f aca="false">IF($K693="Open",IF($C693="Conflict","Critical",IF($L693&gt;=DecisionCritical,"Critical",IF($L693&gt;=DecisionWarn,"Warning","On track"))),IF($K693="Unconfirmed",IF($L693&gt;=UnconfirmedWarn,"Warning","On track"),""))</f>
        <v/>
      </c>
      <c r="N693" s="65" t="str">
        <f aca="false">IF($M693="","",IF($M693="Critical",3000,IF($M693="Warning",2000,1000))+$L693+ROW()/100000)</f>
        <v/>
      </c>
      <c r="O693" s="65" t="str">
        <f aca="false">IF($K693="Open",IF($C693="Conflict","decide "&amp;$A693&amp;": &lt;which version stands&gt;","decide "&amp;$A693&amp;": &lt;outcome&gt;"),IF($K693="Unconfirmed","confirm "&amp;$A693,""))</f>
        <v/>
      </c>
      <c r="P693" s="65" t="str">
        <f aca="false">IF(AND($C693="New",$B693&gt;=WeekStart),$B693+ROW()/100000,"")</f>
        <v/>
      </c>
      <c r="Q693" s="65" t="str">
        <f aca="false">IF(AND($C693="Know",$B693&gt;=WeekStart),$B693+ROW()/100000,"")</f>
        <v/>
      </c>
      <c r="R693" s="65" t="str">
        <f aca="false">IF(AND($K693="Open",$C693="Decision"),$L693+ROW()/100000,"")</f>
        <v/>
      </c>
      <c r="S693" s="65" t="str">
        <f aca="false">IF(AND($J693&lt;&gt;"",$J693=UCSel),$B693+ROW()/100000,"")</f>
        <v/>
      </c>
    </row>
    <row r="694" customFormat="false" ht="15" hidden="false" customHeight="false" outlineLevel="0" collapsed="false">
      <c r="A694" s="28"/>
      <c r="B694" s="63"/>
      <c r="C694" s="64"/>
      <c r="D694" s="28"/>
      <c r="E694" s="28"/>
      <c r="F694" s="28"/>
      <c r="G694" s="64"/>
      <c r="H694" s="64"/>
      <c r="I694" s="28"/>
      <c r="J694" s="28"/>
      <c r="K694" s="65" t="str">
        <f aca="false">IF($A694="","",IF(OR($C694="Decision",$C694="Conflict"),IF(COUNTIFS($I$2:$I$1001,$A694,$C$2:$C$1001,"Resolved")=0,"Open","Closed"),IF(AND($H694="Unconfirmed",OR($C694="New",$C694="Know")),IF(COUNTIFS($I$2:$I$1001,$A694,$C$2:$C$1001,"Confirmed")=0,"Unconfirmed","Confirmed"),"Logged")))</f>
        <v/>
      </c>
      <c r="L694" s="65" t="str">
        <f aca="false">IF($A694="","",AsOf-$B694)</f>
        <v/>
      </c>
      <c r="M694" s="65" t="str">
        <f aca="false">IF($K694="Open",IF($C694="Conflict","Critical",IF($L694&gt;=DecisionCritical,"Critical",IF($L694&gt;=DecisionWarn,"Warning","On track"))),IF($K694="Unconfirmed",IF($L694&gt;=UnconfirmedWarn,"Warning","On track"),""))</f>
        <v/>
      </c>
      <c r="N694" s="65" t="str">
        <f aca="false">IF($M694="","",IF($M694="Critical",3000,IF($M694="Warning",2000,1000))+$L694+ROW()/100000)</f>
        <v/>
      </c>
      <c r="O694" s="65" t="str">
        <f aca="false">IF($K694="Open",IF($C694="Conflict","decide "&amp;$A694&amp;": &lt;which version stands&gt;","decide "&amp;$A694&amp;": &lt;outcome&gt;"),IF($K694="Unconfirmed","confirm "&amp;$A694,""))</f>
        <v/>
      </c>
      <c r="P694" s="65" t="str">
        <f aca="false">IF(AND($C694="New",$B694&gt;=WeekStart),$B694+ROW()/100000,"")</f>
        <v/>
      </c>
      <c r="Q694" s="65" t="str">
        <f aca="false">IF(AND($C694="Know",$B694&gt;=WeekStart),$B694+ROW()/100000,"")</f>
        <v/>
      </c>
      <c r="R694" s="65" t="str">
        <f aca="false">IF(AND($K694="Open",$C694="Decision"),$L694+ROW()/100000,"")</f>
        <v/>
      </c>
      <c r="S694" s="65" t="str">
        <f aca="false">IF(AND($J694&lt;&gt;"",$J694=UCSel),$B694+ROW()/100000,"")</f>
        <v/>
      </c>
    </row>
    <row r="695" customFormat="false" ht="15" hidden="false" customHeight="false" outlineLevel="0" collapsed="false">
      <c r="A695" s="28"/>
      <c r="B695" s="63"/>
      <c r="C695" s="64"/>
      <c r="D695" s="28"/>
      <c r="E695" s="28"/>
      <c r="F695" s="28"/>
      <c r="G695" s="64"/>
      <c r="H695" s="64"/>
      <c r="I695" s="28"/>
      <c r="J695" s="28"/>
      <c r="K695" s="65" t="str">
        <f aca="false">IF($A695="","",IF(OR($C695="Decision",$C695="Conflict"),IF(COUNTIFS($I$2:$I$1001,$A695,$C$2:$C$1001,"Resolved")=0,"Open","Closed"),IF(AND($H695="Unconfirmed",OR($C695="New",$C695="Know")),IF(COUNTIFS($I$2:$I$1001,$A695,$C$2:$C$1001,"Confirmed")=0,"Unconfirmed","Confirmed"),"Logged")))</f>
        <v/>
      </c>
      <c r="L695" s="65" t="str">
        <f aca="false">IF($A695="","",AsOf-$B695)</f>
        <v/>
      </c>
      <c r="M695" s="65" t="str">
        <f aca="false">IF($K695="Open",IF($C695="Conflict","Critical",IF($L695&gt;=DecisionCritical,"Critical",IF($L695&gt;=DecisionWarn,"Warning","On track"))),IF($K695="Unconfirmed",IF($L695&gt;=UnconfirmedWarn,"Warning","On track"),""))</f>
        <v/>
      </c>
      <c r="N695" s="65" t="str">
        <f aca="false">IF($M695="","",IF($M695="Critical",3000,IF($M695="Warning",2000,1000))+$L695+ROW()/100000)</f>
        <v/>
      </c>
      <c r="O695" s="65" t="str">
        <f aca="false">IF($K695="Open",IF($C695="Conflict","decide "&amp;$A695&amp;": &lt;which version stands&gt;","decide "&amp;$A695&amp;": &lt;outcome&gt;"),IF($K695="Unconfirmed","confirm "&amp;$A695,""))</f>
        <v/>
      </c>
      <c r="P695" s="65" t="str">
        <f aca="false">IF(AND($C695="New",$B695&gt;=WeekStart),$B695+ROW()/100000,"")</f>
        <v/>
      </c>
      <c r="Q695" s="65" t="str">
        <f aca="false">IF(AND($C695="Know",$B695&gt;=WeekStart),$B695+ROW()/100000,"")</f>
        <v/>
      </c>
      <c r="R695" s="65" t="str">
        <f aca="false">IF(AND($K695="Open",$C695="Decision"),$L695+ROW()/100000,"")</f>
        <v/>
      </c>
      <c r="S695" s="65" t="str">
        <f aca="false">IF(AND($J695&lt;&gt;"",$J695=UCSel),$B695+ROW()/100000,"")</f>
        <v/>
      </c>
    </row>
    <row r="696" customFormat="false" ht="15" hidden="false" customHeight="false" outlineLevel="0" collapsed="false">
      <c r="A696" s="28"/>
      <c r="B696" s="63"/>
      <c r="C696" s="64"/>
      <c r="D696" s="28"/>
      <c r="E696" s="28"/>
      <c r="F696" s="28"/>
      <c r="G696" s="64"/>
      <c r="H696" s="64"/>
      <c r="I696" s="28"/>
      <c r="J696" s="28"/>
      <c r="K696" s="65" t="str">
        <f aca="false">IF($A696="","",IF(OR($C696="Decision",$C696="Conflict"),IF(COUNTIFS($I$2:$I$1001,$A696,$C$2:$C$1001,"Resolved")=0,"Open","Closed"),IF(AND($H696="Unconfirmed",OR($C696="New",$C696="Know")),IF(COUNTIFS($I$2:$I$1001,$A696,$C$2:$C$1001,"Confirmed")=0,"Unconfirmed","Confirmed"),"Logged")))</f>
        <v/>
      </c>
      <c r="L696" s="65" t="str">
        <f aca="false">IF($A696="","",AsOf-$B696)</f>
        <v/>
      </c>
      <c r="M696" s="65" t="str">
        <f aca="false">IF($K696="Open",IF($C696="Conflict","Critical",IF($L696&gt;=DecisionCritical,"Critical",IF($L696&gt;=DecisionWarn,"Warning","On track"))),IF($K696="Unconfirmed",IF($L696&gt;=UnconfirmedWarn,"Warning","On track"),""))</f>
        <v/>
      </c>
      <c r="N696" s="65" t="str">
        <f aca="false">IF($M696="","",IF($M696="Critical",3000,IF($M696="Warning",2000,1000))+$L696+ROW()/100000)</f>
        <v/>
      </c>
      <c r="O696" s="65" t="str">
        <f aca="false">IF($K696="Open",IF($C696="Conflict","decide "&amp;$A696&amp;": &lt;which version stands&gt;","decide "&amp;$A696&amp;": &lt;outcome&gt;"),IF($K696="Unconfirmed","confirm "&amp;$A696,""))</f>
        <v/>
      </c>
      <c r="P696" s="65" t="str">
        <f aca="false">IF(AND($C696="New",$B696&gt;=WeekStart),$B696+ROW()/100000,"")</f>
        <v/>
      </c>
      <c r="Q696" s="65" t="str">
        <f aca="false">IF(AND($C696="Know",$B696&gt;=WeekStart),$B696+ROW()/100000,"")</f>
        <v/>
      </c>
      <c r="R696" s="65" t="str">
        <f aca="false">IF(AND($K696="Open",$C696="Decision"),$L696+ROW()/100000,"")</f>
        <v/>
      </c>
      <c r="S696" s="65" t="str">
        <f aca="false">IF(AND($J696&lt;&gt;"",$J696=UCSel),$B696+ROW()/100000,"")</f>
        <v/>
      </c>
    </row>
    <row r="697" customFormat="false" ht="15" hidden="false" customHeight="false" outlineLevel="0" collapsed="false">
      <c r="A697" s="28"/>
      <c r="B697" s="63"/>
      <c r="C697" s="64"/>
      <c r="D697" s="28"/>
      <c r="E697" s="28"/>
      <c r="F697" s="28"/>
      <c r="G697" s="64"/>
      <c r="H697" s="64"/>
      <c r="I697" s="28"/>
      <c r="J697" s="28"/>
      <c r="K697" s="65" t="str">
        <f aca="false">IF($A697="","",IF(OR($C697="Decision",$C697="Conflict"),IF(COUNTIFS($I$2:$I$1001,$A697,$C$2:$C$1001,"Resolved")=0,"Open","Closed"),IF(AND($H697="Unconfirmed",OR($C697="New",$C697="Know")),IF(COUNTIFS($I$2:$I$1001,$A697,$C$2:$C$1001,"Confirmed")=0,"Unconfirmed","Confirmed"),"Logged")))</f>
        <v/>
      </c>
      <c r="L697" s="65" t="str">
        <f aca="false">IF($A697="","",AsOf-$B697)</f>
        <v/>
      </c>
      <c r="M697" s="65" t="str">
        <f aca="false">IF($K697="Open",IF($C697="Conflict","Critical",IF($L697&gt;=DecisionCritical,"Critical",IF($L697&gt;=DecisionWarn,"Warning","On track"))),IF($K697="Unconfirmed",IF($L697&gt;=UnconfirmedWarn,"Warning","On track"),""))</f>
        <v/>
      </c>
      <c r="N697" s="65" t="str">
        <f aca="false">IF($M697="","",IF($M697="Critical",3000,IF($M697="Warning",2000,1000))+$L697+ROW()/100000)</f>
        <v/>
      </c>
      <c r="O697" s="65" t="str">
        <f aca="false">IF($K697="Open",IF($C697="Conflict","decide "&amp;$A697&amp;": &lt;which version stands&gt;","decide "&amp;$A697&amp;": &lt;outcome&gt;"),IF($K697="Unconfirmed","confirm "&amp;$A697,""))</f>
        <v/>
      </c>
      <c r="P697" s="65" t="str">
        <f aca="false">IF(AND($C697="New",$B697&gt;=WeekStart),$B697+ROW()/100000,"")</f>
        <v/>
      </c>
      <c r="Q697" s="65" t="str">
        <f aca="false">IF(AND($C697="Know",$B697&gt;=WeekStart),$B697+ROW()/100000,"")</f>
        <v/>
      </c>
      <c r="R697" s="65" t="str">
        <f aca="false">IF(AND($K697="Open",$C697="Decision"),$L697+ROW()/100000,"")</f>
        <v/>
      </c>
      <c r="S697" s="65" t="str">
        <f aca="false">IF(AND($J697&lt;&gt;"",$J697=UCSel),$B697+ROW()/100000,"")</f>
        <v/>
      </c>
    </row>
    <row r="698" customFormat="false" ht="15" hidden="false" customHeight="false" outlineLevel="0" collapsed="false">
      <c r="A698" s="28"/>
      <c r="B698" s="63"/>
      <c r="C698" s="64"/>
      <c r="D698" s="28"/>
      <c r="E698" s="28"/>
      <c r="F698" s="28"/>
      <c r="G698" s="64"/>
      <c r="H698" s="64"/>
      <c r="I698" s="28"/>
      <c r="J698" s="28"/>
      <c r="K698" s="65" t="str">
        <f aca="false">IF($A698="","",IF(OR($C698="Decision",$C698="Conflict"),IF(COUNTIFS($I$2:$I$1001,$A698,$C$2:$C$1001,"Resolved")=0,"Open","Closed"),IF(AND($H698="Unconfirmed",OR($C698="New",$C698="Know")),IF(COUNTIFS($I$2:$I$1001,$A698,$C$2:$C$1001,"Confirmed")=0,"Unconfirmed","Confirmed"),"Logged")))</f>
        <v/>
      </c>
      <c r="L698" s="65" t="str">
        <f aca="false">IF($A698="","",AsOf-$B698)</f>
        <v/>
      </c>
      <c r="M698" s="65" t="str">
        <f aca="false">IF($K698="Open",IF($C698="Conflict","Critical",IF($L698&gt;=DecisionCritical,"Critical",IF($L698&gt;=DecisionWarn,"Warning","On track"))),IF($K698="Unconfirmed",IF($L698&gt;=UnconfirmedWarn,"Warning","On track"),""))</f>
        <v/>
      </c>
      <c r="N698" s="65" t="str">
        <f aca="false">IF($M698="","",IF($M698="Critical",3000,IF($M698="Warning",2000,1000))+$L698+ROW()/100000)</f>
        <v/>
      </c>
      <c r="O698" s="65" t="str">
        <f aca="false">IF($K698="Open",IF($C698="Conflict","decide "&amp;$A698&amp;": &lt;which version stands&gt;","decide "&amp;$A698&amp;": &lt;outcome&gt;"),IF($K698="Unconfirmed","confirm "&amp;$A698,""))</f>
        <v/>
      </c>
      <c r="P698" s="65" t="str">
        <f aca="false">IF(AND($C698="New",$B698&gt;=WeekStart),$B698+ROW()/100000,"")</f>
        <v/>
      </c>
      <c r="Q698" s="65" t="str">
        <f aca="false">IF(AND($C698="Know",$B698&gt;=WeekStart),$B698+ROW()/100000,"")</f>
        <v/>
      </c>
      <c r="R698" s="65" t="str">
        <f aca="false">IF(AND($K698="Open",$C698="Decision"),$L698+ROW()/100000,"")</f>
        <v/>
      </c>
      <c r="S698" s="65" t="str">
        <f aca="false">IF(AND($J698&lt;&gt;"",$J698=UCSel),$B698+ROW()/100000,"")</f>
        <v/>
      </c>
    </row>
    <row r="699" customFormat="false" ht="15" hidden="false" customHeight="false" outlineLevel="0" collapsed="false">
      <c r="A699" s="28"/>
      <c r="B699" s="63"/>
      <c r="C699" s="64"/>
      <c r="D699" s="28"/>
      <c r="E699" s="28"/>
      <c r="F699" s="28"/>
      <c r="G699" s="64"/>
      <c r="H699" s="64"/>
      <c r="I699" s="28"/>
      <c r="J699" s="28"/>
      <c r="K699" s="65" t="str">
        <f aca="false">IF($A699="","",IF(OR($C699="Decision",$C699="Conflict"),IF(COUNTIFS($I$2:$I$1001,$A699,$C$2:$C$1001,"Resolved")=0,"Open","Closed"),IF(AND($H699="Unconfirmed",OR($C699="New",$C699="Know")),IF(COUNTIFS($I$2:$I$1001,$A699,$C$2:$C$1001,"Confirmed")=0,"Unconfirmed","Confirmed"),"Logged")))</f>
        <v/>
      </c>
      <c r="L699" s="65" t="str">
        <f aca="false">IF($A699="","",AsOf-$B699)</f>
        <v/>
      </c>
      <c r="M699" s="65" t="str">
        <f aca="false">IF($K699="Open",IF($C699="Conflict","Critical",IF($L699&gt;=DecisionCritical,"Critical",IF($L699&gt;=DecisionWarn,"Warning","On track"))),IF($K699="Unconfirmed",IF($L699&gt;=UnconfirmedWarn,"Warning","On track"),""))</f>
        <v/>
      </c>
      <c r="N699" s="65" t="str">
        <f aca="false">IF($M699="","",IF($M699="Critical",3000,IF($M699="Warning",2000,1000))+$L699+ROW()/100000)</f>
        <v/>
      </c>
      <c r="O699" s="65" t="str">
        <f aca="false">IF($K699="Open",IF($C699="Conflict","decide "&amp;$A699&amp;": &lt;which version stands&gt;","decide "&amp;$A699&amp;": &lt;outcome&gt;"),IF($K699="Unconfirmed","confirm "&amp;$A699,""))</f>
        <v/>
      </c>
      <c r="P699" s="65" t="str">
        <f aca="false">IF(AND($C699="New",$B699&gt;=WeekStart),$B699+ROW()/100000,"")</f>
        <v/>
      </c>
      <c r="Q699" s="65" t="str">
        <f aca="false">IF(AND($C699="Know",$B699&gt;=WeekStart),$B699+ROW()/100000,"")</f>
        <v/>
      </c>
      <c r="R699" s="65" t="str">
        <f aca="false">IF(AND($K699="Open",$C699="Decision"),$L699+ROW()/100000,"")</f>
        <v/>
      </c>
      <c r="S699" s="65" t="str">
        <f aca="false">IF(AND($J699&lt;&gt;"",$J699=UCSel),$B699+ROW()/100000,"")</f>
        <v/>
      </c>
    </row>
    <row r="700" customFormat="false" ht="15" hidden="false" customHeight="false" outlineLevel="0" collapsed="false">
      <c r="A700" s="28"/>
      <c r="B700" s="63"/>
      <c r="C700" s="64"/>
      <c r="D700" s="28"/>
      <c r="E700" s="28"/>
      <c r="F700" s="28"/>
      <c r="G700" s="64"/>
      <c r="H700" s="64"/>
      <c r="I700" s="28"/>
      <c r="J700" s="28"/>
      <c r="K700" s="65" t="str">
        <f aca="false">IF($A700="","",IF(OR($C700="Decision",$C700="Conflict"),IF(COUNTIFS($I$2:$I$1001,$A700,$C$2:$C$1001,"Resolved")=0,"Open","Closed"),IF(AND($H700="Unconfirmed",OR($C700="New",$C700="Know")),IF(COUNTIFS($I$2:$I$1001,$A700,$C$2:$C$1001,"Confirmed")=0,"Unconfirmed","Confirmed"),"Logged")))</f>
        <v/>
      </c>
      <c r="L700" s="65" t="str">
        <f aca="false">IF($A700="","",AsOf-$B700)</f>
        <v/>
      </c>
      <c r="M700" s="65" t="str">
        <f aca="false">IF($K700="Open",IF($C700="Conflict","Critical",IF($L700&gt;=DecisionCritical,"Critical",IF($L700&gt;=DecisionWarn,"Warning","On track"))),IF($K700="Unconfirmed",IF($L700&gt;=UnconfirmedWarn,"Warning","On track"),""))</f>
        <v/>
      </c>
      <c r="N700" s="65" t="str">
        <f aca="false">IF($M700="","",IF($M700="Critical",3000,IF($M700="Warning",2000,1000))+$L700+ROW()/100000)</f>
        <v/>
      </c>
      <c r="O700" s="65" t="str">
        <f aca="false">IF($K700="Open",IF($C700="Conflict","decide "&amp;$A700&amp;": &lt;which version stands&gt;","decide "&amp;$A700&amp;": &lt;outcome&gt;"),IF($K700="Unconfirmed","confirm "&amp;$A700,""))</f>
        <v/>
      </c>
      <c r="P700" s="65" t="str">
        <f aca="false">IF(AND($C700="New",$B700&gt;=WeekStart),$B700+ROW()/100000,"")</f>
        <v/>
      </c>
      <c r="Q700" s="65" t="str">
        <f aca="false">IF(AND($C700="Know",$B700&gt;=WeekStart),$B700+ROW()/100000,"")</f>
        <v/>
      </c>
      <c r="R700" s="65" t="str">
        <f aca="false">IF(AND($K700="Open",$C700="Decision"),$L700+ROW()/100000,"")</f>
        <v/>
      </c>
      <c r="S700" s="65" t="str">
        <f aca="false">IF(AND($J700&lt;&gt;"",$J700=UCSel),$B700+ROW()/100000,"")</f>
        <v/>
      </c>
    </row>
    <row r="701" customFormat="false" ht="15" hidden="false" customHeight="false" outlineLevel="0" collapsed="false">
      <c r="A701" s="28"/>
      <c r="B701" s="63"/>
      <c r="C701" s="64"/>
      <c r="D701" s="28"/>
      <c r="E701" s="28"/>
      <c r="F701" s="28"/>
      <c r="G701" s="64"/>
      <c r="H701" s="64"/>
      <c r="I701" s="28"/>
      <c r="J701" s="28"/>
      <c r="K701" s="65" t="str">
        <f aca="false">IF($A701="","",IF(OR($C701="Decision",$C701="Conflict"),IF(COUNTIFS($I$2:$I$1001,$A701,$C$2:$C$1001,"Resolved")=0,"Open","Closed"),IF(AND($H701="Unconfirmed",OR($C701="New",$C701="Know")),IF(COUNTIFS($I$2:$I$1001,$A701,$C$2:$C$1001,"Confirmed")=0,"Unconfirmed","Confirmed"),"Logged")))</f>
        <v/>
      </c>
      <c r="L701" s="65" t="str">
        <f aca="false">IF($A701="","",AsOf-$B701)</f>
        <v/>
      </c>
      <c r="M701" s="65" t="str">
        <f aca="false">IF($K701="Open",IF($C701="Conflict","Critical",IF($L701&gt;=DecisionCritical,"Critical",IF($L701&gt;=DecisionWarn,"Warning","On track"))),IF($K701="Unconfirmed",IF($L701&gt;=UnconfirmedWarn,"Warning","On track"),""))</f>
        <v/>
      </c>
      <c r="N701" s="65" t="str">
        <f aca="false">IF($M701="","",IF($M701="Critical",3000,IF($M701="Warning",2000,1000))+$L701+ROW()/100000)</f>
        <v/>
      </c>
      <c r="O701" s="65" t="str">
        <f aca="false">IF($K701="Open",IF($C701="Conflict","decide "&amp;$A701&amp;": &lt;which version stands&gt;","decide "&amp;$A701&amp;": &lt;outcome&gt;"),IF($K701="Unconfirmed","confirm "&amp;$A701,""))</f>
        <v/>
      </c>
      <c r="P701" s="65" t="str">
        <f aca="false">IF(AND($C701="New",$B701&gt;=WeekStart),$B701+ROW()/100000,"")</f>
        <v/>
      </c>
      <c r="Q701" s="65" t="str">
        <f aca="false">IF(AND($C701="Know",$B701&gt;=WeekStart),$B701+ROW()/100000,"")</f>
        <v/>
      </c>
      <c r="R701" s="65" t="str">
        <f aca="false">IF(AND($K701="Open",$C701="Decision"),$L701+ROW()/100000,"")</f>
        <v/>
      </c>
      <c r="S701" s="65" t="str">
        <f aca="false">IF(AND($J701&lt;&gt;"",$J701=UCSel),$B701+ROW()/100000,"")</f>
        <v/>
      </c>
    </row>
    <row r="702" customFormat="false" ht="15" hidden="false" customHeight="false" outlineLevel="0" collapsed="false">
      <c r="A702" s="28"/>
      <c r="B702" s="63"/>
      <c r="C702" s="64"/>
      <c r="D702" s="28"/>
      <c r="E702" s="28"/>
      <c r="F702" s="28"/>
      <c r="G702" s="64"/>
      <c r="H702" s="64"/>
      <c r="I702" s="28"/>
      <c r="J702" s="28"/>
      <c r="K702" s="65" t="str">
        <f aca="false">IF($A702="","",IF(OR($C702="Decision",$C702="Conflict"),IF(COUNTIFS($I$2:$I$1001,$A702,$C$2:$C$1001,"Resolved")=0,"Open","Closed"),IF(AND($H702="Unconfirmed",OR($C702="New",$C702="Know")),IF(COUNTIFS($I$2:$I$1001,$A702,$C$2:$C$1001,"Confirmed")=0,"Unconfirmed","Confirmed"),"Logged")))</f>
        <v/>
      </c>
      <c r="L702" s="65" t="str">
        <f aca="false">IF($A702="","",AsOf-$B702)</f>
        <v/>
      </c>
      <c r="M702" s="65" t="str">
        <f aca="false">IF($K702="Open",IF($C702="Conflict","Critical",IF($L702&gt;=DecisionCritical,"Critical",IF($L702&gt;=DecisionWarn,"Warning","On track"))),IF($K702="Unconfirmed",IF($L702&gt;=UnconfirmedWarn,"Warning","On track"),""))</f>
        <v/>
      </c>
      <c r="N702" s="65" t="str">
        <f aca="false">IF($M702="","",IF($M702="Critical",3000,IF($M702="Warning",2000,1000))+$L702+ROW()/100000)</f>
        <v/>
      </c>
      <c r="O702" s="65" t="str">
        <f aca="false">IF($K702="Open",IF($C702="Conflict","decide "&amp;$A702&amp;": &lt;which version stands&gt;","decide "&amp;$A702&amp;": &lt;outcome&gt;"),IF($K702="Unconfirmed","confirm "&amp;$A702,""))</f>
        <v/>
      </c>
      <c r="P702" s="65" t="str">
        <f aca="false">IF(AND($C702="New",$B702&gt;=WeekStart),$B702+ROW()/100000,"")</f>
        <v/>
      </c>
      <c r="Q702" s="65" t="str">
        <f aca="false">IF(AND($C702="Know",$B702&gt;=WeekStart),$B702+ROW()/100000,"")</f>
        <v/>
      </c>
      <c r="R702" s="65" t="str">
        <f aca="false">IF(AND($K702="Open",$C702="Decision"),$L702+ROW()/100000,"")</f>
        <v/>
      </c>
      <c r="S702" s="65" t="str">
        <f aca="false">IF(AND($J702&lt;&gt;"",$J702=UCSel),$B702+ROW()/100000,"")</f>
        <v/>
      </c>
    </row>
    <row r="703" customFormat="false" ht="15" hidden="false" customHeight="false" outlineLevel="0" collapsed="false">
      <c r="A703" s="28"/>
      <c r="B703" s="63"/>
      <c r="C703" s="64"/>
      <c r="D703" s="28"/>
      <c r="E703" s="28"/>
      <c r="F703" s="28"/>
      <c r="G703" s="64"/>
      <c r="H703" s="64"/>
      <c r="I703" s="28"/>
      <c r="J703" s="28"/>
      <c r="K703" s="65" t="str">
        <f aca="false">IF($A703="","",IF(OR($C703="Decision",$C703="Conflict"),IF(COUNTIFS($I$2:$I$1001,$A703,$C$2:$C$1001,"Resolved")=0,"Open","Closed"),IF(AND($H703="Unconfirmed",OR($C703="New",$C703="Know")),IF(COUNTIFS($I$2:$I$1001,$A703,$C$2:$C$1001,"Confirmed")=0,"Unconfirmed","Confirmed"),"Logged")))</f>
        <v/>
      </c>
      <c r="L703" s="65" t="str">
        <f aca="false">IF($A703="","",AsOf-$B703)</f>
        <v/>
      </c>
      <c r="M703" s="65" t="str">
        <f aca="false">IF($K703="Open",IF($C703="Conflict","Critical",IF($L703&gt;=DecisionCritical,"Critical",IF($L703&gt;=DecisionWarn,"Warning","On track"))),IF($K703="Unconfirmed",IF($L703&gt;=UnconfirmedWarn,"Warning","On track"),""))</f>
        <v/>
      </c>
      <c r="N703" s="65" t="str">
        <f aca="false">IF($M703="","",IF($M703="Critical",3000,IF($M703="Warning",2000,1000))+$L703+ROW()/100000)</f>
        <v/>
      </c>
      <c r="O703" s="65" t="str">
        <f aca="false">IF($K703="Open",IF($C703="Conflict","decide "&amp;$A703&amp;": &lt;which version stands&gt;","decide "&amp;$A703&amp;": &lt;outcome&gt;"),IF($K703="Unconfirmed","confirm "&amp;$A703,""))</f>
        <v/>
      </c>
      <c r="P703" s="65" t="str">
        <f aca="false">IF(AND($C703="New",$B703&gt;=WeekStart),$B703+ROW()/100000,"")</f>
        <v/>
      </c>
      <c r="Q703" s="65" t="str">
        <f aca="false">IF(AND($C703="Know",$B703&gt;=WeekStart),$B703+ROW()/100000,"")</f>
        <v/>
      </c>
      <c r="R703" s="65" t="str">
        <f aca="false">IF(AND($K703="Open",$C703="Decision"),$L703+ROW()/100000,"")</f>
        <v/>
      </c>
      <c r="S703" s="65" t="str">
        <f aca="false">IF(AND($J703&lt;&gt;"",$J703=UCSel),$B703+ROW()/100000,"")</f>
        <v/>
      </c>
    </row>
    <row r="704" customFormat="false" ht="15" hidden="false" customHeight="false" outlineLevel="0" collapsed="false">
      <c r="A704" s="28"/>
      <c r="B704" s="63"/>
      <c r="C704" s="64"/>
      <c r="D704" s="28"/>
      <c r="E704" s="28"/>
      <c r="F704" s="28"/>
      <c r="G704" s="64"/>
      <c r="H704" s="64"/>
      <c r="I704" s="28"/>
      <c r="J704" s="28"/>
      <c r="K704" s="65" t="str">
        <f aca="false">IF($A704="","",IF(OR($C704="Decision",$C704="Conflict"),IF(COUNTIFS($I$2:$I$1001,$A704,$C$2:$C$1001,"Resolved")=0,"Open","Closed"),IF(AND($H704="Unconfirmed",OR($C704="New",$C704="Know")),IF(COUNTIFS($I$2:$I$1001,$A704,$C$2:$C$1001,"Confirmed")=0,"Unconfirmed","Confirmed"),"Logged")))</f>
        <v/>
      </c>
      <c r="L704" s="65" t="str">
        <f aca="false">IF($A704="","",AsOf-$B704)</f>
        <v/>
      </c>
      <c r="M704" s="65" t="str">
        <f aca="false">IF($K704="Open",IF($C704="Conflict","Critical",IF($L704&gt;=DecisionCritical,"Critical",IF($L704&gt;=DecisionWarn,"Warning","On track"))),IF($K704="Unconfirmed",IF($L704&gt;=UnconfirmedWarn,"Warning","On track"),""))</f>
        <v/>
      </c>
      <c r="N704" s="65" t="str">
        <f aca="false">IF($M704="","",IF($M704="Critical",3000,IF($M704="Warning",2000,1000))+$L704+ROW()/100000)</f>
        <v/>
      </c>
      <c r="O704" s="65" t="str">
        <f aca="false">IF($K704="Open",IF($C704="Conflict","decide "&amp;$A704&amp;": &lt;which version stands&gt;","decide "&amp;$A704&amp;": &lt;outcome&gt;"),IF($K704="Unconfirmed","confirm "&amp;$A704,""))</f>
        <v/>
      </c>
      <c r="P704" s="65" t="str">
        <f aca="false">IF(AND($C704="New",$B704&gt;=WeekStart),$B704+ROW()/100000,"")</f>
        <v/>
      </c>
      <c r="Q704" s="65" t="str">
        <f aca="false">IF(AND($C704="Know",$B704&gt;=WeekStart),$B704+ROW()/100000,"")</f>
        <v/>
      </c>
      <c r="R704" s="65" t="str">
        <f aca="false">IF(AND($K704="Open",$C704="Decision"),$L704+ROW()/100000,"")</f>
        <v/>
      </c>
      <c r="S704" s="65" t="str">
        <f aca="false">IF(AND($J704&lt;&gt;"",$J704=UCSel),$B704+ROW()/100000,"")</f>
        <v/>
      </c>
    </row>
    <row r="705" customFormat="false" ht="15" hidden="false" customHeight="false" outlineLevel="0" collapsed="false">
      <c r="A705" s="28"/>
      <c r="B705" s="63"/>
      <c r="C705" s="64"/>
      <c r="D705" s="28"/>
      <c r="E705" s="28"/>
      <c r="F705" s="28"/>
      <c r="G705" s="64"/>
      <c r="H705" s="64"/>
      <c r="I705" s="28"/>
      <c r="J705" s="28"/>
      <c r="K705" s="65" t="str">
        <f aca="false">IF($A705="","",IF(OR($C705="Decision",$C705="Conflict"),IF(COUNTIFS($I$2:$I$1001,$A705,$C$2:$C$1001,"Resolved")=0,"Open","Closed"),IF(AND($H705="Unconfirmed",OR($C705="New",$C705="Know")),IF(COUNTIFS($I$2:$I$1001,$A705,$C$2:$C$1001,"Confirmed")=0,"Unconfirmed","Confirmed"),"Logged")))</f>
        <v/>
      </c>
      <c r="L705" s="65" t="str">
        <f aca="false">IF($A705="","",AsOf-$B705)</f>
        <v/>
      </c>
      <c r="M705" s="65" t="str">
        <f aca="false">IF($K705="Open",IF($C705="Conflict","Critical",IF($L705&gt;=DecisionCritical,"Critical",IF($L705&gt;=DecisionWarn,"Warning","On track"))),IF($K705="Unconfirmed",IF($L705&gt;=UnconfirmedWarn,"Warning","On track"),""))</f>
        <v/>
      </c>
      <c r="N705" s="65" t="str">
        <f aca="false">IF($M705="","",IF($M705="Critical",3000,IF($M705="Warning",2000,1000))+$L705+ROW()/100000)</f>
        <v/>
      </c>
      <c r="O705" s="65" t="str">
        <f aca="false">IF($K705="Open",IF($C705="Conflict","decide "&amp;$A705&amp;": &lt;which version stands&gt;","decide "&amp;$A705&amp;": &lt;outcome&gt;"),IF($K705="Unconfirmed","confirm "&amp;$A705,""))</f>
        <v/>
      </c>
      <c r="P705" s="65" t="str">
        <f aca="false">IF(AND($C705="New",$B705&gt;=WeekStart),$B705+ROW()/100000,"")</f>
        <v/>
      </c>
      <c r="Q705" s="65" t="str">
        <f aca="false">IF(AND($C705="Know",$B705&gt;=WeekStart),$B705+ROW()/100000,"")</f>
        <v/>
      </c>
      <c r="R705" s="65" t="str">
        <f aca="false">IF(AND($K705="Open",$C705="Decision"),$L705+ROW()/100000,"")</f>
        <v/>
      </c>
      <c r="S705" s="65" t="str">
        <f aca="false">IF(AND($J705&lt;&gt;"",$J705=UCSel),$B705+ROW()/100000,"")</f>
        <v/>
      </c>
    </row>
    <row r="706" customFormat="false" ht="15" hidden="false" customHeight="false" outlineLevel="0" collapsed="false">
      <c r="A706" s="28"/>
      <c r="B706" s="63"/>
      <c r="C706" s="64"/>
      <c r="D706" s="28"/>
      <c r="E706" s="28"/>
      <c r="F706" s="28"/>
      <c r="G706" s="64"/>
      <c r="H706" s="64"/>
      <c r="I706" s="28"/>
      <c r="J706" s="28"/>
      <c r="K706" s="65" t="str">
        <f aca="false">IF($A706="","",IF(OR($C706="Decision",$C706="Conflict"),IF(COUNTIFS($I$2:$I$1001,$A706,$C$2:$C$1001,"Resolved")=0,"Open","Closed"),IF(AND($H706="Unconfirmed",OR($C706="New",$C706="Know")),IF(COUNTIFS($I$2:$I$1001,$A706,$C$2:$C$1001,"Confirmed")=0,"Unconfirmed","Confirmed"),"Logged")))</f>
        <v/>
      </c>
      <c r="L706" s="65" t="str">
        <f aca="false">IF($A706="","",AsOf-$B706)</f>
        <v/>
      </c>
      <c r="M706" s="65" t="str">
        <f aca="false">IF($K706="Open",IF($C706="Conflict","Critical",IF($L706&gt;=DecisionCritical,"Critical",IF($L706&gt;=DecisionWarn,"Warning","On track"))),IF($K706="Unconfirmed",IF($L706&gt;=UnconfirmedWarn,"Warning","On track"),""))</f>
        <v/>
      </c>
      <c r="N706" s="65" t="str">
        <f aca="false">IF($M706="","",IF($M706="Critical",3000,IF($M706="Warning",2000,1000))+$L706+ROW()/100000)</f>
        <v/>
      </c>
      <c r="O706" s="65" t="str">
        <f aca="false">IF($K706="Open",IF($C706="Conflict","decide "&amp;$A706&amp;": &lt;which version stands&gt;","decide "&amp;$A706&amp;": &lt;outcome&gt;"),IF($K706="Unconfirmed","confirm "&amp;$A706,""))</f>
        <v/>
      </c>
      <c r="P706" s="65" t="str">
        <f aca="false">IF(AND($C706="New",$B706&gt;=WeekStart),$B706+ROW()/100000,"")</f>
        <v/>
      </c>
      <c r="Q706" s="65" t="str">
        <f aca="false">IF(AND($C706="Know",$B706&gt;=WeekStart),$B706+ROW()/100000,"")</f>
        <v/>
      </c>
      <c r="R706" s="65" t="str">
        <f aca="false">IF(AND($K706="Open",$C706="Decision"),$L706+ROW()/100000,"")</f>
        <v/>
      </c>
      <c r="S706" s="65" t="str">
        <f aca="false">IF(AND($J706&lt;&gt;"",$J706=UCSel),$B706+ROW()/100000,"")</f>
        <v/>
      </c>
    </row>
    <row r="707" customFormat="false" ht="15" hidden="false" customHeight="false" outlineLevel="0" collapsed="false">
      <c r="A707" s="28"/>
      <c r="B707" s="63"/>
      <c r="C707" s="64"/>
      <c r="D707" s="28"/>
      <c r="E707" s="28"/>
      <c r="F707" s="28"/>
      <c r="G707" s="64"/>
      <c r="H707" s="64"/>
      <c r="I707" s="28"/>
      <c r="J707" s="28"/>
      <c r="K707" s="65" t="str">
        <f aca="false">IF($A707="","",IF(OR($C707="Decision",$C707="Conflict"),IF(COUNTIFS($I$2:$I$1001,$A707,$C$2:$C$1001,"Resolved")=0,"Open","Closed"),IF(AND($H707="Unconfirmed",OR($C707="New",$C707="Know")),IF(COUNTIFS($I$2:$I$1001,$A707,$C$2:$C$1001,"Confirmed")=0,"Unconfirmed","Confirmed"),"Logged")))</f>
        <v/>
      </c>
      <c r="L707" s="65" t="str">
        <f aca="false">IF($A707="","",AsOf-$B707)</f>
        <v/>
      </c>
      <c r="M707" s="65" t="str">
        <f aca="false">IF($K707="Open",IF($C707="Conflict","Critical",IF($L707&gt;=DecisionCritical,"Critical",IF($L707&gt;=DecisionWarn,"Warning","On track"))),IF($K707="Unconfirmed",IF($L707&gt;=UnconfirmedWarn,"Warning","On track"),""))</f>
        <v/>
      </c>
      <c r="N707" s="65" t="str">
        <f aca="false">IF($M707="","",IF($M707="Critical",3000,IF($M707="Warning",2000,1000))+$L707+ROW()/100000)</f>
        <v/>
      </c>
      <c r="O707" s="65" t="str">
        <f aca="false">IF($K707="Open",IF($C707="Conflict","decide "&amp;$A707&amp;": &lt;which version stands&gt;","decide "&amp;$A707&amp;": &lt;outcome&gt;"),IF($K707="Unconfirmed","confirm "&amp;$A707,""))</f>
        <v/>
      </c>
      <c r="P707" s="65" t="str">
        <f aca="false">IF(AND($C707="New",$B707&gt;=WeekStart),$B707+ROW()/100000,"")</f>
        <v/>
      </c>
      <c r="Q707" s="65" t="str">
        <f aca="false">IF(AND($C707="Know",$B707&gt;=WeekStart),$B707+ROW()/100000,"")</f>
        <v/>
      </c>
      <c r="R707" s="65" t="str">
        <f aca="false">IF(AND($K707="Open",$C707="Decision"),$L707+ROW()/100000,"")</f>
        <v/>
      </c>
      <c r="S707" s="65" t="str">
        <f aca="false">IF(AND($J707&lt;&gt;"",$J707=UCSel),$B707+ROW()/100000,"")</f>
        <v/>
      </c>
    </row>
    <row r="708" customFormat="false" ht="15" hidden="false" customHeight="false" outlineLevel="0" collapsed="false">
      <c r="A708" s="28"/>
      <c r="B708" s="63"/>
      <c r="C708" s="64"/>
      <c r="D708" s="28"/>
      <c r="E708" s="28"/>
      <c r="F708" s="28"/>
      <c r="G708" s="64"/>
      <c r="H708" s="64"/>
      <c r="I708" s="28"/>
      <c r="J708" s="28"/>
      <c r="K708" s="65" t="str">
        <f aca="false">IF($A708="","",IF(OR($C708="Decision",$C708="Conflict"),IF(COUNTIFS($I$2:$I$1001,$A708,$C$2:$C$1001,"Resolved")=0,"Open","Closed"),IF(AND($H708="Unconfirmed",OR($C708="New",$C708="Know")),IF(COUNTIFS($I$2:$I$1001,$A708,$C$2:$C$1001,"Confirmed")=0,"Unconfirmed","Confirmed"),"Logged")))</f>
        <v/>
      </c>
      <c r="L708" s="65" t="str">
        <f aca="false">IF($A708="","",AsOf-$B708)</f>
        <v/>
      </c>
      <c r="M708" s="65" t="str">
        <f aca="false">IF($K708="Open",IF($C708="Conflict","Critical",IF($L708&gt;=DecisionCritical,"Critical",IF($L708&gt;=DecisionWarn,"Warning","On track"))),IF($K708="Unconfirmed",IF($L708&gt;=UnconfirmedWarn,"Warning","On track"),""))</f>
        <v/>
      </c>
      <c r="N708" s="65" t="str">
        <f aca="false">IF($M708="","",IF($M708="Critical",3000,IF($M708="Warning",2000,1000))+$L708+ROW()/100000)</f>
        <v/>
      </c>
      <c r="O708" s="65" t="str">
        <f aca="false">IF($K708="Open",IF($C708="Conflict","decide "&amp;$A708&amp;": &lt;which version stands&gt;","decide "&amp;$A708&amp;": &lt;outcome&gt;"),IF($K708="Unconfirmed","confirm "&amp;$A708,""))</f>
        <v/>
      </c>
      <c r="P708" s="65" t="str">
        <f aca="false">IF(AND($C708="New",$B708&gt;=WeekStart),$B708+ROW()/100000,"")</f>
        <v/>
      </c>
      <c r="Q708" s="65" t="str">
        <f aca="false">IF(AND($C708="Know",$B708&gt;=WeekStart),$B708+ROW()/100000,"")</f>
        <v/>
      </c>
      <c r="R708" s="65" t="str">
        <f aca="false">IF(AND($K708="Open",$C708="Decision"),$L708+ROW()/100000,"")</f>
        <v/>
      </c>
      <c r="S708" s="65" t="str">
        <f aca="false">IF(AND($J708&lt;&gt;"",$J708=UCSel),$B708+ROW()/100000,"")</f>
        <v/>
      </c>
    </row>
    <row r="709" customFormat="false" ht="15" hidden="false" customHeight="false" outlineLevel="0" collapsed="false">
      <c r="A709" s="28"/>
      <c r="B709" s="63"/>
      <c r="C709" s="64"/>
      <c r="D709" s="28"/>
      <c r="E709" s="28"/>
      <c r="F709" s="28"/>
      <c r="G709" s="64"/>
      <c r="H709" s="64"/>
      <c r="I709" s="28"/>
      <c r="J709" s="28"/>
      <c r="K709" s="65" t="str">
        <f aca="false">IF($A709="","",IF(OR($C709="Decision",$C709="Conflict"),IF(COUNTIFS($I$2:$I$1001,$A709,$C$2:$C$1001,"Resolved")=0,"Open","Closed"),IF(AND($H709="Unconfirmed",OR($C709="New",$C709="Know")),IF(COUNTIFS($I$2:$I$1001,$A709,$C$2:$C$1001,"Confirmed")=0,"Unconfirmed","Confirmed"),"Logged")))</f>
        <v/>
      </c>
      <c r="L709" s="65" t="str">
        <f aca="false">IF($A709="","",AsOf-$B709)</f>
        <v/>
      </c>
      <c r="M709" s="65" t="str">
        <f aca="false">IF($K709="Open",IF($C709="Conflict","Critical",IF($L709&gt;=DecisionCritical,"Critical",IF($L709&gt;=DecisionWarn,"Warning","On track"))),IF($K709="Unconfirmed",IF($L709&gt;=UnconfirmedWarn,"Warning","On track"),""))</f>
        <v/>
      </c>
      <c r="N709" s="65" t="str">
        <f aca="false">IF($M709="","",IF($M709="Critical",3000,IF($M709="Warning",2000,1000))+$L709+ROW()/100000)</f>
        <v/>
      </c>
      <c r="O709" s="65" t="str">
        <f aca="false">IF($K709="Open",IF($C709="Conflict","decide "&amp;$A709&amp;": &lt;which version stands&gt;","decide "&amp;$A709&amp;": &lt;outcome&gt;"),IF($K709="Unconfirmed","confirm "&amp;$A709,""))</f>
        <v/>
      </c>
      <c r="P709" s="65" t="str">
        <f aca="false">IF(AND($C709="New",$B709&gt;=WeekStart),$B709+ROW()/100000,"")</f>
        <v/>
      </c>
      <c r="Q709" s="65" t="str">
        <f aca="false">IF(AND($C709="Know",$B709&gt;=WeekStart),$B709+ROW()/100000,"")</f>
        <v/>
      </c>
      <c r="R709" s="65" t="str">
        <f aca="false">IF(AND($K709="Open",$C709="Decision"),$L709+ROW()/100000,"")</f>
        <v/>
      </c>
      <c r="S709" s="65" t="str">
        <f aca="false">IF(AND($J709&lt;&gt;"",$J709=UCSel),$B709+ROW()/100000,"")</f>
        <v/>
      </c>
    </row>
    <row r="710" customFormat="false" ht="15" hidden="false" customHeight="false" outlineLevel="0" collapsed="false">
      <c r="A710" s="28"/>
      <c r="B710" s="63"/>
      <c r="C710" s="64"/>
      <c r="D710" s="28"/>
      <c r="E710" s="28"/>
      <c r="F710" s="28"/>
      <c r="G710" s="64"/>
      <c r="H710" s="64"/>
      <c r="I710" s="28"/>
      <c r="J710" s="28"/>
      <c r="K710" s="65" t="str">
        <f aca="false">IF($A710="","",IF(OR($C710="Decision",$C710="Conflict"),IF(COUNTIFS($I$2:$I$1001,$A710,$C$2:$C$1001,"Resolved")=0,"Open","Closed"),IF(AND($H710="Unconfirmed",OR($C710="New",$C710="Know")),IF(COUNTIFS($I$2:$I$1001,$A710,$C$2:$C$1001,"Confirmed")=0,"Unconfirmed","Confirmed"),"Logged")))</f>
        <v/>
      </c>
      <c r="L710" s="65" t="str">
        <f aca="false">IF($A710="","",AsOf-$B710)</f>
        <v/>
      </c>
      <c r="M710" s="65" t="str">
        <f aca="false">IF($K710="Open",IF($C710="Conflict","Critical",IF($L710&gt;=DecisionCritical,"Critical",IF($L710&gt;=DecisionWarn,"Warning","On track"))),IF($K710="Unconfirmed",IF($L710&gt;=UnconfirmedWarn,"Warning","On track"),""))</f>
        <v/>
      </c>
      <c r="N710" s="65" t="str">
        <f aca="false">IF($M710="","",IF($M710="Critical",3000,IF($M710="Warning",2000,1000))+$L710+ROW()/100000)</f>
        <v/>
      </c>
      <c r="O710" s="65" t="str">
        <f aca="false">IF($K710="Open",IF($C710="Conflict","decide "&amp;$A710&amp;": &lt;which version stands&gt;","decide "&amp;$A710&amp;": &lt;outcome&gt;"),IF($K710="Unconfirmed","confirm "&amp;$A710,""))</f>
        <v/>
      </c>
      <c r="P710" s="65" t="str">
        <f aca="false">IF(AND($C710="New",$B710&gt;=WeekStart),$B710+ROW()/100000,"")</f>
        <v/>
      </c>
      <c r="Q710" s="65" t="str">
        <f aca="false">IF(AND($C710="Know",$B710&gt;=WeekStart),$B710+ROW()/100000,"")</f>
        <v/>
      </c>
      <c r="R710" s="65" t="str">
        <f aca="false">IF(AND($K710="Open",$C710="Decision"),$L710+ROW()/100000,"")</f>
        <v/>
      </c>
      <c r="S710" s="65" t="str">
        <f aca="false">IF(AND($J710&lt;&gt;"",$J710=UCSel),$B710+ROW()/100000,"")</f>
        <v/>
      </c>
    </row>
    <row r="711" customFormat="false" ht="15" hidden="false" customHeight="false" outlineLevel="0" collapsed="false">
      <c r="A711" s="28"/>
      <c r="B711" s="63"/>
      <c r="C711" s="64"/>
      <c r="D711" s="28"/>
      <c r="E711" s="28"/>
      <c r="F711" s="28"/>
      <c r="G711" s="64"/>
      <c r="H711" s="64"/>
      <c r="I711" s="28"/>
      <c r="J711" s="28"/>
      <c r="K711" s="65" t="str">
        <f aca="false">IF($A711="","",IF(OR($C711="Decision",$C711="Conflict"),IF(COUNTIFS($I$2:$I$1001,$A711,$C$2:$C$1001,"Resolved")=0,"Open","Closed"),IF(AND($H711="Unconfirmed",OR($C711="New",$C711="Know")),IF(COUNTIFS($I$2:$I$1001,$A711,$C$2:$C$1001,"Confirmed")=0,"Unconfirmed","Confirmed"),"Logged")))</f>
        <v/>
      </c>
      <c r="L711" s="65" t="str">
        <f aca="false">IF($A711="","",AsOf-$B711)</f>
        <v/>
      </c>
      <c r="M711" s="65" t="str">
        <f aca="false">IF($K711="Open",IF($C711="Conflict","Critical",IF($L711&gt;=DecisionCritical,"Critical",IF($L711&gt;=DecisionWarn,"Warning","On track"))),IF($K711="Unconfirmed",IF($L711&gt;=UnconfirmedWarn,"Warning","On track"),""))</f>
        <v/>
      </c>
      <c r="N711" s="65" t="str">
        <f aca="false">IF($M711="","",IF($M711="Critical",3000,IF($M711="Warning",2000,1000))+$L711+ROW()/100000)</f>
        <v/>
      </c>
      <c r="O711" s="65" t="str">
        <f aca="false">IF($K711="Open",IF($C711="Conflict","decide "&amp;$A711&amp;": &lt;which version stands&gt;","decide "&amp;$A711&amp;": &lt;outcome&gt;"),IF($K711="Unconfirmed","confirm "&amp;$A711,""))</f>
        <v/>
      </c>
      <c r="P711" s="65" t="str">
        <f aca="false">IF(AND($C711="New",$B711&gt;=WeekStart),$B711+ROW()/100000,"")</f>
        <v/>
      </c>
      <c r="Q711" s="65" t="str">
        <f aca="false">IF(AND($C711="Know",$B711&gt;=WeekStart),$B711+ROW()/100000,"")</f>
        <v/>
      </c>
      <c r="R711" s="65" t="str">
        <f aca="false">IF(AND($K711="Open",$C711="Decision"),$L711+ROW()/100000,"")</f>
        <v/>
      </c>
      <c r="S711" s="65" t="str">
        <f aca="false">IF(AND($J711&lt;&gt;"",$J711=UCSel),$B711+ROW()/100000,"")</f>
        <v/>
      </c>
    </row>
    <row r="712" customFormat="false" ht="15" hidden="false" customHeight="false" outlineLevel="0" collapsed="false">
      <c r="A712" s="28"/>
      <c r="B712" s="63"/>
      <c r="C712" s="64"/>
      <c r="D712" s="28"/>
      <c r="E712" s="28"/>
      <c r="F712" s="28"/>
      <c r="G712" s="64"/>
      <c r="H712" s="64"/>
      <c r="I712" s="28"/>
      <c r="J712" s="28"/>
      <c r="K712" s="65" t="str">
        <f aca="false">IF($A712="","",IF(OR($C712="Decision",$C712="Conflict"),IF(COUNTIFS($I$2:$I$1001,$A712,$C$2:$C$1001,"Resolved")=0,"Open","Closed"),IF(AND($H712="Unconfirmed",OR($C712="New",$C712="Know")),IF(COUNTIFS($I$2:$I$1001,$A712,$C$2:$C$1001,"Confirmed")=0,"Unconfirmed","Confirmed"),"Logged")))</f>
        <v/>
      </c>
      <c r="L712" s="65" t="str">
        <f aca="false">IF($A712="","",AsOf-$B712)</f>
        <v/>
      </c>
      <c r="M712" s="65" t="str">
        <f aca="false">IF($K712="Open",IF($C712="Conflict","Critical",IF($L712&gt;=DecisionCritical,"Critical",IF($L712&gt;=DecisionWarn,"Warning","On track"))),IF($K712="Unconfirmed",IF($L712&gt;=UnconfirmedWarn,"Warning","On track"),""))</f>
        <v/>
      </c>
      <c r="N712" s="65" t="str">
        <f aca="false">IF($M712="","",IF($M712="Critical",3000,IF($M712="Warning",2000,1000))+$L712+ROW()/100000)</f>
        <v/>
      </c>
      <c r="O712" s="65" t="str">
        <f aca="false">IF($K712="Open",IF($C712="Conflict","decide "&amp;$A712&amp;": &lt;which version stands&gt;","decide "&amp;$A712&amp;": &lt;outcome&gt;"),IF($K712="Unconfirmed","confirm "&amp;$A712,""))</f>
        <v/>
      </c>
      <c r="P712" s="65" t="str">
        <f aca="false">IF(AND($C712="New",$B712&gt;=WeekStart),$B712+ROW()/100000,"")</f>
        <v/>
      </c>
      <c r="Q712" s="65" t="str">
        <f aca="false">IF(AND($C712="Know",$B712&gt;=WeekStart),$B712+ROW()/100000,"")</f>
        <v/>
      </c>
      <c r="R712" s="65" t="str">
        <f aca="false">IF(AND($K712="Open",$C712="Decision"),$L712+ROW()/100000,"")</f>
        <v/>
      </c>
      <c r="S712" s="65" t="str">
        <f aca="false">IF(AND($J712&lt;&gt;"",$J712=UCSel),$B712+ROW()/100000,"")</f>
        <v/>
      </c>
    </row>
    <row r="713" customFormat="false" ht="15" hidden="false" customHeight="false" outlineLevel="0" collapsed="false">
      <c r="A713" s="28"/>
      <c r="B713" s="63"/>
      <c r="C713" s="64"/>
      <c r="D713" s="28"/>
      <c r="E713" s="28"/>
      <c r="F713" s="28"/>
      <c r="G713" s="64"/>
      <c r="H713" s="64"/>
      <c r="I713" s="28"/>
      <c r="J713" s="28"/>
      <c r="K713" s="65" t="str">
        <f aca="false">IF($A713="","",IF(OR($C713="Decision",$C713="Conflict"),IF(COUNTIFS($I$2:$I$1001,$A713,$C$2:$C$1001,"Resolved")=0,"Open","Closed"),IF(AND($H713="Unconfirmed",OR($C713="New",$C713="Know")),IF(COUNTIFS($I$2:$I$1001,$A713,$C$2:$C$1001,"Confirmed")=0,"Unconfirmed","Confirmed"),"Logged")))</f>
        <v/>
      </c>
      <c r="L713" s="65" t="str">
        <f aca="false">IF($A713="","",AsOf-$B713)</f>
        <v/>
      </c>
      <c r="M713" s="65" t="str">
        <f aca="false">IF($K713="Open",IF($C713="Conflict","Critical",IF($L713&gt;=DecisionCritical,"Critical",IF($L713&gt;=DecisionWarn,"Warning","On track"))),IF($K713="Unconfirmed",IF($L713&gt;=UnconfirmedWarn,"Warning","On track"),""))</f>
        <v/>
      </c>
      <c r="N713" s="65" t="str">
        <f aca="false">IF($M713="","",IF($M713="Critical",3000,IF($M713="Warning",2000,1000))+$L713+ROW()/100000)</f>
        <v/>
      </c>
      <c r="O713" s="65" t="str">
        <f aca="false">IF($K713="Open",IF($C713="Conflict","decide "&amp;$A713&amp;": &lt;which version stands&gt;","decide "&amp;$A713&amp;": &lt;outcome&gt;"),IF($K713="Unconfirmed","confirm "&amp;$A713,""))</f>
        <v/>
      </c>
      <c r="P713" s="65" t="str">
        <f aca="false">IF(AND($C713="New",$B713&gt;=WeekStart),$B713+ROW()/100000,"")</f>
        <v/>
      </c>
      <c r="Q713" s="65" t="str">
        <f aca="false">IF(AND($C713="Know",$B713&gt;=WeekStart),$B713+ROW()/100000,"")</f>
        <v/>
      </c>
      <c r="R713" s="65" t="str">
        <f aca="false">IF(AND($K713="Open",$C713="Decision"),$L713+ROW()/100000,"")</f>
        <v/>
      </c>
      <c r="S713" s="65" t="str">
        <f aca="false">IF(AND($J713&lt;&gt;"",$J713=UCSel),$B713+ROW()/100000,"")</f>
        <v/>
      </c>
    </row>
    <row r="714" customFormat="false" ht="15" hidden="false" customHeight="false" outlineLevel="0" collapsed="false">
      <c r="A714" s="28"/>
      <c r="B714" s="63"/>
      <c r="C714" s="64"/>
      <c r="D714" s="28"/>
      <c r="E714" s="28"/>
      <c r="F714" s="28"/>
      <c r="G714" s="64"/>
      <c r="H714" s="64"/>
      <c r="I714" s="28"/>
      <c r="J714" s="28"/>
      <c r="K714" s="65" t="str">
        <f aca="false">IF($A714="","",IF(OR($C714="Decision",$C714="Conflict"),IF(COUNTIFS($I$2:$I$1001,$A714,$C$2:$C$1001,"Resolved")=0,"Open","Closed"),IF(AND($H714="Unconfirmed",OR($C714="New",$C714="Know")),IF(COUNTIFS($I$2:$I$1001,$A714,$C$2:$C$1001,"Confirmed")=0,"Unconfirmed","Confirmed"),"Logged")))</f>
        <v/>
      </c>
      <c r="L714" s="65" t="str">
        <f aca="false">IF($A714="","",AsOf-$B714)</f>
        <v/>
      </c>
      <c r="M714" s="65" t="str">
        <f aca="false">IF($K714="Open",IF($C714="Conflict","Critical",IF($L714&gt;=DecisionCritical,"Critical",IF($L714&gt;=DecisionWarn,"Warning","On track"))),IF($K714="Unconfirmed",IF($L714&gt;=UnconfirmedWarn,"Warning","On track"),""))</f>
        <v/>
      </c>
      <c r="N714" s="65" t="str">
        <f aca="false">IF($M714="","",IF($M714="Critical",3000,IF($M714="Warning",2000,1000))+$L714+ROW()/100000)</f>
        <v/>
      </c>
      <c r="O714" s="65" t="str">
        <f aca="false">IF($K714="Open",IF($C714="Conflict","decide "&amp;$A714&amp;": &lt;which version stands&gt;","decide "&amp;$A714&amp;": &lt;outcome&gt;"),IF($K714="Unconfirmed","confirm "&amp;$A714,""))</f>
        <v/>
      </c>
      <c r="P714" s="65" t="str">
        <f aca="false">IF(AND($C714="New",$B714&gt;=WeekStart),$B714+ROW()/100000,"")</f>
        <v/>
      </c>
      <c r="Q714" s="65" t="str">
        <f aca="false">IF(AND($C714="Know",$B714&gt;=WeekStart),$B714+ROW()/100000,"")</f>
        <v/>
      </c>
      <c r="R714" s="65" t="str">
        <f aca="false">IF(AND($K714="Open",$C714="Decision"),$L714+ROW()/100000,"")</f>
        <v/>
      </c>
      <c r="S714" s="65" t="str">
        <f aca="false">IF(AND($J714&lt;&gt;"",$J714=UCSel),$B714+ROW()/100000,"")</f>
        <v/>
      </c>
    </row>
    <row r="715" customFormat="false" ht="15" hidden="false" customHeight="false" outlineLevel="0" collapsed="false">
      <c r="A715" s="28"/>
      <c r="B715" s="63"/>
      <c r="C715" s="64"/>
      <c r="D715" s="28"/>
      <c r="E715" s="28"/>
      <c r="F715" s="28"/>
      <c r="G715" s="64"/>
      <c r="H715" s="64"/>
      <c r="I715" s="28"/>
      <c r="J715" s="28"/>
      <c r="K715" s="65" t="str">
        <f aca="false">IF($A715="","",IF(OR($C715="Decision",$C715="Conflict"),IF(COUNTIFS($I$2:$I$1001,$A715,$C$2:$C$1001,"Resolved")=0,"Open","Closed"),IF(AND($H715="Unconfirmed",OR($C715="New",$C715="Know")),IF(COUNTIFS($I$2:$I$1001,$A715,$C$2:$C$1001,"Confirmed")=0,"Unconfirmed","Confirmed"),"Logged")))</f>
        <v/>
      </c>
      <c r="L715" s="65" t="str">
        <f aca="false">IF($A715="","",AsOf-$B715)</f>
        <v/>
      </c>
      <c r="M715" s="65" t="str">
        <f aca="false">IF($K715="Open",IF($C715="Conflict","Critical",IF($L715&gt;=DecisionCritical,"Critical",IF($L715&gt;=DecisionWarn,"Warning","On track"))),IF($K715="Unconfirmed",IF($L715&gt;=UnconfirmedWarn,"Warning","On track"),""))</f>
        <v/>
      </c>
      <c r="N715" s="65" t="str">
        <f aca="false">IF($M715="","",IF($M715="Critical",3000,IF($M715="Warning",2000,1000))+$L715+ROW()/100000)</f>
        <v/>
      </c>
      <c r="O715" s="65" t="str">
        <f aca="false">IF($K715="Open",IF($C715="Conflict","decide "&amp;$A715&amp;": &lt;which version stands&gt;","decide "&amp;$A715&amp;": &lt;outcome&gt;"),IF($K715="Unconfirmed","confirm "&amp;$A715,""))</f>
        <v/>
      </c>
      <c r="P715" s="65" t="str">
        <f aca="false">IF(AND($C715="New",$B715&gt;=WeekStart),$B715+ROW()/100000,"")</f>
        <v/>
      </c>
      <c r="Q715" s="65" t="str">
        <f aca="false">IF(AND($C715="Know",$B715&gt;=WeekStart),$B715+ROW()/100000,"")</f>
        <v/>
      </c>
      <c r="R715" s="65" t="str">
        <f aca="false">IF(AND($K715="Open",$C715="Decision"),$L715+ROW()/100000,"")</f>
        <v/>
      </c>
      <c r="S715" s="65" t="str">
        <f aca="false">IF(AND($J715&lt;&gt;"",$J715=UCSel),$B715+ROW()/100000,"")</f>
        <v/>
      </c>
    </row>
    <row r="716" customFormat="false" ht="15" hidden="false" customHeight="false" outlineLevel="0" collapsed="false">
      <c r="A716" s="28"/>
      <c r="B716" s="63"/>
      <c r="C716" s="64"/>
      <c r="D716" s="28"/>
      <c r="E716" s="28"/>
      <c r="F716" s="28"/>
      <c r="G716" s="64"/>
      <c r="H716" s="64"/>
      <c r="I716" s="28"/>
      <c r="J716" s="28"/>
      <c r="K716" s="65" t="str">
        <f aca="false">IF($A716="","",IF(OR($C716="Decision",$C716="Conflict"),IF(COUNTIFS($I$2:$I$1001,$A716,$C$2:$C$1001,"Resolved")=0,"Open","Closed"),IF(AND($H716="Unconfirmed",OR($C716="New",$C716="Know")),IF(COUNTIFS($I$2:$I$1001,$A716,$C$2:$C$1001,"Confirmed")=0,"Unconfirmed","Confirmed"),"Logged")))</f>
        <v/>
      </c>
      <c r="L716" s="65" t="str">
        <f aca="false">IF($A716="","",AsOf-$B716)</f>
        <v/>
      </c>
      <c r="M716" s="65" t="str">
        <f aca="false">IF($K716="Open",IF($C716="Conflict","Critical",IF($L716&gt;=DecisionCritical,"Critical",IF($L716&gt;=DecisionWarn,"Warning","On track"))),IF($K716="Unconfirmed",IF($L716&gt;=UnconfirmedWarn,"Warning","On track"),""))</f>
        <v/>
      </c>
      <c r="N716" s="65" t="str">
        <f aca="false">IF($M716="","",IF($M716="Critical",3000,IF($M716="Warning",2000,1000))+$L716+ROW()/100000)</f>
        <v/>
      </c>
      <c r="O716" s="65" t="str">
        <f aca="false">IF($K716="Open",IF($C716="Conflict","decide "&amp;$A716&amp;": &lt;which version stands&gt;","decide "&amp;$A716&amp;": &lt;outcome&gt;"),IF($K716="Unconfirmed","confirm "&amp;$A716,""))</f>
        <v/>
      </c>
      <c r="P716" s="65" t="str">
        <f aca="false">IF(AND($C716="New",$B716&gt;=WeekStart),$B716+ROW()/100000,"")</f>
        <v/>
      </c>
      <c r="Q716" s="65" t="str">
        <f aca="false">IF(AND($C716="Know",$B716&gt;=WeekStart),$B716+ROW()/100000,"")</f>
        <v/>
      </c>
      <c r="R716" s="65" t="str">
        <f aca="false">IF(AND($K716="Open",$C716="Decision"),$L716+ROW()/100000,"")</f>
        <v/>
      </c>
      <c r="S716" s="65" t="str">
        <f aca="false">IF(AND($J716&lt;&gt;"",$J716=UCSel),$B716+ROW()/100000,"")</f>
        <v/>
      </c>
    </row>
    <row r="717" customFormat="false" ht="15" hidden="false" customHeight="false" outlineLevel="0" collapsed="false">
      <c r="A717" s="28"/>
      <c r="B717" s="63"/>
      <c r="C717" s="64"/>
      <c r="D717" s="28"/>
      <c r="E717" s="28"/>
      <c r="F717" s="28"/>
      <c r="G717" s="64"/>
      <c r="H717" s="64"/>
      <c r="I717" s="28"/>
      <c r="J717" s="28"/>
      <c r="K717" s="65" t="str">
        <f aca="false">IF($A717="","",IF(OR($C717="Decision",$C717="Conflict"),IF(COUNTIFS($I$2:$I$1001,$A717,$C$2:$C$1001,"Resolved")=0,"Open","Closed"),IF(AND($H717="Unconfirmed",OR($C717="New",$C717="Know")),IF(COUNTIFS($I$2:$I$1001,$A717,$C$2:$C$1001,"Confirmed")=0,"Unconfirmed","Confirmed"),"Logged")))</f>
        <v/>
      </c>
      <c r="L717" s="65" t="str">
        <f aca="false">IF($A717="","",AsOf-$B717)</f>
        <v/>
      </c>
      <c r="M717" s="65" t="str">
        <f aca="false">IF($K717="Open",IF($C717="Conflict","Critical",IF($L717&gt;=DecisionCritical,"Critical",IF($L717&gt;=DecisionWarn,"Warning","On track"))),IF($K717="Unconfirmed",IF($L717&gt;=UnconfirmedWarn,"Warning","On track"),""))</f>
        <v/>
      </c>
      <c r="N717" s="65" t="str">
        <f aca="false">IF($M717="","",IF($M717="Critical",3000,IF($M717="Warning",2000,1000))+$L717+ROW()/100000)</f>
        <v/>
      </c>
      <c r="O717" s="65" t="str">
        <f aca="false">IF($K717="Open",IF($C717="Conflict","decide "&amp;$A717&amp;": &lt;which version stands&gt;","decide "&amp;$A717&amp;": &lt;outcome&gt;"),IF($K717="Unconfirmed","confirm "&amp;$A717,""))</f>
        <v/>
      </c>
      <c r="P717" s="65" t="str">
        <f aca="false">IF(AND($C717="New",$B717&gt;=WeekStart),$B717+ROW()/100000,"")</f>
        <v/>
      </c>
      <c r="Q717" s="65" t="str">
        <f aca="false">IF(AND($C717="Know",$B717&gt;=WeekStart),$B717+ROW()/100000,"")</f>
        <v/>
      </c>
      <c r="R717" s="65" t="str">
        <f aca="false">IF(AND($K717="Open",$C717="Decision"),$L717+ROW()/100000,"")</f>
        <v/>
      </c>
      <c r="S717" s="65" t="str">
        <f aca="false">IF(AND($J717&lt;&gt;"",$J717=UCSel),$B717+ROW()/100000,"")</f>
        <v/>
      </c>
    </row>
    <row r="718" customFormat="false" ht="15" hidden="false" customHeight="false" outlineLevel="0" collapsed="false">
      <c r="A718" s="28"/>
      <c r="B718" s="63"/>
      <c r="C718" s="64"/>
      <c r="D718" s="28"/>
      <c r="E718" s="28"/>
      <c r="F718" s="28"/>
      <c r="G718" s="64"/>
      <c r="H718" s="64"/>
      <c r="I718" s="28"/>
      <c r="J718" s="28"/>
      <c r="K718" s="65" t="str">
        <f aca="false">IF($A718="","",IF(OR($C718="Decision",$C718="Conflict"),IF(COUNTIFS($I$2:$I$1001,$A718,$C$2:$C$1001,"Resolved")=0,"Open","Closed"),IF(AND($H718="Unconfirmed",OR($C718="New",$C718="Know")),IF(COUNTIFS($I$2:$I$1001,$A718,$C$2:$C$1001,"Confirmed")=0,"Unconfirmed","Confirmed"),"Logged")))</f>
        <v/>
      </c>
      <c r="L718" s="65" t="str">
        <f aca="false">IF($A718="","",AsOf-$B718)</f>
        <v/>
      </c>
      <c r="M718" s="65" t="str">
        <f aca="false">IF($K718="Open",IF($C718="Conflict","Critical",IF($L718&gt;=DecisionCritical,"Critical",IF($L718&gt;=DecisionWarn,"Warning","On track"))),IF($K718="Unconfirmed",IF($L718&gt;=UnconfirmedWarn,"Warning","On track"),""))</f>
        <v/>
      </c>
      <c r="N718" s="65" t="str">
        <f aca="false">IF($M718="","",IF($M718="Critical",3000,IF($M718="Warning",2000,1000))+$L718+ROW()/100000)</f>
        <v/>
      </c>
      <c r="O718" s="65" t="str">
        <f aca="false">IF($K718="Open",IF($C718="Conflict","decide "&amp;$A718&amp;": &lt;which version stands&gt;","decide "&amp;$A718&amp;": &lt;outcome&gt;"),IF($K718="Unconfirmed","confirm "&amp;$A718,""))</f>
        <v/>
      </c>
      <c r="P718" s="65" t="str">
        <f aca="false">IF(AND($C718="New",$B718&gt;=WeekStart),$B718+ROW()/100000,"")</f>
        <v/>
      </c>
      <c r="Q718" s="65" t="str">
        <f aca="false">IF(AND($C718="Know",$B718&gt;=WeekStart),$B718+ROW()/100000,"")</f>
        <v/>
      </c>
      <c r="R718" s="65" t="str">
        <f aca="false">IF(AND($K718="Open",$C718="Decision"),$L718+ROW()/100000,"")</f>
        <v/>
      </c>
      <c r="S718" s="65" t="str">
        <f aca="false">IF(AND($J718&lt;&gt;"",$J718=UCSel),$B718+ROW()/100000,"")</f>
        <v/>
      </c>
    </row>
    <row r="719" customFormat="false" ht="15" hidden="false" customHeight="false" outlineLevel="0" collapsed="false">
      <c r="A719" s="28"/>
      <c r="B719" s="63"/>
      <c r="C719" s="64"/>
      <c r="D719" s="28"/>
      <c r="E719" s="28"/>
      <c r="F719" s="28"/>
      <c r="G719" s="64"/>
      <c r="H719" s="64"/>
      <c r="I719" s="28"/>
      <c r="J719" s="28"/>
      <c r="K719" s="65" t="str">
        <f aca="false">IF($A719="","",IF(OR($C719="Decision",$C719="Conflict"),IF(COUNTIFS($I$2:$I$1001,$A719,$C$2:$C$1001,"Resolved")=0,"Open","Closed"),IF(AND($H719="Unconfirmed",OR($C719="New",$C719="Know")),IF(COUNTIFS($I$2:$I$1001,$A719,$C$2:$C$1001,"Confirmed")=0,"Unconfirmed","Confirmed"),"Logged")))</f>
        <v/>
      </c>
      <c r="L719" s="65" t="str">
        <f aca="false">IF($A719="","",AsOf-$B719)</f>
        <v/>
      </c>
      <c r="M719" s="65" t="str">
        <f aca="false">IF($K719="Open",IF($C719="Conflict","Critical",IF($L719&gt;=DecisionCritical,"Critical",IF($L719&gt;=DecisionWarn,"Warning","On track"))),IF($K719="Unconfirmed",IF($L719&gt;=UnconfirmedWarn,"Warning","On track"),""))</f>
        <v/>
      </c>
      <c r="N719" s="65" t="str">
        <f aca="false">IF($M719="","",IF($M719="Critical",3000,IF($M719="Warning",2000,1000))+$L719+ROW()/100000)</f>
        <v/>
      </c>
      <c r="O719" s="65" t="str">
        <f aca="false">IF($K719="Open",IF($C719="Conflict","decide "&amp;$A719&amp;": &lt;which version stands&gt;","decide "&amp;$A719&amp;": &lt;outcome&gt;"),IF($K719="Unconfirmed","confirm "&amp;$A719,""))</f>
        <v/>
      </c>
      <c r="P719" s="65" t="str">
        <f aca="false">IF(AND($C719="New",$B719&gt;=WeekStart),$B719+ROW()/100000,"")</f>
        <v/>
      </c>
      <c r="Q719" s="65" t="str">
        <f aca="false">IF(AND($C719="Know",$B719&gt;=WeekStart),$B719+ROW()/100000,"")</f>
        <v/>
      </c>
      <c r="R719" s="65" t="str">
        <f aca="false">IF(AND($K719="Open",$C719="Decision"),$L719+ROW()/100000,"")</f>
        <v/>
      </c>
      <c r="S719" s="65" t="str">
        <f aca="false">IF(AND($J719&lt;&gt;"",$J719=UCSel),$B719+ROW()/100000,"")</f>
        <v/>
      </c>
    </row>
    <row r="720" customFormat="false" ht="15" hidden="false" customHeight="false" outlineLevel="0" collapsed="false">
      <c r="A720" s="28"/>
      <c r="B720" s="63"/>
      <c r="C720" s="64"/>
      <c r="D720" s="28"/>
      <c r="E720" s="28"/>
      <c r="F720" s="28"/>
      <c r="G720" s="64"/>
      <c r="H720" s="64"/>
      <c r="I720" s="28"/>
      <c r="J720" s="28"/>
      <c r="K720" s="65" t="str">
        <f aca="false">IF($A720="","",IF(OR($C720="Decision",$C720="Conflict"),IF(COUNTIFS($I$2:$I$1001,$A720,$C$2:$C$1001,"Resolved")=0,"Open","Closed"),IF(AND($H720="Unconfirmed",OR($C720="New",$C720="Know")),IF(COUNTIFS($I$2:$I$1001,$A720,$C$2:$C$1001,"Confirmed")=0,"Unconfirmed","Confirmed"),"Logged")))</f>
        <v/>
      </c>
      <c r="L720" s="65" t="str">
        <f aca="false">IF($A720="","",AsOf-$B720)</f>
        <v/>
      </c>
      <c r="M720" s="65" t="str">
        <f aca="false">IF($K720="Open",IF($C720="Conflict","Critical",IF($L720&gt;=DecisionCritical,"Critical",IF($L720&gt;=DecisionWarn,"Warning","On track"))),IF($K720="Unconfirmed",IF($L720&gt;=UnconfirmedWarn,"Warning","On track"),""))</f>
        <v/>
      </c>
      <c r="N720" s="65" t="str">
        <f aca="false">IF($M720="","",IF($M720="Critical",3000,IF($M720="Warning",2000,1000))+$L720+ROW()/100000)</f>
        <v/>
      </c>
      <c r="O720" s="65" t="str">
        <f aca="false">IF($K720="Open",IF($C720="Conflict","decide "&amp;$A720&amp;": &lt;which version stands&gt;","decide "&amp;$A720&amp;": &lt;outcome&gt;"),IF($K720="Unconfirmed","confirm "&amp;$A720,""))</f>
        <v/>
      </c>
      <c r="P720" s="65" t="str">
        <f aca="false">IF(AND($C720="New",$B720&gt;=WeekStart),$B720+ROW()/100000,"")</f>
        <v/>
      </c>
      <c r="Q720" s="65" t="str">
        <f aca="false">IF(AND($C720="Know",$B720&gt;=WeekStart),$B720+ROW()/100000,"")</f>
        <v/>
      </c>
      <c r="R720" s="65" t="str">
        <f aca="false">IF(AND($K720="Open",$C720="Decision"),$L720+ROW()/100000,"")</f>
        <v/>
      </c>
      <c r="S720" s="65" t="str">
        <f aca="false">IF(AND($J720&lt;&gt;"",$J720=UCSel),$B720+ROW()/100000,"")</f>
        <v/>
      </c>
    </row>
    <row r="721" customFormat="false" ht="15" hidden="false" customHeight="false" outlineLevel="0" collapsed="false">
      <c r="A721" s="28"/>
      <c r="B721" s="63"/>
      <c r="C721" s="64"/>
      <c r="D721" s="28"/>
      <c r="E721" s="28"/>
      <c r="F721" s="28"/>
      <c r="G721" s="64"/>
      <c r="H721" s="64"/>
      <c r="I721" s="28"/>
      <c r="J721" s="28"/>
      <c r="K721" s="65" t="str">
        <f aca="false">IF($A721="","",IF(OR($C721="Decision",$C721="Conflict"),IF(COUNTIFS($I$2:$I$1001,$A721,$C$2:$C$1001,"Resolved")=0,"Open","Closed"),IF(AND($H721="Unconfirmed",OR($C721="New",$C721="Know")),IF(COUNTIFS($I$2:$I$1001,$A721,$C$2:$C$1001,"Confirmed")=0,"Unconfirmed","Confirmed"),"Logged")))</f>
        <v/>
      </c>
      <c r="L721" s="65" t="str">
        <f aca="false">IF($A721="","",AsOf-$B721)</f>
        <v/>
      </c>
      <c r="M721" s="65" t="str">
        <f aca="false">IF($K721="Open",IF($C721="Conflict","Critical",IF($L721&gt;=DecisionCritical,"Critical",IF($L721&gt;=DecisionWarn,"Warning","On track"))),IF($K721="Unconfirmed",IF($L721&gt;=UnconfirmedWarn,"Warning","On track"),""))</f>
        <v/>
      </c>
      <c r="N721" s="65" t="str">
        <f aca="false">IF($M721="","",IF($M721="Critical",3000,IF($M721="Warning",2000,1000))+$L721+ROW()/100000)</f>
        <v/>
      </c>
      <c r="O721" s="65" t="str">
        <f aca="false">IF($K721="Open",IF($C721="Conflict","decide "&amp;$A721&amp;": &lt;which version stands&gt;","decide "&amp;$A721&amp;": &lt;outcome&gt;"),IF($K721="Unconfirmed","confirm "&amp;$A721,""))</f>
        <v/>
      </c>
      <c r="P721" s="65" t="str">
        <f aca="false">IF(AND($C721="New",$B721&gt;=WeekStart),$B721+ROW()/100000,"")</f>
        <v/>
      </c>
      <c r="Q721" s="65" t="str">
        <f aca="false">IF(AND($C721="Know",$B721&gt;=WeekStart),$B721+ROW()/100000,"")</f>
        <v/>
      </c>
      <c r="R721" s="65" t="str">
        <f aca="false">IF(AND($K721="Open",$C721="Decision"),$L721+ROW()/100000,"")</f>
        <v/>
      </c>
      <c r="S721" s="65" t="str">
        <f aca="false">IF(AND($J721&lt;&gt;"",$J721=UCSel),$B721+ROW()/100000,"")</f>
        <v/>
      </c>
    </row>
    <row r="722" customFormat="false" ht="15" hidden="false" customHeight="false" outlineLevel="0" collapsed="false">
      <c r="A722" s="28"/>
      <c r="B722" s="63"/>
      <c r="C722" s="64"/>
      <c r="D722" s="28"/>
      <c r="E722" s="28"/>
      <c r="F722" s="28"/>
      <c r="G722" s="64"/>
      <c r="H722" s="64"/>
      <c r="I722" s="28"/>
      <c r="J722" s="28"/>
      <c r="K722" s="65" t="str">
        <f aca="false">IF($A722="","",IF(OR($C722="Decision",$C722="Conflict"),IF(COUNTIFS($I$2:$I$1001,$A722,$C$2:$C$1001,"Resolved")=0,"Open","Closed"),IF(AND($H722="Unconfirmed",OR($C722="New",$C722="Know")),IF(COUNTIFS($I$2:$I$1001,$A722,$C$2:$C$1001,"Confirmed")=0,"Unconfirmed","Confirmed"),"Logged")))</f>
        <v/>
      </c>
      <c r="L722" s="65" t="str">
        <f aca="false">IF($A722="","",AsOf-$B722)</f>
        <v/>
      </c>
      <c r="M722" s="65" t="str">
        <f aca="false">IF($K722="Open",IF($C722="Conflict","Critical",IF($L722&gt;=DecisionCritical,"Critical",IF($L722&gt;=DecisionWarn,"Warning","On track"))),IF($K722="Unconfirmed",IF($L722&gt;=UnconfirmedWarn,"Warning","On track"),""))</f>
        <v/>
      </c>
      <c r="N722" s="65" t="str">
        <f aca="false">IF($M722="","",IF($M722="Critical",3000,IF($M722="Warning",2000,1000))+$L722+ROW()/100000)</f>
        <v/>
      </c>
      <c r="O722" s="65" t="str">
        <f aca="false">IF($K722="Open",IF($C722="Conflict","decide "&amp;$A722&amp;": &lt;which version stands&gt;","decide "&amp;$A722&amp;": &lt;outcome&gt;"),IF($K722="Unconfirmed","confirm "&amp;$A722,""))</f>
        <v/>
      </c>
      <c r="P722" s="65" t="str">
        <f aca="false">IF(AND($C722="New",$B722&gt;=WeekStart),$B722+ROW()/100000,"")</f>
        <v/>
      </c>
      <c r="Q722" s="65" t="str">
        <f aca="false">IF(AND($C722="Know",$B722&gt;=WeekStart),$B722+ROW()/100000,"")</f>
        <v/>
      </c>
      <c r="R722" s="65" t="str">
        <f aca="false">IF(AND($K722="Open",$C722="Decision"),$L722+ROW()/100000,"")</f>
        <v/>
      </c>
      <c r="S722" s="65" t="str">
        <f aca="false">IF(AND($J722&lt;&gt;"",$J722=UCSel),$B722+ROW()/100000,"")</f>
        <v/>
      </c>
    </row>
    <row r="723" customFormat="false" ht="15" hidden="false" customHeight="false" outlineLevel="0" collapsed="false">
      <c r="A723" s="28"/>
      <c r="B723" s="63"/>
      <c r="C723" s="64"/>
      <c r="D723" s="28"/>
      <c r="E723" s="28"/>
      <c r="F723" s="28"/>
      <c r="G723" s="64"/>
      <c r="H723" s="64"/>
      <c r="I723" s="28"/>
      <c r="J723" s="28"/>
      <c r="K723" s="65" t="str">
        <f aca="false">IF($A723="","",IF(OR($C723="Decision",$C723="Conflict"),IF(COUNTIFS($I$2:$I$1001,$A723,$C$2:$C$1001,"Resolved")=0,"Open","Closed"),IF(AND($H723="Unconfirmed",OR($C723="New",$C723="Know")),IF(COUNTIFS($I$2:$I$1001,$A723,$C$2:$C$1001,"Confirmed")=0,"Unconfirmed","Confirmed"),"Logged")))</f>
        <v/>
      </c>
      <c r="L723" s="65" t="str">
        <f aca="false">IF($A723="","",AsOf-$B723)</f>
        <v/>
      </c>
      <c r="M723" s="65" t="str">
        <f aca="false">IF($K723="Open",IF($C723="Conflict","Critical",IF($L723&gt;=DecisionCritical,"Critical",IF($L723&gt;=DecisionWarn,"Warning","On track"))),IF($K723="Unconfirmed",IF($L723&gt;=UnconfirmedWarn,"Warning","On track"),""))</f>
        <v/>
      </c>
      <c r="N723" s="65" t="str">
        <f aca="false">IF($M723="","",IF($M723="Critical",3000,IF($M723="Warning",2000,1000))+$L723+ROW()/100000)</f>
        <v/>
      </c>
      <c r="O723" s="65" t="str">
        <f aca="false">IF($K723="Open",IF($C723="Conflict","decide "&amp;$A723&amp;": &lt;which version stands&gt;","decide "&amp;$A723&amp;": &lt;outcome&gt;"),IF($K723="Unconfirmed","confirm "&amp;$A723,""))</f>
        <v/>
      </c>
      <c r="P723" s="65" t="str">
        <f aca="false">IF(AND($C723="New",$B723&gt;=WeekStart),$B723+ROW()/100000,"")</f>
        <v/>
      </c>
      <c r="Q723" s="65" t="str">
        <f aca="false">IF(AND($C723="Know",$B723&gt;=WeekStart),$B723+ROW()/100000,"")</f>
        <v/>
      </c>
      <c r="R723" s="65" t="str">
        <f aca="false">IF(AND($K723="Open",$C723="Decision"),$L723+ROW()/100000,"")</f>
        <v/>
      </c>
      <c r="S723" s="65" t="str">
        <f aca="false">IF(AND($J723&lt;&gt;"",$J723=UCSel),$B723+ROW()/100000,"")</f>
        <v/>
      </c>
    </row>
    <row r="724" customFormat="false" ht="15" hidden="false" customHeight="false" outlineLevel="0" collapsed="false">
      <c r="A724" s="28"/>
      <c r="B724" s="63"/>
      <c r="C724" s="64"/>
      <c r="D724" s="28"/>
      <c r="E724" s="28"/>
      <c r="F724" s="28"/>
      <c r="G724" s="64"/>
      <c r="H724" s="64"/>
      <c r="I724" s="28"/>
      <c r="J724" s="28"/>
      <c r="K724" s="65" t="str">
        <f aca="false">IF($A724="","",IF(OR($C724="Decision",$C724="Conflict"),IF(COUNTIFS($I$2:$I$1001,$A724,$C$2:$C$1001,"Resolved")=0,"Open","Closed"),IF(AND($H724="Unconfirmed",OR($C724="New",$C724="Know")),IF(COUNTIFS($I$2:$I$1001,$A724,$C$2:$C$1001,"Confirmed")=0,"Unconfirmed","Confirmed"),"Logged")))</f>
        <v/>
      </c>
      <c r="L724" s="65" t="str">
        <f aca="false">IF($A724="","",AsOf-$B724)</f>
        <v/>
      </c>
      <c r="M724" s="65" t="str">
        <f aca="false">IF($K724="Open",IF($C724="Conflict","Critical",IF($L724&gt;=DecisionCritical,"Critical",IF($L724&gt;=DecisionWarn,"Warning","On track"))),IF($K724="Unconfirmed",IF($L724&gt;=UnconfirmedWarn,"Warning","On track"),""))</f>
        <v/>
      </c>
      <c r="N724" s="65" t="str">
        <f aca="false">IF($M724="","",IF($M724="Critical",3000,IF($M724="Warning",2000,1000))+$L724+ROW()/100000)</f>
        <v/>
      </c>
      <c r="O724" s="65" t="str">
        <f aca="false">IF($K724="Open",IF($C724="Conflict","decide "&amp;$A724&amp;": &lt;which version stands&gt;","decide "&amp;$A724&amp;": &lt;outcome&gt;"),IF($K724="Unconfirmed","confirm "&amp;$A724,""))</f>
        <v/>
      </c>
      <c r="P724" s="65" t="str">
        <f aca="false">IF(AND($C724="New",$B724&gt;=WeekStart),$B724+ROW()/100000,"")</f>
        <v/>
      </c>
      <c r="Q724" s="65" t="str">
        <f aca="false">IF(AND($C724="Know",$B724&gt;=WeekStart),$B724+ROW()/100000,"")</f>
        <v/>
      </c>
      <c r="R724" s="65" t="str">
        <f aca="false">IF(AND($K724="Open",$C724="Decision"),$L724+ROW()/100000,"")</f>
        <v/>
      </c>
      <c r="S724" s="65" t="str">
        <f aca="false">IF(AND($J724&lt;&gt;"",$J724=UCSel),$B724+ROW()/100000,"")</f>
        <v/>
      </c>
    </row>
    <row r="725" customFormat="false" ht="15" hidden="false" customHeight="false" outlineLevel="0" collapsed="false">
      <c r="A725" s="28"/>
      <c r="B725" s="63"/>
      <c r="C725" s="64"/>
      <c r="D725" s="28"/>
      <c r="E725" s="28"/>
      <c r="F725" s="28"/>
      <c r="G725" s="64"/>
      <c r="H725" s="64"/>
      <c r="I725" s="28"/>
      <c r="J725" s="28"/>
      <c r="K725" s="65" t="str">
        <f aca="false">IF($A725="","",IF(OR($C725="Decision",$C725="Conflict"),IF(COUNTIFS($I$2:$I$1001,$A725,$C$2:$C$1001,"Resolved")=0,"Open","Closed"),IF(AND($H725="Unconfirmed",OR($C725="New",$C725="Know")),IF(COUNTIFS($I$2:$I$1001,$A725,$C$2:$C$1001,"Confirmed")=0,"Unconfirmed","Confirmed"),"Logged")))</f>
        <v/>
      </c>
      <c r="L725" s="65" t="str">
        <f aca="false">IF($A725="","",AsOf-$B725)</f>
        <v/>
      </c>
      <c r="M725" s="65" t="str">
        <f aca="false">IF($K725="Open",IF($C725="Conflict","Critical",IF($L725&gt;=DecisionCritical,"Critical",IF($L725&gt;=DecisionWarn,"Warning","On track"))),IF($K725="Unconfirmed",IF($L725&gt;=UnconfirmedWarn,"Warning","On track"),""))</f>
        <v/>
      </c>
      <c r="N725" s="65" t="str">
        <f aca="false">IF($M725="","",IF($M725="Critical",3000,IF($M725="Warning",2000,1000))+$L725+ROW()/100000)</f>
        <v/>
      </c>
      <c r="O725" s="65" t="str">
        <f aca="false">IF($K725="Open",IF($C725="Conflict","decide "&amp;$A725&amp;": &lt;which version stands&gt;","decide "&amp;$A725&amp;": &lt;outcome&gt;"),IF($K725="Unconfirmed","confirm "&amp;$A725,""))</f>
        <v/>
      </c>
      <c r="P725" s="65" t="str">
        <f aca="false">IF(AND($C725="New",$B725&gt;=WeekStart),$B725+ROW()/100000,"")</f>
        <v/>
      </c>
      <c r="Q725" s="65" t="str">
        <f aca="false">IF(AND($C725="Know",$B725&gt;=WeekStart),$B725+ROW()/100000,"")</f>
        <v/>
      </c>
      <c r="R725" s="65" t="str">
        <f aca="false">IF(AND($K725="Open",$C725="Decision"),$L725+ROW()/100000,"")</f>
        <v/>
      </c>
      <c r="S725" s="65" t="str">
        <f aca="false">IF(AND($J725&lt;&gt;"",$J725=UCSel),$B725+ROW()/100000,"")</f>
        <v/>
      </c>
    </row>
    <row r="726" customFormat="false" ht="15" hidden="false" customHeight="false" outlineLevel="0" collapsed="false">
      <c r="A726" s="28"/>
      <c r="B726" s="63"/>
      <c r="C726" s="64"/>
      <c r="D726" s="28"/>
      <c r="E726" s="28"/>
      <c r="F726" s="28"/>
      <c r="G726" s="64"/>
      <c r="H726" s="64"/>
      <c r="I726" s="28"/>
      <c r="J726" s="28"/>
      <c r="K726" s="65" t="str">
        <f aca="false">IF($A726="","",IF(OR($C726="Decision",$C726="Conflict"),IF(COUNTIFS($I$2:$I$1001,$A726,$C$2:$C$1001,"Resolved")=0,"Open","Closed"),IF(AND($H726="Unconfirmed",OR($C726="New",$C726="Know")),IF(COUNTIFS($I$2:$I$1001,$A726,$C$2:$C$1001,"Confirmed")=0,"Unconfirmed","Confirmed"),"Logged")))</f>
        <v/>
      </c>
      <c r="L726" s="65" t="str">
        <f aca="false">IF($A726="","",AsOf-$B726)</f>
        <v/>
      </c>
      <c r="M726" s="65" t="str">
        <f aca="false">IF($K726="Open",IF($C726="Conflict","Critical",IF($L726&gt;=DecisionCritical,"Critical",IF($L726&gt;=DecisionWarn,"Warning","On track"))),IF($K726="Unconfirmed",IF($L726&gt;=UnconfirmedWarn,"Warning","On track"),""))</f>
        <v/>
      </c>
      <c r="N726" s="65" t="str">
        <f aca="false">IF($M726="","",IF($M726="Critical",3000,IF($M726="Warning",2000,1000))+$L726+ROW()/100000)</f>
        <v/>
      </c>
      <c r="O726" s="65" t="str">
        <f aca="false">IF($K726="Open",IF($C726="Conflict","decide "&amp;$A726&amp;": &lt;which version stands&gt;","decide "&amp;$A726&amp;": &lt;outcome&gt;"),IF($K726="Unconfirmed","confirm "&amp;$A726,""))</f>
        <v/>
      </c>
      <c r="P726" s="65" t="str">
        <f aca="false">IF(AND($C726="New",$B726&gt;=WeekStart),$B726+ROW()/100000,"")</f>
        <v/>
      </c>
      <c r="Q726" s="65" t="str">
        <f aca="false">IF(AND($C726="Know",$B726&gt;=WeekStart),$B726+ROW()/100000,"")</f>
        <v/>
      </c>
      <c r="R726" s="65" t="str">
        <f aca="false">IF(AND($K726="Open",$C726="Decision"),$L726+ROW()/100000,"")</f>
        <v/>
      </c>
      <c r="S726" s="65" t="str">
        <f aca="false">IF(AND($J726&lt;&gt;"",$J726=UCSel),$B726+ROW()/100000,"")</f>
        <v/>
      </c>
    </row>
    <row r="727" customFormat="false" ht="15" hidden="false" customHeight="false" outlineLevel="0" collapsed="false">
      <c r="A727" s="28"/>
      <c r="B727" s="63"/>
      <c r="C727" s="64"/>
      <c r="D727" s="28"/>
      <c r="E727" s="28"/>
      <c r="F727" s="28"/>
      <c r="G727" s="64"/>
      <c r="H727" s="64"/>
      <c r="I727" s="28"/>
      <c r="J727" s="28"/>
      <c r="K727" s="65" t="str">
        <f aca="false">IF($A727="","",IF(OR($C727="Decision",$C727="Conflict"),IF(COUNTIFS($I$2:$I$1001,$A727,$C$2:$C$1001,"Resolved")=0,"Open","Closed"),IF(AND($H727="Unconfirmed",OR($C727="New",$C727="Know")),IF(COUNTIFS($I$2:$I$1001,$A727,$C$2:$C$1001,"Confirmed")=0,"Unconfirmed","Confirmed"),"Logged")))</f>
        <v/>
      </c>
      <c r="L727" s="65" t="str">
        <f aca="false">IF($A727="","",AsOf-$B727)</f>
        <v/>
      </c>
      <c r="M727" s="65" t="str">
        <f aca="false">IF($K727="Open",IF($C727="Conflict","Critical",IF($L727&gt;=DecisionCritical,"Critical",IF($L727&gt;=DecisionWarn,"Warning","On track"))),IF($K727="Unconfirmed",IF($L727&gt;=UnconfirmedWarn,"Warning","On track"),""))</f>
        <v/>
      </c>
      <c r="N727" s="65" t="str">
        <f aca="false">IF($M727="","",IF($M727="Critical",3000,IF($M727="Warning",2000,1000))+$L727+ROW()/100000)</f>
        <v/>
      </c>
      <c r="O727" s="65" t="str">
        <f aca="false">IF($K727="Open",IF($C727="Conflict","decide "&amp;$A727&amp;": &lt;which version stands&gt;","decide "&amp;$A727&amp;": &lt;outcome&gt;"),IF($K727="Unconfirmed","confirm "&amp;$A727,""))</f>
        <v/>
      </c>
      <c r="P727" s="65" t="str">
        <f aca="false">IF(AND($C727="New",$B727&gt;=WeekStart),$B727+ROW()/100000,"")</f>
        <v/>
      </c>
      <c r="Q727" s="65" t="str">
        <f aca="false">IF(AND($C727="Know",$B727&gt;=WeekStart),$B727+ROW()/100000,"")</f>
        <v/>
      </c>
      <c r="R727" s="65" t="str">
        <f aca="false">IF(AND($K727="Open",$C727="Decision"),$L727+ROW()/100000,"")</f>
        <v/>
      </c>
      <c r="S727" s="65" t="str">
        <f aca="false">IF(AND($J727&lt;&gt;"",$J727=UCSel),$B727+ROW()/100000,"")</f>
        <v/>
      </c>
    </row>
    <row r="728" customFormat="false" ht="15" hidden="false" customHeight="false" outlineLevel="0" collapsed="false">
      <c r="A728" s="28"/>
      <c r="B728" s="63"/>
      <c r="C728" s="64"/>
      <c r="D728" s="28"/>
      <c r="E728" s="28"/>
      <c r="F728" s="28"/>
      <c r="G728" s="64"/>
      <c r="H728" s="64"/>
      <c r="I728" s="28"/>
      <c r="J728" s="28"/>
      <c r="K728" s="65" t="str">
        <f aca="false">IF($A728="","",IF(OR($C728="Decision",$C728="Conflict"),IF(COUNTIFS($I$2:$I$1001,$A728,$C$2:$C$1001,"Resolved")=0,"Open","Closed"),IF(AND($H728="Unconfirmed",OR($C728="New",$C728="Know")),IF(COUNTIFS($I$2:$I$1001,$A728,$C$2:$C$1001,"Confirmed")=0,"Unconfirmed","Confirmed"),"Logged")))</f>
        <v/>
      </c>
      <c r="L728" s="65" t="str">
        <f aca="false">IF($A728="","",AsOf-$B728)</f>
        <v/>
      </c>
      <c r="M728" s="65" t="str">
        <f aca="false">IF($K728="Open",IF($C728="Conflict","Critical",IF($L728&gt;=DecisionCritical,"Critical",IF($L728&gt;=DecisionWarn,"Warning","On track"))),IF($K728="Unconfirmed",IF($L728&gt;=UnconfirmedWarn,"Warning","On track"),""))</f>
        <v/>
      </c>
      <c r="N728" s="65" t="str">
        <f aca="false">IF($M728="","",IF($M728="Critical",3000,IF($M728="Warning",2000,1000))+$L728+ROW()/100000)</f>
        <v/>
      </c>
      <c r="O728" s="65" t="str">
        <f aca="false">IF($K728="Open",IF($C728="Conflict","decide "&amp;$A728&amp;": &lt;which version stands&gt;","decide "&amp;$A728&amp;": &lt;outcome&gt;"),IF($K728="Unconfirmed","confirm "&amp;$A728,""))</f>
        <v/>
      </c>
      <c r="P728" s="65" t="str">
        <f aca="false">IF(AND($C728="New",$B728&gt;=WeekStart),$B728+ROW()/100000,"")</f>
        <v/>
      </c>
      <c r="Q728" s="65" t="str">
        <f aca="false">IF(AND($C728="Know",$B728&gt;=WeekStart),$B728+ROW()/100000,"")</f>
        <v/>
      </c>
      <c r="R728" s="65" t="str">
        <f aca="false">IF(AND($K728="Open",$C728="Decision"),$L728+ROW()/100000,"")</f>
        <v/>
      </c>
      <c r="S728" s="65" t="str">
        <f aca="false">IF(AND($J728&lt;&gt;"",$J728=UCSel),$B728+ROW()/100000,"")</f>
        <v/>
      </c>
    </row>
    <row r="729" customFormat="false" ht="15" hidden="false" customHeight="false" outlineLevel="0" collapsed="false">
      <c r="A729" s="28"/>
      <c r="B729" s="63"/>
      <c r="C729" s="64"/>
      <c r="D729" s="28"/>
      <c r="E729" s="28"/>
      <c r="F729" s="28"/>
      <c r="G729" s="64"/>
      <c r="H729" s="64"/>
      <c r="I729" s="28"/>
      <c r="J729" s="28"/>
      <c r="K729" s="65" t="str">
        <f aca="false">IF($A729="","",IF(OR($C729="Decision",$C729="Conflict"),IF(COUNTIFS($I$2:$I$1001,$A729,$C$2:$C$1001,"Resolved")=0,"Open","Closed"),IF(AND($H729="Unconfirmed",OR($C729="New",$C729="Know")),IF(COUNTIFS($I$2:$I$1001,$A729,$C$2:$C$1001,"Confirmed")=0,"Unconfirmed","Confirmed"),"Logged")))</f>
        <v/>
      </c>
      <c r="L729" s="65" t="str">
        <f aca="false">IF($A729="","",AsOf-$B729)</f>
        <v/>
      </c>
      <c r="M729" s="65" t="str">
        <f aca="false">IF($K729="Open",IF($C729="Conflict","Critical",IF($L729&gt;=DecisionCritical,"Critical",IF($L729&gt;=DecisionWarn,"Warning","On track"))),IF($K729="Unconfirmed",IF($L729&gt;=UnconfirmedWarn,"Warning","On track"),""))</f>
        <v/>
      </c>
      <c r="N729" s="65" t="str">
        <f aca="false">IF($M729="","",IF($M729="Critical",3000,IF($M729="Warning",2000,1000))+$L729+ROW()/100000)</f>
        <v/>
      </c>
      <c r="O729" s="65" t="str">
        <f aca="false">IF($K729="Open",IF($C729="Conflict","decide "&amp;$A729&amp;": &lt;which version stands&gt;","decide "&amp;$A729&amp;": &lt;outcome&gt;"),IF($K729="Unconfirmed","confirm "&amp;$A729,""))</f>
        <v/>
      </c>
      <c r="P729" s="65" t="str">
        <f aca="false">IF(AND($C729="New",$B729&gt;=WeekStart),$B729+ROW()/100000,"")</f>
        <v/>
      </c>
      <c r="Q729" s="65" t="str">
        <f aca="false">IF(AND($C729="Know",$B729&gt;=WeekStart),$B729+ROW()/100000,"")</f>
        <v/>
      </c>
      <c r="R729" s="65" t="str">
        <f aca="false">IF(AND($K729="Open",$C729="Decision"),$L729+ROW()/100000,"")</f>
        <v/>
      </c>
      <c r="S729" s="65" t="str">
        <f aca="false">IF(AND($J729&lt;&gt;"",$J729=UCSel),$B729+ROW()/100000,"")</f>
        <v/>
      </c>
    </row>
    <row r="730" customFormat="false" ht="15" hidden="false" customHeight="false" outlineLevel="0" collapsed="false">
      <c r="A730" s="28"/>
      <c r="B730" s="63"/>
      <c r="C730" s="64"/>
      <c r="D730" s="28"/>
      <c r="E730" s="28"/>
      <c r="F730" s="28"/>
      <c r="G730" s="64"/>
      <c r="H730" s="64"/>
      <c r="I730" s="28"/>
      <c r="J730" s="28"/>
      <c r="K730" s="65" t="str">
        <f aca="false">IF($A730="","",IF(OR($C730="Decision",$C730="Conflict"),IF(COUNTIFS($I$2:$I$1001,$A730,$C$2:$C$1001,"Resolved")=0,"Open","Closed"),IF(AND($H730="Unconfirmed",OR($C730="New",$C730="Know")),IF(COUNTIFS($I$2:$I$1001,$A730,$C$2:$C$1001,"Confirmed")=0,"Unconfirmed","Confirmed"),"Logged")))</f>
        <v/>
      </c>
      <c r="L730" s="65" t="str">
        <f aca="false">IF($A730="","",AsOf-$B730)</f>
        <v/>
      </c>
      <c r="M730" s="65" t="str">
        <f aca="false">IF($K730="Open",IF($C730="Conflict","Critical",IF($L730&gt;=DecisionCritical,"Critical",IF($L730&gt;=DecisionWarn,"Warning","On track"))),IF($K730="Unconfirmed",IF($L730&gt;=UnconfirmedWarn,"Warning","On track"),""))</f>
        <v/>
      </c>
      <c r="N730" s="65" t="str">
        <f aca="false">IF($M730="","",IF($M730="Critical",3000,IF($M730="Warning",2000,1000))+$L730+ROW()/100000)</f>
        <v/>
      </c>
      <c r="O730" s="65" t="str">
        <f aca="false">IF($K730="Open",IF($C730="Conflict","decide "&amp;$A730&amp;": &lt;which version stands&gt;","decide "&amp;$A730&amp;": &lt;outcome&gt;"),IF($K730="Unconfirmed","confirm "&amp;$A730,""))</f>
        <v/>
      </c>
      <c r="P730" s="65" t="str">
        <f aca="false">IF(AND($C730="New",$B730&gt;=WeekStart),$B730+ROW()/100000,"")</f>
        <v/>
      </c>
      <c r="Q730" s="65" t="str">
        <f aca="false">IF(AND($C730="Know",$B730&gt;=WeekStart),$B730+ROW()/100000,"")</f>
        <v/>
      </c>
      <c r="R730" s="65" t="str">
        <f aca="false">IF(AND($K730="Open",$C730="Decision"),$L730+ROW()/100000,"")</f>
        <v/>
      </c>
      <c r="S730" s="65" t="str">
        <f aca="false">IF(AND($J730&lt;&gt;"",$J730=UCSel),$B730+ROW()/100000,"")</f>
        <v/>
      </c>
    </row>
    <row r="731" customFormat="false" ht="15" hidden="false" customHeight="false" outlineLevel="0" collapsed="false">
      <c r="A731" s="28"/>
      <c r="B731" s="63"/>
      <c r="C731" s="64"/>
      <c r="D731" s="28"/>
      <c r="E731" s="28"/>
      <c r="F731" s="28"/>
      <c r="G731" s="64"/>
      <c r="H731" s="64"/>
      <c r="I731" s="28"/>
      <c r="J731" s="28"/>
      <c r="K731" s="65" t="str">
        <f aca="false">IF($A731="","",IF(OR($C731="Decision",$C731="Conflict"),IF(COUNTIFS($I$2:$I$1001,$A731,$C$2:$C$1001,"Resolved")=0,"Open","Closed"),IF(AND($H731="Unconfirmed",OR($C731="New",$C731="Know")),IF(COUNTIFS($I$2:$I$1001,$A731,$C$2:$C$1001,"Confirmed")=0,"Unconfirmed","Confirmed"),"Logged")))</f>
        <v/>
      </c>
      <c r="L731" s="65" t="str">
        <f aca="false">IF($A731="","",AsOf-$B731)</f>
        <v/>
      </c>
      <c r="M731" s="65" t="str">
        <f aca="false">IF($K731="Open",IF($C731="Conflict","Critical",IF($L731&gt;=DecisionCritical,"Critical",IF($L731&gt;=DecisionWarn,"Warning","On track"))),IF($K731="Unconfirmed",IF($L731&gt;=UnconfirmedWarn,"Warning","On track"),""))</f>
        <v/>
      </c>
      <c r="N731" s="65" t="str">
        <f aca="false">IF($M731="","",IF($M731="Critical",3000,IF($M731="Warning",2000,1000))+$L731+ROW()/100000)</f>
        <v/>
      </c>
      <c r="O731" s="65" t="str">
        <f aca="false">IF($K731="Open",IF($C731="Conflict","decide "&amp;$A731&amp;": &lt;which version stands&gt;","decide "&amp;$A731&amp;": &lt;outcome&gt;"),IF($K731="Unconfirmed","confirm "&amp;$A731,""))</f>
        <v/>
      </c>
      <c r="P731" s="65" t="str">
        <f aca="false">IF(AND($C731="New",$B731&gt;=WeekStart),$B731+ROW()/100000,"")</f>
        <v/>
      </c>
      <c r="Q731" s="65" t="str">
        <f aca="false">IF(AND($C731="Know",$B731&gt;=WeekStart),$B731+ROW()/100000,"")</f>
        <v/>
      </c>
      <c r="R731" s="65" t="str">
        <f aca="false">IF(AND($K731="Open",$C731="Decision"),$L731+ROW()/100000,"")</f>
        <v/>
      </c>
      <c r="S731" s="65" t="str">
        <f aca="false">IF(AND($J731&lt;&gt;"",$J731=UCSel),$B731+ROW()/100000,"")</f>
        <v/>
      </c>
    </row>
    <row r="732" customFormat="false" ht="15" hidden="false" customHeight="false" outlineLevel="0" collapsed="false">
      <c r="A732" s="28"/>
      <c r="B732" s="63"/>
      <c r="C732" s="64"/>
      <c r="D732" s="28"/>
      <c r="E732" s="28"/>
      <c r="F732" s="28"/>
      <c r="G732" s="64"/>
      <c r="H732" s="64"/>
      <c r="I732" s="28"/>
      <c r="J732" s="28"/>
      <c r="K732" s="65" t="str">
        <f aca="false">IF($A732="","",IF(OR($C732="Decision",$C732="Conflict"),IF(COUNTIFS($I$2:$I$1001,$A732,$C$2:$C$1001,"Resolved")=0,"Open","Closed"),IF(AND($H732="Unconfirmed",OR($C732="New",$C732="Know")),IF(COUNTIFS($I$2:$I$1001,$A732,$C$2:$C$1001,"Confirmed")=0,"Unconfirmed","Confirmed"),"Logged")))</f>
        <v/>
      </c>
      <c r="L732" s="65" t="str">
        <f aca="false">IF($A732="","",AsOf-$B732)</f>
        <v/>
      </c>
      <c r="M732" s="65" t="str">
        <f aca="false">IF($K732="Open",IF($C732="Conflict","Critical",IF($L732&gt;=DecisionCritical,"Critical",IF($L732&gt;=DecisionWarn,"Warning","On track"))),IF($K732="Unconfirmed",IF($L732&gt;=UnconfirmedWarn,"Warning","On track"),""))</f>
        <v/>
      </c>
      <c r="N732" s="65" t="str">
        <f aca="false">IF($M732="","",IF($M732="Critical",3000,IF($M732="Warning",2000,1000))+$L732+ROW()/100000)</f>
        <v/>
      </c>
      <c r="O732" s="65" t="str">
        <f aca="false">IF($K732="Open",IF($C732="Conflict","decide "&amp;$A732&amp;": &lt;which version stands&gt;","decide "&amp;$A732&amp;": &lt;outcome&gt;"),IF($K732="Unconfirmed","confirm "&amp;$A732,""))</f>
        <v/>
      </c>
      <c r="P732" s="65" t="str">
        <f aca="false">IF(AND($C732="New",$B732&gt;=WeekStart),$B732+ROW()/100000,"")</f>
        <v/>
      </c>
      <c r="Q732" s="65" t="str">
        <f aca="false">IF(AND($C732="Know",$B732&gt;=WeekStart),$B732+ROW()/100000,"")</f>
        <v/>
      </c>
      <c r="R732" s="65" t="str">
        <f aca="false">IF(AND($K732="Open",$C732="Decision"),$L732+ROW()/100000,"")</f>
        <v/>
      </c>
      <c r="S732" s="65" t="str">
        <f aca="false">IF(AND($J732&lt;&gt;"",$J732=UCSel),$B732+ROW()/100000,"")</f>
        <v/>
      </c>
    </row>
    <row r="733" customFormat="false" ht="15" hidden="false" customHeight="false" outlineLevel="0" collapsed="false">
      <c r="A733" s="28"/>
      <c r="B733" s="63"/>
      <c r="C733" s="64"/>
      <c r="D733" s="28"/>
      <c r="E733" s="28"/>
      <c r="F733" s="28"/>
      <c r="G733" s="64"/>
      <c r="H733" s="64"/>
      <c r="I733" s="28"/>
      <c r="J733" s="28"/>
      <c r="K733" s="65" t="str">
        <f aca="false">IF($A733="","",IF(OR($C733="Decision",$C733="Conflict"),IF(COUNTIFS($I$2:$I$1001,$A733,$C$2:$C$1001,"Resolved")=0,"Open","Closed"),IF(AND($H733="Unconfirmed",OR($C733="New",$C733="Know")),IF(COUNTIFS($I$2:$I$1001,$A733,$C$2:$C$1001,"Confirmed")=0,"Unconfirmed","Confirmed"),"Logged")))</f>
        <v/>
      </c>
      <c r="L733" s="65" t="str">
        <f aca="false">IF($A733="","",AsOf-$B733)</f>
        <v/>
      </c>
      <c r="M733" s="65" t="str">
        <f aca="false">IF($K733="Open",IF($C733="Conflict","Critical",IF($L733&gt;=DecisionCritical,"Critical",IF($L733&gt;=DecisionWarn,"Warning","On track"))),IF($K733="Unconfirmed",IF($L733&gt;=UnconfirmedWarn,"Warning","On track"),""))</f>
        <v/>
      </c>
      <c r="N733" s="65" t="str">
        <f aca="false">IF($M733="","",IF($M733="Critical",3000,IF($M733="Warning",2000,1000))+$L733+ROW()/100000)</f>
        <v/>
      </c>
      <c r="O733" s="65" t="str">
        <f aca="false">IF($K733="Open",IF($C733="Conflict","decide "&amp;$A733&amp;": &lt;which version stands&gt;","decide "&amp;$A733&amp;": &lt;outcome&gt;"),IF($K733="Unconfirmed","confirm "&amp;$A733,""))</f>
        <v/>
      </c>
      <c r="P733" s="65" t="str">
        <f aca="false">IF(AND($C733="New",$B733&gt;=WeekStart),$B733+ROW()/100000,"")</f>
        <v/>
      </c>
      <c r="Q733" s="65" t="str">
        <f aca="false">IF(AND($C733="Know",$B733&gt;=WeekStart),$B733+ROW()/100000,"")</f>
        <v/>
      </c>
      <c r="R733" s="65" t="str">
        <f aca="false">IF(AND($K733="Open",$C733="Decision"),$L733+ROW()/100000,"")</f>
        <v/>
      </c>
      <c r="S733" s="65" t="str">
        <f aca="false">IF(AND($J733&lt;&gt;"",$J733=UCSel),$B733+ROW()/100000,"")</f>
        <v/>
      </c>
    </row>
    <row r="734" customFormat="false" ht="15" hidden="false" customHeight="false" outlineLevel="0" collapsed="false">
      <c r="A734" s="28"/>
      <c r="B734" s="63"/>
      <c r="C734" s="64"/>
      <c r="D734" s="28"/>
      <c r="E734" s="28"/>
      <c r="F734" s="28"/>
      <c r="G734" s="64"/>
      <c r="H734" s="64"/>
      <c r="I734" s="28"/>
      <c r="J734" s="28"/>
      <c r="K734" s="65" t="str">
        <f aca="false">IF($A734="","",IF(OR($C734="Decision",$C734="Conflict"),IF(COUNTIFS($I$2:$I$1001,$A734,$C$2:$C$1001,"Resolved")=0,"Open","Closed"),IF(AND($H734="Unconfirmed",OR($C734="New",$C734="Know")),IF(COUNTIFS($I$2:$I$1001,$A734,$C$2:$C$1001,"Confirmed")=0,"Unconfirmed","Confirmed"),"Logged")))</f>
        <v/>
      </c>
      <c r="L734" s="65" t="str">
        <f aca="false">IF($A734="","",AsOf-$B734)</f>
        <v/>
      </c>
      <c r="M734" s="65" t="str">
        <f aca="false">IF($K734="Open",IF($C734="Conflict","Critical",IF($L734&gt;=DecisionCritical,"Critical",IF($L734&gt;=DecisionWarn,"Warning","On track"))),IF($K734="Unconfirmed",IF($L734&gt;=UnconfirmedWarn,"Warning","On track"),""))</f>
        <v/>
      </c>
      <c r="N734" s="65" t="str">
        <f aca="false">IF($M734="","",IF($M734="Critical",3000,IF($M734="Warning",2000,1000))+$L734+ROW()/100000)</f>
        <v/>
      </c>
      <c r="O734" s="65" t="str">
        <f aca="false">IF($K734="Open",IF($C734="Conflict","decide "&amp;$A734&amp;": &lt;which version stands&gt;","decide "&amp;$A734&amp;": &lt;outcome&gt;"),IF($K734="Unconfirmed","confirm "&amp;$A734,""))</f>
        <v/>
      </c>
      <c r="P734" s="65" t="str">
        <f aca="false">IF(AND($C734="New",$B734&gt;=WeekStart),$B734+ROW()/100000,"")</f>
        <v/>
      </c>
      <c r="Q734" s="65" t="str">
        <f aca="false">IF(AND($C734="Know",$B734&gt;=WeekStart),$B734+ROW()/100000,"")</f>
        <v/>
      </c>
      <c r="R734" s="65" t="str">
        <f aca="false">IF(AND($K734="Open",$C734="Decision"),$L734+ROW()/100000,"")</f>
        <v/>
      </c>
      <c r="S734" s="65" t="str">
        <f aca="false">IF(AND($J734&lt;&gt;"",$J734=UCSel),$B734+ROW()/100000,"")</f>
        <v/>
      </c>
    </row>
    <row r="735" customFormat="false" ht="15" hidden="false" customHeight="false" outlineLevel="0" collapsed="false">
      <c r="A735" s="28"/>
      <c r="B735" s="63"/>
      <c r="C735" s="64"/>
      <c r="D735" s="28"/>
      <c r="E735" s="28"/>
      <c r="F735" s="28"/>
      <c r="G735" s="64"/>
      <c r="H735" s="64"/>
      <c r="I735" s="28"/>
      <c r="J735" s="28"/>
      <c r="K735" s="65" t="str">
        <f aca="false">IF($A735="","",IF(OR($C735="Decision",$C735="Conflict"),IF(COUNTIFS($I$2:$I$1001,$A735,$C$2:$C$1001,"Resolved")=0,"Open","Closed"),IF(AND($H735="Unconfirmed",OR($C735="New",$C735="Know")),IF(COUNTIFS($I$2:$I$1001,$A735,$C$2:$C$1001,"Confirmed")=0,"Unconfirmed","Confirmed"),"Logged")))</f>
        <v/>
      </c>
      <c r="L735" s="65" t="str">
        <f aca="false">IF($A735="","",AsOf-$B735)</f>
        <v/>
      </c>
      <c r="M735" s="65" t="str">
        <f aca="false">IF($K735="Open",IF($C735="Conflict","Critical",IF($L735&gt;=DecisionCritical,"Critical",IF($L735&gt;=DecisionWarn,"Warning","On track"))),IF($K735="Unconfirmed",IF($L735&gt;=UnconfirmedWarn,"Warning","On track"),""))</f>
        <v/>
      </c>
      <c r="N735" s="65" t="str">
        <f aca="false">IF($M735="","",IF($M735="Critical",3000,IF($M735="Warning",2000,1000))+$L735+ROW()/100000)</f>
        <v/>
      </c>
      <c r="O735" s="65" t="str">
        <f aca="false">IF($K735="Open",IF($C735="Conflict","decide "&amp;$A735&amp;": &lt;which version stands&gt;","decide "&amp;$A735&amp;": &lt;outcome&gt;"),IF($K735="Unconfirmed","confirm "&amp;$A735,""))</f>
        <v/>
      </c>
      <c r="P735" s="65" t="str">
        <f aca="false">IF(AND($C735="New",$B735&gt;=WeekStart),$B735+ROW()/100000,"")</f>
        <v/>
      </c>
      <c r="Q735" s="65" t="str">
        <f aca="false">IF(AND($C735="Know",$B735&gt;=WeekStart),$B735+ROW()/100000,"")</f>
        <v/>
      </c>
      <c r="R735" s="65" t="str">
        <f aca="false">IF(AND($K735="Open",$C735="Decision"),$L735+ROW()/100000,"")</f>
        <v/>
      </c>
      <c r="S735" s="65" t="str">
        <f aca="false">IF(AND($J735&lt;&gt;"",$J735=UCSel),$B735+ROW()/100000,"")</f>
        <v/>
      </c>
    </row>
    <row r="736" customFormat="false" ht="15" hidden="false" customHeight="false" outlineLevel="0" collapsed="false">
      <c r="A736" s="28"/>
      <c r="B736" s="63"/>
      <c r="C736" s="64"/>
      <c r="D736" s="28"/>
      <c r="E736" s="28"/>
      <c r="F736" s="28"/>
      <c r="G736" s="64"/>
      <c r="H736" s="64"/>
      <c r="I736" s="28"/>
      <c r="J736" s="28"/>
      <c r="K736" s="65" t="str">
        <f aca="false">IF($A736="","",IF(OR($C736="Decision",$C736="Conflict"),IF(COUNTIFS($I$2:$I$1001,$A736,$C$2:$C$1001,"Resolved")=0,"Open","Closed"),IF(AND($H736="Unconfirmed",OR($C736="New",$C736="Know")),IF(COUNTIFS($I$2:$I$1001,$A736,$C$2:$C$1001,"Confirmed")=0,"Unconfirmed","Confirmed"),"Logged")))</f>
        <v/>
      </c>
      <c r="L736" s="65" t="str">
        <f aca="false">IF($A736="","",AsOf-$B736)</f>
        <v/>
      </c>
      <c r="M736" s="65" t="str">
        <f aca="false">IF($K736="Open",IF($C736="Conflict","Critical",IF($L736&gt;=DecisionCritical,"Critical",IF($L736&gt;=DecisionWarn,"Warning","On track"))),IF($K736="Unconfirmed",IF($L736&gt;=UnconfirmedWarn,"Warning","On track"),""))</f>
        <v/>
      </c>
      <c r="N736" s="65" t="str">
        <f aca="false">IF($M736="","",IF($M736="Critical",3000,IF($M736="Warning",2000,1000))+$L736+ROW()/100000)</f>
        <v/>
      </c>
      <c r="O736" s="65" t="str">
        <f aca="false">IF($K736="Open",IF($C736="Conflict","decide "&amp;$A736&amp;": &lt;which version stands&gt;","decide "&amp;$A736&amp;": &lt;outcome&gt;"),IF($K736="Unconfirmed","confirm "&amp;$A736,""))</f>
        <v/>
      </c>
      <c r="P736" s="65" t="str">
        <f aca="false">IF(AND($C736="New",$B736&gt;=WeekStart),$B736+ROW()/100000,"")</f>
        <v/>
      </c>
      <c r="Q736" s="65" t="str">
        <f aca="false">IF(AND($C736="Know",$B736&gt;=WeekStart),$B736+ROW()/100000,"")</f>
        <v/>
      </c>
      <c r="R736" s="65" t="str">
        <f aca="false">IF(AND($K736="Open",$C736="Decision"),$L736+ROW()/100000,"")</f>
        <v/>
      </c>
      <c r="S736" s="65" t="str">
        <f aca="false">IF(AND($J736&lt;&gt;"",$J736=UCSel),$B736+ROW()/100000,"")</f>
        <v/>
      </c>
    </row>
    <row r="737" customFormat="false" ht="15" hidden="false" customHeight="false" outlineLevel="0" collapsed="false">
      <c r="A737" s="28"/>
      <c r="B737" s="63"/>
      <c r="C737" s="64"/>
      <c r="D737" s="28"/>
      <c r="E737" s="28"/>
      <c r="F737" s="28"/>
      <c r="G737" s="64"/>
      <c r="H737" s="64"/>
      <c r="I737" s="28"/>
      <c r="J737" s="28"/>
      <c r="K737" s="65" t="str">
        <f aca="false">IF($A737="","",IF(OR($C737="Decision",$C737="Conflict"),IF(COUNTIFS($I$2:$I$1001,$A737,$C$2:$C$1001,"Resolved")=0,"Open","Closed"),IF(AND($H737="Unconfirmed",OR($C737="New",$C737="Know")),IF(COUNTIFS($I$2:$I$1001,$A737,$C$2:$C$1001,"Confirmed")=0,"Unconfirmed","Confirmed"),"Logged")))</f>
        <v/>
      </c>
      <c r="L737" s="65" t="str">
        <f aca="false">IF($A737="","",AsOf-$B737)</f>
        <v/>
      </c>
      <c r="M737" s="65" t="str">
        <f aca="false">IF($K737="Open",IF($C737="Conflict","Critical",IF($L737&gt;=DecisionCritical,"Critical",IF($L737&gt;=DecisionWarn,"Warning","On track"))),IF($K737="Unconfirmed",IF($L737&gt;=UnconfirmedWarn,"Warning","On track"),""))</f>
        <v/>
      </c>
      <c r="N737" s="65" t="str">
        <f aca="false">IF($M737="","",IF($M737="Critical",3000,IF($M737="Warning",2000,1000))+$L737+ROW()/100000)</f>
        <v/>
      </c>
      <c r="O737" s="65" t="str">
        <f aca="false">IF($K737="Open",IF($C737="Conflict","decide "&amp;$A737&amp;": &lt;which version stands&gt;","decide "&amp;$A737&amp;": &lt;outcome&gt;"),IF($K737="Unconfirmed","confirm "&amp;$A737,""))</f>
        <v/>
      </c>
      <c r="P737" s="65" t="str">
        <f aca="false">IF(AND($C737="New",$B737&gt;=WeekStart),$B737+ROW()/100000,"")</f>
        <v/>
      </c>
      <c r="Q737" s="65" t="str">
        <f aca="false">IF(AND($C737="Know",$B737&gt;=WeekStart),$B737+ROW()/100000,"")</f>
        <v/>
      </c>
      <c r="R737" s="65" t="str">
        <f aca="false">IF(AND($K737="Open",$C737="Decision"),$L737+ROW()/100000,"")</f>
        <v/>
      </c>
      <c r="S737" s="65" t="str">
        <f aca="false">IF(AND($J737&lt;&gt;"",$J737=UCSel),$B737+ROW()/100000,"")</f>
        <v/>
      </c>
    </row>
    <row r="738" customFormat="false" ht="15" hidden="false" customHeight="false" outlineLevel="0" collapsed="false">
      <c r="A738" s="28"/>
      <c r="B738" s="63"/>
      <c r="C738" s="64"/>
      <c r="D738" s="28"/>
      <c r="E738" s="28"/>
      <c r="F738" s="28"/>
      <c r="G738" s="64"/>
      <c r="H738" s="64"/>
      <c r="I738" s="28"/>
      <c r="J738" s="28"/>
      <c r="K738" s="65" t="str">
        <f aca="false">IF($A738="","",IF(OR($C738="Decision",$C738="Conflict"),IF(COUNTIFS($I$2:$I$1001,$A738,$C$2:$C$1001,"Resolved")=0,"Open","Closed"),IF(AND($H738="Unconfirmed",OR($C738="New",$C738="Know")),IF(COUNTIFS($I$2:$I$1001,$A738,$C$2:$C$1001,"Confirmed")=0,"Unconfirmed","Confirmed"),"Logged")))</f>
        <v/>
      </c>
      <c r="L738" s="65" t="str">
        <f aca="false">IF($A738="","",AsOf-$B738)</f>
        <v/>
      </c>
      <c r="M738" s="65" t="str">
        <f aca="false">IF($K738="Open",IF($C738="Conflict","Critical",IF($L738&gt;=DecisionCritical,"Critical",IF($L738&gt;=DecisionWarn,"Warning","On track"))),IF($K738="Unconfirmed",IF($L738&gt;=UnconfirmedWarn,"Warning","On track"),""))</f>
        <v/>
      </c>
      <c r="N738" s="65" t="str">
        <f aca="false">IF($M738="","",IF($M738="Critical",3000,IF($M738="Warning",2000,1000))+$L738+ROW()/100000)</f>
        <v/>
      </c>
      <c r="O738" s="65" t="str">
        <f aca="false">IF($K738="Open",IF($C738="Conflict","decide "&amp;$A738&amp;": &lt;which version stands&gt;","decide "&amp;$A738&amp;": &lt;outcome&gt;"),IF($K738="Unconfirmed","confirm "&amp;$A738,""))</f>
        <v/>
      </c>
      <c r="P738" s="65" t="str">
        <f aca="false">IF(AND($C738="New",$B738&gt;=WeekStart),$B738+ROW()/100000,"")</f>
        <v/>
      </c>
      <c r="Q738" s="65" t="str">
        <f aca="false">IF(AND($C738="Know",$B738&gt;=WeekStart),$B738+ROW()/100000,"")</f>
        <v/>
      </c>
      <c r="R738" s="65" t="str">
        <f aca="false">IF(AND($K738="Open",$C738="Decision"),$L738+ROW()/100000,"")</f>
        <v/>
      </c>
      <c r="S738" s="65" t="str">
        <f aca="false">IF(AND($J738&lt;&gt;"",$J738=UCSel),$B738+ROW()/100000,"")</f>
        <v/>
      </c>
    </row>
    <row r="739" customFormat="false" ht="15" hidden="false" customHeight="false" outlineLevel="0" collapsed="false">
      <c r="A739" s="28"/>
      <c r="B739" s="63"/>
      <c r="C739" s="64"/>
      <c r="D739" s="28"/>
      <c r="E739" s="28"/>
      <c r="F739" s="28"/>
      <c r="G739" s="64"/>
      <c r="H739" s="64"/>
      <c r="I739" s="28"/>
      <c r="J739" s="28"/>
      <c r="K739" s="65" t="str">
        <f aca="false">IF($A739="","",IF(OR($C739="Decision",$C739="Conflict"),IF(COUNTIFS($I$2:$I$1001,$A739,$C$2:$C$1001,"Resolved")=0,"Open","Closed"),IF(AND($H739="Unconfirmed",OR($C739="New",$C739="Know")),IF(COUNTIFS($I$2:$I$1001,$A739,$C$2:$C$1001,"Confirmed")=0,"Unconfirmed","Confirmed"),"Logged")))</f>
        <v/>
      </c>
      <c r="L739" s="65" t="str">
        <f aca="false">IF($A739="","",AsOf-$B739)</f>
        <v/>
      </c>
      <c r="M739" s="65" t="str">
        <f aca="false">IF($K739="Open",IF($C739="Conflict","Critical",IF($L739&gt;=DecisionCritical,"Critical",IF($L739&gt;=DecisionWarn,"Warning","On track"))),IF($K739="Unconfirmed",IF($L739&gt;=UnconfirmedWarn,"Warning","On track"),""))</f>
        <v/>
      </c>
      <c r="N739" s="65" t="str">
        <f aca="false">IF($M739="","",IF($M739="Critical",3000,IF($M739="Warning",2000,1000))+$L739+ROW()/100000)</f>
        <v/>
      </c>
      <c r="O739" s="65" t="str">
        <f aca="false">IF($K739="Open",IF($C739="Conflict","decide "&amp;$A739&amp;": &lt;which version stands&gt;","decide "&amp;$A739&amp;": &lt;outcome&gt;"),IF($K739="Unconfirmed","confirm "&amp;$A739,""))</f>
        <v/>
      </c>
      <c r="P739" s="65" t="str">
        <f aca="false">IF(AND($C739="New",$B739&gt;=WeekStart),$B739+ROW()/100000,"")</f>
        <v/>
      </c>
      <c r="Q739" s="65" t="str">
        <f aca="false">IF(AND($C739="Know",$B739&gt;=WeekStart),$B739+ROW()/100000,"")</f>
        <v/>
      </c>
      <c r="R739" s="65" t="str">
        <f aca="false">IF(AND($K739="Open",$C739="Decision"),$L739+ROW()/100000,"")</f>
        <v/>
      </c>
      <c r="S739" s="65" t="str">
        <f aca="false">IF(AND($J739&lt;&gt;"",$J739=UCSel),$B739+ROW()/100000,"")</f>
        <v/>
      </c>
    </row>
    <row r="740" customFormat="false" ht="15" hidden="false" customHeight="false" outlineLevel="0" collapsed="false">
      <c r="A740" s="28"/>
      <c r="B740" s="63"/>
      <c r="C740" s="64"/>
      <c r="D740" s="28"/>
      <c r="E740" s="28"/>
      <c r="F740" s="28"/>
      <c r="G740" s="64"/>
      <c r="H740" s="64"/>
      <c r="I740" s="28"/>
      <c r="J740" s="28"/>
      <c r="K740" s="65" t="str">
        <f aca="false">IF($A740="","",IF(OR($C740="Decision",$C740="Conflict"),IF(COUNTIFS($I$2:$I$1001,$A740,$C$2:$C$1001,"Resolved")=0,"Open","Closed"),IF(AND($H740="Unconfirmed",OR($C740="New",$C740="Know")),IF(COUNTIFS($I$2:$I$1001,$A740,$C$2:$C$1001,"Confirmed")=0,"Unconfirmed","Confirmed"),"Logged")))</f>
        <v/>
      </c>
      <c r="L740" s="65" t="str">
        <f aca="false">IF($A740="","",AsOf-$B740)</f>
        <v/>
      </c>
      <c r="M740" s="65" t="str">
        <f aca="false">IF($K740="Open",IF($C740="Conflict","Critical",IF($L740&gt;=DecisionCritical,"Critical",IF($L740&gt;=DecisionWarn,"Warning","On track"))),IF($K740="Unconfirmed",IF($L740&gt;=UnconfirmedWarn,"Warning","On track"),""))</f>
        <v/>
      </c>
      <c r="N740" s="65" t="str">
        <f aca="false">IF($M740="","",IF($M740="Critical",3000,IF($M740="Warning",2000,1000))+$L740+ROW()/100000)</f>
        <v/>
      </c>
      <c r="O740" s="65" t="str">
        <f aca="false">IF($K740="Open",IF($C740="Conflict","decide "&amp;$A740&amp;": &lt;which version stands&gt;","decide "&amp;$A740&amp;": &lt;outcome&gt;"),IF($K740="Unconfirmed","confirm "&amp;$A740,""))</f>
        <v/>
      </c>
      <c r="P740" s="65" t="str">
        <f aca="false">IF(AND($C740="New",$B740&gt;=WeekStart),$B740+ROW()/100000,"")</f>
        <v/>
      </c>
      <c r="Q740" s="65" t="str">
        <f aca="false">IF(AND($C740="Know",$B740&gt;=WeekStart),$B740+ROW()/100000,"")</f>
        <v/>
      </c>
      <c r="R740" s="65" t="str">
        <f aca="false">IF(AND($K740="Open",$C740="Decision"),$L740+ROW()/100000,"")</f>
        <v/>
      </c>
      <c r="S740" s="65" t="str">
        <f aca="false">IF(AND($J740&lt;&gt;"",$J740=UCSel),$B740+ROW()/100000,"")</f>
        <v/>
      </c>
    </row>
    <row r="741" customFormat="false" ht="15" hidden="false" customHeight="false" outlineLevel="0" collapsed="false">
      <c r="A741" s="28"/>
      <c r="B741" s="63"/>
      <c r="C741" s="64"/>
      <c r="D741" s="28"/>
      <c r="E741" s="28"/>
      <c r="F741" s="28"/>
      <c r="G741" s="64"/>
      <c r="H741" s="64"/>
      <c r="I741" s="28"/>
      <c r="J741" s="28"/>
      <c r="K741" s="65" t="str">
        <f aca="false">IF($A741="","",IF(OR($C741="Decision",$C741="Conflict"),IF(COUNTIFS($I$2:$I$1001,$A741,$C$2:$C$1001,"Resolved")=0,"Open","Closed"),IF(AND($H741="Unconfirmed",OR($C741="New",$C741="Know")),IF(COUNTIFS($I$2:$I$1001,$A741,$C$2:$C$1001,"Confirmed")=0,"Unconfirmed","Confirmed"),"Logged")))</f>
        <v/>
      </c>
      <c r="L741" s="65" t="str">
        <f aca="false">IF($A741="","",AsOf-$B741)</f>
        <v/>
      </c>
      <c r="M741" s="65" t="str">
        <f aca="false">IF($K741="Open",IF($C741="Conflict","Critical",IF($L741&gt;=DecisionCritical,"Critical",IF($L741&gt;=DecisionWarn,"Warning","On track"))),IF($K741="Unconfirmed",IF($L741&gt;=UnconfirmedWarn,"Warning","On track"),""))</f>
        <v/>
      </c>
      <c r="N741" s="65" t="str">
        <f aca="false">IF($M741="","",IF($M741="Critical",3000,IF($M741="Warning",2000,1000))+$L741+ROW()/100000)</f>
        <v/>
      </c>
      <c r="O741" s="65" t="str">
        <f aca="false">IF($K741="Open",IF($C741="Conflict","decide "&amp;$A741&amp;": &lt;which version stands&gt;","decide "&amp;$A741&amp;": &lt;outcome&gt;"),IF($K741="Unconfirmed","confirm "&amp;$A741,""))</f>
        <v/>
      </c>
      <c r="P741" s="65" t="str">
        <f aca="false">IF(AND($C741="New",$B741&gt;=WeekStart),$B741+ROW()/100000,"")</f>
        <v/>
      </c>
      <c r="Q741" s="65" t="str">
        <f aca="false">IF(AND($C741="Know",$B741&gt;=WeekStart),$B741+ROW()/100000,"")</f>
        <v/>
      </c>
      <c r="R741" s="65" t="str">
        <f aca="false">IF(AND($K741="Open",$C741="Decision"),$L741+ROW()/100000,"")</f>
        <v/>
      </c>
      <c r="S741" s="65" t="str">
        <f aca="false">IF(AND($J741&lt;&gt;"",$J741=UCSel),$B741+ROW()/100000,"")</f>
        <v/>
      </c>
    </row>
    <row r="742" customFormat="false" ht="15" hidden="false" customHeight="false" outlineLevel="0" collapsed="false">
      <c r="A742" s="28"/>
      <c r="B742" s="63"/>
      <c r="C742" s="64"/>
      <c r="D742" s="28"/>
      <c r="E742" s="28"/>
      <c r="F742" s="28"/>
      <c r="G742" s="64"/>
      <c r="H742" s="64"/>
      <c r="I742" s="28"/>
      <c r="J742" s="28"/>
      <c r="K742" s="65" t="str">
        <f aca="false">IF($A742="","",IF(OR($C742="Decision",$C742="Conflict"),IF(COUNTIFS($I$2:$I$1001,$A742,$C$2:$C$1001,"Resolved")=0,"Open","Closed"),IF(AND($H742="Unconfirmed",OR($C742="New",$C742="Know")),IF(COUNTIFS($I$2:$I$1001,$A742,$C$2:$C$1001,"Confirmed")=0,"Unconfirmed","Confirmed"),"Logged")))</f>
        <v/>
      </c>
      <c r="L742" s="65" t="str">
        <f aca="false">IF($A742="","",AsOf-$B742)</f>
        <v/>
      </c>
      <c r="M742" s="65" t="str">
        <f aca="false">IF($K742="Open",IF($C742="Conflict","Critical",IF($L742&gt;=DecisionCritical,"Critical",IF($L742&gt;=DecisionWarn,"Warning","On track"))),IF($K742="Unconfirmed",IF($L742&gt;=UnconfirmedWarn,"Warning","On track"),""))</f>
        <v/>
      </c>
      <c r="N742" s="65" t="str">
        <f aca="false">IF($M742="","",IF($M742="Critical",3000,IF($M742="Warning",2000,1000))+$L742+ROW()/100000)</f>
        <v/>
      </c>
      <c r="O742" s="65" t="str">
        <f aca="false">IF($K742="Open",IF($C742="Conflict","decide "&amp;$A742&amp;": &lt;which version stands&gt;","decide "&amp;$A742&amp;": &lt;outcome&gt;"),IF($K742="Unconfirmed","confirm "&amp;$A742,""))</f>
        <v/>
      </c>
      <c r="P742" s="65" t="str">
        <f aca="false">IF(AND($C742="New",$B742&gt;=WeekStart),$B742+ROW()/100000,"")</f>
        <v/>
      </c>
      <c r="Q742" s="65" t="str">
        <f aca="false">IF(AND($C742="Know",$B742&gt;=WeekStart),$B742+ROW()/100000,"")</f>
        <v/>
      </c>
      <c r="R742" s="65" t="str">
        <f aca="false">IF(AND($K742="Open",$C742="Decision"),$L742+ROW()/100000,"")</f>
        <v/>
      </c>
      <c r="S742" s="65" t="str">
        <f aca="false">IF(AND($J742&lt;&gt;"",$J742=UCSel),$B742+ROW()/100000,"")</f>
        <v/>
      </c>
    </row>
    <row r="743" customFormat="false" ht="15" hidden="false" customHeight="false" outlineLevel="0" collapsed="false">
      <c r="A743" s="28"/>
      <c r="B743" s="63"/>
      <c r="C743" s="64"/>
      <c r="D743" s="28"/>
      <c r="E743" s="28"/>
      <c r="F743" s="28"/>
      <c r="G743" s="64"/>
      <c r="H743" s="64"/>
      <c r="I743" s="28"/>
      <c r="J743" s="28"/>
      <c r="K743" s="65" t="str">
        <f aca="false">IF($A743="","",IF(OR($C743="Decision",$C743="Conflict"),IF(COUNTIFS($I$2:$I$1001,$A743,$C$2:$C$1001,"Resolved")=0,"Open","Closed"),IF(AND($H743="Unconfirmed",OR($C743="New",$C743="Know")),IF(COUNTIFS($I$2:$I$1001,$A743,$C$2:$C$1001,"Confirmed")=0,"Unconfirmed","Confirmed"),"Logged")))</f>
        <v/>
      </c>
      <c r="L743" s="65" t="str">
        <f aca="false">IF($A743="","",AsOf-$B743)</f>
        <v/>
      </c>
      <c r="M743" s="65" t="str">
        <f aca="false">IF($K743="Open",IF($C743="Conflict","Critical",IF($L743&gt;=DecisionCritical,"Critical",IF($L743&gt;=DecisionWarn,"Warning","On track"))),IF($K743="Unconfirmed",IF($L743&gt;=UnconfirmedWarn,"Warning","On track"),""))</f>
        <v/>
      </c>
      <c r="N743" s="65" t="str">
        <f aca="false">IF($M743="","",IF($M743="Critical",3000,IF($M743="Warning",2000,1000))+$L743+ROW()/100000)</f>
        <v/>
      </c>
      <c r="O743" s="65" t="str">
        <f aca="false">IF($K743="Open",IF($C743="Conflict","decide "&amp;$A743&amp;": &lt;which version stands&gt;","decide "&amp;$A743&amp;": &lt;outcome&gt;"),IF($K743="Unconfirmed","confirm "&amp;$A743,""))</f>
        <v/>
      </c>
      <c r="P743" s="65" t="str">
        <f aca="false">IF(AND($C743="New",$B743&gt;=WeekStart),$B743+ROW()/100000,"")</f>
        <v/>
      </c>
      <c r="Q743" s="65" t="str">
        <f aca="false">IF(AND($C743="Know",$B743&gt;=WeekStart),$B743+ROW()/100000,"")</f>
        <v/>
      </c>
      <c r="R743" s="65" t="str">
        <f aca="false">IF(AND($K743="Open",$C743="Decision"),$L743+ROW()/100000,"")</f>
        <v/>
      </c>
      <c r="S743" s="65" t="str">
        <f aca="false">IF(AND($J743&lt;&gt;"",$J743=UCSel),$B743+ROW()/100000,"")</f>
        <v/>
      </c>
    </row>
    <row r="744" customFormat="false" ht="15" hidden="false" customHeight="false" outlineLevel="0" collapsed="false">
      <c r="A744" s="28"/>
      <c r="B744" s="63"/>
      <c r="C744" s="64"/>
      <c r="D744" s="28"/>
      <c r="E744" s="28"/>
      <c r="F744" s="28"/>
      <c r="G744" s="64"/>
      <c r="H744" s="64"/>
      <c r="I744" s="28"/>
      <c r="J744" s="28"/>
      <c r="K744" s="65" t="str">
        <f aca="false">IF($A744="","",IF(OR($C744="Decision",$C744="Conflict"),IF(COUNTIFS($I$2:$I$1001,$A744,$C$2:$C$1001,"Resolved")=0,"Open","Closed"),IF(AND($H744="Unconfirmed",OR($C744="New",$C744="Know")),IF(COUNTIFS($I$2:$I$1001,$A744,$C$2:$C$1001,"Confirmed")=0,"Unconfirmed","Confirmed"),"Logged")))</f>
        <v/>
      </c>
      <c r="L744" s="65" t="str">
        <f aca="false">IF($A744="","",AsOf-$B744)</f>
        <v/>
      </c>
      <c r="M744" s="65" t="str">
        <f aca="false">IF($K744="Open",IF($C744="Conflict","Critical",IF($L744&gt;=DecisionCritical,"Critical",IF($L744&gt;=DecisionWarn,"Warning","On track"))),IF($K744="Unconfirmed",IF($L744&gt;=UnconfirmedWarn,"Warning","On track"),""))</f>
        <v/>
      </c>
      <c r="N744" s="65" t="str">
        <f aca="false">IF($M744="","",IF($M744="Critical",3000,IF($M744="Warning",2000,1000))+$L744+ROW()/100000)</f>
        <v/>
      </c>
      <c r="O744" s="65" t="str">
        <f aca="false">IF($K744="Open",IF($C744="Conflict","decide "&amp;$A744&amp;": &lt;which version stands&gt;","decide "&amp;$A744&amp;": &lt;outcome&gt;"),IF($K744="Unconfirmed","confirm "&amp;$A744,""))</f>
        <v/>
      </c>
      <c r="P744" s="65" t="str">
        <f aca="false">IF(AND($C744="New",$B744&gt;=WeekStart),$B744+ROW()/100000,"")</f>
        <v/>
      </c>
      <c r="Q744" s="65" t="str">
        <f aca="false">IF(AND($C744="Know",$B744&gt;=WeekStart),$B744+ROW()/100000,"")</f>
        <v/>
      </c>
      <c r="R744" s="65" t="str">
        <f aca="false">IF(AND($K744="Open",$C744="Decision"),$L744+ROW()/100000,"")</f>
        <v/>
      </c>
      <c r="S744" s="65" t="str">
        <f aca="false">IF(AND($J744&lt;&gt;"",$J744=UCSel),$B744+ROW()/100000,"")</f>
        <v/>
      </c>
    </row>
    <row r="745" customFormat="false" ht="15" hidden="false" customHeight="false" outlineLevel="0" collapsed="false">
      <c r="A745" s="28"/>
      <c r="B745" s="63"/>
      <c r="C745" s="64"/>
      <c r="D745" s="28"/>
      <c r="E745" s="28"/>
      <c r="F745" s="28"/>
      <c r="G745" s="64"/>
      <c r="H745" s="64"/>
      <c r="I745" s="28"/>
      <c r="J745" s="28"/>
      <c r="K745" s="65" t="str">
        <f aca="false">IF($A745="","",IF(OR($C745="Decision",$C745="Conflict"),IF(COUNTIFS($I$2:$I$1001,$A745,$C$2:$C$1001,"Resolved")=0,"Open","Closed"),IF(AND($H745="Unconfirmed",OR($C745="New",$C745="Know")),IF(COUNTIFS($I$2:$I$1001,$A745,$C$2:$C$1001,"Confirmed")=0,"Unconfirmed","Confirmed"),"Logged")))</f>
        <v/>
      </c>
      <c r="L745" s="65" t="str">
        <f aca="false">IF($A745="","",AsOf-$B745)</f>
        <v/>
      </c>
      <c r="M745" s="65" t="str">
        <f aca="false">IF($K745="Open",IF($C745="Conflict","Critical",IF($L745&gt;=DecisionCritical,"Critical",IF($L745&gt;=DecisionWarn,"Warning","On track"))),IF($K745="Unconfirmed",IF($L745&gt;=UnconfirmedWarn,"Warning","On track"),""))</f>
        <v/>
      </c>
      <c r="N745" s="65" t="str">
        <f aca="false">IF($M745="","",IF($M745="Critical",3000,IF($M745="Warning",2000,1000))+$L745+ROW()/100000)</f>
        <v/>
      </c>
      <c r="O745" s="65" t="str">
        <f aca="false">IF($K745="Open",IF($C745="Conflict","decide "&amp;$A745&amp;": &lt;which version stands&gt;","decide "&amp;$A745&amp;": &lt;outcome&gt;"),IF($K745="Unconfirmed","confirm "&amp;$A745,""))</f>
        <v/>
      </c>
      <c r="P745" s="65" t="str">
        <f aca="false">IF(AND($C745="New",$B745&gt;=WeekStart),$B745+ROW()/100000,"")</f>
        <v/>
      </c>
      <c r="Q745" s="65" t="str">
        <f aca="false">IF(AND($C745="Know",$B745&gt;=WeekStart),$B745+ROW()/100000,"")</f>
        <v/>
      </c>
      <c r="R745" s="65" t="str">
        <f aca="false">IF(AND($K745="Open",$C745="Decision"),$L745+ROW()/100000,"")</f>
        <v/>
      </c>
      <c r="S745" s="65" t="str">
        <f aca="false">IF(AND($J745&lt;&gt;"",$J745=UCSel),$B745+ROW()/100000,"")</f>
        <v/>
      </c>
    </row>
    <row r="746" customFormat="false" ht="15" hidden="false" customHeight="false" outlineLevel="0" collapsed="false">
      <c r="A746" s="28"/>
      <c r="B746" s="63"/>
      <c r="C746" s="64"/>
      <c r="D746" s="28"/>
      <c r="E746" s="28"/>
      <c r="F746" s="28"/>
      <c r="G746" s="64"/>
      <c r="H746" s="64"/>
      <c r="I746" s="28"/>
      <c r="J746" s="28"/>
      <c r="K746" s="65" t="str">
        <f aca="false">IF($A746="","",IF(OR($C746="Decision",$C746="Conflict"),IF(COUNTIFS($I$2:$I$1001,$A746,$C$2:$C$1001,"Resolved")=0,"Open","Closed"),IF(AND($H746="Unconfirmed",OR($C746="New",$C746="Know")),IF(COUNTIFS($I$2:$I$1001,$A746,$C$2:$C$1001,"Confirmed")=0,"Unconfirmed","Confirmed"),"Logged")))</f>
        <v/>
      </c>
      <c r="L746" s="65" t="str">
        <f aca="false">IF($A746="","",AsOf-$B746)</f>
        <v/>
      </c>
      <c r="M746" s="65" t="str">
        <f aca="false">IF($K746="Open",IF($C746="Conflict","Critical",IF($L746&gt;=DecisionCritical,"Critical",IF($L746&gt;=DecisionWarn,"Warning","On track"))),IF($K746="Unconfirmed",IF($L746&gt;=UnconfirmedWarn,"Warning","On track"),""))</f>
        <v/>
      </c>
      <c r="N746" s="65" t="str">
        <f aca="false">IF($M746="","",IF($M746="Critical",3000,IF($M746="Warning",2000,1000))+$L746+ROW()/100000)</f>
        <v/>
      </c>
      <c r="O746" s="65" t="str">
        <f aca="false">IF($K746="Open",IF($C746="Conflict","decide "&amp;$A746&amp;": &lt;which version stands&gt;","decide "&amp;$A746&amp;": &lt;outcome&gt;"),IF($K746="Unconfirmed","confirm "&amp;$A746,""))</f>
        <v/>
      </c>
      <c r="P746" s="65" t="str">
        <f aca="false">IF(AND($C746="New",$B746&gt;=WeekStart),$B746+ROW()/100000,"")</f>
        <v/>
      </c>
      <c r="Q746" s="65" t="str">
        <f aca="false">IF(AND($C746="Know",$B746&gt;=WeekStart),$B746+ROW()/100000,"")</f>
        <v/>
      </c>
      <c r="R746" s="65" t="str">
        <f aca="false">IF(AND($K746="Open",$C746="Decision"),$L746+ROW()/100000,"")</f>
        <v/>
      </c>
      <c r="S746" s="65" t="str">
        <f aca="false">IF(AND($J746&lt;&gt;"",$J746=UCSel),$B746+ROW()/100000,"")</f>
        <v/>
      </c>
    </row>
    <row r="747" customFormat="false" ht="15" hidden="false" customHeight="false" outlineLevel="0" collapsed="false">
      <c r="A747" s="28"/>
      <c r="B747" s="63"/>
      <c r="C747" s="64"/>
      <c r="D747" s="28"/>
      <c r="E747" s="28"/>
      <c r="F747" s="28"/>
      <c r="G747" s="64"/>
      <c r="H747" s="64"/>
      <c r="I747" s="28"/>
      <c r="J747" s="28"/>
      <c r="K747" s="65" t="str">
        <f aca="false">IF($A747="","",IF(OR($C747="Decision",$C747="Conflict"),IF(COUNTIFS($I$2:$I$1001,$A747,$C$2:$C$1001,"Resolved")=0,"Open","Closed"),IF(AND($H747="Unconfirmed",OR($C747="New",$C747="Know")),IF(COUNTIFS($I$2:$I$1001,$A747,$C$2:$C$1001,"Confirmed")=0,"Unconfirmed","Confirmed"),"Logged")))</f>
        <v/>
      </c>
      <c r="L747" s="65" t="str">
        <f aca="false">IF($A747="","",AsOf-$B747)</f>
        <v/>
      </c>
      <c r="M747" s="65" t="str">
        <f aca="false">IF($K747="Open",IF($C747="Conflict","Critical",IF($L747&gt;=DecisionCritical,"Critical",IF($L747&gt;=DecisionWarn,"Warning","On track"))),IF($K747="Unconfirmed",IF($L747&gt;=UnconfirmedWarn,"Warning","On track"),""))</f>
        <v/>
      </c>
      <c r="N747" s="65" t="str">
        <f aca="false">IF($M747="","",IF($M747="Critical",3000,IF($M747="Warning",2000,1000))+$L747+ROW()/100000)</f>
        <v/>
      </c>
      <c r="O747" s="65" t="str">
        <f aca="false">IF($K747="Open",IF($C747="Conflict","decide "&amp;$A747&amp;": &lt;which version stands&gt;","decide "&amp;$A747&amp;": &lt;outcome&gt;"),IF($K747="Unconfirmed","confirm "&amp;$A747,""))</f>
        <v/>
      </c>
      <c r="P747" s="65" t="str">
        <f aca="false">IF(AND($C747="New",$B747&gt;=WeekStart),$B747+ROW()/100000,"")</f>
        <v/>
      </c>
      <c r="Q747" s="65" t="str">
        <f aca="false">IF(AND($C747="Know",$B747&gt;=WeekStart),$B747+ROW()/100000,"")</f>
        <v/>
      </c>
      <c r="R747" s="65" t="str">
        <f aca="false">IF(AND($K747="Open",$C747="Decision"),$L747+ROW()/100000,"")</f>
        <v/>
      </c>
      <c r="S747" s="65" t="str">
        <f aca="false">IF(AND($J747&lt;&gt;"",$J747=UCSel),$B747+ROW()/100000,"")</f>
        <v/>
      </c>
    </row>
    <row r="748" customFormat="false" ht="15" hidden="false" customHeight="false" outlineLevel="0" collapsed="false">
      <c r="A748" s="28"/>
      <c r="B748" s="63"/>
      <c r="C748" s="64"/>
      <c r="D748" s="28"/>
      <c r="E748" s="28"/>
      <c r="F748" s="28"/>
      <c r="G748" s="64"/>
      <c r="H748" s="64"/>
      <c r="I748" s="28"/>
      <c r="J748" s="28"/>
      <c r="K748" s="65" t="str">
        <f aca="false">IF($A748="","",IF(OR($C748="Decision",$C748="Conflict"),IF(COUNTIFS($I$2:$I$1001,$A748,$C$2:$C$1001,"Resolved")=0,"Open","Closed"),IF(AND($H748="Unconfirmed",OR($C748="New",$C748="Know")),IF(COUNTIFS($I$2:$I$1001,$A748,$C$2:$C$1001,"Confirmed")=0,"Unconfirmed","Confirmed"),"Logged")))</f>
        <v/>
      </c>
      <c r="L748" s="65" t="str">
        <f aca="false">IF($A748="","",AsOf-$B748)</f>
        <v/>
      </c>
      <c r="M748" s="65" t="str">
        <f aca="false">IF($K748="Open",IF($C748="Conflict","Critical",IF($L748&gt;=DecisionCritical,"Critical",IF($L748&gt;=DecisionWarn,"Warning","On track"))),IF($K748="Unconfirmed",IF($L748&gt;=UnconfirmedWarn,"Warning","On track"),""))</f>
        <v/>
      </c>
      <c r="N748" s="65" t="str">
        <f aca="false">IF($M748="","",IF($M748="Critical",3000,IF($M748="Warning",2000,1000))+$L748+ROW()/100000)</f>
        <v/>
      </c>
      <c r="O748" s="65" t="str">
        <f aca="false">IF($K748="Open",IF($C748="Conflict","decide "&amp;$A748&amp;": &lt;which version stands&gt;","decide "&amp;$A748&amp;": &lt;outcome&gt;"),IF($K748="Unconfirmed","confirm "&amp;$A748,""))</f>
        <v/>
      </c>
      <c r="P748" s="65" t="str">
        <f aca="false">IF(AND($C748="New",$B748&gt;=WeekStart),$B748+ROW()/100000,"")</f>
        <v/>
      </c>
      <c r="Q748" s="65" t="str">
        <f aca="false">IF(AND($C748="Know",$B748&gt;=WeekStart),$B748+ROW()/100000,"")</f>
        <v/>
      </c>
      <c r="R748" s="65" t="str">
        <f aca="false">IF(AND($K748="Open",$C748="Decision"),$L748+ROW()/100000,"")</f>
        <v/>
      </c>
      <c r="S748" s="65" t="str">
        <f aca="false">IF(AND($J748&lt;&gt;"",$J748=UCSel),$B748+ROW()/100000,"")</f>
        <v/>
      </c>
    </row>
    <row r="749" customFormat="false" ht="15" hidden="false" customHeight="false" outlineLevel="0" collapsed="false">
      <c r="A749" s="28"/>
      <c r="B749" s="63"/>
      <c r="C749" s="64"/>
      <c r="D749" s="28"/>
      <c r="E749" s="28"/>
      <c r="F749" s="28"/>
      <c r="G749" s="64"/>
      <c r="H749" s="64"/>
      <c r="I749" s="28"/>
      <c r="J749" s="28"/>
      <c r="K749" s="65" t="str">
        <f aca="false">IF($A749="","",IF(OR($C749="Decision",$C749="Conflict"),IF(COUNTIFS($I$2:$I$1001,$A749,$C$2:$C$1001,"Resolved")=0,"Open","Closed"),IF(AND($H749="Unconfirmed",OR($C749="New",$C749="Know")),IF(COUNTIFS($I$2:$I$1001,$A749,$C$2:$C$1001,"Confirmed")=0,"Unconfirmed","Confirmed"),"Logged")))</f>
        <v/>
      </c>
      <c r="L749" s="65" t="str">
        <f aca="false">IF($A749="","",AsOf-$B749)</f>
        <v/>
      </c>
      <c r="M749" s="65" t="str">
        <f aca="false">IF($K749="Open",IF($C749="Conflict","Critical",IF($L749&gt;=DecisionCritical,"Critical",IF($L749&gt;=DecisionWarn,"Warning","On track"))),IF($K749="Unconfirmed",IF($L749&gt;=UnconfirmedWarn,"Warning","On track"),""))</f>
        <v/>
      </c>
      <c r="N749" s="65" t="str">
        <f aca="false">IF($M749="","",IF($M749="Critical",3000,IF($M749="Warning",2000,1000))+$L749+ROW()/100000)</f>
        <v/>
      </c>
      <c r="O749" s="65" t="str">
        <f aca="false">IF($K749="Open",IF($C749="Conflict","decide "&amp;$A749&amp;": &lt;which version stands&gt;","decide "&amp;$A749&amp;": &lt;outcome&gt;"),IF($K749="Unconfirmed","confirm "&amp;$A749,""))</f>
        <v/>
      </c>
      <c r="P749" s="65" t="str">
        <f aca="false">IF(AND($C749="New",$B749&gt;=WeekStart),$B749+ROW()/100000,"")</f>
        <v/>
      </c>
      <c r="Q749" s="65" t="str">
        <f aca="false">IF(AND($C749="Know",$B749&gt;=WeekStart),$B749+ROW()/100000,"")</f>
        <v/>
      </c>
      <c r="R749" s="65" t="str">
        <f aca="false">IF(AND($K749="Open",$C749="Decision"),$L749+ROW()/100000,"")</f>
        <v/>
      </c>
      <c r="S749" s="65" t="str">
        <f aca="false">IF(AND($J749&lt;&gt;"",$J749=UCSel),$B749+ROW()/100000,"")</f>
        <v/>
      </c>
    </row>
    <row r="750" customFormat="false" ht="15" hidden="false" customHeight="false" outlineLevel="0" collapsed="false">
      <c r="A750" s="28"/>
      <c r="B750" s="63"/>
      <c r="C750" s="64"/>
      <c r="D750" s="28"/>
      <c r="E750" s="28"/>
      <c r="F750" s="28"/>
      <c r="G750" s="64"/>
      <c r="H750" s="64"/>
      <c r="I750" s="28"/>
      <c r="J750" s="28"/>
      <c r="K750" s="65" t="str">
        <f aca="false">IF($A750="","",IF(OR($C750="Decision",$C750="Conflict"),IF(COUNTIFS($I$2:$I$1001,$A750,$C$2:$C$1001,"Resolved")=0,"Open","Closed"),IF(AND($H750="Unconfirmed",OR($C750="New",$C750="Know")),IF(COUNTIFS($I$2:$I$1001,$A750,$C$2:$C$1001,"Confirmed")=0,"Unconfirmed","Confirmed"),"Logged")))</f>
        <v/>
      </c>
      <c r="L750" s="65" t="str">
        <f aca="false">IF($A750="","",AsOf-$B750)</f>
        <v/>
      </c>
      <c r="M750" s="65" t="str">
        <f aca="false">IF($K750="Open",IF($C750="Conflict","Critical",IF($L750&gt;=DecisionCritical,"Critical",IF($L750&gt;=DecisionWarn,"Warning","On track"))),IF($K750="Unconfirmed",IF($L750&gt;=UnconfirmedWarn,"Warning","On track"),""))</f>
        <v/>
      </c>
      <c r="N750" s="65" t="str">
        <f aca="false">IF($M750="","",IF($M750="Critical",3000,IF($M750="Warning",2000,1000))+$L750+ROW()/100000)</f>
        <v/>
      </c>
      <c r="O750" s="65" t="str">
        <f aca="false">IF($K750="Open",IF($C750="Conflict","decide "&amp;$A750&amp;": &lt;which version stands&gt;","decide "&amp;$A750&amp;": &lt;outcome&gt;"),IF($K750="Unconfirmed","confirm "&amp;$A750,""))</f>
        <v/>
      </c>
      <c r="P750" s="65" t="str">
        <f aca="false">IF(AND($C750="New",$B750&gt;=WeekStart),$B750+ROW()/100000,"")</f>
        <v/>
      </c>
      <c r="Q750" s="65" t="str">
        <f aca="false">IF(AND($C750="Know",$B750&gt;=WeekStart),$B750+ROW()/100000,"")</f>
        <v/>
      </c>
      <c r="R750" s="65" t="str">
        <f aca="false">IF(AND($K750="Open",$C750="Decision"),$L750+ROW()/100000,"")</f>
        <v/>
      </c>
      <c r="S750" s="65" t="str">
        <f aca="false">IF(AND($J750&lt;&gt;"",$J750=UCSel),$B750+ROW()/100000,"")</f>
        <v/>
      </c>
    </row>
    <row r="751" customFormat="false" ht="15" hidden="false" customHeight="false" outlineLevel="0" collapsed="false">
      <c r="A751" s="28"/>
      <c r="B751" s="63"/>
      <c r="C751" s="64"/>
      <c r="D751" s="28"/>
      <c r="E751" s="28"/>
      <c r="F751" s="28"/>
      <c r="G751" s="64"/>
      <c r="H751" s="64"/>
      <c r="I751" s="28"/>
      <c r="J751" s="28"/>
      <c r="K751" s="65" t="str">
        <f aca="false">IF($A751="","",IF(OR($C751="Decision",$C751="Conflict"),IF(COUNTIFS($I$2:$I$1001,$A751,$C$2:$C$1001,"Resolved")=0,"Open","Closed"),IF(AND($H751="Unconfirmed",OR($C751="New",$C751="Know")),IF(COUNTIFS($I$2:$I$1001,$A751,$C$2:$C$1001,"Confirmed")=0,"Unconfirmed","Confirmed"),"Logged")))</f>
        <v/>
      </c>
      <c r="L751" s="65" t="str">
        <f aca="false">IF($A751="","",AsOf-$B751)</f>
        <v/>
      </c>
      <c r="M751" s="65" t="str">
        <f aca="false">IF($K751="Open",IF($C751="Conflict","Critical",IF($L751&gt;=DecisionCritical,"Critical",IF($L751&gt;=DecisionWarn,"Warning","On track"))),IF($K751="Unconfirmed",IF($L751&gt;=UnconfirmedWarn,"Warning","On track"),""))</f>
        <v/>
      </c>
      <c r="N751" s="65" t="str">
        <f aca="false">IF($M751="","",IF($M751="Critical",3000,IF($M751="Warning",2000,1000))+$L751+ROW()/100000)</f>
        <v/>
      </c>
      <c r="O751" s="65" t="str">
        <f aca="false">IF($K751="Open",IF($C751="Conflict","decide "&amp;$A751&amp;": &lt;which version stands&gt;","decide "&amp;$A751&amp;": &lt;outcome&gt;"),IF($K751="Unconfirmed","confirm "&amp;$A751,""))</f>
        <v/>
      </c>
      <c r="P751" s="65" t="str">
        <f aca="false">IF(AND($C751="New",$B751&gt;=WeekStart),$B751+ROW()/100000,"")</f>
        <v/>
      </c>
      <c r="Q751" s="65" t="str">
        <f aca="false">IF(AND($C751="Know",$B751&gt;=WeekStart),$B751+ROW()/100000,"")</f>
        <v/>
      </c>
      <c r="R751" s="65" t="str">
        <f aca="false">IF(AND($K751="Open",$C751="Decision"),$L751+ROW()/100000,"")</f>
        <v/>
      </c>
      <c r="S751" s="65" t="str">
        <f aca="false">IF(AND($J751&lt;&gt;"",$J751=UCSel),$B751+ROW()/100000,"")</f>
        <v/>
      </c>
    </row>
    <row r="752" customFormat="false" ht="15" hidden="false" customHeight="false" outlineLevel="0" collapsed="false">
      <c r="A752" s="28"/>
      <c r="B752" s="63"/>
      <c r="C752" s="64"/>
      <c r="D752" s="28"/>
      <c r="E752" s="28"/>
      <c r="F752" s="28"/>
      <c r="G752" s="64"/>
      <c r="H752" s="64"/>
      <c r="I752" s="28"/>
      <c r="J752" s="28"/>
      <c r="K752" s="65" t="str">
        <f aca="false">IF($A752="","",IF(OR($C752="Decision",$C752="Conflict"),IF(COUNTIFS($I$2:$I$1001,$A752,$C$2:$C$1001,"Resolved")=0,"Open","Closed"),IF(AND($H752="Unconfirmed",OR($C752="New",$C752="Know")),IF(COUNTIFS($I$2:$I$1001,$A752,$C$2:$C$1001,"Confirmed")=0,"Unconfirmed","Confirmed"),"Logged")))</f>
        <v/>
      </c>
      <c r="L752" s="65" t="str">
        <f aca="false">IF($A752="","",AsOf-$B752)</f>
        <v/>
      </c>
      <c r="M752" s="65" t="str">
        <f aca="false">IF($K752="Open",IF($C752="Conflict","Critical",IF($L752&gt;=DecisionCritical,"Critical",IF($L752&gt;=DecisionWarn,"Warning","On track"))),IF($K752="Unconfirmed",IF($L752&gt;=UnconfirmedWarn,"Warning","On track"),""))</f>
        <v/>
      </c>
      <c r="N752" s="65" t="str">
        <f aca="false">IF($M752="","",IF($M752="Critical",3000,IF($M752="Warning",2000,1000))+$L752+ROW()/100000)</f>
        <v/>
      </c>
      <c r="O752" s="65" t="str">
        <f aca="false">IF($K752="Open",IF($C752="Conflict","decide "&amp;$A752&amp;": &lt;which version stands&gt;","decide "&amp;$A752&amp;": &lt;outcome&gt;"),IF($K752="Unconfirmed","confirm "&amp;$A752,""))</f>
        <v/>
      </c>
      <c r="P752" s="65" t="str">
        <f aca="false">IF(AND($C752="New",$B752&gt;=WeekStart),$B752+ROW()/100000,"")</f>
        <v/>
      </c>
      <c r="Q752" s="65" t="str">
        <f aca="false">IF(AND($C752="Know",$B752&gt;=WeekStart),$B752+ROW()/100000,"")</f>
        <v/>
      </c>
      <c r="R752" s="65" t="str">
        <f aca="false">IF(AND($K752="Open",$C752="Decision"),$L752+ROW()/100000,"")</f>
        <v/>
      </c>
      <c r="S752" s="65" t="str">
        <f aca="false">IF(AND($J752&lt;&gt;"",$J752=UCSel),$B752+ROW()/100000,"")</f>
        <v/>
      </c>
    </row>
    <row r="753" customFormat="false" ht="15" hidden="false" customHeight="false" outlineLevel="0" collapsed="false">
      <c r="A753" s="28"/>
      <c r="B753" s="63"/>
      <c r="C753" s="64"/>
      <c r="D753" s="28"/>
      <c r="E753" s="28"/>
      <c r="F753" s="28"/>
      <c r="G753" s="64"/>
      <c r="H753" s="64"/>
      <c r="I753" s="28"/>
      <c r="J753" s="28"/>
      <c r="K753" s="65" t="str">
        <f aca="false">IF($A753="","",IF(OR($C753="Decision",$C753="Conflict"),IF(COUNTIFS($I$2:$I$1001,$A753,$C$2:$C$1001,"Resolved")=0,"Open","Closed"),IF(AND($H753="Unconfirmed",OR($C753="New",$C753="Know")),IF(COUNTIFS($I$2:$I$1001,$A753,$C$2:$C$1001,"Confirmed")=0,"Unconfirmed","Confirmed"),"Logged")))</f>
        <v/>
      </c>
      <c r="L753" s="65" t="str">
        <f aca="false">IF($A753="","",AsOf-$B753)</f>
        <v/>
      </c>
      <c r="M753" s="65" t="str">
        <f aca="false">IF($K753="Open",IF($C753="Conflict","Critical",IF($L753&gt;=DecisionCritical,"Critical",IF($L753&gt;=DecisionWarn,"Warning","On track"))),IF($K753="Unconfirmed",IF($L753&gt;=UnconfirmedWarn,"Warning","On track"),""))</f>
        <v/>
      </c>
      <c r="N753" s="65" t="str">
        <f aca="false">IF($M753="","",IF($M753="Critical",3000,IF($M753="Warning",2000,1000))+$L753+ROW()/100000)</f>
        <v/>
      </c>
      <c r="O753" s="65" t="str">
        <f aca="false">IF($K753="Open",IF($C753="Conflict","decide "&amp;$A753&amp;": &lt;which version stands&gt;","decide "&amp;$A753&amp;": &lt;outcome&gt;"),IF($K753="Unconfirmed","confirm "&amp;$A753,""))</f>
        <v/>
      </c>
      <c r="P753" s="65" t="str">
        <f aca="false">IF(AND($C753="New",$B753&gt;=WeekStart),$B753+ROW()/100000,"")</f>
        <v/>
      </c>
      <c r="Q753" s="65" t="str">
        <f aca="false">IF(AND($C753="Know",$B753&gt;=WeekStart),$B753+ROW()/100000,"")</f>
        <v/>
      </c>
      <c r="R753" s="65" t="str">
        <f aca="false">IF(AND($K753="Open",$C753="Decision"),$L753+ROW()/100000,"")</f>
        <v/>
      </c>
      <c r="S753" s="65" t="str">
        <f aca="false">IF(AND($J753&lt;&gt;"",$J753=UCSel),$B753+ROW()/100000,"")</f>
        <v/>
      </c>
    </row>
    <row r="754" customFormat="false" ht="15" hidden="false" customHeight="false" outlineLevel="0" collapsed="false">
      <c r="A754" s="28"/>
      <c r="B754" s="63"/>
      <c r="C754" s="64"/>
      <c r="D754" s="28"/>
      <c r="E754" s="28"/>
      <c r="F754" s="28"/>
      <c r="G754" s="64"/>
      <c r="H754" s="64"/>
      <c r="I754" s="28"/>
      <c r="J754" s="28"/>
      <c r="K754" s="65" t="str">
        <f aca="false">IF($A754="","",IF(OR($C754="Decision",$C754="Conflict"),IF(COUNTIFS($I$2:$I$1001,$A754,$C$2:$C$1001,"Resolved")=0,"Open","Closed"),IF(AND($H754="Unconfirmed",OR($C754="New",$C754="Know")),IF(COUNTIFS($I$2:$I$1001,$A754,$C$2:$C$1001,"Confirmed")=0,"Unconfirmed","Confirmed"),"Logged")))</f>
        <v/>
      </c>
      <c r="L754" s="65" t="str">
        <f aca="false">IF($A754="","",AsOf-$B754)</f>
        <v/>
      </c>
      <c r="M754" s="65" t="str">
        <f aca="false">IF($K754="Open",IF($C754="Conflict","Critical",IF($L754&gt;=DecisionCritical,"Critical",IF($L754&gt;=DecisionWarn,"Warning","On track"))),IF($K754="Unconfirmed",IF($L754&gt;=UnconfirmedWarn,"Warning","On track"),""))</f>
        <v/>
      </c>
      <c r="N754" s="65" t="str">
        <f aca="false">IF($M754="","",IF($M754="Critical",3000,IF($M754="Warning",2000,1000))+$L754+ROW()/100000)</f>
        <v/>
      </c>
      <c r="O754" s="65" t="str">
        <f aca="false">IF($K754="Open",IF($C754="Conflict","decide "&amp;$A754&amp;": &lt;which version stands&gt;","decide "&amp;$A754&amp;": &lt;outcome&gt;"),IF($K754="Unconfirmed","confirm "&amp;$A754,""))</f>
        <v/>
      </c>
      <c r="P754" s="65" t="str">
        <f aca="false">IF(AND($C754="New",$B754&gt;=WeekStart),$B754+ROW()/100000,"")</f>
        <v/>
      </c>
      <c r="Q754" s="65" t="str">
        <f aca="false">IF(AND($C754="Know",$B754&gt;=WeekStart),$B754+ROW()/100000,"")</f>
        <v/>
      </c>
      <c r="R754" s="65" t="str">
        <f aca="false">IF(AND($K754="Open",$C754="Decision"),$L754+ROW()/100000,"")</f>
        <v/>
      </c>
      <c r="S754" s="65" t="str">
        <f aca="false">IF(AND($J754&lt;&gt;"",$J754=UCSel),$B754+ROW()/100000,"")</f>
        <v/>
      </c>
    </row>
    <row r="755" customFormat="false" ht="15" hidden="false" customHeight="false" outlineLevel="0" collapsed="false">
      <c r="A755" s="28"/>
      <c r="B755" s="63"/>
      <c r="C755" s="64"/>
      <c r="D755" s="28"/>
      <c r="E755" s="28"/>
      <c r="F755" s="28"/>
      <c r="G755" s="64"/>
      <c r="H755" s="64"/>
      <c r="I755" s="28"/>
      <c r="J755" s="28"/>
      <c r="K755" s="65" t="str">
        <f aca="false">IF($A755="","",IF(OR($C755="Decision",$C755="Conflict"),IF(COUNTIFS($I$2:$I$1001,$A755,$C$2:$C$1001,"Resolved")=0,"Open","Closed"),IF(AND($H755="Unconfirmed",OR($C755="New",$C755="Know")),IF(COUNTIFS($I$2:$I$1001,$A755,$C$2:$C$1001,"Confirmed")=0,"Unconfirmed","Confirmed"),"Logged")))</f>
        <v/>
      </c>
      <c r="L755" s="65" t="str">
        <f aca="false">IF($A755="","",AsOf-$B755)</f>
        <v/>
      </c>
      <c r="M755" s="65" t="str">
        <f aca="false">IF($K755="Open",IF($C755="Conflict","Critical",IF($L755&gt;=DecisionCritical,"Critical",IF($L755&gt;=DecisionWarn,"Warning","On track"))),IF($K755="Unconfirmed",IF($L755&gt;=UnconfirmedWarn,"Warning","On track"),""))</f>
        <v/>
      </c>
      <c r="N755" s="65" t="str">
        <f aca="false">IF($M755="","",IF($M755="Critical",3000,IF($M755="Warning",2000,1000))+$L755+ROW()/100000)</f>
        <v/>
      </c>
      <c r="O755" s="65" t="str">
        <f aca="false">IF($K755="Open",IF($C755="Conflict","decide "&amp;$A755&amp;": &lt;which version stands&gt;","decide "&amp;$A755&amp;": &lt;outcome&gt;"),IF($K755="Unconfirmed","confirm "&amp;$A755,""))</f>
        <v/>
      </c>
      <c r="P755" s="65" t="str">
        <f aca="false">IF(AND($C755="New",$B755&gt;=WeekStart),$B755+ROW()/100000,"")</f>
        <v/>
      </c>
      <c r="Q755" s="65" t="str">
        <f aca="false">IF(AND($C755="Know",$B755&gt;=WeekStart),$B755+ROW()/100000,"")</f>
        <v/>
      </c>
      <c r="R755" s="65" t="str">
        <f aca="false">IF(AND($K755="Open",$C755="Decision"),$L755+ROW()/100000,"")</f>
        <v/>
      </c>
      <c r="S755" s="65" t="str">
        <f aca="false">IF(AND($J755&lt;&gt;"",$J755=UCSel),$B755+ROW()/100000,"")</f>
        <v/>
      </c>
    </row>
    <row r="756" customFormat="false" ht="15" hidden="false" customHeight="false" outlineLevel="0" collapsed="false">
      <c r="A756" s="28"/>
      <c r="B756" s="63"/>
      <c r="C756" s="64"/>
      <c r="D756" s="28"/>
      <c r="E756" s="28"/>
      <c r="F756" s="28"/>
      <c r="G756" s="64"/>
      <c r="H756" s="64"/>
      <c r="I756" s="28"/>
      <c r="J756" s="28"/>
      <c r="K756" s="65" t="str">
        <f aca="false">IF($A756="","",IF(OR($C756="Decision",$C756="Conflict"),IF(COUNTIFS($I$2:$I$1001,$A756,$C$2:$C$1001,"Resolved")=0,"Open","Closed"),IF(AND($H756="Unconfirmed",OR($C756="New",$C756="Know")),IF(COUNTIFS($I$2:$I$1001,$A756,$C$2:$C$1001,"Confirmed")=0,"Unconfirmed","Confirmed"),"Logged")))</f>
        <v/>
      </c>
      <c r="L756" s="65" t="str">
        <f aca="false">IF($A756="","",AsOf-$B756)</f>
        <v/>
      </c>
      <c r="M756" s="65" t="str">
        <f aca="false">IF($K756="Open",IF($C756="Conflict","Critical",IF($L756&gt;=DecisionCritical,"Critical",IF($L756&gt;=DecisionWarn,"Warning","On track"))),IF($K756="Unconfirmed",IF($L756&gt;=UnconfirmedWarn,"Warning","On track"),""))</f>
        <v/>
      </c>
      <c r="N756" s="65" t="str">
        <f aca="false">IF($M756="","",IF($M756="Critical",3000,IF($M756="Warning",2000,1000))+$L756+ROW()/100000)</f>
        <v/>
      </c>
      <c r="O756" s="65" t="str">
        <f aca="false">IF($K756="Open",IF($C756="Conflict","decide "&amp;$A756&amp;": &lt;which version stands&gt;","decide "&amp;$A756&amp;": &lt;outcome&gt;"),IF($K756="Unconfirmed","confirm "&amp;$A756,""))</f>
        <v/>
      </c>
      <c r="P756" s="65" t="str">
        <f aca="false">IF(AND($C756="New",$B756&gt;=WeekStart),$B756+ROW()/100000,"")</f>
        <v/>
      </c>
      <c r="Q756" s="65" t="str">
        <f aca="false">IF(AND($C756="Know",$B756&gt;=WeekStart),$B756+ROW()/100000,"")</f>
        <v/>
      </c>
      <c r="R756" s="65" t="str">
        <f aca="false">IF(AND($K756="Open",$C756="Decision"),$L756+ROW()/100000,"")</f>
        <v/>
      </c>
      <c r="S756" s="65" t="str">
        <f aca="false">IF(AND($J756&lt;&gt;"",$J756=UCSel),$B756+ROW()/100000,"")</f>
        <v/>
      </c>
    </row>
    <row r="757" customFormat="false" ht="15" hidden="false" customHeight="false" outlineLevel="0" collapsed="false">
      <c r="A757" s="28"/>
      <c r="B757" s="63"/>
      <c r="C757" s="64"/>
      <c r="D757" s="28"/>
      <c r="E757" s="28"/>
      <c r="F757" s="28"/>
      <c r="G757" s="64"/>
      <c r="H757" s="64"/>
      <c r="I757" s="28"/>
      <c r="J757" s="28"/>
      <c r="K757" s="65" t="str">
        <f aca="false">IF($A757="","",IF(OR($C757="Decision",$C757="Conflict"),IF(COUNTIFS($I$2:$I$1001,$A757,$C$2:$C$1001,"Resolved")=0,"Open","Closed"),IF(AND($H757="Unconfirmed",OR($C757="New",$C757="Know")),IF(COUNTIFS($I$2:$I$1001,$A757,$C$2:$C$1001,"Confirmed")=0,"Unconfirmed","Confirmed"),"Logged")))</f>
        <v/>
      </c>
      <c r="L757" s="65" t="str">
        <f aca="false">IF($A757="","",AsOf-$B757)</f>
        <v/>
      </c>
      <c r="M757" s="65" t="str">
        <f aca="false">IF($K757="Open",IF($C757="Conflict","Critical",IF($L757&gt;=DecisionCritical,"Critical",IF($L757&gt;=DecisionWarn,"Warning","On track"))),IF($K757="Unconfirmed",IF($L757&gt;=UnconfirmedWarn,"Warning","On track"),""))</f>
        <v/>
      </c>
      <c r="N757" s="65" t="str">
        <f aca="false">IF($M757="","",IF($M757="Critical",3000,IF($M757="Warning",2000,1000))+$L757+ROW()/100000)</f>
        <v/>
      </c>
      <c r="O757" s="65" t="str">
        <f aca="false">IF($K757="Open",IF($C757="Conflict","decide "&amp;$A757&amp;": &lt;which version stands&gt;","decide "&amp;$A757&amp;": &lt;outcome&gt;"),IF($K757="Unconfirmed","confirm "&amp;$A757,""))</f>
        <v/>
      </c>
      <c r="P757" s="65" t="str">
        <f aca="false">IF(AND($C757="New",$B757&gt;=WeekStart),$B757+ROW()/100000,"")</f>
        <v/>
      </c>
      <c r="Q757" s="65" t="str">
        <f aca="false">IF(AND($C757="Know",$B757&gt;=WeekStart),$B757+ROW()/100000,"")</f>
        <v/>
      </c>
      <c r="R757" s="65" t="str">
        <f aca="false">IF(AND($K757="Open",$C757="Decision"),$L757+ROW()/100000,"")</f>
        <v/>
      </c>
      <c r="S757" s="65" t="str">
        <f aca="false">IF(AND($J757&lt;&gt;"",$J757=UCSel),$B757+ROW()/100000,"")</f>
        <v/>
      </c>
    </row>
    <row r="758" customFormat="false" ht="15" hidden="false" customHeight="false" outlineLevel="0" collapsed="false">
      <c r="A758" s="28"/>
      <c r="B758" s="63"/>
      <c r="C758" s="64"/>
      <c r="D758" s="28"/>
      <c r="E758" s="28"/>
      <c r="F758" s="28"/>
      <c r="G758" s="64"/>
      <c r="H758" s="64"/>
      <c r="I758" s="28"/>
      <c r="J758" s="28"/>
      <c r="K758" s="65" t="str">
        <f aca="false">IF($A758="","",IF(OR($C758="Decision",$C758="Conflict"),IF(COUNTIFS($I$2:$I$1001,$A758,$C$2:$C$1001,"Resolved")=0,"Open","Closed"),IF(AND($H758="Unconfirmed",OR($C758="New",$C758="Know")),IF(COUNTIFS($I$2:$I$1001,$A758,$C$2:$C$1001,"Confirmed")=0,"Unconfirmed","Confirmed"),"Logged")))</f>
        <v/>
      </c>
      <c r="L758" s="65" t="str">
        <f aca="false">IF($A758="","",AsOf-$B758)</f>
        <v/>
      </c>
      <c r="M758" s="65" t="str">
        <f aca="false">IF($K758="Open",IF($C758="Conflict","Critical",IF($L758&gt;=DecisionCritical,"Critical",IF($L758&gt;=DecisionWarn,"Warning","On track"))),IF($K758="Unconfirmed",IF($L758&gt;=UnconfirmedWarn,"Warning","On track"),""))</f>
        <v/>
      </c>
      <c r="N758" s="65" t="str">
        <f aca="false">IF($M758="","",IF($M758="Critical",3000,IF($M758="Warning",2000,1000))+$L758+ROW()/100000)</f>
        <v/>
      </c>
      <c r="O758" s="65" t="str">
        <f aca="false">IF($K758="Open",IF($C758="Conflict","decide "&amp;$A758&amp;": &lt;which version stands&gt;","decide "&amp;$A758&amp;": &lt;outcome&gt;"),IF($K758="Unconfirmed","confirm "&amp;$A758,""))</f>
        <v/>
      </c>
      <c r="P758" s="65" t="str">
        <f aca="false">IF(AND($C758="New",$B758&gt;=WeekStart),$B758+ROW()/100000,"")</f>
        <v/>
      </c>
      <c r="Q758" s="65" t="str">
        <f aca="false">IF(AND($C758="Know",$B758&gt;=WeekStart),$B758+ROW()/100000,"")</f>
        <v/>
      </c>
      <c r="R758" s="65" t="str">
        <f aca="false">IF(AND($K758="Open",$C758="Decision"),$L758+ROW()/100000,"")</f>
        <v/>
      </c>
      <c r="S758" s="65" t="str">
        <f aca="false">IF(AND($J758&lt;&gt;"",$J758=UCSel),$B758+ROW()/100000,"")</f>
        <v/>
      </c>
    </row>
    <row r="759" customFormat="false" ht="15" hidden="false" customHeight="false" outlineLevel="0" collapsed="false">
      <c r="A759" s="28"/>
      <c r="B759" s="63"/>
      <c r="C759" s="64"/>
      <c r="D759" s="28"/>
      <c r="E759" s="28"/>
      <c r="F759" s="28"/>
      <c r="G759" s="64"/>
      <c r="H759" s="64"/>
      <c r="I759" s="28"/>
      <c r="J759" s="28"/>
      <c r="K759" s="65" t="str">
        <f aca="false">IF($A759="","",IF(OR($C759="Decision",$C759="Conflict"),IF(COUNTIFS($I$2:$I$1001,$A759,$C$2:$C$1001,"Resolved")=0,"Open","Closed"),IF(AND($H759="Unconfirmed",OR($C759="New",$C759="Know")),IF(COUNTIFS($I$2:$I$1001,$A759,$C$2:$C$1001,"Confirmed")=0,"Unconfirmed","Confirmed"),"Logged")))</f>
        <v/>
      </c>
      <c r="L759" s="65" t="str">
        <f aca="false">IF($A759="","",AsOf-$B759)</f>
        <v/>
      </c>
      <c r="M759" s="65" t="str">
        <f aca="false">IF($K759="Open",IF($C759="Conflict","Critical",IF($L759&gt;=DecisionCritical,"Critical",IF($L759&gt;=DecisionWarn,"Warning","On track"))),IF($K759="Unconfirmed",IF($L759&gt;=UnconfirmedWarn,"Warning","On track"),""))</f>
        <v/>
      </c>
      <c r="N759" s="65" t="str">
        <f aca="false">IF($M759="","",IF($M759="Critical",3000,IF($M759="Warning",2000,1000))+$L759+ROW()/100000)</f>
        <v/>
      </c>
      <c r="O759" s="65" t="str">
        <f aca="false">IF($K759="Open",IF($C759="Conflict","decide "&amp;$A759&amp;": &lt;which version stands&gt;","decide "&amp;$A759&amp;": &lt;outcome&gt;"),IF($K759="Unconfirmed","confirm "&amp;$A759,""))</f>
        <v/>
      </c>
      <c r="P759" s="65" t="str">
        <f aca="false">IF(AND($C759="New",$B759&gt;=WeekStart),$B759+ROW()/100000,"")</f>
        <v/>
      </c>
      <c r="Q759" s="65" t="str">
        <f aca="false">IF(AND($C759="Know",$B759&gt;=WeekStart),$B759+ROW()/100000,"")</f>
        <v/>
      </c>
      <c r="R759" s="65" t="str">
        <f aca="false">IF(AND($K759="Open",$C759="Decision"),$L759+ROW()/100000,"")</f>
        <v/>
      </c>
      <c r="S759" s="65" t="str">
        <f aca="false">IF(AND($J759&lt;&gt;"",$J759=UCSel),$B759+ROW()/100000,"")</f>
        <v/>
      </c>
    </row>
    <row r="760" customFormat="false" ht="15" hidden="false" customHeight="false" outlineLevel="0" collapsed="false">
      <c r="A760" s="28"/>
      <c r="B760" s="63"/>
      <c r="C760" s="64"/>
      <c r="D760" s="28"/>
      <c r="E760" s="28"/>
      <c r="F760" s="28"/>
      <c r="G760" s="64"/>
      <c r="H760" s="64"/>
      <c r="I760" s="28"/>
      <c r="J760" s="28"/>
      <c r="K760" s="65" t="str">
        <f aca="false">IF($A760="","",IF(OR($C760="Decision",$C760="Conflict"),IF(COUNTIFS($I$2:$I$1001,$A760,$C$2:$C$1001,"Resolved")=0,"Open","Closed"),IF(AND($H760="Unconfirmed",OR($C760="New",$C760="Know")),IF(COUNTIFS($I$2:$I$1001,$A760,$C$2:$C$1001,"Confirmed")=0,"Unconfirmed","Confirmed"),"Logged")))</f>
        <v/>
      </c>
      <c r="L760" s="65" t="str">
        <f aca="false">IF($A760="","",AsOf-$B760)</f>
        <v/>
      </c>
      <c r="M760" s="65" t="str">
        <f aca="false">IF($K760="Open",IF($C760="Conflict","Critical",IF($L760&gt;=DecisionCritical,"Critical",IF($L760&gt;=DecisionWarn,"Warning","On track"))),IF($K760="Unconfirmed",IF($L760&gt;=UnconfirmedWarn,"Warning","On track"),""))</f>
        <v/>
      </c>
      <c r="N760" s="65" t="str">
        <f aca="false">IF($M760="","",IF($M760="Critical",3000,IF($M760="Warning",2000,1000))+$L760+ROW()/100000)</f>
        <v/>
      </c>
      <c r="O760" s="65" t="str">
        <f aca="false">IF($K760="Open",IF($C760="Conflict","decide "&amp;$A760&amp;": &lt;which version stands&gt;","decide "&amp;$A760&amp;": &lt;outcome&gt;"),IF($K760="Unconfirmed","confirm "&amp;$A760,""))</f>
        <v/>
      </c>
      <c r="P760" s="65" t="str">
        <f aca="false">IF(AND($C760="New",$B760&gt;=WeekStart),$B760+ROW()/100000,"")</f>
        <v/>
      </c>
      <c r="Q760" s="65" t="str">
        <f aca="false">IF(AND($C760="Know",$B760&gt;=WeekStart),$B760+ROW()/100000,"")</f>
        <v/>
      </c>
      <c r="R760" s="65" t="str">
        <f aca="false">IF(AND($K760="Open",$C760="Decision"),$L760+ROW()/100000,"")</f>
        <v/>
      </c>
      <c r="S760" s="65" t="str">
        <f aca="false">IF(AND($J760&lt;&gt;"",$J760=UCSel),$B760+ROW()/100000,"")</f>
        <v/>
      </c>
    </row>
    <row r="761" customFormat="false" ht="15" hidden="false" customHeight="false" outlineLevel="0" collapsed="false">
      <c r="A761" s="28"/>
      <c r="B761" s="63"/>
      <c r="C761" s="64"/>
      <c r="D761" s="28"/>
      <c r="E761" s="28"/>
      <c r="F761" s="28"/>
      <c r="G761" s="64"/>
      <c r="H761" s="64"/>
      <c r="I761" s="28"/>
      <c r="J761" s="28"/>
      <c r="K761" s="65" t="str">
        <f aca="false">IF($A761="","",IF(OR($C761="Decision",$C761="Conflict"),IF(COUNTIFS($I$2:$I$1001,$A761,$C$2:$C$1001,"Resolved")=0,"Open","Closed"),IF(AND($H761="Unconfirmed",OR($C761="New",$C761="Know")),IF(COUNTIFS($I$2:$I$1001,$A761,$C$2:$C$1001,"Confirmed")=0,"Unconfirmed","Confirmed"),"Logged")))</f>
        <v/>
      </c>
      <c r="L761" s="65" t="str">
        <f aca="false">IF($A761="","",AsOf-$B761)</f>
        <v/>
      </c>
      <c r="M761" s="65" t="str">
        <f aca="false">IF($K761="Open",IF($C761="Conflict","Critical",IF($L761&gt;=DecisionCritical,"Critical",IF($L761&gt;=DecisionWarn,"Warning","On track"))),IF($K761="Unconfirmed",IF($L761&gt;=UnconfirmedWarn,"Warning","On track"),""))</f>
        <v/>
      </c>
      <c r="N761" s="65" t="str">
        <f aca="false">IF($M761="","",IF($M761="Critical",3000,IF($M761="Warning",2000,1000))+$L761+ROW()/100000)</f>
        <v/>
      </c>
      <c r="O761" s="65" t="str">
        <f aca="false">IF($K761="Open",IF($C761="Conflict","decide "&amp;$A761&amp;": &lt;which version stands&gt;","decide "&amp;$A761&amp;": &lt;outcome&gt;"),IF($K761="Unconfirmed","confirm "&amp;$A761,""))</f>
        <v/>
      </c>
      <c r="P761" s="65" t="str">
        <f aca="false">IF(AND($C761="New",$B761&gt;=WeekStart),$B761+ROW()/100000,"")</f>
        <v/>
      </c>
      <c r="Q761" s="65" t="str">
        <f aca="false">IF(AND($C761="Know",$B761&gt;=WeekStart),$B761+ROW()/100000,"")</f>
        <v/>
      </c>
      <c r="R761" s="65" t="str">
        <f aca="false">IF(AND($K761="Open",$C761="Decision"),$L761+ROW()/100000,"")</f>
        <v/>
      </c>
      <c r="S761" s="65" t="str">
        <f aca="false">IF(AND($J761&lt;&gt;"",$J761=UCSel),$B761+ROW()/100000,"")</f>
        <v/>
      </c>
    </row>
    <row r="762" customFormat="false" ht="15" hidden="false" customHeight="false" outlineLevel="0" collapsed="false">
      <c r="A762" s="28"/>
      <c r="B762" s="63"/>
      <c r="C762" s="64"/>
      <c r="D762" s="28"/>
      <c r="E762" s="28"/>
      <c r="F762" s="28"/>
      <c r="G762" s="64"/>
      <c r="H762" s="64"/>
      <c r="I762" s="28"/>
      <c r="J762" s="28"/>
      <c r="K762" s="65" t="str">
        <f aca="false">IF($A762="","",IF(OR($C762="Decision",$C762="Conflict"),IF(COUNTIFS($I$2:$I$1001,$A762,$C$2:$C$1001,"Resolved")=0,"Open","Closed"),IF(AND($H762="Unconfirmed",OR($C762="New",$C762="Know")),IF(COUNTIFS($I$2:$I$1001,$A762,$C$2:$C$1001,"Confirmed")=0,"Unconfirmed","Confirmed"),"Logged")))</f>
        <v/>
      </c>
      <c r="L762" s="65" t="str">
        <f aca="false">IF($A762="","",AsOf-$B762)</f>
        <v/>
      </c>
      <c r="M762" s="65" t="str">
        <f aca="false">IF($K762="Open",IF($C762="Conflict","Critical",IF($L762&gt;=DecisionCritical,"Critical",IF($L762&gt;=DecisionWarn,"Warning","On track"))),IF($K762="Unconfirmed",IF($L762&gt;=UnconfirmedWarn,"Warning","On track"),""))</f>
        <v/>
      </c>
      <c r="N762" s="65" t="str">
        <f aca="false">IF($M762="","",IF($M762="Critical",3000,IF($M762="Warning",2000,1000))+$L762+ROW()/100000)</f>
        <v/>
      </c>
      <c r="O762" s="65" t="str">
        <f aca="false">IF($K762="Open",IF($C762="Conflict","decide "&amp;$A762&amp;": &lt;which version stands&gt;","decide "&amp;$A762&amp;": &lt;outcome&gt;"),IF($K762="Unconfirmed","confirm "&amp;$A762,""))</f>
        <v/>
      </c>
      <c r="P762" s="65" t="str">
        <f aca="false">IF(AND($C762="New",$B762&gt;=WeekStart),$B762+ROW()/100000,"")</f>
        <v/>
      </c>
      <c r="Q762" s="65" t="str">
        <f aca="false">IF(AND($C762="Know",$B762&gt;=WeekStart),$B762+ROW()/100000,"")</f>
        <v/>
      </c>
      <c r="R762" s="65" t="str">
        <f aca="false">IF(AND($K762="Open",$C762="Decision"),$L762+ROW()/100000,"")</f>
        <v/>
      </c>
      <c r="S762" s="65" t="str">
        <f aca="false">IF(AND($J762&lt;&gt;"",$J762=UCSel),$B762+ROW()/100000,"")</f>
        <v/>
      </c>
    </row>
    <row r="763" customFormat="false" ht="15" hidden="false" customHeight="false" outlineLevel="0" collapsed="false">
      <c r="A763" s="28"/>
      <c r="B763" s="63"/>
      <c r="C763" s="64"/>
      <c r="D763" s="28"/>
      <c r="E763" s="28"/>
      <c r="F763" s="28"/>
      <c r="G763" s="64"/>
      <c r="H763" s="64"/>
      <c r="I763" s="28"/>
      <c r="J763" s="28"/>
      <c r="K763" s="65" t="str">
        <f aca="false">IF($A763="","",IF(OR($C763="Decision",$C763="Conflict"),IF(COUNTIFS($I$2:$I$1001,$A763,$C$2:$C$1001,"Resolved")=0,"Open","Closed"),IF(AND($H763="Unconfirmed",OR($C763="New",$C763="Know")),IF(COUNTIFS($I$2:$I$1001,$A763,$C$2:$C$1001,"Confirmed")=0,"Unconfirmed","Confirmed"),"Logged")))</f>
        <v/>
      </c>
      <c r="L763" s="65" t="str">
        <f aca="false">IF($A763="","",AsOf-$B763)</f>
        <v/>
      </c>
      <c r="M763" s="65" t="str">
        <f aca="false">IF($K763="Open",IF($C763="Conflict","Critical",IF($L763&gt;=DecisionCritical,"Critical",IF($L763&gt;=DecisionWarn,"Warning","On track"))),IF($K763="Unconfirmed",IF($L763&gt;=UnconfirmedWarn,"Warning","On track"),""))</f>
        <v/>
      </c>
      <c r="N763" s="65" t="str">
        <f aca="false">IF($M763="","",IF($M763="Critical",3000,IF($M763="Warning",2000,1000))+$L763+ROW()/100000)</f>
        <v/>
      </c>
      <c r="O763" s="65" t="str">
        <f aca="false">IF($K763="Open",IF($C763="Conflict","decide "&amp;$A763&amp;": &lt;which version stands&gt;","decide "&amp;$A763&amp;": &lt;outcome&gt;"),IF($K763="Unconfirmed","confirm "&amp;$A763,""))</f>
        <v/>
      </c>
      <c r="P763" s="65" t="str">
        <f aca="false">IF(AND($C763="New",$B763&gt;=WeekStart),$B763+ROW()/100000,"")</f>
        <v/>
      </c>
      <c r="Q763" s="65" t="str">
        <f aca="false">IF(AND($C763="Know",$B763&gt;=WeekStart),$B763+ROW()/100000,"")</f>
        <v/>
      </c>
      <c r="R763" s="65" t="str">
        <f aca="false">IF(AND($K763="Open",$C763="Decision"),$L763+ROW()/100000,"")</f>
        <v/>
      </c>
      <c r="S763" s="65" t="str">
        <f aca="false">IF(AND($J763&lt;&gt;"",$J763=UCSel),$B763+ROW()/100000,"")</f>
        <v/>
      </c>
    </row>
    <row r="764" customFormat="false" ht="15" hidden="false" customHeight="false" outlineLevel="0" collapsed="false">
      <c r="A764" s="28"/>
      <c r="B764" s="63"/>
      <c r="C764" s="64"/>
      <c r="D764" s="28"/>
      <c r="E764" s="28"/>
      <c r="F764" s="28"/>
      <c r="G764" s="64"/>
      <c r="H764" s="64"/>
      <c r="I764" s="28"/>
      <c r="J764" s="28"/>
      <c r="K764" s="65" t="str">
        <f aca="false">IF($A764="","",IF(OR($C764="Decision",$C764="Conflict"),IF(COUNTIFS($I$2:$I$1001,$A764,$C$2:$C$1001,"Resolved")=0,"Open","Closed"),IF(AND($H764="Unconfirmed",OR($C764="New",$C764="Know")),IF(COUNTIFS($I$2:$I$1001,$A764,$C$2:$C$1001,"Confirmed")=0,"Unconfirmed","Confirmed"),"Logged")))</f>
        <v/>
      </c>
      <c r="L764" s="65" t="str">
        <f aca="false">IF($A764="","",AsOf-$B764)</f>
        <v/>
      </c>
      <c r="M764" s="65" t="str">
        <f aca="false">IF($K764="Open",IF($C764="Conflict","Critical",IF($L764&gt;=DecisionCritical,"Critical",IF($L764&gt;=DecisionWarn,"Warning","On track"))),IF($K764="Unconfirmed",IF($L764&gt;=UnconfirmedWarn,"Warning","On track"),""))</f>
        <v/>
      </c>
      <c r="N764" s="65" t="str">
        <f aca="false">IF($M764="","",IF($M764="Critical",3000,IF($M764="Warning",2000,1000))+$L764+ROW()/100000)</f>
        <v/>
      </c>
      <c r="O764" s="65" t="str">
        <f aca="false">IF($K764="Open",IF($C764="Conflict","decide "&amp;$A764&amp;": &lt;which version stands&gt;","decide "&amp;$A764&amp;": &lt;outcome&gt;"),IF($K764="Unconfirmed","confirm "&amp;$A764,""))</f>
        <v/>
      </c>
      <c r="P764" s="65" t="str">
        <f aca="false">IF(AND($C764="New",$B764&gt;=WeekStart),$B764+ROW()/100000,"")</f>
        <v/>
      </c>
      <c r="Q764" s="65" t="str">
        <f aca="false">IF(AND($C764="Know",$B764&gt;=WeekStart),$B764+ROW()/100000,"")</f>
        <v/>
      </c>
      <c r="R764" s="65" t="str">
        <f aca="false">IF(AND($K764="Open",$C764="Decision"),$L764+ROW()/100000,"")</f>
        <v/>
      </c>
      <c r="S764" s="65" t="str">
        <f aca="false">IF(AND($J764&lt;&gt;"",$J764=UCSel),$B764+ROW()/100000,"")</f>
        <v/>
      </c>
    </row>
    <row r="765" customFormat="false" ht="15" hidden="false" customHeight="false" outlineLevel="0" collapsed="false">
      <c r="A765" s="28"/>
      <c r="B765" s="63"/>
      <c r="C765" s="64"/>
      <c r="D765" s="28"/>
      <c r="E765" s="28"/>
      <c r="F765" s="28"/>
      <c r="G765" s="64"/>
      <c r="H765" s="64"/>
      <c r="I765" s="28"/>
      <c r="J765" s="28"/>
      <c r="K765" s="65" t="str">
        <f aca="false">IF($A765="","",IF(OR($C765="Decision",$C765="Conflict"),IF(COUNTIFS($I$2:$I$1001,$A765,$C$2:$C$1001,"Resolved")=0,"Open","Closed"),IF(AND($H765="Unconfirmed",OR($C765="New",$C765="Know")),IF(COUNTIFS($I$2:$I$1001,$A765,$C$2:$C$1001,"Confirmed")=0,"Unconfirmed","Confirmed"),"Logged")))</f>
        <v/>
      </c>
      <c r="L765" s="65" t="str">
        <f aca="false">IF($A765="","",AsOf-$B765)</f>
        <v/>
      </c>
      <c r="M765" s="65" t="str">
        <f aca="false">IF($K765="Open",IF($C765="Conflict","Critical",IF($L765&gt;=DecisionCritical,"Critical",IF($L765&gt;=DecisionWarn,"Warning","On track"))),IF($K765="Unconfirmed",IF($L765&gt;=UnconfirmedWarn,"Warning","On track"),""))</f>
        <v/>
      </c>
      <c r="N765" s="65" t="str">
        <f aca="false">IF($M765="","",IF($M765="Critical",3000,IF($M765="Warning",2000,1000))+$L765+ROW()/100000)</f>
        <v/>
      </c>
      <c r="O765" s="65" t="str">
        <f aca="false">IF($K765="Open",IF($C765="Conflict","decide "&amp;$A765&amp;": &lt;which version stands&gt;","decide "&amp;$A765&amp;": &lt;outcome&gt;"),IF($K765="Unconfirmed","confirm "&amp;$A765,""))</f>
        <v/>
      </c>
      <c r="P765" s="65" t="str">
        <f aca="false">IF(AND($C765="New",$B765&gt;=WeekStart),$B765+ROW()/100000,"")</f>
        <v/>
      </c>
      <c r="Q765" s="65" t="str">
        <f aca="false">IF(AND($C765="Know",$B765&gt;=WeekStart),$B765+ROW()/100000,"")</f>
        <v/>
      </c>
      <c r="R765" s="65" t="str">
        <f aca="false">IF(AND($K765="Open",$C765="Decision"),$L765+ROW()/100000,"")</f>
        <v/>
      </c>
      <c r="S765" s="65" t="str">
        <f aca="false">IF(AND($J765&lt;&gt;"",$J765=UCSel),$B765+ROW()/100000,"")</f>
        <v/>
      </c>
    </row>
    <row r="766" customFormat="false" ht="15" hidden="false" customHeight="false" outlineLevel="0" collapsed="false">
      <c r="A766" s="28"/>
      <c r="B766" s="63"/>
      <c r="C766" s="64"/>
      <c r="D766" s="28"/>
      <c r="E766" s="28"/>
      <c r="F766" s="28"/>
      <c r="G766" s="64"/>
      <c r="H766" s="64"/>
      <c r="I766" s="28"/>
      <c r="J766" s="28"/>
      <c r="K766" s="65" t="str">
        <f aca="false">IF($A766="","",IF(OR($C766="Decision",$C766="Conflict"),IF(COUNTIFS($I$2:$I$1001,$A766,$C$2:$C$1001,"Resolved")=0,"Open","Closed"),IF(AND($H766="Unconfirmed",OR($C766="New",$C766="Know")),IF(COUNTIFS($I$2:$I$1001,$A766,$C$2:$C$1001,"Confirmed")=0,"Unconfirmed","Confirmed"),"Logged")))</f>
        <v/>
      </c>
      <c r="L766" s="65" t="str">
        <f aca="false">IF($A766="","",AsOf-$B766)</f>
        <v/>
      </c>
      <c r="M766" s="65" t="str">
        <f aca="false">IF($K766="Open",IF($C766="Conflict","Critical",IF($L766&gt;=DecisionCritical,"Critical",IF($L766&gt;=DecisionWarn,"Warning","On track"))),IF($K766="Unconfirmed",IF($L766&gt;=UnconfirmedWarn,"Warning","On track"),""))</f>
        <v/>
      </c>
      <c r="N766" s="65" t="str">
        <f aca="false">IF($M766="","",IF($M766="Critical",3000,IF($M766="Warning",2000,1000))+$L766+ROW()/100000)</f>
        <v/>
      </c>
      <c r="O766" s="65" t="str">
        <f aca="false">IF($K766="Open",IF($C766="Conflict","decide "&amp;$A766&amp;": &lt;which version stands&gt;","decide "&amp;$A766&amp;": &lt;outcome&gt;"),IF($K766="Unconfirmed","confirm "&amp;$A766,""))</f>
        <v/>
      </c>
      <c r="P766" s="65" t="str">
        <f aca="false">IF(AND($C766="New",$B766&gt;=WeekStart),$B766+ROW()/100000,"")</f>
        <v/>
      </c>
      <c r="Q766" s="65" t="str">
        <f aca="false">IF(AND($C766="Know",$B766&gt;=WeekStart),$B766+ROW()/100000,"")</f>
        <v/>
      </c>
      <c r="R766" s="65" t="str">
        <f aca="false">IF(AND($K766="Open",$C766="Decision"),$L766+ROW()/100000,"")</f>
        <v/>
      </c>
      <c r="S766" s="65" t="str">
        <f aca="false">IF(AND($J766&lt;&gt;"",$J766=UCSel),$B766+ROW()/100000,"")</f>
        <v/>
      </c>
    </row>
    <row r="767" customFormat="false" ht="15" hidden="false" customHeight="false" outlineLevel="0" collapsed="false">
      <c r="A767" s="28"/>
      <c r="B767" s="63"/>
      <c r="C767" s="64"/>
      <c r="D767" s="28"/>
      <c r="E767" s="28"/>
      <c r="F767" s="28"/>
      <c r="G767" s="64"/>
      <c r="H767" s="64"/>
      <c r="I767" s="28"/>
      <c r="J767" s="28"/>
      <c r="K767" s="65" t="str">
        <f aca="false">IF($A767="","",IF(OR($C767="Decision",$C767="Conflict"),IF(COUNTIFS($I$2:$I$1001,$A767,$C$2:$C$1001,"Resolved")=0,"Open","Closed"),IF(AND($H767="Unconfirmed",OR($C767="New",$C767="Know")),IF(COUNTIFS($I$2:$I$1001,$A767,$C$2:$C$1001,"Confirmed")=0,"Unconfirmed","Confirmed"),"Logged")))</f>
        <v/>
      </c>
      <c r="L767" s="65" t="str">
        <f aca="false">IF($A767="","",AsOf-$B767)</f>
        <v/>
      </c>
      <c r="M767" s="65" t="str">
        <f aca="false">IF($K767="Open",IF($C767="Conflict","Critical",IF($L767&gt;=DecisionCritical,"Critical",IF($L767&gt;=DecisionWarn,"Warning","On track"))),IF($K767="Unconfirmed",IF($L767&gt;=UnconfirmedWarn,"Warning","On track"),""))</f>
        <v/>
      </c>
      <c r="N767" s="65" t="str">
        <f aca="false">IF($M767="","",IF($M767="Critical",3000,IF($M767="Warning",2000,1000))+$L767+ROW()/100000)</f>
        <v/>
      </c>
      <c r="O767" s="65" t="str">
        <f aca="false">IF($K767="Open",IF($C767="Conflict","decide "&amp;$A767&amp;": &lt;which version stands&gt;","decide "&amp;$A767&amp;": &lt;outcome&gt;"),IF($K767="Unconfirmed","confirm "&amp;$A767,""))</f>
        <v/>
      </c>
      <c r="P767" s="65" t="str">
        <f aca="false">IF(AND($C767="New",$B767&gt;=WeekStart),$B767+ROW()/100000,"")</f>
        <v/>
      </c>
      <c r="Q767" s="65" t="str">
        <f aca="false">IF(AND($C767="Know",$B767&gt;=WeekStart),$B767+ROW()/100000,"")</f>
        <v/>
      </c>
      <c r="R767" s="65" t="str">
        <f aca="false">IF(AND($K767="Open",$C767="Decision"),$L767+ROW()/100000,"")</f>
        <v/>
      </c>
      <c r="S767" s="65" t="str">
        <f aca="false">IF(AND($J767&lt;&gt;"",$J767=UCSel),$B767+ROW()/100000,"")</f>
        <v/>
      </c>
    </row>
    <row r="768" customFormat="false" ht="15" hidden="false" customHeight="false" outlineLevel="0" collapsed="false">
      <c r="A768" s="28"/>
      <c r="B768" s="63"/>
      <c r="C768" s="64"/>
      <c r="D768" s="28"/>
      <c r="E768" s="28"/>
      <c r="F768" s="28"/>
      <c r="G768" s="64"/>
      <c r="H768" s="64"/>
      <c r="I768" s="28"/>
      <c r="J768" s="28"/>
      <c r="K768" s="65" t="str">
        <f aca="false">IF($A768="","",IF(OR($C768="Decision",$C768="Conflict"),IF(COUNTIFS($I$2:$I$1001,$A768,$C$2:$C$1001,"Resolved")=0,"Open","Closed"),IF(AND($H768="Unconfirmed",OR($C768="New",$C768="Know")),IF(COUNTIFS($I$2:$I$1001,$A768,$C$2:$C$1001,"Confirmed")=0,"Unconfirmed","Confirmed"),"Logged")))</f>
        <v/>
      </c>
      <c r="L768" s="65" t="str">
        <f aca="false">IF($A768="","",AsOf-$B768)</f>
        <v/>
      </c>
      <c r="M768" s="65" t="str">
        <f aca="false">IF($K768="Open",IF($C768="Conflict","Critical",IF($L768&gt;=DecisionCritical,"Critical",IF($L768&gt;=DecisionWarn,"Warning","On track"))),IF($K768="Unconfirmed",IF($L768&gt;=UnconfirmedWarn,"Warning","On track"),""))</f>
        <v/>
      </c>
      <c r="N768" s="65" t="str">
        <f aca="false">IF($M768="","",IF($M768="Critical",3000,IF($M768="Warning",2000,1000))+$L768+ROW()/100000)</f>
        <v/>
      </c>
      <c r="O768" s="65" t="str">
        <f aca="false">IF($K768="Open",IF($C768="Conflict","decide "&amp;$A768&amp;": &lt;which version stands&gt;","decide "&amp;$A768&amp;": &lt;outcome&gt;"),IF($K768="Unconfirmed","confirm "&amp;$A768,""))</f>
        <v/>
      </c>
      <c r="P768" s="65" t="str">
        <f aca="false">IF(AND($C768="New",$B768&gt;=WeekStart),$B768+ROW()/100000,"")</f>
        <v/>
      </c>
      <c r="Q768" s="65" t="str">
        <f aca="false">IF(AND($C768="Know",$B768&gt;=WeekStart),$B768+ROW()/100000,"")</f>
        <v/>
      </c>
      <c r="R768" s="65" t="str">
        <f aca="false">IF(AND($K768="Open",$C768="Decision"),$L768+ROW()/100000,"")</f>
        <v/>
      </c>
      <c r="S768" s="65" t="str">
        <f aca="false">IF(AND($J768&lt;&gt;"",$J768=UCSel),$B768+ROW()/100000,"")</f>
        <v/>
      </c>
    </row>
    <row r="769" customFormat="false" ht="15" hidden="false" customHeight="false" outlineLevel="0" collapsed="false">
      <c r="A769" s="28"/>
      <c r="B769" s="63"/>
      <c r="C769" s="64"/>
      <c r="D769" s="28"/>
      <c r="E769" s="28"/>
      <c r="F769" s="28"/>
      <c r="G769" s="64"/>
      <c r="H769" s="64"/>
      <c r="I769" s="28"/>
      <c r="J769" s="28"/>
      <c r="K769" s="65" t="str">
        <f aca="false">IF($A769="","",IF(OR($C769="Decision",$C769="Conflict"),IF(COUNTIFS($I$2:$I$1001,$A769,$C$2:$C$1001,"Resolved")=0,"Open","Closed"),IF(AND($H769="Unconfirmed",OR($C769="New",$C769="Know")),IF(COUNTIFS($I$2:$I$1001,$A769,$C$2:$C$1001,"Confirmed")=0,"Unconfirmed","Confirmed"),"Logged")))</f>
        <v/>
      </c>
      <c r="L769" s="65" t="str">
        <f aca="false">IF($A769="","",AsOf-$B769)</f>
        <v/>
      </c>
      <c r="M769" s="65" t="str">
        <f aca="false">IF($K769="Open",IF($C769="Conflict","Critical",IF($L769&gt;=DecisionCritical,"Critical",IF($L769&gt;=DecisionWarn,"Warning","On track"))),IF($K769="Unconfirmed",IF($L769&gt;=UnconfirmedWarn,"Warning","On track"),""))</f>
        <v/>
      </c>
      <c r="N769" s="65" t="str">
        <f aca="false">IF($M769="","",IF($M769="Critical",3000,IF($M769="Warning",2000,1000))+$L769+ROW()/100000)</f>
        <v/>
      </c>
      <c r="O769" s="65" t="str">
        <f aca="false">IF($K769="Open",IF($C769="Conflict","decide "&amp;$A769&amp;": &lt;which version stands&gt;","decide "&amp;$A769&amp;": &lt;outcome&gt;"),IF($K769="Unconfirmed","confirm "&amp;$A769,""))</f>
        <v/>
      </c>
      <c r="P769" s="65" t="str">
        <f aca="false">IF(AND($C769="New",$B769&gt;=WeekStart),$B769+ROW()/100000,"")</f>
        <v/>
      </c>
      <c r="Q769" s="65" t="str">
        <f aca="false">IF(AND($C769="Know",$B769&gt;=WeekStart),$B769+ROW()/100000,"")</f>
        <v/>
      </c>
      <c r="R769" s="65" t="str">
        <f aca="false">IF(AND($K769="Open",$C769="Decision"),$L769+ROW()/100000,"")</f>
        <v/>
      </c>
      <c r="S769" s="65" t="str">
        <f aca="false">IF(AND($J769&lt;&gt;"",$J769=UCSel),$B769+ROW()/100000,"")</f>
        <v/>
      </c>
    </row>
    <row r="770" customFormat="false" ht="15" hidden="false" customHeight="false" outlineLevel="0" collapsed="false">
      <c r="A770" s="28"/>
      <c r="B770" s="63"/>
      <c r="C770" s="64"/>
      <c r="D770" s="28"/>
      <c r="E770" s="28"/>
      <c r="F770" s="28"/>
      <c r="G770" s="64"/>
      <c r="H770" s="64"/>
      <c r="I770" s="28"/>
      <c r="J770" s="28"/>
      <c r="K770" s="65" t="str">
        <f aca="false">IF($A770="","",IF(OR($C770="Decision",$C770="Conflict"),IF(COUNTIFS($I$2:$I$1001,$A770,$C$2:$C$1001,"Resolved")=0,"Open","Closed"),IF(AND($H770="Unconfirmed",OR($C770="New",$C770="Know")),IF(COUNTIFS($I$2:$I$1001,$A770,$C$2:$C$1001,"Confirmed")=0,"Unconfirmed","Confirmed"),"Logged")))</f>
        <v/>
      </c>
      <c r="L770" s="65" t="str">
        <f aca="false">IF($A770="","",AsOf-$B770)</f>
        <v/>
      </c>
      <c r="M770" s="65" t="str">
        <f aca="false">IF($K770="Open",IF($C770="Conflict","Critical",IF($L770&gt;=DecisionCritical,"Critical",IF($L770&gt;=DecisionWarn,"Warning","On track"))),IF($K770="Unconfirmed",IF($L770&gt;=UnconfirmedWarn,"Warning","On track"),""))</f>
        <v/>
      </c>
      <c r="N770" s="65" t="str">
        <f aca="false">IF($M770="","",IF($M770="Critical",3000,IF($M770="Warning",2000,1000))+$L770+ROW()/100000)</f>
        <v/>
      </c>
      <c r="O770" s="65" t="str">
        <f aca="false">IF($K770="Open",IF($C770="Conflict","decide "&amp;$A770&amp;": &lt;which version stands&gt;","decide "&amp;$A770&amp;": &lt;outcome&gt;"),IF($K770="Unconfirmed","confirm "&amp;$A770,""))</f>
        <v/>
      </c>
      <c r="P770" s="65" t="str">
        <f aca="false">IF(AND($C770="New",$B770&gt;=WeekStart),$B770+ROW()/100000,"")</f>
        <v/>
      </c>
      <c r="Q770" s="65" t="str">
        <f aca="false">IF(AND($C770="Know",$B770&gt;=WeekStart),$B770+ROW()/100000,"")</f>
        <v/>
      </c>
      <c r="R770" s="65" t="str">
        <f aca="false">IF(AND($K770="Open",$C770="Decision"),$L770+ROW()/100000,"")</f>
        <v/>
      </c>
      <c r="S770" s="65" t="str">
        <f aca="false">IF(AND($J770&lt;&gt;"",$J770=UCSel),$B770+ROW()/100000,"")</f>
        <v/>
      </c>
    </row>
    <row r="771" customFormat="false" ht="15" hidden="false" customHeight="false" outlineLevel="0" collapsed="false">
      <c r="A771" s="28"/>
      <c r="B771" s="63"/>
      <c r="C771" s="64"/>
      <c r="D771" s="28"/>
      <c r="E771" s="28"/>
      <c r="F771" s="28"/>
      <c r="G771" s="64"/>
      <c r="H771" s="64"/>
      <c r="I771" s="28"/>
      <c r="J771" s="28"/>
      <c r="K771" s="65" t="str">
        <f aca="false">IF($A771="","",IF(OR($C771="Decision",$C771="Conflict"),IF(COUNTIFS($I$2:$I$1001,$A771,$C$2:$C$1001,"Resolved")=0,"Open","Closed"),IF(AND($H771="Unconfirmed",OR($C771="New",$C771="Know")),IF(COUNTIFS($I$2:$I$1001,$A771,$C$2:$C$1001,"Confirmed")=0,"Unconfirmed","Confirmed"),"Logged")))</f>
        <v/>
      </c>
      <c r="L771" s="65" t="str">
        <f aca="false">IF($A771="","",AsOf-$B771)</f>
        <v/>
      </c>
      <c r="M771" s="65" t="str">
        <f aca="false">IF($K771="Open",IF($C771="Conflict","Critical",IF($L771&gt;=DecisionCritical,"Critical",IF($L771&gt;=DecisionWarn,"Warning","On track"))),IF($K771="Unconfirmed",IF($L771&gt;=UnconfirmedWarn,"Warning","On track"),""))</f>
        <v/>
      </c>
      <c r="N771" s="65" t="str">
        <f aca="false">IF($M771="","",IF($M771="Critical",3000,IF($M771="Warning",2000,1000))+$L771+ROW()/100000)</f>
        <v/>
      </c>
      <c r="O771" s="65" t="str">
        <f aca="false">IF($K771="Open",IF($C771="Conflict","decide "&amp;$A771&amp;": &lt;which version stands&gt;","decide "&amp;$A771&amp;": &lt;outcome&gt;"),IF($K771="Unconfirmed","confirm "&amp;$A771,""))</f>
        <v/>
      </c>
      <c r="P771" s="65" t="str">
        <f aca="false">IF(AND($C771="New",$B771&gt;=WeekStart),$B771+ROW()/100000,"")</f>
        <v/>
      </c>
      <c r="Q771" s="65" t="str">
        <f aca="false">IF(AND($C771="Know",$B771&gt;=WeekStart),$B771+ROW()/100000,"")</f>
        <v/>
      </c>
      <c r="R771" s="65" t="str">
        <f aca="false">IF(AND($K771="Open",$C771="Decision"),$L771+ROW()/100000,"")</f>
        <v/>
      </c>
      <c r="S771" s="65" t="str">
        <f aca="false">IF(AND($J771&lt;&gt;"",$J771=UCSel),$B771+ROW()/100000,"")</f>
        <v/>
      </c>
    </row>
    <row r="772" customFormat="false" ht="15" hidden="false" customHeight="false" outlineLevel="0" collapsed="false">
      <c r="A772" s="28"/>
      <c r="B772" s="63"/>
      <c r="C772" s="64"/>
      <c r="D772" s="28"/>
      <c r="E772" s="28"/>
      <c r="F772" s="28"/>
      <c r="G772" s="64"/>
      <c r="H772" s="64"/>
      <c r="I772" s="28"/>
      <c r="J772" s="28"/>
      <c r="K772" s="65" t="str">
        <f aca="false">IF($A772="","",IF(OR($C772="Decision",$C772="Conflict"),IF(COUNTIFS($I$2:$I$1001,$A772,$C$2:$C$1001,"Resolved")=0,"Open","Closed"),IF(AND($H772="Unconfirmed",OR($C772="New",$C772="Know")),IF(COUNTIFS($I$2:$I$1001,$A772,$C$2:$C$1001,"Confirmed")=0,"Unconfirmed","Confirmed"),"Logged")))</f>
        <v/>
      </c>
      <c r="L772" s="65" t="str">
        <f aca="false">IF($A772="","",AsOf-$B772)</f>
        <v/>
      </c>
      <c r="M772" s="65" t="str">
        <f aca="false">IF($K772="Open",IF($C772="Conflict","Critical",IF($L772&gt;=DecisionCritical,"Critical",IF($L772&gt;=DecisionWarn,"Warning","On track"))),IF($K772="Unconfirmed",IF($L772&gt;=UnconfirmedWarn,"Warning","On track"),""))</f>
        <v/>
      </c>
      <c r="N772" s="65" t="str">
        <f aca="false">IF($M772="","",IF($M772="Critical",3000,IF($M772="Warning",2000,1000))+$L772+ROW()/100000)</f>
        <v/>
      </c>
      <c r="O772" s="65" t="str">
        <f aca="false">IF($K772="Open",IF($C772="Conflict","decide "&amp;$A772&amp;": &lt;which version stands&gt;","decide "&amp;$A772&amp;": &lt;outcome&gt;"),IF($K772="Unconfirmed","confirm "&amp;$A772,""))</f>
        <v/>
      </c>
      <c r="P772" s="65" t="str">
        <f aca="false">IF(AND($C772="New",$B772&gt;=WeekStart),$B772+ROW()/100000,"")</f>
        <v/>
      </c>
      <c r="Q772" s="65" t="str">
        <f aca="false">IF(AND($C772="Know",$B772&gt;=WeekStart),$B772+ROW()/100000,"")</f>
        <v/>
      </c>
      <c r="R772" s="65" t="str">
        <f aca="false">IF(AND($K772="Open",$C772="Decision"),$L772+ROW()/100000,"")</f>
        <v/>
      </c>
      <c r="S772" s="65" t="str">
        <f aca="false">IF(AND($J772&lt;&gt;"",$J772=UCSel),$B772+ROW()/100000,"")</f>
        <v/>
      </c>
    </row>
    <row r="773" customFormat="false" ht="15" hidden="false" customHeight="false" outlineLevel="0" collapsed="false">
      <c r="A773" s="28"/>
      <c r="B773" s="63"/>
      <c r="C773" s="64"/>
      <c r="D773" s="28"/>
      <c r="E773" s="28"/>
      <c r="F773" s="28"/>
      <c r="G773" s="64"/>
      <c r="H773" s="64"/>
      <c r="I773" s="28"/>
      <c r="J773" s="28"/>
      <c r="K773" s="65" t="str">
        <f aca="false">IF($A773="","",IF(OR($C773="Decision",$C773="Conflict"),IF(COUNTIFS($I$2:$I$1001,$A773,$C$2:$C$1001,"Resolved")=0,"Open","Closed"),IF(AND($H773="Unconfirmed",OR($C773="New",$C773="Know")),IF(COUNTIFS($I$2:$I$1001,$A773,$C$2:$C$1001,"Confirmed")=0,"Unconfirmed","Confirmed"),"Logged")))</f>
        <v/>
      </c>
      <c r="L773" s="65" t="str">
        <f aca="false">IF($A773="","",AsOf-$B773)</f>
        <v/>
      </c>
      <c r="M773" s="65" t="str">
        <f aca="false">IF($K773="Open",IF($C773="Conflict","Critical",IF($L773&gt;=DecisionCritical,"Critical",IF($L773&gt;=DecisionWarn,"Warning","On track"))),IF($K773="Unconfirmed",IF($L773&gt;=UnconfirmedWarn,"Warning","On track"),""))</f>
        <v/>
      </c>
      <c r="N773" s="65" t="str">
        <f aca="false">IF($M773="","",IF($M773="Critical",3000,IF($M773="Warning",2000,1000))+$L773+ROW()/100000)</f>
        <v/>
      </c>
      <c r="O773" s="65" t="str">
        <f aca="false">IF($K773="Open",IF($C773="Conflict","decide "&amp;$A773&amp;": &lt;which version stands&gt;","decide "&amp;$A773&amp;": &lt;outcome&gt;"),IF($K773="Unconfirmed","confirm "&amp;$A773,""))</f>
        <v/>
      </c>
      <c r="P773" s="65" t="str">
        <f aca="false">IF(AND($C773="New",$B773&gt;=WeekStart),$B773+ROW()/100000,"")</f>
        <v/>
      </c>
      <c r="Q773" s="65" t="str">
        <f aca="false">IF(AND($C773="Know",$B773&gt;=WeekStart),$B773+ROW()/100000,"")</f>
        <v/>
      </c>
      <c r="R773" s="65" t="str">
        <f aca="false">IF(AND($K773="Open",$C773="Decision"),$L773+ROW()/100000,"")</f>
        <v/>
      </c>
      <c r="S773" s="65" t="str">
        <f aca="false">IF(AND($J773&lt;&gt;"",$J773=UCSel),$B773+ROW()/100000,"")</f>
        <v/>
      </c>
    </row>
    <row r="774" customFormat="false" ht="15" hidden="false" customHeight="false" outlineLevel="0" collapsed="false">
      <c r="A774" s="28"/>
      <c r="B774" s="63"/>
      <c r="C774" s="64"/>
      <c r="D774" s="28"/>
      <c r="E774" s="28"/>
      <c r="F774" s="28"/>
      <c r="G774" s="64"/>
      <c r="H774" s="64"/>
      <c r="I774" s="28"/>
      <c r="J774" s="28"/>
      <c r="K774" s="65" t="str">
        <f aca="false">IF($A774="","",IF(OR($C774="Decision",$C774="Conflict"),IF(COUNTIFS($I$2:$I$1001,$A774,$C$2:$C$1001,"Resolved")=0,"Open","Closed"),IF(AND($H774="Unconfirmed",OR($C774="New",$C774="Know")),IF(COUNTIFS($I$2:$I$1001,$A774,$C$2:$C$1001,"Confirmed")=0,"Unconfirmed","Confirmed"),"Logged")))</f>
        <v/>
      </c>
      <c r="L774" s="65" t="str">
        <f aca="false">IF($A774="","",AsOf-$B774)</f>
        <v/>
      </c>
      <c r="M774" s="65" t="str">
        <f aca="false">IF($K774="Open",IF($C774="Conflict","Critical",IF($L774&gt;=DecisionCritical,"Critical",IF($L774&gt;=DecisionWarn,"Warning","On track"))),IF($K774="Unconfirmed",IF($L774&gt;=UnconfirmedWarn,"Warning","On track"),""))</f>
        <v/>
      </c>
      <c r="N774" s="65" t="str">
        <f aca="false">IF($M774="","",IF($M774="Critical",3000,IF($M774="Warning",2000,1000))+$L774+ROW()/100000)</f>
        <v/>
      </c>
      <c r="O774" s="65" t="str">
        <f aca="false">IF($K774="Open",IF($C774="Conflict","decide "&amp;$A774&amp;": &lt;which version stands&gt;","decide "&amp;$A774&amp;": &lt;outcome&gt;"),IF($K774="Unconfirmed","confirm "&amp;$A774,""))</f>
        <v/>
      </c>
      <c r="P774" s="65" t="str">
        <f aca="false">IF(AND($C774="New",$B774&gt;=WeekStart),$B774+ROW()/100000,"")</f>
        <v/>
      </c>
      <c r="Q774" s="65" t="str">
        <f aca="false">IF(AND($C774="Know",$B774&gt;=WeekStart),$B774+ROW()/100000,"")</f>
        <v/>
      </c>
      <c r="R774" s="65" t="str">
        <f aca="false">IF(AND($K774="Open",$C774="Decision"),$L774+ROW()/100000,"")</f>
        <v/>
      </c>
      <c r="S774" s="65" t="str">
        <f aca="false">IF(AND($J774&lt;&gt;"",$J774=UCSel),$B774+ROW()/100000,"")</f>
        <v/>
      </c>
    </row>
    <row r="775" customFormat="false" ht="15" hidden="false" customHeight="false" outlineLevel="0" collapsed="false">
      <c r="A775" s="28"/>
      <c r="B775" s="63"/>
      <c r="C775" s="64"/>
      <c r="D775" s="28"/>
      <c r="E775" s="28"/>
      <c r="F775" s="28"/>
      <c r="G775" s="64"/>
      <c r="H775" s="64"/>
      <c r="I775" s="28"/>
      <c r="J775" s="28"/>
      <c r="K775" s="65" t="str">
        <f aca="false">IF($A775="","",IF(OR($C775="Decision",$C775="Conflict"),IF(COUNTIFS($I$2:$I$1001,$A775,$C$2:$C$1001,"Resolved")=0,"Open","Closed"),IF(AND($H775="Unconfirmed",OR($C775="New",$C775="Know")),IF(COUNTIFS($I$2:$I$1001,$A775,$C$2:$C$1001,"Confirmed")=0,"Unconfirmed","Confirmed"),"Logged")))</f>
        <v/>
      </c>
      <c r="L775" s="65" t="str">
        <f aca="false">IF($A775="","",AsOf-$B775)</f>
        <v/>
      </c>
      <c r="M775" s="65" t="str">
        <f aca="false">IF($K775="Open",IF($C775="Conflict","Critical",IF($L775&gt;=DecisionCritical,"Critical",IF($L775&gt;=DecisionWarn,"Warning","On track"))),IF($K775="Unconfirmed",IF($L775&gt;=UnconfirmedWarn,"Warning","On track"),""))</f>
        <v/>
      </c>
      <c r="N775" s="65" t="str">
        <f aca="false">IF($M775="","",IF($M775="Critical",3000,IF($M775="Warning",2000,1000))+$L775+ROW()/100000)</f>
        <v/>
      </c>
      <c r="O775" s="65" t="str">
        <f aca="false">IF($K775="Open",IF($C775="Conflict","decide "&amp;$A775&amp;": &lt;which version stands&gt;","decide "&amp;$A775&amp;": &lt;outcome&gt;"),IF($K775="Unconfirmed","confirm "&amp;$A775,""))</f>
        <v/>
      </c>
      <c r="P775" s="65" t="str">
        <f aca="false">IF(AND($C775="New",$B775&gt;=WeekStart),$B775+ROW()/100000,"")</f>
        <v/>
      </c>
      <c r="Q775" s="65" t="str">
        <f aca="false">IF(AND($C775="Know",$B775&gt;=WeekStart),$B775+ROW()/100000,"")</f>
        <v/>
      </c>
      <c r="R775" s="65" t="str">
        <f aca="false">IF(AND($K775="Open",$C775="Decision"),$L775+ROW()/100000,"")</f>
        <v/>
      </c>
      <c r="S775" s="65" t="str">
        <f aca="false">IF(AND($J775&lt;&gt;"",$J775=UCSel),$B775+ROW()/100000,"")</f>
        <v/>
      </c>
    </row>
    <row r="776" customFormat="false" ht="15" hidden="false" customHeight="false" outlineLevel="0" collapsed="false">
      <c r="A776" s="28"/>
      <c r="B776" s="63"/>
      <c r="C776" s="64"/>
      <c r="D776" s="28"/>
      <c r="E776" s="28"/>
      <c r="F776" s="28"/>
      <c r="G776" s="64"/>
      <c r="H776" s="64"/>
      <c r="I776" s="28"/>
      <c r="J776" s="28"/>
      <c r="K776" s="65" t="str">
        <f aca="false">IF($A776="","",IF(OR($C776="Decision",$C776="Conflict"),IF(COUNTIFS($I$2:$I$1001,$A776,$C$2:$C$1001,"Resolved")=0,"Open","Closed"),IF(AND($H776="Unconfirmed",OR($C776="New",$C776="Know")),IF(COUNTIFS($I$2:$I$1001,$A776,$C$2:$C$1001,"Confirmed")=0,"Unconfirmed","Confirmed"),"Logged")))</f>
        <v/>
      </c>
      <c r="L776" s="65" t="str">
        <f aca="false">IF($A776="","",AsOf-$B776)</f>
        <v/>
      </c>
      <c r="M776" s="65" t="str">
        <f aca="false">IF($K776="Open",IF($C776="Conflict","Critical",IF($L776&gt;=DecisionCritical,"Critical",IF($L776&gt;=DecisionWarn,"Warning","On track"))),IF($K776="Unconfirmed",IF($L776&gt;=UnconfirmedWarn,"Warning","On track"),""))</f>
        <v/>
      </c>
      <c r="N776" s="65" t="str">
        <f aca="false">IF($M776="","",IF($M776="Critical",3000,IF($M776="Warning",2000,1000))+$L776+ROW()/100000)</f>
        <v/>
      </c>
      <c r="O776" s="65" t="str">
        <f aca="false">IF($K776="Open",IF($C776="Conflict","decide "&amp;$A776&amp;": &lt;which version stands&gt;","decide "&amp;$A776&amp;": &lt;outcome&gt;"),IF($K776="Unconfirmed","confirm "&amp;$A776,""))</f>
        <v/>
      </c>
      <c r="P776" s="65" t="str">
        <f aca="false">IF(AND($C776="New",$B776&gt;=WeekStart),$B776+ROW()/100000,"")</f>
        <v/>
      </c>
      <c r="Q776" s="65" t="str">
        <f aca="false">IF(AND($C776="Know",$B776&gt;=WeekStart),$B776+ROW()/100000,"")</f>
        <v/>
      </c>
      <c r="R776" s="65" t="str">
        <f aca="false">IF(AND($K776="Open",$C776="Decision"),$L776+ROW()/100000,"")</f>
        <v/>
      </c>
      <c r="S776" s="65" t="str">
        <f aca="false">IF(AND($J776&lt;&gt;"",$J776=UCSel),$B776+ROW()/100000,"")</f>
        <v/>
      </c>
    </row>
    <row r="777" customFormat="false" ht="15" hidden="false" customHeight="false" outlineLevel="0" collapsed="false">
      <c r="A777" s="28"/>
      <c r="B777" s="63"/>
      <c r="C777" s="64"/>
      <c r="D777" s="28"/>
      <c r="E777" s="28"/>
      <c r="F777" s="28"/>
      <c r="G777" s="64"/>
      <c r="H777" s="64"/>
      <c r="I777" s="28"/>
      <c r="J777" s="28"/>
      <c r="K777" s="65" t="str">
        <f aca="false">IF($A777="","",IF(OR($C777="Decision",$C777="Conflict"),IF(COUNTIFS($I$2:$I$1001,$A777,$C$2:$C$1001,"Resolved")=0,"Open","Closed"),IF(AND($H777="Unconfirmed",OR($C777="New",$C777="Know")),IF(COUNTIFS($I$2:$I$1001,$A777,$C$2:$C$1001,"Confirmed")=0,"Unconfirmed","Confirmed"),"Logged")))</f>
        <v/>
      </c>
      <c r="L777" s="65" t="str">
        <f aca="false">IF($A777="","",AsOf-$B777)</f>
        <v/>
      </c>
      <c r="M777" s="65" t="str">
        <f aca="false">IF($K777="Open",IF($C777="Conflict","Critical",IF($L777&gt;=DecisionCritical,"Critical",IF($L777&gt;=DecisionWarn,"Warning","On track"))),IF($K777="Unconfirmed",IF($L777&gt;=UnconfirmedWarn,"Warning","On track"),""))</f>
        <v/>
      </c>
      <c r="N777" s="65" t="str">
        <f aca="false">IF($M777="","",IF($M777="Critical",3000,IF($M777="Warning",2000,1000))+$L777+ROW()/100000)</f>
        <v/>
      </c>
      <c r="O777" s="65" t="str">
        <f aca="false">IF($K777="Open",IF($C777="Conflict","decide "&amp;$A777&amp;": &lt;which version stands&gt;","decide "&amp;$A777&amp;": &lt;outcome&gt;"),IF($K777="Unconfirmed","confirm "&amp;$A777,""))</f>
        <v/>
      </c>
      <c r="P777" s="65" t="str">
        <f aca="false">IF(AND($C777="New",$B777&gt;=WeekStart),$B777+ROW()/100000,"")</f>
        <v/>
      </c>
      <c r="Q777" s="65" t="str">
        <f aca="false">IF(AND($C777="Know",$B777&gt;=WeekStart),$B777+ROW()/100000,"")</f>
        <v/>
      </c>
      <c r="R777" s="65" t="str">
        <f aca="false">IF(AND($K777="Open",$C777="Decision"),$L777+ROW()/100000,"")</f>
        <v/>
      </c>
      <c r="S777" s="65" t="str">
        <f aca="false">IF(AND($J777&lt;&gt;"",$J777=UCSel),$B777+ROW()/100000,"")</f>
        <v/>
      </c>
    </row>
    <row r="778" customFormat="false" ht="15" hidden="false" customHeight="false" outlineLevel="0" collapsed="false">
      <c r="A778" s="28"/>
      <c r="B778" s="63"/>
      <c r="C778" s="64"/>
      <c r="D778" s="28"/>
      <c r="E778" s="28"/>
      <c r="F778" s="28"/>
      <c r="G778" s="64"/>
      <c r="H778" s="64"/>
      <c r="I778" s="28"/>
      <c r="J778" s="28"/>
      <c r="K778" s="65" t="str">
        <f aca="false">IF($A778="","",IF(OR($C778="Decision",$C778="Conflict"),IF(COUNTIFS($I$2:$I$1001,$A778,$C$2:$C$1001,"Resolved")=0,"Open","Closed"),IF(AND($H778="Unconfirmed",OR($C778="New",$C778="Know")),IF(COUNTIFS($I$2:$I$1001,$A778,$C$2:$C$1001,"Confirmed")=0,"Unconfirmed","Confirmed"),"Logged")))</f>
        <v/>
      </c>
      <c r="L778" s="65" t="str">
        <f aca="false">IF($A778="","",AsOf-$B778)</f>
        <v/>
      </c>
      <c r="M778" s="65" t="str">
        <f aca="false">IF($K778="Open",IF($C778="Conflict","Critical",IF($L778&gt;=DecisionCritical,"Critical",IF($L778&gt;=DecisionWarn,"Warning","On track"))),IF($K778="Unconfirmed",IF($L778&gt;=UnconfirmedWarn,"Warning","On track"),""))</f>
        <v/>
      </c>
      <c r="N778" s="65" t="str">
        <f aca="false">IF($M778="","",IF($M778="Critical",3000,IF($M778="Warning",2000,1000))+$L778+ROW()/100000)</f>
        <v/>
      </c>
      <c r="O778" s="65" t="str">
        <f aca="false">IF($K778="Open",IF($C778="Conflict","decide "&amp;$A778&amp;": &lt;which version stands&gt;","decide "&amp;$A778&amp;": &lt;outcome&gt;"),IF($K778="Unconfirmed","confirm "&amp;$A778,""))</f>
        <v/>
      </c>
      <c r="P778" s="65" t="str">
        <f aca="false">IF(AND($C778="New",$B778&gt;=WeekStart),$B778+ROW()/100000,"")</f>
        <v/>
      </c>
      <c r="Q778" s="65" t="str">
        <f aca="false">IF(AND($C778="Know",$B778&gt;=WeekStart),$B778+ROW()/100000,"")</f>
        <v/>
      </c>
      <c r="R778" s="65" t="str">
        <f aca="false">IF(AND($K778="Open",$C778="Decision"),$L778+ROW()/100000,"")</f>
        <v/>
      </c>
      <c r="S778" s="65" t="str">
        <f aca="false">IF(AND($J778&lt;&gt;"",$J778=UCSel),$B778+ROW()/100000,"")</f>
        <v/>
      </c>
    </row>
    <row r="779" customFormat="false" ht="15" hidden="false" customHeight="false" outlineLevel="0" collapsed="false">
      <c r="A779" s="28"/>
      <c r="B779" s="63"/>
      <c r="C779" s="64"/>
      <c r="D779" s="28"/>
      <c r="E779" s="28"/>
      <c r="F779" s="28"/>
      <c r="G779" s="64"/>
      <c r="H779" s="64"/>
      <c r="I779" s="28"/>
      <c r="J779" s="28"/>
      <c r="K779" s="65" t="str">
        <f aca="false">IF($A779="","",IF(OR($C779="Decision",$C779="Conflict"),IF(COUNTIFS($I$2:$I$1001,$A779,$C$2:$C$1001,"Resolved")=0,"Open","Closed"),IF(AND($H779="Unconfirmed",OR($C779="New",$C779="Know")),IF(COUNTIFS($I$2:$I$1001,$A779,$C$2:$C$1001,"Confirmed")=0,"Unconfirmed","Confirmed"),"Logged")))</f>
        <v/>
      </c>
      <c r="L779" s="65" t="str">
        <f aca="false">IF($A779="","",AsOf-$B779)</f>
        <v/>
      </c>
      <c r="M779" s="65" t="str">
        <f aca="false">IF($K779="Open",IF($C779="Conflict","Critical",IF($L779&gt;=DecisionCritical,"Critical",IF($L779&gt;=DecisionWarn,"Warning","On track"))),IF($K779="Unconfirmed",IF($L779&gt;=UnconfirmedWarn,"Warning","On track"),""))</f>
        <v/>
      </c>
      <c r="N779" s="65" t="str">
        <f aca="false">IF($M779="","",IF($M779="Critical",3000,IF($M779="Warning",2000,1000))+$L779+ROW()/100000)</f>
        <v/>
      </c>
      <c r="O779" s="65" t="str">
        <f aca="false">IF($K779="Open",IF($C779="Conflict","decide "&amp;$A779&amp;": &lt;which version stands&gt;","decide "&amp;$A779&amp;": &lt;outcome&gt;"),IF($K779="Unconfirmed","confirm "&amp;$A779,""))</f>
        <v/>
      </c>
      <c r="P779" s="65" t="str">
        <f aca="false">IF(AND($C779="New",$B779&gt;=WeekStart),$B779+ROW()/100000,"")</f>
        <v/>
      </c>
      <c r="Q779" s="65" t="str">
        <f aca="false">IF(AND($C779="Know",$B779&gt;=WeekStart),$B779+ROW()/100000,"")</f>
        <v/>
      </c>
      <c r="R779" s="65" t="str">
        <f aca="false">IF(AND($K779="Open",$C779="Decision"),$L779+ROW()/100000,"")</f>
        <v/>
      </c>
      <c r="S779" s="65" t="str">
        <f aca="false">IF(AND($J779&lt;&gt;"",$J779=UCSel),$B779+ROW()/100000,"")</f>
        <v/>
      </c>
    </row>
    <row r="780" customFormat="false" ht="15" hidden="false" customHeight="false" outlineLevel="0" collapsed="false">
      <c r="A780" s="28"/>
      <c r="B780" s="63"/>
      <c r="C780" s="64"/>
      <c r="D780" s="28"/>
      <c r="E780" s="28"/>
      <c r="F780" s="28"/>
      <c r="G780" s="64"/>
      <c r="H780" s="64"/>
      <c r="I780" s="28"/>
      <c r="J780" s="28"/>
      <c r="K780" s="65" t="str">
        <f aca="false">IF($A780="","",IF(OR($C780="Decision",$C780="Conflict"),IF(COUNTIFS($I$2:$I$1001,$A780,$C$2:$C$1001,"Resolved")=0,"Open","Closed"),IF(AND($H780="Unconfirmed",OR($C780="New",$C780="Know")),IF(COUNTIFS($I$2:$I$1001,$A780,$C$2:$C$1001,"Confirmed")=0,"Unconfirmed","Confirmed"),"Logged")))</f>
        <v/>
      </c>
      <c r="L780" s="65" t="str">
        <f aca="false">IF($A780="","",AsOf-$B780)</f>
        <v/>
      </c>
      <c r="M780" s="65" t="str">
        <f aca="false">IF($K780="Open",IF($C780="Conflict","Critical",IF($L780&gt;=DecisionCritical,"Critical",IF($L780&gt;=DecisionWarn,"Warning","On track"))),IF($K780="Unconfirmed",IF($L780&gt;=UnconfirmedWarn,"Warning","On track"),""))</f>
        <v/>
      </c>
      <c r="N780" s="65" t="str">
        <f aca="false">IF($M780="","",IF($M780="Critical",3000,IF($M780="Warning",2000,1000))+$L780+ROW()/100000)</f>
        <v/>
      </c>
      <c r="O780" s="65" t="str">
        <f aca="false">IF($K780="Open",IF($C780="Conflict","decide "&amp;$A780&amp;": &lt;which version stands&gt;","decide "&amp;$A780&amp;": &lt;outcome&gt;"),IF($K780="Unconfirmed","confirm "&amp;$A780,""))</f>
        <v/>
      </c>
      <c r="P780" s="65" t="str">
        <f aca="false">IF(AND($C780="New",$B780&gt;=WeekStart),$B780+ROW()/100000,"")</f>
        <v/>
      </c>
      <c r="Q780" s="65" t="str">
        <f aca="false">IF(AND($C780="Know",$B780&gt;=WeekStart),$B780+ROW()/100000,"")</f>
        <v/>
      </c>
      <c r="R780" s="65" t="str">
        <f aca="false">IF(AND($K780="Open",$C780="Decision"),$L780+ROW()/100000,"")</f>
        <v/>
      </c>
      <c r="S780" s="65" t="str">
        <f aca="false">IF(AND($J780&lt;&gt;"",$J780=UCSel),$B780+ROW()/100000,"")</f>
        <v/>
      </c>
    </row>
    <row r="781" customFormat="false" ht="15" hidden="false" customHeight="false" outlineLevel="0" collapsed="false">
      <c r="A781" s="28"/>
      <c r="B781" s="63"/>
      <c r="C781" s="64"/>
      <c r="D781" s="28"/>
      <c r="E781" s="28"/>
      <c r="F781" s="28"/>
      <c r="G781" s="64"/>
      <c r="H781" s="64"/>
      <c r="I781" s="28"/>
      <c r="J781" s="28"/>
      <c r="K781" s="65" t="str">
        <f aca="false">IF($A781="","",IF(OR($C781="Decision",$C781="Conflict"),IF(COUNTIFS($I$2:$I$1001,$A781,$C$2:$C$1001,"Resolved")=0,"Open","Closed"),IF(AND($H781="Unconfirmed",OR($C781="New",$C781="Know")),IF(COUNTIFS($I$2:$I$1001,$A781,$C$2:$C$1001,"Confirmed")=0,"Unconfirmed","Confirmed"),"Logged")))</f>
        <v/>
      </c>
      <c r="L781" s="65" t="str">
        <f aca="false">IF($A781="","",AsOf-$B781)</f>
        <v/>
      </c>
      <c r="M781" s="65" t="str">
        <f aca="false">IF($K781="Open",IF($C781="Conflict","Critical",IF($L781&gt;=DecisionCritical,"Critical",IF($L781&gt;=DecisionWarn,"Warning","On track"))),IF($K781="Unconfirmed",IF($L781&gt;=UnconfirmedWarn,"Warning","On track"),""))</f>
        <v/>
      </c>
      <c r="N781" s="65" t="str">
        <f aca="false">IF($M781="","",IF($M781="Critical",3000,IF($M781="Warning",2000,1000))+$L781+ROW()/100000)</f>
        <v/>
      </c>
      <c r="O781" s="65" t="str">
        <f aca="false">IF($K781="Open",IF($C781="Conflict","decide "&amp;$A781&amp;": &lt;which version stands&gt;","decide "&amp;$A781&amp;": &lt;outcome&gt;"),IF($K781="Unconfirmed","confirm "&amp;$A781,""))</f>
        <v/>
      </c>
      <c r="P781" s="65" t="str">
        <f aca="false">IF(AND($C781="New",$B781&gt;=WeekStart),$B781+ROW()/100000,"")</f>
        <v/>
      </c>
      <c r="Q781" s="65" t="str">
        <f aca="false">IF(AND($C781="Know",$B781&gt;=WeekStart),$B781+ROW()/100000,"")</f>
        <v/>
      </c>
      <c r="R781" s="65" t="str">
        <f aca="false">IF(AND($K781="Open",$C781="Decision"),$L781+ROW()/100000,"")</f>
        <v/>
      </c>
      <c r="S781" s="65" t="str">
        <f aca="false">IF(AND($J781&lt;&gt;"",$J781=UCSel),$B781+ROW()/100000,"")</f>
        <v/>
      </c>
    </row>
    <row r="782" customFormat="false" ht="15" hidden="false" customHeight="false" outlineLevel="0" collapsed="false">
      <c r="A782" s="28"/>
      <c r="B782" s="63"/>
      <c r="C782" s="64"/>
      <c r="D782" s="28"/>
      <c r="E782" s="28"/>
      <c r="F782" s="28"/>
      <c r="G782" s="64"/>
      <c r="H782" s="64"/>
      <c r="I782" s="28"/>
      <c r="J782" s="28"/>
      <c r="K782" s="65" t="str">
        <f aca="false">IF($A782="","",IF(OR($C782="Decision",$C782="Conflict"),IF(COUNTIFS($I$2:$I$1001,$A782,$C$2:$C$1001,"Resolved")=0,"Open","Closed"),IF(AND($H782="Unconfirmed",OR($C782="New",$C782="Know")),IF(COUNTIFS($I$2:$I$1001,$A782,$C$2:$C$1001,"Confirmed")=0,"Unconfirmed","Confirmed"),"Logged")))</f>
        <v/>
      </c>
      <c r="L782" s="65" t="str">
        <f aca="false">IF($A782="","",AsOf-$B782)</f>
        <v/>
      </c>
      <c r="M782" s="65" t="str">
        <f aca="false">IF($K782="Open",IF($C782="Conflict","Critical",IF($L782&gt;=DecisionCritical,"Critical",IF($L782&gt;=DecisionWarn,"Warning","On track"))),IF($K782="Unconfirmed",IF($L782&gt;=UnconfirmedWarn,"Warning","On track"),""))</f>
        <v/>
      </c>
      <c r="N782" s="65" t="str">
        <f aca="false">IF($M782="","",IF($M782="Critical",3000,IF($M782="Warning",2000,1000))+$L782+ROW()/100000)</f>
        <v/>
      </c>
      <c r="O782" s="65" t="str">
        <f aca="false">IF($K782="Open",IF($C782="Conflict","decide "&amp;$A782&amp;": &lt;which version stands&gt;","decide "&amp;$A782&amp;": &lt;outcome&gt;"),IF($K782="Unconfirmed","confirm "&amp;$A782,""))</f>
        <v/>
      </c>
      <c r="P782" s="65" t="str">
        <f aca="false">IF(AND($C782="New",$B782&gt;=WeekStart),$B782+ROW()/100000,"")</f>
        <v/>
      </c>
      <c r="Q782" s="65" t="str">
        <f aca="false">IF(AND($C782="Know",$B782&gt;=WeekStart),$B782+ROW()/100000,"")</f>
        <v/>
      </c>
      <c r="R782" s="65" t="str">
        <f aca="false">IF(AND($K782="Open",$C782="Decision"),$L782+ROW()/100000,"")</f>
        <v/>
      </c>
      <c r="S782" s="65" t="str">
        <f aca="false">IF(AND($J782&lt;&gt;"",$J782=UCSel),$B782+ROW()/100000,"")</f>
        <v/>
      </c>
    </row>
    <row r="783" customFormat="false" ht="15" hidden="false" customHeight="false" outlineLevel="0" collapsed="false">
      <c r="A783" s="28"/>
      <c r="B783" s="63"/>
      <c r="C783" s="64"/>
      <c r="D783" s="28"/>
      <c r="E783" s="28"/>
      <c r="F783" s="28"/>
      <c r="G783" s="64"/>
      <c r="H783" s="64"/>
      <c r="I783" s="28"/>
      <c r="J783" s="28"/>
      <c r="K783" s="65" t="str">
        <f aca="false">IF($A783="","",IF(OR($C783="Decision",$C783="Conflict"),IF(COUNTIFS($I$2:$I$1001,$A783,$C$2:$C$1001,"Resolved")=0,"Open","Closed"),IF(AND($H783="Unconfirmed",OR($C783="New",$C783="Know")),IF(COUNTIFS($I$2:$I$1001,$A783,$C$2:$C$1001,"Confirmed")=0,"Unconfirmed","Confirmed"),"Logged")))</f>
        <v/>
      </c>
      <c r="L783" s="65" t="str">
        <f aca="false">IF($A783="","",AsOf-$B783)</f>
        <v/>
      </c>
      <c r="M783" s="65" t="str">
        <f aca="false">IF($K783="Open",IF($C783="Conflict","Critical",IF($L783&gt;=DecisionCritical,"Critical",IF($L783&gt;=DecisionWarn,"Warning","On track"))),IF($K783="Unconfirmed",IF($L783&gt;=UnconfirmedWarn,"Warning","On track"),""))</f>
        <v/>
      </c>
      <c r="N783" s="65" t="str">
        <f aca="false">IF($M783="","",IF($M783="Critical",3000,IF($M783="Warning",2000,1000))+$L783+ROW()/100000)</f>
        <v/>
      </c>
      <c r="O783" s="65" t="str">
        <f aca="false">IF($K783="Open",IF($C783="Conflict","decide "&amp;$A783&amp;": &lt;which version stands&gt;","decide "&amp;$A783&amp;": &lt;outcome&gt;"),IF($K783="Unconfirmed","confirm "&amp;$A783,""))</f>
        <v/>
      </c>
      <c r="P783" s="65" t="str">
        <f aca="false">IF(AND($C783="New",$B783&gt;=WeekStart),$B783+ROW()/100000,"")</f>
        <v/>
      </c>
      <c r="Q783" s="65" t="str">
        <f aca="false">IF(AND($C783="Know",$B783&gt;=WeekStart),$B783+ROW()/100000,"")</f>
        <v/>
      </c>
      <c r="R783" s="65" t="str">
        <f aca="false">IF(AND($K783="Open",$C783="Decision"),$L783+ROW()/100000,"")</f>
        <v/>
      </c>
      <c r="S783" s="65" t="str">
        <f aca="false">IF(AND($J783&lt;&gt;"",$J783=UCSel),$B783+ROW()/100000,"")</f>
        <v/>
      </c>
    </row>
    <row r="784" customFormat="false" ht="15" hidden="false" customHeight="false" outlineLevel="0" collapsed="false">
      <c r="A784" s="28"/>
      <c r="B784" s="63"/>
      <c r="C784" s="64"/>
      <c r="D784" s="28"/>
      <c r="E784" s="28"/>
      <c r="F784" s="28"/>
      <c r="G784" s="64"/>
      <c r="H784" s="64"/>
      <c r="I784" s="28"/>
      <c r="J784" s="28"/>
      <c r="K784" s="65" t="str">
        <f aca="false">IF($A784="","",IF(OR($C784="Decision",$C784="Conflict"),IF(COUNTIFS($I$2:$I$1001,$A784,$C$2:$C$1001,"Resolved")=0,"Open","Closed"),IF(AND($H784="Unconfirmed",OR($C784="New",$C784="Know")),IF(COUNTIFS($I$2:$I$1001,$A784,$C$2:$C$1001,"Confirmed")=0,"Unconfirmed","Confirmed"),"Logged")))</f>
        <v/>
      </c>
      <c r="L784" s="65" t="str">
        <f aca="false">IF($A784="","",AsOf-$B784)</f>
        <v/>
      </c>
      <c r="M784" s="65" t="str">
        <f aca="false">IF($K784="Open",IF($C784="Conflict","Critical",IF($L784&gt;=DecisionCritical,"Critical",IF($L784&gt;=DecisionWarn,"Warning","On track"))),IF($K784="Unconfirmed",IF($L784&gt;=UnconfirmedWarn,"Warning","On track"),""))</f>
        <v/>
      </c>
      <c r="N784" s="65" t="str">
        <f aca="false">IF($M784="","",IF($M784="Critical",3000,IF($M784="Warning",2000,1000))+$L784+ROW()/100000)</f>
        <v/>
      </c>
      <c r="O784" s="65" t="str">
        <f aca="false">IF($K784="Open",IF($C784="Conflict","decide "&amp;$A784&amp;": &lt;which version stands&gt;","decide "&amp;$A784&amp;": &lt;outcome&gt;"),IF($K784="Unconfirmed","confirm "&amp;$A784,""))</f>
        <v/>
      </c>
      <c r="P784" s="65" t="str">
        <f aca="false">IF(AND($C784="New",$B784&gt;=WeekStart),$B784+ROW()/100000,"")</f>
        <v/>
      </c>
      <c r="Q784" s="65" t="str">
        <f aca="false">IF(AND($C784="Know",$B784&gt;=WeekStart),$B784+ROW()/100000,"")</f>
        <v/>
      </c>
      <c r="R784" s="65" t="str">
        <f aca="false">IF(AND($K784="Open",$C784="Decision"),$L784+ROW()/100000,"")</f>
        <v/>
      </c>
      <c r="S784" s="65" t="str">
        <f aca="false">IF(AND($J784&lt;&gt;"",$J784=UCSel),$B784+ROW()/100000,"")</f>
        <v/>
      </c>
    </row>
    <row r="785" customFormat="false" ht="15" hidden="false" customHeight="false" outlineLevel="0" collapsed="false">
      <c r="A785" s="28"/>
      <c r="B785" s="63"/>
      <c r="C785" s="64"/>
      <c r="D785" s="28"/>
      <c r="E785" s="28"/>
      <c r="F785" s="28"/>
      <c r="G785" s="64"/>
      <c r="H785" s="64"/>
      <c r="I785" s="28"/>
      <c r="J785" s="28"/>
      <c r="K785" s="65" t="str">
        <f aca="false">IF($A785="","",IF(OR($C785="Decision",$C785="Conflict"),IF(COUNTIFS($I$2:$I$1001,$A785,$C$2:$C$1001,"Resolved")=0,"Open","Closed"),IF(AND($H785="Unconfirmed",OR($C785="New",$C785="Know")),IF(COUNTIFS($I$2:$I$1001,$A785,$C$2:$C$1001,"Confirmed")=0,"Unconfirmed","Confirmed"),"Logged")))</f>
        <v/>
      </c>
      <c r="L785" s="65" t="str">
        <f aca="false">IF($A785="","",AsOf-$B785)</f>
        <v/>
      </c>
      <c r="M785" s="65" t="str">
        <f aca="false">IF($K785="Open",IF($C785="Conflict","Critical",IF($L785&gt;=DecisionCritical,"Critical",IF($L785&gt;=DecisionWarn,"Warning","On track"))),IF($K785="Unconfirmed",IF($L785&gt;=UnconfirmedWarn,"Warning","On track"),""))</f>
        <v/>
      </c>
      <c r="N785" s="65" t="str">
        <f aca="false">IF($M785="","",IF($M785="Critical",3000,IF($M785="Warning",2000,1000))+$L785+ROW()/100000)</f>
        <v/>
      </c>
      <c r="O785" s="65" t="str">
        <f aca="false">IF($K785="Open",IF($C785="Conflict","decide "&amp;$A785&amp;": &lt;which version stands&gt;","decide "&amp;$A785&amp;": &lt;outcome&gt;"),IF($K785="Unconfirmed","confirm "&amp;$A785,""))</f>
        <v/>
      </c>
      <c r="P785" s="65" t="str">
        <f aca="false">IF(AND($C785="New",$B785&gt;=WeekStart),$B785+ROW()/100000,"")</f>
        <v/>
      </c>
      <c r="Q785" s="65" t="str">
        <f aca="false">IF(AND($C785="Know",$B785&gt;=WeekStart),$B785+ROW()/100000,"")</f>
        <v/>
      </c>
      <c r="R785" s="65" t="str">
        <f aca="false">IF(AND($K785="Open",$C785="Decision"),$L785+ROW()/100000,"")</f>
        <v/>
      </c>
      <c r="S785" s="65" t="str">
        <f aca="false">IF(AND($J785&lt;&gt;"",$J785=UCSel),$B785+ROW()/100000,"")</f>
        <v/>
      </c>
    </row>
    <row r="786" customFormat="false" ht="15" hidden="false" customHeight="false" outlineLevel="0" collapsed="false">
      <c r="A786" s="28"/>
      <c r="B786" s="63"/>
      <c r="C786" s="64"/>
      <c r="D786" s="28"/>
      <c r="E786" s="28"/>
      <c r="F786" s="28"/>
      <c r="G786" s="64"/>
      <c r="H786" s="64"/>
      <c r="I786" s="28"/>
      <c r="J786" s="28"/>
      <c r="K786" s="65" t="str">
        <f aca="false">IF($A786="","",IF(OR($C786="Decision",$C786="Conflict"),IF(COUNTIFS($I$2:$I$1001,$A786,$C$2:$C$1001,"Resolved")=0,"Open","Closed"),IF(AND($H786="Unconfirmed",OR($C786="New",$C786="Know")),IF(COUNTIFS($I$2:$I$1001,$A786,$C$2:$C$1001,"Confirmed")=0,"Unconfirmed","Confirmed"),"Logged")))</f>
        <v/>
      </c>
      <c r="L786" s="65" t="str">
        <f aca="false">IF($A786="","",AsOf-$B786)</f>
        <v/>
      </c>
      <c r="M786" s="65" t="str">
        <f aca="false">IF($K786="Open",IF($C786="Conflict","Critical",IF($L786&gt;=DecisionCritical,"Critical",IF($L786&gt;=DecisionWarn,"Warning","On track"))),IF($K786="Unconfirmed",IF($L786&gt;=UnconfirmedWarn,"Warning","On track"),""))</f>
        <v/>
      </c>
      <c r="N786" s="65" t="str">
        <f aca="false">IF($M786="","",IF($M786="Critical",3000,IF($M786="Warning",2000,1000))+$L786+ROW()/100000)</f>
        <v/>
      </c>
      <c r="O786" s="65" t="str">
        <f aca="false">IF($K786="Open",IF($C786="Conflict","decide "&amp;$A786&amp;": &lt;which version stands&gt;","decide "&amp;$A786&amp;": &lt;outcome&gt;"),IF($K786="Unconfirmed","confirm "&amp;$A786,""))</f>
        <v/>
      </c>
      <c r="P786" s="65" t="str">
        <f aca="false">IF(AND($C786="New",$B786&gt;=WeekStart),$B786+ROW()/100000,"")</f>
        <v/>
      </c>
      <c r="Q786" s="65" t="str">
        <f aca="false">IF(AND($C786="Know",$B786&gt;=WeekStart),$B786+ROW()/100000,"")</f>
        <v/>
      </c>
      <c r="R786" s="65" t="str">
        <f aca="false">IF(AND($K786="Open",$C786="Decision"),$L786+ROW()/100000,"")</f>
        <v/>
      </c>
      <c r="S786" s="65" t="str">
        <f aca="false">IF(AND($J786&lt;&gt;"",$J786=UCSel),$B786+ROW()/100000,"")</f>
        <v/>
      </c>
    </row>
    <row r="787" customFormat="false" ht="15" hidden="false" customHeight="false" outlineLevel="0" collapsed="false">
      <c r="A787" s="28"/>
      <c r="B787" s="63"/>
      <c r="C787" s="64"/>
      <c r="D787" s="28"/>
      <c r="E787" s="28"/>
      <c r="F787" s="28"/>
      <c r="G787" s="64"/>
      <c r="H787" s="64"/>
      <c r="I787" s="28"/>
      <c r="J787" s="28"/>
      <c r="K787" s="65" t="str">
        <f aca="false">IF($A787="","",IF(OR($C787="Decision",$C787="Conflict"),IF(COUNTIFS($I$2:$I$1001,$A787,$C$2:$C$1001,"Resolved")=0,"Open","Closed"),IF(AND($H787="Unconfirmed",OR($C787="New",$C787="Know")),IF(COUNTIFS($I$2:$I$1001,$A787,$C$2:$C$1001,"Confirmed")=0,"Unconfirmed","Confirmed"),"Logged")))</f>
        <v/>
      </c>
      <c r="L787" s="65" t="str">
        <f aca="false">IF($A787="","",AsOf-$B787)</f>
        <v/>
      </c>
      <c r="M787" s="65" t="str">
        <f aca="false">IF($K787="Open",IF($C787="Conflict","Critical",IF($L787&gt;=DecisionCritical,"Critical",IF($L787&gt;=DecisionWarn,"Warning","On track"))),IF($K787="Unconfirmed",IF($L787&gt;=UnconfirmedWarn,"Warning","On track"),""))</f>
        <v/>
      </c>
      <c r="N787" s="65" t="str">
        <f aca="false">IF($M787="","",IF($M787="Critical",3000,IF($M787="Warning",2000,1000))+$L787+ROW()/100000)</f>
        <v/>
      </c>
      <c r="O787" s="65" t="str">
        <f aca="false">IF($K787="Open",IF($C787="Conflict","decide "&amp;$A787&amp;": &lt;which version stands&gt;","decide "&amp;$A787&amp;": &lt;outcome&gt;"),IF($K787="Unconfirmed","confirm "&amp;$A787,""))</f>
        <v/>
      </c>
      <c r="P787" s="65" t="str">
        <f aca="false">IF(AND($C787="New",$B787&gt;=WeekStart),$B787+ROW()/100000,"")</f>
        <v/>
      </c>
      <c r="Q787" s="65" t="str">
        <f aca="false">IF(AND($C787="Know",$B787&gt;=WeekStart),$B787+ROW()/100000,"")</f>
        <v/>
      </c>
      <c r="R787" s="65" t="str">
        <f aca="false">IF(AND($K787="Open",$C787="Decision"),$L787+ROW()/100000,"")</f>
        <v/>
      </c>
      <c r="S787" s="65" t="str">
        <f aca="false">IF(AND($J787&lt;&gt;"",$J787=UCSel),$B787+ROW()/100000,"")</f>
        <v/>
      </c>
    </row>
    <row r="788" customFormat="false" ht="15" hidden="false" customHeight="false" outlineLevel="0" collapsed="false">
      <c r="A788" s="28"/>
      <c r="B788" s="63"/>
      <c r="C788" s="64"/>
      <c r="D788" s="28"/>
      <c r="E788" s="28"/>
      <c r="F788" s="28"/>
      <c r="G788" s="64"/>
      <c r="H788" s="64"/>
      <c r="I788" s="28"/>
      <c r="J788" s="28"/>
      <c r="K788" s="65" t="str">
        <f aca="false">IF($A788="","",IF(OR($C788="Decision",$C788="Conflict"),IF(COUNTIFS($I$2:$I$1001,$A788,$C$2:$C$1001,"Resolved")=0,"Open","Closed"),IF(AND($H788="Unconfirmed",OR($C788="New",$C788="Know")),IF(COUNTIFS($I$2:$I$1001,$A788,$C$2:$C$1001,"Confirmed")=0,"Unconfirmed","Confirmed"),"Logged")))</f>
        <v/>
      </c>
      <c r="L788" s="65" t="str">
        <f aca="false">IF($A788="","",AsOf-$B788)</f>
        <v/>
      </c>
      <c r="M788" s="65" t="str">
        <f aca="false">IF($K788="Open",IF($C788="Conflict","Critical",IF($L788&gt;=DecisionCritical,"Critical",IF($L788&gt;=DecisionWarn,"Warning","On track"))),IF($K788="Unconfirmed",IF($L788&gt;=UnconfirmedWarn,"Warning","On track"),""))</f>
        <v/>
      </c>
      <c r="N788" s="65" t="str">
        <f aca="false">IF($M788="","",IF($M788="Critical",3000,IF($M788="Warning",2000,1000))+$L788+ROW()/100000)</f>
        <v/>
      </c>
      <c r="O788" s="65" t="str">
        <f aca="false">IF($K788="Open",IF($C788="Conflict","decide "&amp;$A788&amp;": &lt;which version stands&gt;","decide "&amp;$A788&amp;": &lt;outcome&gt;"),IF($K788="Unconfirmed","confirm "&amp;$A788,""))</f>
        <v/>
      </c>
      <c r="P788" s="65" t="str">
        <f aca="false">IF(AND($C788="New",$B788&gt;=WeekStart),$B788+ROW()/100000,"")</f>
        <v/>
      </c>
      <c r="Q788" s="65" t="str">
        <f aca="false">IF(AND($C788="Know",$B788&gt;=WeekStart),$B788+ROW()/100000,"")</f>
        <v/>
      </c>
      <c r="R788" s="65" t="str">
        <f aca="false">IF(AND($K788="Open",$C788="Decision"),$L788+ROW()/100000,"")</f>
        <v/>
      </c>
      <c r="S788" s="65" t="str">
        <f aca="false">IF(AND($J788&lt;&gt;"",$J788=UCSel),$B788+ROW()/100000,"")</f>
        <v/>
      </c>
    </row>
    <row r="789" customFormat="false" ht="15" hidden="false" customHeight="false" outlineLevel="0" collapsed="false">
      <c r="A789" s="28"/>
      <c r="B789" s="63"/>
      <c r="C789" s="64"/>
      <c r="D789" s="28"/>
      <c r="E789" s="28"/>
      <c r="F789" s="28"/>
      <c r="G789" s="64"/>
      <c r="H789" s="64"/>
      <c r="I789" s="28"/>
      <c r="J789" s="28"/>
      <c r="K789" s="65" t="str">
        <f aca="false">IF($A789="","",IF(OR($C789="Decision",$C789="Conflict"),IF(COUNTIFS($I$2:$I$1001,$A789,$C$2:$C$1001,"Resolved")=0,"Open","Closed"),IF(AND($H789="Unconfirmed",OR($C789="New",$C789="Know")),IF(COUNTIFS($I$2:$I$1001,$A789,$C$2:$C$1001,"Confirmed")=0,"Unconfirmed","Confirmed"),"Logged")))</f>
        <v/>
      </c>
      <c r="L789" s="65" t="str">
        <f aca="false">IF($A789="","",AsOf-$B789)</f>
        <v/>
      </c>
      <c r="M789" s="65" t="str">
        <f aca="false">IF($K789="Open",IF($C789="Conflict","Critical",IF($L789&gt;=DecisionCritical,"Critical",IF($L789&gt;=DecisionWarn,"Warning","On track"))),IF($K789="Unconfirmed",IF($L789&gt;=UnconfirmedWarn,"Warning","On track"),""))</f>
        <v/>
      </c>
      <c r="N789" s="65" t="str">
        <f aca="false">IF($M789="","",IF($M789="Critical",3000,IF($M789="Warning",2000,1000))+$L789+ROW()/100000)</f>
        <v/>
      </c>
      <c r="O789" s="65" t="str">
        <f aca="false">IF($K789="Open",IF($C789="Conflict","decide "&amp;$A789&amp;": &lt;which version stands&gt;","decide "&amp;$A789&amp;": &lt;outcome&gt;"),IF($K789="Unconfirmed","confirm "&amp;$A789,""))</f>
        <v/>
      </c>
      <c r="P789" s="65" t="str">
        <f aca="false">IF(AND($C789="New",$B789&gt;=WeekStart),$B789+ROW()/100000,"")</f>
        <v/>
      </c>
      <c r="Q789" s="65" t="str">
        <f aca="false">IF(AND($C789="Know",$B789&gt;=WeekStart),$B789+ROW()/100000,"")</f>
        <v/>
      </c>
      <c r="R789" s="65" t="str">
        <f aca="false">IF(AND($K789="Open",$C789="Decision"),$L789+ROW()/100000,"")</f>
        <v/>
      </c>
      <c r="S789" s="65" t="str">
        <f aca="false">IF(AND($J789&lt;&gt;"",$J789=UCSel),$B789+ROW()/100000,"")</f>
        <v/>
      </c>
    </row>
    <row r="790" customFormat="false" ht="15" hidden="false" customHeight="false" outlineLevel="0" collapsed="false">
      <c r="A790" s="28"/>
      <c r="B790" s="63"/>
      <c r="C790" s="64"/>
      <c r="D790" s="28"/>
      <c r="E790" s="28"/>
      <c r="F790" s="28"/>
      <c r="G790" s="64"/>
      <c r="H790" s="64"/>
      <c r="I790" s="28"/>
      <c r="J790" s="28"/>
      <c r="K790" s="65" t="str">
        <f aca="false">IF($A790="","",IF(OR($C790="Decision",$C790="Conflict"),IF(COUNTIFS($I$2:$I$1001,$A790,$C$2:$C$1001,"Resolved")=0,"Open","Closed"),IF(AND($H790="Unconfirmed",OR($C790="New",$C790="Know")),IF(COUNTIFS($I$2:$I$1001,$A790,$C$2:$C$1001,"Confirmed")=0,"Unconfirmed","Confirmed"),"Logged")))</f>
        <v/>
      </c>
      <c r="L790" s="65" t="str">
        <f aca="false">IF($A790="","",AsOf-$B790)</f>
        <v/>
      </c>
      <c r="M790" s="65" t="str">
        <f aca="false">IF($K790="Open",IF($C790="Conflict","Critical",IF($L790&gt;=DecisionCritical,"Critical",IF($L790&gt;=DecisionWarn,"Warning","On track"))),IF($K790="Unconfirmed",IF($L790&gt;=UnconfirmedWarn,"Warning","On track"),""))</f>
        <v/>
      </c>
      <c r="N790" s="65" t="str">
        <f aca="false">IF($M790="","",IF($M790="Critical",3000,IF($M790="Warning",2000,1000))+$L790+ROW()/100000)</f>
        <v/>
      </c>
      <c r="O790" s="65" t="str">
        <f aca="false">IF($K790="Open",IF($C790="Conflict","decide "&amp;$A790&amp;": &lt;which version stands&gt;","decide "&amp;$A790&amp;": &lt;outcome&gt;"),IF($K790="Unconfirmed","confirm "&amp;$A790,""))</f>
        <v/>
      </c>
      <c r="P790" s="65" t="str">
        <f aca="false">IF(AND($C790="New",$B790&gt;=WeekStart),$B790+ROW()/100000,"")</f>
        <v/>
      </c>
      <c r="Q790" s="65" t="str">
        <f aca="false">IF(AND($C790="Know",$B790&gt;=WeekStart),$B790+ROW()/100000,"")</f>
        <v/>
      </c>
      <c r="R790" s="65" t="str">
        <f aca="false">IF(AND($K790="Open",$C790="Decision"),$L790+ROW()/100000,"")</f>
        <v/>
      </c>
      <c r="S790" s="65" t="str">
        <f aca="false">IF(AND($J790&lt;&gt;"",$J790=UCSel),$B790+ROW()/100000,"")</f>
        <v/>
      </c>
    </row>
    <row r="791" customFormat="false" ht="15" hidden="false" customHeight="false" outlineLevel="0" collapsed="false">
      <c r="A791" s="28"/>
      <c r="B791" s="63"/>
      <c r="C791" s="64"/>
      <c r="D791" s="28"/>
      <c r="E791" s="28"/>
      <c r="F791" s="28"/>
      <c r="G791" s="64"/>
      <c r="H791" s="64"/>
      <c r="I791" s="28"/>
      <c r="J791" s="28"/>
      <c r="K791" s="65" t="str">
        <f aca="false">IF($A791="","",IF(OR($C791="Decision",$C791="Conflict"),IF(COUNTIFS($I$2:$I$1001,$A791,$C$2:$C$1001,"Resolved")=0,"Open","Closed"),IF(AND($H791="Unconfirmed",OR($C791="New",$C791="Know")),IF(COUNTIFS($I$2:$I$1001,$A791,$C$2:$C$1001,"Confirmed")=0,"Unconfirmed","Confirmed"),"Logged")))</f>
        <v/>
      </c>
      <c r="L791" s="65" t="str">
        <f aca="false">IF($A791="","",AsOf-$B791)</f>
        <v/>
      </c>
      <c r="M791" s="65" t="str">
        <f aca="false">IF($K791="Open",IF($C791="Conflict","Critical",IF($L791&gt;=DecisionCritical,"Critical",IF($L791&gt;=DecisionWarn,"Warning","On track"))),IF($K791="Unconfirmed",IF($L791&gt;=UnconfirmedWarn,"Warning","On track"),""))</f>
        <v/>
      </c>
      <c r="N791" s="65" t="str">
        <f aca="false">IF($M791="","",IF($M791="Critical",3000,IF($M791="Warning",2000,1000))+$L791+ROW()/100000)</f>
        <v/>
      </c>
      <c r="O791" s="65" t="str">
        <f aca="false">IF($K791="Open",IF($C791="Conflict","decide "&amp;$A791&amp;": &lt;which version stands&gt;","decide "&amp;$A791&amp;": &lt;outcome&gt;"),IF($K791="Unconfirmed","confirm "&amp;$A791,""))</f>
        <v/>
      </c>
      <c r="P791" s="65" t="str">
        <f aca="false">IF(AND($C791="New",$B791&gt;=WeekStart),$B791+ROW()/100000,"")</f>
        <v/>
      </c>
      <c r="Q791" s="65" t="str">
        <f aca="false">IF(AND($C791="Know",$B791&gt;=WeekStart),$B791+ROW()/100000,"")</f>
        <v/>
      </c>
      <c r="R791" s="65" t="str">
        <f aca="false">IF(AND($K791="Open",$C791="Decision"),$L791+ROW()/100000,"")</f>
        <v/>
      </c>
      <c r="S791" s="65" t="str">
        <f aca="false">IF(AND($J791&lt;&gt;"",$J791=UCSel),$B791+ROW()/100000,"")</f>
        <v/>
      </c>
    </row>
    <row r="792" customFormat="false" ht="15" hidden="false" customHeight="false" outlineLevel="0" collapsed="false">
      <c r="A792" s="28"/>
      <c r="B792" s="63"/>
      <c r="C792" s="64"/>
      <c r="D792" s="28"/>
      <c r="E792" s="28"/>
      <c r="F792" s="28"/>
      <c r="G792" s="64"/>
      <c r="H792" s="64"/>
      <c r="I792" s="28"/>
      <c r="J792" s="28"/>
      <c r="K792" s="65" t="str">
        <f aca="false">IF($A792="","",IF(OR($C792="Decision",$C792="Conflict"),IF(COUNTIFS($I$2:$I$1001,$A792,$C$2:$C$1001,"Resolved")=0,"Open","Closed"),IF(AND($H792="Unconfirmed",OR($C792="New",$C792="Know")),IF(COUNTIFS($I$2:$I$1001,$A792,$C$2:$C$1001,"Confirmed")=0,"Unconfirmed","Confirmed"),"Logged")))</f>
        <v/>
      </c>
      <c r="L792" s="65" t="str">
        <f aca="false">IF($A792="","",AsOf-$B792)</f>
        <v/>
      </c>
      <c r="M792" s="65" t="str">
        <f aca="false">IF($K792="Open",IF($C792="Conflict","Critical",IF($L792&gt;=DecisionCritical,"Critical",IF($L792&gt;=DecisionWarn,"Warning","On track"))),IF($K792="Unconfirmed",IF($L792&gt;=UnconfirmedWarn,"Warning","On track"),""))</f>
        <v/>
      </c>
      <c r="N792" s="65" t="str">
        <f aca="false">IF($M792="","",IF($M792="Critical",3000,IF($M792="Warning",2000,1000))+$L792+ROW()/100000)</f>
        <v/>
      </c>
      <c r="O792" s="65" t="str">
        <f aca="false">IF($K792="Open",IF($C792="Conflict","decide "&amp;$A792&amp;": &lt;which version stands&gt;","decide "&amp;$A792&amp;": &lt;outcome&gt;"),IF($K792="Unconfirmed","confirm "&amp;$A792,""))</f>
        <v/>
      </c>
      <c r="P792" s="65" t="str">
        <f aca="false">IF(AND($C792="New",$B792&gt;=WeekStart),$B792+ROW()/100000,"")</f>
        <v/>
      </c>
      <c r="Q792" s="65" t="str">
        <f aca="false">IF(AND($C792="Know",$B792&gt;=WeekStart),$B792+ROW()/100000,"")</f>
        <v/>
      </c>
      <c r="R792" s="65" t="str">
        <f aca="false">IF(AND($K792="Open",$C792="Decision"),$L792+ROW()/100000,"")</f>
        <v/>
      </c>
      <c r="S792" s="65" t="str">
        <f aca="false">IF(AND($J792&lt;&gt;"",$J792=UCSel),$B792+ROW()/100000,"")</f>
        <v/>
      </c>
    </row>
    <row r="793" customFormat="false" ht="15" hidden="false" customHeight="false" outlineLevel="0" collapsed="false">
      <c r="A793" s="28"/>
      <c r="B793" s="63"/>
      <c r="C793" s="64"/>
      <c r="D793" s="28"/>
      <c r="E793" s="28"/>
      <c r="F793" s="28"/>
      <c r="G793" s="64"/>
      <c r="H793" s="64"/>
      <c r="I793" s="28"/>
      <c r="J793" s="28"/>
      <c r="K793" s="65" t="str">
        <f aca="false">IF($A793="","",IF(OR($C793="Decision",$C793="Conflict"),IF(COUNTIFS($I$2:$I$1001,$A793,$C$2:$C$1001,"Resolved")=0,"Open","Closed"),IF(AND($H793="Unconfirmed",OR($C793="New",$C793="Know")),IF(COUNTIFS($I$2:$I$1001,$A793,$C$2:$C$1001,"Confirmed")=0,"Unconfirmed","Confirmed"),"Logged")))</f>
        <v/>
      </c>
      <c r="L793" s="65" t="str">
        <f aca="false">IF($A793="","",AsOf-$B793)</f>
        <v/>
      </c>
      <c r="M793" s="65" t="str">
        <f aca="false">IF($K793="Open",IF($C793="Conflict","Critical",IF($L793&gt;=DecisionCritical,"Critical",IF($L793&gt;=DecisionWarn,"Warning","On track"))),IF($K793="Unconfirmed",IF($L793&gt;=UnconfirmedWarn,"Warning","On track"),""))</f>
        <v/>
      </c>
      <c r="N793" s="65" t="str">
        <f aca="false">IF($M793="","",IF($M793="Critical",3000,IF($M793="Warning",2000,1000))+$L793+ROW()/100000)</f>
        <v/>
      </c>
      <c r="O793" s="65" t="str">
        <f aca="false">IF($K793="Open",IF($C793="Conflict","decide "&amp;$A793&amp;": &lt;which version stands&gt;","decide "&amp;$A793&amp;": &lt;outcome&gt;"),IF($K793="Unconfirmed","confirm "&amp;$A793,""))</f>
        <v/>
      </c>
      <c r="P793" s="65" t="str">
        <f aca="false">IF(AND($C793="New",$B793&gt;=WeekStart),$B793+ROW()/100000,"")</f>
        <v/>
      </c>
      <c r="Q793" s="65" t="str">
        <f aca="false">IF(AND($C793="Know",$B793&gt;=WeekStart),$B793+ROW()/100000,"")</f>
        <v/>
      </c>
      <c r="R793" s="65" t="str">
        <f aca="false">IF(AND($K793="Open",$C793="Decision"),$L793+ROW()/100000,"")</f>
        <v/>
      </c>
      <c r="S793" s="65" t="str">
        <f aca="false">IF(AND($J793&lt;&gt;"",$J793=UCSel),$B793+ROW()/100000,"")</f>
        <v/>
      </c>
    </row>
    <row r="794" customFormat="false" ht="15" hidden="false" customHeight="false" outlineLevel="0" collapsed="false">
      <c r="A794" s="28"/>
      <c r="B794" s="63"/>
      <c r="C794" s="64"/>
      <c r="D794" s="28"/>
      <c r="E794" s="28"/>
      <c r="F794" s="28"/>
      <c r="G794" s="64"/>
      <c r="H794" s="64"/>
      <c r="I794" s="28"/>
      <c r="J794" s="28"/>
      <c r="K794" s="65" t="str">
        <f aca="false">IF($A794="","",IF(OR($C794="Decision",$C794="Conflict"),IF(COUNTIFS($I$2:$I$1001,$A794,$C$2:$C$1001,"Resolved")=0,"Open","Closed"),IF(AND($H794="Unconfirmed",OR($C794="New",$C794="Know")),IF(COUNTIFS($I$2:$I$1001,$A794,$C$2:$C$1001,"Confirmed")=0,"Unconfirmed","Confirmed"),"Logged")))</f>
        <v/>
      </c>
      <c r="L794" s="65" t="str">
        <f aca="false">IF($A794="","",AsOf-$B794)</f>
        <v/>
      </c>
      <c r="M794" s="65" t="str">
        <f aca="false">IF($K794="Open",IF($C794="Conflict","Critical",IF($L794&gt;=DecisionCritical,"Critical",IF($L794&gt;=DecisionWarn,"Warning","On track"))),IF($K794="Unconfirmed",IF($L794&gt;=UnconfirmedWarn,"Warning","On track"),""))</f>
        <v/>
      </c>
      <c r="N794" s="65" t="str">
        <f aca="false">IF($M794="","",IF($M794="Critical",3000,IF($M794="Warning",2000,1000))+$L794+ROW()/100000)</f>
        <v/>
      </c>
      <c r="O794" s="65" t="str">
        <f aca="false">IF($K794="Open",IF($C794="Conflict","decide "&amp;$A794&amp;": &lt;which version stands&gt;","decide "&amp;$A794&amp;": &lt;outcome&gt;"),IF($K794="Unconfirmed","confirm "&amp;$A794,""))</f>
        <v/>
      </c>
      <c r="P794" s="65" t="str">
        <f aca="false">IF(AND($C794="New",$B794&gt;=WeekStart),$B794+ROW()/100000,"")</f>
        <v/>
      </c>
      <c r="Q794" s="65" t="str">
        <f aca="false">IF(AND($C794="Know",$B794&gt;=WeekStart),$B794+ROW()/100000,"")</f>
        <v/>
      </c>
      <c r="R794" s="65" t="str">
        <f aca="false">IF(AND($K794="Open",$C794="Decision"),$L794+ROW()/100000,"")</f>
        <v/>
      </c>
      <c r="S794" s="65" t="str">
        <f aca="false">IF(AND($J794&lt;&gt;"",$J794=UCSel),$B794+ROW()/100000,"")</f>
        <v/>
      </c>
    </row>
    <row r="795" customFormat="false" ht="15" hidden="false" customHeight="false" outlineLevel="0" collapsed="false">
      <c r="A795" s="28"/>
      <c r="B795" s="63"/>
      <c r="C795" s="64"/>
      <c r="D795" s="28"/>
      <c r="E795" s="28"/>
      <c r="F795" s="28"/>
      <c r="G795" s="64"/>
      <c r="H795" s="64"/>
      <c r="I795" s="28"/>
      <c r="J795" s="28"/>
      <c r="K795" s="65" t="str">
        <f aca="false">IF($A795="","",IF(OR($C795="Decision",$C795="Conflict"),IF(COUNTIFS($I$2:$I$1001,$A795,$C$2:$C$1001,"Resolved")=0,"Open","Closed"),IF(AND($H795="Unconfirmed",OR($C795="New",$C795="Know")),IF(COUNTIFS($I$2:$I$1001,$A795,$C$2:$C$1001,"Confirmed")=0,"Unconfirmed","Confirmed"),"Logged")))</f>
        <v/>
      </c>
      <c r="L795" s="65" t="str">
        <f aca="false">IF($A795="","",AsOf-$B795)</f>
        <v/>
      </c>
      <c r="M795" s="65" t="str">
        <f aca="false">IF($K795="Open",IF($C795="Conflict","Critical",IF($L795&gt;=DecisionCritical,"Critical",IF($L795&gt;=DecisionWarn,"Warning","On track"))),IF($K795="Unconfirmed",IF($L795&gt;=UnconfirmedWarn,"Warning","On track"),""))</f>
        <v/>
      </c>
      <c r="N795" s="65" t="str">
        <f aca="false">IF($M795="","",IF($M795="Critical",3000,IF($M795="Warning",2000,1000))+$L795+ROW()/100000)</f>
        <v/>
      </c>
      <c r="O795" s="65" t="str">
        <f aca="false">IF($K795="Open",IF($C795="Conflict","decide "&amp;$A795&amp;": &lt;which version stands&gt;","decide "&amp;$A795&amp;": &lt;outcome&gt;"),IF($K795="Unconfirmed","confirm "&amp;$A795,""))</f>
        <v/>
      </c>
      <c r="P795" s="65" t="str">
        <f aca="false">IF(AND($C795="New",$B795&gt;=WeekStart),$B795+ROW()/100000,"")</f>
        <v/>
      </c>
      <c r="Q795" s="65" t="str">
        <f aca="false">IF(AND($C795="Know",$B795&gt;=WeekStart),$B795+ROW()/100000,"")</f>
        <v/>
      </c>
      <c r="R795" s="65" t="str">
        <f aca="false">IF(AND($K795="Open",$C795="Decision"),$L795+ROW()/100000,"")</f>
        <v/>
      </c>
      <c r="S795" s="65" t="str">
        <f aca="false">IF(AND($J795&lt;&gt;"",$J795=UCSel),$B795+ROW()/100000,"")</f>
        <v/>
      </c>
    </row>
    <row r="796" customFormat="false" ht="15" hidden="false" customHeight="false" outlineLevel="0" collapsed="false">
      <c r="A796" s="28"/>
      <c r="B796" s="63"/>
      <c r="C796" s="64"/>
      <c r="D796" s="28"/>
      <c r="E796" s="28"/>
      <c r="F796" s="28"/>
      <c r="G796" s="64"/>
      <c r="H796" s="64"/>
      <c r="I796" s="28"/>
      <c r="J796" s="28"/>
      <c r="K796" s="65" t="str">
        <f aca="false">IF($A796="","",IF(OR($C796="Decision",$C796="Conflict"),IF(COUNTIFS($I$2:$I$1001,$A796,$C$2:$C$1001,"Resolved")=0,"Open","Closed"),IF(AND($H796="Unconfirmed",OR($C796="New",$C796="Know")),IF(COUNTIFS($I$2:$I$1001,$A796,$C$2:$C$1001,"Confirmed")=0,"Unconfirmed","Confirmed"),"Logged")))</f>
        <v/>
      </c>
      <c r="L796" s="65" t="str">
        <f aca="false">IF($A796="","",AsOf-$B796)</f>
        <v/>
      </c>
      <c r="M796" s="65" t="str">
        <f aca="false">IF($K796="Open",IF($C796="Conflict","Critical",IF($L796&gt;=DecisionCritical,"Critical",IF($L796&gt;=DecisionWarn,"Warning","On track"))),IF($K796="Unconfirmed",IF($L796&gt;=UnconfirmedWarn,"Warning","On track"),""))</f>
        <v/>
      </c>
      <c r="N796" s="65" t="str">
        <f aca="false">IF($M796="","",IF($M796="Critical",3000,IF($M796="Warning",2000,1000))+$L796+ROW()/100000)</f>
        <v/>
      </c>
      <c r="O796" s="65" t="str">
        <f aca="false">IF($K796="Open",IF($C796="Conflict","decide "&amp;$A796&amp;": &lt;which version stands&gt;","decide "&amp;$A796&amp;": &lt;outcome&gt;"),IF($K796="Unconfirmed","confirm "&amp;$A796,""))</f>
        <v/>
      </c>
      <c r="P796" s="65" t="str">
        <f aca="false">IF(AND($C796="New",$B796&gt;=WeekStart),$B796+ROW()/100000,"")</f>
        <v/>
      </c>
      <c r="Q796" s="65" t="str">
        <f aca="false">IF(AND($C796="Know",$B796&gt;=WeekStart),$B796+ROW()/100000,"")</f>
        <v/>
      </c>
      <c r="R796" s="65" t="str">
        <f aca="false">IF(AND($K796="Open",$C796="Decision"),$L796+ROW()/100000,"")</f>
        <v/>
      </c>
      <c r="S796" s="65" t="str">
        <f aca="false">IF(AND($J796&lt;&gt;"",$J796=UCSel),$B796+ROW()/100000,"")</f>
        <v/>
      </c>
    </row>
    <row r="797" customFormat="false" ht="15" hidden="false" customHeight="false" outlineLevel="0" collapsed="false">
      <c r="A797" s="28"/>
      <c r="B797" s="63"/>
      <c r="C797" s="64"/>
      <c r="D797" s="28"/>
      <c r="E797" s="28"/>
      <c r="F797" s="28"/>
      <c r="G797" s="64"/>
      <c r="H797" s="64"/>
      <c r="I797" s="28"/>
      <c r="J797" s="28"/>
      <c r="K797" s="65" t="str">
        <f aca="false">IF($A797="","",IF(OR($C797="Decision",$C797="Conflict"),IF(COUNTIFS($I$2:$I$1001,$A797,$C$2:$C$1001,"Resolved")=0,"Open","Closed"),IF(AND($H797="Unconfirmed",OR($C797="New",$C797="Know")),IF(COUNTIFS($I$2:$I$1001,$A797,$C$2:$C$1001,"Confirmed")=0,"Unconfirmed","Confirmed"),"Logged")))</f>
        <v/>
      </c>
      <c r="L797" s="65" t="str">
        <f aca="false">IF($A797="","",AsOf-$B797)</f>
        <v/>
      </c>
      <c r="M797" s="65" t="str">
        <f aca="false">IF($K797="Open",IF($C797="Conflict","Critical",IF($L797&gt;=DecisionCritical,"Critical",IF($L797&gt;=DecisionWarn,"Warning","On track"))),IF($K797="Unconfirmed",IF($L797&gt;=UnconfirmedWarn,"Warning","On track"),""))</f>
        <v/>
      </c>
      <c r="N797" s="65" t="str">
        <f aca="false">IF($M797="","",IF($M797="Critical",3000,IF($M797="Warning",2000,1000))+$L797+ROW()/100000)</f>
        <v/>
      </c>
      <c r="O797" s="65" t="str">
        <f aca="false">IF($K797="Open",IF($C797="Conflict","decide "&amp;$A797&amp;": &lt;which version stands&gt;","decide "&amp;$A797&amp;": &lt;outcome&gt;"),IF($K797="Unconfirmed","confirm "&amp;$A797,""))</f>
        <v/>
      </c>
      <c r="P797" s="65" t="str">
        <f aca="false">IF(AND($C797="New",$B797&gt;=WeekStart),$B797+ROW()/100000,"")</f>
        <v/>
      </c>
      <c r="Q797" s="65" t="str">
        <f aca="false">IF(AND($C797="Know",$B797&gt;=WeekStart),$B797+ROW()/100000,"")</f>
        <v/>
      </c>
      <c r="R797" s="65" t="str">
        <f aca="false">IF(AND($K797="Open",$C797="Decision"),$L797+ROW()/100000,"")</f>
        <v/>
      </c>
      <c r="S797" s="65" t="str">
        <f aca="false">IF(AND($J797&lt;&gt;"",$J797=UCSel),$B797+ROW()/100000,"")</f>
        <v/>
      </c>
    </row>
    <row r="798" customFormat="false" ht="15" hidden="false" customHeight="false" outlineLevel="0" collapsed="false">
      <c r="A798" s="28"/>
      <c r="B798" s="63"/>
      <c r="C798" s="64"/>
      <c r="D798" s="28"/>
      <c r="E798" s="28"/>
      <c r="F798" s="28"/>
      <c r="G798" s="64"/>
      <c r="H798" s="64"/>
      <c r="I798" s="28"/>
      <c r="J798" s="28"/>
      <c r="K798" s="65" t="str">
        <f aca="false">IF($A798="","",IF(OR($C798="Decision",$C798="Conflict"),IF(COUNTIFS($I$2:$I$1001,$A798,$C$2:$C$1001,"Resolved")=0,"Open","Closed"),IF(AND($H798="Unconfirmed",OR($C798="New",$C798="Know")),IF(COUNTIFS($I$2:$I$1001,$A798,$C$2:$C$1001,"Confirmed")=0,"Unconfirmed","Confirmed"),"Logged")))</f>
        <v/>
      </c>
      <c r="L798" s="65" t="str">
        <f aca="false">IF($A798="","",AsOf-$B798)</f>
        <v/>
      </c>
      <c r="M798" s="65" t="str">
        <f aca="false">IF($K798="Open",IF($C798="Conflict","Critical",IF($L798&gt;=DecisionCritical,"Critical",IF($L798&gt;=DecisionWarn,"Warning","On track"))),IF($K798="Unconfirmed",IF($L798&gt;=UnconfirmedWarn,"Warning","On track"),""))</f>
        <v/>
      </c>
      <c r="N798" s="65" t="str">
        <f aca="false">IF($M798="","",IF($M798="Critical",3000,IF($M798="Warning",2000,1000))+$L798+ROW()/100000)</f>
        <v/>
      </c>
      <c r="O798" s="65" t="str">
        <f aca="false">IF($K798="Open",IF($C798="Conflict","decide "&amp;$A798&amp;": &lt;which version stands&gt;","decide "&amp;$A798&amp;": &lt;outcome&gt;"),IF($K798="Unconfirmed","confirm "&amp;$A798,""))</f>
        <v/>
      </c>
      <c r="P798" s="65" t="str">
        <f aca="false">IF(AND($C798="New",$B798&gt;=WeekStart),$B798+ROW()/100000,"")</f>
        <v/>
      </c>
      <c r="Q798" s="65" t="str">
        <f aca="false">IF(AND($C798="Know",$B798&gt;=WeekStart),$B798+ROW()/100000,"")</f>
        <v/>
      </c>
      <c r="R798" s="65" t="str">
        <f aca="false">IF(AND($K798="Open",$C798="Decision"),$L798+ROW()/100000,"")</f>
        <v/>
      </c>
      <c r="S798" s="65" t="str">
        <f aca="false">IF(AND($J798&lt;&gt;"",$J798=UCSel),$B798+ROW()/100000,"")</f>
        <v/>
      </c>
    </row>
    <row r="799" customFormat="false" ht="15" hidden="false" customHeight="false" outlineLevel="0" collapsed="false">
      <c r="A799" s="28"/>
      <c r="B799" s="63"/>
      <c r="C799" s="64"/>
      <c r="D799" s="28"/>
      <c r="E799" s="28"/>
      <c r="F799" s="28"/>
      <c r="G799" s="64"/>
      <c r="H799" s="64"/>
      <c r="I799" s="28"/>
      <c r="J799" s="28"/>
      <c r="K799" s="65" t="str">
        <f aca="false">IF($A799="","",IF(OR($C799="Decision",$C799="Conflict"),IF(COUNTIFS($I$2:$I$1001,$A799,$C$2:$C$1001,"Resolved")=0,"Open","Closed"),IF(AND($H799="Unconfirmed",OR($C799="New",$C799="Know")),IF(COUNTIFS($I$2:$I$1001,$A799,$C$2:$C$1001,"Confirmed")=0,"Unconfirmed","Confirmed"),"Logged")))</f>
        <v/>
      </c>
      <c r="L799" s="65" t="str">
        <f aca="false">IF($A799="","",AsOf-$B799)</f>
        <v/>
      </c>
      <c r="M799" s="65" t="str">
        <f aca="false">IF($K799="Open",IF($C799="Conflict","Critical",IF($L799&gt;=DecisionCritical,"Critical",IF($L799&gt;=DecisionWarn,"Warning","On track"))),IF($K799="Unconfirmed",IF($L799&gt;=UnconfirmedWarn,"Warning","On track"),""))</f>
        <v/>
      </c>
      <c r="N799" s="65" t="str">
        <f aca="false">IF($M799="","",IF($M799="Critical",3000,IF($M799="Warning",2000,1000))+$L799+ROW()/100000)</f>
        <v/>
      </c>
      <c r="O799" s="65" t="str">
        <f aca="false">IF($K799="Open",IF($C799="Conflict","decide "&amp;$A799&amp;": &lt;which version stands&gt;","decide "&amp;$A799&amp;": &lt;outcome&gt;"),IF($K799="Unconfirmed","confirm "&amp;$A799,""))</f>
        <v/>
      </c>
      <c r="P799" s="65" t="str">
        <f aca="false">IF(AND($C799="New",$B799&gt;=WeekStart),$B799+ROW()/100000,"")</f>
        <v/>
      </c>
      <c r="Q799" s="65" t="str">
        <f aca="false">IF(AND($C799="Know",$B799&gt;=WeekStart),$B799+ROW()/100000,"")</f>
        <v/>
      </c>
      <c r="R799" s="65" t="str">
        <f aca="false">IF(AND($K799="Open",$C799="Decision"),$L799+ROW()/100000,"")</f>
        <v/>
      </c>
      <c r="S799" s="65" t="str">
        <f aca="false">IF(AND($J799&lt;&gt;"",$J799=UCSel),$B799+ROW()/100000,"")</f>
        <v/>
      </c>
    </row>
    <row r="800" customFormat="false" ht="15" hidden="false" customHeight="false" outlineLevel="0" collapsed="false">
      <c r="A800" s="28"/>
      <c r="B800" s="63"/>
      <c r="C800" s="64"/>
      <c r="D800" s="28"/>
      <c r="E800" s="28"/>
      <c r="F800" s="28"/>
      <c r="G800" s="64"/>
      <c r="H800" s="64"/>
      <c r="I800" s="28"/>
      <c r="J800" s="28"/>
      <c r="K800" s="65" t="str">
        <f aca="false">IF($A800="","",IF(OR($C800="Decision",$C800="Conflict"),IF(COUNTIFS($I$2:$I$1001,$A800,$C$2:$C$1001,"Resolved")=0,"Open","Closed"),IF(AND($H800="Unconfirmed",OR($C800="New",$C800="Know")),IF(COUNTIFS($I$2:$I$1001,$A800,$C$2:$C$1001,"Confirmed")=0,"Unconfirmed","Confirmed"),"Logged")))</f>
        <v/>
      </c>
      <c r="L800" s="65" t="str">
        <f aca="false">IF($A800="","",AsOf-$B800)</f>
        <v/>
      </c>
      <c r="M800" s="65" t="str">
        <f aca="false">IF($K800="Open",IF($C800="Conflict","Critical",IF($L800&gt;=DecisionCritical,"Critical",IF($L800&gt;=DecisionWarn,"Warning","On track"))),IF($K800="Unconfirmed",IF($L800&gt;=UnconfirmedWarn,"Warning","On track"),""))</f>
        <v/>
      </c>
      <c r="N800" s="65" t="str">
        <f aca="false">IF($M800="","",IF($M800="Critical",3000,IF($M800="Warning",2000,1000))+$L800+ROW()/100000)</f>
        <v/>
      </c>
      <c r="O800" s="65" t="str">
        <f aca="false">IF($K800="Open",IF($C800="Conflict","decide "&amp;$A800&amp;": &lt;which version stands&gt;","decide "&amp;$A800&amp;": &lt;outcome&gt;"),IF($K800="Unconfirmed","confirm "&amp;$A800,""))</f>
        <v/>
      </c>
      <c r="P800" s="65" t="str">
        <f aca="false">IF(AND($C800="New",$B800&gt;=WeekStart),$B800+ROW()/100000,"")</f>
        <v/>
      </c>
      <c r="Q800" s="65" t="str">
        <f aca="false">IF(AND($C800="Know",$B800&gt;=WeekStart),$B800+ROW()/100000,"")</f>
        <v/>
      </c>
      <c r="R800" s="65" t="str">
        <f aca="false">IF(AND($K800="Open",$C800="Decision"),$L800+ROW()/100000,"")</f>
        <v/>
      </c>
      <c r="S800" s="65" t="str">
        <f aca="false">IF(AND($J800&lt;&gt;"",$J800=UCSel),$B800+ROW()/100000,"")</f>
        <v/>
      </c>
    </row>
    <row r="801" customFormat="false" ht="15" hidden="false" customHeight="false" outlineLevel="0" collapsed="false">
      <c r="A801" s="28"/>
      <c r="B801" s="63"/>
      <c r="C801" s="64"/>
      <c r="D801" s="28"/>
      <c r="E801" s="28"/>
      <c r="F801" s="28"/>
      <c r="G801" s="64"/>
      <c r="H801" s="64"/>
      <c r="I801" s="28"/>
      <c r="J801" s="28"/>
      <c r="K801" s="65" t="str">
        <f aca="false">IF($A801="","",IF(OR($C801="Decision",$C801="Conflict"),IF(COUNTIFS($I$2:$I$1001,$A801,$C$2:$C$1001,"Resolved")=0,"Open","Closed"),IF(AND($H801="Unconfirmed",OR($C801="New",$C801="Know")),IF(COUNTIFS($I$2:$I$1001,$A801,$C$2:$C$1001,"Confirmed")=0,"Unconfirmed","Confirmed"),"Logged")))</f>
        <v/>
      </c>
      <c r="L801" s="65" t="str">
        <f aca="false">IF($A801="","",AsOf-$B801)</f>
        <v/>
      </c>
      <c r="M801" s="65" t="str">
        <f aca="false">IF($K801="Open",IF($C801="Conflict","Critical",IF($L801&gt;=DecisionCritical,"Critical",IF($L801&gt;=DecisionWarn,"Warning","On track"))),IF($K801="Unconfirmed",IF($L801&gt;=UnconfirmedWarn,"Warning","On track"),""))</f>
        <v/>
      </c>
      <c r="N801" s="65" t="str">
        <f aca="false">IF($M801="","",IF($M801="Critical",3000,IF($M801="Warning",2000,1000))+$L801+ROW()/100000)</f>
        <v/>
      </c>
      <c r="O801" s="65" t="str">
        <f aca="false">IF($K801="Open",IF($C801="Conflict","decide "&amp;$A801&amp;": &lt;which version stands&gt;","decide "&amp;$A801&amp;": &lt;outcome&gt;"),IF($K801="Unconfirmed","confirm "&amp;$A801,""))</f>
        <v/>
      </c>
      <c r="P801" s="65" t="str">
        <f aca="false">IF(AND($C801="New",$B801&gt;=WeekStart),$B801+ROW()/100000,"")</f>
        <v/>
      </c>
      <c r="Q801" s="65" t="str">
        <f aca="false">IF(AND($C801="Know",$B801&gt;=WeekStart),$B801+ROW()/100000,"")</f>
        <v/>
      </c>
      <c r="R801" s="65" t="str">
        <f aca="false">IF(AND($K801="Open",$C801="Decision"),$L801+ROW()/100000,"")</f>
        <v/>
      </c>
      <c r="S801" s="65" t="str">
        <f aca="false">IF(AND($J801&lt;&gt;"",$J801=UCSel),$B801+ROW()/100000,"")</f>
        <v/>
      </c>
    </row>
    <row r="802" customFormat="false" ht="15" hidden="false" customHeight="false" outlineLevel="0" collapsed="false">
      <c r="A802" s="28"/>
      <c r="B802" s="63"/>
      <c r="C802" s="64"/>
      <c r="D802" s="28"/>
      <c r="E802" s="28"/>
      <c r="F802" s="28"/>
      <c r="G802" s="64"/>
      <c r="H802" s="64"/>
      <c r="I802" s="28"/>
      <c r="J802" s="28"/>
      <c r="K802" s="65" t="str">
        <f aca="false">IF($A802="","",IF(OR($C802="Decision",$C802="Conflict"),IF(COUNTIFS($I$2:$I$1001,$A802,$C$2:$C$1001,"Resolved")=0,"Open","Closed"),IF(AND($H802="Unconfirmed",OR($C802="New",$C802="Know")),IF(COUNTIFS($I$2:$I$1001,$A802,$C$2:$C$1001,"Confirmed")=0,"Unconfirmed","Confirmed"),"Logged")))</f>
        <v/>
      </c>
      <c r="L802" s="65" t="str">
        <f aca="false">IF($A802="","",AsOf-$B802)</f>
        <v/>
      </c>
      <c r="M802" s="65" t="str">
        <f aca="false">IF($K802="Open",IF($C802="Conflict","Critical",IF($L802&gt;=DecisionCritical,"Critical",IF($L802&gt;=DecisionWarn,"Warning","On track"))),IF($K802="Unconfirmed",IF($L802&gt;=UnconfirmedWarn,"Warning","On track"),""))</f>
        <v/>
      </c>
      <c r="N802" s="65" t="str">
        <f aca="false">IF($M802="","",IF($M802="Critical",3000,IF($M802="Warning",2000,1000))+$L802+ROW()/100000)</f>
        <v/>
      </c>
      <c r="O802" s="65" t="str">
        <f aca="false">IF($K802="Open",IF($C802="Conflict","decide "&amp;$A802&amp;": &lt;which version stands&gt;","decide "&amp;$A802&amp;": &lt;outcome&gt;"),IF($K802="Unconfirmed","confirm "&amp;$A802,""))</f>
        <v/>
      </c>
      <c r="P802" s="65" t="str">
        <f aca="false">IF(AND($C802="New",$B802&gt;=WeekStart),$B802+ROW()/100000,"")</f>
        <v/>
      </c>
      <c r="Q802" s="65" t="str">
        <f aca="false">IF(AND($C802="Know",$B802&gt;=WeekStart),$B802+ROW()/100000,"")</f>
        <v/>
      </c>
      <c r="R802" s="65" t="str">
        <f aca="false">IF(AND($K802="Open",$C802="Decision"),$L802+ROW()/100000,"")</f>
        <v/>
      </c>
      <c r="S802" s="65" t="str">
        <f aca="false">IF(AND($J802&lt;&gt;"",$J802=UCSel),$B802+ROW()/100000,"")</f>
        <v/>
      </c>
    </row>
    <row r="803" customFormat="false" ht="15" hidden="false" customHeight="false" outlineLevel="0" collapsed="false">
      <c r="A803" s="28"/>
      <c r="B803" s="63"/>
      <c r="C803" s="64"/>
      <c r="D803" s="28"/>
      <c r="E803" s="28"/>
      <c r="F803" s="28"/>
      <c r="G803" s="64"/>
      <c r="H803" s="64"/>
      <c r="I803" s="28"/>
      <c r="J803" s="28"/>
      <c r="K803" s="65" t="str">
        <f aca="false">IF($A803="","",IF(OR($C803="Decision",$C803="Conflict"),IF(COUNTIFS($I$2:$I$1001,$A803,$C$2:$C$1001,"Resolved")=0,"Open","Closed"),IF(AND($H803="Unconfirmed",OR($C803="New",$C803="Know")),IF(COUNTIFS($I$2:$I$1001,$A803,$C$2:$C$1001,"Confirmed")=0,"Unconfirmed","Confirmed"),"Logged")))</f>
        <v/>
      </c>
      <c r="L803" s="65" t="str">
        <f aca="false">IF($A803="","",AsOf-$B803)</f>
        <v/>
      </c>
      <c r="M803" s="65" t="str">
        <f aca="false">IF($K803="Open",IF($C803="Conflict","Critical",IF($L803&gt;=DecisionCritical,"Critical",IF($L803&gt;=DecisionWarn,"Warning","On track"))),IF($K803="Unconfirmed",IF($L803&gt;=UnconfirmedWarn,"Warning","On track"),""))</f>
        <v/>
      </c>
      <c r="N803" s="65" t="str">
        <f aca="false">IF($M803="","",IF($M803="Critical",3000,IF($M803="Warning",2000,1000))+$L803+ROW()/100000)</f>
        <v/>
      </c>
      <c r="O803" s="65" t="str">
        <f aca="false">IF($K803="Open",IF($C803="Conflict","decide "&amp;$A803&amp;": &lt;which version stands&gt;","decide "&amp;$A803&amp;": &lt;outcome&gt;"),IF($K803="Unconfirmed","confirm "&amp;$A803,""))</f>
        <v/>
      </c>
      <c r="P803" s="65" t="str">
        <f aca="false">IF(AND($C803="New",$B803&gt;=WeekStart),$B803+ROW()/100000,"")</f>
        <v/>
      </c>
      <c r="Q803" s="65" t="str">
        <f aca="false">IF(AND($C803="Know",$B803&gt;=WeekStart),$B803+ROW()/100000,"")</f>
        <v/>
      </c>
      <c r="R803" s="65" t="str">
        <f aca="false">IF(AND($K803="Open",$C803="Decision"),$L803+ROW()/100000,"")</f>
        <v/>
      </c>
      <c r="S803" s="65" t="str">
        <f aca="false">IF(AND($J803&lt;&gt;"",$J803=UCSel),$B803+ROW()/100000,"")</f>
        <v/>
      </c>
    </row>
    <row r="804" customFormat="false" ht="15" hidden="false" customHeight="false" outlineLevel="0" collapsed="false">
      <c r="A804" s="28"/>
      <c r="B804" s="63"/>
      <c r="C804" s="64"/>
      <c r="D804" s="28"/>
      <c r="E804" s="28"/>
      <c r="F804" s="28"/>
      <c r="G804" s="64"/>
      <c r="H804" s="64"/>
      <c r="I804" s="28"/>
      <c r="J804" s="28"/>
      <c r="K804" s="65" t="str">
        <f aca="false">IF($A804="","",IF(OR($C804="Decision",$C804="Conflict"),IF(COUNTIFS($I$2:$I$1001,$A804,$C$2:$C$1001,"Resolved")=0,"Open","Closed"),IF(AND($H804="Unconfirmed",OR($C804="New",$C804="Know")),IF(COUNTIFS($I$2:$I$1001,$A804,$C$2:$C$1001,"Confirmed")=0,"Unconfirmed","Confirmed"),"Logged")))</f>
        <v/>
      </c>
      <c r="L804" s="65" t="str">
        <f aca="false">IF($A804="","",AsOf-$B804)</f>
        <v/>
      </c>
      <c r="M804" s="65" t="str">
        <f aca="false">IF($K804="Open",IF($C804="Conflict","Critical",IF($L804&gt;=DecisionCritical,"Critical",IF($L804&gt;=DecisionWarn,"Warning","On track"))),IF($K804="Unconfirmed",IF($L804&gt;=UnconfirmedWarn,"Warning","On track"),""))</f>
        <v/>
      </c>
      <c r="N804" s="65" t="str">
        <f aca="false">IF($M804="","",IF($M804="Critical",3000,IF($M804="Warning",2000,1000))+$L804+ROW()/100000)</f>
        <v/>
      </c>
      <c r="O804" s="65" t="str">
        <f aca="false">IF($K804="Open",IF($C804="Conflict","decide "&amp;$A804&amp;": &lt;which version stands&gt;","decide "&amp;$A804&amp;": &lt;outcome&gt;"),IF($K804="Unconfirmed","confirm "&amp;$A804,""))</f>
        <v/>
      </c>
      <c r="P804" s="65" t="str">
        <f aca="false">IF(AND($C804="New",$B804&gt;=WeekStart),$B804+ROW()/100000,"")</f>
        <v/>
      </c>
      <c r="Q804" s="65" t="str">
        <f aca="false">IF(AND($C804="Know",$B804&gt;=WeekStart),$B804+ROW()/100000,"")</f>
        <v/>
      </c>
      <c r="R804" s="65" t="str">
        <f aca="false">IF(AND($K804="Open",$C804="Decision"),$L804+ROW()/100000,"")</f>
        <v/>
      </c>
      <c r="S804" s="65" t="str">
        <f aca="false">IF(AND($J804&lt;&gt;"",$J804=UCSel),$B804+ROW()/100000,"")</f>
        <v/>
      </c>
    </row>
    <row r="805" customFormat="false" ht="15" hidden="false" customHeight="false" outlineLevel="0" collapsed="false">
      <c r="A805" s="28"/>
      <c r="B805" s="63"/>
      <c r="C805" s="64"/>
      <c r="D805" s="28"/>
      <c r="E805" s="28"/>
      <c r="F805" s="28"/>
      <c r="G805" s="64"/>
      <c r="H805" s="64"/>
      <c r="I805" s="28"/>
      <c r="J805" s="28"/>
      <c r="K805" s="65" t="str">
        <f aca="false">IF($A805="","",IF(OR($C805="Decision",$C805="Conflict"),IF(COUNTIFS($I$2:$I$1001,$A805,$C$2:$C$1001,"Resolved")=0,"Open","Closed"),IF(AND($H805="Unconfirmed",OR($C805="New",$C805="Know")),IF(COUNTIFS($I$2:$I$1001,$A805,$C$2:$C$1001,"Confirmed")=0,"Unconfirmed","Confirmed"),"Logged")))</f>
        <v/>
      </c>
      <c r="L805" s="65" t="str">
        <f aca="false">IF($A805="","",AsOf-$B805)</f>
        <v/>
      </c>
      <c r="M805" s="65" t="str">
        <f aca="false">IF($K805="Open",IF($C805="Conflict","Critical",IF($L805&gt;=DecisionCritical,"Critical",IF($L805&gt;=DecisionWarn,"Warning","On track"))),IF($K805="Unconfirmed",IF($L805&gt;=UnconfirmedWarn,"Warning","On track"),""))</f>
        <v/>
      </c>
      <c r="N805" s="65" t="str">
        <f aca="false">IF($M805="","",IF($M805="Critical",3000,IF($M805="Warning",2000,1000))+$L805+ROW()/100000)</f>
        <v/>
      </c>
      <c r="O805" s="65" t="str">
        <f aca="false">IF($K805="Open",IF($C805="Conflict","decide "&amp;$A805&amp;": &lt;which version stands&gt;","decide "&amp;$A805&amp;": &lt;outcome&gt;"),IF($K805="Unconfirmed","confirm "&amp;$A805,""))</f>
        <v/>
      </c>
      <c r="P805" s="65" t="str">
        <f aca="false">IF(AND($C805="New",$B805&gt;=WeekStart),$B805+ROW()/100000,"")</f>
        <v/>
      </c>
      <c r="Q805" s="65" t="str">
        <f aca="false">IF(AND($C805="Know",$B805&gt;=WeekStart),$B805+ROW()/100000,"")</f>
        <v/>
      </c>
      <c r="R805" s="65" t="str">
        <f aca="false">IF(AND($K805="Open",$C805="Decision"),$L805+ROW()/100000,"")</f>
        <v/>
      </c>
      <c r="S805" s="65" t="str">
        <f aca="false">IF(AND($J805&lt;&gt;"",$J805=UCSel),$B805+ROW()/100000,"")</f>
        <v/>
      </c>
    </row>
    <row r="806" customFormat="false" ht="15" hidden="false" customHeight="false" outlineLevel="0" collapsed="false">
      <c r="A806" s="28"/>
      <c r="B806" s="63"/>
      <c r="C806" s="64"/>
      <c r="D806" s="28"/>
      <c r="E806" s="28"/>
      <c r="F806" s="28"/>
      <c r="G806" s="64"/>
      <c r="H806" s="64"/>
      <c r="I806" s="28"/>
      <c r="J806" s="28"/>
      <c r="K806" s="65" t="str">
        <f aca="false">IF($A806="","",IF(OR($C806="Decision",$C806="Conflict"),IF(COUNTIFS($I$2:$I$1001,$A806,$C$2:$C$1001,"Resolved")=0,"Open","Closed"),IF(AND($H806="Unconfirmed",OR($C806="New",$C806="Know")),IF(COUNTIFS($I$2:$I$1001,$A806,$C$2:$C$1001,"Confirmed")=0,"Unconfirmed","Confirmed"),"Logged")))</f>
        <v/>
      </c>
      <c r="L806" s="65" t="str">
        <f aca="false">IF($A806="","",AsOf-$B806)</f>
        <v/>
      </c>
      <c r="M806" s="65" t="str">
        <f aca="false">IF($K806="Open",IF($C806="Conflict","Critical",IF($L806&gt;=DecisionCritical,"Critical",IF($L806&gt;=DecisionWarn,"Warning","On track"))),IF($K806="Unconfirmed",IF($L806&gt;=UnconfirmedWarn,"Warning","On track"),""))</f>
        <v/>
      </c>
      <c r="N806" s="65" t="str">
        <f aca="false">IF($M806="","",IF($M806="Critical",3000,IF($M806="Warning",2000,1000))+$L806+ROW()/100000)</f>
        <v/>
      </c>
      <c r="O806" s="65" t="str">
        <f aca="false">IF($K806="Open",IF($C806="Conflict","decide "&amp;$A806&amp;": &lt;which version stands&gt;","decide "&amp;$A806&amp;": &lt;outcome&gt;"),IF($K806="Unconfirmed","confirm "&amp;$A806,""))</f>
        <v/>
      </c>
      <c r="P806" s="65" t="str">
        <f aca="false">IF(AND($C806="New",$B806&gt;=WeekStart),$B806+ROW()/100000,"")</f>
        <v/>
      </c>
      <c r="Q806" s="65" t="str">
        <f aca="false">IF(AND($C806="Know",$B806&gt;=WeekStart),$B806+ROW()/100000,"")</f>
        <v/>
      </c>
      <c r="R806" s="65" t="str">
        <f aca="false">IF(AND($K806="Open",$C806="Decision"),$L806+ROW()/100000,"")</f>
        <v/>
      </c>
      <c r="S806" s="65" t="str">
        <f aca="false">IF(AND($J806&lt;&gt;"",$J806=UCSel),$B806+ROW()/100000,"")</f>
        <v/>
      </c>
    </row>
    <row r="807" customFormat="false" ht="15" hidden="false" customHeight="false" outlineLevel="0" collapsed="false">
      <c r="A807" s="28"/>
      <c r="B807" s="63"/>
      <c r="C807" s="64"/>
      <c r="D807" s="28"/>
      <c r="E807" s="28"/>
      <c r="F807" s="28"/>
      <c r="G807" s="64"/>
      <c r="H807" s="64"/>
      <c r="I807" s="28"/>
      <c r="J807" s="28"/>
      <c r="K807" s="65" t="str">
        <f aca="false">IF($A807="","",IF(OR($C807="Decision",$C807="Conflict"),IF(COUNTIFS($I$2:$I$1001,$A807,$C$2:$C$1001,"Resolved")=0,"Open","Closed"),IF(AND($H807="Unconfirmed",OR($C807="New",$C807="Know")),IF(COUNTIFS($I$2:$I$1001,$A807,$C$2:$C$1001,"Confirmed")=0,"Unconfirmed","Confirmed"),"Logged")))</f>
        <v/>
      </c>
      <c r="L807" s="65" t="str">
        <f aca="false">IF($A807="","",AsOf-$B807)</f>
        <v/>
      </c>
      <c r="M807" s="65" t="str">
        <f aca="false">IF($K807="Open",IF($C807="Conflict","Critical",IF($L807&gt;=DecisionCritical,"Critical",IF($L807&gt;=DecisionWarn,"Warning","On track"))),IF($K807="Unconfirmed",IF($L807&gt;=UnconfirmedWarn,"Warning","On track"),""))</f>
        <v/>
      </c>
      <c r="N807" s="65" t="str">
        <f aca="false">IF($M807="","",IF($M807="Critical",3000,IF($M807="Warning",2000,1000))+$L807+ROW()/100000)</f>
        <v/>
      </c>
      <c r="O807" s="65" t="str">
        <f aca="false">IF($K807="Open",IF($C807="Conflict","decide "&amp;$A807&amp;": &lt;which version stands&gt;","decide "&amp;$A807&amp;": &lt;outcome&gt;"),IF($K807="Unconfirmed","confirm "&amp;$A807,""))</f>
        <v/>
      </c>
      <c r="P807" s="65" t="str">
        <f aca="false">IF(AND($C807="New",$B807&gt;=WeekStart),$B807+ROW()/100000,"")</f>
        <v/>
      </c>
      <c r="Q807" s="65" t="str">
        <f aca="false">IF(AND($C807="Know",$B807&gt;=WeekStart),$B807+ROW()/100000,"")</f>
        <v/>
      </c>
      <c r="R807" s="65" t="str">
        <f aca="false">IF(AND($K807="Open",$C807="Decision"),$L807+ROW()/100000,"")</f>
        <v/>
      </c>
      <c r="S807" s="65" t="str">
        <f aca="false">IF(AND($J807&lt;&gt;"",$J807=UCSel),$B807+ROW()/100000,"")</f>
        <v/>
      </c>
    </row>
    <row r="808" customFormat="false" ht="15" hidden="false" customHeight="false" outlineLevel="0" collapsed="false">
      <c r="A808" s="28"/>
      <c r="B808" s="63"/>
      <c r="C808" s="64"/>
      <c r="D808" s="28"/>
      <c r="E808" s="28"/>
      <c r="F808" s="28"/>
      <c r="G808" s="64"/>
      <c r="H808" s="64"/>
      <c r="I808" s="28"/>
      <c r="J808" s="28"/>
      <c r="K808" s="65" t="str">
        <f aca="false">IF($A808="","",IF(OR($C808="Decision",$C808="Conflict"),IF(COUNTIFS($I$2:$I$1001,$A808,$C$2:$C$1001,"Resolved")=0,"Open","Closed"),IF(AND($H808="Unconfirmed",OR($C808="New",$C808="Know")),IF(COUNTIFS($I$2:$I$1001,$A808,$C$2:$C$1001,"Confirmed")=0,"Unconfirmed","Confirmed"),"Logged")))</f>
        <v/>
      </c>
      <c r="L808" s="65" t="str">
        <f aca="false">IF($A808="","",AsOf-$B808)</f>
        <v/>
      </c>
      <c r="M808" s="65" t="str">
        <f aca="false">IF($K808="Open",IF($C808="Conflict","Critical",IF($L808&gt;=DecisionCritical,"Critical",IF($L808&gt;=DecisionWarn,"Warning","On track"))),IF($K808="Unconfirmed",IF($L808&gt;=UnconfirmedWarn,"Warning","On track"),""))</f>
        <v/>
      </c>
      <c r="N808" s="65" t="str">
        <f aca="false">IF($M808="","",IF($M808="Critical",3000,IF($M808="Warning",2000,1000))+$L808+ROW()/100000)</f>
        <v/>
      </c>
      <c r="O808" s="65" t="str">
        <f aca="false">IF($K808="Open",IF($C808="Conflict","decide "&amp;$A808&amp;": &lt;which version stands&gt;","decide "&amp;$A808&amp;": &lt;outcome&gt;"),IF($K808="Unconfirmed","confirm "&amp;$A808,""))</f>
        <v/>
      </c>
      <c r="P808" s="65" t="str">
        <f aca="false">IF(AND($C808="New",$B808&gt;=WeekStart),$B808+ROW()/100000,"")</f>
        <v/>
      </c>
      <c r="Q808" s="65" t="str">
        <f aca="false">IF(AND($C808="Know",$B808&gt;=WeekStart),$B808+ROW()/100000,"")</f>
        <v/>
      </c>
      <c r="R808" s="65" t="str">
        <f aca="false">IF(AND($K808="Open",$C808="Decision"),$L808+ROW()/100000,"")</f>
        <v/>
      </c>
      <c r="S808" s="65" t="str">
        <f aca="false">IF(AND($J808&lt;&gt;"",$J808=UCSel),$B808+ROW()/100000,"")</f>
        <v/>
      </c>
    </row>
    <row r="809" customFormat="false" ht="15" hidden="false" customHeight="false" outlineLevel="0" collapsed="false">
      <c r="A809" s="28"/>
      <c r="B809" s="63"/>
      <c r="C809" s="64"/>
      <c r="D809" s="28"/>
      <c r="E809" s="28"/>
      <c r="F809" s="28"/>
      <c r="G809" s="64"/>
      <c r="H809" s="64"/>
      <c r="I809" s="28"/>
      <c r="J809" s="28"/>
      <c r="K809" s="65" t="str">
        <f aca="false">IF($A809="","",IF(OR($C809="Decision",$C809="Conflict"),IF(COUNTIFS($I$2:$I$1001,$A809,$C$2:$C$1001,"Resolved")=0,"Open","Closed"),IF(AND($H809="Unconfirmed",OR($C809="New",$C809="Know")),IF(COUNTIFS($I$2:$I$1001,$A809,$C$2:$C$1001,"Confirmed")=0,"Unconfirmed","Confirmed"),"Logged")))</f>
        <v/>
      </c>
      <c r="L809" s="65" t="str">
        <f aca="false">IF($A809="","",AsOf-$B809)</f>
        <v/>
      </c>
      <c r="M809" s="65" t="str">
        <f aca="false">IF($K809="Open",IF($C809="Conflict","Critical",IF($L809&gt;=DecisionCritical,"Critical",IF($L809&gt;=DecisionWarn,"Warning","On track"))),IF($K809="Unconfirmed",IF($L809&gt;=UnconfirmedWarn,"Warning","On track"),""))</f>
        <v/>
      </c>
      <c r="N809" s="65" t="str">
        <f aca="false">IF($M809="","",IF($M809="Critical",3000,IF($M809="Warning",2000,1000))+$L809+ROW()/100000)</f>
        <v/>
      </c>
      <c r="O809" s="65" t="str">
        <f aca="false">IF($K809="Open",IF($C809="Conflict","decide "&amp;$A809&amp;": &lt;which version stands&gt;","decide "&amp;$A809&amp;": &lt;outcome&gt;"),IF($K809="Unconfirmed","confirm "&amp;$A809,""))</f>
        <v/>
      </c>
      <c r="P809" s="65" t="str">
        <f aca="false">IF(AND($C809="New",$B809&gt;=WeekStart),$B809+ROW()/100000,"")</f>
        <v/>
      </c>
      <c r="Q809" s="65" t="str">
        <f aca="false">IF(AND($C809="Know",$B809&gt;=WeekStart),$B809+ROW()/100000,"")</f>
        <v/>
      </c>
      <c r="R809" s="65" t="str">
        <f aca="false">IF(AND($K809="Open",$C809="Decision"),$L809+ROW()/100000,"")</f>
        <v/>
      </c>
      <c r="S809" s="65" t="str">
        <f aca="false">IF(AND($J809&lt;&gt;"",$J809=UCSel),$B809+ROW()/100000,"")</f>
        <v/>
      </c>
    </row>
    <row r="810" customFormat="false" ht="15" hidden="false" customHeight="false" outlineLevel="0" collapsed="false">
      <c r="A810" s="28"/>
      <c r="B810" s="63"/>
      <c r="C810" s="64"/>
      <c r="D810" s="28"/>
      <c r="E810" s="28"/>
      <c r="F810" s="28"/>
      <c r="G810" s="64"/>
      <c r="H810" s="64"/>
      <c r="I810" s="28"/>
      <c r="J810" s="28"/>
      <c r="K810" s="65" t="str">
        <f aca="false">IF($A810="","",IF(OR($C810="Decision",$C810="Conflict"),IF(COUNTIFS($I$2:$I$1001,$A810,$C$2:$C$1001,"Resolved")=0,"Open","Closed"),IF(AND($H810="Unconfirmed",OR($C810="New",$C810="Know")),IF(COUNTIFS($I$2:$I$1001,$A810,$C$2:$C$1001,"Confirmed")=0,"Unconfirmed","Confirmed"),"Logged")))</f>
        <v/>
      </c>
      <c r="L810" s="65" t="str">
        <f aca="false">IF($A810="","",AsOf-$B810)</f>
        <v/>
      </c>
      <c r="M810" s="65" t="str">
        <f aca="false">IF($K810="Open",IF($C810="Conflict","Critical",IF($L810&gt;=DecisionCritical,"Critical",IF($L810&gt;=DecisionWarn,"Warning","On track"))),IF($K810="Unconfirmed",IF($L810&gt;=UnconfirmedWarn,"Warning","On track"),""))</f>
        <v/>
      </c>
      <c r="N810" s="65" t="str">
        <f aca="false">IF($M810="","",IF($M810="Critical",3000,IF($M810="Warning",2000,1000))+$L810+ROW()/100000)</f>
        <v/>
      </c>
      <c r="O810" s="65" t="str">
        <f aca="false">IF($K810="Open",IF($C810="Conflict","decide "&amp;$A810&amp;": &lt;which version stands&gt;","decide "&amp;$A810&amp;": &lt;outcome&gt;"),IF($K810="Unconfirmed","confirm "&amp;$A810,""))</f>
        <v/>
      </c>
      <c r="P810" s="65" t="str">
        <f aca="false">IF(AND($C810="New",$B810&gt;=WeekStart),$B810+ROW()/100000,"")</f>
        <v/>
      </c>
      <c r="Q810" s="65" t="str">
        <f aca="false">IF(AND($C810="Know",$B810&gt;=WeekStart),$B810+ROW()/100000,"")</f>
        <v/>
      </c>
      <c r="R810" s="65" t="str">
        <f aca="false">IF(AND($K810="Open",$C810="Decision"),$L810+ROW()/100000,"")</f>
        <v/>
      </c>
      <c r="S810" s="65" t="str">
        <f aca="false">IF(AND($J810&lt;&gt;"",$J810=UCSel),$B810+ROW()/100000,"")</f>
        <v/>
      </c>
    </row>
    <row r="811" customFormat="false" ht="15" hidden="false" customHeight="false" outlineLevel="0" collapsed="false">
      <c r="A811" s="28"/>
      <c r="B811" s="63"/>
      <c r="C811" s="64"/>
      <c r="D811" s="28"/>
      <c r="E811" s="28"/>
      <c r="F811" s="28"/>
      <c r="G811" s="64"/>
      <c r="H811" s="64"/>
      <c r="I811" s="28"/>
      <c r="J811" s="28"/>
      <c r="K811" s="65" t="str">
        <f aca="false">IF($A811="","",IF(OR($C811="Decision",$C811="Conflict"),IF(COUNTIFS($I$2:$I$1001,$A811,$C$2:$C$1001,"Resolved")=0,"Open","Closed"),IF(AND($H811="Unconfirmed",OR($C811="New",$C811="Know")),IF(COUNTIFS($I$2:$I$1001,$A811,$C$2:$C$1001,"Confirmed")=0,"Unconfirmed","Confirmed"),"Logged")))</f>
        <v/>
      </c>
      <c r="L811" s="65" t="str">
        <f aca="false">IF($A811="","",AsOf-$B811)</f>
        <v/>
      </c>
      <c r="M811" s="65" t="str">
        <f aca="false">IF($K811="Open",IF($C811="Conflict","Critical",IF($L811&gt;=DecisionCritical,"Critical",IF($L811&gt;=DecisionWarn,"Warning","On track"))),IF($K811="Unconfirmed",IF($L811&gt;=UnconfirmedWarn,"Warning","On track"),""))</f>
        <v/>
      </c>
      <c r="N811" s="65" t="str">
        <f aca="false">IF($M811="","",IF($M811="Critical",3000,IF($M811="Warning",2000,1000))+$L811+ROW()/100000)</f>
        <v/>
      </c>
      <c r="O811" s="65" t="str">
        <f aca="false">IF($K811="Open",IF($C811="Conflict","decide "&amp;$A811&amp;": &lt;which version stands&gt;","decide "&amp;$A811&amp;": &lt;outcome&gt;"),IF($K811="Unconfirmed","confirm "&amp;$A811,""))</f>
        <v/>
      </c>
      <c r="P811" s="65" t="str">
        <f aca="false">IF(AND($C811="New",$B811&gt;=WeekStart),$B811+ROW()/100000,"")</f>
        <v/>
      </c>
      <c r="Q811" s="65" t="str">
        <f aca="false">IF(AND($C811="Know",$B811&gt;=WeekStart),$B811+ROW()/100000,"")</f>
        <v/>
      </c>
      <c r="R811" s="65" t="str">
        <f aca="false">IF(AND($K811="Open",$C811="Decision"),$L811+ROW()/100000,"")</f>
        <v/>
      </c>
      <c r="S811" s="65" t="str">
        <f aca="false">IF(AND($J811&lt;&gt;"",$J811=UCSel),$B811+ROW()/100000,"")</f>
        <v/>
      </c>
    </row>
    <row r="812" customFormat="false" ht="15" hidden="false" customHeight="false" outlineLevel="0" collapsed="false">
      <c r="A812" s="28"/>
      <c r="B812" s="63"/>
      <c r="C812" s="64"/>
      <c r="D812" s="28"/>
      <c r="E812" s="28"/>
      <c r="F812" s="28"/>
      <c r="G812" s="64"/>
      <c r="H812" s="64"/>
      <c r="I812" s="28"/>
      <c r="J812" s="28"/>
      <c r="K812" s="65" t="str">
        <f aca="false">IF($A812="","",IF(OR($C812="Decision",$C812="Conflict"),IF(COUNTIFS($I$2:$I$1001,$A812,$C$2:$C$1001,"Resolved")=0,"Open","Closed"),IF(AND($H812="Unconfirmed",OR($C812="New",$C812="Know")),IF(COUNTIFS($I$2:$I$1001,$A812,$C$2:$C$1001,"Confirmed")=0,"Unconfirmed","Confirmed"),"Logged")))</f>
        <v/>
      </c>
      <c r="L812" s="65" t="str">
        <f aca="false">IF($A812="","",AsOf-$B812)</f>
        <v/>
      </c>
      <c r="M812" s="65" t="str">
        <f aca="false">IF($K812="Open",IF($C812="Conflict","Critical",IF($L812&gt;=DecisionCritical,"Critical",IF($L812&gt;=DecisionWarn,"Warning","On track"))),IF($K812="Unconfirmed",IF($L812&gt;=UnconfirmedWarn,"Warning","On track"),""))</f>
        <v/>
      </c>
      <c r="N812" s="65" t="str">
        <f aca="false">IF($M812="","",IF($M812="Critical",3000,IF($M812="Warning",2000,1000))+$L812+ROW()/100000)</f>
        <v/>
      </c>
      <c r="O812" s="65" t="str">
        <f aca="false">IF($K812="Open",IF($C812="Conflict","decide "&amp;$A812&amp;": &lt;which version stands&gt;","decide "&amp;$A812&amp;": &lt;outcome&gt;"),IF($K812="Unconfirmed","confirm "&amp;$A812,""))</f>
        <v/>
      </c>
      <c r="P812" s="65" t="str">
        <f aca="false">IF(AND($C812="New",$B812&gt;=WeekStart),$B812+ROW()/100000,"")</f>
        <v/>
      </c>
      <c r="Q812" s="65" t="str">
        <f aca="false">IF(AND($C812="Know",$B812&gt;=WeekStart),$B812+ROW()/100000,"")</f>
        <v/>
      </c>
      <c r="R812" s="65" t="str">
        <f aca="false">IF(AND($K812="Open",$C812="Decision"),$L812+ROW()/100000,"")</f>
        <v/>
      </c>
      <c r="S812" s="65" t="str">
        <f aca="false">IF(AND($J812&lt;&gt;"",$J812=UCSel),$B812+ROW()/100000,"")</f>
        <v/>
      </c>
    </row>
    <row r="813" customFormat="false" ht="15" hidden="false" customHeight="false" outlineLevel="0" collapsed="false">
      <c r="A813" s="28"/>
      <c r="B813" s="63"/>
      <c r="C813" s="64"/>
      <c r="D813" s="28"/>
      <c r="E813" s="28"/>
      <c r="F813" s="28"/>
      <c r="G813" s="64"/>
      <c r="H813" s="64"/>
      <c r="I813" s="28"/>
      <c r="J813" s="28"/>
      <c r="K813" s="65" t="str">
        <f aca="false">IF($A813="","",IF(OR($C813="Decision",$C813="Conflict"),IF(COUNTIFS($I$2:$I$1001,$A813,$C$2:$C$1001,"Resolved")=0,"Open","Closed"),IF(AND($H813="Unconfirmed",OR($C813="New",$C813="Know")),IF(COUNTIFS($I$2:$I$1001,$A813,$C$2:$C$1001,"Confirmed")=0,"Unconfirmed","Confirmed"),"Logged")))</f>
        <v/>
      </c>
      <c r="L813" s="65" t="str">
        <f aca="false">IF($A813="","",AsOf-$B813)</f>
        <v/>
      </c>
      <c r="M813" s="65" t="str">
        <f aca="false">IF($K813="Open",IF($C813="Conflict","Critical",IF($L813&gt;=DecisionCritical,"Critical",IF($L813&gt;=DecisionWarn,"Warning","On track"))),IF($K813="Unconfirmed",IF($L813&gt;=UnconfirmedWarn,"Warning","On track"),""))</f>
        <v/>
      </c>
      <c r="N813" s="65" t="str">
        <f aca="false">IF($M813="","",IF($M813="Critical",3000,IF($M813="Warning",2000,1000))+$L813+ROW()/100000)</f>
        <v/>
      </c>
      <c r="O813" s="65" t="str">
        <f aca="false">IF($K813="Open",IF($C813="Conflict","decide "&amp;$A813&amp;": &lt;which version stands&gt;","decide "&amp;$A813&amp;": &lt;outcome&gt;"),IF($K813="Unconfirmed","confirm "&amp;$A813,""))</f>
        <v/>
      </c>
      <c r="P813" s="65" t="str">
        <f aca="false">IF(AND($C813="New",$B813&gt;=WeekStart),$B813+ROW()/100000,"")</f>
        <v/>
      </c>
      <c r="Q813" s="65" t="str">
        <f aca="false">IF(AND($C813="Know",$B813&gt;=WeekStart),$B813+ROW()/100000,"")</f>
        <v/>
      </c>
      <c r="R813" s="65" t="str">
        <f aca="false">IF(AND($K813="Open",$C813="Decision"),$L813+ROW()/100000,"")</f>
        <v/>
      </c>
      <c r="S813" s="65" t="str">
        <f aca="false">IF(AND($J813&lt;&gt;"",$J813=UCSel),$B813+ROW()/100000,"")</f>
        <v/>
      </c>
    </row>
    <row r="814" customFormat="false" ht="15" hidden="false" customHeight="false" outlineLevel="0" collapsed="false">
      <c r="A814" s="28"/>
      <c r="B814" s="63"/>
      <c r="C814" s="64"/>
      <c r="D814" s="28"/>
      <c r="E814" s="28"/>
      <c r="F814" s="28"/>
      <c r="G814" s="64"/>
      <c r="H814" s="64"/>
      <c r="I814" s="28"/>
      <c r="J814" s="28"/>
      <c r="K814" s="65" t="str">
        <f aca="false">IF($A814="","",IF(OR($C814="Decision",$C814="Conflict"),IF(COUNTIFS($I$2:$I$1001,$A814,$C$2:$C$1001,"Resolved")=0,"Open","Closed"),IF(AND($H814="Unconfirmed",OR($C814="New",$C814="Know")),IF(COUNTIFS($I$2:$I$1001,$A814,$C$2:$C$1001,"Confirmed")=0,"Unconfirmed","Confirmed"),"Logged")))</f>
        <v/>
      </c>
      <c r="L814" s="65" t="str">
        <f aca="false">IF($A814="","",AsOf-$B814)</f>
        <v/>
      </c>
      <c r="M814" s="65" t="str">
        <f aca="false">IF($K814="Open",IF($C814="Conflict","Critical",IF($L814&gt;=DecisionCritical,"Critical",IF($L814&gt;=DecisionWarn,"Warning","On track"))),IF($K814="Unconfirmed",IF($L814&gt;=UnconfirmedWarn,"Warning","On track"),""))</f>
        <v/>
      </c>
      <c r="N814" s="65" t="str">
        <f aca="false">IF($M814="","",IF($M814="Critical",3000,IF($M814="Warning",2000,1000))+$L814+ROW()/100000)</f>
        <v/>
      </c>
      <c r="O814" s="65" t="str">
        <f aca="false">IF($K814="Open",IF($C814="Conflict","decide "&amp;$A814&amp;": &lt;which version stands&gt;","decide "&amp;$A814&amp;": &lt;outcome&gt;"),IF($K814="Unconfirmed","confirm "&amp;$A814,""))</f>
        <v/>
      </c>
      <c r="P814" s="65" t="str">
        <f aca="false">IF(AND($C814="New",$B814&gt;=WeekStart),$B814+ROW()/100000,"")</f>
        <v/>
      </c>
      <c r="Q814" s="65" t="str">
        <f aca="false">IF(AND($C814="Know",$B814&gt;=WeekStart),$B814+ROW()/100000,"")</f>
        <v/>
      </c>
      <c r="R814" s="65" t="str">
        <f aca="false">IF(AND($K814="Open",$C814="Decision"),$L814+ROW()/100000,"")</f>
        <v/>
      </c>
      <c r="S814" s="65" t="str">
        <f aca="false">IF(AND($J814&lt;&gt;"",$J814=UCSel),$B814+ROW()/100000,"")</f>
        <v/>
      </c>
    </row>
    <row r="815" customFormat="false" ht="15" hidden="false" customHeight="false" outlineLevel="0" collapsed="false">
      <c r="A815" s="28"/>
      <c r="B815" s="63"/>
      <c r="C815" s="64"/>
      <c r="D815" s="28"/>
      <c r="E815" s="28"/>
      <c r="F815" s="28"/>
      <c r="G815" s="64"/>
      <c r="H815" s="64"/>
      <c r="I815" s="28"/>
      <c r="J815" s="28"/>
      <c r="K815" s="65" t="str">
        <f aca="false">IF($A815="","",IF(OR($C815="Decision",$C815="Conflict"),IF(COUNTIFS($I$2:$I$1001,$A815,$C$2:$C$1001,"Resolved")=0,"Open","Closed"),IF(AND($H815="Unconfirmed",OR($C815="New",$C815="Know")),IF(COUNTIFS($I$2:$I$1001,$A815,$C$2:$C$1001,"Confirmed")=0,"Unconfirmed","Confirmed"),"Logged")))</f>
        <v/>
      </c>
      <c r="L815" s="65" t="str">
        <f aca="false">IF($A815="","",AsOf-$B815)</f>
        <v/>
      </c>
      <c r="M815" s="65" t="str">
        <f aca="false">IF($K815="Open",IF($C815="Conflict","Critical",IF($L815&gt;=DecisionCritical,"Critical",IF($L815&gt;=DecisionWarn,"Warning","On track"))),IF($K815="Unconfirmed",IF($L815&gt;=UnconfirmedWarn,"Warning","On track"),""))</f>
        <v/>
      </c>
      <c r="N815" s="65" t="str">
        <f aca="false">IF($M815="","",IF($M815="Critical",3000,IF($M815="Warning",2000,1000))+$L815+ROW()/100000)</f>
        <v/>
      </c>
      <c r="O815" s="65" t="str">
        <f aca="false">IF($K815="Open",IF($C815="Conflict","decide "&amp;$A815&amp;": &lt;which version stands&gt;","decide "&amp;$A815&amp;": &lt;outcome&gt;"),IF($K815="Unconfirmed","confirm "&amp;$A815,""))</f>
        <v/>
      </c>
      <c r="P815" s="65" t="str">
        <f aca="false">IF(AND($C815="New",$B815&gt;=WeekStart),$B815+ROW()/100000,"")</f>
        <v/>
      </c>
      <c r="Q815" s="65" t="str">
        <f aca="false">IF(AND($C815="Know",$B815&gt;=WeekStart),$B815+ROW()/100000,"")</f>
        <v/>
      </c>
      <c r="R815" s="65" t="str">
        <f aca="false">IF(AND($K815="Open",$C815="Decision"),$L815+ROW()/100000,"")</f>
        <v/>
      </c>
      <c r="S815" s="65" t="str">
        <f aca="false">IF(AND($J815&lt;&gt;"",$J815=UCSel),$B815+ROW()/100000,"")</f>
        <v/>
      </c>
    </row>
    <row r="816" customFormat="false" ht="15" hidden="false" customHeight="false" outlineLevel="0" collapsed="false">
      <c r="A816" s="28"/>
      <c r="B816" s="63"/>
      <c r="C816" s="64"/>
      <c r="D816" s="28"/>
      <c r="E816" s="28"/>
      <c r="F816" s="28"/>
      <c r="G816" s="64"/>
      <c r="H816" s="64"/>
      <c r="I816" s="28"/>
      <c r="J816" s="28"/>
      <c r="K816" s="65" t="str">
        <f aca="false">IF($A816="","",IF(OR($C816="Decision",$C816="Conflict"),IF(COUNTIFS($I$2:$I$1001,$A816,$C$2:$C$1001,"Resolved")=0,"Open","Closed"),IF(AND($H816="Unconfirmed",OR($C816="New",$C816="Know")),IF(COUNTIFS($I$2:$I$1001,$A816,$C$2:$C$1001,"Confirmed")=0,"Unconfirmed","Confirmed"),"Logged")))</f>
        <v/>
      </c>
      <c r="L816" s="65" t="str">
        <f aca="false">IF($A816="","",AsOf-$B816)</f>
        <v/>
      </c>
      <c r="M816" s="65" t="str">
        <f aca="false">IF($K816="Open",IF($C816="Conflict","Critical",IF($L816&gt;=DecisionCritical,"Critical",IF($L816&gt;=DecisionWarn,"Warning","On track"))),IF($K816="Unconfirmed",IF($L816&gt;=UnconfirmedWarn,"Warning","On track"),""))</f>
        <v/>
      </c>
      <c r="N816" s="65" t="str">
        <f aca="false">IF($M816="","",IF($M816="Critical",3000,IF($M816="Warning",2000,1000))+$L816+ROW()/100000)</f>
        <v/>
      </c>
      <c r="O816" s="65" t="str">
        <f aca="false">IF($K816="Open",IF($C816="Conflict","decide "&amp;$A816&amp;": &lt;which version stands&gt;","decide "&amp;$A816&amp;": &lt;outcome&gt;"),IF($K816="Unconfirmed","confirm "&amp;$A816,""))</f>
        <v/>
      </c>
      <c r="P816" s="65" t="str">
        <f aca="false">IF(AND($C816="New",$B816&gt;=WeekStart),$B816+ROW()/100000,"")</f>
        <v/>
      </c>
      <c r="Q816" s="65" t="str">
        <f aca="false">IF(AND($C816="Know",$B816&gt;=WeekStart),$B816+ROW()/100000,"")</f>
        <v/>
      </c>
      <c r="R816" s="65" t="str">
        <f aca="false">IF(AND($K816="Open",$C816="Decision"),$L816+ROW()/100000,"")</f>
        <v/>
      </c>
      <c r="S816" s="65" t="str">
        <f aca="false">IF(AND($J816&lt;&gt;"",$J816=UCSel),$B816+ROW()/100000,"")</f>
        <v/>
      </c>
    </row>
    <row r="817" customFormat="false" ht="15" hidden="false" customHeight="false" outlineLevel="0" collapsed="false">
      <c r="A817" s="28"/>
      <c r="B817" s="63"/>
      <c r="C817" s="64"/>
      <c r="D817" s="28"/>
      <c r="E817" s="28"/>
      <c r="F817" s="28"/>
      <c r="G817" s="64"/>
      <c r="H817" s="64"/>
      <c r="I817" s="28"/>
      <c r="J817" s="28"/>
      <c r="K817" s="65" t="str">
        <f aca="false">IF($A817="","",IF(OR($C817="Decision",$C817="Conflict"),IF(COUNTIFS($I$2:$I$1001,$A817,$C$2:$C$1001,"Resolved")=0,"Open","Closed"),IF(AND($H817="Unconfirmed",OR($C817="New",$C817="Know")),IF(COUNTIFS($I$2:$I$1001,$A817,$C$2:$C$1001,"Confirmed")=0,"Unconfirmed","Confirmed"),"Logged")))</f>
        <v/>
      </c>
      <c r="L817" s="65" t="str">
        <f aca="false">IF($A817="","",AsOf-$B817)</f>
        <v/>
      </c>
      <c r="M817" s="65" t="str">
        <f aca="false">IF($K817="Open",IF($C817="Conflict","Critical",IF($L817&gt;=DecisionCritical,"Critical",IF($L817&gt;=DecisionWarn,"Warning","On track"))),IF($K817="Unconfirmed",IF($L817&gt;=UnconfirmedWarn,"Warning","On track"),""))</f>
        <v/>
      </c>
      <c r="N817" s="65" t="str">
        <f aca="false">IF($M817="","",IF($M817="Critical",3000,IF($M817="Warning",2000,1000))+$L817+ROW()/100000)</f>
        <v/>
      </c>
      <c r="O817" s="65" t="str">
        <f aca="false">IF($K817="Open",IF($C817="Conflict","decide "&amp;$A817&amp;": &lt;which version stands&gt;","decide "&amp;$A817&amp;": &lt;outcome&gt;"),IF($K817="Unconfirmed","confirm "&amp;$A817,""))</f>
        <v/>
      </c>
      <c r="P817" s="65" t="str">
        <f aca="false">IF(AND($C817="New",$B817&gt;=WeekStart),$B817+ROW()/100000,"")</f>
        <v/>
      </c>
      <c r="Q817" s="65" t="str">
        <f aca="false">IF(AND($C817="Know",$B817&gt;=WeekStart),$B817+ROW()/100000,"")</f>
        <v/>
      </c>
      <c r="R817" s="65" t="str">
        <f aca="false">IF(AND($K817="Open",$C817="Decision"),$L817+ROW()/100000,"")</f>
        <v/>
      </c>
      <c r="S817" s="65" t="str">
        <f aca="false">IF(AND($J817&lt;&gt;"",$J817=UCSel),$B817+ROW()/100000,"")</f>
        <v/>
      </c>
    </row>
    <row r="818" customFormat="false" ht="15" hidden="false" customHeight="false" outlineLevel="0" collapsed="false">
      <c r="A818" s="28"/>
      <c r="B818" s="63"/>
      <c r="C818" s="64"/>
      <c r="D818" s="28"/>
      <c r="E818" s="28"/>
      <c r="F818" s="28"/>
      <c r="G818" s="64"/>
      <c r="H818" s="64"/>
      <c r="I818" s="28"/>
      <c r="J818" s="28"/>
      <c r="K818" s="65" t="str">
        <f aca="false">IF($A818="","",IF(OR($C818="Decision",$C818="Conflict"),IF(COUNTIFS($I$2:$I$1001,$A818,$C$2:$C$1001,"Resolved")=0,"Open","Closed"),IF(AND($H818="Unconfirmed",OR($C818="New",$C818="Know")),IF(COUNTIFS($I$2:$I$1001,$A818,$C$2:$C$1001,"Confirmed")=0,"Unconfirmed","Confirmed"),"Logged")))</f>
        <v/>
      </c>
      <c r="L818" s="65" t="str">
        <f aca="false">IF($A818="","",AsOf-$B818)</f>
        <v/>
      </c>
      <c r="M818" s="65" t="str">
        <f aca="false">IF($K818="Open",IF($C818="Conflict","Critical",IF($L818&gt;=DecisionCritical,"Critical",IF($L818&gt;=DecisionWarn,"Warning","On track"))),IF($K818="Unconfirmed",IF($L818&gt;=UnconfirmedWarn,"Warning","On track"),""))</f>
        <v/>
      </c>
      <c r="N818" s="65" t="str">
        <f aca="false">IF($M818="","",IF($M818="Critical",3000,IF($M818="Warning",2000,1000))+$L818+ROW()/100000)</f>
        <v/>
      </c>
      <c r="O818" s="65" t="str">
        <f aca="false">IF($K818="Open",IF($C818="Conflict","decide "&amp;$A818&amp;": &lt;which version stands&gt;","decide "&amp;$A818&amp;": &lt;outcome&gt;"),IF($K818="Unconfirmed","confirm "&amp;$A818,""))</f>
        <v/>
      </c>
      <c r="P818" s="65" t="str">
        <f aca="false">IF(AND($C818="New",$B818&gt;=WeekStart),$B818+ROW()/100000,"")</f>
        <v/>
      </c>
      <c r="Q818" s="65" t="str">
        <f aca="false">IF(AND($C818="Know",$B818&gt;=WeekStart),$B818+ROW()/100000,"")</f>
        <v/>
      </c>
      <c r="R818" s="65" t="str">
        <f aca="false">IF(AND($K818="Open",$C818="Decision"),$L818+ROW()/100000,"")</f>
        <v/>
      </c>
      <c r="S818" s="65" t="str">
        <f aca="false">IF(AND($J818&lt;&gt;"",$J818=UCSel),$B818+ROW()/100000,"")</f>
        <v/>
      </c>
    </row>
    <row r="819" customFormat="false" ht="15" hidden="false" customHeight="false" outlineLevel="0" collapsed="false">
      <c r="A819" s="28"/>
      <c r="B819" s="63"/>
      <c r="C819" s="64"/>
      <c r="D819" s="28"/>
      <c r="E819" s="28"/>
      <c r="F819" s="28"/>
      <c r="G819" s="64"/>
      <c r="H819" s="64"/>
      <c r="I819" s="28"/>
      <c r="J819" s="28"/>
      <c r="K819" s="65" t="str">
        <f aca="false">IF($A819="","",IF(OR($C819="Decision",$C819="Conflict"),IF(COUNTIFS($I$2:$I$1001,$A819,$C$2:$C$1001,"Resolved")=0,"Open","Closed"),IF(AND($H819="Unconfirmed",OR($C819="New",$C819="Know")),IF(COUNTIFS($I$2:$I$1001,$A819,$C$2:$C$1001,"Confirmed")=0,"Unconfirmed","Confirmed"),"Logged")))</f>
        <v/>
      </c>
      <c r="L819" s="65" t="str">
        <f aca="false">IF($A819="","",AsOf-$B819)</f>
        <v/>
      </c>
      <c r="M819" s="65" t="str">
        <f aca="false">IF($K819="Open",IF($C819="Conflict","Critical",IF($L819&gt;=DecisionCritical,"Critical",IF($L819&gt;=DecisionWarn,"Warning","On track"))),IF($K819="Unconfirmed",IF($L819&gt;=UnconfirmedWarn,"Warning","On track"),""))</f>
        <v/>
      </c>
      <c r="N819" s="65" t="str">
        <f aca="false">IF($M819="","",IF($M819="Critical",3000,IF($M819="Warning",2000,1000))+$L819+ROW()/100000)</f>
        <v/>
      </c>
      <c r="O819" s="65" t="str">
        <f aca="false">IF($K819="Open",IF($C819="Conflict","decide "&amp;$A819&amp;": &lt;which version stands&gt;","decide "&amp;$A819&amp;": &lt;outcome&gt;"),IF($K819="Unconfirmed","confirm "&amp;$A819,""))</f>
        <v/>
      </c>
      <c r="P819" s="65" t="str">
        <f aca="false">IF(AND($C819="New",$B819&gt;=WeekStart),$B819+ROW()/100000,"")</f>
        <v/>
      </c>
      <c r="Q819" s="65" t="str">
        <f aca="false">IF(AND($C819="Know",$B819&gt;=WeekStart),$B819+ROW()/100000,"")</f>
        <v/>
      </c>
      <c r="R819" s="65" t="str">
        <f aca="false">IF(AND($K819="Open",$C819="Decision"),$L819+ROW()/100000,"")</f>
        <v/>
      </c>
      <c r="S819" s="65" t="str">
        <f aca="false">IF(AND($J819&lt;&gt;"",$J819=UCSel),$B819+ROW()/100000,"")</f>
        <v/>
      </c>
    </row>
    <row r="820" customFormat="false" ht="15" hidden="false" customHeight="false" outlineLevel="0" collapsed="false">
      <c r="A820" s="28"/>
      <c r="B820" s="63"/>
      <c r="C820" s="64"/>
      <c r="D820" s="28"/>
      <c r="E820" s="28"/>
      <c r="F820" s="28"/>
      <c r="G820" s="64"/>
      <c r="H820" s="64"/>
      <c r="I820" s="28"/>
      <c r="J820" s="28"/>
      <c r="K820" s="65" t="str">
        <f aca="false">IF($A820="","",IF(OR($C820="Decision",$C820="Conflict"),IF(COUNTIFS($I$2:$I$1001,$A820,$C$2:$C$1001,"Resolved")=0,"Open","Closed"),IF(AND($H820="Unconfirmed",OR($C820="New",$C820="Know")),IF(COUNTIFS($I$2:$I$1001,$A820,$C$2:$C$1001,"Confirmed")=0,"Unconfirmed","Confirmed"),"Logged")))</f>
        <v/>
      </c>
      <c r="L820" s="65" t="str">
        <f aca="false">IF($A820="","",AsOf-$B820)</f>
        <v/>
      </c>
      <c r="M820" s="65" t="str">
        <f aca="false">IF($K820="Open",IF($C820="Conflict","Critical",IF($L820&gt;=DecisionCritical,"Critical",IF($L820&gt;=DecisionWarn,"Warning","On track"))),IF($K820="Unconfirmed",IF($L820&gt;=UnconfirmedWarn,"Warning","On track"),""))</f>
        <v/>
      </c>
      <c r="N820" s="65" t="str">
        <f aca="false">IF($M820="","",IF($M820="Critical",3000,IF($M820="Warning",2000,1000))+$L820+ROW()/100000)</f>
        <v/>
      </c>
      <c r="O820" s="65" t="str">
        <f aca="false">IF($K820="Open",IF($C820="Conflict","decide "&amp;$A820&amp;": &lt;which version stands&gt;","decide "&amp;$A820&amp;": &lt;outcome&gt;"),IF($K820="Unconfirmed","confirm "&amp;$A820,""))</f>
        <v/>
      </c>
      <c r="P820" s="65" t="str">
        <f aca="false">IF(AND($C820="New",$B820&gt;=WeekStart),$B820+ROW()/100000,"")</f>
        <v/>
      </c>
      <c r="Q820" s="65" t="str">
        <f aca="false">IF(AND($C820="Know",$B820&gt;=WeekStart),$B820+ROW()/100000,"")</f>
        <v/>
      </c>
      <c r="R820" s="65" t="str">
        <f aca="false">IF(AND($K820="Open",$C820="Decision"),$L820+ROW()/100000,"")</f>
        <v/>
      </c>
      <c r="S820" s="65" t="str">
        <f aca="false">IF(AND($J820&lt;&gt;"",$J820=UCSel),$B820+ROW()/100000,"")</f>
        <v/>
      </c>
    </row>
    <row r="821" customFormat="false" ht="15" hidden="false" customHeight="false" outlineLevel="0" collapsed="false">
      <c r="A821" s="28"/>
      <c r="B821" s="63"/>
      <c r="C821" s="64"/>
      <c r="D821" s="28"/>
      <c r="E821" s="28"/>
      <c r="F821" s="28"/>
      <c r="G821" s="64"/>
      <c r="H821" s="64"/>
      <c r="I821" s="28"/>
      <c r="J821" s="28"/>
      <c r="K821" s="65" t="str">
        <f aca="false">IF($A821="","",IF(OR($C821="Decision",$C821="Conflict"),IF(COUNTIFS($I$2:$I$1001,$A821,$C$2:$C$1001,"Resolved")=0,"Open","Closed"),IF(AND($H821="Unconfirmed",OR($C821="New",$C821="Know")),IF(COUNTIFS($I$2:$I$1001,$A821,$C$2:$C$1001,"Confirmed")=0,"Unconfirmed","Confirmed"),"Logged")))</f>
        <v/>
      </c>
      <c r="L821" s="65" t="str">
        <f aca="false">IF($A821="","",AsOf-$B821)</f>
        <v/>
      </c>
      <c r="M821" s="65" t="str">
        <f aca="false">IF($K821="Open",IF($C821="Conflict","Critical",IF($L821&gt;=DecisionCritical,"Critical",IF($L821&gt;=DecisionWarn,"Warning","On track"))),IF($K821="Unconfirmed",IF($L821&gt;=UnconfirmedWarn,"Warning","On track"),""))</f>
        <v/>
      </c>
      <c r="N821" s="65" t="str">
        <f aca="false">IF($M821="","",IF($M821="Critical",3000,IF($M821="Warning",2000,1000))+$L821+ROW()/100000)</f>
        <v/>
      </c>
      <c r="O821" s="65" t="str">
        <f aca="false">IF($K821="Open",IF($C821="Conflict","decide "&amp;$A821&amp;": &lt;which version stands&gt;","decide "&amp;$A821&amp;": &lt;outcome&gt;"),IF($K821="Unconfirmed","confirm "&amp;$A821,""))</f>
        <v/>
      </c>
      <c r="P821" s="65" t="str">
        <f aca="false">IF(AND($C821="New",$B821&gt;=WeekStart),$B821+ROW()/100000,"")</f>
        <v/>
      </c>
      <c r="Q821" s="65" t="str">
        <f aca="false">IF(AND($C821="Know",$B821&gt;=WeekStart),$B821+ROW()/100000,"")</f>
        <v/>
      </c>
      <c r="R821" s="65" t="str">
        <f aca="false">IF(AND($K821="Open",$C821="Decision"),$L821+ROW()/100000,"")</f>
        <v/>
      </c>
      <c r="S821" s="65" t="str">
        <f aca="false">IF(AND($J821&lt;&gt;"",$J821=UCSel),$B821+ROW()/100000,"")</f>
        <v/>
      </c>
    </row>
    <row r="822" customFormat="false" ht="15" hidden="false" customHeight="false" outlineLevel="0" collapsed="false">
      <c r="A822" s="28"/>
      <c r="B822" s="63"/>
      <c r="C822" s="64"/>
      <c r="D822" s="28"/>
      <c r="E822" s="28"/>
      <c r="F822" s="28"/>
      <c r="G822" s="64"/>
      <c r="H822" s="64"/>
      <c r="I822" s="28"/>
      <c r="J822" s="28"/>
      <c r="K822" s="65" t="str">
        <f aca="false">IF($A822="","",IF(OR($C822="Decision",$C822="Conflict"),IF(COUNTIFS($I$2:$I$1001,$A822,$C$2:$C$1001,"Resolved")=0,"Open","Closed"),IF(AND($H822="Unconfirmed",OR($C822="New",$C822="Know")),IF(COUNTIFS($I$2:$I$1001,$A822,$C$2:$C$1001,"Confirmed")=0,"Unconfirmed","Confirmed"),"Logged")))</f>
        <v/>
      </c>
      <c r="L822" s="65" t="str">
        <f aca="false">IF($A822="","",AsOf-$B822)</f>
        <v/>
      </c>
      <c r="M822" s="65" t="str">
        <f aca="false">IF($K822="Open",IF($C822="Conflict","Critical",IF($L822&gt;=DecisionCritical,"Critical",IF($L822&gt;=DecisionWarn,"Warning","On track"))),IF($K822="Unconfirmed",IF($L822&gt;=UnconfirmedWarn,"Warning","On track"),""))</f>
        <v/>
      </c>
      <c r="N822" s="65" t="str">
        <f aca="false">IF($M822="","",IF($M822="Critical",3000,IF($M822="Warning",2000,1000))+$L822+ROW()/100000)</f>
        <v/>
      </c>
      <c r="O822" s="65" t="str">
        <f aca="false">IF($K822="Open",IF($C822="Conflict","decide "&amp;$A822&amp;": &lt;which version stands&gt;","decide "&amp;$A822&amp;": &lt;outcome&gt;"),IF($K822="Unconfirmed","confirm "&amp;$A822,""))</f>
        <v/>
      </c>
      <c r="P822" s="65" t="str">
        <f aca="false">IF(AND($C822="New",$B822&gt;=WeekStart),$B822+ROW()/100000,"")</f>
        <v/>
      </c>
      <c r="Q822" s="65" t="str">
        <f aca="false">IF(AND($C822="Know",$B822&gt;=WeekStart),$B822+ROW()/100000,"")</f>
        <v/>
      </c>
      <c r="R822" s="65" t="str">
        <f aca="false">IF(AND($K822="Open",$C822="Decision"),$L822+ROW()/100000,"")</f>
        <v/>
      </c>
      <c r="S822" s="65" t="str">
        <f aca="false">IF(AND($J822&lt;&gt;"",$J822=UCSel),$B822+ROW()/100000,"")</f>
        <v/>
      </c>
    </row>
    <row r="823" customFormat="false" ht="15" hidden="false" customHeight="false" outlineLevel="0" collapsed="false">
      <c r="A823" s="28"/>
      <c r="B823" s="63"/>
      <c r="C823" s="64"/>
      <c r="D823" s="28"/>
      <c r="E823" s="28"/>
      <c r="F823" s="28"/>
      <c r="G823" s="64"/>
      <c r="H823" s="64"/>
      <c r="I823" s="28"/>
      <c r="J823" s="28"/>
      <c r="K823" s="65" t="str">
        <f aca="false">IF($A823="","",IF(OR($C823="Decision",$C823="Conflict"),IF(COUNTIFS($I$2:$I$1001,$A823,$C$2:$C$1001,"Resolved")=0,"Open","Closed"),IF(AND($H823="Unconfirmed",OR($C823="New",$C823="Know")),IF(COUNTIFS($I$2:$I$1001,$A823,$C$2:$C$1001,"Confirmed")=0,"Unconfirmed","Confirmed"),"Logged")))</f>
        <v/>
      </c>
      <c r="L823" s="65" t="str">
        <f aca="false">IF($A823="","",AsOf-$B823)</f>
        <v/>
      </c>
      <c r="M823" s="65" t="str">
        <f aca="false">IF($K823="Open",IF($C823="Conflict","Critical",IF($L823&gt;=DecisionCritical,"Critical",IF($L823&gt;=DecisionWarn,"Warning","On track"))),IF($K823="Unconfirmed",IF($L823&gt;=UnconfirmedWarn,"Warning","On track"),""))</f>
        <v/>
      </c>
      <c r="N823" s="65" t="str">
        <f aca="false">IF($M823="","",IF($M823="Critical",3000,IF($M823="Warning",2000,1000))+$L823+ROW()/100000)</f>
        <v/>
      </c>
      <c r="O823" s="65" t="str">
        <f aca="false">IF($K823="Open",IF($C823="Conflict","decide "&amp;$A823&amp;": &lt;which version stands&gt;","decide "&amp;$A823&amp;": &lt;outcome&gt;"),IF($K823="Unconfirmed","confirm "&amp;$A823,""))</f>
        <v/>
      </c>
      <c r="P823" s="65" t="str">
        <f aca="false">IF(AND($C823="New",$B823&gt;=WeekStart),$B823+ROW()/100000,"")</f>
        <v/>
      </c>
      <c r="Q823" s="65" t="str">
        <f aca="false">IF(AND($C823="Know",$B823&gt;=WeekStart),$B823+ROW()/100000,"")</f>
        <v/>
      </c>
      <c r="R823" s="65" t="str">
        <f aca="false">IF(AND($K823="Open",$C823="Decision"),$L823+ROW()/100000,"")</f>
        <v/>
      </c>
      <c r="S823" s="65" t="str">
        <f aca="false">IF(AND($J823&lt;&gt;"",$J823=UCSel),$B823+ROW()/100000,"")</f>
        <v/>
      </c>
    </row>
    <row r="824" customFormat="false" ht="15" hidden="false" customHeight="false" outlineLevel="0" collapsed="false">
      <c r="A824" s="28"/>
      <c r="B824" s="63"/>
      <c r="C824" s="64"/>
      <c r="D824" s="28"/>
      <c r="E824" s="28"/>
      <c r="F824" s="28"/>
      <c r="G824" s="64"/>
      <c r="H824" s="64"/>
      <c r="I824" s="28"/>
      <c r="J824" s="28"/>
      <c r="K824" s="65" t="str">
        <f aca="false">IF($A824="","",IF(OR($C824="Decision",$C824="Conflict"),IF(COUNTIFS($I$2:$I$1001,$A824,$C$2:$C$1001,"Resolved")=0,"Open","Closed"),IF(AND($H824="Unconfirmed",OR($C824="New",$C824="Know")),IF(COUNTIFS($I$2:$I$1001,$A824,$C$2:$C$1001,"Confirmed")=0,"Unconfirmed","Confirmed"),"Logged")))</f>
        <v/>
      </c>
      <c r="L824" s="65" t="str">
        <f aca="false">IF($A824="","",AsOf-$B824)</f>
        <v/>
      </c>
      <c r="M824" s="65" t="str">
        <f aca="false">IF($K824="Open",IF($C824="Conflict","Critical",IF($L824&gt;=DecisionCritical,"Critical",IF($L824&gt;=DecisionWarn,"Warning","On track"))),IF($K824="Unconfirmed",IF($L824&gt;=UnconfirmedWarn,"Warning","On track"),""))</f>
        <v/>
      </c>
      <c r="N824" s="65" t="str">
        <f aca="false">IF($M824="","",IF($M824="Critical",3000,IF($M824="Warning",2000,1000))+$L824+ROW()/100000)</f>
        <v/>
      </c>
      <c r="O824" s="65" t="str">
        <f aca="false">IF($K824="Open",IF($C824="Conflict","decide "&amp;$A824&amp;": &lt;which version stands&gt;","decide "&amp;$A824&amp;": &lt;outcome&gt;"),IF($K824="Unconfirmed","confirm "&amp;$A824,""))</f>
        <v/>
      </c>
      <c r="P824" s="65" t="str">
        <f aca="false">IF(AND($C824="New",$B824&gt;=WeekStart),$B824+ROW()/100000,"")</f>
        <v/>
      </c>
      <c r="Q824" s="65" t="str">
        <f aca="false">IF(AND($C824="Know",$B824&gt;=WeekStart),$B824+ROW()/100000,"")</f>
        <v/>
      </c>
      <c r="R824" s="65" t="str">
        <f aca="false">IF(AND($K824="Open",$C824="Decision"),$L824+ROW()/100000,"")</f>
        <v/>
      </c>
      <c r="S824" s="65" t="str">
        <f aca="false">IF(AND($J824&lt;&gt;"",$J824=UCSel),$B824+ROW()/100000,"")</f>
        <v/>
      </c>
    </row>
    <row r="825" customFormat="false" ht="15" hidden="false" customHeight="false" outlineLevel="0" collapsed="false">
      <c r="A825" s="28"/>
      <c r="B825" s="63"/>
      <c r="C825" s="64"/>
      <c r="D825" s="28"/>
      <c r="E825" s="28"/>
      <c r="F825" s="28"/>
      <c r="G825" s="64"/>
      <c r="H825" s="64"/>
      <c r="I825" s="28"/>
      <c r="J825" s="28"/>
      <c r="K825" s="65" t="str">
        <f aca="false">IF($A825="","",IF(OR($C825="Decision",$C825="Conflict"),IF(COUNTIFS($I$2:$I$1001,$A825,$C$2:$C$1001,"Resolved")=0,"Open","Closed"),IF(AND($H825="Unconfirmed",OR($C825="New",$C825="Know")),IF(COUNTIFS($I$2:$I$1001,$A825,$C$2:$C$1001,"Confirmed")=0,"Unconfirmed","Confirmed"),"Logged")))</f>
        <v/>
      </c>
      <c r="L825" s="65" t="str">
        <f aca="false">IF($A825="","",AsOf-$B825)</f>
        <v/>
      </c>
      <c r="M825" s="65" t="str">
        <f aca="false">IF($K825="Open",IF($C825="Conflict","Critical",IF($L825&gt;=DecisionCritical,"Critical",IF($L825&gt;=DecisionWarn,"Warning","On track"))),IF($K825="Unconfirmed",IF($L825&gt;=UnconfirmedWarn,"Warning","On track"),""))</f>
        <v/>
      </c>
      <c r="N825" s="65" t="str">
        <f aca="false">IF($M825="","",IF($M825="Critical",3000,IF($M825="Warning",2000,1000))+$L825+ROW()/100000)</f>
        <v/>
      </c>
      <c r="O825" s="65" t="str">
        <f aca="false">IF($K825="Open",IF($C825="Conflict","decide "&amp;$A825&amp;": &lt;which version stands&gt;","decide "&amp;$A825&amp;": &lt;outcome&gt;"),IF($K825="Unconfirmed","confirm "&amp;$A825,""))</f>
        <v/>
      </c>
      <c r="P825" s="65" t="str">
        <f aca="false">IF(AND($C825="New",$B825&gt;=WeekStart),$B825+ROW()/100000,"")</f>
        <v/>
      </c>
      <c r="Q825" s="65" t="str">
        <f aca="false">IF(AND($C825="Know",$B825&gt;=WeekStart),$B825+ROW()/100000,"")</f>
        <v/>
      </c>
      <c r="R825" s="65" t="str">
        <f aca="false">IF(AND($K825="Open",$C825="Decision"),$L825+ROW()/100000,"")</f>
        <v/>
      </c>
      <c r="S825" s="65" t="str">
        <f aca="false">IF(AND($J825&lt;&gt;"",$J825=UCSel),$B825+ROW()/100000,"")</f>
        <v/>
      </c>
    </row>
    <row r="826" customFormat="false" ht="15" hidden="false" customHeight="false" outlineLevel="0" collapsed="false">
      <c r="A826" s="28"/>
      <c r="B826" s="63"/>
      <c r="C826" s="64"/>
      <c r="D826" s="28"/>
      <c r="E826" s="28"/>
      <c r="F826" s="28"/>
      <c r="G826" s="64"/>
      <c r="H826" s="64"/>
      <c r="I826" s="28"/>
      <c r="J826" s="28"/>
      <c r="K826" s="65" t="str">
        <f aca="false">IF($A826="","",IF(OR($C826="Decision",$C826="Conflict"),IF(COUNTIFS($I$2:$I$1001,$A826,$C$2:$C$1001,"Resolved")=0,"Open","Closed"),IF(AND($H826="Unconfirmed",OR($C826="New",$C826="Know")),IF(COUNTIFS($I$2:$I$1001,$A826,$C$2:$C$1001,"Confirmed")=0,"Unconfirmed","Confirmed"),"Logged")))</f>
        <v/>
      </c>
      <c r="L826" s="65" t="str">
        <f aca="false">IF($A826="","",AsOf-$B826)</f>
        <v/>
      </c>
      <c r="M826" s="65" t="str">
        <f aca="false">IF($K826="Open",IF($C826="Conflict","Critical",IF($L826&gt;=DecisionCritical,"Critical",IF($L826&gt;=DecisionWarn,"Warning","On track"))),IF($K826="Unconfirmed",IF($L826&gt;=UnconfirmedWarn,"Warning","On track"),""))</f>
        <v/>
      </c>
      <c r="N826" s="65" t="str">
        <f aca="false">IF($M826="","",IF($M826="Critical",3000,IF($M826="Warning",2000,1000))+$L826+ROW()/100000)</f>
        <v/>
      </c>
      <c r="O826" s="65" t="str">
        <f aca="false">IF($K826="Open",IF($C826="Conflict","decide "&amp;$A826&amp;": &lt;which version stands&gt;","decide "&amp;$A826&amp;": &lt;outcome&gt;"),IF($K826="Unconfirmed","confirm "&amp;$A826,""))</f>
        <v/>
      </c>
      <c r="P826" s="65" t="str">
        <f aca="false">IF(AND($C826="New",$B826&gt;=WeekStart),$B826+ROW()/100000,"")</f>
        <v/>
      </c>
      <c r="Q826" s="65" t="str">
        <f aca="false">IF(AND($C826="Know",$B826&gt;=WeekStart),$B826+ROW()/100000,"")</f>
        <v/>
      </c>
      <c r="R826" s="65" t="str">
        <f aca="false">IF(AND($K826="Open",$C826="Decision"),$L826+ROW()/100000,"")</f>
        <v/>
      </c>
      <c r="S826" s="65" t="str">
        <f aca="false">IF(AND($J826&lt;&gt;"",$J826=UCSel),$B826+ROW()/100000,"")</f>
        <v/>
      </c>
    </row>
    <row r="827" customFormat="false" ht="15" hidden="false" customHeight="false" outlineLevel="0" collapsed="false">
      <c r="A827" s="28"/>
      <c r="B827" s="63"/>
      <c r="C827" s="64"/>
      <c r="D827" s="28"/>
      <c r="E827" s="28"/>
      <c r="F827" s="28"/>
      <c r="G827" s="64"/>
      <c r="H827" s="64"/>
      <c r="I827" s="28"/>
      <c r="J827" s="28"/>
      <c r="K827" s="65" t="str">
        <f aca="false">IF($A827="","",IF(OR($C827="Decision",$C827="Conflict"),IF(COUNTIFS($I$2:$I$1001,$A827,$C$2:$C$1001,"Resolved")=0,"Open","Closed"),IF(AND($H827="Unconfirmed",OR($C827="New",$C827="Know")),IF(COUNTIFS($I$2:$I$1001,$A827,$C$2:$C$1001,"Confirmed")=0,"Unconfirmed","Confirmed"),"Logged")))</f>
        <v/>
      </c>
      <c r="L827" s="65" t="str">
        <f aca="false">IF($A827="","",AsOf-$B827)</f>
        <v/>
      </c>
      <c r="M827" s="65" t="str">
        <f aca="false">IF($K827="Open",IF($C827="Conflict","Critical",IF($L827&gt;=DecisionCritical,"Critical",IF($L827&gt;=DecisionWarn,"Warning","On track"))),IF($K827="Unconfirmed",IF($L827&gt;=UnconfirmedWarn,"Warning","On track"),""))</f>
        <v/>
      </c>
      <c r="N827" s="65" t="str">
        <f aca="false">IF($M827="","",IF($M827="Critical",3000,IF($M827="Warning",2000,1000))+$L827+ROW()/100000)</f>
        <v/>
      </c>
      <c r="O827" s="65" t="str">
        <f aca="false">IF($K827="Open",IF($C827="Conflict","decide "&amp;$A827&amp;": &lt;which version stands&gt;","decide "&amp;$A827&amp;": &lt;outcome&gt;"),IF($K827="Unconfirmed","confirm "&amp;$A827,""))</f>
        <v/>
      </c>
      <c r="P827" s="65" t="str">
        <f aca="false">IF(AND($C827="New",$B827&gt;=WeekStart),$B827+ROW()/100000,"")</f>
        <v/>
      </c>
      <c r="Q827" s="65" t="str">
        <f aca="false">IF(AND($C827="Know",$B827&gt;=WeekStart),$B827+ROW()/100000,"")</f>
        <v/>
      </c>
      <c r="R827" s="65" t="str">
        <f aca="false">IF(AND($K827="Open",$C827="Decision"),$L827+ROW()/100000,"")</f>
        <v/>
      </c>
      <c r="S827" s="65" t="str">
        <f aca="false">IF(AND($J827&lt;&gt;"",$J827=UCSel),$B827+ROW()/100000,"")</f>
        <v/>
      </c>
    </row>
    <row r="828" customFormat="false" ht="15" hidden="false" customHeight="false" outlineLevel="0" collapsed="false">
      <c r="A828" s="28"/>
      <c r="B828" s="63"/>
      <c r="C828" s="64"/>
      <c r="D828" s="28"/>
      <c r="E828" s="28"/>
      <c r="F828" s="28"/>
      <c r="G828" s="64"/>
      <c r="H828" s="64"/>
      <c r="I828" s="28"/>
      <c r="J828" s="28"/>
      <c r="K828" s="65" t="str">
        <f aca="false">IF($A828="","",IF(OR($C828="Decision",$C828="Conflict"),IF(COUNTIFS($I$2:$I$1001,$A828,$C$2:$C$1001,"Resolved")=0,"Open","Closed"),IF(AND($H828="Unconfirmed",OR($C828="New",$C828="Know")),IF(COUNTIFS($I$2:$I$1001,$A828,$C$2:$C$1001,"Confirmed")=0,"Unconfirmed","Confirmed"),"Logged")))</f>
        <v/>
      </c>
      <c r="L828" s="65" t="str">
        <f aca="false">IF($A828="","",AsOf-$B828)</f>
        <v/>
      </c>
      <c r="M828" s="65" t="str">
        <f aca="false">IF($K828="Open",IF($C828="Conflict","Critical",IF($L828&gt;=DecisionCritical,"Critical",IF($L828&gt;=DecisionWarn,"Warning","On track"))),IF($K828="Unconfirmed",IF($L828&gt;=UnconfirmedWarn,"Warning","On track"),""))</f>
        <v/>
      </c>
      <c r="N828" s="65" t="str">
        <f aca="false">IF($M828="","",IF($M828="Critical",3000,IF($M828="Warning",2000,1000))+$L828+ROW()/100000)</f>
        <v/>
      </c>
      <c r="O828" s="65" t="str">
        <f aca="false">IF($K828="Open",IF($C828="Conflict","decide "&amp;$A828&amp;": &lt;which version stands&gt;","decide "&amp;$A828&amp;": &lt;outcome&gt;"),IF($K828="Unconfirmed","confirm "&amp;$A828,""))</f>
        <v/>
      </c>
      <c r="P828" s="65" t="str">
        <f aca="false">IF(AND($C828="New",$B828&gt;=WeekStart),$B828+ROW()/100000,"")</f>
        <v/>
      </c>
      <c r="Q828" s="65" t="str">
        <f aca="false">IF(AND($C828="Know",$B828&gt;=WeekStart),$B828+ROW()/100000,"")</f>
        <v/>
      </c>
      <c r="R828" s="65" t="str">
        <f aca="false">IF(AND($K828="Open",$C828="Decision"),$L828+ROW()/100000,"")</f>
        <v/>
      </c>
      <c r="S828" s="65" t="str">
        <f aca="false">IF(AND($J828&lt;&gt;"",$J828=UCSel),$B828+ROW()/100000,"")</f>
        <v/>
      </c>
    </row>
    <row r="829" customFormat="false" ht="15" hidden="false" customHeight="false" outlineLevel="0" collapsed="false">
      <c r="A829" s="28"/>
      <c r="B829" s="63"/>
      <c r="C829" s="64"/>
      <c r="D829" s="28"/>
      <c r="E829" s="28"/>
      <c r="F829" s="28"/>
      <c r="G829" s="64"/>
      <c r="H829" s="64"/>
      <c r="I829" s="28"/>
      <c r="J829" s="28"/>
      <c r="K829" s="65" t="str">
        <f aca="false">IF($A829="","",IF(OR($C829="Decision",$C829="Conflict"),IF(COUNTIFS($I$2:$I$1001,$A829,$C$2:$C$1001,"Resolved")=0,"Open","Closed"),IF(AND($H829="Unconfirmed",OR($C829="New",$C829="Know")),IF(COUNTIFS($I$2:$I$1001,$A829,$C$2:$C$1001,"Confirmed")=0,"Unconfirmed","Confirmed"),"Logged")))</f>
        <v/>
      </c>
      <c r="L829" s="65" t="str">
        <f aca="false">IF($A829="","",AsOf-$B829)</f>
        <v/>
      </c>
      <c r="M829" s="65" t="str">
        <f aca="false">IF($K829="Open",IF($C829="Conflict","Critical",IF($L829&gt;=DecisionCritical,"Critical",IF($L829&gt;=DecisionWarn,"Warning","On track"))),IF($K829="Unconfirmed",IF($L829&gt;=UnconfirmedWarn,"Warning","On track"),""))</f>
        <v/>
      </c>
      <c r="N829" s="65" t="str">
        <f aca="false">IF($M829="","",IF($M829="Critical",3000,IF($M829="Warning",2000,1000))+$L829+ROW()/100000)</f>
        <v/>
      </c>
      <c r="O829" s="65" t="str">
        <f aca="false">IF($K829="Open",IF($C829="Conflict","decide "&amp;$A829&amp;": &lt;which version stands&gt;","decide "&amp;$A829&amp;": &lt;outcome&gt;"),IF($K829="Unconfirmed","confirm "&amp;$A829,""))</f>
        <v/>
      </c>
      <c r="P829" s="65" t="str">
        <f aca="false">IF(AND($C829="New",$B829&gt;=WeekStart),$B829+ROW()/100000,"")</f>
        <v/>
      </c>
      <c r="Q829" s="65" t="str">
        <f aca="false">IF(AND($C829="Know",$B829&gt;=WeekStart),$B829+ROW()/100000,"")</f>
        <v/>
      </c>
      <c r="R829" s="65" t="str">
        <f aca="false">IF(AND($K829="Open",$C829="Decision"),$L829+ROW()/100000,"")</f>
        <v/>
      </c>
      <c r="S829" s="65" t="str">
        <f aca="false">IF(AND($J829&lt;&gt;"",$J829=UCSel),$B829+ROW()/100000,"")</f>
        <v/>
      </c>
    </row>
    <row r="830" customFormat="false" ht="15" hidden="false" customHeight="false" outlineLevel="0" collapsed="false">
      <c r="A830" s="28"/>
      <c r="B830" s="63"/>
      <c r="C830" s="64"/>
      <c r="D830" s="28"/>
      <c r="E830" s="28"/>
      <c r="F830" s="28"/>
      <c r="G830" s="64"/>
      <c r="H830" s="64"/>
      <c r="I830" s="28"/>
      <c r="J830" s="28"/>
      <c r="K830" s="65" t="str">
        <f aca="false">IF($A830="","",IF(OR($C830="Decision",$C830="Conflict"),IF(COUNTIFS($I$2:$I$1001,$A830,$C$2:$C$1001,"Resolved")=0,"Open","Closed"),IF(AND($H830="Unconfirmed",OR($C830="New",$C830="Know")),IF(COUNTIFS($I$2:$I$1001,$A830,$C$2:$C$1001,"Confirmed")=0,"Unconfirmed","Confirmed"),"Logged")))</f>
        <v/>
      </c>
      <c r="L830" s="65" t="str">
        <f aca="false">IF($A830="","",AsOf-$B830)</f>
        <v/>
      </c>
      <c r="M830" s="65" t="str">
        <f aca="false">IF($K830="Open",IF($C830="Conflict","Critical",IF($L830&gt;=DecisionCritical,"Critical",IF($L830&gt;=DecisionWarn,"Warning","On track"))),IF($K830="Unconfirmed",IF($L830&gt;=UnconfirmedWarn,"Warning","On track"),""))</f>
        <v/>
      </c>
      <c r="N830" s="65" t="str">
        <f aca="false">IF($M830="","",IF($M830="Critical",3000,IF($M830="Warning",2000,1000))+$L830+ROW()/100000)</f>
        <v/>
      </c>
      <c r="O830" s="65" t="str">
        <f aca="false">IF($K830="Open",IF($C830="Conflict","decide "&amp;$A830&amp;": &lt;which version stands&gt;","decide "&amp;$A830&amp;": &lt;outcome&gt;"),IF($K830="Unconfirmed","confirm "&amp;$A830,""))</f>
        <v/>
      </c>
      <c r="P830" s="65" t="str">
        <f aca="false">IF(AND($C830="New",$B830&gt;=WeekStart),$B830+ROW()/100000,"")</f>
        <v/>
      </c>
      <c r="Q830" s="65" t="str">
        <f aca="false">IF(AND($C830="Know",$B830&gt;=WeekStart),$B830+ROW()/100000,"")</f>
        <v/>
      </c>
      <c r="R830" s="65" t="str">
        <f aca="false">IF(AND($K830="Open",$C830="Decision"),$L830+ROW()/100000,"")</f>
        <v/>
      </c>
      <c r="S830" s="65" t="str">
        <f aca="false">IF(AND($J830&lt;&gt;"",$J830=UCSel),$B830+ROW()/100000,"")</f>
        <v/>
      </c>
    </row>
    <row r="831" customFormat="false" ht="15" hidden="false" customHeight="false" outlineLevel="0" collapsed="false">
      <c r="A831" s="28"/>
      <c r="B831" s="63"/>
      <c r="C831" s="64"/>
      <c r="D831" s="28"/>
      <c r="E831" s="28"/>
      <c r="F831" s="28"/>
      <c r="G831" s="64"/>
      <c r="H831" s="64"/>
      <c r="I831" s="28"/>
      <c r="J831" s="28"/>
      <c r="K831" s="65" t="str">
        <f aca="false">IF($A831="","",IF(OR($C831="Decision",$C831="Conflict"),IF(COUNTIFS($I$2:$I$1001,$A831,$C$2:$C$1001,"Resolved")=0,"Open","Closed"),IF(AND($H831="Unconfirmed",OR($C831="New",$C831="Know")),IF(COUNTIFS($I$2:$I$1001,$A831,$C$2:$C$1001,"Confirmed")=0,"Unconfirmed","Confirmed"),"Logged")))</f>
        <v/>
      </c>
      <c r="L831" s="65" t="str">
        <f aca="false">IF($A831="","",AsOf-$B831)</f>
        <v/>
      </c>
      <c r="M831" s="65" t="str">
        <f aca="false">IF($K831="Open",IF($C831="Conflict","Critical",IF($L831&gt;=DecisionCritical,"Critical",IF($L831&gt;=DecisionWarn,"Warning","On track"))),IF($K831="Unconfirmed",IF($L831&gt;=UnconfirmedWarn,"Warning","On track"),""))</f>
        <v/>
      </c>
      <c r="N831" s="65" t="str">
        <f aca="false">IF($M831="","",IF($M831="Critical",3000,IF($M831="Warning",2000,1000))+$L831+ROW()/100000)</f>
        <v/>
      </c>
      <c r="O831" s="65" t="str">
        <f aca="false">IF($K831="Open",IF($C831="Conflict","decide "&amp;$A831&amp;": &lt;which version stands&gt;","decide "&amp;$A831&amp;": &lt;outcome&gt;"),IF($K831="Unconfirmed","confirm "&amp;$A831,""))</f>
        <v/>
      </c>
      <c r="P831" s="65" t="str">
        <f aca="false">IF(AND($C831="New",$B831&gt;=WeekStart),$B831+ROW()/100000,"")</f>
        <v/>
      </c>
      <c r="Q831" s="65" t="str">
        <f aca="false">IF(AND($C831="Know",$B831&gt;=WeekStart),$B831+ROW()/100000,"")</f>
        <v/>
      </c>
      <c r="R831" s="65" t="str">
        <f aca="false">IF(AND($K831="Open",$C831="Decision"),$L831+ROW()/100000,"")</f>
        <v/>
      </c>
      <c r="S831" s="65" t="str">
        <f aca="false">IF(AND($J831&lt;&gt;"",$J831=UCSel),$B831+ROW()/100000,"")</f>
        <v/>
      </c>
    </row>
    <row r="832" customFormat="false" ht="15" hidden="false" customHeight="false" outlineLevel="0" collapsed="false">
      <c r="A832" s="28"/>
      <c r="B832" s="63"/>
      <c r="C832" s="64"/>
      <c r="D832" s="28"/>
      <c r="E832" s="28"/>
      <c r="F832" s="28"/>
      <c r="G832" s="64"/>
      <c r="H832" s="64"/>
      <c r="I832" s="28"/>
      <c r="J832" s="28"/>
      <c r="K832" s="65" t="str">
        <f aca="false">IF($A832="","",IF(OR($C832="Decision",$C832="Conflict"),IF(COUNTIFS($I$2:$I$1001,$A832,$C$2:$C$1001,"Resolved")=0,"Open","Closed"),IF(AND($H832="Unconfirmed",OR($C832="New",$C832="Know")),IF(COUNTIFS($I$2:$I$1001,$A832,$C$2:$C$1001,"Confirmed")=0,"Unconfirmed","Confirmed"),"Logged")))</f>
        <v/>
      </c>
      <c r="L832" s="65" t="str">
        <f aca="false">IF($A832="","",AsOf-$B832)</f>
        <v/>
      </c>
      <c r="M832" s="65" t="str">
        <f aca="false">IF($K832="Open",IF($C832="Conflict","Critical",IF($L832&gt;=DecisionCritical,"Critical",IF($L832&gt;=DecisionWarn,"Warning","On track"))),IF($K832="Unconfirmed",IF($L832&gt;=UnconfirmedWarn,"Warning","On track"),""))</f>
        <v/>
      </c>
      <c r="N832" s="65" t="str">
        <f aca="false">IF($M832="","",IF($M832="Critical",3000,IF($M832="Warning",2000,1000))+$L832+ROW()/100000)</f>
        <v/>
      </c>
      <c r="O832" s="65" t="str">
        <f aca="false">IF($K832="Open",IF($C832="Conflict","decide "&amp;$A832&amp;": &lt;which version stands&gt;","decide "&amp;$A832&amp;": &lt;outcome&gt;"),IF($K832="Unconfirmed","confirm "&amp;$A832,""))</f>
        <v/>
      </c>
      <c r="P832" s="65" t="str">
        <f aca="false">IF(AND($C832="New",$B832&gt;=WeekStart),$B832+ROW()/100000,"")</f>
        <v/>
      </c>
      <c r="Q832" s="65" t="str">
        <f aca="false">IF(AND($C832="Know",$B832&gt;=WeekStart),$B832+ROW()/100000,"")</f>
        <v/>
      </c>
      <c r="R832" s="65" t="str">
        <f aca="false">IF(AND($K832="Open",$C832="Decision"),$L832+ROW()/100000,"")</f>
        <v/>
      </c>
      <c r="S832" s="65" t="str">
        <f aca="false">IF(AND($J832&lt;&gt;"",$J832=UCSel),$B832+ROW()/100000,"")</f>
        <v/>
      </c>
    </row>
    <row r="833" customFormat="false" ht="15" hidden="false" customHeight="false" outlineLevel="0" collapsed="false">
      <c r="A833" s="28"/>
      <c r="B833" s="63"/>
      <c r="C833" s="64"/>
      <c r="D833" s="28"/>
      <c r="E833" s="28"/>
      <c r="F833" s="28"/>
      <c r="G833" s="64"/>
      <c r="H833" s="64"/>
      <c r="I833" s="28"/>
      <c r="J833" s="28"/>
      <c r="K833" s="65" t="str">
        <f aca="false">IF($A833="","",IF(OR($C833="Decision",$C833="Conflict"),IF(COUNTIFS($I$2:$I$1001,$A833,$C$2:$C$1001,"Resolved")=0,"Open","Closed"),IF(AND($H833="Unconfirmed",OR($C833="New",$C833="Know")),IF(COUNTIFS($I$2:$I$1001,$A833,$C$2:$C$1001,"Confirmed")=0,"Unconfirmed","Confirmed"),"Logged")))</f>
        <v/>
      </c>
      <c r="L833" s="65" t="str">
        <f aca="false">IF($A833="","",AsOf-$B833)</f>
        <v/>
      </c>
      <c r="M833" s="65" t="str">
        <f aca="false">IF($K833="Open",IF($C833="Conflict","Critical",IF($L833&gt;=DecisionCritical,"Critical",IF($L833&gt;=DecisionWarn,"Warning","On track"))),IF($K833="Unconfirmed",IF($L833&gt;=UnconfirmedWarn,"Warning","On track"),""))</f>
        <v/>
      </c>
      <c r="N833" s="65" t="str">
        <f aca="false">IF($M833="","",IF($M833="Critical",3000,IF($M833="Warning",2000,1000))+$L833+ROW()/100000)</f>
        <v/>
      </c>
      <c r="O833" s="65" t="str">
        <f aca="false">IF($K833="Open",IF($C833="Conflict","decide "&amp;$A833&amp;": &lt;which version stands&gt;","decide "&amp;$A833&amp;": &lt;outcome&gt;"),IF($K833="Unconfirmed","confirm "&amp;$A833,""))</f>
        <v/>
      </c>
      <c r="P833" s="65" t="str">
        <f aca="false">IF(AND($C833="New",$B833&gt;=WeekStart),$B833+ROW()/100000,"")</f>
        <v/>
      </c>
      <c r="Q833" s="65" t="str">
        <f aca="false">IF(AND($C833="Know",$B833&gt;=WeekStart),$B833+ROW()/100000,"")</f>
        <v/>
      </c>
      <c r="R833" s="65" t="str">
        <f aca="false">IF(AND($K833="Open",$C833="Decision"),$L833+ROW()/100000,"")</f>
        <v/>
      </c>
      <c r="S833" s="65" t="str">
        <f aca="false">IF(AND($J833&lt;&gt;"",$J833=UCSel),$B833+ROW()/100000,"")</f>
        <v/>
      </c>
    </row>
    <row r="834" customFormat="false" ht="15" hidden="false" customHeight="false" outlineLevel="0" collapsed="false">
      <c r="A834" s="28"/>
      <c r="B834" s="63"/>
      <c r="C834" s="64"/>
      <c r="D834" s="28"/>
      <c r="E834" s="28"/>
      <c r="F834" s="28"/>
      <c r="G834" s="64"/>
      <c r="H834" s="64"/>
      <c r="I834" s="28"/>
      <c r="J834" s="28"/>
      <c r="K834" s="65" t="str">
        <f aca="false">IF($A834="","",IF(OR($C834="Decision",$C834="Conflict"),IF(COUNTIFS($I$2:$I$1001,$A834,$C$2:$C$1001,"Resolved")=0,"Open","Closed"),IF(AND($H834="Unconfirmed",OR($C834="New",$C834="Know")),IF(COUNTIFS($I$2:$I$1001,$A834,$C$2:$C$1001,"Confirmed")=0,"Unconfirmed","Confirmed"),"Logged")))</f>
        <v/>
      </c>
      <c r="L834" s="65" t="str">
        <f aca="false">IF($A834="","",AsOf-$B834)</f>
        <v/>
      </c>
      <c r="M834" s="65" t="str">
        <f aca="false">IF($K834="Open",IF($C834="Conflict","Critical",IF($L834&gt;=DecisionCritical,"Critical",IF($L834&gt;=DecisionWarn,"Warning","On track"))),IF($K834="Unconfirmed",IF($L834&gt;=UnconfirmedWarn,"Warning","On track"),""))</f>
        <v/>
      </c>
      <c r="N834" s="65" t="str">
        <f aca="false">IF($M834="","",IF($M834="Critical",3000,IF($M834="Warning",2000,1000))+$L834+ROW()/100000)</f>
        <v/>
      </c>
      <c r="O834" s="65" t="str">
        <f aca="false">IF($K834="Open",IF($C834="Conflict","decide "&amp;$A834&amp;": &lt;which version stands&gt;","decide "&amp;$A834&amp;": &lt;outcome&gt;"),IF($K834="Unconfirmed","confirm "&amp;$A834,""))</f>
        <v/>
      </c>
      <c r="P834" s="65" t="str">
        <f aca="false">IF(AND($C834="New",$B834&gt;=WeekStart),$B834+ROW()/100000,"")</f>
        <v/>
      </c>
      <c r="Q834" s="65" t="str">
        <f aca="false">IF(AND($C834="Know",$B834&gt;=WeekStart),$B834+ROW()/100000,"")</f>
        <v/>
      </c>
      <c r="R834" s="65" t="str">
        <f aca="false">IF(AND($K834="Open",$C834="Decision"),$L834+ROW()/100000,"")</f>
        <v/>
      </c>
      <c r="S834" s="65" t="str">
        <f aca="false">IF(AND($J834&lt;&gt;"",$J834=UCSel),$B834+ROW()/100000,"")</f>
        <v/>
      </c>
    </row>
    <row r="835" customFormat="false" ht="15" hidden="false" customHeight="false" outlineLevel="0" collapsed="false">
      <c r="A835" s="28"/>
      <c r="B835" s="63"/>
      <c r="C835" s="64"/>
      <c r="D835" s="28"/>
      <c r="E835" s="28"/>
      <c r="F835" s="28"/>
      <c r="G835" s="64"/>
      <c r="H835" s="64"/>
      <c r="I835" s="28"/>
      <c r="J835" s="28"/>
      <c r="K835" s="65" t="str">
        <f aca="false">IF($A835="","",IF(OR($C835="Decision",$C835="Conflict"),IF(COUNTIFS($I$2:$I$1001,$A835,$C$2:$C$1001,"Resolved")=0,"Open","Closed"),IF(AND($H835="Unconfirmed",OR($C835="New",$C835="Know")),IF(COUNTIFS($I$2:$I$1001,$A835,$C$2:$C$1001,"Confirmed")=0,"Unconfirmed","Confirmed"),"Logged")))</f>
        <v/>
      </c>
      <c r="L835" s="65" t="str">
        <f aca="false">IF($A835="","",AsOf-$B835)</f>
        <v/>
      </c>
      <c r="M835" s="65" t="str">
        <f aca="false">IF($K835="Open",IF($C835="Conflict","Critical",IF($L835&gt;=DecisionCritical,"Critical",IF($L835&gt;=DecisionWarn,"Warning","On track"))),IF($K835="Unconfirmed",IF($L835&gt;=UnconfirmedWarn,"Warning","On track"),""))</f>
        <v/>
      </c>
      <c r="N835" s="65" t="str">
        <f aca="false">IF($M835="","",IF($M835="Critical",3000,IF($M835="Warning",2000,1000))+$L835+ROW()/100000)</f>
        <v/>
      </c>
      <c r="O835" s="65" t="str">
        <f aca="false">IF($K835="Open",IF($C835="Conflict","decide "&amp;$A835&amp;": &lt;which version stands&gt;","decide "&amp;$A835&amp;": &lt;outcome&gt;"),IF($K835="Unconfirmed","confirm "&amp;$A835,""))</f>
        <v/>
      </c>
      <c r="P835" s="65" t="str">
        <f aca="false">IF(AND($C835="New",$B835&gt;=WeekStart),$B835+ROW()/100000,"")</f>
        <v/>
      </c>
      <c r="Q835" s="65" t="str">
        <f aca="false">IF(AND($C835="Know",$B835&gt;=WeekStart),$B835+ROW()/100000,"")</f>
        <v/>
      </c>
      <c r="R835" s="65" t="str">
        <f aca="false">IF(AND($K835="Open",$C835="Decision"),$L835+ROW()/100000,"")</f>
        <v/>
      </c>
      <c r="S835" s="65" t="str">
        <f aca="false">IF(AND($J835&lt;&gt;"",$J835=UCSel),$B835+ROW()/100000,"")</f>
        <v/>
      </c>
    </row>
    <row r="836" customFormat="false" ht="15" hidden="false" customHeight="false" outlineLevel="0" collapsed="false">
      <c r="A836" s="28"/>
      <c r="B836" s="63"/>
      <c r="C836" s="64"/>
      <c r="D836" s="28"/>
      <c r="E836" s="28"/>
      <c r="F836" s="28"/>
      <c r="G836" s="64"/>
      <c r="H836" s="64"/>
      <c r="I836" s="28"/>
      <c r="J836" s="28"/>
      <c r="K836" s="65" t="str">
        <f aca="false">IF($A836="","",IF(OR($C836="Decision",$C836="Conflict"),IF(COUNTIFS($I$2:$I$1001,$A836,$C$2:$C$1001,"Resolved")=0,"Open","Closed"),IF(AND($H836="Unconfirmed",OR($C836="New",$C836="Know")),IF(COUNTIFS($I$2:$I$1001,$A836,$C$2:$C$1001,"Confirmed")=0,"Unconfirmed","Confirmed"),"Logged")))</f>
        <v/>
      </c>
      <c r="L836" s="65" t="str">
        <f aca="false">IF($A836="","",AsOf-$B836)</f>
        <v/>
      </c>
      <c r="M836" s="65" t="str">
        <f aca="false">IF($K836="Open",IF($C836="Conflict","Critical",IF($L836&gt;=DecisionCritical,"Critical",IF($L836&gt;=DecisionWarn,"Warning","On track"))),IF($K836="Unconfirmed",IF($L836&gt;=UnconfirmedWarn,"Warning","On track"),""))</f>
        <v/>
      </c>
      <c r="N836" s="65" t="str">
        <f aca="false">IF($M836="","",IF($M836="Critical",3000,IF($M836="Warning",2000,1000))+$L836+ROW()/100000)</f>
        <v/>
      </c>
      <c r="O836" s="65" t="str">
        <f aca="false">IF($K836="Open",IF($C836="Conflict","decide "&amp;$A836&amp;": &lt;which version stands&gt;","decide "&amp;$A836&amp;": &lt;outcome&gt;"),IF($K836="Unconfirmed","confirm "&amp;$A836,""))</f>
        <v/>
      </c>
      <c r="P836" s="65" t="str">
        <f aca="false">IF(AND($C836="New",$B836&gt;=WeekStart),$B836+ROW()/100000,"")</f>
        <v/>
      </c>
      <c r="Q836" s="65" t="str">
        <f aca="false">IF(AND($C836="Know",$B836&gt;=WeekStart),$B836+ROW()/100000,"")</f>
        <v/>
      </c>
      <c r="R836" s="65" t="str">
        <f aca="false">IF(AND($K836="Open",$C836="Decision"),$L836+ROW()/100000,"")</f>
        <v/>
      </c>
      <c r="S836" s="65" t="str">
        <f aca="false">IF(AND($J836&lt;&gt;"",$J836=UCSel),$B836+ROW()/100000,"")</f>
        <v/>
      </c>
    </row>
    <row r="837" customFormat="false" ht="15" hidden="false" customHeight="false" outlineLevel="0" collapsed="false">
      <c r="A837" s="28"/>
      <c r="B837" s="63"/>
      <c r="C837" s="64"/>
      <c r="D837" s="28"/>
      <c r="E837" s="28"/>
      <c r="F837" s="28"/>
      <c r="G837" s="64"/>
      <c r="H837" s="64"/>
      <c r="I837" s="28"/>
      <c r="J837" s="28"/>
      <c r="K837" s="65" t="str">
        <f aca="false">IF($A837="","",IF(OR($C837="Decision",$C837="Conflict"),IF(COUNTIFS($I$2:$I$1001,$A837,$C$2:$C$1001,"Resolved")=0,"Open","Closed"),IF(AND($H837="Unconfirmed",OR($C837="New",$C837="Know")),IF(COUNTIFS($I$2:$I$1001,$A837,$C$2:$C$1001,"Confirmed")=0,"Unconfirmed","Confirmed"),"Logged")))</f>
        <v/>
      </c>
      <c r="L837" s="65" t="str">
        <f aca="false">IF($A837="","",AsOf-$B837)</f>
        <v/>
      </c>
      <c r="M837" s="65" t="str">
        <f aca="false">IF($K837="Open",IF($C837="Conflict","Critical",IF($L837&gt;=DecisionCritical,"Critical",IF($L837&gt;=DecisionWarn,"Warning","On track"))),IF($K837="Unconfirmed",IF($L837&gt;=UnconfirmedWarn,"Warning","On track"),""))</f>
        <v/>
      </c>
      <c r="N837" s="65" t="str">
        <f aca="false">IF($M837="","",IF($M837="Critical",3000,IF($M837="Warning",2000,1000))+$L837+ROW()/100000)</f>
        <v/>
      </c>
      <c r="O837" s="65" t="str">
        <f aca="false">IF($K837="Open",IF($C837="Conflict","decide "&amp;$A837&amp;": &lt;which version stands&gt;","decide "&amp;$A837&amp;": &lt;outcome&gt;"),IF($K837="Unconfirmed","confirm "&amp;$A837,""))</f>
        <v/>
      </c>
      <c r="P837" s="65" t="str">
        <f aca="false">IF(AND($C837="New",$B837&gt;=WeekStart),$B837+ROW()/100000,"")</f>
        <v/>
      </c>
      <c r="Q837" s="65" t="str">
        <f aca="false">IF(AND($C837="Know",$B837&gt;=WeekStart),$B837+ROW()/100000,"")</f>
        <v/>
      </c>
      <c r="R837" s="65" t="str">
        <f aca="false">IF(AND($K837="Open",$C837="Decision"),$L837+ROW()/100000,"")</f>
        <v/>
      </c>
      <c r="S837" s="65" t="str">
        <f aca="false">IF(AND($J837&lt;&gt;"",$J837=UCSel),$B837+ROW()/100000,"")</f>
        <v/>
      </c>
    </row>
    <row r="838" customFormat="false" ht="15" hidden="false" customHeight="false" outlineLevel="0" collapsed="false">
      <c r="A838" s="28"/>
      <c r="B838" s="63"/>
      <c r="C838" s="64"/>
      <c r="D838" s="28"/>
      <c r="E838" s="28"/>
      <c r="F838" s="28"/>
      <c r="G838" s="64"/>
      <c r="H838" s="64"/>
      <c r="I838" s="28"/>
      <c r="J838" s="28"/>
      <c r="K838" s="65" t="str">
        <f aca="false">IF($A838="","",IF(OR($C838="Decision",$C838="Conflict"),IF(COUNTIFS($I$2:$I$1001,$A838,$C$2:$C$1001,"Resolved")=0,"Open","Closed"),IF(AND($H838="Unconfirmed",OR($C838="New",$C838="Know")),IF(COUNTIFS($I$2:$I$1001,$A838,$C$2:$C$1001,"Confirmed")=0,"Unconfirmed","Confirmed"),"Logged")))</f>
        <v/>
      </c>
      <c r="L838" s="65" t="str">
        <f aca="false">IF($A838="","",AsOf-$B838)</f>
        <v/>
      </c>
      <c r="M838" s="65" t="str">
        <f aca="false">IF($K838="Open",IF($C838="Conflict","Critical",IF($L838&gt;=DecisionCritical,"Critical",IF($L838&gt;=DecisionWarn,"Warning","On track"))),IF($K838="Unconfirmed",IF($L838&gt;=UnconfirmedWarn,"Warning","On track"),""))</f>
        <v/>
      </c>
      <c r="N838" s="65" t="str">
        <f aca="false">IF($M838="","",IF($M838="Critical",3000,IF($M838="Warning",2000,1000))+$L838+ROW()/100000)</f>
        <v/>
      </c>
      <c r="O838" s="65" t="str">
        <f aca="false">IF($K838="Open",IF($C838="Conflict","decide "&amp;$A838&amp;": &lt;which version stands&gt;","decide "&amp;$A838&amp;": &lt;outcome&gt;"),IF($K838="Unconfirmed","confirm "&amp;$A838,""))</f>
        <v/>
      </c>
      <c r="P838" s="65" t="str">
        <f aca="false">IF(AND($C838="New",$B838&gt;=WeekStart),$B838+ROW()/100000,"")</f>
        <v/>
      </c>
      <c r="Q838" s="65" t="str">
        <f aca="false">IF(AND($C838="Know",$B838&gt;=WeekStart),$B838+ROW()/100000,"")</f>
        <v/>
      </c>
      <c r="R838" s="65" t="str">
        <f aca="false">IF(AND($K838="Open",$C838="Decision"),$L838+ROW()/100000,"")</f>
        <v/>
      </c>
      <c r="S838" s="65" t="str">
        <f aca="false">IF(AND($J838&lt;&gt;"",$J838=UCSel),$B838+ROW()/100000,"")</f>
        <v/>
      </c>
    </row>
    <row r="839" customFormat="false" ht="15" hidden="false" customHeight="false" outlineLevel="0" collapsed="false">
      <c r="A839" s="28"/>
      <c r="B839" s="63"/>
      <c r="C839" s="64"/>
      <c r="D839" s="28"/>
      <c r="E839" s="28"/>
      <c r="F839" s="28"/>
      <c r="G839" s="64"/>
      <c r="H839" s="64"/>
      <c r="I839" s="28"/>
      <c r="J839" s="28"/>
      <c r="K839" s="65" t="str">
        <f aca="false">IF($A839="","",IF(OR($C839="Decision",$C839="Conflict"),IF(COUNTIFS($I$2:$I$1001,$A839,$C$2:$C$1001,"Resolved")=0,"Open","Closed"),IF(AND($H839="Unconfirmed",OR($C839="New",$C839="Know")),IF(COUNTIFS($I$2:$I$1001,$A839,$C$2:$C$1001,"Confirmed")=0,"Unconfirmed","Confirmed"),"Logged")))</f>
        <v/>
      </c>
      <c r="L839" s="65" t="str">
        <f aca="false">IF($A839="","",AsOf-$B839)</f>
        <v/>
      </c>
      <c r="M839" s="65" t="str">
        <f aca="false">IF($K839="Open",IF($C839="Conflict","Critical",IF($L839&gt;=DecisionCritical,"Critical",IF($L839&gt;=DecisionWarn,"Warning","On track"))),IF($K839="Unconfirmed",IF($L839&gt;=UnconfirmedWarn,"Warning","On track"),""))</f>
        <v/>
      </c>
      <c r="N839" s="65" t="str">
        <f aca="false">IF($M839="","",IF($M839="Critical",3000,IF($M839="Warning",2000,1000))+$L839+ROW()/100000)</f>
        <v/>
      </c>
      <c r="O839" s="65" t="str">
        <f aca="false">IF($K839="Open",IF($C839="Conflict","decide "&amp;$A839&amp;": &lt;which version stands&gt;","decide "&amp;$A839&amp;": &lt;outcome&gt;"),IF($K839="Unconfirmed","confirm "&amp;$A839,""))</f>
        <v/>
      </c>
      <c r="P839" s="65" t="str">
        <f aca="false">IF(AND($C839="New",$B839&gt;=WeekStart),$B839+ROW()/100000,"")</f>
        <v/>
      </c>
      <c r="Q839" s="65" t="str">
        <f aca="false">IF(AND($C839="Know",$B839&gt;=WeekStart),$B839+ROW()/100000,"")</f>
        <v/>
      </c>
      <c r="R839" s="65" t="str">
        <f aca="false">IF(AND($K839="Open",$C839="Decision"),$L839+ROW()/100000,"")</f>
        <v/>
      </c>
      <c r="S839" s="65" t="str">
        <f aca="false">IF(AND($J839&lt;&gt;"",$J839=UCSel),$B839+ROW()/100000,"")</f>
        <v/>
      </c>
    </row>
    <row r="840" customFormat="false" ht="15" hidden="false" customHeight="false" outlineLevel="0" collapsed="false">
      <c r="A840" s="28"/>
      <c r="B840" s="63"/>
      <c r="C840" s="64"/>
      <c r="D840" s="28"/>
      <c r="E840" s="28"/>
      <c r="F840" s="28"/>
      <c r="G840" s="64"/>
      <c r="H840" s="64"/>
      <c r="I840" s="28"/>
      <c r="J840" s="28"/>
      <c r="K840" s="65" t="str">
        <f aca="false">IF($A840="","",IF(OR($C840="Decision",$C840="Conflict"),IF(COUNTIFS($I$2:$I$1001,$A840,$C$2:$C$1001,"Resolved")=0,"Open","Closed"),IF(AND($H840="Unconfirmed",OR($C840="New",$C840="Know")),IF(COUNTIFS($I$2:$I$1001,$A840,$C$2:$C$1001,"Confirmed")=0,"Unconfirmed","Confirmed"),"Logged")))</f>
        <v/>
      </c>
      <c r="L840" s="65" t="str">
        <f aca="false">IF($A840="","",AsOf-$B840)</f>
        <v/>
      </c>
      <c r="M840" s="65" t="str">
        <f aca="false">IF($K840="Open",IF($C840="Conflict","Critical",IF($L840&gt;=DecisionCritical,"Critical",IF($L840&gt;=DecisionWarn,"Warning","On track"))),IF($K840="Unconfirmed",IF($L840&gt;=UnconfirmedWarn,"Warning","On track"),""))</f>
        <v/>
      </c>
      <c r="N840" s="65" t="str">
        <f aca="false">IF($M840="","",IF($M840="Critical",3000,IF($M840="Warning",2000,1000))+$L840+ROW()/100000)</f>
        <v/>
      </c>
      <c r="O840" s="65" t="str">
        <f aca="false">IF($K840="Open",IF($C840="Conflict","decide "&amp;$A840&amp;": &lt;which version stands&gt;","decide "&amp;$A840&amp;": &lt;outcome&gt;"),IF($K840="Unconfirmed","confirm "&amp;$A840,""))</f>
        <v/>
      </c>
      <c r="P840" s="65" t="str">
        <f aca="false">IF(AND($C840="New",$B840&gt;=WeekStart),$B840+ROW()/100000,"")</f>
        <v/>
      </c>
      <c r="Q840" s="65" t="str">
        <f aca="false">IF(AND($C840="Know",$B840&gt;=WeekStart),$B840+ROW()/100000,"")</f>
        <v/>
      </c>
      <c r="R840" s="65" t="str">
        <f aca="false">IF(AND($K840="Open",$C840="Decision"),$L840+ROW()/100000,"")</f>
        <v/>
      </c>
      <c r="S840" s="65" t="str">
        <f aca="false">IF(AND($J840&lt;&gt;"",$J840=UCSel),$B840+ROW()/100000,"")</f>
        <v/>
      </c>
    </row>
    <row r="841" customFormat="false" ht="15" hidden="false" customHeight="false" outlineLevel="0" collapsed="false">
      <c r="A841" s="28"/>
      <c r="B841" s="63"/>
      <c r="C841" s="64"/>
      <c r="D841" s="28"/>
      <c r="E841" s="28"/>
      <c r="F841" s="28"/>
      <c r="G841" s="64"/>
      <c r="H841" s="64"/>
      <c r="I841" s="28"/>
      <c r="J841" s="28"/>
      <c r="K841" s="65" t="str">
        <f aca="false">IF($A841="","",IF(OR($C841="Decision",$C841="Conflict"),IF(COUNTIFS($I$2:$I$1001,$A841,$C$2:$C$1001,"Resolved")=0,"Open","Closed"),IF(AND($H841="Unconfirmed",OR($C841="New",$C841="Know")),IF(COUNTIFS($I$2:$I$1001,$A841,$C$2:$C$1001,"Confirmed")=0,"Unconfirmed","Confirmed"),"Logged")))</f>
        <v/>
      </c>
      <c r="L841" s="65" t="str">
        <f aca="false">IF($A841="","",AsOf-$B841)</f>
        <v/>
      </c>
      <c r="M841" s="65" t="str">
        <f aca="false">IF($K841="Open",IF($C841="Conflict","Critical",IF($L841&gt;=DecisionCritical,"Critical",IF($L841&gt;=DecisionWarn,"Warning","On track"))),IF($K841="Unconfirmed",IF($L841&gt;=UnconfirmedWarn,"Warning","On track"),""))</f>
        <v/>
      </c>
      <c r="N841" s="65" t="str">
        <f aca="false">IF($M841="","",IF($M841="Critical",3000,IF($M841="Warning",2000,1000))+$L841+ROW()/100000)</f>
        <v/>
      </c>
      <c r="O841" s="65" t="str">
        <f aca="false">IF($K841="Open",IF($C841="Conflict","decide "&amp;$A841&amp;": &lt;which version stands&gt;","decide "&amp;$A841&amp;": &lt;outcome&gt;"),IF($K841="Unconfirmed","confirm "&amp;$A841,""))</f>
        <v/>
      </c>
      <c r="P841" s="65" t="str">
        <f aca="false">IF(AND($C841="New",$B841&gt;=WeekStart),$B841+ROW()/100000,"")</f>
        <v/>
      </c>
      <c r="Q841" s="65" t="str">
        <f aca="false">IF(AND($C841="Know",$B841&gt;=WeekStart),$B841+ROW()/100000,"")</f>
        <v/>
      </c>
      <c r="R841" s="65" t="str">
        <f aca="false">IF(AND($K841="Open",$C841="Decision"),$L841+ROW()/100000,"")</f>
        <v/>
      </c>
      <c r="S841" s="65" t="str">
        <f aca="false">IF(AND($J841&lt;&gt;"",$J841=UCSel),$B841+ROW()/100000,"")</f>
        <v/>
      </c>
    </row>
    <row r="842" customFormat="false" ht="15" hidden="false" customHeight="false" outlineLevel="0" collapsed="false">
      <c r="A842" s="28"/>
      <c r="B842" s="63"/>
      <c r="C842" s="64"/>
      <c r="D842" s="28"/>
      <c r="E842" s="28"/>
      <c r="F842" s="28"/>
      <c r="G842" s="64"/>
      <c r="H842" s="64"/>
      <c r="I842" s="28"/>
      <c r="J842" s="28"/>
      <c r="K842" s="65" t="str">
        <f aca="false">IF($A842="","",IF(OR($C842="Decision",$C842="Conflict"),IF(COUNTIFS($I$2:$I$1001,$A842,$C$2:$C$1001,"Resolved")=0,"Open","Closed"),IF(AND($H842="Unconfirmed",OR($C842="New",$C842="Know")),IF(COUNTIFS($I$2:$I$1001,$A842,$C$2:$C$1001,"Confirmed")=0,"Unconfirmed","Confirmed"),"Logged")))</f>
        <v/>
      </c>
      <c r="L842" s="65" t="str">
        <f aca="false">IF($A842="","",AsOf-$B842)</f>
        <v/>
      </c>
      <c r="M842" s="65" t="str">
        <f aca="false">IF($K842="Open",IF($C842="Conflict","Critical",IF($L842&gt;=DecisionCritical,"Critical",IF($L842&gt;=DecisionWarn,"Warning","On track"))),IF($K842="Unconfirmed",IF($L842&gt;=UnconfirmedWarn,"Warning","On track"),""))</f>
        <v/>
      </c>
      <c r="N842" s="65" t="str">
        <f aca="false">IF($M842="","",IF($M842="Critical",3000,IF($M842="Warning",2000,1000))+$L842+ROW()/100000)</f>
        <v/>
      </c>
      <c r="O842" s="65" t="str">
        <f aca="false">IF($K842="Open",IF($C842="Conflict","decide "&amp;$A842&amp;": &lt;which version stands&gt;","decide "&amp;$A842&amp;": &lt;outcome&gt;"),IF($K842="Unconfirmed","confirm "&amp;$A842,""))</f>
        <v/>
      </c>
      <c r="P842" s="65" t="str">
        <f aca="false">IF(AND($C842="New",$B842&gt;=WeekStart),$B842+ROW()/100000,"")</f>
        <v/>
      </c>
      <c r="Q842" s="65" t="str">
        <f aca="false">IF(AND($C842="Know",$B842&gt;=WeekStart),$B842+ROW()/100000,"")</f>
        <v/>
      </c>
      <c r="R842" s="65" t="str">
        <f aca="false">IF(AND($K842="Open",$C842="Decision"),$L842+ROW()/100000,"")</f>
        <v/>
      </c>
      <c r="S842" s="65" t="str">
        <f aca="false">IF(AND($J842&lt;&gt;"",$J842=UCSel),$B842+ROW()/100000,"")</f>
        <v/>
      </c>
    </row>
    <row r="843" customFormat="false" ht="15" hidden="false" customHeight="false" outlineLevel="0" collapsed="false">
      <c r="A843" s="28"/>
      <c r="B843" s="63"/>
      <c r="C843" s="64"/>
      <c r="D843" s="28"/>
      <c r="E843" s="28"/>
      <c r="F843" s="28"/>
      <c r="G843" s="64"/>
      <c r="H843" s="64"/>
      <c r="I843" s="28"/>
      <c r="J843" s="28"/>
      <c r="K843" s="65" t="str">
        <f aca="false">IF($A843="","",IF(OR($C843="Decision",$C843="Conflict"),IF(COUNTIFS($I$2:$I$1001,$A843,$C$2:$C$1001,"Resolved")=0,"Open","Closed"),IF(AND($H843="Unconfirmed",OR($C843="New",$C843="Know")),IF(COUNTIFS($I$2:$I$1001,$A843,$C$2:$C$1001,"Confirmed")=0,"Unconfirmed","Confirmed"),"Logged")))</f>
        <v/>
      </c>
      <c r="L843" s="65" t="str">
        <f aca="false">IF($A843="","",AsOf-$B843)</f>
        <v/>
      </c>
      <c r="M843" s="65" t="str">
        <f aca="false">IF($K843="Open",IF($C843="Conflict","Critical",IF($L843&gt;=DecisionCritical,"Critical",IF($L843&gt;=DecisionWarn,"Warning","On track"))),IF($K843="Unconfirmed",IF($L843&gt;=UnconfirmedWarn,"Warning","On track"),""))</f>
        <v/>
      </c>
      <c r="N843" s="65" t="str">
        <f aca="false">IF($M843="","",IF($M843="Critical",3000,IF($M843="Warning",2000,1000))+$L843+ROW()/100000)</f>
        <v/>
      </c>
      <c r="O843" s="65" t="str">
        <f aca="false">IF($K843="Open",IF($C843="Conflict","decide "&amp;$A843&amp;": &lt;which version stands&gt;","decide "&amp;$A843&amp;": &lt;outcome&gt;"),IF($K843="Unconfirmed","confirm "&amp;$A843,""))</f>
        <v/>
      </c>
      <c r="P843" s="65" t="str">
        <f aca="false">IF(AND($C843="New",$B843&gt;=WeekStart),$B843+ROW()/100000,"")</f>
        <v/>
      </c>
      <c r="Q843" s="65" t="str">
        <f aca="false">IF(AND($C843="Know",$B843&gt;=WeekStart),$B843+ROW()/100000,"")</f>
        <v/>
      </c>
      <c r="R843" s="65" t="str">
        <f aca="false">IF(AND($K843="Open",$C843="Decision"),$L843+ROW()/100000,"")</f>
        <v/>
      </c>
      <c r="S843" s="65" t="str">
        <f aca="false">IF(AND($J843&lt;&gt;"",$J843=UCSel),$B843+ROW()/100000,"")</f>
        <v/>
      </c>
    </row>
    <row r="844" customFormat="false" ht="15" hidden="false" customHeight="false" outlineLevel="0" collapsed="false">
      <c r="A844" s="28"/>
      <c r="B844" s="63"/>
      <c r="C844" s="64"/>
      <c r="D844" s="28"/>
      <c r="E844" s="28"/>
      <c r="F844" s="28"/>
      <c r="G844" s="64"/>
      <c r="H844" s="64"/>
      <c r="I844" s="28"/>
      <c r="J844" s="28"/>
      <c r="K844" s="65" t="str">
        <f aca="false">IF($A844="","",IF(OR($C844="Decision",$C844="Conflict"),IF(COUNTIFS($I$2:$I$1001,$A844,$C$2:$C$1001,"Resolved")=0,"Open","Closed"),IF(AND($H844="Unconfirmed",OR($C844="New",$C844="Know")),IF(COUNTIFS($I$2:$I$1001,$A844,$C$2:$C$1001,"Confirmed")=0,"Unconfirmed","Confirmed"),"Logged")))</f>
        <v/>
      </c>
      <c r="L844" s="65" t="str">
        <f aca="false">IF($A844="","",AsOf-$B844)</f>
        <v/>
      </c>
      <c r="M844" s="65" t="str">
        <f aca="false">IF($K844="Open",IF($C844="Conflict","Critical",IF($L844&gt;=DecisionCritical,"Critical",IF($L844&gt;=DecisionWarn,"Warning","On track"))),IF($K844="Unconfirmed",IF($L844&gt;=UnconfirmedWarn,"Warning","On track"),""))</f>
        <v/>
      </c>
      <c r="N844" s="65" t="str">
        <f aca="false">IF($M844="","",IF($M844="Critical",3000,IF($M844="Warning",2000,1000))+$L844+ROW()/100000)</f>
        <v/>
      </c>
      <c r="O844" s="65" t="str">
        <f aca="false">IF($K844="Open",IF($C844="Conflict","decide "&amp;$A844&amp;": &lt;which version stands&gt;","decide "&amp;$A844&amp;": &lt;outcome&gt;"),IF($K844="Unconfirmed","confirm "&amp;$A844,""))</f>
        <v/>
      </c>
      <c r="P844" s="65" t="str">
        <f aca="false">IF(AND($C844="New",$B844&gt;=WeekStart),$B844+ROW()/100000,"")</f>
        <v/>
      </c>
      <c r="Q844" s="65" t="str">
        <f aca="false">IF(AND($C844="Know",$B844&gt;=WeekStart),$B844+ROW()/100000,"")</f>
        <v/>
      </c>
      <c r="R844" s="65" t="str">
        <f aca="false">IF(AND($K844="Open",$C844="Decision"),$L844+ROW()/100000,"")</f>
        <v/>
      </c>
      <c r="S844" s="65" t="str">
        <f aca="false">IF(AND($J844&lt;&gt;"",$J844=UCSel),$B844+ROW()/100000,"")</f>
        <v/>
      </c>
    </row>
    <row r="845" customFormat="false" ht="15" hidden="false" customHeight="false" outlineLevel="0" collapsed="false">
      <c r="A845" s="28"/>
      <c r="B845" s="63"/>
      <c r="C845" s="64"/>
      <c r="D845" s="28"/>
      <c r="E845" s="28"/>
      <c r="F845" s="28"/>
      <c r="G845" s="64"/>
      <c r="H845" s="64"/>
      <c r="I845" s="28"/>
      <c r="J845" s="28"/>
      <c r="K845" s="65" t="str">
        <f aca="false">IF($A845="","",IF(OR($C845="Decision",$C845="Conflict"),IF(COUNTIFS($I$2:$I$1001,$A845,$C$2:$C$1001,"Resolved")=0,"Open","Closed"),IF(AND($H845="Unconfirmed",OR($C845="New",$C845="Know")),IF(COUNTIFS($I$2:$I$1001,$A845,$C$2:$C$1001,"Confirmed")=0,"Unconfirmed","Confirmed"),"Logged")))</f>
        <v/>
      </c>
      <c r="L845" s="65" t="str">
        <f aca="false">IF($A845="","",AsOf-$B845)</f>
        <v/>
      </c>
      <c r="M845" s="65" t="str">
        <f aca="false">IF($K845="Open",IF($C845="Conflict","Critical",IF($L845&gt;=DecisionCritical,"Critical",IF($L845&gt;=DecisionWarn,"Warning","On track"))),IF($K845="Unconfirmed",IF($L845&gt;=UnconfirmedWarn,"Warning","On track"),""))</f>
        <v/>
      </c>
      <c r="N845" s="65" t="str">
        <f aca="false">IF($M845="","",IF($M845="Critical",3000,IF($M845="Warning",2000,1000))+$L845+ROW()/100000)</f>
        <v/>
      </c>
      <c r="O845" s="65" t="str">
        <f aca="false">IF($K845="Open",IF($C845="Conflict","decide "&amp;$A845&amp;": &lt;which version stands&gt;","decide "&amp;$A845&amp;": &lt;outcome&gt;"),IF($K845="Unconfirmed","confirm "&amp;$A845,""))</f>
        <v/>
      </c>
      <c r="P845" s="65" t="str">
        <f aca="false">IF(AND($C845="New",$B845&gt;=WeekStart),$B845+ROW()/100000,"")</f>
        <v/>
      </c>
      <c r="Q845" s="65" t="str">
        <f aca="false">IF(AND($C845="Know",$B845&gt;=WeekStart),$B845+ROW()/100000,"")</f>
        <v/>
      </c>
      <c r="R845" s="65" t="str">
        <f aca="false">IF(AND($K845="Open",$C845="Decision"),$L845+ROW()/100000,"")</f>
        <v/>
      </c>
      <c r="S845" s="65" t="str">
        <f aca="false">IF(AND($J845&lt;&gt;"",$J845=UCSel),$B845+ROW()/100000,"")</f>
        <v/>
      </c>
    </row>
    <row r="846" customFormat="false" ht="15" hidden="false" customHeight="false" outlineLevel="0" collapsed="false">
      <c r="A846" s="28"/>
      <c r="B846" s="63"/>
      <c r="C846" s="64"/>
      <c r="D846" s="28"/>
      <c r="E846" s="28"/>
      <c r="F846" s="28"/>
      <c r="G846" s="64"/>
      <c r="H846" s="64"/>
      <c r="I846" s="28"/>
      <c r="J846" s="28"/>
      <c r="K846" s="65" t="str">
        <f aca="false">IF($A846="","",IF(OR($C846="Decision",$C846="Conflict"),IF(COUNTIFS($I$2:$I$1001,$A846,$C$2:$C$1001,"Resolved")=0,"Open","Closed"),IF(AND($H846="Unconfirmed",OR($C846="New",$C846="Know")),IF(COUNTIFS($I$2:$I$1001,$A846,$C$2:$C$1001,"Confirmed")=0,"Unconfirmed","Confirmed"),"Logged")))</f>
        <v/>
      </c>
      <c r="L846" s="65" t="str">
        <f aca="false">IF($A846="","",AsOf-$B846)</f>
        <v/>
      </c>
      <c r="M846" s="65" t="str">
        <f aca="false">IF($K846="Open",IF($C846="Conflict","Critical",IF($L846&gt;=DecisionCritical,"Critical",IF($L846&gt;=DecisionWarn,"Warning","On track"))),IF($K846="Unconfirmed",IF($L846&gt;=UnconfirmedWarn,"Warning","On track"),""))</f>
        <v/>
      </c>
      <c r="N846" s="65" t="str">
        <f aca="false">IF($M846="","",IF($M846="Critical",3000,IF($M846="Warning",2000,1000))+$L846+ROW()/100000)</f>
        <v/>
      </c>
      <c r="O846" s="65" t="str">
        <f aca="false">IF($K846="Open",IF($C846="Conflict","decide "&amp;$A846&amp;": &lt;which version stands&gt;","decide "&amp;$A846&amp;": &lt;outcome&gt;"),IF($K846="Unconfirmed","confirm "&amp;$A846,""))</f>
        <v/>
      </c>
      <c r="P846" s="65" t="str">
        <f aca="false">IF(AND($C846="New",$B846&gt;=WeekStart),$B846+ROW()/100000,"")</f>
        <v/>
      </c>
      <c r="Q846" s="65" t="str">
        <f aca="false">IF(AND($C846="Know",$B846&gt;=WeekStart),$B846+ROW()/100000,"")</f>
        <v/>
      </c>
      <c r="R846" s="65" t="str">
        <f aca="false">IF(AND($K846="Open",$C846="Decision"),$L846+ROW()/100000,"")</f>
        <v/>
      </c>
      <c r="S846" s="65" t="str">
        <f aca="false">IF(AND($J846&lt;&gt;"",$J846=UCSel),$B846+ROW()/100000,"")</f>
        <v/>
      </c>
    </row>
    <row r="847" customFormat="false" ht="15" hidden="false" customHeight="false" outlineLevel="0" collapsed="false">
      <c r="A847" s="28"/>
      <c r="B847" s="63"/>
      <c r="C847" s="64"/>
      <c r="D847" s="28"/>
      <c r="E847" s="28"/>
      <c r="F847" s="28"/>
      <c r="G847" s="64"/>
      <c r="H847" s="64"/>
      <c r="I847" s="28"/>
      <c r="J847" s="28"/>
      <c r="K847" s="65" t="str">
        <f aca="false">IF($A847="","",IF(OR($C847="Decision",$C847="Conflict"),IF(COUNTIFS($I$2:$I$1001,$A847,$C$2:$C$1001,"Resolved")=0,"Open","Closed"),IF(AND($H847="Unconfirmed",OR($C847="New",$C847="Know")),IF(COUNTIFS($I$2:$I$1001,$A847,$C$2:$C$1001,"Confirmed")=0,"Unconfirmed","Confirmed"),"Logged")))</f>
        <v/>
      </c>
      <c r="L847" s="65" t="str">
        <f aca="false">IF($A847="","",AsOf-$B847)</f>
        <v/>
      </c>
      <c r="M847" s="65" t="str">
        <f aca="false">IF($K847="Open",IF($C847="Conflict","Critical",IF($L847&gt;=DecisionCritical,"Critical",IF($L847&gt;=DecisionWarn,"Warning","On track"))),IF($K847="Unconfirmed",IF($L847&gt;=UnconfirmedWarn,"Warning","On track"),""))</f>
        <v/>
      </c>
      <c r="N847" s="65" t="str">
        <f aca="false">IF($M847="","",IF($M847="Critical",3000,IF($M847="Warning",2000,1000))+$L847+ROW()/100000)</f>
        <v/>
      </c>
      <c r="O847" s="65" t="str">
        <f aca="false">IF($K847="Open",IF($C847="Conflict","decide "&amp;$A847&amp;": &lt;which version stands&gt;","decide "&amp;$A847&amp;": &lt;outcome&gt;"),IF($K847="Unconfirmed","confirm "&amp;$A847,""))</f>
        <v/>
      </c>
      <c r="P847" s="65" t="str">
        <f aca="false">IF(AND($C847="New",$B847&gt;=WeekStart),$B847+ROW()/100000,"")</f>
        <v/>
      </c>
      <c r="Q847" s="65" t="str">
        <f aca="false">IF(AND($C847="Know",$B847&gt;=WeekStart),$B847+ROW()/100000,"")</f>
        <v/>
      </c>
      <c r="R847" s="65" t="str">
        <f aca="false">IF(AND($K847="Open",$C847="Decision"),$L847+ROW()/100000,"")</f>
        <v/>
      </c>
      <c r="S847" s="65" t="str">
        <f aca="false">IF(AND($J847&lt;&gt;"",$J847=UCSel),$B847+ROW()/100000,"")</f>
        <v/>
      </c>
    </row>
    <row r="848" customFormat="false" ht="15" hidden="false" customHeight="false" outlineLevel="0" collapsed="false">
      <c r="A848" s="28"/>
      <c r="B848" s="63"/>
      <c r="C848" s="64"/>
      <c r="D848" s="28"/>
      <c r="E848" s="28"/>
      <c r="F848" s="28"/>
      <c r="G848" s="64"/>
      <c r="H848" s="64"/>
      <c r="I848" s="28"/>
      <c r="J848" s="28"/>
      <c r="K848" s="65" t="str">
        <f aca="false">IF($A848="","",IF(OR($C848="Decision",$C848="Conflict"),IF(COUNTIFS($I$2:$I$1001,$A848,$C$2:$C$1001,"Resolved")=0,"Open","Closed"),IF(AND($H848="Unconfirmed",OR($C848="New",$C848="Know")),IF(COUNTIFS($I$2:$I$1001,$A848,$C$2:$C$1001,"Confirmed")=0,"Unconfirmed","Confirmed"),"Logged")))</f>
        <v/>
      </c>
      <c r="L848" s="65" t="str">
        <f aca="false">IF($A848="","",AsOf-$B848)</f>
        <v/>
      </c>
      <c r="M848" s="65" t="str">
        <f aca="false">IF($K848="Open",IF($C848="Conflict","Critical",IF($L848&gt;=DecisionCritical,"Critical",IF($L848&gt;=DecisionWarn,"Warning","On track"))),IF($K848="Unconfirmed",IF($L848&gt;=UnconfirmedWarn,"Warning","On track"),""))</f>
        <v/>
      </c>
      <c r="N848" s="65" t="str">
        <f aca="false">IF($M848="","",IF($M848="Critical",3000,IF($M848="Warning",2000,1000))+$L848+ROW()/100000)</f>
        <v/>
      </c>
      <c r="O848" s="65" t="str">
        <f aca="false">IF($K848="Open",IF($C848="Conflict","decide "&amp;$A848&amp;": &lt;which version stands&gt;","decide "&amp;$A848&amp;": &lt;outcome&gt;"),IF($K848="Unconfirmed","confirm "&amp;$A848,""))</f>
        <v/>
      </c>
      <c r="P848" s="65" t="str">
        <f aca="false">IF(AND($C848="New",$B848&gt;=WeekStart),$B848+ROW()/100000,"")</f>
        <v/>
      </c>
      <c r="Q848" s="65" t="str">
        <f aca="false">IF(AND($C848="Know",$B848&gt;=WeekStart),$B848+ROW()/100000,"")</f>
        <v/>
      </c>
      <c r="R848" s="65" t="str">
        <f aca="false">IF(AND($K848="Open",$C848="Decision"),$L848+ROW()/100000,"")</f>
        <v/>
      </c>
      <c r="S848" s="65" t="str">
        <f aca="false">IF(AND($J848&lt;&gt;"",$J848=UCSel),$B848+ROW()/100000,"")</f>
        <v/>
      </c>
    </row>
    <row r="849" customFormat="false" ht="15" hidden="false" customHeight="false" outlineLevel="0" collapsed="false">
      <c r="A849" s="28"/>
      <c r="B849" s="63"/>
      <c r="C849" s="64"/>
      <c r="D849" s="28"/>
      <c r="E849" s="28"/>
      <c r="F849" s="28"/>
      <c r="G849" s="64"/>
      <c r="H849" s="64"/>
      <c r="I849" s="28"/>
      <c r="J849" s="28"/>
      <c r="K849" s="65" t="str">
        <f aca="false">IF($A849="","",IF(OR($C849="Decision",$C849="Conflict"),IF(COUNTIFS($I$2:$I$1001,$A849,$C$2:$C$1001,"Resolved")=0,"Open","Closed"),IF(AND($H849="Unconfirmed",OR($C849="New",$C849="Know")),IF(COUNTIFS($I$2:$I$1001,$A849,$C$2:$C$1001,"Confirmed")=0,"Unconfirmed","Confirmed"),"Logged")))</f>
        <v/>
      </c>
      <c r="L849" s="65" t="str">
        <f aca="false">IF($A849="","",AsOf-$B849)</f>
        <v/>
      </c>
      <c r="M849" s="65" t="str">
        <f aca="false">IF($K849="Open",IF($C849="Conflict","Critical",IF($L849&gt;=DecisionCritical,"Critical",IF($L849&gt;=DecisionWarn,"Warning","On track"))),IF($K849="Unconfirmed",IF($L849&gt;=UnconfirmedWarn,"Warning","On track"),""))</f>
        <v/>
      </c>
      <c r="N849" s="65" t="str">
        <f aca="false">IF($M849="","",IF($M849="Critical",3000,IF($M849="Warning",2000,1000))+$L849+ROW()/100000)</f>
        <v/>
      </c>
      <c r="O849" s="65" t="str">
        <f aca="false">IF($K849="Open",IF($C849="Conflict","decide "&amp;$A849&amp;": &lt;which version stands&gt;","decide "&amp;$A849&amp;": &lt;outcome&gt;"),IF($K849="Unconfirmed","confirm "&amp;$A849,""))</f>
        <v/>
      </c>
      <c r="P849" s="65" t="str">
        <f aca="false">IF(AND($C849="New",$B849&gt;=WeekStart),$B849+ROW()/100000,"")</f>
        <v/>
      </c>
      <c r="Q849" s="65" t="str">
        <f aca="false">IF(AND($C849="Know",$B849&gt;=WeekStart),$B849+ROW()/100000,"")</f>
        <v/>
      </c>
      <c r="R849" s="65" t="str">
        <f aca="false">IF(AND($K849="Open",$C849="Decision"),$L849+ROW()/100000,"")</f>
        <v/>
      </c>
      <c r="S849" s="65" t="str">
        <f aca="false">IF(AND($J849&lt;&gt;"",$J849=UCSel),$B849+ROW()/100000,"")</f>
        <v/>
      </c>
    </row>
    <row r="850" customFormat="false" ht="15" hidden="false" customHeight="false" outlineLevel="0" collapsed="false">
      <c r="A850" s="28"/>
      <c r="B850" s="63"/>
      <c r="C850" s="64"/>
      <c r="D850" s="28"/>
      <c r="E850" s="28"/>
      <c r="F850" s="28"/>
      <c r="G850" s="64"/>
      <c r="H850" s="64"/>
      <c r="I850" s="28"/>
      <c r="J850" s="28"/>
      <c r="K850" s="65" t="str">
        <f aca="false">IF($A850="","",IF(OR($C850="Decision",$C850="Conflict"),IF(COUNTIFS($I$2:$I$1001,$A850,$C$2:$C$1001,"Resolved")=0,"Open","Closed"),IF(AND($H850="Unconfirmed",OR($C850="New",$C850="Know")),IF(COUNTIFS($I$2:$I$1001,$A850,$C$2:$C$1001,"Confirmed")=0,"Unconfirmed","Confirmed"),"Logged")))</f>
        <v/>
      </c>
      <c r="L850" s="65" t="str">
        <f aca="false">IF($A850="","",AsOf-$B850)</f>
        <v/>
      </c>
      <c r="M850" s="65" t="str">
        <f aca="false">IF($K850="Open",IF($C850="Conflict","Critical",IF($L850&gt;=DecisionCritical,"Critical",IF($L850&gt;=DecisionWarn,"Warning","On track"))),IF($K850="Unconfirmed",IF($L850&gt;=UnconfirmedWarn,"Warning","On track"),""))</f>
        <v/>
      </c>
      <c r="N850" s="65" t="str">
        <f aca="false">IF($M850="","",IF($M850="Critical",3000,IF($M850="Warning",2000,1000))+$L850+ROW()/100000)</f>
        <v/>
      </c>
      <c r="O850" s="65" t="str">
        <f aca="false">IF($K850="Open",IF($C850="Conflict","decide "&amp;$A850&amp;": &lt;which version stands&gt;","decide "&amp;$A850&amp;": &lt;outcome&gt;"),IF($K850="Unconfirmed","confirm "&amp;$A850,""))</f>
        <v/>
      </c>
      <c r="P850" s="65" t="str">
        <f aca="false">IF(AND($C850="New",$B850&gt;=WeekStart),$B850+ROW()/100000,"")</f>
        <v/>
      </c>
      <c r="Q850" s="65" t="str">
        <f aca="false">IF(AND($C850="Know",$B850&gt;=WeekStart),$B850+ROW()/100000,"")</f>
        <v/>
      </c>
      <c r="R850" s="65" t="str">
        <f aca="false">IF(AND($K850="Open",$C850="Decision"),$L850+ROW()/100000,"")</f>
        <v/>
      </c>
      <c r="S850" s="65" t="str">
        <f aca="false">IF(AND($J850&lt;&gt;"",$J850=UCSel),$B850+ROW()/100000,"")</f>
        <v/>
      </c>
    </row>
    <row r="851" customFormat="false" ht="15" hidden="false" customHeight="false" outlineLevel="0" collapsed="false">
      <c r="A851" s="28"/>
      <c r="B851" s="63"/>
      <c r="C851" s="64"/>
      <c r="D851" s="28"/>
      <c r="E851" s="28"/>
      <c r="F851" s="28"/>
      <c r="G851" s="64"/>
      <c r="H851" s="64"/>
      <c r="I851" s="28"/>
      <c r="J851" s="28"/>
      <c r="K851" s="65" t="str">
        <f aca="false">IF($A851="","",IF(OR($C851="Decision",$C851="Conflict"),IF(COUNTIFS($I$2:$I$1001,$A851,$C$2:$C$1001,"Resolved")=0,"Open","Closed"),IF(AND($H851="Unconfirmed",OR($C851="New",$C851="Know")),IF(COUNTIFS($I$2:$I$1001,$A851,$C$2:$C$1001,"Confirmed")=0,"Unconfirmed","Confirmed"),"Logged")))</f>
        <v/>
      </c>
      <c r="L851" s="65" t="str">
        <f aca="false">IF($A851="","",AsOf-$B851)</f>
        <v/>
      </c>
      <c r="M851" s="65" t="str">
        <f aca="false">IF($K851="Open",IF($C851="Conflict","Critical",IF($L851&gt;=DecisionCritical,"Critical",IF($L851&gt;=DecisionWarn,"Warning","On track"))),IF($K851="Unconfirmed",IF($L851&gt;=UnconfirmedWarn,"Warning","On track"),""))</f>
        <v/>
      </c>
      <c r="N851" s="65" t="str">
        <f aca="false">IF($M851="","",IF($M851="Critical",3000,IF($M851="Warning",2000,1000))+$L851+ROW()/100000)</f>
        <v/>
      </c>
      <c r="O851" s="65" t="str">
        <f aca="false">IF($K851="Open",IF($C851="Conflict","decide "&amp;$A851&amp;": &lt;which version stands&gt;","decide "&amp;$A851&amp;": &lt;outcome&gt;"),IF($K851="Unconfirmed","confirm "&amp;$A851,""))</f>
        <v/>
      </c>
      <c r="P851" s="65" t="str">
        <f aca="false">IF(AND($C851="New",$B851&gt;=WeekStart),$B851+ROW()/100000,"")</f>
        <v/>
      </c>
      <c r="Q851" s="65" t="str">
        <f aca="false">IF(AND($C851="Know",$B851&gt;=WeekStart),$B851+ROW()/100000,"")</f>
        <v/>
      </c>
      <c r="R851" s="65" t="str">
        <f aca="false">IF(AND($K851="Open",$C851="Decision"),$L851+ROW()/100000,"")</f>
        <v/>
      </c>
      <c r="S851" s="65" t="str">
        <f aca="false">IF(AND($J851&lt;&gt;"",$J851=UCSel),$B851+ROW()/100000,"")</f>
        <v/>
      </c>
    </row>
    <row r="852" customFormat="false" ht="15" hidden="false" customHeight="false" outlineLevel="0" collapsed="false">
      <c r="A852" s="28"/>
      <c r="B852" s="63"/>
      <c r="C852" s="64"/>
      <c r="D852" s="28"/>
      <c r="E852" s="28"/>
      <c r="F852" s="28"/>
      <c r="G852" s="64"/>
      <c r="H852" s="64"/>
      <c r="I852" s="28"/>
      <c r="J852" s="28"/>
      <c r="K852" s="65" t="str">
        <f aca="false">IF($A852="","",IF(OR($C852="Decision",$C852="Conflict"),IF(COUNTIFS($I$2:$I$1001,$A852,$C$2:$C$1001,"Resolved")=0,"Open","Closed"),IF(AND($H852="Unconfirmed",OR($C852="New",$C852="Know")),IF(COUNTIFS($I$2:$I$1001,$A852,$C$2:$C$1001,"Confirmed")=0,"Unconfirmed","Confirmed"),"Logged")))</f>
        <v/>
      </c>
      <c r="L852" s="65" t="str">
        <f aca="false">IF($A852="","",AsOf-$B852)</f>
        <v/>
      </c>
      <c r="M852" s="65" t="str">
        <f aca="false">IF($K852="Open",IF($C852="Conflict","Critical",IF($L852&gt;=DecisionCritical,"Critical",IF($L852&gt;=DecisionWarn,"Warning","On track"))),IF($K852="Unconfirmed",IF($L852&gt;=UnconfirmedWarn,"Warning","On track"),""))</f>
        <v/>
      </c>
      <c r="N852" s="65" t="str">
        <f aca="false">IF($M852="","",IF($M852="Critical",3000,IF($M852="Warning",2000,1000))+$L852+ROW()/100000)</f>
        <v/>
      </c>
      <c r="O852" s="65" t="str">
        <f aca="false">IF($K852="Open",IF($C852="Conflict","decide "&amp;$A852&amp;": &lt;which version stands&gt;","decide "&amp;$A852&amp;": &lt;outcome&gt;"),IF($K852="Unconfirmed","confirm "&amp;$A852,""))</f>
        <v/>
      </c>
      <c r="P852" s="65" t="str">
        <f aca="false">IF(AND($C852="New",$B852&gt;=WeekStart),$B852+ROW()/100000,"")</f>
        <v/>
      </c>
      <c r="Q852" s="65" t="str">
        <f aca="false">IF(AND($C852="Know",$B852&gt;=WeekStart),$B852+ROW()/100000,"")</f>
        <v/>
      </c>
      <c r="R852" s="65" t="str">
        <f aca="false">IF(AND($K852="Open",$C852="Decision"),$L852+ROW()/100000,"")</f>
        <v/>
      </c>
      <c r="S852" s="65" t="str">
        <f aca="false">IF(AND($J852&lt;&gt;"",$J852=UCSel),$B852+ROW()/100000,"")</f>
        <v/>
      </c>
    </row>
    <row r="853" customFormat="false" ht="15" hidden="false" customHeight="false" outlineLevel="0" collapsed="false">
      <c r="A853" s="28"/>
      <c r="B853" s="63"/>
      <c r="C853" s="64"/>
      <c r="D853" s="28"/>
      <c r="E853" s="28"/>
      <c r="F853" s="28"/>
      <c r="G853" s="64"/>
      <c r="H853" s="64"/>
      <c r="I853" s="28"/>
      <c r="J853" s="28"/>
      <c r="K853" s="65" t="str">
        <f aca="false">IF($A853="","",IF(OR($C853="Decision",$C853="Conflict"),IF(COUNTIFS($I$2:$I$1001,$A853,$C$2:$C$1001,"Resolved")=0,"Open","Closed"),IF(AND($H853="Unconfirmed",OR($C853="New",$C853="Know")),IF(COUNTIFS($I$2:$I$1001,$A853,$C$2:$C$1001,"Confirmed")=0,"Unconfirmed","Confirmed"),"Logged")))</f>
        <v/>
      </c>
      <c r="L853" s="65" t="str">
        <f aca="false">IF($A853="","",AsOf-$B853)</f>
        <v/>
      </c>
      <c r="M853" s="65" t="str">
        <f aca="false">IF($K853="Open",IF($C853="Conflict","Critical",IF($L853&gt;=DecisionCritical,"Critical",IF($L853&gt;=DecisionWarn,"Warning","On track"))),IF($K853="Unconfirmed",IF($L853&gt;=UnconfirmedWarn,"Warning","On track"),""))</f>
        <v/>
      </c>
      <c r="N853" s="65" t="str">
        <f aca="false">IF($M853="","",IF($M853="Critical",3000,IF($M853="Warning",2000,1000))+$L853+ROW()/100000)</f>
        <v/>
      </c>
      <c r="O853" s="65" t="str">
        <f aca="false">IF($K853="Open",IF($C853="Conflict","decide "&amp;$A853&amp;": &lt;which version stands&gt;","decide "&amp;$A853&amp;": &lt;outcome&gt;"),IF($K853="Unconfirmed","confirm "&amp;$A853,""))</f>
        <v/>
      </c>
      <c r="P853" s="65" t="str">
        <f aca="false">IF(AND($C853="New",$B853&gt;=WeekStart),$B853+ROW()/100000,"")</f>
        <v/>
      </c>
      <c r="Q853" s="65" t="str">
        <f aca="false">IF(AND($C853="Know",$B853&gt;=WeekStart),$B853+ROW()/100000,"")</f>
        <v/>
      </c>
      <c r="R853" s="65" t="str">
        <f aca="false">IF(AND($K853="Open",$C853="Decision"),$L853+ROW()/100000,"")</f>
        <v/>
      </c>
      <c r="S853" s="65" t="str">
        <f aca="false">IF(AND($J853&lt;&gt;"",$J853=UCSel),$B853+ROW()/100000,"")</f>
        <v/>
      </c>
    </row>
    <row r="854" customFormat="false" ht="15" hidden="false" customHeight="false" outlineLevel="0" collapsed="false">
      <c r="A854" s="28"/>
      <c r="B854" s="63"/>
      <c r="C854" s="64"/>
      <c r="D854" s="28"/>
      <c r="E854" s="28"/>
      <c r="F854" s="28"/>
      <c r="G854" s="64"/>
      <c r="H854" s="64"/>
      <c r="I854" s="28"/>
      <c r="J854" s="28"/>
      <c r="K854" s="65" t="str">
        <f aca="false">IF($A854="","",IF(OR($C854="Decision",$C854="Conflict"),IF(COUNTIFS($I$2:$I$1001,$A854,$C$2:$C$1001,"Resolved")=0,"Open","Closed"),IF(AND($H854="Unconfirmed",OR($C854="New",$C854="Know")),IF(COUNTIFS($I$2:$I$1001,$A854,$C$2:$C$1001,"Confirmed")=0,"Unconfirmed","Confirmed"),"Logged")))</f>
        <v/>
      </c>
      <c r="L854" s="65" t="str">
        <f aca="false">IF($A854="","",AsOf-$B854)</f>
        <v/>
      </c>
      <c r="M854" s="65" t="str">
        <f aca="false">IF($K854="Open",IF($C854="Conflict","Critical",IF($L854&gt;=DecisionCritical,"Critical",IF($L854&gt;=DecisionWarn,"Warning","On track"))),IF($K854="Unconfirmed",IF($L854&gt;=UnconfirmedWarn,"Warning","On track"),""))</f>
        <v/>
      </c>
      <c r="N854" s="65" t="str">
        <f aca="false">IF($M854="","",IF($M854="Critical",3000,IF($M854="Warning",2000,1000))+$L854+ROW()/100000)</f>
        <v/>
      </c>
      <c r="O854" s="65" t="str">
        <f aca="false">IF($K854="Open",IF($C854="Conflict","decide "&amp;$A854&amp;": &lt;which version stands&gt;","decide "&amp;$A854&amp;": &lt;outcome&gt;"),IF($K854="Unconfirmed","confirm "&amp;$A854,""))</f>
        <v/>
      </c>
      <c r="P854" s="65" t="str">
        <f aca="false">IF(AND($C854="New",$B854&gt;=WeekStart),$B854+ROW()/100000,"")</f>
        <v/>
      </c>
      <c r="Q854" s="65" t="str">
        <f aca="false">IF(AND($C854="Know",$B854&gt;=WeekStart),$B854+ROW()/100000,"")</f>
        <v/>
      </c>
      <c r="R854" s="65" t="str">
        <f aca="false">IF(AND($K854="Open",$C854="Decision"),$L854+ROW()/100000,"")</f>
        <v/>
      </c>
      <c r="S854" s="65" t="str">
        <f aca="false">IF(AND($J854&lt;&gt;"",$J854=UCSel),$B854+ROW()/100000,"")</f>
        <v/>
      </c>
    </row>
    <row r="855" customFormat="false" ht="15" hidden="false" customHeight="false" outlineLevel="0" collapsed="false">
      <c r="A855" s="28"/>
      <c r="B855" s="63"/>
      <c r="C855" s="64"/>
      <c r="D855" s="28"/>
      <c r="E855" s="28"/>
      <c r="F855" s="28"/>
      <c r="G855" s="64"/>
      <c r="H855" s="64"/>
      <c r="I855" s="28"/>
      <c r="J855" s="28"/>
      <c r="K855" s="65" t="str">
        <f aca="false">IF($A855="","",IF(OR($C855="Decision",$C855="Conflict"),IF(COUNTIFS($I$2:$I$1001,$A855,$C$2:$C$1001,"Resolved")=0,"Open","Closed"),IF(AND($H855="Unconfirmed",OR($C855="New",$C855="Know")),IF(COUNTIFS($I$2:$I$1001,$A855,$C$2:$C$1001,"Confirmed")=0,"Unconfirmed","Confirmed"),"Logged")))</f>
        <v/>
      </c>
      <c r="L855" s="65" t="str">
        <f aca="false">IF($A855="","",AsOf-$B855)</f>
        <v/>
      </c>
      <c r="M855" s="65" t="str">
        <f aca="false">IF($K855="Open",IF($C855="Conflict","Critical",IF($L855&gt;=DecisionCritical,"Critical",IF($L855&gt;=DecisionWarn,"Warning","On track"))),IF($K855="Unconfirmed",IF($L855&gt;=UnconfirmedWarn,"Warning","On track"),""))</f>
        <v/>
      </c>
      <c r="N855" s="65" t="str">
        <f aca="false">IF($M855="","",IF($M855="Critical",3000,IF($M855="Warning",2000,1000))+$L855+ROW()/100000)</f>
        <v/>
      </c>
      <c r="O855" s="65" t="str">
        <f aca="false">IF($K855="Open",IF($C855="Conflict","decide "&amp;$A855&amp;": &lt;which version stands&gt;","decide "&amp;$A855&amp;": &lt;outcome&gt;"),IF($K855="Unconfirmed","confirm "&amp;$A855,""))</f>
        <v/>
      </c>
      <c r="P855" s="65" t="str">
        <f aca="false">IF(AND($C855="New",$B855&gt;=WeekStart),$B855+ROW()/100000,"")</f>
        <v/>
      </c>
      <c r="Q855" s="65" t="str">
        <f aca="false">IF(AND($C855="Know",$B855&gt;=WeekStart),$B855+ROW()/100000,"")</f>
        <v/>
      </c>
      <c r="R855" s="65" t="str">
        <f aca="false">IF(AND($K855="Open",$C855="Decision"),$L855+ROW()/100000,"")</f>
        <v/>
      </c>
      <c r="S855" s="65" t="str">
        <f aca="false">IF(AND($J855&lt;&gt;"",$J855=UCSel),$B855+ROW()/100000,"")</f>
        <v/>
      </c>
    </row>
    <row r="856" customFormat="false" ht="15" hidden="false" customHeight="false" outlineLevel="0" collapsed="false">
      <c r="A856" s="28"/>
      <c r="B856" s="63"/>
      <c r="C856" s="64"/>
      <c r="D856" s="28"/>
      <c r="E856" s="28"/>
      <c r="F856" s="28"/>
      <c r="G856" s="64"/>
      <c r="H856" s="64"/>
      <c r="I856" s="28"/>
      <c r="J856" s="28"/>
      <c r="K856" s="65" t="str">
        <f aca="false">IF($A856="","",IF(OR($C856="Decision",$C856="Conflict"),IF(COUNTIFS($I$2:$I$1001,$A856,$C$2:$C$1001,"Resolved")=0,"Open","Closed"),IF(AND($H856="Unconfirmed",OR($C856="New",$C856="Know")),IF(COUNTIFS($I$2:$I$1001,$A856,$C$2:$C$1001,"Confirmed")=0,"Unconfirmed","Confirmed"),"Logged")))</f>
        <v/>
      </c>
      <c r="L856" s="65" t="str">
        <f aca="false">IF($A856="","",AsOf-$B856)</f>
        <v/>
      </c>
      <c r="M856" s="65" t="str">
        <f aca="false">IF($K856="Open",IF($C856="Conflict","Critical",IF($L856&gt;=DecisionCritical,"Critical",IF($L856&gt;=DecisionWarn,"Warning","On track"))),IF($K856="Unconfirmed",IF($L856&gt;=UnconfirmedWarn,"Warning","On track"),""))</f>
        <v/>
      </c>
      <c r="N856" s="65" t="str">
        <f aca="false">IF($M856="","",IF($M856="Critical",3000,IF($M856="Warning",2000,1000))+$L856+ROW()/100000)</f>
        <v/>
      </c>
      <c r="O856" s="65" t="str">
        <f aca="false">IF($K856="Open",IF($C856="Conflict","decide "&amp;$A856&amp;": &lt;which version stands&gt;","decide "&amp;$A856&amp;": &lt;outcome&gt;"),IF($K856="Unconfirmed","confirm "&amp;$A856,""))</f>
        <v/>
      </c>
      <c r="P856" s="65" t="str">
        <f aca="false">IF(AND($C856="New",$B856&gt;=WeekStart),$B856+ROW()/100000,"")</f>
        <v/>
      </c>
      <c r="Q856" s="65" t="str">
        <f aca="false">IF(AND($C856="Know",$B856&gt;=WeekStart),$B856+ROW()/100000,"")</f>
        <v/>
      </c>
      <c r="R856" s="65" t="str">
        <f aca="false">IF(AND($K856="Open",$C856="Decision"),$L856+ROW()/100000,"")</f>
        <v/>
      </c>
      <c r="S856" s="65" t="str">
        <f aca="false">IF(AND($J856&lt;&gt;"",$J856=UCSel),$B856+ROW()/100000,"")</f>
        <v/>
      </c>
    </row>
    <row r="857" customFormat="false" ht="15" hidden="false" customHeight="false" outlineLevel="0" collapsed="false">
      <c r="A857" s="28"/>
      <c r="B857" s="63"/>
      <c r="C857" s="64"/>
      <c r="D857" s="28"/>
      <c r="E857" s="28"/>
      <c r="F857" s="28"/>
      <c r="G857" s="64"/>
      <c r="H857" s="64"/>
      <c r="I857" s="28"/>
      <c r="J857" s="28"/>
      <c r="K857" s="65" t="str">
        <f aca="false">IF($A857="","",IF(OR($C857="Decision",$C857="Conflict"),IF(COUNTIFS($I$2:$I$1001,$A857,$C$2:$C$1001,"Resolved")=0,"Open","Closed"),IF(AND($H857="Unconfirmed",OR($C857="New",$C857="Know")),IF(COUNTIFS($I$2:$I$1001,$A857,$C$2:$C$1001,"Confirmed")=0,"Unconfirmed","Confirmed"),"Logged")))</f>
        <v/>
      </c>
      <c r="L857" s="65" t="str">
        <f aca="false">IF($A857="","",AsOf-$B857)</f>
        <v/>
      </c>
      <c r="M857" s="65" t="str">
        <f aca="false">IF($K857="Open",IF($C857="Conflict","Critical",IF($L857&gt;=DecisionCritical,"Critical",IF($L857&gt;=DecisionWarn,"Warning","On track"))),IF($K857="Unconfirmed",IF($L857&gt;=UnconfirmedWarn,"Warning","On track"),""))</f>
        <v/>
      </c>
      <c r="N857" s="65" t="str">
        <f aca="false">IF($M857="","",IF($M857="Critical",3000,IF($M857="Warning",2000,1000))+$L857+ROW()/100000)</f>
        <v/>
      </c>
      <c r="O857" s="65" t="str">
        <f aca="false">IF($K857="Open",IF($C857="Conflict","decide "&amp;$A857&amp;": &lt;which version stands&gt;","decide "&amp;$A857&amp;": &lt;outcome&gt;"),IF($K857="Unconfirmed","confirm "&amp;$A857,""))</f>
        <v/>
      </c>
      <c r="P857" s="65" t="str">
        <f aca="false">IF(AND($C857="New",$B857&gt;=WeekStart),$B857+ROW()/100000,"")</f>
        <v/>
      </c>
      <c r="Q857" s="65" t="str">
        <f aca="false">IF(AND($C857="Know",$B857&gt;=WeekStart),$B857+ROW()/100000,"")</f>
        <v/>
      </c>
      <c r="R857" s="65" t="str">
        <f aca="false">IF(AND($K857="Open",$C857="Decision"),$L857+ROW()/100000,"")</f>
        <v/>
      </c>
      <c r="S857" s="65" t="str">
        <f aca="false">IF(AND($J857&lt;&gt;"",$J857=UCSel),$B857+ROW()/100000,"")</f>
        <v/>
      </c>
    </row>
    <row r="858" customFormat="false" ht="15" hidden="false" customHeight="false" outlineLevel="0" collapsed="false">
      <c r="A858" s="28"/>
      <c r="B858" s="63"/>
      <c r="C858" s="64"/>
      <c r="D858" s="28"/>
      <c r="E858" s="28"/>
      <c r="F858" s="28"/>
      <c r="G858" s="64"/>
      <c r="H858" s="64"/>
      <c r="I858" s="28"/>
      <c r="J858" s="28"/>
      <c r="K858" s="65" t="str">
        <f aca="false">IF($A858="","",IF(OR($C858="Decision",$C858="Conflict"),IF(COUNTIFS($I$2:$I$1001,$A858,$C$2:$C$1001,"Resolved")=0,"Open","Closed"),IF(AND($H858="Unconfirmed",OR($C858="New",$C858="Know")),IF(COUNTIFS($I$2:$I$1001,$A858,$C$2:$C$1001,"Confirmed")=0,"Unconfirmed","Confirmed"),"Logged")))</f>
        <v/>
      </c>
      <c r="L858" s="65" t="str">
        <f aca="false">IF($A858="","",AsOf-$B858)</f>
        <v/>
      </c>
      <c r="M858" s="65" t="str">
        <f aca="false">IF($K858="Open",IF($C858="Conflict","Critical",IF($L858&gt;=DecisionCritical,"Critical",IF($L858&gt;=DecisionWarn,"Warning","On track"))),IF($K858="Unconfirmed",IF($L858&gt;=UnconfirmedWarn,"Warning","On track"),""))</f>
        <v/>
      </c>
      <c r="N858" s="65" t="str">
        <f aca="false">IF($M858="","",IF($M858="Critical",3000,IF($M858="Warning",2000,1000))+$L858+ROW()/100000)</f>
        <v/>
      </c>
      <c r="O858" s="65" t="str">
        <f aca="false">IF($K858="Open",IF($C858="Conflict","decide "&amp;$A858&amp;": &lt;which version stands&gt;","decide "&amp;$A858&amp;": &lt;outcome&gt;"),IF($K858="Unconfirmed","confirm "&amp;$A858,""))</f>
        <v/>
      </c>
      <c r="P858" s="65" t="str">
        <f aca="false">IF(AND($C858="New",$B858&gt;=WeekStart),$B858+ROW()/100000,"")</f>
        <v/>
      </c>
      <c r="Q858" s="65" t="str">
        <f aca="false">IF(AND($C858="Know",$B858&gt;=WeekStart),$B858+ROW()/100000,"")</f>
        <v/>
      </c>
      <c r="R858" s="65" t="str">
        <f aca="false">IF(AND($K858="Open",$C858="Decision"),$L858+ROW()/100000,"")</f>
        <v/>
      </c>
      <c r="S858" s="65" t="str">
        <f aca="false">IF(AND($J858&lt;&gt;"",$J858=UCSel),$B858+ROW()/100000,"")</f>
        <v/>
      </c>
    </row>
    <row r="859" customFormat="false" ht="15" hidden="false" customHeight="false" outlineLevel="0" collapsed="false">
      <c r="A859" s="28"/>
      <c r="B859" s="63"/>
      <c r="C859" s="64"/>
      <c r="D859" s="28"/>
      <c r="E859" s="28"/>
      <c r="F859" s="28"/>
      <c r="G859" s="64"/>
      <c r="H859" s="64"/>
      <c r="I859" s="28"/>
      <c r="J859" s="28"/>
      <c r="K859" s="65" t="str">
        <f aca="false">IF($A859="","",IF(OR($C859="Decision",$C859="Conflict"),IF(COUNTIFS($I$2:$I$1001,$A859,$C$2:$C$1001,"Resolved")=0,"Open","Closed"),IF(AND($H859="Unconfirmed",OR($C859="New",$C859="Know")),IF(COUNTIFS($I$2:$I$1001,$A859,$C$2:$C$1001,"Confirmed")=0,"Unconfirmed","Confirmed"),"Logged")))</f>
        <v/>
      </c>
      <c r="L859" s="65" t="str">
        <f aca="false">IF($A859="","",AsOf-$B859)</f>
        <v/>
      </c>
      <c r="M859" s="65" t="str">
        <f aca="false">IF($K859="Open",IF($C859="Conflict","Critical",IF($L859&gt;=DecisionCritical,"Critical",IF($L859&gt;=DecisionWarn,"Warning","On track"))),IF($K859="Unconfirmed",IF($L859&gt;=UnconfirmedWarn,"Warning","On track"),""))</f>
        <v/>
      </c>
      <c r="N859" s="65" t="str">
        <f aca="false">IF($M859="","",IF($M859="Critical",3000,IF($M859="Warning",2000,1000))+$L859+ROW()/100000)</f>
        <v/>
      </c>
      <c r="O859" s="65" t="str">
        <f aca="false">IF($K859="Open",IF($C859="Conflict","decide "&amp;$A859&amp;": &lt;which version stands&gt;","decide "&amp;$A859&amp;": &lt;outcome&gt;"),IF($K859="Unconfirmed","confirm "&amp;$A859,""))</f>
        <v/>
      </c>
      <c r="P859" s="65" t="str">
        <f aca="false">IF(AND($C859="New",$B859&gt;=WeekStart),$B859+ROW()/100000,"")</f>
        <v/>
      </c>
      <c r="Q859" s="65" t="str">
        <f aca="false">IF(AND($C859="Know",$B859&gt;=WeekStart),$B859+ROW()/100000,"")</f>
        <v/>
      </c>
      <c r="R859" s="65" t="str">
        <f aca="false">IF(AND($K859="Open",$C859="Decision"),$L859+ROW()/100000,"")</f>
        <v/>
      </c>
      <c r="S859" s="65" t="str">
        <f aca="false">IF(AND($J859&lt;&gt;"",$J859=UCSel),$B859+ROW()/100000,"")</f>
        <v/>
      </c>
    </row>
    <row r="860" customFormat="false" ht="15" hidden="false" customHeight="false" outlineLevel="0" collapsed="false">
      <c r="A860" s="28"/>
      <c r="B860" s="63"/>
      <c r="C860" s="64"/>
      <c r="D860" s="28"/>
      <c r="E860" s="28"/>
      <c r="F860" s="28"/>
      <c r="G860" s="64"/>
      <c r="H860" s="64"/>
      <c r="I860" s="28"/>
      <c r="J860" s="28"/>
      <c r="K860" s="65" t="str">
        <f aca="false">IF($A860="","",IF(OR($C860="Decision",$C860="Conflict"),IF(COUNTIFS($I$2:$I$1001,$A860,$C$2:$C$1001,"Resolved")=0,"Open","Closed"),IF(AND($H860="Unconfirmed",OR($C860="New",$C860="Know")),IF(COUNTIFS($I$2:$I$1001,$A860,$C$2:$C$1001,"Confirmed")=0,"Unconfirmed","Confirmed"),"Logged")))</f>
        <v/>
      </c>
      <c r="L860" s="65" t="str">
        <f aca="false">IF($A860="","",AsOf-$B860)</f>
        <v/>
      </c>
      <c r="M860" s="65" t="str">
        <f aca="false">IF($K860="Open",IF($C860="Conflict","Critical",IF($L860&gt;=DecisionCritical,"Critical",IF($L860&gt;=DecisionWarn,"Warning","On track"))),IF($K860="Unconfirmed",IF($L860&gt;=UnconfirmedWarn,"Warning","On track"),""))</f>
        <v/>
      </c>
      <c r="N860" s="65" t="str">
        <f aca="false">IF($M860="","",IF($M860="Critical",3000,IF($M860="Warning",2000,1000))+$L860+ROW()/100000)</f>
        <v/>
      </c>
      <c r="O860" s="65" t="str">
        <f aca="false">IF($K860="Open",IF($C860="Conflict","decide "&amp;$A860&amp;": &lt;which version stands&gt;","decide "&amp;$A860&amp;": &lt;outcome&gt;"),IF($K860="Unconfirmed","confirm "&amp;$A860,""))</f>
        <v/>
      </c>
      <c r="P860" s="65" t="str">
        <f aca="false">IF(AND($C860="New",$B860&gt;=WeekStart),$B860+ROW()/100000,"")</f>
        <v/>
      </c>
      <c r="Q860" s="65" t="str">
        <f aca="false">IF(AND($C860="Know",$B860&gt;=WeekStart),$B860+ROW()/100000,"")</f>
        <v/>
      </c>
      <c r="R860" s="65" t="str">
        <f aca="false">IF(AND($K860="Open",$C860="Decision"),$L860+ROW()/100000,"")</f>
        <v/>
      </c>
      <c r="S860" s="65" t="str">
        <f aca="false">IF(AND($J860&lt;&gt;"",$J860=UCSel),$B860+ROW()/100000,"")</f>
        <v/>
      </c>
    </row>
    <row r="861" customFormat="false" ht="15" hidden="false" customHeight="false" outlineLevel="0" collapsed="false">
      <c r="A861" s="28"/>
      <c r="B861" s="63"/>
      <c r="C861" s="64"/>
      <c r="D861" s="28"/>
      <c r="E861" s="28"/>
      <c r="F861" s="28"/>
      <c r="G861" s="64"/>
      <c r="H861" s="64"/>
      <c r="I861" s="28"/>
      <c r="J861" s="28"/>
      <c r="K861" s="65" t="str">
        <f aca="false">IF($A861="","",IF(OR($C861="Decision",$C861="Conflict"),IF(COUNTIFS($I$2:$I$1001,$A861,$C$2:$C$1001,"Resolved")=0,"Open","Closed"),IF(AND($H861="Unconfirmed",OR($C861="New",$C861="Know")),IF(COUNTIFS($I$2:$I$1001,$A861,$C$2:$C$1001,"Confirmed")=0,"Unconfirmed","Confirmed"),"Logged")))</f>
        <v/>
      </c>
      <c r="L861" s="65" t="str">
        <f aca="false">IF($A861="","",AsOf-$B861)</f>
        <v/>
      </c>
      <c r="M861" s="65" t="str">
        <f aca="false">IF($K861="Open",IF($C861="Conflict","Critical",IF($L861&gt;=DecisionCritical,"Critical",IF($L861&gt;=DecisionWarn,"Warning","On track"))),IF($K861="Unconfirmed",IF($L861&gt;=UnconfirmedWarn,"Warning","On track"),""))</f>
        <v/>
      </c>
      <c r="N861" s="65" t="str">
        <f aca="false">IF($M861="","",IF($M861="Critical",3000,IF($M861="Warning",2000,1000))+$L861+ROW()/100000)</f>
        <v/>
      </c>
      <c r="O861" s="65" t="str">
        <f aca="false">IF($K861="Open",IF($C861="Conflict","decide "&amp;$A861&amp;": &lt;which version stands&gt;","decide "&amp;$A861&amp;": &lt;outcome&gt;"),IF($K861="Unconfirmed","confirm "&amp;$A861,""))</f>
        <v/>
      </c>
      <c r="P861" s="65" t="str">
        <f aca="false">IF(AND($C861="New",$B861&gt;=WeekStart),$B861+ROW()/100000,"")</f>
        <v/>
      </c>
      <c r="Q861" s="65" t="str">
        <f aca="false">IF(AND($C861="Know",$B861&gt;=WeekStart),$B861+ROW()/100000,"")</f>
        <v/>
      </c>
      <c r="R861" s="65" t="str">
        <f aca="false">IF(AND($K861="Open",$C861="Decision"),$L861+ROW()/100000,"")</f>
        <v/>
      </c>
      <c r="S861" s="65" t="str">
        <f aca="false">IF(AND($J861&lt;&gt;"",$J861=UCSel),$B861+ROW()/100000,"")</f>
        <v/>
      </c>
    </row>
    <row r="862" customFormat="false" ht="15" hidden="false" customHeight="false" outlineLevel="0" collapsed="false">
      <c r="A862" s="28"/>
      <c r="B862" s="63"/>
      <c r="C862" s="64"/>
      <c r="D862" s="28"/>
      <c r="E862" s="28"/>
      <c r="F862" s="28"/>
      <c r="G862" s="64"/>
      <c r="H862" s="64"/>
      <c r="I862" s="28"/>
      <c r="J862" s="28"/>
      <c r="K862" s="65" t="str">
        <f aca="false">IF($A862="","",IF(OR($C862="Decision",$C862="Conflict"),IF(COUNTIFS($I$2:$I$1001,$A862,$C$2:$C$1001,"Resolved")=0,"Open","Closed"),IF(AND($H862="Unconfirmed",OR($C862="New",$C862="Know")),IF(COUNTIFS($I$2:$I$1001,$A862,$C$2:$C$1001,"Confirmed")=0,"Unconfirmed","Confirmed"),"Logged")))</f>
        <v/>
      </c>
      <c r="L862" s="65" t="str">
        <f aca="false">IF($A862="","",AsOf-$B862)</f>
        <v/>
      </c>
      <c r="M862" s="65" t="str">
        <f aca="false">IF($K862="Open",IF($C862="Conflict","Critical",IF($L862&gt;=DecisionCritical,"Critical",IF($L862&gt;=DecisionWarn,"Warning","On track"))),IF($K862="Unconfirmed",IF($L862&gt;=UnconfirmedWarn,"Warning","On track"),""))</f>
        <v/>
      </c>
      <c r="N862" s="65" t="str">
        <f aca="false">IF($M862="","",IF($M862="Critical",3000,IF($M862="Warning",2000,1000))+$L862+ROW()/100000)</f>
        <v/>
      </c>
      <c r="O862" s="65" t="str">
        <f aca="false">IF($K862="Open",IF($C862="Conflict","decide "&amp;$A862&amp;": &lt;which version stands&gt;","decide "&amp;$A862&amp;": &lt;outcome&gt;"),IF($K862="Unconfirmed","confirm "&amp;$A862,""))</f>
        <v/>
      </c>
      <c r="P862" s="65" t="str">
        <f aca="false">IF(AND($C862="New",$B862&gt;=WeekStart),$B862+ROW()/100000,"")</f>
        <v/>
      </c>
      <c r="Q862" s="65" t="str">
        <f aca="false">IF(AND($C862="Know",$B862&gt;=WeekStart),$B862+ROW()/100000,"")</f>
        <v/>
      </c>
      <c r="R862" s="65" t="str">
        <f aca="false">IF(AND($K862="Open",$C862="Decision"),$L862+ROW()/100000,"")</f>
        <v/>
      </c>
      <c r="S862" s="65" t="str">
        <f aca="false">IF(AND($J862&lt;&gt;"",$J862=UCSel),$B862+ROW()/100000,"")</f>
        <v/>
      </c>
    </row>
    <row r="863" customFormat="false" ht="15" hidden="false" customHeight="false" outlineLevel="0" collapsed="false">
      <c r="A863" s="28"/>
      <c r="B863" s="63"/>
      <c r="C863" s="64"/>
      <c r="D863" s="28"/>
      <c r="E863" s="28"/>
      <c r="F863" s="28"/>
      <c r="G863" s="64"/>
      <c r="H863" s="64"/>
      <c r="I863" s="28"/>
      <c r="J863" s="28"/>
      <c r="K863" s="65" t="str">
        <f aca="false">IF($A863="","",IF(OR($C863="Decision",$C863="Conflict"),IF(COUNTIFS($I$2:$I$1001,$A863,$C$2:$C$1001,"Resolved")=0,"Open","Closed"),IF(AND($H863="Unconfirmed",OR($C863="New",$C863="Know")),IF(COUNTIFS($I$2:$I$1001,$A863,$C$2:$C$1001,"Confirmed")=0,"Unconfirmed","Confirmed"),"Logged")))</f>
        <v/>
      </c>
      <c r="L863" s="65" t="str">
        <f aca="false">IF($A863="","",AsOf-$B863)</f>
        <v/>
      </c>
      <c r="M863" s="65" t="str">
        <f aca="false">IF($K863="Open",IF($C863="Conflict","Critical",IF($L863&gt;=DecisionCritical,"Critical",IF($L863&gt;=DecisionWarn,"Warning","On track"))),IF($K863="Unconfirmed",IF($L863&gt;=UnconfirmedWarn,"Warning","On track"),""))</f>
        <v/>
      </c>
      <c r="N863" s="65" t="str">
        <f aca="false">IF($M863="","",IF($M863="Critical",3000,IF($M863="Warning",2000,1000))+$L863+ROW()/100000)</f>
        <v/>
      </c>
      <c r="O863" s="65" t="str">
        <f aca="false">IF($K863="Open",IF($C863="Conflict","decide "&amp;$A863&amp;": &lt;which version stands&gt;","decide "&amp;$A863&amp;": &lt;outcome&gt;"),IF($K863="Unconfirmed","confirm "&amp;$A863,""))</f>
        <v/>
      </c>
      <c r="P863" s="65" t="str">
        <f aca="false">IF(AND($C863="New",$B863&gt;=WeekStart),$B863+ROW()/100000,"")</f>
        <v/>
      </c>
      <c r="Q863" s="65" t="str">
        <f aca="false">IF(AND($C863="Know",$B863&gt;=WeekStart),$B863+ROW()/100000,"")</f>
        <v/>
      </c>
      <c r="R863" s="65" t="str">
        <f aca="false">IF(AND($K863="Open",$C863="Decision"),$L863+ROW()/100000,"")</f>
        <v/>
      </c>
      <c r="S863" s="65" t="str">
        <f aca="false">IF(AND($J863&lt;&gt;"",$J863=UCSel),$B863+ROW()/100000,"")</f>
        <v/>
      </c>
    </row>
    <row r="864" customFormat="false" ht="15" hidden="false" customHeight="false" outlineLevel="0" collapsed="false">
      <c r="A864" s="28"/>
      <c r="B864" s="63"/>
      <c r="C864" s="64"/>
      <c r="D864" s="28"/>
      <c r="E864" s="28"/>
      <c r="F864" s="28"/>
      <c r="G864" s="64"/>
      <c r="H864" s="64"/>
      <c r="I864" s="28"/>
      <c r="J864" s="28"/>
      <c r="K864" s="65" t="str">
        <f aca="false">IF($A864="","",IF(OR($C864="Decision",$C864="Conflict"),IF(COUNTIFS($I$2:$I$1001,$A864,$C$2:$C$1001,"Resolved")=0,"Open","Closed"),IF(AND($H864="Unconfirmed",OR($C864="New",$C864="Know")),IF(COUNTIFS($I$2:$I$1001,$A864,$C$2:$C$1001,"Confirmed")=0,"Unconfirmed","Confirmed"),"Logged")))</f>
        <v/>
      </c>
      <c r="L864" s="65" t="str">
        <f aca="false">IF($A864="","",AsOf-$B864)</f>
        <v/>
      </c>
      <c r="M864" s="65" t="str">
        <f aca="false">IF($K864="Open",IF($C864="Conflict","Critical",IF($L864&gt;=DecisionCritical,"Critical",IF($L864&gt;=DecisionWarn,"Warning","On track"))),IF($K864="Unconfirmed",IF($L864&gt;=UnconfirmedWarn,"Warning","On track"),""))</f>
        <v/>
      </c>
      <c r="N864" s="65" t="str">
        <f aca="false">IF($M864="","",IF($M864="Critical",3000,IF($M864="Warning",2000,1000))+$L864+ROW()/100000)</f>
        <v/>
      </c>
      <c r="O864" s="65" t="str">
        <f aca="false">IF($K864="Open",IF($C864="Conflict","decide "&amp;$A864&amp;": &lt;which version stands&gt;","decide "&amp;$A864&amp;": &lt;outcome&gt;"),IF($K864="Unconfirmed","confirm "&amp;$A864,""))</f>
        <v/>
      </c>
      <c r="P864" s="65" t="str">
        <f aca="false">IF(AND($C864="New",$B864&gt;=WeekStart),$B864+ROW()/100000,"")</f>
        <v/>
      </c>
      <c r="Q864" s="65" t="str">
        <f aca="false">IF(AND($C864="Know",$B864&gt;=WeekStart),$B864+ROW()/100000,"")</f>
        <v/>
      </c>
      <c r="R864" s="65" t="str">
        <f aca="false">IF(AND($K864="Open",$C864="Decision"),$L864+ROW()/100000,"")</f>
        <v/>
      </c>
      <c r="S864" s="65" t="str">
        <f aca="false">IF(AND($J864&lt;&gt;"",$J864=UCSel),$B864+ROW()/100000,"")</f>
        <v/>
      </c>
    </row>
    <row r="865" customFormat="false" ht="15" hidden="false" customHeight="false" outlineLevel="0" collapsed="false">
      <c r="A865" s="28"/>
      <c r="B865" s="63"/>
      <c r="C865" s="64"/>
      <c r="D865" s="28"/>
      <c r="E865" s="28"/>
      <c r="F865" s="28"/>
      <c r="G865" s="64"/>
      <c r="H865" s="64"/>
      <c r="I865" s="28"/>
      <c r="J865" s="28"/>
      <c r="K865" s="65" t="str">
        <f aca="false">IF($A865="","",IF(OR($C865="Decision",$C865="Conflict"),IF(COUNTIFS($I$2:$I$1001,$A865,$C$2:$C$1001,"Resolved")=0,"Open","Closed"),IF(AND($H865="Unconfirmed",OR($C865="New",$C865="Know")),IF(COUNTIFS($I$2:$I$1001,$A865,$C$2:$C$1001,"Confirmed")=0,"Unconfirmed","Confirmed"),"Logged")))</f>
        <v/>
      </c>
      <c r="L865" s="65" t="str">
        <f aca="false">IF($A865="","",AsOf-$B865)</f>
        <v/>
      </c>
      <c r="M865" s="65" t="str">
        <f aca="false">IF($K865="Open",IF($C865="Conflict","Critical",IF($L865&gt;=DecisionCritical,"Critical",IF($L865&gt;=DecisionWarn,"Warning","On track"))),IF($K865="Unconfirmed",IF($L865&gt;=UnconfirmedWarn,"Warning","On track"),""))</f>
        <v/>
      </c>
      <c r="N865" s="65" t="str">
        <f aca="false">IF($M865="","",IF($M865="Critical",3000,IF($M865="Warning",2000,1000))+$L865+ROW()/100000)</f>
        <v/>
      </c>
      <c r="O865" s="65" t="str">
        <f aca="false">IF($K865="Open",IF($C865="Conflict","decide "&amp;$A865&amp;": &lt;which version stands&gt;","decide "&amp;$A865&amp;": &lt;outcome&gt;"),IF($K865="Unconfirmed","confirm "&amp;$A865,""))</f>
        <v/>
      </c>
      <c r="P865" s="65" t="str">
        <f aca="false">IF(AND($C865="New",$B865&gt;=WeekStart),$B865+ROW()/100000,"")</f>
        <v/>
      </c>
      <c r="Q865" s="65" t="str">
        <f aca="false">IF(AND($C865="Know",$B865&gt;=WeekStart),$B865+ROW()/100000,"")</f>
        <v/>
      </c>
      <c r="R865" s="65" t="str">
        <f aca="false">IF(AND($K865="Open",$C865="Decision"),$L865+ROW()/100000,"")</f>
        <v/>
      </c>
      <c r="S865" s="65" t="str">
        <f aca="false">IF(AND($J865&lt;&gt;"",$J865=UCSel),$B865+ROW()/100000,"")</f>
        <v/>
      </c>
    </row>
    <row r="866" customFormat="false" ht="15" hidden="false" customHeight="false" outlineLevel="0" collapsed="false">
      <c r="A866" s="28"/>
      <c r="B866" s="63"/>
      <c r="C866" s="64"/>
      <c r="D866" s="28"/>
      <c r="E866" s="28"/>
      <c r="F866" s="28"/>
      <c r="G866" s="64"/>
      <c r="H866" s="64"/>
      <c r="I866" s="28"/>
      <c r="J866" s="28"/>
      <c r="K866" s="65" t="str">
        <f aca="false">IF($A866="","",IF(OR($C866="Decision",$C866="Conflict"),IF(COUNTIFS($I$2:$I$1001,$A866,$C$2:$C$1001,"Resolved")=0,"Open","Closed"),IF(AND($H866="Unconfirmed",OR($C866="New",$C866="Know")),IF(COUNTIFS($I$2:$I$1001,$A866,$C$2:$C$1001,"Confirmed")=0,"Unconfirmed","Confirmed"),"Logged")))</f>
        <v/>
      </c>
      <c r="L866" s="65" t="str">
        <f aca="false">IF($A866="","",AsOf-$B866)</f>
        <v/>
      </c>
      <c r="M866" s="65" t="str">
        <f aca="false">IF($K866="Open",IF($C866="Conflict","Critical",IF($L866&gt;=DecisionCritical,"Critical",IF($L866&gt;=DecisionWarn,"Warning","On track"))),IF($K866="Unconfirmed",IF($L866&gt;=UnconfirmedWarn,"Warning","On track"),""))</f>
        <v/>
      </c>
      <c r="N866" s="65" t="str">
        <f aca="false">IF($M866="","",IF($M866="Critical",3000,IF($M866="Warning",2000,1000))+$L866+ROW()/100000)</f>
        <v/>
      </c>
      <c r="O866" s="65" t="str">
        <f aca="false">IF($K866="Open",IF($C866="Conflict","decide "&amp;$A866&amp;": &lt;which version stands&gt;","decide "&amp;$A866&amp;": &lt;outcome&gt;"),IF($K866="Unconfirmed","confirm "&amp;$A866,""))</f>
        <v/>
      </c>
      <c r="P866" s="65" t="str">
        <f aca="false">IF(AND($C866="New",$B866&gt;=WeekStart),$B866+ROW()/100000,"")</f>
        <v/>
      </c>
      <c r="Q866" s="65" t="str">
        <f aca="false">IF(AND($C866="Know",$B866&gt;=WeekStart),$B866+ROW()/100000,"")</f>
        <v/>
      </c>
      <c r="R866" s="65" t="str">
        <f aca="false">IF(AND($K866="Open",$C866="Decision"),$L866+ROW()/100000,"")</f>
        <v/>
      </c>
      <c r="S866" s="65" t="str">
        <f aca="false">IF(AND($J866&lt;&gt;"",$J866=UCSel),$B866+ROW()/100000,"")</f>
        <v/>
      </c>
    </row>
    <row r="867" customFormat="false" ht="15" hidden="false" customHeight="false" outlineLevel="0" collapsed="false">
      <c r="A867" s="28"/>
      <c r="B867" s="63"/>
      <c r="C867" s="64"/>
      <c r="D867" s="28"/>
      <c r="E867" s="28"/>
      <c r="F867" s="28"/>
      <c r="G867" s="64"/>
      <c r="H867" s="64"/>
      <c r="I867" s="28"/>
      <c r="J867" s="28"/>
      <c r="K867" s="65" t="str">
        <f aca="false">IF($A867="","",IF(OR($C867="Decision",$C867="Conflict"),IF(COUNTIFS($I$2:$I$1001,$A867,$C$2:$C$1001,"Resolved")=0,"Open","Closed"),IF(AND($H867="Unconfirmed",OR($C867="New",$C867="Know")),IF(COUNTIFS($I$2:$I$1001,$A867,$C$2:$C$1001,"Confirmed")=0,"Unconfirmed","Confirmed"),"Logged")))</f>
        <v/>
      </c>
      <c r="L867" s="65" t="str">
        <f aca="false">IF($A867="","",AsOf-$B867)</f>
        <v/>
      </c>
      <c r="M867" s="65" t="str">
        <f aca="false">IF($K867="Open",IF($C867="Conflict","Critical",IF($L867&gt;=DecisionCritical,"Critical",IF($L867&gt;=DecisionWarn,"Warning","On track"))),IF($K867="Unconfirmed",IF($L867&gt;=UnconfirmedWarn,"Warning","On track"),""))</f>
        <v/>
      </c>
      <c r="N867" s="65" t="str">
        <f aca="false">IF($M867="","",IF($M867="Critical",3000,IF($M867="Warning",2000,1000))+$L867+ROW()/100000)</f>
        <v/>
      </c>
      <c r="O867" s="65" t="str">
        <f aca="false">IF($K867="Open",IF($C867="Conflict","decide "&amp;$A867&amp;": &lt;which version stands&gt;","decide "&amp;$A867&amp;": &lt;outcome&gt;"),IF($K867="Unconfirmed","confirm "&amp;$A867,""))</f>
        <v/>
      </c>
      <c r="P867" s="65" t="str">
        <f aca="false">IF(AND($C867="New",$B867&gt;=WeekStart),$B867+ROW()/100000,"")</f>
        <v/>
      </c>
      <c r="Q867" s="65" t="str">
        <f aca="false">IF(AND($C867="Know",$B867&gt;=WeekStart),$B867+ROW()/100000,"")</f>
        <v/>
      </c>
      <c r="R867" s="65" t="str">
        <f aca="false">IF(AND($K867="Open",$C867="Decision"),$L867+ROW()/100000,"")</f>
        <v/>
      </c>
      <c r="S867" s="65" t="str">
        <f aca="false">IF(AND($J867&lt;&gt;"",$J867=UCSel),$B867+ROW()/100000,"")</f>
        <v/>
      </c>
    </row>
    <row r="868" customFormat="false" ht="15" hidden="false" customHeight="false" outlineLevel="0" collapsed="false">
      <c r="A868" s="28"/>
      <c r="B868" s="63"/>
      <c r="C868" s="64"/>
      <c r="D868" s="28"/>
      <c r="E868" s="28"/>
      <c r="F868" s="28"/>
      <c r="G868" s="64"/>
      <c r="H868" s="64"/>
      <c r="I868" s="28"/>
      <c r="J868" s="28"/>
      <c r="K868" s="65" t="str">
        <f aca="false">IF($A868="","",IF(OR($C868="Decision",$C868="Conflict"),IF(COUNTIFS($I$2:$I$1001,$A868,$C$2:$C$1001,"Resolved")=0,"Open","Closed"),IF(AND($H868="Unconfirmed",OR($C868="New",$C868="Know")),IF(COUNTIFS($I$2:$I$1001,$A868,$C$2:$C$1001,"Confirmed")=0,"Unconfirmed","Confirmed"),"Logged")))</f>
        <v/>
      </c>
      <c r="L868" s="65" t="str">
        <f aca="false">IF($A868="","",AsOf-$B868)</f>
        <v/>
      </c>
      <c r="M868" s="65" t="str">
        <f aca="false">IF($K868="Open",IF($C868="Conflict","Critical",IF($L868&gt;=DecisionCritical,"Critical",IF($L868&gt;=DecisionWarn,"Warning","On track"))),IF($K868="Unconfirmed",IF($L868&gt;=UnconfirmedWarn,"Warning","On track"),""))</f>
        <v/>
      </c>
      <c r="N868" s="65" t="str">
        <f aca="false">IF($M868="","",IF($M868="Critical",3000,IF($M868="Warning",2000,1000))+$L868+ROW()/100000)</f>
        <v/>
      </c>
      <c r="O868" s="65" t="str">
        <f aca="false">IF($K868="Open",IF($C868="Conflict","decide "&amp;$A868&amp;": &lt;which version stands&gt;","decide "&amp;$A868&amp;": &lt;outcome&gt;"),IF($K868="Unconfirmed","confirm "&amp;$A868,""))</f>
        <v/>
      </c>
      <c r="P868" s="65" t="str">
        <f aca="false">IF(AND($C868="New",$B868&gt;=WeekStart),$B868+ROW()/100000,"")</f>
        <v/>
      </c>
      <c r="Q868" s="65" t="str">
        <f aca="false">IF(AND($C868="Know",$B868&gt;=WeekStart),$B868+ROW()/100000,"")</f>
        <v/>
      </c>
      <c r="R868" s="65" t="str">
        <f aca="false">IF(AND($K868="Open",$C868="Decision"),$L868+ROW()/100000,"")</f>
        <v/>
      </c>
      <c r="S868" s="65" t="str">
        <f aca="false">IF(AND($J868&lt;&gt;"",$J868=UCSel),$B868+ROW()/100000,"")</f>
        <v/>
      </c>
    </row>
    <row r="869" customFormat="false" ht="15" hidden="false" customHeight="false" outlineLevel="0" collapsed="false">
      <c r="A869" s="28"/>
      <c r="B869" s="63"/>
      <c r="C869" s="64"/>
      <c r="D869" s="28"/>
      <c r="E869" s="28"/>
      <c r="F869" s="28"/>
      <c r="G869" s="64"/>
      <c r="H869" s="64"/>
      <c r="I869" s="28"/>
      <c r="J869" s="28"/>
      <c r="K869" s="65" t="str">
        <f aca="false">IF($A869="","",IF(OR($C869="Decision",$C869="Conflict"),IF(COUNTIFS($I$2:$I$1001,$A869,$C$2:$C$1001,"Resolved")=0,"Open","Closed"),IF(AND($H869="Unconfirmed",OR($C869="New",$C869="Know")),IF(COUNTIFS($I$2:$I$1001,$A869,$C$2:$C$1001,"Confirmed")=0,"Unconfirmed","Confirmed"),"Logged")))</f>
        <v/>
      </c>
      <c r="L869" s="65" t="str">
        <f aca="false">IF($A869="","",AsOf-$B869)</f>
        <v/>
      </c>
      <c r="M869" s="65" t="str">
        <f aca="false">IF($K869="Open",IF($C869="Conflict","Critical",IF($L869&gt;=DecisionCritical,"Critical",IF($L869&gt;=DecisionWarn,"Warning","On track"))),IF($K869="Unconfirmed",IF($L869&gt;=UnconfirmedWarn,"Warning","On track"),""))</f>
        <v/>
      </c>
      <c r="N869" s="65" t="str">
        <f aca="false">IF($M869="","",IF($M869="Critical",3000,IF($M869="Warning",2000,1000))+$L869+ROW()/100000)</f>
        <v/>
      </c>
      <c r="O869" s="65" t="str">
        <f aca="false">IF($K869="Open",IF($C869="Conflict","decide "&amp;$A869&amp;": &lt;which version stands&gt;","decide "&amp;$A869&amp;": &lt;outcome&gt;"),IF($K869="Unconfirmed","confirm "&amp;$A869,""))</f>
        <v/>
      </c>
      <c r="P869" s="65" t="str">
        <f aca="false">IF(AND($C869="New",$B869&gt;=WeekStart),$B869+ROW()/100000,"")</f>
        <v/>
      </c>
      <c r="Q869" s="65" t="str">
        <f aca="false">IF(AND($C869="Know",$B869&gt;=WeekStart),$B869+ROW()/100000,"")</f>
        <v/>
      </c>
      <c r="R869" s="65" t="str">
        <f aca="false">IF(AND($K869="Open",$C869="Decision"),$L869+ROW()/100000,"")</f>
        <v/>
      </c>
      <c r="S869" s="65" t="str">
        <f aca="false">IF(AND($J869&lt;&gt;"",$J869=UCSel),$B869+ROW()/100000,"")</f>
        <v/>
      </c>
    </row>
    <row r="870" customFormat="false" ht="15" hidden="false" customHeight="false" outlineLevel="0" collapsed="false">
      <c r="A870" s="28"/>
      <c r="B870" s="63"/>
      <c r="C870" s="64"/>
      <c r="D870" s="28"/>
      <c r="E870" s="28"/>
      <c r="F870" s="28"/>
      <c r="G870" s="64"/>
      <c r="H870" s="64"/>
      <c r="I870" s="28"/>
      <c r="J870" s="28"/>
      <c r="K870" s="65" t="str">
        <f aca="false">IF($A870="","",IF(OR($C870="Decision",$C870="Conflict"),IF(COUNTIFS($I$2:$I$1001,$A870,$C$2:$C$1001,"Resolved")=0,"Open","Closed"),IF(AND($H870="Unconfirmed",OR($C870="New",$C870="Know")),IF(COUNTIFS($I$2:$I$1001,$A870,$C$2:$C$1001,"Confirmed")=0,"Unconfirmed","Confirmed"),"Logged")))</f>
        <v/>
      </c>
      <c r="L870" s="65" t="str">
        <f aca="false">IF($A870="","",AsOf-$B870)</f>
        <v/>
      </c>
      <c r="M870" s="65" t="str">
        <f aca="false">IF($K870="Open",IF($C870="Conflict","Critical",IF($L870&gt;=DecisionCritical,"Critical",IF($L870&gt;=DecisionWarn,"Warning","On track"))),IF($K870="Unconfirmed",IF($L870&gt;=UnconfirmedWarn,"Warning","On track"),""))</f>
        <v/>
      </c>
      <c r="N870" s="65" t="str">
        <f aca="false">IF($M870="","",IF($M870="Critical",3000,IF($M870="Warning",2000,1000))+$L870+ROW()/100000)</f>
        <v/>
      </c>
      <c r="O870" s="65" t="str">
        <f aca="false">IF($K870="Open",IF($C870="Conflict","decide "&amp;$A870&amp;": &lt;which version stands&gt;","decide "&amp;$A870&amp;": &lt;outcome&gt;"),IF($K870="Unconfirmed","confirm "&amp;$A870,""))</f>
        <v/>
      </c>
      <c r="P870" s="65" t="str">
        <f aca="false">IF(AND($C870="New",$B870&gt;=WeekStart),$B870+ROW()/100000,"")</f>
        <v/>
      </c>
      <c r="Q870" s="65" t="str">
        <f aca="false">IF(AND($C870="Know",$B870&gt;=WeekStart),$B870+ROW()/100000,"")</f>
        <v/>
      </c>
      <c r="R870" s="65" t="str">
        <f aca="false">IF(AND($K870="Open",$C870="Decision"),$L870+ROW()/100000,"")</f>
        <v/>
      </c>
      <c r="S870" s="65" t="str">
        <f aca="false">IF(AND($J870&lt;&gt;"",$J870=UCSel),$B870+ROW()/100000,"")</f>
        <v/>
      </c>
    </row>
    <row r="871" customFormat="false" ht="15" hidden="false" customHeight="false" outlineLevel="0" collapsed="false">
      <c r="A871" s="28"/>
      <c r="B871" s="63"/>
      <c r="C871" s="64"/>
      <c r="D871" s="28"/>
      <c r="E871" s="28"/>
      <c r="F871" s="28"/>
      <c r="G871" s="64"/>
      <c r="H871" s="64"/>
      <c r="I871" s="28"/>
      <c r="J871" s="28"/>
      <c r="K871" s="65" t="str">
        <f aca="false">IF($A871="","",IF(OR($C871="Decision",$C871="Conflict"),IF(COUNTIFS($I$2:$I$1001,$A871,$C$2:$C$1001,"Resolved")=0,"Open","Closed"),IF(AND($H871="Unconfirmed",OR($C871="New",$C871="Know")),IF(COUNTIFS($I$2:$I$1001,$A871,$C$2:$C$1001,"Confirmed")=0,"Unconfirmed","Confirmed"),"Logged")))</f>
        <v/>
      </c>
      <c r="L871" s="65" t="str">
        <f aca="false">IF($A871="","",AsOf-$B871)</f>
        <v/>
      </c>
      <c r="M871" s="65" t="str">
        <f aca="false">IF($K871="Open",IF($C871="Conflict","Critical",IF($L871&gt;=DecisionCritical,"Critical",IF($L871&gt;=DecisionWarn,"Warning","On track"))),IF($K871="Unconfirmed",IF($L871&gt;=UnconfirmedWarn,"Warning","On track"),""))</f>
        <v/>
      </c>
      <c r="N871" s="65" t="str">
        <f aca="false">IF($M871="","",IF($M871="Critical",3000,IF($M871="Warning",2000,1000))+$L871+ROW()/100000)</f>
        <v/>
      </c>
      <c r="O871" s="65" t="str">
        <f aca="false">IF($K871="Open",IF($C871="Conflict","decide "&amp;$A871&amp;": &lt;which version stands&gt;","decide "&amp;$A871&amp;": &lt;outcome&gt;"),IF($K871="Unconfirmed","confirm "&amp;$A871,""))</f>
        <v/>
      </c>
      <c r="P871" s="65" t="str">
        <f aca="false">IF(AND($C871="New",$B871&gt;=WeekStart),$B871+ROW()/100000,"")</f>
        <v/>
      </c>
      <c r="Q871" s="65" t="str">
        <f aca="false">IF(AND($C871="Know",$B871&gt;=WeekStart),$B871+ROW()/100000,"")</f>
        <v/>
      </c>
      <c r="R871" s="65" t="str">
        <f aca="false">IF(AND($K871="Open",$C871="Decision"),$L871+ROW()/100000,"")</f>
        <v/>
      </c>
      <c r="S871" s="65" t="str">
        <f aca="false">IF(AND($J871&lt;&gt;"",$J871=UCSel),$B871+ROW()/100000,"")</f>
        <v/>
      </c>
    </row>
    <row r="872" customFormat="false" ht="15" hidden="false" customHeight="false" outlineLevel="0" collapsed="false">
      <c r="A872" s="28"/>
      <c r="B872" s="63"/>
      <c r="C872" s="64"/>
      <c r="D872" s="28"/>
      <c r="E872" s="28"/>
      <c r="F872" s="28"/>
      <c r="G872" s="64"/>
      <c r="H872" s="64"/>
      <c r="I872" s="28"/>
      <c r="J872" s="28"/>
      <c r="K872" s="65" t="str">
        <f aca="false">IF($A872="","",IF(OR($C872="Decision",$C872="Conflict"),IF(COUNTIFS($I$2:$I$1001,$A872,$C$2:$C$1001,"Resolved")=0,"Open","Closed"),IF(AND($H872="Unconfirmed",OR($C872="New",$C872="Know")),IF(COUNTIFS($I$2:$I$1001,$A872,$C$2:$C$1001,"Confirmed")=0,"Unconfirmed","Confirmed"),"Logged")))</f>
        <v/>
      </c>
      <c r="L872" s="65" t="str">
        <f aca="false">IF($A872="","",AsOf-$B872)</f>
        <v/>
      </c>
      <c r="M872" s="65" t="str">
        <f aca="false">IF($K872="Open",IF($C872="Conflict","Critical",IF($L872&gt;=DecisionCritical,"Critical",IF($L872&gt;=DecisionWarn,"Warning","On track"))),IF($K872="Unconfirmed",IF($L872&gt;=UnconfirmedWarn,"Warning","On track"),""))</f>
        <v/>
      </c>
      <c r="N872" s="65" t="str">
        <f aca="false">IF($M872="","",IF($M872="Critical",3000,IF($M872="Warning",2000,1000))+$L872+ROW()/100000)</f>
        <v/>
      </c>
      <c r="O872" s="65" t="str">
        <f aca="false">IF($K872="Open",IF($C872="Conflict","decide "&amp;$A872&amp;": &lt;which version stands&gt;","decide "&amp;$A872&amp;": &lt;outcome&gt;"),IF($K872="Unconfirmed","confirm "&amp;$A872,""))</f>
        <v/>
      </c>
      <c r="P872" s="65" t="str">
        <f aca="false">IF(AND($C872="New",$B872&gt;=WeekStart),$B872+ROW()/100000,"")</f>
        <v/>
      </c>
      <c r="Q872" s="65" t="str">
        <f aca="false">IF(AND($C872="Know",$B872&gt;=WeekStart),$B872+ROW()/100000,"")</f>
        <v/>
      </c>
      <c r="R872" s="65" t="str">
        <f aca="false">IF(AND($K872="Open",$C872="Decision"),$L872+ROW()/100000,"")</f>
        <v/>
      </c>
      <c r="S872" s="65" t="str">
        <f aca="false">IF(AND($J872&lt;&gt;"",$J872=UCSel),$B872+ROW()/100000,"")</f>
        <v/>
      </c>
    </row>
    <row r="873" customFormat="false" ht="15" hidden="false" customHeight="false" outlineLevel="0" collapsed="false">
      <c r="A873" s="28"/>
      <c r="B873" s="63"/>
      <c r="C873" s="64"/>
      <c r="D873" s="28"/>
      <c r="E873" s="28"/>
      <c r="F873" s="28"/>
      <c r="G873" s="64"/>
      <c r="H873" s="64"/>
      <c r="I873" s="28"/>
      <c r="J873" s="28"/>
      <c r="K873" s="65" t="str">
        <f aca="false">IF($A873="","",IF(OR($C873="Decision",$C873="Conflict"),IF(COUNTIFS($I$2:$I$1001,$A873,$C$2:$C$1001,"Resolved")=0,"Open","Closed"),IF(AND($H873="Unconfirmed",OR($C873="New",$C873="Know")),IF(COUNTIFS($I$2:$I$1001,$A873,$C$2:$C$1001,"Confirmed")=0,"Unconfirmed","Confirmed"),"Logged")))</f>
        <v/>
      </c>
      <c r="L873" s="65" t="str">
        <f aca="false">IF($A873="","",AsOf-$B873)</f>
        <v/>
      </c>
      <c r="M873" s="65" t="str">
        <f aca="false">IF($K873="Open",IF($C873="Conflict","Critical",IF($L873&gt;=DecisionCritical,"Critical",IF($L873&gt;=DecisionWarn,"Warning","On track"))),IF($K873="Unconfirmed",IF($L873&gt;=UnconfirmedWarn,"Warning","On track"),""))</f>
        <v/>
      </c>
      <c r="N873" s="65" t="str">
        <f aca="false">IF($M873="","",IF($M873="Critical",3000,IF($M873="Warning",2000,1000))+$L873+ROW()/100000)</f>
        <v/>
      </c>
      <c r="O873" s="65" t="str">
        <f aca="false">IF($K873="Open",IF($C873="Conflict","decide "&amp;$A873&amp;": &lt;which version stands&gt;","decide "&amp;$A873&amp;": &lt;outcome&gt;"),IF($K873="Unconfirmed","confirm "&amp;$A873,""))</f>
        <v/>
      </c>
      <c r="P873" s="65" t="str">
        <f aca="false">IF(AND($C873="New",$B873&gt;=WeekStart),$B873+ROW()/100000,"")</f>
        <v/>
      </c>
      <c r="Q873" s="65" t="str">
        <f aca="false">IF(AND($C873="Know",$B873&gt;=WeekStart),$B873+ROW()/100000,"")</f>
        <v/>
      </c>
      <c r="R873" s="65" t="str">
        <f aca="false">IF(AND($K873="Open",$C873="Decision"),$L873+ROW()/100000,"")</f>
        <v/>
      </c>
      <c r="S873" s="65" t="str">
        <f aca="false">IF(AND($J873&lt;&gt;"",$J873=UCSel),$B873+ROW()/100000,"")</f>
        <v/>
      </c>
    </row>
    <row r="874" customFormat="false" ht="15" hidden="false" customHeight="false" outlineLevel="0" collapsed="false">
      <c r="A874" s="28"/>
      <c r="B874" s="63"/>
      <c r="C874" s="64"/>
      <c r="D874" s="28"/>
      <c r="E874" s="28"/>
      <c r="F874" s="28"/>
      <c r="G874" s="64"/>
      <c r="H874" s="64"/>
      <c r="I874" s="28"/>
      <c r="J874" s="28"/>
      <c r="K874" s="65" t="str">
        <f aca="false">IF($A874="","",IF(OR($C874="Decision",$C874="Conflict"),IF(COUNTIFS($I$2:$I$1001,$A874,$C$2:$C$1001,"Resolved")=0,"Open","Closed"),IF(AND($H874="Unconfirmed",OR($C874="New",$C874="Know")),IF(COUNTIFS($I$2:$I$1001,$A874,$C$2:$C$1001,"Confirmed")=0,"Unconfirmed","Confirmed"),"Logged")))</f>
        <v/>
      </c>
      <c r="L874" s="65" t="str">
        <f aca="false">IF($A874="","",AsOf-$B874)</f>
        <v/>
      </c>
      <c r="M874" s="65" t="str">
        <f aca="false">IF($K874="Open",IF($C874="Conflict","Critical",IF($L874&gt;=DecisionCritical,"Critical",IF($L874&gt;=DecisionWarn,"Warning","On track"))),IF($K874="Unconfirmed",IF($L874&gt;=UnconfirmedWarn,"Warning","On track"),""))</f>
        <v/>
      </c>
      <c r="N874" s="65" t="str">
        <f aca="false">IF($M874="","",IF($M874="Critical",3000,IF($M874="Warning",2000,1000))+$L874+ROW()/100000)</f>
        <v/>
      </c>
      <c r="O874" s="65" t="str">
        <f aca="false">IF($K874="Open",IF($C874="Conflict","decide "&amp;$A874&amp;": &lt;which version stands&gt;","decide "&amp;$A874&amp;": &lt;outcome&gt;"),IF($K874="Unconfirmed","confirm "&amp;$A874,""))</f>
        <v/>
      </c>
      <c r="P874" s="65" t="str">
        <f aca="false">IF(AND($C874="New",$B874&gt;=WeekStart),$B874+ROW()/100000,"")</f>
        <v/>
      </c>
      <c r="Q874" s="65" t="str">
        <f aca="false">IF(AND($C874="Know",$B874&gt;=WeekStart),$B874+ROW()/100000,"")</f>
        <v/>
      </c>
      <c r="R874" s="65" t="str">
        <f aca="false">IF(AND($K874="Open",$C874="Decision"),$L874+ROW()/100000,"")</f>
        <v/>
      </c>
      <c r="S874" s="65" t="str">
        <f aca="false">IF(AND($J874&lt;&gt;"",$J874=UCSel),$B874+ROW()/100000,"")</f>
        <v/>
      </c>
    </row>
    <row r="875" customFormat="false" ht="15" hidden="false" customHeight="false" outlineLevel="0" collapsed="false">
      <c r="A875" s="28"/>
      <c r="B875" s="63"/>
      <c r="C875" s="64"/>
      <c r="D875" s="28"/>
      <c r="E875" s="28"/>
      <c r="F875" s="28"/>
      <c r="G875" s="64"/>
      <c r="H875" s="64"/>
      <c r="I875" s="28"/>
      <c r="J875" s="28"/>
      <c r="K875" s="65" t="str">
        <f aca="false">IF($A875="","",IF(OR($C875="Decision",$C875="Conflict"),IF(COUNTIFS($I$2:$I$1001,$A875,$C$2:$C$1001,"Resolved")=0,"Open","Closed"),IF(AND($H875="Unconfirmed",OR($C875="New",$C875="Know")),IF(COUNTIFS($I$2:$I$1001,$A875,$C$2:$C$1001,"Confirmed")=0,"Unconfirmed","Confirmed"),"Logged")))</f>
        <v/>
      </c>
      <c r="L875" s="65" t="str">
        <f aca="false">IF($A875="","",AsOf-$B875)</f>
        <v/>
      </c>
      <c r="M875" s="65" t="str">
        <f aca="false">IF($K875="Open",IF($C875="Conflict","Critical",IF($L875&gt;=DecisionCritical,"Critical",IF($L875&gt;=DecisionWarn,"Warning","On track"))),IF($K875="Unconfirmed",IF($L875&gt;=UnconfirmedWarn,"Warning","On track"),""))</f>
        <v/>
      </c>
      <c r="N875" s="65" t="str">
        <f aca="false">IF($M875="","",IF($M875="Critical",3000,IF($M875="Warning",2000,1000))+$L875+ROW()/100000)</f>
        <v/>
      </c>
      <c r="O875" s="65" t="str">
        <f aca="false">IF($K875="Open",IF($C875="Conflict","decide "&amp;$A875&amp;": &lt;which version stands&gt;","decide "&amp;$A875&amp;": &lt;outcome&gt;"),IF($K875="Unconfirmed","confirm "&amp;$A875,""))</f>
        <v/>
      </c>
      <c r="P875" s="65" t="str">
        <f aca="false">IF(AND($C875="New",$B875&gt;=WeekStart),$B875+ROW()/100000,"")</f>
        <v/>
      </c>
      <c r="Q875" s="65" t="str">
        <f aca="false">IF(AND($C875="Know",$B875&gt;=WeekStart),$B875+ROW()/100000,"")</f>
        <v/>
      </c>
      <c r="R875" s="65" t="str">
        <f aca="false">IF(AND($K875="Open",$C875="Decision"),$L875+ROW()/100000,"")</f>
        <v/>
      </c>
      <c r="S875" s="65" t="str">
        <f aca="false">IF(AND($J875&lt;&gt;"",$J875=UCSel),$B875+ROW()/100000,"")</f>
        <v/>
      </c>
    </row>
    <row r="876" customFormat="false" ht="15" hidden="false" customHeight="false" outlineLevel="0" collapsed="false">
      <c r="A876" s="28"/>
      <c r="B876" s="63"/>
      <c r="C876" s="64"/>
      <c r="D876" s="28"/>
      <c r="E876" s="28"/>
      <c r="F876" s="28"/>
      <c r="G876" s="64"/>
      <c r="H876" s="64"/>
      <c r="I876" s="28"/>
      <c r="J876" s="28"/>
      <c r="K876" s="65" t="str">
        <f aca="false">IF($A876="","",IF(OR($C876="Decision",$C876="Conflict"),IF(COUNTIFS($I$2:$I$1001,$A876,$C$2:$C$1001,"Resolved")=0,"Open","Closed"),IF(AND($H876="Unconfirmed",OR($C876="New",$C876="Know")),IF(COUNTIFS($I$2:$I$1001,$A876,$C$2:$C$1001,"Confirmed")=0,"Unconfirmed","Confirmed"),"Logged")))</f>
        <v/>
      </c>
      <c r="L876" s="65" t="str">
        <f aca="false">IF($A876="","",AsOf-$B876)</f>
        <v/>
      </c>
      <c r="M876" s="65" t="str">
        <f aca="false">IF($K876="Open",IF($C876="Conflict","Critical",IF($L876&gt;=DecisionCritical,"Critical",IF($L876&gt;=DecisionWarn,"Warning","On track"))),IF($K876="Unconfirmed",IF($L876&gt;=UnconfirmedWarn,"Warning","On track"),""))</f>
        <v/>
      </c>
      <c r="N876" s="65" t="str">
        <f aca="false">IF($M876="","",IF($M876="Critical",3000,IF($M876="Warning",2000,1000))+$L876+ROW()/100000)</f>
        <v/>
      </c>
      <c r="O876" s="65" t="str">
        <f aca="false">IF($K876="Open",IF($C876="Conflict","decide "&amp;$A876&amp;": &lt;which version stands&gt;","decide "&amp;$A876&amp;": &lt;outcome&gt;"),IF($K876="Unconfirmed","confirm "&amp;$A876,""))</f>
        <v/>
      </c>
      <c r="P876" s="65" t="str">
        <f aca="false">IF(AND($C876="New",$B876&gt;=WeekStart),$B876+ROW()/100000,"")</f>
        <v/>
      </c>
      <c r="Q876" s="65" t="str">
        <f aca="false">IF(AND($C876="Know",$B876&gt;=WeekStart),$B876+ROW()/100000,"")</f>
        <v/>
      </c>
      <c r="R876" s="65" t="str">
        <f aca="false">IF(AND($K876="Open",$C876="Decision"),$L876+ROW()/100000,"")</f>
        <v/>
      </c>
      <c r="S876" s="65" t="str">
        <f aca="false">IF(AND($J876&lt;&gt;"",$J876=UCSel),$B876+ROW()/100000,"")</f>
        <v/>
      </c>
    </row>
    <row r="877" customFormat="false" ht="15" hidden="false" customHeight="false" outlineLevel="0" collapsed="false">
      <c r="A877" s="28"/>
      <c r="B877" s="63"/>
      <c r="C877" s="64"/>
      <c r="D877" s="28"/>
      <c r="E877" s="28"/>
      <c r="F877" s="28"/>
      <c r="G877" s="64"/>
      <c r="H877" s="64"/>
      <c r="I877" s="28"/>
      <c r="J877" s="28"/>
      <c r="K877" s="65" t="str">
        <f aca="false">IF($A877="","",IF(OR($C877="Decision",$C877="Conflict"),IF(COUNTIFS($I$2:$I$1001,$A877,$C$2:$C$1001,"Resolved")=0,"Open","Closed"),IF(AND($H877="Unconfirmed",OR($C877="New",$C877="Know")),IF(COUNTIFS($I$2:$I$1001,$A877,$C$2:$C$1001,"Confirmed")=0,"Unconfirmed","Confirmed"),"Logged")))</f>
        <v/>
      </c>
      <c r="L877" s="65" t="str">
        <f aca="false">IF($A877="","",AsOf-$B877)</f>
        <v/>
      </c>
      <c r="M877" s="65" t="str">
        <f aca="false">IF($K877="Open",IF($C877="Conflict","Critical",IF($L877&gt;=DecisionCritical,"Critical",IF($L877&gt;=DecisionWarn,"Warning","On track"))),IF($K877="Unconfirmed",IF($L877&gt;=UnconfirmedWarn,"Warning","On track"),""))</f>
        <v/>
      </c>
      <c r="N877" s="65" t="str">
        <f aca="false">IF($M877="","",IF($M877="Critical",3000,IF($M877="Warning",2000,1000))+$L877+ROW()/100000)</f>
        <v/>
      </c>
      <c r="O877" s="65" t="str">
        <f aca="false">IF($K877="Open",IF($C877="Conflict","decide "&amp;$A877&amp;": &lt;which version stands&gt;","decide "&amp;$A877&amp;": &lt;outcome&gt;"),IF($K877="Unconfirmed","confirm "&amp;$A877,""))</f>
        <v/>
      </c>
      <c r="P877" s="65" t="str">
        <f aca="false">IF(AND($C877="New",$B877&gt;=WeekStart),$B877+ROW()/100000,"")</f>
        <v/>
      </c>
      <c r="Q877" s="65" t="str">
        <f aca="false">IF(AND($C877="Know",$B877&gt;=WeekStart),$B877+ROW()/100000,"")</f>
        <v/>
      </c>
      <c r="R877" s="65" t="str">
        <f aca="false">IF(AND($K877="Open",$C877="Decision"),$L877+ROW()/100000,"")</f>
        <v/>
      </c>
      <c r="S877" s="65" t="str">
        <f aca="false">IF(AND($J877&lt;&gt;"",$J877=UCSel),$B877+ROW()/100000,"")</f>
        <v/>
      </c>
    </row>
    <row r="878" customFormat="false" ht="15" hidden="false" customHeight="false" outlineLevel="0" collapsed="false">
      <c r="A878" s="28"/>
      <c r="B878" s="63"/>
      <c r="C878" s="64"/>
      <c r="D878" s="28"/>
      <c r="E878" s="28"/>
      <c r="F878" s="28"/>
      <c r="G878" s="64"/>
      <c r="H878" s="64"/>
      <c r="I878" s="28"/>
      <c r="J878" s="28"/>
      <c r="K878" s="65" t="str">
        <f aca="false">IF($A878="","",IF(OR($C878="Decision",$C878="Conflict"),IF(COUNTIFS($I$2:$I$1001,$A878,$C$2:$C$1001,"Resolved")=0,"Open","Closed"),IF(AND($H878="Unconfirmed",OR($C878="New",$C878="Know")),IF(COUNTIFS($I$2:$I$1001,$A878,$C$2:$C$1001,"Confirmed")=0,"Unconfirmed","Confirmed"),"Logged")))</f>
        <v/>
      </c>
      <c r="L878" s="65" t="str">
        <f aca="false">IF($A878="","",AsOf-$B878)</f>
        <v/>
      </c>
      <c r="M878" s="65" t="str">
        <f aca="false">IF($K878="Open",IF($C878="Conflict","Critical",IF($L878&gt;=DecisionCritical,"Critical",IF($L878&gt;=DecisionWarn,"Warning","On track"))),IF($K878="Unconfirmed",IF($L878&gt;=UnconfirmedWarn,"Warning","On track"),""))</f>
        <v/>
      </c>
      <c r="N878" s="65" t="str">
        <f aca="false">IF($M878="","",IF($M878="Critical",3000,IF($M878="Warning",2000,1000))+$L878+ROW()/100000)</f>
        <v/>
      </c>
      <c r="O878" s="65" t="str">
        <f aca="false">IF($K878="Open",IF($C878="Conflict","decide "&amp;$A878&amp;": &lt;which version stands&gt;","decide "&amp;$A878&amp;": &lt;outcome&gt;"),IF($K878="Unconfirmed","confirm "&amp;$A878,""))</f>
        <v/>
      </c>
      <c r="P878" s="65" t="str">
        <f aca="false">IF(AND($C878="New",$B878&gt;=WeekStart),$B878+ROW()/100000,"")</f>
        <v/>
      </c>
      <c r="Q878" s="65" t="str">
        <f aca="false">IF(AND($C878="Know",$B878&gt;=WeekStart),$B878+ROW()/100000,"")</f>
        <v/>
      </c>
      <c r="R878" s="65" t="str">
        <f aca="false">IF(AND($K878="Open",$C878="Decision"),$L878+ROW()/100000,"")</f>
        <v/>
      </c>
      <c r="S878" s="65" t="str">
        <f aca="false">IF(AND($J878&lt;&gt;"",$J878=UCSel),$B878+ROW()/100000,"")</f>
        <v/>
      </c>
    </row>
    <row r="879" customFormat="false" ht="15" hidden="false" customHeight="false" outlineLevel="0" collapsed="false">
      <c r="A879" s="28"/>
      <c r="B879" s="63"/>
      <c r="C879" s="64"/>
      <c r="D879" s="28"/>
      <c r="E879" s="28"/>
      <c r="F879" s="28"/>
      <c r="G879" s="64"/>
      <c r="H879" s="64"/>
      <c r="I879" s="28"/>
      <c r="J879" s="28"/>
      <c r="K879" s="65" t="str">
        <f aca="false">IF($A879="","",IF(OR($C879="Decision",$C879="Conflict"),IF(COUNTIFS($I$2:$I$1001,$A879,$C$2:$C$1001,"Resolved")=0,"Open","Closed"),IF(AND($H879="Unconfirmed",OR($C879="New",$C879="Know")),IF(COUNTIFS($I$2:$I$1001,$A879,$C$2:$C$1001,"Confirmed")=0,"Unconfirmed","Confirmed"),"Logged")))</f>
        <v/>
      </c>
      <c r="L879" s="65" t="str">
        <f aca="false">IF($A879="","",AsOf-$B879)</f>
        <v/>
      </c>
      <c r="M879" s="65" t="str">
        <f aca="false">IF($K879="Open",IF($C879="Conflict","Critical",IF($L879&gt;=DecisionCritical,"Critical",IF($L879&gt;=DecisionWarn,"Warning","On track"))),IF($K879="Unconfirmed",IF($L879&gt;=UnconfirmedWarn,"Warning","On track"),""))</f>
        <v/>
      </c>
      <c r="N879" s="65" t="str">
        <f aca="false">IF($M879="","",IF($M879="Critical",3000,IF($M879="Warning",2000,1000))+$L879+ROW()/100000)</f>
        <v/>
      </c>
      <c r="O879" s="65" t="str">
        <f aca="false">IF($K879="Open",IF($C879="Conflict","decide "&amp;$A879&amp;": &lt;which version stands&gt;","decide "&amp;$A879&amp;": &lt;outcome&gt;"),IF($K879="Unconfirmed","confirm "&amp;$A879,""))</f>
        <v/>
      </c>
      <c r="P879" s="65" t="str">
        <f aca="false">IF(AND($C879="New",$B879&gt;=WeekStart),$B879+ROW()/100000,"")</f>
        <v/>
      </c>
      <c r="Q879" s="65" t="str">
        <f aca="false">IF(AND($C879="Know",$B879&gt;=WeekStart),$B879+ROW()/100000,"")</f>
        <v/>
      </c>
      <c r="R879" s="65" t="str">
        <f aca="false">IF(AND($K879="Open",$C879="Decision"),$L879+ROW()/100000,"")</f>
        <v/>
      </c>
      <c r="S879" s="65" t="str">
        <f aca="false">IF(AND($J879&lt;&gt;"",$J879=UCSel),$B879+ROW()/100000,"")</f>
        <v/>
      </c>
    </row>
    <row r="880" customFormat="false" ht="15" hidden="false" customHeight="false" outlineLevel="0" collapsed="false">
      <c r="A880" s="28"/>
      <c r="B880" s="63"/>
      <c r="C880" s="64"/>
      <c r="D880" s="28"/>
      <c r="E880" s="28"/>
      <c r="F880" s="28"/>
      <c r="G880" s="64"/>
      <c r="H880" s="64"/>
      <c r="I880" s="28"/>
      <c r="J880" s="28"/>
      <c r="K880" s="65" t="str">
        <f aca="false">IF($A880="","",IF(OR($C880="Decision",$C880="Conflict"),IF(COUNTIFS($I$2:$I$1001,$A880,$C$2:$C$1001,"Resolved")=0,"Open","Closed"),IF(AND($H880="Unconfirmed",OR($C880="New",$C880="Know")),IF(COUNTIFS($I$2:$I$1001,$A880,$C$2:$C$1001,"Confirmed")=0,"Unconfirmed","Confirmed"),"Logged")))</f>
        <v/>
      </c>
      <c r="L880" s="65" t="str">
        <f aca="false">IF($A880="","",AsOf-$B880)</f>
        <v/>
      </c>
      <c r="M880" s="65" t="str">
        <f aca="false">IF($K880="Open",IF($C880="Conflict","Critical",IF($L880&gt;=DecisionCritical,"Critical",IF($L880&gt;=DecisionWarn,"Warning","On track"))),IF($K880="Unconfirmed",IF($L880&gt;=UnconfirmedWarn,"Warning","On track"),""))</f>
        <v/>
      </c>
      <c r="N880" s="65" t="str">
        <f aca="false">IF($M880="","",IF($M880="Critical",3000,IF($M880="Warning",2000,1000))+$L880+ROW()/100000)</f>
        <v/>
      </c>
      <c r="O880" s="65" t="str">
        <f aca="false">IF($K880="Open",IF($C880="Conflict","decide "&amp;$A880&amp;": &lt;which version stands&gt;","decide "&amp;$A880&amp;": &lt;outcome&gt;"),IF($K880="Unconfirmed","confirm "&amp;$A880,""))</f>
        <v/>
      </c>
      <c r="P880" s="65" t="str">
        <f aca="false">IF(AND($C880="New",$B880&gt;=WeekStart),$B880+ROW()/100000,"")</f>
        <v/>
      </c>
      <c r="Q880" s="65" t="str">
        <f aca="false">IF(AND($C880="Know",$B880&gt;=WeekStart),$B880+ROW()/100000,"")</f>
        <v/>
      </c>
      <c r="R880" s="65" t="str">
        <f aca="false">IF(AND($K880="Open",$C880="Decision"),$L880+ROW()/100000,"")</f>
        <v/>
      </c>
      <c r="S880" s="65" t="str">
        <f aca="false">IF(AND($J880&lt;&gt;"",$J880=UCSel),$B880+ROW()/100000,"")</f>
        <v/>
      </c>
    </row>
    <row r="881" customFormat="false" ht="15" hidden="false" customHeight="false" outlineLevel="0" collapsed="false">
      <c r="A881" s="28"/>
      <c r="B881" s="63"/>
      <c r="C881" s="64"/>
      <c r="D881" s="28"/>
      <c r="E881" s="28"/>
      <c r="F881" s="28"/>
      <c r="G881" s="64"/>
      <c r="H881" s="64"/>
      <c r="I881" s="28"/>
      <c r="J881" s="28"/>
      <c r="K881" s="65" t="str">
        <f aca="false">IF($A881="","",IF(OR($C881="Decision",$C881="Conflict"),IF(COUNTIFS($I$2:$I$1001,$A881,$C$2:$C$1001,"Resolved")=0,"Open","Closed"),IF(AND($H881="Unconfirmed",OR($C881="New",$C881="Know")),IF(COUNTIFS($I$2:$I$1001,$A881,$C$2:$C$1001,"Confirmed")=0,"Unconfirmed","Confirmed"),"Logged")))</f>
        <v/>
      </c>
      <c r="L881" s="65" t="str">
        <f aca="false">IF($A881="","",AsOf-$B881)</f>
        <v/>
      </c>
      <c r="M881" s="65" t="str">
        <f aca="false">IF($K881="Open",IF($C881="Conflict","Critical",IF($L881&gt;=DecisionCritical,"Critical",IF($L881&gt;=DecisionWarn,"Warning","On track"))),IF($K881="Unconfirmed",IF($L881&gt;=UnconfirmedWarn,"Warning","On track"),""))</f>
        <v/>
      </c>
      <c r="N881" s="65" t="str">
        <f aca="false">IF($M881="","",IF($M881="Critical",3000,IF($M881="Warning",2000,1000))+$L881+ROW()/100000)</f>
        <v/>
      </c>
      <c r="O881" s="65" t="str">
        <f aca="false">IF($K881="Open",IF($C881="Conflict","decide "&amp;$A881&amp;": &lt;which version stands&gt;","decide "&amp;$A881&amp;": &lt;outcome&gt;"),IF($K881="Unconfirmed","confirm "&amp;$A881,""))</f>
        <v/>
      </c>
      <c r="P881" s="65" t="str">
        <f aca="false">IF(AND($C881="New",$B881&gt;=WeekStart),$B881+ROW()/100000,"")</f>
        <v/>
      </c>
      <c r="Q881" s="65" t="str">
        <f aca="false">IF(AND($C881="Know",$B881&gt;=WeekStart),$B881+ROW()/100000,"")</f>
        <v/>
      </c>
      <c r="R881" s="65" t="str">
        <f aca="false">IF(AND($K881="Open",$C881="Decision"),$L881+ROW()/100000,"")</f>
        <v/>
      </c>
      <c r="S881" s="65" t="str">
        <f aca="false">IF(AND($J881&lt;&gt;"",$J881=UCSel),$B881+ROW()/100000,"")</f>
        <v/>
      </c>
    </row>
    <row r="882" customFormat="false" ht="15" hidden="false" customHeight="false" outlineLevel="0" collapsed="false">
      <c r="A882" s="28"/>
      <c r="B882" s="63"/>
      <c r="C882" s="64"/>
      <c r="D882" s="28"/>
      <c r="E882" s="28"/>
      <c r="F882" s="28"/>
      <c r="G882" s="64"/>
      <c r="H882" s="64"/>
      <c r="I882" s="28"/>
      <c r="J882" s="28"/>
      <c r="K882" s="65" t="str">
        <f aca="false">IF($A882="","",IF(OR($C882="Decision",$C882="Conflict"),IF(COUNTIFS($I$2:$I$1001,$A882,$C$2:$C$1001,"Resolved")=0,"Open","Closed"),IF(AND($H882="Unconfirmed",OR($C882="New",$C882="Know")),IF(COUNTIFS($I$2:$I$1001,$A882,$C$2:$C$1001,"Confirmed")=0,"Unconfirmed","Confirmed"),"Logged")))</f>
        <v/>
      </c>
      <c r="L882" s="65" t="str">
        <f aca="false">IF($A882="","",AsOf-$B882)</f>
        <v/>
      </c>
      <c r="M882" s="65" t="str">
        <f aca="false">IF($K882="Open",IF($C882="Conflict","Critical",IF($L882&gt;=DecisionCritical,"Critical",IF($L882&gt;=DecisionWarn,"Warning","On track"))),IF($K882="Unconfirmed",IF($L882&gt;=UnconfirmedWarn,"Warning","On track"),""))</f>
        <v/>
      </c>
      <c r="N882" s="65" t="str">
        <f aca="false">IF($M882="","",IF($M882="Critical",3000,IF($M882="Warning",2000,1000))+$L882+ROW()/100000)</f>
        <v/>
      </c>
      <c r="O882" s="65" t="str">
        <f aca="false">IF($K882="Open",IF($C882="Conflict","decide "&amp;$A882&amp;": &lt;which version stands&gt;","decide "&amp;$A882&amp;": &lt;outcome&gt;"),IF($K882="Unconfirmed","confirm "&amp;$A882,""))</f>
        <v/>
      </c>
      <c r="P882" s="65" t="str">
        <f aca="false">IF(AND($C882="New",$B882&gt;=WeekStart),$B882+ROW()/100000,"")</f>
        <v/>
      </c>
      <c r="Q882" s="65" t="str">
        <f aca="false">IF(AND($C882="Know",$B882&gt;=WeekStart),$B882+ROW()/100000,"")</f>
        <v/>
      </c>
      <c r="R882" s="65" t="str">
        <f aca="false">IF(AND($K882="Open",$C882="Decision"),$L882+ROW()/100000,"")</f>
        <v/>
      </c>
      <c r="S882" s="65" t="str">
        <f aca="false">IF(AND($J882&lt;&gt;"",$J882=UCSel),$B882+ROW()/100000,"")</f>
        <v/>
      </c>
    </row>
    <row r="883" customFormat="false" ht="15" hidden="false" customHeight="false" outlineLevel="0" collapsed="false">
      <c r="A883" s="28"/>
      <c r="B883" s="63"/>
      <c r="C883" s="64"/>
      <c r="D883" s="28"/>
      <c r="E883" s="28"/>
      <c r="F883" s="28"/>
      <c r="G883" s="64"/>
      <c r="H883" s="64"/>
      <c r="I883" s="28"/>
      <c r="J883" s="28"/>
      <c r="K883" s="65" t="str">
        <f aca="false">IF($A883="","",IF(OR($C883="Decision",$C883="Conflict"),IF(COUNTIFS($I$2:$I$1001,$A883,$C$2:$C$1001,"Resolved")=0,"Open","Closed"),IF(AND($H883="Unconfirmed",OR($C883="New",$C883="Know")),IF(COUNTIFS($I$2:$I$1001,$A883,$C$2:$C$1001,"Confirmed")=0,"Unconfirmed","Confirmed"),"Logged")))</f>
        <v/>
      </c>
      <c r="L883" s="65" t="str">
        <f aca="false">IF($A883="","",AsOf-$B883)</f>
        <v/>
      </c>
      <c r="M883" s="65" t="str">
        <f aca="false">IF($K883="Open",IF($C883="Conflict","Critical",IF($L883&gt;=DecisionCritical,"Critical",IF($L883&gt;=DecisionWarn,"Warning","On track"))),IF($K883="Unconfirmed",IF($L883&gt;=UnconfirmedWarn,"Warning","On track"),""))</f>
        <v/>
      </c>
      <c r="N883" s="65" t="str">
        <f aca="false">IF($M883="","",IF($M883="Critical",3000,IF($M883="Warning",2000,1000))+$L883+ROW()/100000)</f>
        <v/>
      </c>
      <c r="O883" s="65" t="str">
        <f aca="false">IF($K883="Open",IF($C883="Conflict","decide "&amp;$A883&amp;": &lt;which version stands&gt;","decide "&amp;$A883&amp;": &lt;outcome&gt;"),IF($K883="Unconfirmed","confirm "&amp;$A883,""))</f>
        <v/>
      </c>
      <c r="P883" s="65" t="str">
        <f aca="false">IF(AND($C883="New",$B883&gt;=WeekStart),$B883+ROW()/100000,"")</f>
        <v/>
      </c>
      <c r="Q883" s="65" t="str">
        <f aca="false">IF(AND($C883="Know",$B883&gt;=WeekStart),$B883+ROW()/100000,"")</f>
        <v/>
      </c>
      <c r="R883" s="65" t="str">
        <f aca="false">IF(AND($K883="Open",$C883="Decision"),$L883+ROW()/100000,"")</f>
        <v/>
      </c>
      <c r="S883" s="65" t="str">
        <f aca="false">IF(AND($J883&lt;&gt;"",$J883=UCSel),$B883+ROW()/100000,"")</f>
        <v/>
      </c>
    </row>
    <row r="884" customFormat="false" ht="15" hidden="false" customHeight="false" outlineLevel="0" collapsed="false">
      <c r="A884" s="28"/>
      <c r="B884" s="63"/>
      <c r="C884" s="64"/>
      <c r="D884" s="28"/>
      <c r="E884" s="28"/>
      <c r="F884" s="28"/>
      <c r="G884" s="64"/>
      <c r="H884" s="64"/>
      <c r="I884" s="28"/>
      <c r="J884" s="28"/>
      <c r="K884" s="65" t="str">
        <f aca="false">IF($A884="","",IF(OR($C884="Decision",$C884="Conflict"),IF(COUNTIFS($I$2:$I$1001,$A884,$C$2:$C$1001,"Resolved")=0,"Open","Closed"),IF(AND($H884="Unconfirmed",OR($C884="New",$C884="Know")),IF(COUNTIFS($I$2:$I$1001,$A884,$C$2:$C$1001,"Confirmed")=0,"Unconfirmed","Confirmed"),"Logged")))</f>
        <v/>
      </c>
      <c r="L884" s="65" t="str">
        <f aca="false">IF($A884="","",AsOf-$B884)</f>
        <v/>
      </c>
      <c r="M884" s="65" t="str">
        <f aca="false">IF($K884="Open",IF($C884="Conflict","Critical",IF($L884&gt;=DecisionCritical,"Critical",IF($L884&gt;=DecisionWarn,"Warning","On track"))),IF($K884="Unconfirmed",IF($L884&gt;=UnconfirmedWarn,"Warning","On track"),""))</f>
        <v/>
      </c>
      <c r="N884" s="65" t="str">
        <f aca="false">IF($M884="","",IF($M884="Critical",3000,IF($M884="Warning",2000,1000))+$L884+ROW()/100000)</f>
        <v/>
      </c>
      <c r="O884" s="65" t="str">
        <f aca="false">IF($K884="Open",IF($C884="Conflict","decide "&amp;$A884&amp;": &lt;which version stands&gt;","decide "&amp;$A884&amp;": &lt;outcome&gt;"),IF($K884="Unconfirmed","confirm "&amp;$A884,""))</f>
        <v/>
      </c>
      <c r="P884" s="65" t="str">
        <f aca="false">IF(AND($C884="New",$B884&gt;=WeekStart),$B884+ROW()/100000,"")</f>
        <v/>
      </c>
      <c r="Q884" s="65" t="str">
        <f aca="false">IF(AND($C884="Know",$B884&gt;=WeekStart),$B884+ROW()/100000,"")</f>
        <v/>
      </c>
      <c r="R884" s="65" t="str">
        <f aca="false">IF(AND($K884="Open",$C884="Decision"),$L884+ROW()/100000,"")</f>
        <v/>
      </c>
      <c r="S884" s="65" t="str">
        <f aca="false">IF(AND($J884&lt;&gt;"",$J884=UCSel),$B884+ROW()/100000,"")</f>
        <v/>
      </c>
    </row>
    <row r="885" customFormat="false" ht="15" hidden="false" customHeight="false" outlineLevel="0" collapsed="false">
      <c r="A885" s="28"/>
      <c r="B885" s="63"/>
      <c r="C885" s="64"/>
      <c r="D885" s="28"/>
      <c r="E885" s="28"/>
      <c r="F885" s="28"/>
      <c r="G885" s="64"/>
      <c r="H885" s="64"/>
      <c r="I885" s="28"/>
      <c r="J885" s="28"/>
      <c r="K885" s="65" t="str">
        <f aca="false">IF($A885="","",IF(OR($C885="Decision",$C885="Conflict"),IF(COUNTIFS($I$2:$I$1001,$A885,$C$2:$C$1001,"Resolved")=0,"Open","Closed"),IF(AND($H885="Unconfirmed",OR($C885="New",$C885="Know")),IF(COUNTIFS($I$2:$I$1001,$A885,$C$2:$C$1001,"Confirmed")=0,"Unconfirmed","Confirmed"),"Logged")))</f>
        <v/>
      </c>
      <c r="L885" s="65" t="str">
        <f aca="false">IF($A885="","",AsOf-$B885)</f>
        <v/>
      </c>
      <c r="M885" s="65" t="str">
        <f aca="false">IF($K885="Open",IF($C885="Conflict","Critical",IF($L885&gt;=DecisionCritical,"Critical",IF($L885&gt;=DecisionWarn,"Warning","On track"))),IF($K885="Unconfirmed",IF($L885&gt;=UnconfirmedWarn,"Warning","On track"),""))</f>
        <v/>
      </c>
      <c r="N885" s="65" t="str">
        <f aca="false">IF($M885="","",IF($M885="Critical",3000,IF($M885="Warning",2000,1000))+$L885+ROW()/100000)</f>
        <v/>
      </c>
      <c r="O885" s="65" t="str">
        <f aca="false">IF($K885="Open",IF($C885="Conflict","decide "&amp;$A885&amp;": &lt;which version stands&gt;","decide "&amp;$A885&amp;": &lt;outcome&gt;"),IF($K885="Unconfirmed","confirm "&amp;$A885,""))</f>
        <v/>
      </c>
      <c r="P885" s="65" t="str">
        <f aca="false">IF(AND($C885="New",$B885&gt;=WeekStart),$B885+ROW()/100000,"")</f>
        <v/>
      </c>
      <c r="Q885" s="65" t="str">
        <f aca="false">IF(AND($C885="Know",$B885&gt;=WeekStart),$B885+ROW()/100000,"")</f>
        <v/>
      </c>
      <c r="R885" s="65" t="str">
        <f aca="false">IF(AND($K885="Open",$C885="Decision"),$L885+ROW()/100000,"")</f>
        <v/>
      </c>
      <c r="S885" s="65" t="str">
        <f aca="false">IF(AND($J885&lt;&gt;"",$J885=UCSel),$B885+ROW()/100000,"")</f>
        <v/>
      </c>
    </row>
    <row r="886" customFormat="false" ht="15" hidden="false" customHeight="false" outlineLevel="0" collapsed="false">
      <c r="A886" s="28"/>
      <c r="B886" s="63"/>
      <c r="C886" s="64"/>
      <c r="D886" s="28"/>
      <c r="E886" s="28"/>
      <c r="F886" s="28"/>
      <c r="G886" s="64"/>
      <c r="H886" s="64"/>
      <c r="I886" s="28"/>
      <c r="J886" s="28"/>
      <c r="K886" s="65" t="str">
        <f aca="false">IF($A886="","",IF(OR($C886="Decision",$C886="Conflict"),IF(COUNTIFS($I$2:$I$1001,$A886,$C$2:$C$1001,"Resolved")=0,"Open","Closed"),IF(AND($H886="Unconfirmed",OR($C886="New",$C886="Know")),IF(COUNTIFS($I$2:$I$1001,$A886,$C$2:$C$1001,"Confirmed")=0,"Unconfirmed","Confirmed"),"Logged")))</f>
        <v/>
      </c>
      <c r="L886" s="65" t="str">
        <f aca="false">IF($A886="","",AsOf-$B886)</f>
        <v/>
      </c>
      <c r="M886" s="65" t="str">
        <f aca="false">IF($K886="Open",IF($C886="Conflict","Critical",IF($L886&gt;=DecisionCritical,"Critical",IF($L886&gt;=DecisionWarn,"Warning","On track"))),IF($K886="Unconfirmed",IF($L886&gt;=UnconfirmedWarn,"Warning","On track"),""))</f>
        <v/>
      </c>
      <c r="N886" s="65" t="str">
        <f aca="false">IF($M886="","",IF($M886="Critical",3000,IF($M886="Warning",2000,1000))+$L886+ROW()/100000)</f>
        <v/>
      </c>
      <c r="O886" s="65" t="str">
        <f aca="false">IF($K886="Open",IF($C886="Conflict","decide "&amp;$A886&amp;": &lt;which version stands&gt;","decide "&amp;$A886&amp;": &lt;outcome&gt;"),IF($K886="Unconfirmed","confirm "&amp;$A886,""))</f>
        <v/>
      </c>
      <c r="P886" s="65" t="str">
        <f aca="false">IF(AND($C886="New",$B886&gt;=WeekStart),$B886+ROW()/100000,"")</f>
        <v/>
      </c>
      <c r="Q886" s="65" t="str">
        <f aca="false">IF(AND($C886="Know",$B886&gt;=WeekStart),$B886+ROW()/100000,"")</f>
        <v/>
      </c>
      <c r="R886" s="65" t="str">
        <f aca="false">IF(AND($K886="Open",$C886="Decision"),$L886+ROW()/100000,"")</f>
        <v/>
      </c>
      <c r="S886" s="65" t="str">
        <f aca="false">IF(AND($J886&lt;&gt;"",$J886=UCSel),$B886+ROW()/100000,"")</f>
        <v/>
      </c>
    </row>
    <row r="887" customFormat="false" ht="15" hidden="false" customHeight="false" outlineLevel="0" collapsed="false">
      <c r="A887" s="28"/>
      <c r="B887" s="63"/>
      <c r="C887" s="64"/>
      <c r="D887" s="28"/>
      <c r="E887" s="28"/>
      <c r="F887" s="28"/>
      <c r="G887" s="64"/>
      <c r="H887" s="64"/>
      <c r="I887" s="28"/>
      <c r="J887" s="28"/>
      <c r="K887" s="65" t="str">
        <f aca="false">IF($A887="","",IF(OR($C887="Decision",$C887="Conflict"),IF(COUNTIFS($I$2:$I$1001,$A887,$C$2:$C$1001,"Resolved")=0,"Open","Closed"),IF(AND($H887="Unconfirmed",OR($C887="New",$C887="Know")),IF(COUNTIFS($I$2:$I$1001,$A887,$C$2:$C$1001,"Confirmed")=0,"Unconfirmed","Confirmed"),"Logged")))</f>
        <v/>
      </c>
      <c r="L887" s="65" t="str">
        <f aca="false">IF($A887="","",AsOf-$B887)</f>
        <v/>
      </c>
      <c r="M887" s="65" t="str">
        <f aca="false">IF($K887="Open",IF($C887="Conflict","Critical",IF($L887&gt;=DecisionCritical,"Critical",IF($L887&gt;=DecisionWarn,"Warning","On track"))),IF($K887="Unconfirmed",IF($L887&gt;=UnconfirmedWarn,"Warning","On track"),""))</f>
        <v/>
      </c>
      <c r="N887" s="65" t="str">
        <f aca="false">IF($M887="","",IF($M887="Critical",3000,IF($M887="Warning",2000,1000))+$L887+ROW()/100000)</f>
        <v/>
      </c>
      <c r="O887" s="65" t="str">
        <f aca="false">IF($K887="Open",IF($C887="Conflict","decide "&amp;$A887&amp;": &lt;which version stands&gt;","decide "&amp;$A887&amp;": &lt;outcome&gt;"),IF($K887="Unconfirmed","confirm "&amp;$A887,""))</f>
        <v/>
      </c>
      <c r="P887" s="65" t="str">
        <f aca="false">IF(AND($C887="New",$B887&gt;=WeekStart),$B887+ROW()/100000,"")</f>
        <v/>
      </c>
      <c r="Q887" s="65" t="str">
        <f aca="false">IF(AND($C887="Know",$B887&gt;=WeekStart),$B887+ROW()/100000,"")</f>
        <v/>
      </c>
      <c r="R887" s="65" t="str">
        <f aca="false">IF(AND($K887="Open",$C887="Decision"),$L887+ROW()/100000,"")</f>
        <v/>
      </c>
      <c r="S887" s="65" t="str">
        <f aca="false">IF(AND($J887&lt;&gt;"",$J887=UCSel),$B887+ROW()/100000,"")</f>
        <v/>
      </c>
    </row>
    <row r="888" customFormat="false" ht="15" hidden="false" customHeight="false" outlineLevel="0" collapsed="false">
      <c r="A888" s="28"/>
      <c r="B888" s="63"/>
      <c r="C888" s="64"/>
      <c r="D888" s="28"/>
      <c r="E888" s="28"/>
      <c r="F888" s="28"/>
      <c r="G888" s="64"/>
      <c r="H888" s="64"/>
      <c r="I888" s="28"/>
      <c r="J888" s="28"/>
      <c r="K888" s="65" t="str">
        <f aca="false">IF($A888="","",IF(OR($C888="Decision",$C888="Conflict"),IF(COUNTIFS($I$2:$I$1001,$A888,$C$2:$C$1001,"Resolved")=0,"Open","Closed"),IF(AND($H888="Unconfirmed",OR($C888="New",$C888="Know")),IF(COUNTIFS($I$2:$I$1001,$A888,$C$2:$C$1001,"Confirmed")=0,"Unconfirmed","Confirmed"),"Logged")))</f>
        <v/>
      </c>
      <c r="L888" s="65" t="str">
        <f aca="false">IF($A888="","",AsOf-$B888)</f>
        <v/>
      </c>
      <c r="M888" s="65" t="str">
        <f aca="false">IF($K888="Open",IF($C888="Conflict","Critical",IF($L888&gt;=DecisionCritical,"Critical",IF($L888&gt;=DecisionWarn,"Warning","On track"))),IF($K888="Unconfirmed",IF($L888&gt;=UnconfirmedWarn,"Warning","On track"),""))</f>
        <v/>
      </c>
      <c r="N888" s="65" t="str">
        <f aca="false">IF($M888="","",IF($M888="Critical",3000,IF($M888="Warning",2000,1000))+$L888+ROW()/100000)</f>
        <v/>
      </c>
      <c r="O888" s="65" t="str">
        <f aca="false">IF($K888="Open",IF($C888="Conflict","decide "&amp;$A888&amp;": &lt;which version stands&gt;","decide "&amp;$A888&amp;": &lt;outcome&gt;"),IF($K888="Unconfirmed","confirm "&amp;$A888,""))</f>
        <v/>
      </c>
      <c r="P888" s="65" t="str">
        <f aca="false">IF(AND($C888="New",$B888&gt;=WeekStart),$B888+ROW()/100000,"")</f>
        <v/>
      </c>
      <c r="Q888" s="65" t="str">
        <f aca="false">IF(AND($C888="Know",$B888&gt;=WeekStart),$B888+ROW()/100000,"")</f>
        <v/>
      </c>
      <c r="R888" s="65" t="str">
        <f aca="false">IF(AND($K888="Open",$C888="Decision"),$L888+ROW()/100000,"")</f>
        <v/>
      </c>
      <c r="S888" s="65" t="str">
        <f aca="false">IF(AND($J888&lt;&gt;"",$J888=UCSel),$B888+ROW()/100000,"")</f>
        <v/>
      </c>
    </row>
    <row r="889" customFormat="false" ht="15" hidden="false" customHeight="false" outlineLevel="0" collapsed="false">
      <c r="A889" s="28"/>
      <c r="B889" s="63"/>
      <c r="C889" s="64"/>
      <c r="D889" s="28"/>
      <c r="E889" s="28"/>
      <c r="F889" s="28"/>
      <c r="G889" s="64"/>
      <c r="H889" s="64"/>
      <c r="I889" s="28"/>
      <c r="J889" s="28"/>
      <c r="K889" s="65" t="str">
        <f aca="false">IF($A889="","",IF(OR($C889="Decision",$C889="Conflict"),IF(COUNTIFS($I$2:$I$1001,$A889,$C$2:$C$1001,"Resolved")=0,"Open","Closed"),IF(AND($H889="Unconfirmed",OR($C889="New",$C889="Know")),IF(COUNTIFS($I$2:$I$1001,$A889,$C$2:$C$1001,"Confirmed")=0,"Unconfirmed","Confirmed"),"Logged")))</f>
        <v/>
      </c>
      <c r="L889" s="65" t="str">
        <f aca="false">IF($A889="","",AsOf-$B889)</f>
        <v/>
      </c>
      <c r="M889" s="65" t="str">
        <f aca="false">IF($K889="Open",IF($C889="Conflict","Critical",IF($L889&gt;=DecisionCritical,"Critical",IF($L889&gt;=DecisionWarn,"Warning","On track"))),IF($K889="Unconfirmed",IF($L889&gt;=UnconfirmedWarn,"Warning","On track"),""))</f>
        <v/>
      </c>
      <c r="N889" s="65" t="str">
        <f aca="false">IF($M889="","",IF($M889="Critical",3000,IF($M889="Warning",2000,1000))+$L889+ROW()/100000)</f>
        <v/>
      </c>
      <c r="O889" s="65" t="str">
        <f aca="false">IF($K889="Open",IF($C889="Conflict","decide "&amp;$A889&amp;": &lt;which version stands&gt;","decide "&amp;$A889&amp;": &lt;outcome&gt;"),IF($K889="Unconfirmed","confirm "&amp;$A889,""))</f>
        <v/>
      </c>
      <c r="P889" s="65" t="str">
        <f aca="false">IF(AND($C889="New",$B889&gt;=WeekStart),$B889+ROW()/100000,"")</f>
        <v/>
      </c>
      <c r="Q889" s="65" t="str">
        <f aca="false">IF(AND($C889="Know",$B889&gt;=WeekStart),$B889+ROW()/100000,"")</f>
        <v/>
      </c>
      <c r="R889" s="65" t="str">
        <f aca="false">IF(AND($K889="Open",$C889="Decision"),$L889+ROW()/100000,"")</f>
        <v/>
      </c>
      <c r="S889" s="65" t="str">
        <f aca="false">IF(AND($J889&lt;&gt;"",$J889=UCSel),$B889+ROW()/100000,"")</f>
        <v/>
      </c>
    </row>
    <row r="890" customFormat="false" ht="15" hidden="false" customHeight="false" outlineLevel="0" collapsed="false">
      <c r="A890" s="28"/>
      <c r="B890" s="63"/>
      <c r="C890" s="64"/>
      <c r="D890" s="28"/>
      <c r="E890" s="28"/>
      <c r="F890" s="28"/>
      <c r="G890" s="64"/>
      <c r="H890" s="64"/>
      <c r="I890" s="28"/>
      <c r="J890" s="28"/>
      <c r="K890" s="65" t="str">
        <f aca="false">IF($A890="","",IF(OR($C890="Decision",$C890="Conflict"),IF(COUNTIFS($I$2:$I$1001,$A890,$C$2:$C$1001,"Resolved")=0,"Open","Closed"),IF(AND($H890="Unconfirmed",OR($C890="New",$C890="Know")),IF(COUNTIFS($I$2:$I$1001,$A890,$C$2:$C$1001,"Confirmed")=0,"Unconfirmed","Confirmed"),"Logged")))</f>
        <v/>
      </c>
      <c r="L890" s="65" t="str">
        <f aca="false">IF($A890="","",AsOf-$B890)</f>
        <v/>
      </c>
      <c r="M890" s="65" t="str">
        <f aca="false">IF($K890="Open",IF($C890="Conflict","Critical",IF($L890&gt;=DecisionCritical,"Critical",IF($L890&gt;=DecisionWarn,"Warning","On track"))),IF($K890="Unconfirmed",IF($L890&gt;=UnconfirmedWarn,"Warning","On track"),""))</f>
        <v/>
      </c>
      <c r="N890" s="65" t="str">
        <f aca="false">IF($M890="","",IF($M890="Critical",3000,IF($M890="Warning",2000,1000))+$L890+ROW()/100000)</f>
        <v/>
      </c>
      <c r="O890" s="65" t="str">
        <f aca="false">IF($K890="Open",IF($C890="Conflict","decide "&amp;$A890&amp;": &lt;which version stands&gt;","decide "&amp;$A890&amp;": &lt;outcome&gt;"),IF($K890="Unconfirmed","confirm "&amp;$A890,""))</f>
        <v/>
      </c>
      <c r="P890" s="65" t="str">
        <f aca="false">IF(AND($C890="New",$B890&gt;=WeekStart),$B890+ROW()/100000,"")</f>
        <v/>
      </c>
      <c r="Q890" s="65" t="str">
        <f aca="false">IF(AND($C890="Know",$B890&gt;=WeekStart),$B890+ROW()/100000,"")</f>
        <v/>
      </c>
      <c r="R890" s="65" t="str">
        <f aca="false">IF(AND($K890="Open",$C890="Decision"),$L890+ROW()/100000,"")</f>
        <v/>
      </c>
      <c r="S890" s="65" t="str">
        <f aca="false">IF(AND($J890&lt;&gt;"",$J890=UCSel),$B890+ROW()/100000,"")</f>
        <v/>
      </c>
    </row>
    <row r="891" customFormat="false" ht="15" hidden="false" customHeight="false" outlineLevel="0" collapsed="false">
      <c r="A891" s="28"/>
      <c r="B891" s="63"/>
      <c r="C891" s="64"/>
      <c r="D891" s="28"/>
      <c r="E891" s="28"/>
      <c r="F891" s="28"/>
      <c r="G891" s="64"/>
      <c r="H891" s="64"/>
      <c r="I891" s="28"/>
      <c r="J891" s="28"/>
      <c r="K891" s="65" t="str">
        <f aca="false">IF($A891="","",IF(OR($C891="Decision",$C891="Conflict"),IF(COUNTIFS($I$2:$I$1001,$A891,$C$2:$C$1001,"Resolved")=0,"Open","Closed"),IF(AND($H891="Unconfirmed",OR($C891="New",$C891="Know")),IF(COUNTIFS($I$2:$I$1001,$A891,$C$2:$C$1001,"Confirmed")=0,"Unconfirmed","Confirmed"),"Logged")))</f>
        <v/>
      </c>
      <c r="L891" s="65" t="str">
        <f aca="false">IF($A891="","",AsOf-$B891)</f>
        <v/>
      </c>
      <c r="M891" s="65" t="str">
        <f aca="false">IF($K891="Open",IF($C891="Conflict","Critical",IF($L891&gt;=DecisionCritical,"Critical",IF($L891&gt;=DecisionWarn,"Warning","On track"))),IF($K891="Unconfirmed",IF($L891&gt;=UnconfirmedWarn,"Warning","On track"),""))</f>
        <v/>
      </c>
      <c r="N891" s="65" t="str">
        <f aca="false">IF($M891="","",IF($M891="Critical",3000,IF($M891="Warning",2000,1000))+$L891+ROW()/100000)</f>
        <v/>
      </c>
      <c r="O891" s="65" t="str">
        <f aca="false">IF($K891="Open",IF($C891="Conflict","decide "&amp;$A891&amp;": &lt;which version stands&gt;","decide "&amp;$A891&amp;": &lt;outcome&gt;"),IF($K891="Unconfirmed","confirm "&amp;$A891,""))</f>
        <v/>
      </c>
      <c r="P891" s="65" t="str">
        <f aca="false">IF(AND($C891="New",$B891&gt;=WeekStart),$B891+ROW()/100000,"")</f>
        <v/>
      </c>
      <c r="Q891" s="65" t="str">
        <f aca="false">IF(AND($C891="Know",$B891&gt;=WeekStart),$B891+ROW()/100000,"")</f>
        <v/>
      </c>
      <c r="R891" s="65" t="str">
        <f aca="false">IF(AND($K891="Open",$C891="Decision"),$L891+ROW()/100000,"")</f>
        <v/>
      </c>
      <c r="S891" s="65" t="str">
        <f aca="false">IF(AND($J891&lt;&gt;"",$J891=UCSel),$B891+ROW()/100000,"")</f>
        <v/>
      </c>
    </row>
    <row r="892" customFormat="false" ht="15" hidden="false" customHeight="false" outlineLevel="0" collapsed="false">
      <c r="A892" s="28"/>
      <c r="B892" s="63"/>
      <c r="C892" s="64"/>
      <c r="D892" s="28"/>
      <c r="E892" s="28"/>
      <c r="F892" s="28"/>
      <c r="G892" s="64"/>
      <c r="H892" s="64"/>
      <c r="I892" s="28"/>
      <c r="J892" s="28"/>
      <c r="K892" s="65" t="str">
        <f aca="false">IF($A892="","",IF(OR($C892="Decision",$C892="Conflict"),IF(COUNTIFS($I$2:$I$1001,$A892,$C$2:$C$1001,"Resolved")=0,"Open","Closed"),IF(AND($H892="Unconfirmed",OR($C892="New",$C892="Know")),IF(COUNTIFS($I$2:$I$1001,$A892,$C$2:$C$1001,"Confirmed")=0,"Unconfirmed","Confirmed"),"Logged")))</f>
        <v/>
      </c>
      <c r="L892" s="65" t="str">
        <f aca="false">IF($A892="","",AsOf-$B892)</f>
        <v/>
      </c>
      <c r="M892" s="65" t="str">
        <f aca="false">IF($K892="Open",IF($C892="Conflict","Critical",IF($L892&gt;=DecisionCritical,"Critical",IF($L892&gt;=DecisionWarn,"Warning","On track"))),IF($K892="Unconfirmed",IF($L892&gt;=UnconfirmedWarn,"Warning","On track"),""))</f>
        <v/>
      </c>
      <c r="N892" s="65" t="str">
        <f aca="false">IF($M892="","",IF($M892="Critical",3000,IF($M892="Warning",2000,1000))+$L892+ROW()/100000)</f>
        <v/>
      </c>
      <c r="O892" s="65" t="str">
        <f aca="false">IF($K892="Open",IF($C892="Conflict","decide "&amp;$A892&amp;": &lt;which version stands&gt;","decide "&amp;$A892&amp;": &lt;outcome&gt;"),IF($K892="Unconfirmed","confirm "&amp;$A892,""))</f>
        <v/>
      </c>
      <c r="P892" s="65" t="str">
        <f aca="false">IF(AND($C892="New",$B892&gt;=WeekStart),$B892+ROW()/100000,"")</f>
        <v/>
      </c>
      <c r="Q892" s="65" t="str">
        <f aca="false">IF(AND($C892="Know",$B892&gt;=WeekStart),$B892+ROW()/100000,"")</f>
        <v/>
      </c>
      <c r="R892" s="65" t="str">
        <f aca="false">IF(AND($K892="Open",$C892="Decision"),$L892+ROW()/100000,"")</f>
        <v/>
      </c>
      <c r="S892" s="65" t="str">
        <f aca="false">IF(AND($J892&lt;&gt;"",$J892=UCSel),$B892+ROW()/100000,"")</f>
        <v/>
      </c>
    </row>
    <row r="893" customFormat="false" ht="15" hidden="false" customHeight="false" outlineLevel="0" collapsed="false">
      <c r="A893" s="28"/>
      <c r="B893" s="63"/>
      <c r="C893" s="64"/>
      <c r="D893" s="28"/>
      <c r="E893" s="28"/>
      <c r="F893" s="28"/>
      <c r="G893" s="64"/>
      <c r="H893" s="64"/>
      <c r="I893" s="28"/>
      <c r="J893" s="28"/>
      <c r="K893" s="65" t="str">
        <f aca="false">IF($A893="","",IF(OR($C893="Decision",$C893="Conflict"),IF(COUNTIFS($I$2:$I$1001,$A893,$C$2:$C$1001,"Resolved")=0,"Open","Closed"),IF(AND($H893="Unconfirmed",OR($C893="New",$C893="Know")),IF(COUNTIFS($I$2:$I$1001,$A893,$C$2:$C$1001,"Confirmed")=0,"Unconfirmed","Confirmed"),"Logged")))</f>
        <v/>
      </c>
      <c r="L893" s="65" t="str">
        <f aca="false">IF($A893="","",AsOf-$B893)</f>
        <v/>
      </c>
      <c r="M893" s="65" t="str">
        <f aca="false">IF($K893="Open",IF($C893="Conflict","Critical",IF($L893&gt;=DecisionCritical,"Critical",IF($L893&gt;=DecisionWarn,"Warning","On track"))),IF($K893="Unconfirmed",IF($L893&gt;=UnconfirmedWarn,"Warning","On track"),""))</f>
        <v/>
      </c>
      <c r="N893" s="65" t="str">
        <f aca="false">IF($M893="","",IF($M893="Critical",3000,IF($M893="Warning",2000,1000))+$L893+ROW()/100000)</f>
        <v/>
      </c>
      <c r="O893" s="65" t="str">
        <f aca="false">IF($K893="Open",IF($C893="Conflict","decide "&amp;$A893&amp;": &lt;which version stands&gt;","decide "&amp;$A893&amp;": &lt;outcome&gt;"),IF($K893="Unconfirmed","confirm "&amp;$A893,""))</f>
        <v/>
      </c>
      <c r="P893" s="65" t="str">
        <f aca="false">IF(AND($C893="New",$B893&gt;=WeekStart),$B893+ROW()/100000,"")</f>
        <v/>
      </c>
      <c r="Q893" s="65" t="str">
        <f aca="false">IF(AND($C893="Know",$B893&gt;=WeekStart),$B893+ROW()/100000,"")</f>
        <v/>
      </c>
      <c r="R893" s="65" t="str">
        <f aca="false">IF(AND($K893="Open",$C893="Decision"),$L893+ROW()/100000,"")</f>
        <v/>
      </c>
      <c r="S893" s="65" t="str">
        <f aca="false">IF(AND($J893&lt;&gt;"",$J893=UCSel),$B893+ROW()/100000,"")</f>
        <v/>
      </c>
    </row>
    <row r="894" customFormat="false" ht="15" hidden="false" customHeight="false" outlineLevel="0" collapsed="false">
      <c r="A894" s="28"/>
      <c r="B894" s="63"/>
      <c r="C894" s="64"/>
      <c r="D894" s="28"/>
      <c r="E894" s="28"/>
      <c r="F894" s="28"/>
      <c r="G894" s="64"/>
      <c r="H894" s="64"/>
      <c r="I894" s="28"/>
      <c r="J894" s="28"/>
      <c r="K894" s="65" t="str">
        <f aca="false">IF($A894="","",IF(OR($C894="Decision",$C894="Conflict"),IF(COUNTIFS($I$2:$I$1001,$A894,$C$2:$C$1001,"Resolved")=0,"Open","Closed"),IF(AND($H894="Unconfirmed",OR($C894="New",$C894="Know")),IF(COUNTIFS($I$2:$I$1001,$A894,$C$2:$C$1001,"Confirmed")=0,"Unconfirmed","Confirmed"),"Logged")))</f>
        <v/>
      </c>
      <c r="L894" s="65" t="str">
        <f aca="false">IF($A894="","",AsOf-$B894)</f>
        <v/>
      </c>
      <c r="M894" s="65" t="str">
        <f aca="false">IF($K894="Open",IF($C894="Conflict","Critical",IF($L894&gt;=DecisionCritical,"Critical",IF($L894&gt;=DecisionWarn,"Warning","On track"))),IF($K894="Unconfirmed",IF($L894&gt;=UnconfirmedWarn,"Warning","On track"),""))</f>
        <v/>
      </c>
      <c r="N894" s="65" t="str">
        <f aca="false">IF($M894="","",IF($M894="Critical",3000,IF($M894="Warning",2000,1000))+$L894+ROW()/100000)</f>
        <v/>
      </c>
      <c r="O894" s="65" t="str">
        <f aca="false">IF($K894="Open",IF($C894="Conflict","decide "&amp;$A894&amp;": &lt;which version stands&gt;","decide "&amp;$A894&amp;": &lt;outcome&gt;"),IF($K894="Unconfirmed","confirm "&amp;$A894,""))</f>
        <v/>
      </c>
      <c r="P894" s="65" t="str">
        <f aca="false">IF(AND($C894="New",$B894&gt;=WeekStart),$B894+ROW()/100000,"")</f>
        <v/>
      </c>
      <c r="Q894" s="65" t="str">
        <f aca="false">IF(AND($C894="Know",$B894&gt;=WeekStart),$B894+ROW()/100000,"")</f>
        <v/>
      </c>
      <c r="R894" s="65" t="str">
        <f aca="false">IF(AND($K894="Open",$C894="Decision"),$L894+ROW()/100000,"")</f>
        <v/>
      </c>
      <c r="S894" s="65" t="str">
        <f aca="false">IF(AND($J894&lt;&gt;"",$J894=UCSel),$B894+ROW()/100000,"")</f>
        <v/>
      </c>
    </row>
    <row r="895" customFormat="false" ht="15" hidden="false" customHeight="false" outlineLevel="0" collapsed="false">
      <c r="A895" s="28"/>
      <c r="B895" s="63"/>
      <c r="C895" s="64"/>
      <c r="D895" s="28"/>
      <c r="E895" s="28"/>
      <c r="F895" s="28"/>
      <c r="G895" s="64"/>
      <c r="H895" s="64"/>
      <c r="I895" s="28"/>
      <c r="J895" s="28"/>
      <c r="K895" s="65" t="str">
        <f aca="false">IF($A895="","",IF(OR($C895="Decision",$C895="Conflict"),IF(COUNTIFS($I$2:$I$1001,$A895,$C$2:$C$1001,"Resolved")=0,"Open","Closed"),IF(AND($H895="Unconfirmed",OR($C895="New",$C895="Know")),IF(COUNTIFS($I$2:$I$1001,$A895,$C$2:$C$1001,"Confirmed")=0,"Unconfirmed","Confirmed"),"Logged")))</f>
        <v/>
      </c>
      <c r="L895" s="65" t="str">
        <f aca="false">IF($A895="","",AsOf-$B895)</f>
        <v/>
      </c>
      <c r="M895" s="65" t="str">
        <f aca="false">IF($K895="Open",IF($C895="Conflict","Critical",IF($L895&gt;=DecisionCritical,"Critical",IF($L895&gt;=DecisionWarn,"Warning","On track"))),IF($K895="Unconfirmed",IF($L895&gt;=UnconfirmedWarn,"Warning","On track"),""))</f>
        <v/>
      </c>
      <c r="N895" s="65" t="str">
        <f aca="false">IF($M895="","",IF($M895="Critical",3000,IF($M895="Warning",2000,1000))+$L895+ROW()/100000)</f>
        <v/>
      </c>
      <c r="O895" s="65" t="str">
        <f aca="false">IF($K895="Open",IF($C895="Conflict","decide "&amp;$A895&amp;": &lt;which version stands&gt;","decide "&amp;$A895&amp;": &lt;outcome&gt;"),IF($K895="Unconfirmed","confirm "&amp;$A895,""))</f>
        <v/>
      </c>
      <c r="P895" s="65" t="str">
        <f aca="false">IF(AND($C895="New",$B895&gt;=WeekStart),$B895+ROW()/100000,"")</f>
        <v/>
      </c>
      <c r="Q895" s="65" t="str">
        <f aca="false">IF(AND($C895="Know",$B895&gt;=WeekStart),$B895+ROW()/100000,"")</f>
        <v/>
      </c>
      <c r="R895" s="65" t="str">
        <f aca="false">IF(AND($K895="Open",$C895="Decision"),$L895+ROW()/100000,"")</f>
        <v/>
      </c>
      <c r="S895" s="65" t="str">
        <f aca="false">IF(AND($J895&lt;&gt;"",$J895=UCSel),$B895+ROW()/100000,"")</f>
        <v/>
      </c>
    </row>
    <row r="896" customFormat="false" ht="15" hidden="false" customHeight="false" outlineLevel="0" collapsed="false">
      <c r="A896" s="28"/>
      <c r="B896" s="63"/>
      <c r="C896" s="64"/>
      <c r="D896" s="28"/>
      <c r="E896" s="28"/>
      <c r="F896" s="28"/>
      <c r="G896" s="64"/>
      <c r="H896" s="64"/>
      <c r="I896" s="28"/>
      <c r="J896" s="28"/>
      <c r="K896" s="65" t="str">
        <f aca="false">IF($A896="","",IF(OR($C896="Decision",$C896="Conflict"),IF(COUNTIFS($I$2:$I$1001,$A896,$C$2:$C$1001,"Resolved")=0,"Open","Closed"),IF(AND($H896="Unconfirmed",OR($C896="New",$C896="Know")),IF(COUNTIFS($I$2:$I$1001,$A896,$C$2:$C$1001,"Confirmed")=0,"Unconfirmed","Confirmed"),"Logged")))</f>
        <v/>
      </c>
      <c r="L896" s="65" t="str">
        <f aca="false">IF($A896="","",AsOf-$B896)</f>
        <v/>
      </c>
      <c r="M896" s="65" t="str">
        <f aca="false">IF($K896="Open",IF($C896="Conflict","Critical",IF($L896&gt;=DecisionCritical,"Critical",IF($L896&gt;=DecisionWarn,"Warning","On track"))),IF($K896="Unconfirmed",IF($L896&gt;=UnconfirmedWarn,"Warning","On track"),""))</f>
        <v/>
      </c>
      <c r="N896" s="65" t="str">
        <f aca="false">IF($M896="","",IF($M896="Critical",3000,IF($M896="Warning",2000,1000))+$L896+ROW()/100000)</f>
        <v/>
      </c>
      <c r="O896" s="65" t="str">
        <f aca="false">IF($K896="Open",IF($C896="Conflict","decide "&amp;$A896&amp;": &lt;which version stands&gt;","decide "&amp;$A896&amp;": &lt;outcome&gt;"),IF($K896="Unconfirmed","confirm "&amp;$A896,""))</f>
        <v/>
      </c>
      <c r="P896" s="65" t="str">
        <f aca="false">IF(AND($C896="New",$B896&gt;=WeekStart),$B896+ROW()/100000,"")</f>
        <v/>
      </c>
      <c r="Q896" s="65" t="str">
        <f aca="false">IF(AND($C896="Know",$B896&gt;=WeekStart),$B896+ROW()/100000,"")</f>
        <v/>
      </c>
      <c r="R896" s="65" t="str">
        <f aca="false">IF(AND($K896="Open",$C896="Decision"),$L896+ROW()/100000,"")</f>
        <v/>
      </c>
      <c r="S896" s="65" t="str">
        <f aca="false">IF(AND($J896&lt;&gt;"",$J896=UCSel),$B896+ROW()/100000,"")</f>
        <v/>
      </c>
    </row>
    <row r="897" customFormat="false" ht="15" hidden="false" customHeight="false" outlineLevel="0" collapsed="false">
      <c r="A897" s="28"/>
      <c r="B897" s="63"/>
      <c r="C897" s="64"/>
      <c r="D897" s="28"/>
      <c r="E897" s="28"/>
      <c r="F897" s="28"/>
      <c r="G897" s="64"/>
      <c r="H897" s="64"/>
      <c r="I897" s="28"/>
      <c r="J897" s="28"/>
      <c r="K897" s="65" t="str">
        <f aca="false">IF($A897="","",IF(OR($C897="Decision",$C897="Conflict"),IF(COUNTIFS($I$2:$I$1001,$A897,$C$2:$C$1001,"Resolved")=0,"Open","Closed"),IF(AND($H897="Unconfirmed",OR($C897="New",$C897="Know")),IF(COUNTIFS($I$2:$I$1001,$A897,$C$2:$C$1001,"Confirmed")=0,"Unconfirmed","Confirmed"),"Logged")))</f>
        <v/>
      </c>
      <c r="L897" s="65" t="str">
        <f aca="false">IF($A897="","",AsOf-$B897)</f>
        <v/>
      </c>
      <c r="M897" s="65" t="str">
        <f aca="false">IF($K897="Open",IF($C897="Conflict","Critical",IF($L897&gt;=DecisionCritical,"Critical",IF($L897&gt;=DecisionWarn,"Warning","On track"))),IF($K897="Unconfirmed",IF($L897&gt;=UnconfirmedWarn,"Warning","On track"),""))</f>
        <v/>
      </c>
      <c r="N897" s="65" t="str">
        <f aca="false">IF($M897="","",IF($M897="Critical",3000,IF($M897="Warning",2000,1000))+$L897+ROW()/100000)</f>
        <v/>
      </c>
      <c r="O897" s="65" t="str">
        <f aca="false">IF($K897="Open",IF($C897="Conflict","decide "&amp;$A897&amp;": &lt;which version stands&gt;","decide "&amp;$A897&amp;": &lt;outcome&gt;"),IF($K897="Unconfirmed","confirm "&amp;$A897,""))</f>
        <v/>
      </c>
      <c r="P897" s="65" t="str">
        <f aca="false">IF(AND($C897="New",$B897&gt;=WeekStart),$B897+ROW()/100000,"")</f>
        <v/>
      </c>
      <c r="Q897" s="65" t="str">
        <f aca="false">IF(AND($C897="Know",$B897&gt;=WeekStart),$B897+ROW()/100000,"")</f>
        <v/>
      </c>
      <c r="R897" s="65" t="str">
        <f aca="false">IF(AND($K897="Open",$C897="Decision"),$L897+ROW()/100000,"")</f>
        <v/>
      </c>
      <c r="S897" s="65" t="str">
        <f aca="false">IF(AND($J897&lt;&gt;"",$J897=UCSel),$B897+ROW()/100000,"")</f>
        <v/>
      </c>
    </row>
    <row r="898" customFormat="false" ht="15" hidden="false" customHeight="false" outlineLevel="0" collapsed="false">
      <c r="A898" s="28"/>
      <c r="B898" s="63"/>
      <c r="C898" s="64"/>
      <c r="D898" s="28"/>
      <c r="E898" s="28"/>
      <c r="F898" s="28"/>
      <c r="G898" s="64"/>
      <c r="H898" s="64"/>
      <c r="I898" s="28"/>
      <c r="J898" s="28"/>
      <c r="K898" s="65" t="str">
        <f aca="false">IF($A898="","",IF(OR($C898="Decision",$C898="Conflict"),IF(COUNTIFS($I$2:$I$1001,$A898,$C$2:$C$1001,"Resolved")=0,"Open","Closed"),IF(AND($H898="Unconfirmed",OR($C898="New",$C898="Know")),IF(COUNTIFS($I$2:$I$1001,$A898,$C$2:$C$1001,"Confirmed")=0,"Unconfirmed","Confirmed"),"Logged")))</f>
        <v/>
      </c>
      <c r="L898" s="65" t="str">
        <f aca="false">IF($A898="","",AsOf-$B898)</f>
        <v/>
      </c>
      <c r="M898" s="65" t="str">
        <f aca="false">IF($K898="Open",IF($C898="Conflict","Critical",IF($L898&gt;=DecisionCritical,"Critical",IF($L898&gt;=DecisionWarn,"Warning","On track"))),IF($K898="Unconfirmed",IF($L898&gt;=UnconfirmedWarn,"Warning","On track"),""))</f>
        <v/>
      </c>
      <c r="N898" s="65" t="str">
        <f aca="false">IF($M898="","",IF($M898="Critical",3000,IF($M898="Warning",2000,1000))+$L898+ROW()/100000)</f>
        <v/>
      </c>
      <c r="O898" s="65" t="str">
        <f aca="false">IF($K898="Open",IF($C898="Conflict","decide "&amp;$A898&amp;": &lt;which version stands&gt;","decide "&amp;$A898&amp;": &lt;outcome&gt;"),IF($K898="Unconfirmed","confirm "&amp;$A898,""))</f>
        <v/>
      </c>
      <c r="P898" s="65" t="str">
        <f aca="false">IF(AND($C898="New",$B898&gt;=WeekStart),$B898+ROW()/100000,"")</f>
        <v/>
      </c>
      <c r="Q898" s="65" t="str">
        <f aca="false">IF(AND($C898="Know",$B898&gt;=WeekStart),$B898+ROW()/100000,"")</f>
        <v/>
      </c>
      <c r="R898" s="65" t="str">
        <f aca="false">IF(AND($K898="Open",$C898="Decision"),$L898+ROW()/100000,"")</f>
        <v/>
      </c>
      <c r="S898" s="65" t="str">
        <f aca="false">IF(AND($J898&lt;&gt;"",$J898=UCSel),$B898+ROW()/100000,"")</f>
        <v/>
      </c>
    </row>
    <row r="899" customFormat="false" ht="15" hidden="false" customHeight="false" outlineLevel="0" collapsed="false">
      <c r="A899" s="28"/>
      <c r="B899" s="63"/>
      <c r="C899" s="64"/>
      <c r="D899" s="28"/>
      <c r="E899" s="28"/>
      <c r="F899" s="28"/>
      <c r="G899" s="64"/>
      <c r="H899" s="64"/>
      <c r="I899" s="28"/>
      <c r="J899" s="28"/>
      <c r="K899" s="65" t="str">
        <f aca="false">IF($A899="","",IF(OR($C899="Decision",$C899="Conflict"),IF(COUNTIFS($I$2:$I$1001,$A899,$C$2:$C$1001,"Resolved")=0,"Open","Closed"),IF(AND($H899="Unconfirmed",OR($C899="New",$C899="Know")),IF(COUNTIFS($I$2:$I$1001,$A899,$C$2:$C$1001,"Confirmed")=0,"Unconfirmed","Confirmed"),"Logged")))</f>
        <v/>
      </c>
      <c r="L899" s="65" t="str">
        <f aca="false">IF($A899="","",AsOf-$B899)</f>
        <v/>
      </c>
      <c r="M899" s="65" t="str">
        <f aca="false">IF($K899="Open",IF($C899="Conflict","Critical",IF($L899&gt;=DecisionCritical,"Critical",IF($L899&gt;=DecisionWarn,"Warning","On track"))),IF($K899="Unconfirmed",IF($L899&gt;=UnconfirmedWarn,"Warning","On track"),""))</f>
        <v/>
      </c>
      <c r="N899" s="65" t="str">
        <f aca="false">IF($M899="","",IF($M899="Critical",3000,IF($M899="Warning",2000,1000))+$L899+ROW()/100000)</f>
        <v/>
      </c>
      <c r="O899" s="65" t="str">
        <f aca="false">IF($K899="Open",IF($C899="Conflict","decide "&amp;$A899&amp;": &lt;which version stands&gt;","decide "&amp;$A899&amp;": &lt;outcome&gt;"),IF($K899="Unconfirmed","confirm "&amp;$A899,""))</f>
        <v/>
      </c>
      <c r="P899" s="65" t="str">
        <f aca="false">IF(AND($C899="New",$B899&gt;=WeekStart),$B899+ROW()/100000,"")</f>
        <v/>
      </c>
      <c r="Q899" s="65" t="str">
        <f aca="false">IF(AND($C899="Know",$B899&gt;=WeekStart),$B899+ROW()/100000,"")</f>
        <v/>
      </c>
      <c r="R899" s="65" t="str">
        <f aca="false">IF(AND($K899="Open",$C899="Decision"),$L899+ROW()/100000,"")</f>
        <v/>
      </c>
      <c r="S899" s="65" t="str">
        <f aca="false">IF(AND($J899&lt;&gt;"",$J899=UCSel),$B899+ROW()/100000,"")</f>
        <v/>
      </c>
    </row>
    <row r="900" customFormat="false" ht="15" hidden="false" customHeight="false" outlineLevel="0" collapsed="false">
      <c r="A900" s="28"/>
      <c r="B900" s="63"/>
      <c r="C900" s="64"/>
      <c r="D900" s="28"/>
      <c r="E900" s="28"/>
      <c r="F900" s="28"/>
      <c r="G900" s="64"/>
      <c r="H900" s="64"/>
      <c r="I900" s="28"/>
      <c r="J900" s="28"/>
      <c r="K900" s="65" t="str">
        <f aca="false">IF($A900="","",IF(OR($C900="Decision",$C900="Conflict"),IF(COUNTIFS($I$2:$I$1001,$A900,$C$2:$C$1001,"Resolved")=0,"Open","Closed"),IF(AND($H900="Unconfirmed",OR($C900="New",$C900="Know")),IF(COUNTIFS($I$2:$I$1001,$A900,$C$2:$C$1001,"Confirmed")=0,"Unconfirmed","Confirmed"),"Logged")))</f>
        <v/>
      </c>
      <c r="L900" s="65" t="str">
        <f aca="false">IF($A900="","",AsOf-$B900)</f>
        <v/>
      </c>
      <c r="M900" s="65" t="str">
        <f aca="false">IF($K900="Open",IF($C900="Conflict","Critical",IF($L900&gt;=DecisionCritical,"Critical",IF($L900&gt;=DecisionWarn,"Warning","On track"))),IF($K900="Unconfirmed",IF($L900&gt;=UnconfirmedWarn,"Warning","On track"),""))</f>
        <v/>
      </c>
      <c r="N900" s="65" t="str">
        <f aca="false">IF($M900="","",IF($M900="Critical",3000,IF($M900="Warning",2000,1000))+$L900+ROW()/100000)</f>
        <v/>
      </c>
      <c r="O900" s="65" t="str">
        <f aca="false">IF($K900="Open",IF($C900="Conflict","decide "&amp;$A900&amp;": &lt;which version stands&gt;","decide "&amp;$A900&amp;": &lt;outcome&gt;"),IF($K900="Unconfirmed","confirm "&amp;$A900,""))</f>
        <v/>
      </c>
      <c r="P900" s="65" t="str">
        <f aca="false">IF(AND($C900="New",$B900&gt;=WeekStart),$B900+ROW()/100000,"")</f>
        <v/>
      </c>
      <c r="Q900" s="65" t="str">
        <f aca="false">IF(AND($C900="Know",$B900&gt;=WeekStart),$B900+ROW()/100000,"")</f>
        <v/>
      </c>
      <c r="R900" s="65" t="str">
        <f aca="false">IF(AND($K900="Open",$C900="Decision"),$L900+ROW()/100000,"")</f>
        <v/>
      </c>
      <c r="S900" s="65" t="str">
        <f aca="false">IF(AND($J900&lt;&gt;"",$J900=UCSel),$B900+ROW()/100000,"")</f>
        <v/>
      </c>
    </row>
    <row r="901" customFormat="false" ht="15" hidden="false" customHeight="false" outlineLevel="0" collapsed="false">
      <c r="A901" s="28"/>
      <c r="B901" s="63"/>
      <c r="C901" s="64"/>
      <c r="D901" s="28"/>
      <c r="E901" s="28"/>
      <c r="F901" s="28"/>
      <c r="G901" s="64"/>
      <c r="H901" s="64"/>
      <c r="I901" s="28"/>
      <c r="J901" s="28"/>
      <c r="K901" s="65" t="str">
        <f aca="false">IF($A901="","",IF(OR($C901="Decision",$C901="Conflict"),IF(COUNTIFS($I$2:$I$1001,$A901,$C$2:$C$1001,"Resolved")=0,"Open","Closed"),IF(AND($H901="Unconfirmed",OR($C901="New",$C901="Know")),IF(COUNTIFS($I$2:$I$1001,$A901,$C$2:$C$1001,"Confirmed")=0,"Unconfirmed","Confirmed"),"Logged")))</f>
        <v/>
      </c>
      <c r="L901" s="65" t="str">
        <f aca="false">IF($A901="","",AsOf-$B901)</f>
        <v/>
      </c>
      <c r="M901" s="65" t="str">
        <f aca="false">IF($K901="Open",IF($C901="Conflict","Critical",IF($L901&gt;=DecisionCritical,"Critical",IF($L901&gt;=DecisionWarn,"Warning","On track"))),IF($K901="Unconfirmed",IF($L901&gt;=UnconfirmedWarn,"Warning","On track"),""))</f>
        <v/>
      </c>
      <c r="N901" s="65" t="str">
        <f aca="false">IF($M901="","",IF($M901="Critical",3000,IF($M901="Warning",2000,1000))+$L901+ROW()/100000)</f>
        <v/>
      </c>
      <c r="O901" s="65" t="str">
        <f aca="false">IF($K901="Open",IF($C901="Conflict","decide "&amp;$A901&amp;": &lt;which version stands&gt;","decide "&amp;$A901&amp;": &lt;outcome&gt;"),IF($K901="Unconfirmed","confirm "&amp;$A901,""))</f>
        <v/>
      </c>
      <c r="P901" s="65" t="str">
        <f aca="false">IF(AND($C901="New",$B901&gt;=WeekStart),$B901+ROW()/100000,"")</f>
        <v/>
      </c>
      <c r="Q901" s="65" t="str">
        <f aca="false">IF(AND($C901="Know",$B901&gt;=WeekStart),$B901+ROW()/100000,"")</f>
        <v/>
      </c>
      <c r="R901" s="65" t="str">
        <f aca="false">IF(AND($K901="Open",$C901="Decision"),$L901+ROW()/100000,"")</f>
        <v/>
      </c>
      <c r="S901" s="65" t="str">
        <f aca="false">IF(AND($J901&lt;&gt;"",$J901=UCSel),$B901+ROW()/100000,"")</f>
        <v/>
      </c>
    </row>
    <row r="902" customFormat="false" ht="15" hidden="false" customHeight="false" outlineLevel="0" collapsed="false">
      <c r="A902" s="28"/>
      <c r="B902" s="63"/>
      <c r="C902" s="64"/>
      <c r="D902" s="28"/>
      <c r="E902" s="28"/>
      <c r="F902" s="28"/>
      <c r="G902" s="64"/>
      <c r="H902" s="64"/>
      <c r="I902" s="28"/>
      <c r="J902" s="28"/>
      <c r="K902" s="65" t="str">
        <f aca="false">IF($A902="","",IF(OR($C902="Decision",$C902="Conflict"),IF(COUNTIFS($I$2:$I$1001,$A902,$C$2:$C$1001,"Resolved")=0,"Open","Closed"),IF(AND($H902="Unconfirmed",OR($C902="New",$C902="Know")),IF(COUNTIFS($I$2:$I$1001,$A902,$C$2:$C$1001,"Confirmed")=0,"Unconfirmed","Confirmed"),"Logged")))</f>
        <v/>
      </c>
      <c r="L902" s="65" t="str">
        <f aca="false">IF($A902="","",AsOf-$B902)</f>
        <v/>
      </c>
      <c r="M902" s="65" t="str">
        <f aca="false">IF($K902="Open",IF($C902="Conflict","Critical",IF($L902&gt;=DecisionCritical,"Critical",IF($L902&gt;=DecisionWarn,"Warning","On track"))),IF($K902="Unconfirmed",IF($L902&gt;=UnconfirmedWarn,"Warning","On track"),""))</f>
        <v/>
      </c>
      <c r="N902" s="65" t="str">
        <f aca="false">IF($M902="","",IF($M902="Critical",3000,IF($M902="Warning",2000,1000))+$L902+ROW()/100000)</f>
        <v/>
      </c>
      <c r="O902" s="65" t="str">
        <f aca="false">IF($K902="Open",IF($C902="Conflict","decide "&amp;$A902&amp;": &lt;which version stands&gt;","decide "&amp;$A902&amp;": &lt;outcome&gt;"),IF($K902="Unconfirmed","confirm "&amp;$A902,""))</f>
        <v/>
      </c>
      <c r="P902" s="65" t="str">
        <f aca="false">IF(AND($C902="New",$B902&gt;=WeekStart),$B902+ROW()/100000,"")</f>
        <v/>
      </c>
      <c r="Q902" s="65" t="str">
        <f aca="false">IF(AND($C902="Know",$B902&gt;=WeekStart),$B902+ROW()/100000,"")</f>
        <v/>
      </c>
      <c r="R902" s="65" t="str">
        <f aca="false">IF(AND($K902="Open",$C902="Decision"),$L902+ROW()/100000,"")</f>
        <v/>
      </c>
      <c r="S902" s="65" t="str">
        <f aca="false">IF(AND($J902&lt;&gt;"",$J902=UCSel),$B902+ROW()/100000,"")</f>
        <v/>
      </c>
    </row>
    <row r="903" customFormat="false" ht="15" hidden="false" customHeight="false" outlineLevel="0" collapsed="false">
      <c r="A903" s="28"/>
      <c r="B903" s="63"/>
      <c r="C903" s="64"/>
      <c r="D903" s="28"/>
      <c r="E903" s="28"/>
      <c r="F903" s="28"/>
      <c r="G903" s="64"/>
      <c r="H903" s="64"/>
      <c r="I903" s="28"/>
      <c r="J903" s="28"/>
      <c r="K903" s="65" t="str">
        <f aca="false">IF($A903="","",IF(OR($C903="Decision",$C903="Conflict"),IF(COUNTIFS($I$2:$I$1001,$A903,$C$2:$C$1001,"Resolved")=0,"Open","Closed"),IF(AND($H903="Unconfirmed",OR($C903="New",$C903="Know")),IF(COUNTIFS($I$2:$I$1001,$A903,$C$2:$C$1001,"Confirmed")=0,"Unconfirmed","Confirmed"),"Logged")))</f>
        <v/>
      </c>
      <c r="L903" s="65" t="str">
        <f aca="false">IF($A903="","",AsOf-$B903)</f>
        <v/>
      </c>
      <c r="M903" s="65" t="str">
        <f aca="false">IF($K903="Open",IF($C903="Conflict","Critical",IF($L903&gt;=DecisionCritical,"Critical",IF($L903&gt;=DecisionWarn,"Warning","On track"))),IF($K903="Unconfirmed",IF($L903&gt;=UnconfirmedWarn,"Warning","On track"),""))</f>
        <v/>
      </c>
      <c r="N903" s="65" t="str">
        <f aca="false">IF($M903="","",IF($M903="Critical",3000,IF($M903="Warning",2000,1000))+$L903+ROW()/100000)</f>
        <v/>
      </c>
      <c r="O903" s="65" t="str">
        <f aca="false">IF($K903="Open",IF($C903="Conflict","decide "&amp;$A903&amp;": &lt;which version stands&gt;","decide "&amp;$A903&amp;": &lt;outcome&gt;"),IF($K903="Unconfirmed","confirm "&amp;$A903,""))</f>
        <v/>
      </c>
      <c r="P903" s="65" t="str">
        <f aca="false">IF(AND($C903="New",$B903&gt;=WeekStart),$B903+ROW()/100000,"")</f>
        <v/>
      </c>
      <c r="Q903" s="65" t="str">
        <f aca="false">IF(AND($C903="Know",$B903&gt;=WeekStart),$B903+ROW()/100000,"")</f>
        <v/>
      </c>
      <c r="R903" s="65" t="str">
        <f aca="false">IF(AND($K903="Open",$C903="Decision"),$L903+ROW()/100000,"")</f>
        <v/>
      </c>
      <c r="S903" s="65" t="str">
        <f aca="false">IF(AND($J903&lt;&gt;"",$J903=UCSel),$B903+ROW()/100000,"")</f>
        <v/>
      </c>
    </row>
    <row r="904" customFormat="false" ht="15" hidden="false" customHeight="false" outlineLevel="0" collapsed="false">
      <c r="A904" s="28"/>
      <c r="B904" s="63"/>
      <c r="C904" s="64"/>
      <c r="D904" s="28"/>
      <c r="E904" s="28"/>
      <c r="F904" s="28"/>
      <c r="G904" s="64"/>
      <c r="H904" s="64"/>
      <c r="I904" s="28"/>
      <c r="J904" s="28"/>
      <c r="K904" s="65" t="str">
        <f aca="false">IF($A904="","",IF(OR($C904="Decision",$C904="Conflict"),IF(COUNTIFS($I$2:$I$1001,$A904,$C$2:$C$1001,"Resolved")=0,"Open","Closed"),IF(AND($H904="Unconfirmed",OR($C904="New",$C904="Know")),IF(COUNTIFS($I$2:$I$1001,$A904,$C$2:$C$1001,"Confirmed")=0,"Unconfirmed","Confirmed"),"Logged")))</f>
        <v/>
      </c>
      <c r="L904" s="65" t="str">
        <f aca="false">IF($A904="","",AsOf-$B904)</f>
        <v/>
      </c>
      <c r="M904" s="65" t="str">
        <f aca="false">IF($K904="Open",IF($C904="Conflict","Critical",IF($L904&gt;=DecisionCritical,"Critical",IF($L904&gt;=DecisionWarn,"Warning","On track"))),IF($K904="Unconfirmed",IF($L904&gt;=UnconfirmedWarn,"Warning","On track"),""))</f>
        <v/>
      </c>
      <c r="N904" s="65" t="str">
        <f aca="false">IF($M904="","",IF($M904="Critical",3000,IF($M904="Warning",2000,1000))+$L904+ROW()/100000)</f>
        <v/>
      </c>
      <c r="O904" s="65" t="str">
        <f aca="false">IF($K904="Open",IF($C904="Conflict","decide "&amp;$A904&amp;": &lt;which version stands&gt;","decide "&amp;$A904&amp;": &lt;outcome&gt;"),IF($K904="Unconfirmed","confirm "&amp;$A904,""))</f>
        <v/>
      </c>
      <c r="P904" s="65" t="str">
        <f aca="false">IF(AND($C904="New",$B904&gt;=WeekStart),$B904+ROW()/100000,"")</f>
        <v/>
      </c>
      <c r="Q904" s="65" t="str">
        <f aca="false">IF(AND($C904="Know",$B904&gt;=WeekStart),$B904+ROW()/100000,"")</f>
        <v/>
      </c>
      <c r="R904" s="65" t="str">
        <f aca="false">IF(AND($K904="Open",$C904="Decision"),$L904+ROW()/100000,"")</f>
        <v/>
      </c>
      <c r="S904" s="65" t="str">
        <f aca="false">IF(AND($J904&lt;&gt;"",$J904=UCSel),$B904+ROW()/100000,"")</f>
        <v/>
      </c>
    </row>
    <row r="905" customFormat="false" ht="15" hidden="false" customHeight="false" outlineLevel="0" collapsed="false">
      <c r="A905" s="28"/>
      <c r="B905" s="63"/>
      <c r="C905" s="64"/>
      <c r="D905" s="28"/>
      <c r="E905" s="28"/>
      <c r="F905" s="28"/>
      <c r="G905" s="64"/>
      <c r="H905" s="64"/>
      <c r="I905" s="28"/>
      <c r="J905" s="28"/>
      <c r="K905" s="65" t="str">
        <f aca="false">IF($A905="","",IF(OR($C905="Decision",$C905="Conflict"),IF(COUNTIFS($I$2:$I$1001,$A905,$C$2:$C$1001,"Resolved")=0,"Open","Closed"),IF(AND($H905="Unconfirmed",OR($C905="New",$C905="Know")),IF(COUNTIFS($I$2:$I$1001,$A905,$C$2:$C$1001,"Confirmed")=0,"Unconfirmed","Confirmed"),"Logged")))</f>
        <v/>
      </c>
      <c r="L905" s="65" t="str">
        <f aca="false">IF($A905="","",AsOf-$B905)</f>
        <v/>
      </c>
      <c r="M905" s="65" t="str">
        <f aca="false">IF($K905="Open",IF($C905="Conflict","Critical",IF($L905&gt;=DecisionCritical,"Critical",IF($L905&gt;=DecisionWarn,"Warning","On track"))),IF($K905="Unconfirmed",IF($L905&gt;=UnconfirmedWarn,"Warning","On track"),""))</f>
        <v/>
      </c>
      <c r="N905" s="65" t="str">
        <f aca="false">IF($M905="","",IF($M905="Critical",3000,IF($M905="Warning",2000,1000))+$L905+ROW()/100000)</f>
        <v/>
      </c>
      <c r="O905" s="65" t="str">
        <f aca="false">IF($K905="Open",IF($C905="Conflict","decide "&amp;$A905&amp;": &lt;which version stands&gt;","decide "&amp;$A905&amp;": &lt;outcome&gt;"),IF($K905="Unconfirmed","confirm "&amp;$A905,""))</f>
        <v/>
      </c>
      <c r="P905" s="65" t="str">
        <f aca="false">IF(AND($C905="New",$B905&gt;=WeekStart),$B905+ROW()/100000,"")</f>
        <v/>
      </c>
      <c r="Q905" s="65" t="str">
        <f aca="false">IF(AND($C905="Know",$B905&gt;=WeekStart),$B905+ROW()/100000,"")</f>
        <v/>
      </c>
      <c r="R905" s="65" t="str">
        <f aca="false">IF(AND($K905="Open",$C905="Decision"),$L905+ROW()/100000,"")</f>
        <v/>
      </c>
      <c r="S905" s="65" t="str">
        <f aca="false">IF(AND($J905&lt;&gt;"",$J905=UCSel),$B905+ROW()/100000,"")</f>
        <v/>
      </c>
    </row>
    <row r="906" customFormat="false" ht="15" hidden="false" customHeight="false" outlineLevel="0" collapsed="false">
      <c r="A906" s="28"/>
      <c r="B906" s="63"/>
      <c r="C906" s="64"/>
      <c r="D906" s="28"/>
      <c r="E906" s="28"/>
      <c r="F906" s="28"/>
      <c r="G906" s="64"/>
      <c r="H906" s="64"/>
      <c r="I906" s="28"/>
      <c r="J906" s="28"/>
      <c r="K906" s="65" t="str">
        <f aca="false">IF($A906="","",IF(OR($C906="Decision",$C906="Conflict"),IF(COUNTIFS($I$2:$I$1001,$A906,$C$2:$C$1001,"Resolved")=0,"Open","Closed"),IF(AND($H906="Unconfirmed",OR($C906="New",$C906="Know")),IF(COUNTIFS($I$2:$I$1001,$A906,$C$2:$C$1001,"Confirmed")=0,"Unconfirmed","Confirmed"),"Logged")))</f>
        <v/>
      </c>
      <c r="L906" s="65" t="str">
        <f aca="false">IF($A906="","",AsOf-$B906)</f>
        <v/>
      </c>
      <c r="M906" s="65" t="str">
        <f aca="false">IF($K906="Open",IF($C906="Conflict","Critical",IF($L906&gt;=DecisionCritical,"Critical",IF($L906&gt;=DecisionWarn,"Warning","On track"))),IF($K906="Unconfirmed",IF($L906&gt;=UnconfirmedWarn,"Warning","On track"),""))</f>
        <v/>
      </c>
      <c r="N906" s="65" t="str">
        <f aca="false">IF($M906="","",IF($M906="Critical",3000,IF($M906="Warning",2000,1000))+$L906+ROW()/100000)</f>
        <v/>
      </c>
      <c r="O906" s="65" t="str">
        <f aca="false">IF($K906="Open",IF($C906="Conflict","decide "&amp;$A906&amp;": &lt;which version stands&gt;","decide "&amp;$A906&amp;": &lt;outcome&gt;"),IF($K906="Unconfirmed","confirm "&amp;$A906,""))</f>
        <v/>
      </c>
      <c r="P906" s="65" t="str">
        <f aca="false">IF(AND($C906="New",$B906&gt;=WeekStart),$B906+ROW()/100000,"")</f>
        <v/>
      </c>
      <c r="Q906" s="65" t="str">
        <f aca="false">IF(AND($C906="Know",$B906&gt;=WeekStart),$B906+ROW()/100000,"")</f>
        <v/>
      </c>
      <c r="R906" s="65" t="str">
        <f aca="false">IF(AND($K906="Open",$C906="Decision"),$L906+ROW()/100000,"")</f>
        <v/>
      </c>
      <c r="S906" s="65" t="str">
        <f aca="false">IF(AND($J906&lt;&gt;"",$J906=UCSel),$B906+ROW()/100000,"")</f>
        <v/>
      </c>
    </row>
    <row r="907" customFormat="false" ht="15" hidden="false" customHeight="false" outlineLevel="0" collapsed="false">
      <c r="A907" s="28"/>
      <c r="B907" s="63"/>
      <c r="C907" s="64"/>
      <c r="D907" s="28"/>
      <c r="E907" s="28"/>
      <c r="F907" s="28"/>
      <c r="G907" s="64"/>
      <c r="H907" s="64"/>
      <c r="I907" s="28"/>
      <c r="J907" s="28"/>
      <c r="K907" s="65" t="str">
        <f aca="false">IF($A907="","",IF(OR($C907="Decision",$C907="Conflict"),IF(COUNTIFS($I$2:$I$1001,$A907,$C$2:$C$1001,"Resolved")=0,"Open","Closed"),IF(AND($H907="Unconfirmed",OR($C907="New",$C907="Know")),IF(COUNTIFS($I$2:$I$1001,$A907,$C$2:$C$1001,"Confirmed")=0,"Unconfirmed","Confirmed"),"Logged")))</f>
        <v/>
      </c>
      <c r="L907" s="65" t="str">
        <f aca="false">IF($A907="","",AsOf-$B907)</f>
        <v/>
      </c>
      <c r="M907" s="65" t="str">
        <f aca="false">IF($K907="Open",IF($C907="Conflict","Critical",IF($L907&gt;=DecisionCritical,"Critical",IF($L907&gt;=DecisionWarn,"Warning","On track"))),IF($K907="Unconfirmed",IF($L907&gt;=UnconfirmedWarn,"Warning","On track"),""))</f>
        <v/>
      </c>
      <c r="N907" s="65" t="str">
        <f aca="false">IF($M907="","",IF($M907="Critical",3000,IF($M907="Warning",2000,1000))+$L907+ROW()/100000)</f>
        <v/>
      </c>
      <c r="O907" s="65" t="str">
        <f aca="false">IF($K907="Open",IF($C907="Conflict","decide "&amp;$A907&amp;": &lt;which version stands&gt;","decide "&amp;$A907&amp;": &lt;outcome&gt;"),IF($K907="Unconfirmed","confirm "&amp;$A907,""))</f>
        <v/>
      </c>
      <c r="P907" s="65" t="str">
        <f aca="false">IF(AND($C907="New",$B907&gt;=WeekStart),$B907+ROW()/100000,"")</f>
        <v/>
      </c>
      <c r="Q907" s="65" t="str">
        <f aca="false">IF(AND($C907="Know",$B907&gt;=WeekStart),$B907+ROW()/100000,"")</f>
        <v/>
      </c>
      <c r="R907" s="65" t="str">
        <f aca="false">IF(AND($K907="Open",$C907="Decision"),$L907+ROW()/100000,"")</f>
        <v/>
      </c>
      <c r="S907" s="65" t="str">
        <f aca="false">IF(AND($J907&lt;&gt;"",$J907=UCSel),$B907+ROW()/100000,"")</f>
        <v/>
      </c>
    </row>
    <row r="908" customFormat="false" ht="15" hidden="false" customHeight="false" outlineLevel="0" collapsed="false">
      <c r="A908" s="28"/>
      <c r="B908" s="63"/>
      <c r="C908" s="64"/>
      <c r="D908" s="28"/>
      <c r="E908" s="28"/>
      <c r="F908" s="28"/>
      <c r="G908" s="64"/>
      <c r="H908" s="64"/>
      <c r="I908" s="28"/>
      <c r="J908" s="28"/>
      <c r="K908" s="65" t="str">
        <f aca="false">IF($A908="","",IF(OR($C908="Decision",$C908="Conflict"),IF(COUNTIFS($I$2:$I$1001,$A908,$C$2:$C$1001,"Resolved")=0,"Open","Closed"),IF(AND($H908="Unconfirmed",OR($C908="New",$C908="Know")),IF(COUNTIFS($I$2:$I$1001,$A908,$C$2:$C$1001,"Confirmed")=0,"Unconfirmed","Confirmed"),"Logged")))</f>
        <v/>
      </c>
      <c r="L908" s="65" t="str">
        <f aca="false">IF($A908="","",AsOf-$B908)</f>
        <v/>
      </c>
      <c r="M908" s="65" t="str">
        <f aca="false">IF($K908="Open",IF($C908="Conflict","Critical",IF($L908&gt;=DecisionCritical,"Critical",IF($L908&gt;=DecisionWarn,"Warning","On track"))),IF($K908="Unconfirmed",IF($L908&gt;=UnconfirmedWarn,"Warning","On track"),""))</f>
        <v/>
      </c>
      <c r="N908" s="65" t="str">
        <f aca="false">IF($M908="","",IF($M908="Critical",3000,IF($M908="Warning",2000,1000))+$L908+ROW()/100000)</f>
        <v/>
      </c>
      <c r="O908" s="65" t="str">
        <f aca="false">IF($K908="Open",IF($C908="Conflict","decide "&amp;$A908&amp;": &lt;which version stands&gt;","decide "&amp;$A908&amp;": &lt;outcome&gt;"),IF($K908="Unconfirmed","confirm "&amp;$A908,""))</f>
        <v/>
      </c>
      <c r="P908" s="65" t="str">
        <f aca="false">IF(AND($C908="New",$B908&gt;=WeekStart),$B908+ROW()/100000,"")</f>
        <v/>
      </c>
      <c r="Q908" s="65" t="str">
        <f aca="false">IF(AND($C908="Know",$B908&gt;=WeekStart),$B908+ROW()/100000,"")</f>
        <v/>
      </c>
      <c r="R908" s="65" t="str">
        <f aca="false">IF(AND($K908="Open",$C908="Decision"),$L908+ROW()/100000,"")</f>
        <v/>
      </c>
      <c r="S908" s="65" t="str">
        <f aca="false">IF(AND($J908&lt;&gt;"",$J908=UCSel),$B908+ROW()/100000,"")</f>
        <v/>
      </c>
    </row>
    <row r="909" customFormat="false" ht="15" hidden="false" customHeight="false" outlineLevel="0" collapsed="false">
      <c r="A909" s="28"/>
      <c r="B909" s="63"/>
      <c r="C909" s="64"/>
      <c r="D909" s="28"/>
      <c r="E909" s="28"/>
      <c r="F909" s="28"/>
      <c r="G909" s="64"/>
      <c r="H909" s="64"/>
      <c r="I909" s="28"/>
      <c r="J909" s="28"/>
      <c r="K909" s="65" t="str">
        <f aca="false">IF($A909="","",IF(OR($C909="Decision",$C909="Conflict"),IF(COUNTIFS($I$2:$I$1001,$A909,$C$2:$C$1001,"Resolved")=0,"Open","Closed"),IF(AND($H909="Unconfirmed",OR($C909="New",$C909="Know")),IF(COUNTIFS($I$2:$I$1001,$A909,$C$2:$C$1001,"Confirmed")=0,"Unconfirmed","Confirmed"),"Logged")))</f>
        <v/>
      </c>
      <c r="L909" s="65" t="str">
        <f aca="false">IF($A909="","",AsOf-$B909)</f>
        <v/>
      </c>
      <c r="M909" s="65" t="str">
        <f aca="false">IF($K909="Open",IF($C909="Conflict","Critical",IF($L909&gt;=DecisionCritical,"Critical",IF($L909&gt;=DecisionWarn,"Warning","On track"))),IF($K909="Unconfirmed",IF($L909&gt;=UnconfirmedWarn,"Warning","On track"),""))</f>
        <v/>
      </c>
      <c r="N909" s="65" t="str">
        <f aca="false">IF($M909="","",IF($M909="Critical",3000,IF($M909="Warning",2000,1000))+$L909+ROW()/100000)</f>
        <v/>
      </c>
      <c r="O909" s="65" t="str">
        <f aca="false">IF($K909="Open",IF($C909="Conflict","decide "&amp;$A909&amp;": &lt;which version stands&gt;","decide "&amp;$A909&amp;": &lt;outcome&gt;"),IF($K909="Unconfirmed","confirm "&amp;$A909,""))</f>
        <v/>
      </c>
      <c r="P909" s="65" t="str">
        <f aca="false">IF(AND($C909="New",$B909&gt;=WeekStart),$B909+ROW()/100000,"")</f>
        <v/>
      </c>
      <c r="Q909" s="65" t="str">
        <f aca="false">IF(AND($C909="Know",$B909&gt;=WeekStart),$B909+ROW()/100000,"")</f>
        <v/>
      </c>
      <c r="R909" s="65" t="str">
        <f aca="false">IF(AND($K909="Open",$C909="Decision"),$L909+ROW()/100000,"")</f>
        <v/>
      </c>
      <c r="S909" s="65" t="str">
        <f aca="false">IF(AND($J909&lt;&gt;"",$J909=UCSel),$B909+ROW()/100000,"")</f>
        <v/>
      </c>
    </row>
    <row r="910" customFormat="false" ht="15" hidden="false" customHeight="false" outlineLevel="0" collapsed="false">
      <c r="A910" s="28"/>
      <c r="B910" s="63"/>
      <c r="C910" s="64"/>
      <c r="D910" s="28"/>
      <c r="E910" s="28"/>
      <c r="F910" s="28"/>
      <c r="G910" s="64"/>
      <c r="H910" s="64"/>
      <c r="I910" s="28"/>
      <c r="J910" s="28"/>
      <c r="K910" s="65" t="str">
        <f aca="false">IF($A910="","",IF(OR($C910="Decision",$C910="Conflict"),IF(COUNTIFS($I$2:$I$1001,$A910,$C$2:$C$1001,"Resolved")=0,"Open","Closed"),IF(AND($H910="Unconfirmed",OR($C910="New",$C910="Know")),IF(COUNTIFS($I$2:$I$1001,$A910,$C$2:$C$1001,"Confirmed")=0,"Unconfirmed","Confirmed"),"Logged")))</f>
        <v/>
      </c>
      <c r="L910" s="65" t="str">
        <f aca="false">IF($A910="","",AsOf-$B910)</f>
        <v/>
      </c>
      <c r="M910" s="65" t="str">
        <f aca="false">IF($K910="Open",IF($C910="Conflict","Critical",IF($L910&gt;=DecisionCritical,"Critical",IF($L910&gt;=DecisionWarn,"Warning","On track"))),IF($K910="Unconfirmed",IF($L910&gt;=UnconfirmedWarn,"Warning","On track"),""))</f>
        <v/>
      </c>
      <c r="N910" s="65" t="str">
        <f aca="false">IF($M910="","",IF($M910="Critical",3000,IF($M910="Warning",2000,1000))+$L910+ROW()/100000)</f>
        <v/>
      </c>
      <c r="O910" s="65" t="str">
        <f aca="false">IF($K910="Open",IF($C910="Conflict","decide "&amp;$A910&amp;": &lt;which version stands&gt;","decide "&amp;$A910&amp;": &lt;outcome&gt;"),IF($K910="Unconfirmed","confirm "&amp;$A910,""))</f>
        <v/>
      </c>
      <c r="P910" s="65" t="str">
        <f aca="false">IF(AND($C910="New",$B910&gt;=WeekStart),$B910+ROW()/100000,"")</f>
        <v/>
      </c>
      <c r="Q910" s="65" t="str">
        <f aca="false">IF(AND($C910="Know",$B910&gt;=WeekStart),$B910+ROW()/100000,"")</f>
        <v/>
      </c>
      <c r="R910" s="65" t="str">
        <f aca="false">IF(AND($K910="Open",$C910="Decision"),$L910+ROW()/100000,"")</f>
        <v/>
      </c>
      <c r="S910" s="65" t="str">
        <f aca="false">IF(AND($J910&lt;&gt;"",$J910=UCSel),$B910+ROW()/100000,"")</f>
        <v/>
      </c>
    </row>
    <row r="911" customFormat="false" ht="15" hidden="false" customHeight="false" outlineLevel="0" collapsed="false">
      <c r="A911" s="28"/>
      <c r="B911" s="63"/>
      <c r="C911" s="64"/>
      <c r="D911" s="28"/>
      <c r="E911" s="28"/>
      <c r="F911" s="28"/>
      <c r="G911" s="64"/>
      <c r="H911" s="64"/>
      <c r="I911" s="28"/>
      <c r="J911" s="28"/>
      <c r="K911" s="65" t="str">
        <f aca="false">IF($A911="","",IF(OR($C911="Decision",$C911="Conflict"),IF(COUNTIFS($I$2:$I$1001,$A911,$C$2:$C$1001,"Resolved")=0,"Open","Closed"),IF(AND($H911="Unconfirmed",OR($C911="New",$C911="Know")),IF(COUNTIFS($I$2:$I$1001,$A911,$C$2:$C$1001,"Confirmed")=0,"Unconfirmed","Confirmed"),"Logged")))</f>
        <v/>
      </c>
      <c r="L911" s="65" t="str">
        <f aca="false">IF($A911="","",AsOf-$B911)</f>
        <v/>
      </c>
      <c r="M911" s="65" t="str">
        <f aca="false">IF($K911="Open",IF($C911="Conflict","Critical",IF($L911&gt;=DecisionCritical,"Critical",IF($L911&gt;=DecisionWarn,"Warning","On track"))),IF($K911="Unconfirmed",IF($L911&gt;=UnconfirmedWarn,"Warning","On track"),""))</f>
        <v/>
      </c>
      <c r="N911" s="65" t="str">
        <f aca="false">IF($M911="","",IF($M911="Critical",3000,IF($M911="Warning",2000,1000))+$L911+ROW()/100000)</f>
        <v/>
      </c>
      <c r="O911" s="65" t="str">
        <f aca="false">IF($K911="Open",IF($C911="Conflict","decide "&amp;$A911&amp;": &lt;which version stands&gt;","decide "&amp;$A911&amp;": &lt;outcome&gt;"),IF($K911="Unconfirmed","confirm "&amp;$A911,""))</f>
        <v/>
      </c>
      <c r="P911" s="65" t="str">
        <f aca="false">IF(AND($C911="New",$B911&gt;=WeekStart),$B911+ROW()/100000,"")</f>
        <v/>
      </c>
      <c r="Q911" s="65" t="str">
        <f aca="false">IF(AND($C911="Know",$B911&gt;=WeekStart),$B911+ROW()/100000,"")</f>
        <v/>
      </c>
      <c r="R911" s="65" t="str">
        <f aca="false">IF(AND($K911="Open",$C911="Decision"),$L911+ROW()/100000,"")</f>
        <v/>
      </c>
      <c r="S911" s="65" t="str">
        <f aca="false">IF(AND($J911&lt;&gt;"",$J911=UCSel),$B911+ROW()/100000,"")</f>
        <v/>
      </c>
    </row>
    <row r="912" customFormat="false" ht="15" hidden="false" customHeight="false" outlineLevel="0" collapsed="false">
      <c r="A912" s="28"/>
      <c r="B912" s="63"/>
      <c r="C912" s="64"/>
      <c r="D912" s="28"/>
      <c r="E912" s="28"/>
      <c r="F912" s="28"/>
      <c r="G912" s="64"/>
      <c r="H912" s="64"/>
      <c r="I912" s="28"/>
      <c r="J912" s="28"/>
      <c r="K912" s="65" t="str">
        <f aca="false">IF($A912="","",IF(OR($C912="Decision",$C912="Conflict"),IF(COUNTIFS($I$2:$I$1001,$A912,$C$2:$C$1001,"Resolved")=0,"Open","Closed"),IF(AND($H912="Unconfirmed",OR($C912="New",$C912="Know")),IF(COUNTIFS($I$2:$I$1001,$A912,$C$2:$C$1001,"Confirmed")=0,"Unconfirmed","Confirmed"),"Logged")))</f>
        <v/>
      </c>
      <c r="L912" s="65" t="str">
        <f aca="false">IF($A912="","",AsOf-$B912)</f>
        <v/>
      </c>
      <c r="M912" s="65" t="str">
        <f aca="false">IF($K912="Open",IF($C912="Conflict","Critical",IF($L912&gt;=DecisionCritical,"Critical",IF($L912&gt;=DecisionWarn,"Warning","On track"))),IF($K912="Unconfirmed",IF($L912&gt;=UnconfirmedWarn,"Warning","On track"),""))</f>
        <v/>
      </c>
      <c r="N912" s="65" t="str">
        <f aca="false">IF($M912="","",IF($M912="Critical",3000,IF($M912="Warning",2000,1000))+$L912+ROW()/100000)</f>
        <v/>
      </c>
      <c r="O912" s="65" t="str">
        <f aca="false">IF($K912="Open",IF($C912="Conflict","decide "&amp;$A912&amp;": &lt;which version stands&gt;","decide "&amp;$A912&amp;": &lt;outcome&gt;"),IF($K912="Unconfirmed","confirm "&amp;$A912,""))</f>
        <v/>
      </c>
      <c r="P912" s="65" t="str">
        <f aca="false">IF(AND($C912="New",$B912&gt;=WeekStart),$B912+ROW()/100000,"")</f>
        <v/>
      </c>
      <c r="Q912" s="65" t="str">
        <f aca="false">IF(AND($C912="Know",$B912&gt;=WeekStart),$B912+ROW()/100000,"")</f>
        <v/>
      </c>
      <c r="R912" s="65" t="str">
        <f aca="false">IF(AND($K912="Open",$C912="Decision"),$L912+ROW()/100000,"")</f>
        <v/>
      </c>
      <c r="S912" s="65" t="str">
        <f aca="false">IF(AND($J912&lt;&gt;"",$J912=UCSel),$B912+ROW()/100000,"")</f>
        <v/>
      </c>
    </row>
    <row r="913" customFormat="false" ht="15" hidden="false" customHeight="false" outlineLevel="0" collapsed="false">
      <c r="A913" s="28"/>
      <c r="B913" s="63"/>
      <c r="C913" s="64"/>
      <c r="D913" s="28"/>
      <c r="E913" s="28"/>
      <c r="F913" s="28"/>
      <c r="G913" s="64"/>
      <c r="H913" s="64"/>
      <c r="I913" s="28"/>
      <c r="J913" s="28"/>
      <c r="K913" s="65" t="str">
        <f aca="false">IF($A913="","",IF(OR($C913="Decision",$C913="Conflict"),IF(COUNTIFS($I$2:$I$1001,$A913,$C$2:$C$1001,"Resolved")=0,"Open","Closed"),IF(AND($H913="Unconfirmed",OR($C913="New",$C913="Know")),IF(COUNTIFS($I$2:$I$1001,$A913,$C$2:$C$1001,"Confirmed")=0,"Unconfirmed","Confirmed"),"Logged")))</f>
        <v/>
      </c>
      <c r="L913" s="65" t="str">
        <f aca="false">IF($A913="","",AsOf-$B913)</f>
        <v/>
      </c>
      <c r="M913" s="65" t="str">
        <f aca="false">IF($K913="Open",IF($C913="Conflict","Critical",IF($L913&gt;=DecisionCritical,"Critical",IF($L913&gt;=DecisionWarn,"Warning","On track"))),IF($K913="Unconfirmed",IF($L913&gt;=UnconfirmedWarn,"Warning","On track"),""))</f>
        <v/>
      </c>
      <c r="N913" s="65" t="str">
        <f aca="false">IF($M913="","",IF($M913="Critical",3000,IF($M913="Warning",2000,1000))+$L913+ROW()/100000)</f>
        <v/>
      </c>
      <c r="O913" s="65" t="str">
        <f aca="false">IF($K913="Open",IF($C913="Conflict","decide "&amp;$A913&amp;": &lt;which version stands&gt;","decide "&amp;$A913&amp;": &lt;outcome&gt;"),IF($K913="Unconfirmed","confirm "&amp;$A913,""))</f>
        <v/>
      </c>
      <c r="P913" s="65" t="str">
        <f aca="false">IF(AND($C913="New",$B913&gt;=WeekStart),$B913+ROW()/100000,"")</f>
        <v/>
      </c>
      <c r="Q913" s="65" t="str">
        <f aca="false">IF(AND($C913="Know",$B913&gt;=WeekStart),$B913+ROW()/100000,"")</f>
        <v/>
      </c>
      <c r="R913" s="65" t="str">
        <f aca="false">IF(AND($K913="Open",$C913="Decision"),$L913+ROW()/100000,"")</f>
        <v/>
      </c>
      <c r="S913" s="65" t="str">
        <f aca="false">IF(AND($J913&lt;&gt;"",$J913=UCSel),$B913+ROW()/100000,"")</f>
        <v/>
      </c>
    </row>
    <row r="914" customFormat="false" ht="15" hidden="false" customHeight="false" outlineLevel="0" collapsed="false">
      <c r="A914" s="28"/>
      <c r="B914" s="63"/>
      <c r="C914" s="64"/>
      <c r="D914" s="28"/>
      <c r="E914" s="28"/>
      <c r="F914" s="28"/>
      <c r="G914" s="64"/>
      <c r="H914" s="64"/>
      <c r="I914" s="28"/>
      <c r="J914" s="28"/>
      <c r="K914" s="65" t="str">
        <f aca="false">IF($A914="","",IF(OR($C914="Decision",$C914="Conflict"),IF(COUNTIFS($I$2:$I$1001,$A914,$C$2:$C$1001,"Resolved")=0,"Open","Closed"),IF(AND($H914="Unconfirmed",OR($C914="New",$C914="Know")),IF(COUNTIFS($I$2:$I$1001,$A914,$C$2:$C$1001,"Confirmed")=0,"Unconfirmed","Confirmed"),"Logged")))</f>
        <v/>
      </c>
      <c r="L914" s="65" t="str">
        <f aca="false">IF($A914="","",AsOf-$B914)</f>
        <v/>
      </c>
      <c r="M914" s="65" t="str">
        <f aca="false">IF($K914="Open",IF($C914="Conflict","Critical",IF($L914&gt;=DecisionCritical,"Critical",IF($L914&gt;=DecisionWarn,"Warning","On track"))),IF($K914="Unconfirmed",IF($L914&gt;=UnconfirmedWarn,"Warning","On track"),""))</f>
        <v/>
      </c>
      <c r="N914" s="65" t="str">
        <f aca="false">IF($M914="","",IF($M914="Critical",3000,IF($M914="Warning",2000,1000))+$L914+ROW()/100000)</f>
        <v/>
      </c>
      <c r="O914" s="65" t="str">
        <f aca="false">IF($K914="Open",IF($C914="Conflict","decide "&amp;$A914&amp;": &lt;which version stands&gt;","decide "&amp;$A914&amp;": &lt;outcome&gt;"),IF($K914="Unconfirmed","confirm "&amp;$A914,""))</f>
        <v/>
      </c>
      <c r="P914" s="65" t="str">
        <f aca="false">IF(AND($C914="New",$B914&gt;=WeekStart),$B914+ROW()/100000,"")</f>
        <v/>
      </c>
      <c r="Q914" s="65" t="str">
        <f aca="false">IF(AND($C914="Know",$B914&gt;=WeekStart),$B914+ROW()/100000,"")</f>
        <v/>
      </c>
      <c r="R914" s="65" t="str">
        <f aca="false">IF(AND($K914="Open",$C914="Decision"),$L914+ROW()/100000,"")</f>
        <v/>
      </c>
      <c r="S914" s="65" t="str">
        <f aca="false">IF(AND($J914&lt;&gt;"",$J914=UCSel),$B914+ROW()/100000,"")</f>
        <v/>
      </c>
    </row>
    <row r="915" customFormat="false" ht="15" hidden="false" customHeight="false" outlineLevel="0" collapsed="false">
      <c r="A915" s="28"/>
      <c r="B915" s="63"/>
      <c r="C915" s="64"/>
      <c r="D915" s="28"/>
      <c r="E915" s="28"/>
      <c r="F915" s="28"/>
      <c r="G915" s="64"/>
      <c r="H915" s="64"/>
      <c r="I915" s="28"/>
      <c r="J915" s="28"/>
      <c r="K915" s="65" t="str">
        <f aca="false">IF($A915="","",IF(OR($C915="Decision",$C915="Conflict"),IF(COUNTIFS($I$2:$I$1001,$A915,$C$2:$C$1001,"Resolved")=0,"Open","Closed"),IF(AND($H915="Unconfirmed",OR($C915="New",$C915="Know")),IF(COUNTIFS($I$2:$I$1001,$A915,$C$2:$C$1001,"Confirmed")=0,"Unconfirmed","Confirmed"),"Logged")))</f>
        <v/>
      </c>
      <c r="L915" s="65" t="str">
        <f aca="false">IF($A915="","",AsOf-$B915)</f>
        <v/>
      </c>
      <c r="M915" s="65" t="str">
        <f aca="false">IF($K915="Open",IF($C915="Conflict","Critical",IF($L915&gt;=DecisionCritical,"Critical",IF($L915&gt;=DecisionWarn,"Warning","On track"))),IF($K915="Unconfirmed",IF($L915&gt;=UnconfirmedWarn,"Warning","On track"),""))</f>
        <v/>
      </c>
      <c r="N915" s="65" t="str">
        <f aca="false">IF($M915="","",IF($M915="Critical",3000,IF($M915="Warning",2000,1000))+$L915+ROW()/100000)</f>
        <v/>
      </c>
      <c r="O915" s="65" t="str">
        <f aca="false">IF($K915="Open",IF($C915="Conflict","decide "&amp;$A915&amp;": &lt;which version stands&gt;","decide "&amp;$A915&amp;": &lt;outcome&gt;"),IF($K915="Unconfirmed","confirm "&amp;$A915,""))</f>
        <v/>
      </c>
      <c r="P915" s="65" t="str">
        <f aca="false">IF(AND($C915="New",$B915&gt;=WeekStart),$B915+ROW()/100000,"")</f>
        <v/>
      </c>
      <c r="Q915" s="65" t="str">
        <f aca="false">IF(AND($C915="Know",$B915&gt;=WeekStart),$B915+ROW()/100000,"")</f>
        <v/>
      </c>
      <c r="R915" s="65" t="str">
        <f aca="false">IF(AND($K915="Open",$C915="Decision"),$L915+ROW()/100000,"")</f>
        <v/>
      </c>
      <c r="S915" s="65" t="str">
        <f aca="false">IF(AND($J915&lt;&gt;"",$J915=UCSel),$B915+ROW()/100000,"")</f>
        <v/>
      </c>
    </row>
    <row r="916" customFormat="false" ht="15" hidden="false" customHeight="false" outlineLevel="0" collapsed="false">
      <c r="A916" s="28"/>
      <c r="B916" s="63"/>
      <c r="C916" s="64"/>
      <c r="D916" s="28"/>
      <c r="E916" s="28"/>
      <c r="F916" s="28"/>
      <c r="G916" s="64"/>
      <c r="H916" s="64"/>
      <c r="I916" s="28"/>
      <c r="J916" s="28"/>
      <c r="K916" s="65" t="str">
        <f aca="false">IF($A916="","",IF(OR($C916="Decision",$C916="Conflict"),IF(COUNTIFS($I$2:$I$1001,$A916,$C$2:$C$1001,"Resolved")=0,"Open","Closed"),IF(AND($H916="Unconfirmed",OR($C916="New",$C916="Know")),IF(COUNTIFS($I$2:$I$1001,$A916,$C$2:$C$1001,"Confirmed")=0,"Unconfirmed","Confirmed"),"Logged")))</f>
        <v/>
      </c>
      <c r="L916" s="65" t="str">
        <f aca="false">IF($A916="","",AsOf-$B916)</f>
        <v/>
      </c>
      <c r="M916" s="65" t="str">
        <f aca="false">IF($K916="Open",IF($C916="Conflict","Critical",IF($L916&gt;=DecisionCritical,"Critical",IF($L916&gt;=DecisionWarn,"Warning","On track"))),IF($K916="Unconfirmed",IF($L916&gt;=UnconfirmedWarn,"Warning","On track"),""))</f>
        <v/>
      </c>
      <c r="N916" s="65" t="str">
        <f aca="false">IF($M916="","",IF($M916="Critical",3000,IF($M916="Warning",2000,1000))+$L916+ROW()/100000)</f>
        <v/>
      </c>
      <c r="O916" s="65" t="str">
        <f aca="false">IF($K916="Open",IF($C916="Conflict","decide "&amp;$A916&amp;": &lt;which version stands&gt;","decide "&amp;$A916&amp;": &lt;outcome&gt;"),IF($K916="Unconfirmed","confirm "&amp;$A916,""))</f>
        <v/>
      </c>
      <c r="P916" s="65" t="str">
        <f aca="false">IF(AND($C916="New",$B916&gt;=WeekStart),$B916+ROW()/100000,"")</f>
        <v/>
      </c>
      <c r="Q916" s="65" t="str">
        <f aca="false">IF(AND($C916="Know",$B916&gt;=WeekStart),$B916+ROW()/100000,"")</f>
        <v/>
      </c>
      <c r="R916" s="65" t="str">
        <f aca="false">IF(AND($K916="Open",$C916="Decision"),$L916+ROW()/100000,"")</f>
        <v/>
      </c>
      <c r="S916" s="65" t="str">
        <f aca="false">IF(AND($J916&lt;&gt;"",$J916=UCSel),$B916+ROW()/100000,"")</f>
        <v/>
      </c>
    </row>
    <row r="917" customFormat="false" ht="15" hidden="false" customHeight="false" outlineLevel="0" collapsed="false">
      <c r="A917" s="28"/>
      <c r="B917" s="63"/>
      <c r="C917" s="64"/>
      <c r="D917" s="28"/>
      <c r="E917" s="28"/>
      <c r="F917" s="28"/>
      <c r="G917" s="64"/>
      <c r="H917" s="64"/>
      <c r="I917" s="28"/>
      <c r="J917" s="28"/>
      <c r="K917" s="65" t="str">
        <f aca="false">IF($A917="","",IF(OR($C917="Decision",$C917="Conflict"),IF(COUNTIFS($I$2:$I$1001,$A917,$C$2:$C$1001,"Resolved")=0,"Open","Closed"),IF(AND($H917="Unconfirmed",OR($C917="New",$C917="Know")),IF(COUNTIFS($I$2:$I$1001,$A917,$C$2:$C$1001,"Confirmed")=0,"Unconfirmed","Confirmed"),"Logged")))</f>
        <v/>
      </c>
      <c r="L917" s="65" t="str">
        <f aca="false">IF($A917="","",AsOf-$B917)</f>
        <v/>
      </c>
      <c r="M917" s="65" t="str">
        <f aca="false">IF($K917="Open",IF($C917="Conflict","Critical",IF($L917&gt;=DecisionCritical,"Critical",IF($L917&gt;=DecisionWarn,"Warning","On track"))),IF($K917="Unconfirmed",IF($L917&gt;=UnconfirmedWarn,"Warning","On track"),""))</f>
        <v/>
      </c>
      <c r="N917" s="65" t="str">
        <f aca="false">IF($M917="","",IF($M917="Critical",3000,IF($M917="Warning",2000,1000))+$L917+ROW()/100000)</f>
        <v/>
      </c>
      <c r="O917" s="65" t="str">
        <f aca="false">IF($K917="Open",IF($C917="Conflict","decide "&amp;$A917&amp;": &lt;which version stands&gt;","decide "&amp;$A917&amp;": &lt;outcome&gt;"),IF($K917="Unconfirmed","confirm "&amp;$A917,""))</f>
        <v/>
      </c>
      <c r="P917" s="65" t="str">
        <f aca="false">IF(AND($C917="New",$B917&gt;=WeekStart),$B917+ROW()/100000,"")</f>
        <v/>
      </c>
      <c r="Q917" s="65" t="str">
        <f aca="false">IF(AND($C917="Know",$B917&gt;=WeekStart),$B917+ROW()/100000,"")</f>
        <v/>
      </c>
      <c r="R917" s="65" t="str">
        <f aca="false">IF(AND($K917="Open",$C917="Decision"),$L917+ROW()/100000,"")</f>
        <v/>
      </c>
      <c r="S917" s="65" t="str">
        <f aca="false">IF(AND($J917&lt;&gt;"",$J917=UCSel),$B917+ROW()/100000,"")</f>
        <v/>
      </c>
    </row>
    <row r="918" customFormat="false" ht="15" hidden="false" customHeight="false" outlineLevel="0" collapsed="false">
      <c r="A918" s="28"/>
      <c r="B918" s="63"/>
      <c r="C918" s="64"/>
      <c r="D918" s="28"/>
      <c r="E918" s="28"/>
      <c r="F918" s="28"/>
      <c r="G918" s="64"/>
      <c r="H918" s="64"/>
      <c r="I918" s="28"/>
      <c r="J918" s="28"/>
      <c r="K918" s="65" t="str">
        <f aca="false">IF($A918="","",IF(OR($C918="Decision",$C918="Conflict"),IF(COUNTIFS($I$2:$I$1001,$A918,$C$2:$C$1001,"Resolved")=0,"Open","Closed"),IF(AND($H918="Unconfirmed",OR($C918="New",$C918="Know")),IF(COUNTIFS($I$2:$I$1001,$A918,$C$2:$C$1001,"Confirmed")=0,"Unconfirmed","Confirmed"),"Logged")))</f>
        <v/>
      </c>
      <c r="L918" s="65" t="str">
        <f aca="false">IF($A918="","",AsOf-$B918)</f>
        <v/>
      </c>
      <c r="M918" s="65" t="str">
        <f aca="false">IF($K918="Open",IF($C918="Conflict","Critical",IF($L918&gt;=DecisionCritical,"Critical",IF($L918&gt;=DecisionWarn,"Warning","On track"))),IF($K918="Unconfirmed",IF($L918&gt;=UnconfirmedWarn,"Warning","On track"),""))</f>
        <v/>
      </c>
      <c r="N918" s="65" t="str">
        <f aca="false">IF($M918="","",IF($M918="Critical",3000,IF($M918="Warning",2000,1000))+$L918+ROW()/100000)</f>
        <v/>
      </c>
      <c r="O918" s="65" t="str">
        <f aca="false">IF($K918="Open",IF($C918="Conflict","decide "&amp;$A918&amp;": &lt;which version stands&gt;","decide "&amp;$A918&amp;": &lt;outcome&gt;"),IF($K918="Unconfirmed","confirm "&amp;$A918,""))</f>
        <v/>
      </c>
      <c r="P918" s="65" t="str">
        <f aca="false">IF(AND($C918="New",$B918&gt;=WeekStart),$B918+ROW()/100000,"")</f>
        <v/>
      </c>
      <c r="Q918" s="65" t="str">
        <f aca="false">IF(AND($C918="Know",$B918&gt;=WeekStart),$B918+ROW()/100000,"")</f>
        <v/>
      </c>
      <c r="R918" s="65" t="str">
        <f aca="false">IF(AND($K918="Open",$C918="Decision"),$L918+ROW()/100000,"")</f>
        <v/>
      </c>
      <c r="S918" s="65" t="str">
        <f aca="false">IF(AND($J918&lt;&gt;"",$J918=UCSel),$B918+ROW()/100000,"")</f>
        <v/>
      </c>
    </row>
    <row r="919" customFormat="false" ht="15" hidden="false" customHeight="false" outlineLevel="0" collapsed="false">
      <c r="A919" s="28"/>
      <c r="B919" s="63"/>
      <c r="C919" s="64"/>
      <c r="D919" s="28"/>
      <c r="E919" s="28"/>
      <c r="F919" s="28"/>
      <c r="G919" s="64"/>
      <c r="H919" s="64"/>
      <c r="I919" s="28"/>
      <c r="J919" s="28"/>
      <c r="K919" s="65" t="str">
        <f aca="false">IF($A919="","",IF(OR($C919="Decision",$C919="Conflict"),IF(COUNTIFS($I$2:$I$1001,$A919,$C$2:$C$1001,"Resolved")=0,"Open","Closed"),IF(AND($H919="Unconfirmed",OR($C919="New",$C919="Know")),IF(COUNTIFS($I$2:$I$1001,$A919,$C$2:$C$1001,"Confirmed")=0,"Unconfirmed","Confirmed"),"Logged")))</f>
        <v/>
      </c>
      <c r="L919" s="65" t="str">
        <f aca="false">IF($A919="","",AsOf-$B919)</f>
        <v/>
      </c>
      <c r="M919" s="65" t="str">
        <f aca="false">IF($K919="Open",IF($C919="Conflict","Critical",IF($L919&gt;=DecisionCritical,"Critical",IF($L919&gt;=DecisionWarn,"Warning","On track"))),IF($K919="Unconfirmed",IF($L919&gt;=UnconfirmedWarn,"Warning","On track"),""))</f>
        <v/>
      </c>
      <c r="N919" s="65" t="str">
        <f aca="false">IF($M919="","",IF($M919="Critical",3000,IF($M919="Warning",2000,1000))+$L919+ROW()/100000)</f>
        <v/>
      </c>
      <c r="O919" s="65" t="str">
        <f aca="false">IF($K919="Open",IF($C919="Conflict","decide "&amp;$A919&amp;": &lt;which version stands&gt;","decide "&amp;$A919&amp;": &lt;outcome&gt;"),IF($K919="Unconfirmed","confirm "&amp;$A919,""))</f>
        <v/>
      </c>
      <c r="P919" s="65" t="str">
        <f aca="false">IF(AND($C919="New",$B919&gt;=WeekStart),$B919+ROW()/100000,"")</f>
        <v/>
      </c>
      <c r="Q919" s="65" t="str">
        <f aca="false">IF(AND($C919="Know",$B919&gt;=WeekStart),$B919+ROW()/100000,"")</f>
        <v/>
      </c>
      <c r="R919" s="65" t="str">
        <f aca="false">IF(AND($K919="Open",$C919="Decision"),$L919+ROW()/100000,"")</f>
        <v/>
      </c>
      <c r="S919" s="65" t="str">
        <f aca="false">IF(AND($J919&lt;&gt;"",$J919=UCSel),$B919+ROW()/100000,"")</f>
        <v/>
      </c>
    </row>
    <row r="920" customFormat="false" ht="15" hidden="false" customHeight="false" outlineLevel="0" collapsed="false">
      <c r="A920" s="28"/>
      <c r="B920" s="63"/>
      <c r="C920" s="64"/>
      <c r="D920" s="28"/>
      <c r="E920" s="28"/>
      <c r="F920" s="28"/>
      <c r="G920" s="64"/>
      <c r="H920" s="64"/>
      <c r="I920" s="28"/>
      <c r="J920" s="28"/>
      <c r="K920" s="65" t="str">
        <f aca="false">IF($A920="","",IF(OR($C920="Decision",$C920="Conflict"),IF(COUNTIFS($I$2:$I$1001,$A920,$C$2:$C$1001,"Resolved")=0,"Open","Closed"),IF(AND($H920="Unconfirmed",OR($C920="New",$C920="Know")),IF(COUNTIFS($I$2:$I$1001,$A920,$C$2:$C$1001,"Confirmed")=0,"Unconfirmed","Confirmed"),"Logged")))</f>
        <v/>
      </c>
      <c r="L920" s="65" t="str">
        <f aca="false">IF($A920="","",AsOf-$B920)</f>
        <v/>
      </c>
      <c r="M920" s="65" t="str">
        <f aca="false">IF($K920="Open",IF($C920="Conflict","Critical",IF($L920&gt;=DecisionCritical,"Critical",IF($L920&gt;=DecisionWarn,"Warning","On track"))),IF($K920="Unconfirmed",IF($L920&gt;=UnconfirmedWarn,"Warning","On track"),""))</f>
        <v/>
      </c>
      <c r="N920" s="65" t="str">
        <f aca="false">IF($M920="","",IF($M920="Critical",3000,IF($M920="Warning",2000,1000))+$L920+ROW()/100000)</f>
        <v/>
      </c>
      <c r="O920" s="65" t="str">
        <f aca="false">IF($K920="Open",IF($C920="Conflict","decide "&amp;$A920&amp;": &lt;which version stands&gt;","decide "&amp;$A920&amp;": &lt;outcome&gt;"),IF($K920="Unconfirmed","confirm "&amp;$A920,""))</f>
        <v/>
      </c>
      <c r="P920" s="65" t="str">
        <f aca="false">IF(AND($C920="New",$B920&gt;=WeekStart),$B920+ROW()/100000,"")</f>
        <v/>
      </c>
      <c r="Q920" s="65" t="str">
        <f aca="false">IF(AND($C920="Know",$B920&gt;=WeekStart),$B920+ROW()/100000,"")</f>
        <v/>
      </c>
      <c r="R920" s="65" t="str">
        <f aca="false">IF(AND($K920="Open",$C920="Decision"),$L920+ROW()/100000,"")</f>
        <v/>
      </c>
      <c r="S920" s="65" t="str">
        <f aca="false">IF(AND($J920&lt;&gt;"",$J920=UCSel),$B920+ROW()/100000,"")</f>
        <v/>
      </c>
    </row>
    <row r="921" customFormat="false" ht="15" hidden="false" customHeight="false" outlineLevel="0" collapsed="false">
      <c r="A921" s="28"/>
      <c r="B921" s="63"/>
      <c r="C921" s="64"/>
      <c r="D921" s="28"/>
      <c r="E921" s="28"/>
      <c r="F921" s="28"/>
      <c r="G921" s="64"/>
      <c r="H921" s="64"/>
      <c r="I921" s="28"/>
      <c r="J921" s="28"/>
      <c r="K921" s="65" t="str">
        <f aca="false">IF($A921="","",IF(OR($C921="Decision",$C921="Conflict"),IF(COUNTIFS($I$2:$I$1001,$A921,$C$2:$C$1001,"Resolved")=0,"Open","Closed"),IF(AND($H921="Unconfirmed",OR($C921="New",$C921="Know")),IF(COUNTIFS($I$2:$I$1001,$A921,$C$2:$C$1001,"Confirmed")=0,"Unconfirmed","Confirmed"),"Logged")))</f>
        <v/>
      </c>
      <c r="L921" s="65" t="str">
        <f aca="false">IF($A921="","",AsOf-$B921)</f>
        <v/>
      </c>
      <c r="M921" s="65" t="str">
        <f aca="false">IF($K921="Open",IF($C921="Conflict","Critical",IF($L921&gt;=DecisionCritical,"Critical",IF($L921&gt;=DecisionWarn,"Warning","On track"))),IF($K921="Unconfirmed",IF($L921&gt;=UnconfirmedWarn,"Warning","On track"),""))</f>
        <v/>
      </c>
      <c r="N921" s="65" t="str">
        <f aca="false">IF($M921="","",IF($M921="Critical",3000,IF($M921="Warning",2000,1000))+$L921+ROW()/100000)</f>
        <v/>
      </c>
      <c r="O921" s="65" t="str">
        <f aca="false">IF($K921="Open",IF($C921="Conflict","decide "&amp;$A921&amp;": &lt;which version stands&gt;","decide "&amp;$A921&amp;": &lt;outcome&gt;"),IF($K921="Unconfirmed","confirm "&amp;$A921,""))</f>
        <v/>
      </c>
      <c r="P921" s="65" t="str">
        <f aca="false">IF(AND($C921="New",$B921&gt;=WeekStart),$B921+ROW()/100000,"")</f>
        <v/>
      </c>
      <c r="Q921" s="65" t="str">
        <f aca="false">IF(AND($C921="Know",$B921&gt;=WeekStart),$B921+ROW()/100000,"")</f>
        <v/>
      </c>
      <c r="R921" s="65" t="str">
        <f aca="false">IF(AND($K921="Open",$C921="Decision"),$L921+ROW()/100000,"")</f>
        <v/>
      </c>
      <c r="S921" s="65" t="str">
        <f aca="false">IF(AND($J921&lt;&gt;"",$J921=UCSel),$B921+ROW()/100000,"")</f>
        <v/>
      </c>
    </row>
    <row r="922" customFormat="false" ht="15" hidden="false" customHeight="false" outlineLevel="0" collapsed="false">
      <c r="A922" s="28"/>
      <c r="B922" s="63"/>
      <c r="C922" s="64"/>
      <c r="D922" s="28"/>
      <c r="E922" s="28"/>
      <c r="F922" s="28"/>
      <c r="G922" s="64"/>
      <c r="H922" s="64"/>
      <c r="I922" s="28"/>
      <c r="J922" s="28"/>
      <c r="K922" s="65" t="str">
        <f aca="false">IF($A922="","",IF(OR($C922="Decision",$C922="Conflict"),IF(COUNTIFS($I$2:$I$1001,$A922,$C$2:$C$1001,"Resolved")=0,"Open","Closed"),IF(AND($H922="Unconfirmed",OR($C922="New",$C922="Know")),IF(COUNTIFS($I$2:$I$1001,$A922,$C$2:$C$1001,"Confirmed")=0,"Unconfirmed","Confirmed"),"Logged")))</f>
        <v/>
      </c>
      <c r="L922" s="65" t="str">
        <f aca="false">IF($A922="","",AsOf-$B922)</f>
        <v/>
      </c>
      <c r="M922" s="65" t="str">
        <f aca="false">IF($K922="Open",IF($C922="Conflict","Critical",IF($L922&gt;=DecisionCritical,"Critical",IF($L922&gt;=DecisionWarn,"Warning","On track"))),IF($K922="Unconfirmed",IF($L922&gt;=UnconfirmedWarn,"Warning","On track"),""))</f>
        <v/>
      </c>
      <c r="N922" s="65" t="str">
        <f aca="false">IF($M922="","",IF($M922="Critical",3000,IF($M922="Warning",2000,1000))+$L922+ROW()/100000)</f>
        <v/>
      </c>
      <c r="O922" s="65" t="str">
        <f aca="false">IF($K922="Open",IF($C922="Conflict","decide "&amp;$A922&amp;": &lt;which version stands&gt;","decide "&amp;$A922&amp;": &lt;outcome&gt;"),IF($K922="Unconfirmed","confirm "&amp;$A922,""))</f>
        <v/>
      </c>
      <c r="P922" s="65" t="str">
        <f aca="false">IF(AND($C922="New",$B922&gt;=WeekStart),$B922+ROW()/100000,"")</f>
        <v/>
      </c>
      <c r="Q922" s="65" t="str">
        <f aca="false">IF(AND($C922="Know",$B922&gt;=WeekStart),$B922+ROW()/100000,"")</f>
        <v/>
      </c>
      <c r="R922" s="65" t="str">
        <f aca="false">IF(AND($K922="Open",$C922="Decision"),$L922+ROW()/100000,"")</f>
        <v/>
      </c>
      <c r="S922" s="65" t="str">
        <f aca="false">IF(AND($J922&lt;&gt;"",$J922=UCSel),$B922+ROW()/100000,"")</f>
        <v/>
      </c>
    </row>
    <row r="923" customFormat="false" ht="15" hidden="false" customHeight="false" outlineLevel="0" collapsed="false">
      <c r="A923" s="28"/>
      <c r="B923" s="63"/>
      <c r="C923" s="64"/>
      <c r="D923" s="28"/>
      <c r="E923" s="28"/>
      <c r="F923" s="28"/>
      <c r="G923" s="64"/>
      <c r="H923" s="64"/>
      <c r="I923" s="28"/>
      <c r="J923" s="28"/>
      <c r="K923" s="65" t="str">
        <f aca="false">IF($A923="","",IF(OR($C923="Decision",$C923="Conflict"),IF(COUNTIFS($I$2:$I$1001,$A923,$C$2:$C$1001,"Resolved")=0,"Open","Closed"),IF(AND($H923="Unconfirmed",OR($C923="New",$C923="Know")),IF(COUNTIFS($I$2:$I$1001,$A923,$C$2:$C$1001,"Confirmed")=0,"Unconfirmed","Confirmed"),"Logged")))</f>
        <v/>
      </c>
      <c r="L923" s="65" t="str">
        <f aca="false">IF($A923="","",AsOf-$B923)</f>
        <v/>
      </c>
      <c r="M923" s="65" t="str">
        <f aca="false">IF($K923="Open",IF($C923="Conflict","Critical",IF($L923&gt;=DecisionCritical,"Critical",IF($L923&gt;=DecisionWarn,"Warning","On track"))),IF($K923="Unconfirmed",IF($L923&gt;=UnconfirmedWarn,"Warning","On track"),""))</f>
        <v/>
      </c>
      <c r="N923" s="65" t="str">
        <f aca="false">IF($M923="","",IF($M923="Critical",3000,IF($M923="Warning",2000,1000))+$L923+ROW()/100000)</f>
        <v/>
      </c>
      <c r="O923" s="65" t="str">
        <f aca="false">IF($K923="Open",IF($C923="Conflict","decide "&amp;$A923&amp;": &lt;which version stands&gt;","decide "&amp;$A923&amp;": &lt;outcome&gt;"),IF($K923="Unconfirmed","confirm "&amp;$A923,""))</f>
        <v/>
      </c>
      <c r="P923" s="65" t="str">
        <f aca="false">IF(AND($C923="New",$B923&gt;=WeekStart),$B923+ROW()/100000,"")</f>
        <v/>
      </c>
      <c r="Q923" s="65" t="str">
        <f aca="false">IF(AND($C923="Know",$B923&gt;=WeekStart),$B923+ROW()/100000,"")</f>
        <v/>
      </c>
      <c r="R923" s="65" t="str">
        <f aca="false">IF(AND($K923="Open",$C923="Decision"),$L923+ROW()/100000,"")</f>
        <v/>
      </c>
      <c r="S923" s="65" t="str">
        <f aca="false">IF(AND($J923&lt;&gt;"",$J923=UCSel),$B923+ROW()/100000,"")</f>
        <v/>
      </c>
    </row>
    <row r="924" customFormat="false" ht="15" hidden="false" customHeight="false" outlineLevel="0" collapsed="false">
      <c r="A924" s="28"/>
      <c r="B924" s="63"/>
      <c r="C924" s="64"/>
      <c r="D924" s="28"/>
      <c r="E924" s="28"/>
      <c r="F924" s="28"/>
      <c r="G924" s="64"/>
      <c r="H924" s="64"/>
      <c r="I924" s="28"/>
      <c r="J924" s="28"/>
      <c r="K924" s="65" t="str">
        <f aca="false">IF($A924="","",IF(OR($C924="Decision",$C924="Conflict"),IF(COUNTIFS($I$2:$I$1001,$A924,$C$2:$C$1001,"Resolved")=0,"Open","Closed"),IF(AND($H924="Unconfirmed",OR($C924="New",$C924="Know")),IF(COUNTIFS($I$2:$I$1001,$A924,$C$2:$C$1001,"Confirmed")=0,"Unconfirmed","Confirmed"),"Logged")))</f>
        <v/>
      </c>
      <c r="L924" s="65" t="str">
        <f aca="false">IF($A924="","",AsOf-$B924)</f>
        <v/>
      </c>
      <c r="M924" s="65" t="str">
        <f aca="false">IF($K924="Open",IF($C924="Conflict","Critical",IF($L924&gt;=DecisionCritical,"Critical",IF($L924&gt;=DecisionWarn,"Warning","On track"))),IF($K924="Unconfirmed",IF($L924&gt;=UnconfirmedWarn,"Warning","On track"),""))</f>
        <v/>
      </c>
      <c r="N924" s="65" t="str">
        <f aca="false">IF($M924="","",IF($M924="Critical",3000,IF($M924="Warning",2000,1000))+$L924+ROW()/100000)</f>
        <v/>
      </c>
      <c r="O924" s="65" t="str">
        <f aca="false">IF($K924="Open",IF($C924="Conflict","decide "&amp;$A924&amp;": &lt;which version stands&gt;","decide "&amp;$A924&amp;": &lt;outcome&gt;"),IF($K924="Unconfirmed","confirm "&amp;$A924,""))</f>
        <v/>
      </c>
      <c r="P924" s="65" t="str">
        <f aca="false">IF(AND($C924="New",$B924&gt;=WeekStart),$B924+ROW()/100000,"")</f>
        <v/>
      </c>
      <c r="Q924" s="65" t="str">
        <f aca="false">IF(AND($C924="Know",$B924&gt;=WeekStart),$B924+ROW()/100000,"")</f>
        <v/>
      </c>
      <c r="R924" s="65" t="str">
        <f aca="false">IF(AND($K924="Open",$C924="Decision"),$L924+ROW()/100000,"")</f>
        <v/>
      </c>
      <c r="S924" s="65" t="str">
        <f aca="false">IF(AND($J924&lt;&gt;"",$J924=UCSel),$B924+ROW()/100000,"")</f>
        <v/>
      </c>
    </row>
    <row r="925" customFormat="false" ht="15" hidden="false" customHeight="false" outlineLevel="0" collapsed="false">
      <c r="A925" s="28"/>
      <c r="B925" s="63"/>
      <c r="C925" s="64"/>
      <c r="D925" s="28"/>
      <c r="E925" s="28"/>
      <c r="F925" s="28"/>
      <c r="G925" s="64"/>
      <c r="H925" s="64"/>
      <c r="I925" s="28"/>
      <c r="J925" s="28"/>
      <c r="K925" s="65" t="str">
        <f aca="false">IF($A925="","",IF(OR($C925="Decision",$C925="Conflict"),IF(COUNTIFS($I$2:$I$1001,$A925,$C$2:$C$1001,"Resolved")=0,"Open","Closed"),IF(AND($H925="Unconfirmed",OR($C925="New",$C925="Know")),IF(COUNTIFS($I$2:$I$1001,$A925,$C$2:$C$1001,"Confirmed")=0,"Unconfirmed","Confirmed"),"Logged")))</f>
        <v/>
      </c>
      <c r="L925" s="65" t="str">
        <f aca="false">IF($A925="","",AsOf-$B925)</f>
        <v/>
      </c>
      <c r="M925" s="65" t="str">
        <f aca="false">IF($K925="Open",IF($C925="Conflict","Critical",IF($L925&gt;=DecisionCritical,"Critical",IF($L925&gt;=DecisionWarn,"Warning","On track"))),IF($K925="Unconfirmed",IF($L925&gt;=UnconfirmedWarn,"Warning","On track"),""))</f>
        <v/>
      </c>
      <c r="N925" s="65" t="str">
        <f aca="false">IF($M925="","",IF($M925="Critical",3000,IF($M925="Warning",2000,1000))+$L925+ROW()/100000)</f>
        <v/>
      </c>
      <c r="O925" s="65" t="str">
        <f aca="false">IF($K925="Open",IF($C925="Conflict","decide "&amp;$A925&amp;": &lt;which version stands&gt;","decide "&amp;$A925&amp;": &lt;outcome&gt;"),IF($K925="Unconfirmed","confirm "&amp;$A925,""))</f>
        <v/>
      </c>
      <c r="P925" s="65" t="str">
        <f aca="false">IF(AND($C925="New",$B925&gt;=WeekStart),$B925+ROW()/100000,"")</f>
        <v/>
      </c>
      <c r="Q925" s="65" t="str">
        <f aca="false">IF(AND($C925="Know",$B925&gt;=WeekStart),$B925+ROW()/100000,"")</f>
        <v/>
      </c>
      <c r="R925" s="65" t="str">
        <f aca="false">IF(AND($K925="Open",$C925="Decision"),$L925+ROW()/100000,"")</f>
        <v/>
      </c>
      <c r="S925" s="65" t="str">
        <f aca="false">IF(AND($J925&lt;&gt;"",$J925=UCSel),$B925+ROW()/100000,"")</f>
        <v/>
      </c>
    </row>
    <row r="926" customFormat="false" ht="15" hidden="false" customHeight="false" outlineLevel="0" collapsed="false">
      <c r="A926" s="28"/>
      <c r="B926" s="63"/>
      <c r="C926" s="64"/>
      <c r="D926" s="28"/>
      <c r="E926" s="28"/>
      <c r="F926" s="28"/>
      <c r="G926" s="64"/>
      <c r="H926" s="64"/>
      <c r="I926" s="28"/>
      <c r="J926" s="28"/>
      <c r="K926" s="65" t="str">
        <f aca="false">IF($A926="","",IF(OR($C926="Decision",$C926="Conflict"),IF(COUNTIFS($I$2:$I$1001,$A926,$C$2:$C$1001,"Resolved")=0,"Open","Closed"),IF(AND($H926="Unconfirmed",OR($C926="New",$C926="Know")),IF(COUNTIFS($I$2:$I$1001,$A926,$C$2:$C$1001,"Confirmed")=0,"Unconfirmed","Confirmed"),"Logged")))</f>
        <v/>
      </c>
      <c r="L926" s="65" t="str">
        <f aca="false">IF($A926="","",AsOf-$B926)</f>
        <v/>
      </c>
      <c r="M926" s="65" t="str">
        <f aca="false">IF($K926="Open",IF($C926="Conflict","Critical",IF($L926&gt;=DecisionCritical,"Critical",IF($L926&gt;=DecisionWarn,"Warning","On track"))),IF($K926="Unconfirmed",IF($L926&gt;=UnconfirmedWarn,"Warning","On track"),""))</f>
        <v/>
      </c>
      <c r="N926" s="65" t="str">
        <f aca="false">IF($M926="","",IF($M926="Critical",3000,IF($M926="Warning",2000,1000))+$L926+ROW()/100000)</f>
        <v/>
      </c>
      <c r="O926" s="65" t="str">
        <f aca="false">IF($K926="Open",IF($C926="Conflict","decide "&amp;$A926&amp;": &lt;which version stands&gt;","decide "&amp;$A926&amp;": &lt;outcome&gt;"),IF($K926="Unconfirmed","confirm "&amp;$A926,""))</f>
        <v/>
      </c>
      <c r="P926" s="65" t="str">
        <f aca="false">IF(AND($C926="New",$B926&gt;=WeekStart),$B926+ROW()/100000,"")</f>
        <v/>
      </c>
      <c r="Q926" s="65" t="str">
        <f aca="false">IF(AND($C926="Know",$B926&gt;=WeekStart),$B926+ROW()/100000,"")</f>
        <v/>
      </c>
      <c r="R926" s="65" t="str">
        <f aca="false">IF(AND($K926="Open",$C926="Decision"),$L926+ROW()/100000,"")</f>
        <v/>
      </c>
      <c r="S926" s="65" t="str">
        <f aca="false">IF(AND($J926&lt;&gt;"",$J926=UCSel),$B926+ROW()/100000,"")</f>
        <v/>
      </c>
    </row>
    <row r="927" customFormat="false" ht="15" hidden="false" customHeight="false" outlineLevel="0" collapsed="false">
      <c r="A927" s="28"/>
      <c r="B927" s="63"/>
      <c r="C927" s="64"/>
      <c r="D927" s="28"/>
      <c r="E927" s="28"/>
      <c r="F927" s="28"/>
      <c r="G927" s="64"/>
      <c r="H927" s="64"/>
      <c r="I927" s="28"/>
      <c r="J927" s="28"/>
      <c r="K927" s="65" t="str">
        <f aca="false">IF($A927="","",IF(OR($C927="Decision",$C927="Conflict"),IF(COUNTIFS($I$2:$I$1001,$A927,$C$2:$C$1001,"Resolved")=0,"Open","Closed"),IF(AND($H927="Unconfirmed",OR($C927="New",$C927="Know")),IF(COUNTIFS($I$2:$I$1001,$A927,$C$2:$C$1001,"Confirmed")=0,"Unconfirmed","Confirmed"),"Logged")))</f>
        <v/>
      </c>
      <c r="L927" s="65" t="str">
        <f aca="false">IF($A927="","",AsOf-$B927)</f>
        <v/>
      </c>
      <c r="M927" s="65" t="str">
        <f aca="false">IF($K927="Open",IF($C927="Conflict","Critical",IF($L927&gt;=DecisionCritical,"Critical",IF($L927&gt;=DecisionWarn,"Warning","On track"))),IF($K927="Unconfirmed",IF($L927&gt;=UnconfirmedWarn,"Warning","On track"),""))</f>
        <v/>
      </c>
      <c r="N927" s="65" t="str">
        <f aca="false">IF($M927="","",IF($M927="Critical",3000,IF($M927="Warning",2000,1000))+$L927+ROW()/100000)</f>
        <v/>
      </c>
      <c r="O927" s="65" t="str">
        <f aca="false">IF($K927="Open",IF($C927="Conflict","decide "&amp;$A927&amp;": &lt;which version stands&gt;","decide "&amp;$A927&amp;": &lt;outcome&gt;"),IF($K927="Unconfirmed","confirm "&amp;$A927,""))</f>
        <v/>
      </c>
      <c r="P927" s="65" t="str">
        <f aca="false">IF(AND($C927="New",$B927&gt;=WeekStart),$B927+ROW()/100000,"")</f>
        <v/>
      </c>
      <c r="Q927" s="65" t="str">
        <f aca="false">IF(AND($C927="Know",$B927&gt;=WeekStart),$B927+ROW()/100000,"")</f>
        <v/>
      </c>
      <c r="R927" s="65" t="str">
        <f aca="false">IF(AND($K927="Open",$C927="Decision"),$L927+ROW()/100000,"")</f>
        <v/>
      </c>
      <c r="S927" s="65" t="str">
        <f aca="false">IF(AND($J927&lt;&gt;"",$J927=UCSel),$B927+ROW()/100000,"")</f>
        <v/>
      </c>
    </row>
    <row r="928" customFormat="false" ht="15" hidden="false" customHeight="false" outlineLevel="0" collapsed="false">
      <c r="A928" s="28"/>
      <c r="B928" s="63"/>
      <c r="C928" s="64"/>
      <c r="D928" s="28"/>
      <c r="E928" s="28"/>
      <c r="F928" s="28"/>
      <c r="G928" s="64"/>
      <c r="H928" s="64"/>
      <c r="I928" s="28"/>
      <c r="J928" s="28"/>
      <c r="K928" s="65" t="str">
        <f aca="false">IF($A928="","",IF(OR($C928="Decision",$C928="Conflict"),IF(COUNTIFS($I$2:$I$1001,$A928,$C$2:$C$1001,"Resolved")=0,"Open","Closed"),IF(AND($H928="Unconfirmed",OR($C928="New",$C928="Know")),IF(COUNTIFS($I$2:$I$1001,$A928,$C$2:$C$1001,"Confirmed")=0,"Unconfirmed","Confirmed"),"Logged")))</f>
        <v/>
      </c>
      <c r="L928" s="65" t="str">
        <f aca="false">IF($A928="","",AsOf-$B928)</f>
        <v/>
      </c>
      <c r="M928" s="65" t="str">
        <f aca="false">IF($K928="Open",IF($C928="Conflict","Critical",IF($L928&gt;=DecisionCritical,"Critical",IF($L928&gt;=DecisionWarn,"Warning","On track"))),IF($K928="Unconfirmed",IF($L928&gt;=UnconfirmedWarn,"Warning","On track"),""))</f>
        <v/>
      </c>
      <c r="N928" s="65" t="str">
        <f aca="false">IF($M928="","",IF($M928="Critical",3000,IF($M928="Warning",2000,1000))+$L928+ROW()/100000)</f>
        <v/>
      </c>
      <c r="O928" s="65" t="str">
        <f aca="false">IF($K928="Open",IF($C928="Conflict","decide "&amp;$A928&amp;": &lt;which version stands&gt;","decide "&amp;$A928&amp;": &lt;outcome&gt;"),IF($K928="Unconfirmed","confirm "&amp;$A928,""))</f>
        <v/>
      </c>
      <c r="P928" s="65" t="str">
        <f aca="false">IF(AND($C928="New",$B928&gt;=WeekStart),$B928+ROW()/100000,"")</f>
        <v/>
      </c>
      <c r="Q928" s="65" t="str">
        <f aca="false">IF(AND($C928="Know",$B928&gt;=WeekStart),$B928+ROW()/100000,"")</f>
        <v/>
      </c>
      <c r="R928" s="65" t="str">
        <f aca="false">IF(AND($K928="Open",$C928="Decision"),$L928+ROW()/100000,"")</f>
        <v/>
      </c>
      <c r="S928" s="65" t="str">
        <f aca="false">IF(AND($J928&lt;&gt;"",$J928=UCSel),$B928+ROW()/100000,"")</f>
        <v/>
      </c>
    </row>
    <row r="929" customFormat="false" ht="15" hidden="false" customHeight="false" outlineLevel="0" collapsed="false">
      <c r="A929" s="28"/>
      <c r="B929" s="63"/>
      <c r="C929" s="64"/>
      <c r="D929" s="28"/>
      <c r="E929" s="28"/>
      <c r="F929" s="28"/>
      <c r="G929" s="64"/>
      <c r="H929" s="64"/>
      <c r="I929" s="28"/>
      <c r="J929" s="28"/>
      <c r="K929" s="65" t="str">
        <f aca="false">IF($A929="","",IF(OR($C929="Decision",$C929="Conflict"),IF(COUNTIFS($I$2:$I$1001,$A929,$C$2:$C$1001,"Resolved")=0,"Open","Closed"),IF(AND($H929="Unconfirmed",OR($C929="New",$C929="Know")),IF(COUNTIFS($I$2:$I$1001,$A929,$C$2:$C$1001,"Confirmed")=0,"Unconfirmed","Confirmed"),"Logged")))</f>
        <v/>
      </c>
      <c r="L929" s="65" t="str">
        <f aca="false">IF($A929="","",AsOf-$B929)</f>
        <v/>
      </c>
      <c r="M929" s="65" t="str">
        <f aca="false">IF($K929="Open",IF($C929="Conflict","Critical",IF($L929&gt;=DecisionCritical,"Critical",IF($L929&gt;=DecisionWarn,"Warning","On track"))),IF($K929="Unconfirmed",IF($L929&gt;=UnconfirmedWarn,"Warning","On track"),""))</f>
        <v/>
      </c>
      <c r="N929" s="65" t="str">
        <f aca="false">IF($M929="","",IF($M929="Critical",3000,IF($M929="Warning",2000,1000))+$L929+ROW()/100000)</f>
        <v/>
      </c>
      <c r="O929" s="65" t="str">
        <f aca="false">IF($K929="Open",IF($C929="Conflict","decide "&amp;$A929&amp;": &lt;which version stands&gt;","decide "&amp;$A929&amp;": &lt;outcome&gt;"),IF($K929="Unconfirmed","confirm "&amp;$A929,""))</f>
        <v/>
      </c>
      <c r="P929" s="65" t="str">
        <f aca="false">IF(AND($C929="New",$B929&gt;=WeekStart),$B929+ROW()/100000,"")</f>
        <v/>
      </c>
      <c r="Q929" s="65" t="str">
        <f aca="false">IF(AND($C929="Know",$B929&gt;=WeekStart),$B929+ROW()/100000,"")</f>
        <v/>
      </c>
      <c r="R929" s="65" t="str">
        <f aca="false">IF(AND($K929="Open",$C929="Decision"),$L929+ROW()/100000,"")</f>
        <v/>
      </c>
      <c r="S929" s="65" t="str">
        <f aca="false">IF(AND($J929&lt;&gt;"",$J929=UCSel),$B929+ROW()/100000,"")</f>
        <v/>
      </c>
    </row>
    <row r="930" customFormat="false" ht="15" hidden="false" customHeight="false" outlineLevel="0" collapsed="false">
      <c r="A930" s="28"/>
      <c r="B930" s="63"/>
      <c r="C930" s="64"/>
      <c r="D930" s="28"/>
      <c r="E930" s="28"/>
      <c r="F930" s="28"/>
      <c r="G930" s="64"/>
      <c r="H930" s="64"/>
      <c r="I930" s="28"/>
      <c r="J930" s="28"/>
      <c r="K930" s="65" t="str">
        <f aca="false">IF($A930="","",IF(OR($C930="Decision",$C930="Conflict"),IF(COUNTIFS($I$2:$I$1001,$A930,$C$2:$C$1001,"Resolved")=0,"Open","Closed"),IF(AND($H930="Unconfirmed",OR($C930="New",$C930="Know")),IF(COUNTIFS($I$2:$I$1001,$A930,$C$2:$C$1001,"Confirmed")=0,"Unconfirmed","Confirmed"),"Logged")))</f>
        <v/>
      </c>
      <c r="L930" s="65" t="str">
        <f aca="false">IF($A930="","",AsOf-$B930)</f>
        <v/>
      </c>
      <c r="M930" s="65" t="str">
        <f aca="false">IF($K930="Open",IF($C930="Conflict","Critical",IF($L930&gt;=DecisionCritical,"Critical",IF($L930&gt;=DecisionWarn,"Warning","On track"))),IF($K930="Unconfirmed",IF($L930&gt;=UnconfirmedWarn,"Warning","On track"),""))</f>
        <v/>
      </c>
      <c r="N930" s="65" t="str">
        <f aca="false">IF($M930="","",IF($M930="Critical",3000,IF($M930="Warning",2000,1000))+$L930+ROW()/100000)</f>
        <v/>
      </c>
      <c r="O930" s="65" t="str">
        <f aca="false">IF($K930="Open",IF($C930="Conflict","decide "&amp;$A930&amp;": &lt;which version stands&gt;","decide "&amp;$A930&amp;": &lt;outcome&gt;"),IF($K930="Unconfirmed","confirm "&amp;$A930,""))</f>
        <v/>
      </c>
      <c r="P930" s="65" t="str">
        <f aca="false">IF(AND($C930="New",$B930&gt;=WeekStart),$B930+ROW()/100000,"")</f>
        <v/>
      </c>
      <c r="Q930" s="65" t="str">
        <f aca="false">IF(AND($C930="Know",$B930&gt;=WeekStart),$B930+ROW()/100000,"")</f>
        <v/>
      </c>
      <c r="R930" s="65" t="str">
        <f aca="false">IF(AND($K930="Open",$C930="Decision"),$L930+ROW()/100000,"")</f>
        <v/>
      </c>
      <c r="S930" s="65" t="str">
        <f aca="false">IF(AND($J930&lt;&gt;"",$J930=UCSel),$B930+ROW()/100000,"")</f>
        <v/>
      </c>
    </row>
    <row r="931" customFormat="false" ht="15" hidden="false" customHeight="false" outlineLevel="0" collapsed="false">
      <c r="A931" s="28"/>
      <c r="B931" s="63"/>
      <c r="C931" s="64"/>
      <c r="D931" s="28"/>
      <c r="E931" s="28"/>
      <c r="F931" s="28"/>
      <c r="G931" s="64"/>
      <c r="H931" s="64"/>
      <c r="I931" s="28"/>
      <c r="J931" s="28"/>
      <c r="K931" s="65" t="str">
        <f aca="false">IF($A931="","",IF(OR($C931="Decision",$C931="Conflict"),IF(COUNTIFS($I$2:$I$1001,$A931,$C$2:$C$1001,"Resolved")=0,"Open","Closed"),IF(AND($H931="Unconfirmed",OR($C931="New",$C931="Know")),IF(COUNTIFS($I$2:$I$1001,$A931,$C$2:$C$1001,"Confirmed")=0,"Unconfirmed","Confirmed"),"Logged")))</f>
        <v/>
      </c>
      <c r="L931" s="65" t="str">
        <f aca="false">IF($A931="","",AsOf-$B931)</f>
        <v/>
      </c>
      <c r="M931" s="65" t="str">
        <f aca="false">IF($K931="Open",IF($C931="Conflict","Critical",IF($L931&gt;=DecisionCritical,"Critical",IF($L931&gt;=DecisionWarn,"Warning","On track"))),IF($K931="Unconfirmed",IF($L931&gt;=UnconfirmedWarn,"Warning","On track"),""))</f>
        <v/>
      </c>
      <c r="N931" s="65" t="str">
        <f aca="false">IF($M931="","",IF($M931="Critical",3000,IF($M931="Warning",2000,1000))+$L931+ROW()/100000)</f>
        <v/>
      </c>
      <c r="O931" s="65" t="str">
        <f aca="false">IF($K931="Open",IF($C931="Conflict","decide "&amp;$A931&amp;": &lt;which version stands&gt;","decide "&amp;$A931&amp;": &lt;outcome&gt;"),IF($K931="Unconfirmed","confirm "&amp;$A931,""))</f>
        <v/>
      </c>
      <c r="P931" s="65" t="str">
        <f aca="false">IF(AND($C931="New",$B931&gt;=WeekStart),$B931+ROW()/100000,"")</f>
        <v/>
      </c>
      <c r="Q931" s="65" t="str">
        <f aca="false">IF(AND($C931="Know",$B931&gt;=WeekStart),$B931+ROW()/100000,"")</f>
        <v/>
      </c>
      <c r="R931" s="65" t="str">
        <f aca="false">IF(AND($K931="Open",$C931="Decision"),$L931+ROW()/100000,"")</f>
        <v/>
      </c>
      <c r="S931" s="65" t="str">
        <f aca="false">IF(AND($J931&lt;&gt;"",$J931=UCSel),$B931+ROW()/100000,"")</f>
        <v/>
      </c>
    </row>
    <row r="932" customFormat="false" ht="15" hidden="false" customHeight="false" outlineLevel="0" collapsed="false">
      <c r="A932" s="28"/>
      <c r="B932" s="63"/>
      <c r="C932" s="64"/>
      <c r="D932" s="28"/>
      <c r="E932" s="28"/>
      <c r="F932" s="28"/>
      <c r="G932" s="64"/>
      <c r="H932" s="64"/>
      <c r="I932" s="28"/>
      <c r="J932" s="28"/>
      <c r="K932" s="65" t="str">
        <f aca="false">IF($A932="","",IF(OR($C932="Decision",$C932="Conflict"),IF(COUNTIFS($I$2:$I$1001,$A932,$C$2:$C$1001,"Resolved")=0,"Open","Closed"),IF(AND($H932="Unconfirmed",OR($C932="New",$C932="Know")),IF(COUNTIFS($I$2:$I$1001,$A932,$C$2:$C$1001,"Confirmed")=0,"Unconfirmed","Confirmed"),"Logged")))</f>
        <v/>
      </c>
      <c r="L932" s="65" t="str">
        <f aca="false">IF($A932="","",AsOf-$B932)</f>
        <v/>
      </c>
      <c r="M932" s="65" t="str">
        <f aca="false">IF($K932="Open",IF($C932="Conflict","Critical",IF($L932&gt;=DecisionCritical,"Critical",IF($L932&gt;=DecisionWarn,"Warning","On track"))),IF($K932="Unconfirmed",IF($L932&gt;=UnconfirmedWarn,"Warning","On track"),""))</f>
        <v/>
      </c>
      <c r="N932" s="65" t="str">
        <f aca="false">IF($M932="","",IF($M932="Critical",3000,IF($M932="Warning",2000,1000))+$L932+ROW()/100000)</f>
        <v/>
      </c>
      <c r="O932" s="65" t="str">
        <f aca="false">IF($K932="Open",IF($C932="Conflict","decide "&amp;$A932&amp;": &lt;which version stands&gt;","decide "&amp;$A932&amp;": &lt;outcome&gt;"),IF($K932="Unconfirmed","confirm "&amp;$A932,""))</f>
        <v/>
      </c>
      <c r="P932" s="65" t="str">
        <f aca="false">IF(AND($C932="New",$B932&gt;=WeekStart),$B932+ROW()/100000,"")</f>
        <v/>
      </c>
      <c r="Q932" s="65" t="str">
        <f aca="false">IF(AND($C932="Know",$B932&gt;=WeekStart),$B932+ROW()/100000,"")</f>
        <v/>
      </c>
      <c r="R932" s="65" t="str">
        <f aca="false">IF(AND($K932="Open",$C932="Decision"),$L932+ROW()/100000,"")</f>
        <v/>
      </c>
      <c r="S932" s="65" t="str">
        <f aca="false">IF(AND($J932&lt;&gt;"",$J932=UCSel),$B932+ROW()/100000,"")</f>
        <v/>
      </c>
    </row>
    <row r="933" customFormat="false" ht="15" hidden="false" customHeight="false" outlineLevel="0" collapsed="false">
      <c r="A933" s="28"/>
      <c r="B933" s="63"/>
      <c r="C933" s="64"/>
      <c r="D933" s="28"/>
      <c r="E933" s="28"/>
      <c r="F933" s="28"/>
      <c r="G933" s="64"/>
      <c r="H933" s="64"/>
      <c r="I933" s="28"/>
      <c r="J933" s="28"/>
      <c r="K933" s="65" t="str">
        <f aca="false">IF($A933="","",IF(OR($C933="Decision",$C933="Conflict"),IF(COUNTIFS($I$2:$I$1001,$A933,$C$2:$C$1001,"Resolved")=0,"Open","Closed"),IF(AND($H933="Unconfirmed",OR($C933="New",$C933="Know")),IF(COUNTIFS($I$2:$I$1001,$A933,$C$2:$C$1001,"Confirmed")=0,"Unconfirmed","Confirmed"),"Logged")))</f>
        <v/>
      </c>
      <c r="L933" s="65" t="str">
        <f aca="false">IF($A933="","",AsOf-$B933)</f>
        <v/>
      </c>
      <c r="M933" s="65" t="str">
        <f aca="false">IF($K933="Open",IF($C933="Conflict","Critical",IF($L933&gt;=DecisionCritical,"Critical",IF($L933&gt;=DecisionWarn,"Warning","On track"))),IF($K933="Unconfirmed",IF($L933&gt;=UnconfirmedWarn,"Warning","On track"),""))</f>
        <v/>
      </c>
      <c r="N933" s="65" t="str">
        <f aca="false">IF($M933="","",IF($M933="Critical",3000,IF($M933="Warning",2000,1000))+$L933+ROW()/100000)</f>
        <v/>
      </c>
      <c r="O933" s="65" t="str">
        <f aca="false">IF($K933="Open",IF($C933="Conflict","decide "&amp;$A933&amp;": &lt;which version stands&gt;","decide "&amp;$A933&amp;": &lt;outcome&gt;"),IF($K933="Unconfirmed","confirm "&amp;$A933,""))</f>
        <v/>
      </c>
      <c r="P933" s="65" t="str">
        <f aca="false">IF(AND($C933="New",$B933&gt;=WeekStart),$B933+ROW()/100000,"")</f>
        <v/>
      </c>
      <c r="Q933" s="65" t="str">
        <f aca="false">IF(AND($C933="Know",$B933&gt;=WeekStart),$B933+ROW()/100000,"")</f>
        <v/>
      </c>
      <c r="R933" s="65" t="str">
        <f aca="false">IF(AND($K933="Open",$C933="Decision"),$L933+ROW()/100000,"")</f>
        <v/>
      </c>
      <c r="S933" s="65" t="str">
        <f aca="false">IF(AND($J933&lt;&gt;"",$J933=UCSel),$B933+ROW()/100000,"")</f>
        <v/>
      </c>
    </row>
    <row r="934" customFormat="false" ht="15" hidden="false" customHeight="false" outlineLevel="0" collapsed="false">
      <c r="A934" s="28"/>
      <c r="B934" s="63"/>
      <c r="C934" s="64"/>
      <c r="D934" s="28"/>
      <c r="E934" s="28"/>
      <c r="F934" s="28"/>
      <c r="G934" s="64"/>
      <c r="H934" s="64"/>
      <c r="I934" s="28"/>
      <c r="J934" s="28"/>
      <c r="K934" s="65" t="str">
        <f aca="false">IF($A934="","",IF(OR($C934="Decision",$C934="Conflict"),IF(COUNTIFS($I$2:$I$1001,$A934,$C$2:$C$1001,"Resolved")=0,"Open","Closed"),IF(AND($H934="Unconfirmed",OR($C934="New",$C934="Know")),IF(COUNTIFS($I$2:$I$1001,$A934,$C$2:$C$1001,"Confirmed")=0,"Unconfirmed","Confirmed"),"Logged")))</f>
        <v/>
      </c>
      <c r="L934" s="65" t="str">
        <f aca="false">IF($A934="","",AsOf-$B934)</f>
        <v/>
      </c>
      <c r="M934" s="65" t="str">
        <f aca="false">IF($K934="Open",IF($C934="Conflict","Critical",IF($L934&gt;=DecisionCritical,"Critical",IF($L934&gt;=DecisionWarn,"Warning","On track"))),IF($K934="Unconfirmed",IF($L934&gt;=UnconfirmedWarn,"Warning","On track"),""))</f>
        <v/>
      </c>
      <c r="N934" s="65" t="str">
        <f aca="false">IF($M934="","",IF($M934="Critical",3000,IF($M934="Warning",2000,1000))+$L934+ROW()/100000)</f>
        <v/>
      </c>
      <c r="O934" s="65" t="str">
        <f aca="false">IF($K934="Open",IF($C934="Conflict","decide "&amp;$A934&amp;": &lt;which version stands&gt;","decide "&amp;$A934&amp;": &lt;outcome&gt;"),IF($K934="Unconfirmed","confirm "&amp;$A934,""))</f>
        <v/>
      </c>
      <c r="P934" s="65" t="str">
        <f aca="false">IF(AND($C934="New",$B934&gt;=WeekStart),$B934+ROW()/100000,"")</f>
        <v/>
      </c>
      <c r="Q934" s="65" t="str">
        <f aca="false">IF(AND($C934="Know",$B934&gt;=WeekStart),$B934+ROW()/100000,"")</f>
        <v/>
      </c>
      <c r="R934" s="65" t="str">
        <f aca="false">IF(AND($K934="Open",$C934="Decision"),$L934+ROW()/100000,"")</f>
        <v/>
      </c>
      <c r="S934" s="65" t="str">
        <f aca="false">IF(AND($J934&lt;&gt;"",$J934=UCSel),$B934+ROW()/100000,"")</f>
        <v/>
      </c>
    </row>
    <row r="935" customFormat="false" ht="15" hidden="false" customHeight="false" outlineLevel="0" collapsed="false">
      <c r="A935" s="28"/>
      <c r="B935" s="63"/>
      <c r="C935" s="64"/>
      <c r="D935" s="28"/>
      <c r="E935" s="28"/>
      <c r="F935" s="28"/>
      <c r="G935" s="64"/>
      <c r="H935" s="64"/>
      <c r="I935" s="28"/>
      <c r="J935" s="28"/>
      <c r="K935" s="65" t="str">
        <f aca="false">IF($A935="","",IF(OR($C935="Decision",$C935="Conflict"),IF(COUNTIFS($I$2:$I$1001,$A935,$C$2:$C$1001,"Resolved")=0,"Open","Closed"),IF(AND($H935="Unconfirmed",OR($C935="New",$C935="Know")),IF(COUNTIFS($I$2:$I$1001,$A935,$C$2:$C$1001,"Confirmed")=0,"Unconfirmed","Confirmed"),"Logged")))</f>
        <v/>
      </c>
      <c r="L935" s="65" t="str">
        <f aca="false">IF($A935="","",AsOf-$B935)</f>
        <v/>
      </c>
      <c r="M935" s="65" t="str">
        <f aca="false">IF($K935="Open",IF($C935="Conflict","Critical",IF($L935&gt;=DecisionCritical,"Critical",IF($L935&gt;=DecisionWarn,"Warning","On track"))),IF($K935="Unconfirmed",IF($L935&gt;=UnconfirmedWarn,"Warning","On track"),""))</f>
        <v/>
      </c>
      <c r="N935" s="65" t="str">
        <f aca="false">IF($M935="","",IF($M935="Critical",3000,IF($M935="Warning",2000,1000))+$L935+ROW()/100000)</f>
        <v/>
      </c>
      <c r="O935" s="65" t="str">
        <f aca="false">IF($K935="Open",IF($C935="Conflict","decide "&amp;$A935&amp;": &lt;which version stands&gt;","decide "&amp;$A935&amp;": &lt;outcome&gt;"),IF($K935="Unconfirmed","confirm "&amp;$A935,""))</f>
        <v/>
      </c>
      <c r="P935" s="65" t="str">
        <f aca="false">IF(AND($C935="New",$B935&gt;=WeekStart),$B935+ROW()/100000,"")</f>
        <v/>
      </c>
      <c r="Q935" s="65" t="str">
        <f aca="false">IF(AND($C935="Know",$B935&gt;=WeekStart),$B935+ROW()/100000,"")</f>
        <v/>
      </c>
      <c r="R935" s="65" t="str">
        <f aca="false">IF(AND($K935="Open",$C935="Decision"),$L935+ROW()/100000,"")</f>
        <v/>
      </c>
      <c r="S935" s="65" t="str">
        <f aca="false">IF(AND($J935&lt;&gt;"",$J935=UCSel),$B935+ROW()/100000,"")</f>
        <v/>
      </c>
    </row>
    <row r="936" customFormat="false" ht="15" hidden="false" customHeight="false" outlineLevel="0" collapsed="false">
      <c r="A936" s="28"/>
      <c r="B936" s="63"/>
      <c r="C936" s="64"/>
      <c r="D936" s="28"/>
      <c r="E936" s="28"/>
      <c r="F936" s="28"/>
      <c r="G936" s="64"/>
      <c r="H936" s="64"/>
      <c r="I936" s="28"/>
      <c r="J936" s="28"/>
      <c r="K936" s="65" t="str">
        <f aca="false">IF($A936="","",IF(OR($C936="Decision",$C936="Conflict"),IF(COUNTIFS($I$2:$I$1001,$A936,$C$2:$C$1001,"Resolved")=0,"Open","Closed"),IF(AND($H936="Unconfirmed",OR($C936="New",$C936="Know")),IF(COUNTIFS($I$2:$I$1001,$A936,$C$2:$C$1001,"Confirmed")=0,"Unconfirmed","Confirmed"),"Logged")))</f>
        <v/>
      </c>
      <c r="L936" s="65" t="str">
        <f aca="false">IF($A936="","",AsOf-$B936)</f>
        <v/>
      </c>
      <c r="M936" s="65" t="str">
        <f aca="false">IF($K936="Open",IF($C936="Conflict","Critical",IF($L936&gt;=DecisionCritical,"Critical",IF($L936&gt;=DecisionWarn,"Warning","On track"))),IF($K936="Unconfirmed",IF($L936&gt;=UnconfirmedWarn,"Warning","On track"),""))</f>
        <v/>
      </c>
      <c r="N936" s="65" t="str">
        <f aca="false">IF($M936="","",IF($M936="Critical",3000,IF($M936="Warning",2000,1000))+$L936+ROW()/100000)</f>
        <v/>
      </c>
      <c r="O936" s="65" t="str">
        <f aca="false">IF($K936="Open",IF($C936="Conflict","decide "&amp;$A936&amp;": &lt;which version stands&gt;","decide "&amp;$A936&amp;": &lt;outcome&gt;"),IF($K936="Unconfirmed","confirm "&amp;$A936,""))</f>
        <v/>
      </c>
      <c r="P936" s="65" t="str">
        <f aca="false">IF(AND($C936="New",$B936&gt;=WeekStart),$B936+ROW()/100000,"")</f>
        <v/>
      </c>
      <c r="Q936" s="65" t="str">
        <f aca="false">IF(AND($C936="Know",$B936&gt;=WeekStart),$B936+ROW()/100000,"")</f>
        <v/>
      </c>
      <c r="R936" s="65" t="str">
        <f aca="false">IF(AND($K936="Open",$C936="Decision"),$L936+ROW()/100000,"")</f>
        <v/>
      </c>
      <c r="S936" s="65" t="str">
        <f aca="false">IF(AND($J936&lt;&gt;"",$J936=UCSel),$B936+ROW()/100000,"")</f>
        <v/>
      </c>
    </row>
    <row r="937" customFormat="false" ht="15" hidden="false" customHeight="false" outlineLevel="0" collapsed="false">
      <c r="A937" s="28"/>
      <c r="B937" s="63"/>
      <c r="C937" s="64"/>
      <c r="D937" s="28"/>
      <c r="E937" s="28"/>
      <c r="F937" s="28"/>
      <c r="G937" s="64"/>
      <c r="H937" s="64"/>
      <c r="I937" s="28"/>
      <c r="J937" s="28"/>
      <c r="K937" s="65" t="str">
        <f aca="false">IF($A937="","",IF(OR($C937="Decision",$C937="Conflict"),IF(COUNTIFS($I$2:$I$1001,$A937,$C$2:$C$1001,"Resolved")=0,"Open","Closed"),IF(AND($H937="Unconfirmed",OR($C937="New",$C937="Know")),IF(COUNTIFS($I$2:$I$1001,$A937,$C$2:$C$1001,"Confirmed")=0,"Unconfirmed","Confirmed"),"Logged")))</f>
        <v/>
      </c>
      <c r="L937" s="65" t="str">
        <f aca="false">IF($A937="","",AsOf-$B937)</f>
        <v/>
      </c>
      <c r="M937" s="65" t="str">
        <f aca="false">IF($K937="Open",IF($C937="Conflict","Critical",IF($L937&gt;=DecisionCritical,"Critical",IF($L937&gt;=DecisionWarn,"Warning","On track"))),IF($K937="Unconfirmed",IF($L937&gt;=UnconfirmedWarn,"Warning","On track"),""))</f>
        <v/>
      </c>
      <c r="N937" s="65" t="str">
        <f aca="false">IF($M937="","",IF($M937="Critical",3000,IF($M937="Warning",2000,1000))+$L937+ROW()/100000)</f>
        <v/>
      </c>
      <c r="O937" s="65" t="str">
        <f aca="false">IF($K937="Open",IF($C937="Conflict","decide "&amp;$A937&amp;": &lt;which version stands&gt;","decide "&amp;$A937&amp;": &lt;outcome&gt;"),IF($K937="Unconfirmed","confirm "&amp;$A937,""))</f>
        <v/>
      </c>
      <c r="P937" s="65" t="str">
        <f aca="false">IF(AND($C937="New",$B937&gt;=WeekStart),$B937+ROW()/100000,"")</f>
        <v/>
      </c>
      <c r="Q937" s="65" t="str">
        <f aca="false">IF(AND($C937="Know",$B937&gt;=WeekStart),$B937+ROW()/100000,"")</f>
        <v/>
      </c>
      <c r="R937" s="65" t="str">
        <f aca="false">IF(AND($K937="Open",$C937="Decision"),$L937+ROW()/100000,"")</f>
        <v/>
      </c>
      <c r="S937" s="65" t="str">
        <f aca="false">IF(AND($J937&lt;&gt;"",$J937=UCSel),$B937+ROW()/100000,"")</f>
        <v/>
      </c>
    </row>
    <row r="938" customFormat="false" ht="15" hidden="false" customHeight="false" outlineLevel="0" collapsed="false">
      <c r="A938" s="28"/>
      <c r="B938" s="63"/>
      <c r="C938" s="64"/>
      <c r="D938" s="28"/>
      <c r="E938" s="28"/>
      <c r="F938" s="28"/>
      <c r="G938" s="64"/>
      <c r="H938" s="64"/>
      <c r="I938" s="28"/>
      <c r="J938" s="28"/>
      <c r="K938" s="65" t="str">
        <f aca="false">IF($A938="","",IF(OR($C938="Decision",$C938="Conflict"),IF(COUNTIFS($I$2:$I$1001,$A938,$C$2:$C$1001,"Resolved")=0,"Open","Closed"),IF(AND($H938="Unconfirmed",OR($C938="New",$C938="Know")),IF(COUNTIFS($I$2:$I$1001,$A938,$C$2:$C$1001,"Confirmed")=0,"Unconfirmed","Confirmed"),"Logged")))</f>
        <v/>
      </c>
      <c r="L938" s="65" t="str">
        <f aca="false">IF($A938="","",AsOf-$B938)</f>
        <v/>
      </c>
      <c r="M938" s="65" t="str">
        <f aca="false">IF($K938="Open",IF($C938="Conflict","Critical",IF($L938&gt;=DecisionCritical,"Critical",IF($L938&gt;=DecisionWarn,"Warning","On track"))),IF($K938="Unconfirmed",IF($L938&gt;=UnconfirmedWarn,"Warning","On track"),""))</f>
        <v/>
      </c>
      <c r="N938" s="65" t="str">
        <f aca="false">IF($M938="","",IF($M938="Critical",3000,IF($M938="Warning",2000,1000))+$L938+ROW()/100000)</f>
        <v/>
      </c>
      <c r="O938" s="65" t="str">
        <f aca="false">IF($K938="Open",IF($C938="Conflict","decide "&amp;$A938&amp;": &lt;which version stands&gt;","decide "&amp;$A938&amp;": &lt;outcome&gt;"),IF($K938="Unconfirmed","confirm "&amp;$A938,""))</f>
        <v/>
      </c>
      <c r="P938" s="65" t="str">
        <f aca="false">IF(AND($C938="New",$B938&gt;=WeekStart),$B938+ROW()/100000,"")</f>
        <v/>
      </c>
      <c r="Q938" s="65" t="str">
        <f aca="false">IF(AND($C938="Know",$B938&gt;=WeekStart),$B938+ROW()/100000,"")</f>
        <v/>
      </c>
      <c r="R938" s="65" t="str">
        <f aca="false">IF(AND($K938="Open",$C938="Decision"),$L938+ROW()/100000,"")</f>
        <v/>
      </c>
      <c r="S938" s="65" t="str">
        <f aca="false">IF(AND($J938&lt;&gt;"",$J938=UCSel),$B938+ROW()/100000,"")</f>
        <v/>
      </c>
    </row>
    <row r="939" customFormat="false" ht="15" hidden="false" customHeight="false" outlineLevel="0" collapsed="false">
      <c r="A939" s="28"/>
      <c r="B939" s="63"/>
      <c r="C939" s="64"/>
      <c r="D939" s="28"/>
      <c r="E939" s="28"/>
      <c r="F939" s="28"/>
      <c r="G939" s="64"/>
      <c r="H939" s="64"/>
      <c r="I939" s="28"/>
      <c r="J939" s="28"/>
      <c r="K939" s="65" t="str">
        <f aca="false">IF($A939="","",IF(OR($C939="Decision",$C939="Conflict"),IF(COUNTIFS($I$2:$I$1001,$A939,$C$2:$C$1001,"Resolved")=0,"Open","Closed"),IF(AND($H939="Unconfirmed",OR($C939="New",$C939="Know")),IF(COUNTIFS($I$2:$I$1001,$A939,$C$2:$C$1001,"Confirmed")=0,"Unconfirmed","Confirmed"),"Logged")))</f>
        <v/>
      </c>
      <c r="L939" s="65" t="str">
        <f aca="false">IF($A939="","",AsOf-$B939)</f>
        <v/>
      </c>
      <c r="M939" s="65" t="str">
        <f aca="false">IF($K939="Open",IF($C939="Conflict","Critical",IF($L939&gt;=DecisionCritical,"Critical",IF($L939&gt;=DecisionWarn,"Warning","On track"))),IF($K939="Unconfirmed",IF($L939&gt;=UnconfirmedWarn,"Warning","On track"),""))</f>
        <v/>
      </c>
      <c r="N939" s="65" t="str">
        <f aca="false">IF($M939="","",IF($M939="Critical",3000,IF($M939="Warning",2000,1000))+$L939+ROW()/100000)</f>
        <v/>
      </c>
      <c r="O939" s="65" t="str">
        <f aca="false">IF($K939="Open",IF($C939="Conflict","decide "&amp;$A939&amp;": &lt;which version stands&gt;","decide "&amp;$A939&amp;": &lt;outcome&gt;"),IF($K939="Unconfirmed","confirm "&amp;$A939,""))</f>
        <v/>
      </c>
      <c r="P939" s="65" t="str">
        <f aca="false">IF(AND($C939="New",$B939&gt;=WeekStart),$B939+ROW()/100000,"")</f>
        <v/>
      </c>
      <c r="Q939" s="65" t="str">
        <f aca="false">IF(AND($C939="Know",$B939&gt;=WeekStart),$B939+ROW()/100000,"")</f>
        <v/>
      </c>
      <c r="R939" s="65" t="str">
        <f aca="false">IF(AND($K939="Open",$C939="Decision"),$L939+ROW()/100000,"")</f>
        <v/>
      </c>
      <c r="S939" s="65" t="str">
        <f aca="false">IF(AND($J939&lt;&gt;"",$J939=UCSel),$B939+ROW()/100000,"")</f>
        <v/>
      </c>
    </row>
    <row r="940" customFormat="false" ht="15" hidden="false" customHeight="false" outlineLevel="0" collapsed="false">
      <c r="A940" s="28"/>
      <c r="B940" s="63"/>
      <c r="C940" s="64"/>
      <c r="D940" s="28"/>
      <c r="E940" s="28"/>
      <c r="F940" s="28"/>
      <c r="G940" s="64"/>
      <c r="H940" s="64"/>
      <c r="I940" s="28"/>
      <c r="J940" s="28"/>
      <c r="K940" s="65" t="str">
        <f aca="false">IF($A940="","",IF(OR($C940="Decision",$C940="Conflict"),IF(COUNTIFS($I$2:$I$1001,$A940,$C$2:$C$1001,"Resolved")=0,"Open","Closed"),IF(AND($H940="Unconfirmed",OR($C940="New",$C940="Know")),IF(COUNTIFS($I$2:$I$1001,$A940,$C$2:$C$1001,"Confirmed")=0,"Unconfirmed","Confirmed"),"Logged")))</f>
        <v/>
      </c>
      <c r="L940" s="65" t="str">
        <f aca="false">IF($A940="","",AsOf-$B940)</f>
        <v/>
      </c>
      <c r="M940" s="65" t="str">
        <f aca="false">IF($K940="Open",IF($C940="Conflict","Critical",IF($L940&gt;=DecisionCritical,"Critical",IF($L940&gt;=DecisionWarn,"Warning","On track"))),IF($K940="Unconfirmed",IF($L940&gt;=UnconfirmedWarn,"Warning","On track"),""))</f>
        <v/>
      </c>
      <c r="N940" s="65" t="str">
        <f aca="false">IF($M940="","",IF($M940="Critical",3000,IF($M940="Warning",2000,1000))+$L940+ROW()/100000)</f>
        <v/>
      </c>
      <c r="O940" s="65" t="str">
        <f aca="false">IF($K940="Open",IF($C940="Conflict","decide "&amp;$A940&amp;": &lt;which version stands&gt;","decide "&amp;$A940&amp;": &lt;outcome&gt;"),IF($K940="Unconfirmed","confirm "&amp;$A940,""))</f>
        <v/>
      </c>
      <c r="P940" s="65" t="str">
        <f aca="false">IF(AND($C940="New",$B940&gt;=WeekStart),$B940+ROW()/100000,"")</f>
        <v/>
      </c>
      <c r="Q940" s="65" t="str">
        <f aca="false">IF(AND($C940="Know",$B940&gt;=WeekStart),$B940+ROW()/100000,"")</f>
        <v/>
      </c>
      <c r="R940" s="65" t="str">
        <f aca="false">IF(AND($K940="Open",$C940="Decision"),$L940+ROW()/100000,"")</f>
        <v/>
      </c>
      <c r="S940" s="65" t="str">
        <f aca="false">IF(AND($J940&lt;&gt;"",$J940=UCSel),$B940+ROW()/100000,"")</f>
        <v/>
      </c>
    </row>
    <row r="941" customFormat="false" ht="15" hidden="false" customHeight="false" outlineLevel="0" collapsed="false">
      <c r="A941" s="28"/>
      <c r="B941" s="63"/>
      <c r="C941" s="64"/>
      <c r="D941" s="28"/>
      <c r="E941" s="28"/>
      <c r="F941" s="28"/>
      <c r="G941" s="64"/>
      <c r="H941" s="64"/>
      <c r="I941" s="28"/>
      <c r="J941" s="28"/>
      <c r="K941" s="65" t="str">
        <f aca="false">IF($A941="","",IF(OR($C941="Decision",$C941="Conflict"),IF(COUNTIFS($I$2:$I$1001,$A941,$C$2:$C$1001,"Resolved")=0,"Open","Closed"),IF(AND($H941="Unconfirmed",OR($C941="New",$C941="Know")),IF(COUNTIFS($I$2:$I$1001,$A941,$C$2:$C$1001,"Confirmed")=0,"Unconfirmed","Confirmed"),"Logged")))</f>
        <v/>
      </c>
      <c r="L941" s="65" t="str">
        <f aca="false">IF($A941="","",AsOf-$B941)</f>
        <v/>
      </c>
      <c r="M941" s="65" t="str">
        <f aca="false">IF($K941="Open",IF($C941="Conflict","Critical",IF($L941&gt;=DecisionCritical,"Critical",IF($L941&gt;=DecisionWarn,"Warning","On track"))),IF($K941="Unconfirmed",IF($L941&gt;=UnconfirmedWarn,"Warning","On track"),""))</f>
        <v/>
      </c>
      <c r="N941" s="65" t="str">
        <f aca="false">IF($M941="","",IF($M941="Critical",3000,IF($M941="Warning",2000,1000))+$L941+ROW()/100000)</f>
        <v/>
      </c>
      <c r="O941" s="65" t="str">
        <f aca="false">IF($K941="Open",IF($C941="Conflict","decide "&amp;$A941&amp;": &lt;which version stands&gt;","decide "&amp;$A941&amp;": &lt;outcome&gt;"),IF($K941="Unconfirmed","confirm "&amp;$A941,""))</f>
        <v/>
      </c>
      <c r="P941" s="65" t="str">
        <f aca="false">IF(AND($C941="New",$B941&gt;=WeekStart),$B941+ROW()/100000,"")</f>
        <v/>
      </c>
      <c r="Q941" s="65" t="str">
        <f aca="false">IF(AND($C941="Know",$B941&gt;=WeekStart),$B941+ROW()/100000,"")</f>
        <v/>
      </c>
      <c r="R941" s="65" t="str">
        <f aca="false">IF(AND($K941="Open",$C941="Decision"),$L941+ROW()/100000,"")</f>
        <v/>
      </c>
      <c r="S941" s="65" t="str">
        <f aca="false">IF(AND($J941&lt;&gt;"",$J941=UCSel),$B941+ROW()/100000,"")</f>
        <v/>
      </c>
    </row>
    <row r="942" customFormat="false" ht="15" hidden="false" customHeight="false" outlineLevel="0" collapsed="false">
      <c r="A942" s="28"/>
      <c r="B942" s="63"/>
      <c r="C942" s="64"/>
      <c r="D942" s="28"/>
      <c r="E942" s="28"/>
      <c r="F942" s="28"/>
      <c r="G942" s="64"/>
      <c r="H942" s="64"/>
      <c r="I942" s="28"/>
      <c r="J942" s="28"/>
      <c r="K942" s="65" t="str">
        <f aca="false">IF($A942="","",IF(OR($C942="Decision",$C942="Conflict"),IF(COUNTIFS($I$2:$I$1001,$A942,$C$2:$C$1001,"Resolved")=0,"Open","Closed"),IF(AND($H942="Unconfirmed",OR($C942="New",$C942="Know")),IF(COUNTIFS($I$2:$I$1001,$A942,$C$2:$C$1001,"Confirmed")=0,"Unconfirmed","Confirmed"),"Logged")))</f>
        <v/>
      </c>
      <c r="L942" s="65" t="str">
        <f aca="false">IF($A942="","",AsOf-$B942)</f>
        <v/>
      </c>
      <c r="M942" s="65" t="str">
        <f aca="false">IF($K942="Open",IF($C942="Conflict","Critical",IF($L942&gt;=DecisionCritical,"Critical",IF($L942&gt;=DecisionWarn,"Warning","On track"))),IF($K942="Unconfirmed",IF($L942&gt;=UnconfirmedWarn,"Warning","On track"),""))</f>
        <v/>
      </c>
      <c r="N942" s="65" t="str">
        <f aca="false">IF($M942="","",IF($M942="Critical",3000,IF($M942="Warning",2000,1000))+$L942+ROW()/100000)</f>
        <v/>
      </c>
      <c r="O942" s="65" t="str">
        <f aca="false">IF($K942="Open",IF($C942="Conflict","decide "&amp;$A942&amp;": &lt;which version stands&gt;","decide "&amp;$A942&amp;": &lt;outcome&gt;"),IF($K942="Unconfirmed","confirm "&amp;$A942,""))</f>
        <v/>
      </c>
      <c r="P942" s="65" t="str">
        <f aca="false">IF(AND($C942="New",$B942&gt;=WeekStart),$B942+ROW()/100000,"")</f>
        <v/>
      </c>
      <c r="Q942" s="65" t="str">
        <f aca="false">IF(AND($C942="Know",$B942&gt;=WeekStart),$B942+ROW()/100000,"")</f>
        <v/>
      </c>
      <c r="R942" s="65" t="str">
        <f aca="false">IF(AND($K942="Open",$C942="Decision"),$L942+ROW()/100000,"")</f>
        <v/>
      </c>
      <c r="S942" s="65" t="str">
        <f aca="false">IF(AND($J942&lt;&gt;"",$J942=UCSel),$B942+ROW()/100000,"")</f>
        <v/>
      </c>
    </row>
    <row r="943" customFormat="false" ht="15" hidden="false" customHeight="false" outlineLevel="0" collapsed="false">
      <c r="A943" s="28"/>
      <c r="B943" s="63"/>
      <c r="C943" s="64"/>
      <c r="D943" s="28"/>
      <c r="E943" s="28"/>
      <c r="F943" s="28"/>
      <c r="G943" s="64"/>
      <c r="H943" s="64"/>
      <c r="I943" s="28"/>
      <c r="J943" s="28"/>
      <c r="K943" s="65" t="str">
        <f aca="false">IF($A943="","",IF(OR($C943="Decision",$C943="Conflict"),IF(COUNTIFS($I$2:$I$1001,$A943,$C$2:$C$1001,"Resolved")=0,"Open","Closed"),IF(AND($H943="Unconfirmed",OR($C943="New",$C943="Know")),IF(COUNTIFS($I$2:$I$1001,$A943,$C$2:$C$1001,"Confirmed")=0,"Unconfirmed","Confirmed"),"Logged")))</f>
        <v/>
      </c>
      <c r="L943" s="65" t="str">
        <f aca="false">IF($A943="","",AsOf-$B943)</f>
        <v/>
      </c>
      <c r="M943" s="65" t="str">
        <f aca="false">IF($K943="Open",IF($C943="Conflict","Critical",IF($L943&gt;=DecisionCritical,"Critical",IF($L943&gt;=DecisionWarn,"Warning","On track"))),IF($K943="Unconfirmed",IF($L943&gt;=UnconfirmedWarn,"Warning","On track"),""))</f>
        <v/>
      </c>
      <c r="N943" s="65" t="str">
        <f aca="false">IF($M943="","",IF($M943="Critical",3000,IF($M943="Warning",2000,1000))+$L943+ROW()/100000)</f>
        <v/>
      </c>
      <c r="O943" s="65" t="str">
        <f aca="false">IF($K943="Open",IF($C943="Conflict","decide "&amp;$A943&amp;": &lt;which version stands&gt;","decide "&amp;$A943&amp;": &lt;outcome&gt;"),IF($K943="Unconfirmed","confirm "&amp;$A943,""))</f>
        <v/>
      </c>
      <c r="P943" s="65" t="str">
        <f aca="false">IF(AND($C943="New",$B943&gt;=WeekStart),$B943+ROW()/100000,"")</f>
        <v/>
      </c>
      <c r="Q943" s="65" t="str">
        <f aca="false">IF(AND($C943="Know",$B943&gt;=WeekStart),$B943+ROW()/100000,"")</f>
        <v/>
      </c>
      <c r="R943" s="65" t="str">
        <f aca="false">IF(AND($K943="Open",$C943="Decision"),$L943+ROW()/100000,"")</f>
        <v/>
      </c>
      <c r="S943" s="65" t="str">
        <f aca="false">IF(AND($J943&lt;&gt;"",$J943=UCSel),$B943+ROW()/100000,"")</f>
        <v/>
      </c>
    </row>
    <row r="944" customFormat="false" ht="15" hidden="false" customHeight="false" outlineLevel="0" collapsed="false">
      <c r="A944" s="28"/>
      <c r="B944" s="63"/>
      <c r="C944" s="64"/>
      <c r="D944" s="28"/>
      <c r="E944" s="28"/>
      <c r="F944" s="28"/>
      <c r="G944" s="64"/>
      <c r="H944" s="64"/>
      <c r="I944" s="28"/>
      <c r="J944" s="28"/>
      <c r="K944" s="65" t="str">
        <f aca="false">IF($A944="","",IF(OR($C944="Decision",$C944="Conflict"),IF(COUNTIFS($I$2:$I$1001,$A944,$C$2:$C$1001,"Resolved")=0,"Open","Closed"),IF(AND($H944="Unconfirmed",OR($C944="New",$C944="Know")),IF(COUNTIFS($I$2:$I$1001,$A944,$C$2:$C$1001,"Confirmed")=0,"Unconfirmed","Confirmed"),"Logged")))</f>
        <v/>
      </c>
      <c r="L944" s="65" t="str">
        <f aca="false">IF($A944="","",AsOf-$B944)</f>
        <v/>
      </c>
      <c r="M944" s="65" t="str">
        <f aca="false">IF($K944="Open",IF($C944="Conflict","Critical",IF($L944&gt;=DecisionCritical,"Critical",IF($L944&gt;=DecisionWarn,"Warning","On track"))),IF($K944="Unconfirmed",IF($L944&gt;=UnconfirmedWarn,"Warning","On track"),""))</f>
        <v/>
      </c>
      <c r="N944" s="65" t="str">
        <f aca="false">IF($M944="","",IF($M944="Critical",3000,IF($M944="Warning",2000,1000))+$L944+ROW()/100000)</f>
        <v/>
      </c>
      <c r="O944" s="65" t="str">
        <f aca="false">IF($K944="Open",IF($C944="Conflict","decide "&amp;$A944&amp;": &lt;which version stands&gt;","decide "&amp;$A944&amp;": &lt;outcome&gt;"),IF($K944="Unconfirmed","confirm "&amp;$A944,""))</f>
        <v/>
      </c>
      <c r="P944" s="65" t="str">
        <f aca="false">IF(AND($C944="New",$B944&gt;=WeekStart),$B944+ROW()/100000,"")</f>
        <v/>
      </c>
      <c r="Q944" s="65" t="str">
        <f aca="false">IF(AND($C944="Know",$B944&gt;=WeekStart),$B944+ROW()/100000,"")</f>
        <v/>
      </c>
      <c r="R944" s="65" t="str">
        <f aca="false">IF(AND($K944="Open",$C944="Decision"),$L944+ROW()/100000,"")</f>
        <v/>
      </c>
      <c r="S944" s="65" t="str">
        <f aca="false">IF(AND($J944&lt;&gt;"",$J944=UCSel),$B944+ROW()/100000,"")</f>
        <v/>
      </c>
    </row>
    <row r="945" customFormat="false" ht="15" hidden="false" customHeight="false" outlineLevel="0" collapsed="false">
      <c r="A945" s="28"/>
      <c r="B945" s="63"/>
      <c r="C945" s="64"/>
      <c r="D945" s="28"/>
      <c r="E945" s="28"/>
      <c r="F945" s="28"/>
      <c r="G945" s="64"/>
      <c r="H945" s="64"/>
      <c r="I945" s="28"/>
      <c r="J945" s="28"/>
      <c r="K945" s="65" t="str">
        <f aca="false">IF($A945="","",IF(OR($C945="Decision",$C945="Conflict"),IF(COUNTIFS($I$2:$I$1001,$A945,$C$2:$C$1001,"Resolved")=0,"Open","Closed"),IF(AND($H945="Unconfirmed",OR($C945="New",$C945="Know")),IF(COUNTIFS($I$2:$I$1001,$A945,$C$2:$C$1001,"Confirmed")=0,"Unconfirmed","Confirmed"),"Logged")))</f>
        <v/>
      </c>
      <c r="L945" s="65" t="str">
        <f aca="false">IF($A945="","",AsOf-$B945)</f>
        <v/>
      </c>
      <c r="M945" s="65" t="str">
        <f aca="false">IF($K945="Open",IF($C945="Conflict","Critical",IF($L945&gt;=DecisionCritical,"Critical",IF($L945&gt;=DecisionWarn,"Warning","On track"))),IF($K945="Unconfirmed",IF($L945&gt;=UnconfirmedWarn,"Warning","On track"),""))</f>
        <v/>
      </c>
      <c r="N945" s="65" t="str">
        <f aca="false">IF($M945="","",IF($M945="Critical",3000,IF($M945="Warning",2000,1000))+$L945+ROW()/100000)</f>
        <v/>
      </c>
      <c r="O945" s="65" t="str">
        <f aca="false">IF($K945="Open",IF($C945="Conflict","decide "&amp;$A945&amp;": &lt;which version stands&gt;","decide "&amp;$A945&amp;": &lt;outcome&gt;"),IF($K945="Unconfirmed","confirm "&amp;$A945,""))</f>
        <v/>
      </c>
      <c r="P945" s="65" t="str">
        <f aca="false">IF(AND($C945="New",$B945&gt;=WeekStart),$B945+ROW()/100000,"")</f>
        <v/>
      </c>
      <c r="Q945" s="65" t="str">
        <f aca="false">IF(AND($C945="Know",$B945&gt;=WeekStart),$B945+ROW()/100000,"")</f>
        <v/>
      </c>
      <c r="R945" s="65" t="str">
        <f aca="false">IF(AND($K945="Open",$C945="Decision"),$L945+ROW()/100000,"")</f>
        <v/>
      </c>
      <c r="S945" s="65" t="str">
        <f aca="false">IF(AND($J945&lt;&gt;"",$J945=UCSel),$B945+ROW()/100000,"")</f>
        <v/>
      </c>
    </row>
    <row r="946" customFormat="false" ht="15" hidden="false" customHeight="false" outlineLevel="0" collapsed="false">
      <c r="A946" s="28"/>
      <c r="B946" s="63"/>
      <c r="C946" s="64"/>
      <c r="D946" s="28"/>
      <c r="E946" s="28"/>
      <c r="F946" s="28"/>
      <c r="G946" s="64"/>
      <c r="H946" s="64"/>
      <c r="I946" s="28"/>
      <c r="J946" s="28"/>
      <c r="K946" s="65" t="str">
        <f aca="false">IF($A946="","",IF(OR($C946="Decision",$C946="Conflict"),IF(COUNTIFS($I$2:$I$1001,$A946,$C$2:$C$1001,"Resolved")=0,"Open","Closed"),IF(AND($H946="Unconfirmed",OR($C946="New",$C946="Know")),IF(COUNTIFS($I$2:$I$1001,$A946,$C$2:$C$1001,"Confirmed")=0,"Unconfirmed","Confirmed"),"Logged")))</f>
        <v/>
      </c>
      <c r="L946" s="65" t="str">
        <f aca="false">IF($A946="","",AsOf-$B946)</f>
        <v/>
      </c>
      <c r="M946" s="65" t="str">
        <f aca="false">IF($K946="Open",IF($C946="Conflict","Critical",IF($L946&gt;=DecisionCritical,"Critical",IF($L946&gt;=DecisionWarn,"Warning","On track"))),IF($K946="Unconfirmed",IF($L946&gt;=UnconfirmedWarn,"Warning","On track"),""))</f>
        <v/>
      </c>
      <c r="N946" s="65" t="str">
        <f aca="false">IF($M946="","",IF($M946="Critical",3000,IF($M946="Warning",2000,1000))+$L946+ROW()/100000)</f>
        <v/>
      </c>
      <c r="O946" s="65" t="str">
        <f aca="false">IF($K946="Open",IF($C946="Conflict","decide "&amp;$A946&amp;": &lt;which version stands&gt;","decide "&amp;$A946&amp;": &lt;outcome&gt;"),IF($K946="Unconfirmed","confirm "&amp;$A946,""))</f>
        <v/>
      </c>
      <c r="P946" s="65" t="str">
        <f aca="false">IF(AND($C946="New",$B946&gt;=WeekStart),$B946+ROW()/100000,"")</f>
        <v/>
      </c>
      <c r="Q946" s="65" t="str">
        <f aca="false">IF(AND($C946="Know",$B946&gt;=WeekStart),$B946+ROW()/100000,"")</f>
        <v/>
      </c>
      <c r="R946" s="65" t="str">
        <f aca="false">IF(AND($K946="Open",$C946="Decision"),$L946+ROW()/100000,"")</f>
        <v/>
      </c>
      <c r="S946" s="65" t="str">
        <f aca="false">IF(AND($J946&lt;&gt;"",$J946=UCSel),$B946+ROW()/100000,"")</f>
        <v/>
      </c>
    </row>
    <row r="947" customFormat="false" ht="15" hidden="false" customHeight="false" outlineLevel="0" collapsed="false">
      <c r="A947" s="28"/>
      <c r="B947" s="63"/>
      <c r="C947" s="64"/>
      <c r="D947" s="28"/>
      <c r="E947" s="28"/>
      <c r="F947" s="28"/>
      <c r="G947" s="64"/>
      <c r="H947" s="64"/>
      <c r="I947" s="28"/>
      <c r="J947" s="28"/>
      <c r="K947" s="65" t="str">
        <f aca="false">IF($A947="","",IF(OR($C947="Decision",$C947="Conflict"),IF(COUNTIFS($I$2:$I$1001,$A947,$C$2:$C$1001,"Resolved")=0,"Open","Closed"),IF(AND($H947="Unconfirmed",OR($C947="New",$C947="Know")),IF(COUNTIFS($I$2:$I$1001,$A947,$C$2:$C$1001,"Confirmed")=0,"Unconfirmed","Confirmed"),"Logged")))</f>
        <v/>
      </c>
      <c r="L947" s="65" t="str">
        <f aca="false">IF($A947="","",AsOf-$B947)</f>
        <v/>
      </c>
      <c r="M947" s="65" t="str">
        <f aca="false">IF($K947="Open",IF($C947="Conflict","Critical",IF($L947&gt;=DecisionCritical,"Critical",IF($L947&gt;=DecisionWarn,"Warning","On track"))),IF($K947="Unconfirmed",IF($L947&gt;=UnconfirmedWarn,"Warning","On track"),""))</f>
        <v/>
      </c>
      <c r="N947" s="65" t="str">
        <f aca="false">IF($M947="","",IF($M947="Critical",3000,IF($M947="Warning",2000,1000))+$L947+ROW()/100000)</f>
        <v/>
      </c>
      <c r="O947" s="65" t="str">
        <f aca="false">IF($K947="Open",IF($C947="Conflict","decide "&amp;$A947&amp;": &lt;which version stands&gt;","decide "&amp;$A947&amp;": &lt;outcome&gt;"),IF($K947="Unconfirmed","confirm "&amp;$A947,""))</f>
        <v/>
      </c>
      <c r="P947" s="65" t="str">
        <f aca="false">IF(AND($C947="New",$B947&gt;=WeekStart),$B947+ROW()/100000,"")</f>
        <v/>
      </c>
      <c r="Q947" s="65" t="str">
        <f aca="false">IF(AND($C947="Know",$B947&gt;=WeekStart),$B947+ROW()/100000,"")</f>
        <v/>
      </c>
      <c r="R947" s="65" t="str">
        <f aca="false">IF(AND($K947="Open",$C947="Decision"),$L947+ROW()/100000,"")</f>
        <v/>
      </c>
      <c r="S947" s="65" t="str">
        <f aca="false">IF(AND($J947&lt;&gt;"",$J947=UCSel),$B947+ROW()/100000,"")</f>
        <v/>
      </c>
    </row>
    <row r="948" customFormat="false" ht="15" hidden="false" customHeight="false" outlineLevel="0" collapsed="false">
      <c r="A948" s="28"/>
      <c r="B948" s="63"/>
      <c r="C948" s="64"/>
      <c r="D948" s="28"/>
      <c r="E948" s="28"/>
      <c r="F948" s="28"/>
      <c r="G948" s="64"/>
      <c r="H948" s="64"/>
      <c r="I948" s="28"/>
      <c r="J948" s="28"/>
      <c r="K948" s="65" t="str">
        <f aca="false">IF($A948="","",IF(OR($C948="Decision",$C948="Conflict"),IF(COUNTIFS($I$2:$I$1001,$A948,$C$2:$C$1001,"Resolved")=0,"Open","Closed"),IF(AND($H948="Unconfirmed",OR($C948="New",$C948="Know")),IF(COUNTIFS($I$2:$I$1001,$A948,$C$2:$C$1001,"Confirmed")=0,"Unconfirmed","Confirmed"),"Logged")))</f>
        <v/>
      </c>
      <c r="L948" s="65" t="str">
        <f aca="false">IF($A948="","",AsOf-$B948)</f>
        <v/>
      </c>
      <c r="M948" s="65" t="str">
        <f aca="false">IF($K948="Open",IF($C948="Conflict","Critical",IF($L948&gt;=DecisionCritical,"Critical",IF($L948&gt;=DecisionWarn,"Warning","On track"))),IF($K948="Unconfirmed",IF($L948&gt;=UnconfirmedWarn,"Warning","On track"),""))</f>
        <v/>
      </c>
      <c r="N948" s="65" t="str">
        <f aca="false">IF($M948="","",IF($M948="Critical",3000,IF($M948="Warning",2000,1000))+$L948+ROW()/100000)</f>
        <v/>
      </c>
      <c r="O948" s="65" t="str">
        <f aca="false">IF($K948="Open",IF($C948="Conflict","decide "&amp;$A948&amp;": &lt;which version stands&gt;","decide "&amp;$A948&amp;": &lt;outcome&gt;"),IF($K948="Unconfirmed","confirm "&amp;$A948,""))</f>
        <v/>
      </c>
      <c r="P948" s="65" t="str">
        <f aca="false">IF(AND($C948="New",$B948&gt;=WeekStart),$B948+ROW()/100000,"")</f>
        <v/>
      </c>
      <c r="Q948" s="65" t="str">
        <f aca="false">IF(AND($C948="Know",$B948&gt;=WeekStart),$B948+ROW()/100000,"")</f>
        <v/>
      </c>
      <c r="R948" s="65" t="str">
        <f aca="false">IF(AND($K948="Open",$C948="Decision"),$L948+ROW()/100000,"")</f>
        <v/>
      </c>
      <c r="S948" s="65" t="str">
        <f aca="false">IF(AND($J948&lt;&gt;"",$J948=UCSel),$B948+ROW()/100000,"")</f>
        <v/>
      </c>
    </row>
    <row r="949" customFormat="false" ht="15" hidden="false" customHeight="false" outlineLevel="0" collapsed="false">
      <c r="A949" s="28"/>
      <c r="B949" s="63"/>
      <c r="C949" s="64"/>
      <c r="D949" s="28"/>
      <c r="E949" s="28"/>
      <c r="F949" s="28"/>
      <c r="G949" s="64"/>
      <c r="H949" s="64"/>
      <c r="I949" s="28"/>
      <c r="J949" s="28"/>
      <c r="K949" s="65" t="str">
        <f aca="false">IF($A949="","",IF(OR($C949="Decision",$C949="Conflict"),IF(COUNTIFS($I$2:$I$1001,$A949,$C$2:$C$1001,"Resolved")=0,"Open","Closed"),IF(AND($H949="Unconfirmed",OR($C949="New",$C949="Know")),IF(COUNTIFS($I$2:$I$1001,$A949,$C$2:$C$1001,"Confirmed")=0,"Unconfirmed","Confirmed"),"Logged")))</f>
        <v/>
      </c>
      <c r="L949" s="65" t="str">
        <f aca="false">IF($A949="","",AsOf-$B949)</f>
        <v/>
      </c>
      <c r="M949" s="65" t="str">
        <f aca="false">IF($K949="Open",IF($C949="Conflict","Critical",IF($L949&gt;=DecisionCritical,"Critical",IF($L949&gt;=DecisionWarn,"Warning","On track"))),IF($K949="Unconfirmed",IF($L949&gt;=UnconfirmedWarn,"Warning","On track"),""))</f>
        <v/>
      </c>
      <c r="N949" s="65" t="str">
        <f aca="false">IF($M949="","",IF($M949="Critical",3000,IF($M949="Warning",2000,1000))+$L949+ROW()/100000)</f>
        <v/>
      </c>
      <c r="O949" s="65" t="str">
        <f aca="false">IF($K949="Open",IF($C949="Conflict","decide "&amp;$A949&amp;": &lt;which version stands&gt;","decide "&amp;$A949&amp;": &lt;outcome&gt;"),IF($K949="Unconfirmed","confirm "&amp;$A949,""))</f>
        <v/>
      </c>
      <c r="P949" s="65" t="str">
        <f aca="false">IF(AND($C949="New",$B949&gt;=WeekStart),$B949+ROW()/100000,"")</f>
        <v/>
      </c>
      <c r="Q949" s="65" t="str">
        <f aca="false">IF(AND($C949="Know",$B949&gt;=WeekStart),$B949+ROW()/100000,"")</f>
        <v/>
      </c>
      <c r="R949" s="65" t="str">
        <f aca="false">IF(AND($K949="Open",$C949="Decision"),$L949+ROW()/100000,"")</f>
        <v/>
      </c>
      <c r="S949" s="65" t="str">
        <f aca="false">IF(AND($J949&lt;&gt;"",$J949=UCSel),$B949+ROW()/100000,"")</f>
        <v/>
      </c>
    </row>
    <row r="950" customFormat="false" ht="15" hidden="false" customHeight="false" outlineLevel="0" collapsed="false">
      <c r="A950" s="28"/>
      <c r="B950" s="63"/>
      <c r="C950" s="64"/>
      <c r="D950" s="28"/>
      <c r="E950" s="28"/>
      <c r="F950" s="28"/>
      <c r="G950" s="64"/>
      <c r="H950" s="64"/>
      <c r="I950" s="28"/>
      <c r="J950" s="28"/>
      <c r="K950" s="65" t="str">
        <f aca="false">IF($A950="","",IF(OR($C950="Decision",$C950="Conflict"),IF(COUNTIFS($I$2:$I$1001,$A950,$C$2:$C$1001,"Resolved")=0,"Open","Closed"),IF(AND($H950="Unconfirmed",OR($C950="New",$C950="Know")),IF(COUNTIFS($I$2:$I$1001,$A950,$C$2:$C$1001,"Confirmed")=0,"Unconfirmed","Confirmed"),"Logged")))</f>
        <v/>
      </c>
      <c r="L950" s="65" t="str">
        <f aca="false">IF($A950="","",AsOf-$B950)</f>
        <v/>
      </c>
      <c r="M950" s="65" t="str">
        <f aca="false">IF($K950="Open",IF($C950="Conflict","Critical",IF($L950&gt;=DecisionCritical,"Critical",IF($L950&gt;=DecisionWarn,"Warning","On track"))),IF($K950="Unconfirmed",IF($L950&gt;=UnconfirmedWarn,"Warning","On track"),""))</f>
        <v/>
      </c>
      <c r="N950" s="65" t="str">
        <f aca="false">IF($M950="","",IF($M950="Critical",3000,IF($M950="Warning",2000,1000))+$L950+ROW()/100000)</f>
        <v/>
      </c>
      <c r="O950" s="65" t="str">
        <f aca="false">IF($K950="Open",IF($C950="Conflict","decide "&amp;$A950&amp;": &lt;which version stands&gt;","decide "&amp;$A950&amp;": &lt;outcome&gt;"),IF($K950="Unconfirmed","confirm "&amp;$A950,""))</f>
        <v/>
      </c>
      <c r="P950" s="65" t="str">
        <f aca="false">IF(AND($C950="New",$B950&gt;=WeekStart),$B950+ROW()/100000,"")</f>
        <v/>
      </c>
      <c r="Q950" s="65" t="str">
        <f aca="false">IF(AND($C950="Know",$B950&gt;=WeekStart),$B950+ROW()/100000,"")</f>
        <v/>
      </c>
      <c r="R950" s="65" t="str">
        <f aca="false">IF(AND($K950="Open",$C950="Decision"),$L950+ROW()/100000,"")</f>
        <v/>
      </c>
      <c r="S950" s="65" t="str">
        <f aca="false">IF(AND($J950&lt;&gt;"",$J950=UCSel),$B950+ROW()/100000,"")</f>
        <v/>
      </c>
    </row>
    <row r="951" customFormat="false" ht="15" hidden="false" customHeight="false" outlineLevel="0" collapsed="false">
      <c r="A951" s="28"/>
      <c r="B951" s="63"/>
      <c r="C951" s="64"/>
      <c r="D951" s="28"/>
      <c r="E951" s="28"/>
      <c r="F951" s="28"/>
      <c r="G951" s="64"/>
      <c r="H951" s="64"/>
      <c r="I951" s="28"/>
      <c r="J951" s="28"/>
      <c r="K951" s="65" t="str">
        <f aca="false">IF($A951="","",IF(OR($C951="Decision",$C951="Conflict"),IF(COUNTIFS($I$2:$I$1001,$A951,$C$2:$C$1001,"Resolved")=0,"Open","Closed"),IF(AND($H951="Unconfirmed",OR($C951="New",$C951="Know")),IF(COUNTIFS($I$2:$I$1001,$A951,$C$2:$C$1001,"Confirmed")=0,"Unconfirmed","Confirmed"),"Logged")))</f>
        <v/>
      </c>
      <c r="L951" s="65" t="str">
        <f aca="false">IF($A951="","",AsOf-$B951)</f>
        <v/>
      </c>
      <c r="M951" s="65" t="str">
        <f aca="false">IF($K951="Open",IF($C951="Conflict","Critical",IF($L951&gt;=DecisionCritical,"Critical",IF($L951&gt;=DecisionWarn,"Warning","On track"))),IF($K951="Unconfirmed",IF($L951&gt;=UnconfirmedWarn,"Warning","On track"),""))</f>
        <v/>
      </c>
      <c r="N951" s="65" t="str">
        <f aca="false">IF($M951="","",IF($M951="Critical",3000,IF($M951="Warning",2000,1000))+$L951+ROW()/100000)</f>
        <v/>
      </c>
      <c r="O951" s="65" t="str">
        <f aca="false">IF($K951="Open",IF($C951="Conflict","decide "&amp;$A951&amp;": &lt;which version stands&gt;","decide "&amp;$A951&amp;": &lt;outcome&gt;"),IF($K951="Unconfirmed","confirm "&amp;$A951,""))</f>
        <v/>
      </c>
      <c r="P951" s="65" t="str">
        <f aca="false">IF(AND($C951="New",$B951&gt;=WeekStart),$B951+ROW()/100000,"")</f>
        <v/>
      </c>
      <c r="Q951" s="65" t="str">
        <f aca="false">IF(AND($C951="Know",$B951&gt;=WeekStart),$B951+ROW()/100000,"")</f>
        <v/>
      </c>
      <c r="R951" s="65" t="str">
        <f aca="false">IF(AND($K951="Open",$C951="Decision"),$L951+ROW()/100000,"")</f>
        <v/>
      </c>
      <c r="S951" s="65" t="str">
        <f aca="false">IF(AND($J951&lt;&gt;"",$J951=UCSel),$B951+ROW()/100000,"")</f>
        <v/>
      </c>
    </row>
    <row r="952" customFormat="false" ht="15" hidden="false" customHeight="false" outlineLevel="0" collapsed="false">
      <c r="A952" s="28"/>
      <c r="B952" s="63"/>
      <c r="C952" s="64"/>
      <c r="D952" s="28"/>
      <c r="E952" s="28"/>
      <c r="F952" s="28"/>
      <c r="G952" s="64"/>
      <c r="H952" s="64"/>
      <c r="I952" s="28"/>
      <c r="J952" s="28"/>
      <c r="K952" s="65" t="str">
        <f aca="false">IF($A952="","",IF(OR($C952="Decision",$C952="Conflict"),IF(COUNTIFS($I$2:$I$1001,$A952,$C$2:$C$1001,"Resolved")=0,"Open","Closed"),IF(AND($H952="Unconfirmed",OR($C952="New",$C952="Know")),IF(COUNTIFS($I$2:$I$1001,$A952,$C$2:$C$1001,"Confirmed")=0,"Unconfirmed","Confirmed"),"Logged")))</f>
        <v/>
      </c>
      <c r="L952" s="65" t="str">
        <f aca="false">IF($A952="","",AsOf-$B952)</f>
        <v/>
      </c>
      <c r="M952" s="65" t="str">
        <f aca="false">IF($K952="Open",IF($C952="Conflict","Critical",IF($L952&gt;=DecisionCritical,"Critical",IF($L952&gt;=DecisionWarn,"Warning","On track"))),IF($K952="Unconfirmed",IF($L952&gt;=UnconfirmedWarn,"Warning","On track"),""))</f>
        <v/>
      </c>
      <c r="N952" s="65" t="str">
        <f aca="false">IF($M952="","",IF($M952="Critical",3000,IF($M952="Warning",2000,1000))+$L952+ROW()/100000)</f>
        <v/>
      </c>
      <c r="O952" s="65" t="str">
        <f aca="false">IF($K952="Open",IF($C952="Conflict","decide "&amp;$A952&amp;": &lt;which version stands&gt;","decide "&amp;$A952&amp;": &lt;outcome&gt;"),IF($K952="Unconfirmed","confirm "&amp;$A952,""))</f>
        <v/>
      </c>
      <c r="P952" s="65" t="str">
        <f aca="false">IF(AND($C952="New",$B952&gt;=WeekStart),$B952+ROW()/100000,"")</f>
        <v/>
      </c>
      <c r="Q952" s="65" t="str">
        <f aca="false">IF(AND($C952="Know",$B952&gt;=WeekStart),$B952+ROW()/100000,"")</f>
        <v/>
      </c>
      <c r="R952" s="65" t="str">
        <f aca="false">IF(AND($K952="Open",$C952="Decision"),$L952+ROW()/100000,"")</f>
        <v/>
      </c>
      <c r="S952" s="65" t="str">
        <f aca="false">IF(AND($J952&lt;&gt;"",$J952=UCSel),$B952+ROW()/100000,"")</f>
        <v/>
      </c>
    </row>
    <row r="953" customFormat="false" ht="15" hidden="false" customHeight="false" outlineLevel="0" collapsed="false">
      <c r="A953" s="28"/>
      <c r="B953" s="63"/>
      <c r="C953" s="64"/>
      <c r="D953" s="28"/>
      <c r="E953" s="28"/>
      <c r="F953" s="28"/>
      <c r="G953" s="64"/>
      <c r="H953" s="64"/>
      <c r="I953" s="28"/>
      <c r="J953" s="28"/>
      <c r="K953" s="65" t="str">
        <f aca="false">IF($A953="","",IF(OR($C953="Decision",$C953="Conflict"),IF(COUNTIFS($I$2:$I$1001,$A953,$C$2:$C$1001,"Resolved")=0,"Open","Closed"),IF(AND($H953="Unconfirmed",OR($C953="New",$C953="Know")),IF(COUNTIFS($I$2:$I$1001,$A953,$C$2:$C$1001,"Confirmed")=0,"Unconfirmed","Confirmed"),"Logged")))</f>
        <v/>
      </c>
      <c r="L953" s="65" t="str">
        <f aca="false">IF($A953="","",AsOf-$B953)</f>
        <v/>
      </c>
      <c r="M953" s="65" t="str">
        <f aca="false">IF($K953="Open",IF($C953="Conflict","Critical",IF($L953&gt;=DecisionCritical,"Critical",IF($L953&gt;=DecisionWarn,"Warning","On track"))),IF($K953="Unconfirmed",IF($L953&gt;=UnconfirmedWarn,"Warning","On track"),""))</f>
        <v/>
      </c>
      <c r="N953" s="65" t="str">
        <f aca="false">IF($M953="","",IF($M953="Critical",3000,IF($M953="Warning",2000,1000))+$L953+ROW()/100000)</f>
        <v/>
      </c>
      <c r="O953" s="65" t="str">
        <f aca="false">IF($K953="Open",IF($C953="Conflict","decide "&amp;$A953&amp;": &lt;which version stands&gt;","decide "&amp;$A953&amp;": &lt;outcome&gt;"),IF($K953="Unconfirmed","confirm "&amp;$A953,""))</f>
        <v/>
      </c>
      <c r="P953" s="65" t="str">
        <f aca="false">IF(AND($C953="New",$B953&gt;=WeekStart),$B953+ROW()/100000,"")</f>
        <v/>
      </c>
      <c r="Q953" s="65" t="str">
        <f aca="false">IF(AND($C953="Know",$B953&gt;=WeekStart),$B953+ROW()/100000,"")</f>
        <v/>
      </c>
      <c r="R953" s="65" t="str">
        <f aca="false">IF(AND($K953="Open",$C953="Decision"),$L953+ROW()/100000,"")</f>
        <v/>
      </c>
      <c r="S953" s="65" t="str">
        <f aca="false">IF(AND($J953&lt;&gt;"",$J953=UCSel),$B953+ROW()/100000,"")</f>
        <v/>
      </c>
    </row>
    <row r="954" customFormat="false" ht="15" hidden="false" customHeight="false" outlineLevel="0" collapsed="false">
      <c r="A954" s="28"/>
      <c r="B954" s="63"/>
      <c r="C954" s="64"/>
      <c r="D954" s="28"/>
      <c r="E954" s="28"/>
      <c r="F954" s="28"/>
      <c r="G954" s="64"/>
      <c r="H954" s="64"/>
      <c r="I954" s="28"/>
      <c r="J954" s="28"/>
      <c r="K954" s="65" t="str">
        <f aca="false">IF($A954="","",IF(OR($C954="Decision",$C954="Conflict"),IF(COUNTIFS($I$2:$I$1001,$A954,$C$2:$C$1001,"Resolved")=0,"Open","Closed"),IF(AND($H954="Unconfirmed",OR($C954="New",$C954="Know")),IF(COUNTIFS($I$2:$I$1001,$A954,$C$2:$C$1001,"Confirmed")=0,"Unconfirmed","Confirmed"),"Logged")))</f>
        <v/>
      </c>
      <c r="L954" s="65" t="str">
        <f aca="false">IF($A954="","",AsOf-$B954)</f>
        <v/>
      </c>
      <c r="M954" s="65" t="str">
        <f aca="false">IF($K954="Open",IF($C954="Conflict","Critical",IF($L954&gt;=DecisionCritical,"Critical",IF($L954&gt;=DecisionWarn,"Warning","On track"))),IF($K954="Unconfirmed",IF($L954&gt;=UnconfirmedWarn,"Warning","On track"),""))</f>
        <v/>
      </c>
      <c r="N954" s="65" t="str">
        <f aca="false">IF($M954="","",IF($M954="Critical",3000,IF($M954="Warning",2000,1000))+$L954+ROW()/100000)</f>
        <v/>
      </c>
      <c r="O954" s="65" t="str">
        <f aca="false">IF($K954="Open",IF($C954="Conflict","decide "&amp;$A954&amp;": &lt;which version stands&gt;","decide "&amp;$A954&amp;": &lt;outcome&gt;"),IF($K954="Unconfirmed","confirm "&amp;$A954,""))</f>
        <v/>
      </c>
      <c r="P954" s="65" t="str">
        <f aca="false">IF(AND($C954="New",$B954&gt;=WeekStart),$B954+ROW()/100000,"")</f>
        <v/>
      </c>
      <c r="Q954" s="65" t="str">
        <f aca="false">IF(AND($C954="Know",$B954&gt;=WeekStart),$B954+ROW()/100000,"")</f>
        <v/>
      </c>
      <c r="R954" s="65" t="str">
        <f aca="false">IF(AND($K954="Open",$C954="Decision"),$L954+ROW()/100000,"")</f>
        <v/>
      </c>
      <c r="S954" s="65" t="str">
        <f aca="false">IF(AND($J954&lt;&gt;"",$J954=UCSel),$B954+ROW()/100000,"")</f>
        <v/>
      </c>
    </row>
    <row r="955" customFormat="false" ht="15" hidden="false" customHeight="false" outlineLevel="0" collapsed="false">
      <c r="A955" s="28"/>
      <c r="B955" s="63"/>
      <c r="C955" s="64"/>
      <c r="D955" s="28"/>
      <c r="E955" s="28"/>
      <c r="F955" s="28"/>
      <c r="G955" s="64"/>
      <c r="H955" s="64"/>
      <c r="I955" s="28"/>
      <c r="J955" s="28"/>
      <c r="K955" s="65" t="str">
        <f aca="false">IF($A955="","",IF(OR($C955="Decision",$C955="Conflict"),IF(COUNTIFS($I$2:$I$1001,$A955,$C$2:$C$1001,"Resolved")=0,"Open","Closed"),IF(AND($H955="Unconfirmed",OR($C955="New",$C955="Know")),IF(COUNTIFS($I$2:$I$1001,$A955,$C$2:$C$1001,"Confirmed")=0,"Unconfirmed","Confirmed"),"Logged")))</f>
        <v/>
      </c>
      <c r="L955" s="65" t="str">
        <f aca="false">IF($A955="","",AsOf-$B955)</f>
        <v/>
      </c>
      <c r="M955" s="65" t="str">
        <f aca="false">IF($K955="Open",IF($C955="Conflict","Critical",IF($L955&gt;=DecisionCritical,"Critical",IF($L955&gt;=DecisionWarn,"Warning","On track"))),IF($K955="Unconfirmed",IF($L955&gt;=UnconfirmedWarn,"Warning","On track"),""))</f>
        <v/>
      </c>
      <c r="N955" s="65" t="str">
        <f aca="false">IF($M955="","",IF($M955="Critical",3000,IF($M955="Warning",2000,1000))+$L955+ROW()/100000)</f>
        <v/>
      </c>
      <c r="O955" s="65" t="str">
        <f aca="false">IF($K955="Open",IF($C955="Conflict","decide "&amp;$A955&amp;": &lt;which version stands&gt;","decide "&amp;$A955&amp;": &lt;outcome&gt;"),IF($K955="Unconfirmed","confirm "&amp;$A955,""))</f>
        <v/>
      </c>
      <c r="P955" s="65" t="str">
        <f aca="false">IF(AND($C955="New",$B955&gt;=WeekStart),$B955+ROW()/100000,"")</f>
        <v/>
      </c>
      <c r="Q955" s="65" t="str">
        <f aca="false">IF(AND($C955="Know",$B955&gt;=WeekStart),$B955+ROW()/100000,"")</f>
        <v/>
      </c>
      <c r="R955" s="65" t="str">
        <f aca="false">IF(AND($K955="Open",$C955="Decision"),$L955+ROW()/100000,"")</f>
        <v/>
      </c>
      <c r="S955" s="65" t="str">
        <f aca="false">IF(AND($J955&lt;&gt;"",$J955=UCSel),$B955+ROW()/100000,"")</f>
        <v/>
      </c>
    </row>
    <row r="956" customFormat="false" ht="15" hidden="false" customHeight="false" outlineLevel="0" collapsed="false">
      <c r="A956" s="28"/>
      <c r="B956" s="63"/>
      <c r="C956" s="64"/>
      <c r="D956" s="28"/>
      <c r="E956" s="28"/>
      <c r="F956" s="28"/>
      <c r="G956" s="64"/>
      <c r="H956" s="64"/>
      <c r="I956" s="28"/>
      <c r="J956" s="28"/>
      <c r="K956" s="65" t="str">
        <f aca="false">IF($A956="","",IF(OR($C956="Decision",$C956="Conflict"),IF(COUNTIFS($I$2:$I$1001,$A956,$C$2:$C$1001,"Resolved")=0,"Open","Closed"),IF(AND($H956="Unconfirmed",OR($C956="New",$C956="Know")),IF(COUNTIFS($I$2:$I$1001,$A956,$C$2:$C$1001,"Confirmed")=0,"Unconfirmed","Confirmed"),"Logged")))</f>
        <v/>
      </c>
      <c r="L956" s="65" t="str">
        <f aca="false">IF($A956="","",AsOf-$B956)</f>
        <v/>
      </c>
      <c r="M956" s="65" t="str">
        <f aca="false">IF($K956="Open",IF($C956="Conflict","Critical",IF($L956&gt;=DecisionCritical,"Critical",IF($L956&gt;=DecisionWarn,"Warning","On track"))),IF($K956="Unconfirmed",IF($L956&gt;=UnconfirmedWarn,"Warning","On track"),""))</f>
        <v/>
      </c>
      <c r="N956" s="65" t="str">
        <f aca="false">IF($M956="","",IF($M956="Critical",3000,IF($M956="Warning",2000,1000))+$L956+ROW()/100000)</f>
        <v/>
      </c>
      <c r="O956" s="65" t="str">
        <f aca="false">IF($K956="Open",IF($C956="Conflict","decide "&amp;$A956&amp;": &lt;which version stands&gt;","decide "&amp;$A956&amp;": &lt;outcome&gt;"),IF($K956="Unconfirmed","confirm "&amp;$A956,""))</f>
        <v/>
      </c>
      <c r="P956" s="65" t="str">
        <f aca="false">IF(AND($C956="New",$B956&gt;=WeekStart),$B956+ROW()/100000,"")</f>
        <v/>
      </c>
      <c r="Q956" s="65" t="str">
        <f aca="false">IF(AND($C956="Know",$B956&gt;=WeekStart),$B956+ROW()/100000,"")</f>
        <v/>
      </c>
      <c r="R956" s="65" t="str">
        <f aca="false">IF(AND($K956="Open",$C956="Decision"),$L956+ROW()/100000,"")</f>
        <v/>
      </c>
      <c r="S956" s="65" t="str">
        <f aca="false">IF(AND($J956&lt;&gt;"",$J956=UCSel),$B956+ROW()/100000,"")</f>
        <v/>
      </c>
    </row>
    <row r="957" customFormat="false" ht="15" hidden="false" customHeight="false" outlineLevel="0" collapsed="false">
      <c r="A957" s="28"/>
      <c r="B957" s="63"/>
      <c r="C957" s="64"/>
      <c r="D957" s="28"/>
      <c r="E957" s="28"/>
      <c r="F957" s="28"/>
      <c r="G957" s="64"/>
      <c r="H957" s="64"/>
      <c r="I957" s="28"/>
      <c r="J957" s="28"/>
      <c r="K957" s="65" t="str">
        <f aca="false">IF($A957="","",IF(OR($C957="Decision",$C957="Conflict"),IF(COUNTIFS($I$2:$I$1001,$A957,$C$2:$C$1001,"Resolved")=0,"Open","Closed"),IF(AND($H957="Unconfirmed",OR($C957="New",$C957="Know")),IF(COUNTIFS($I$2:$I$1001,$A957,$C$2:$C$1001,"Confirmed")=0,"Unconfirmed","Confirmed"),"Logged")))</f>
        <v/>
      </c>
      <c r="L957" s="65" t="str">
        <f aca="false">IF($A957="","",AsOf-$B957)</f>
        <v/>
      </c>
      <c r="M957" s="65" t="str">
        <f aca="false">IF($K957="Open",IF($C957="Conflict","Critical",IF($L957&gt;=DecisionCritical,"Critical",IF($L957&gt;=DecisionWarn,"Warning","On track"))),IF($K957="Unconfirmed",IF($L957&gt;=UnconfirmedWarn,"Warning","On track"),""))</f>
        <v/>
      </c>
      <c r="N957" s="65" t="str">
        <f aca="false">IF($M957="","",IF($M957="Critical",3000,IF($M957="Warning",2000,1000))+$L957+ROW()/100000)</f>
        <v/>
      </c>
      <c r="O957" s="65" t="str">
        <f aca="false">IF($K957="Open",IF($C957="Conflict","decide "&amp;$A957&amp;": &lt;which version stands&gt;","decide "&amp;$A957&amp;": &lt;outcome&gt;"),IF($K957="Unconfirmed","confirm "&amp;$A957,""))</f>
        <v/>
      </c>
      <c r="P957" s="65" t="str">
        <f aca="false">IF(AND($C957="New",$B957&gt;=WeekStart),$B957+ROW()/100000,"")</f>
        <v/>
      </c>
      <c r="Q957" s="65" t="str">
        <f aca="false">IF(AND($C957="Know",$B957&gt;=WeekStart),$B957+ROW()/100000,"")</f>
        <v/>
      </c>
      <c r="R957" s="65" t="str">
        <f aca="false">IF(AND($K957="Open",$C957="Decision"),$L957+ROW()/100000,"")</f>
        <v/>
      </c>
      <c r="S957" s="65" t="str">
        <f aca="false">IF(AND($J957&lt;&gt;"",$J957=UCSel),$B957+ROW()/100000,"")</f>
        <v/>
      </c>
    </row>
    <row r="958" customFormat="false" ht="15" hidden="false" customHeight="false" outlineLevel="0" collapsed="false">
      <c r="A958" s="28"/>
      <c r="B958" s="63"/>
      <c r="C958" s="64"/>
      <c r="D958" s="28"/>
      <c r="E958" s="28"/>
      <c r="F958" s="28"/>
      <c r="G958" s="64"/>
      <c r="H958" s="64"/>
      <c r="I958" s="28"/>
      <c r="J958" s="28"/>
      <c r="K958" s="65" t="str">
        <f aca="false">IF($A958="","",IF(OR($C958="Decision",$C958="Conflict"),IF(COUNTIFS($I$2:$I$1001,$A958,$C$2:$C$1001,"Resolved")=0,"Open","Closed"),IF(AND($H958="Unconfirmed",OR($C958="New",$C958="Know")),IF(COUNTIFS($I$2:$I$1001,$A958,$C$2:$C$1001,"Confirmed")=0,"Unconfirmed","Confirmed"),"Logged")))</f>
        <v/>
      </c>
      <c r="L958" s="65" t="str">
        <f aca="false">IF($A958="","",AsOf-$B958)</f>
        <v/>
      </c>
      <c r="M958" s="65" t="str">
        <f aca="false">IF($K958="Open",IF($C958="Conflict","Critical",IF($L958&gt;=DecisionCritical,"Critical",IF($L958&gt;=DecisionWarn,"Warning","On track"))),IF($K958="Unconfirmed",IF($L958&gt;=UnconfirmedWarn,"Warning","On track"),""))</f>
        <v/>
      </c>
      <c r="N958" s="65" t="str">
        <f aca="false">IF($M958="","",IF($M958="Critical",3000,IF($M958="Warning",2000,1000))+$L958+ROW()/100000)</f>
        <v/>
      </c>
      <c r="O958" s="65" t="str">
        <f aca="false">IF($K958="Open",IF($C958="Conflict","decide "&amp;$A958&amp;": &lt;which version stands&gt;","decide "&amp;$A958&amp;": &lt;outcome&gt;"),IF($K958="Unconfirmed","confirm "&amp;$A958,""))</f>
        <v/>
      </c>
      <c r="P958" s="65" t="str">
        <f aca="false">IF(AND($C958="New",$B958&gt;=WeekStart),$B958+ROW()/100000,"")</f>
        <v/>
      </c>
      <c r="Q958" s="65" t="str">
        <f aca="false">IF(AND($C958="Know",$B958&gt;=WeekStart),$B958+ROW()/100000,"")</f>
        <v/>
      </c>
      <c r="R958" s="65" t="str">
        <f aca="false">IF(AND($K958="Open",$C958="Decision"),$L958+ROW()/100000,"")</f>
        <v/>
      </c>
      <c r="S958" s="65" t="str">
        <f aca="false">IF(AND($J958&lt;&gt;"",$J958=UCSel),$B958+ROW()/100000,"")</f>
        <v/>
      </c>
    </row>
    <row r="959" customFormat="false" ht="15" hidden="false" customHeight="false" outlineLevel="0" collapsed="false">
      <c r="A959" s="28"/>
      <c r="B959" s="63"/>
      <c r="C959" s="64"/>
      <c r="D959" s="28"/>
      <c r="E959" s="28"/>
      <c r="F959" s="28"/>
      <c r="G959" s="64"/>
      <c r="H959" s="64"/>
      <c r="I959" s="28"/>
      <c r="J959" s="28"/>
      <c r="K959" s="65" t="str">
        <f aca="false">IF($A959="","",IF(OR($C959="Decision",$C959="Conflict"),IF(COUNTIFS($I$2:$I$1001,$A959,$C$2:$C$1001,"Resolved")=0,"Open","Closed"),IF(AND($H959="Unconfirmed",OR($C959="New",$C959="Know")),IF(COUNTIFS($I$2:$I$1001,$A959,$C$2:$C$1001,"Confirmed")=0,"Unconfirmed","Confirmed"),"Logged")))</f>
        <v/>
      </c>
      <c r="L959" s="65" t="str">
        <f aca="false">IF($A959="","",AsOf-$B959)</f>
        <v/>
      </c>
      <c r="M959" s="65" t="str">
        <f aca="false">IF($K959="Open",IF($C959="Conflict","Critical",IF($L959&gt;=DecisionCritical,"Critical",IF($L959&gt;=DecisionWarn,"Warning","On track"))),IF($K959="Unconfirmed",IF($L959&gt;=UnconfirmedWarn,"Warning","On track"),""))</f>
        <v/>
      </c>
      <c r="N959" s="65" t="str">
        <f aca="false">IF($M959="","",IF($M959="Critical",3000,IF($M959="Warning",2000,1000))+$L959+ROW()/100000)</f>
        <v/>
      </c>
      <c r="O959" s="65" t="str">
        <f aca="false">IF($K959="Open",IF($C959="Conflict","decide "&amp;$A959&amp;": &lt;which version stands&gt;","decide "&amp;$A959&amp;": &lt;outcome&gt;"),IF($K959="Unconfirmed","confirm "&amp;$A959,""))</f>
        <v/>
      </c>
      <c r="P959" s="65" t="str">
        <f aca="false">IF(AND($C959="New",$B959&gt;=WeekStart),$B959+ROW()/100000,"")</f>
        <v/>
      </c>
      <c r="Q959" s="65" t="str">
        <f aca="false">IF(AND($C959="Know",$B959&gt;=WeekStart),$B959+ROW()/100000,"")</f>
        <v/>
      </c>
      <c r="R959" s="65" t="str">
        <f aca="false">IF(AND($K959="Open",$C959="Decision"),$L959+ROW()/100000,"")</f>
        <v/>
      </c>
      <c r="S959" s="65" t="str">
        <f aca="false">IF(AND($J959&lt;&gt;"",$J959=UCSel),$B959+ROW()/100000,"")</f>
        <v/>
      </c>
    </row>
    <row r="960" customFormat="false" ht="15" hidden="false" customHeight="false" outlineLevel="0" collapsed="false">
      <c r="A960" s="28"/>
      <c r="B960" s="63"/>
      <c r="C960" s="64"/>
      <c r="D960" s="28"/>
      <c r="E960" s="28"/>
      <c r="F960" s="28"/>
      <c r="G960" s="64"/>
      <c r="H960" s="64"/>
      <c r="I960" s="28"/>
      <c r="J960" s="28"/>
      <c r="K960" s="65" t="str">
        <f aca="false">IF($A960="","",IF(OR($C960="Decision",$C960="Conflict"),IF(COUNTIFS($I$2:$I$1001,$A960,$C$2:$C$1001,"Resolved")=0,"Open","Closed"),IF(AND($H960="Unconfirmed",OR($C960="New",$C960="Know")),IF(COUNTIFS($I$2:$I$1001,$A960,$C$2:$C$1001,"Confirmed")=0,"Unconfirmed","Confirmed"),"Logged")))</f>
        <v/>
      </c>
      <c r="L960" s="65" t="str">
        <f aca="false">IF($A960="","",AsOf-$B960)</f>
        <v/>
      </c>
      <c r="M960" s="65" t="str">
        <f aca="false">IF($K960="Open",IF($C960="Conflict","Critical",IF($L960&gt;=DecisionCritical,"Critical",IF($L960&gt;=DecisionWarn,"Warning","On track"))),IF($K960="Unconfirmed",IF($L960&gt;=UnconfirmedWarn,"Warning","On track"),""))</f>
        <v/>
      </c>
      <c r="N960" s="65" t="str">
        <f aca="false">IF($M960="","",IF($M960="Critical",3000,IF($M960="Warning",2000,1000))+$L960+ROW()/100000)</f>
        <v/>
      </c>
      <c r="O960" s="65" t="str">
        <f aca="false">IF($K960="Open",IF($C960="Conflict","decide "&amp;$A960&amp;": &lt;which version stands&gt;","decide "&amp;$A960&amp;": &lt;outcome&gt;"),IF($K960="Unconfirmed","confirm "&amp;$A960,""))</f>
        <v/>
      </c>
      <c r="P960" s="65" t="str">
        <f aca="false">IF(AND($C960="New",$B960&gt;=WeekStart),$B960+ROW()/100000,"")</f>
        <v/>
      </c>
      <c r="Q960" s="65" t="str">
        <f aca="false">IF(AND($C960="Know",$B960&gt;=WeekStart),$B960+ROW()/100000,"")</f>
        <v/>
      </c>
      <c r="R960" s="65" t="str">
        <f aca="false">IF(AND($K960="Open",$C960="Decision"),$L960+ROW()/100000,"")</f>
        <v/>
      </c>
      <c r="S960" s="65" t="str">
        <f aca="false">IF(AND($J960&lt;&gt;"",$J960=UCSel),$B960+ROW()/100000,"")</f>
        <v/>
      </c>
    </row>
    <row r="961" customFormat="false" ht="15" hidden="false" customHeight="false" outlineLevel="0" collapsed="false">
      <c r="A961" s="28"/>
      <c r="B961" s="63"/>
      <c r="C961" s="64"/>
      <c r="D961" s="28"/>
      <c r="E961" s="28"/>
      <c r="F961" s="28"/>
      <c r="G961" s="64"/>
      <c r="H961" s="64"/>
      <c r="I961" s="28"/>
      <c r="J961" s="28"/>
      <c r="K961" s="65" t="str">
        <f aca="false">IF($A961="","",IF(OR($C961="Decision",$C961="Conflict"),IF(COUNTIFS($I$2:$I$1001,$A961,$C$2:$C$1001,"Resolved")=0,"Open","Closed"),IF(AND($H961="Unconfirmed",OR($C961="New",$C961="Know")),IF(COUNTIFS($I$2:$I$1001,$A961,$C$2:$C$1001,"Confirmed")=0,"Unconfirmed","Confirmed"),"Logged")))</f>
        <v/>
      </c>
      <c r="L961" s="65" t="str">
        <f aca="false">IF($A961="","",AsOf-$B961)</f>
        <v/>
      </c>
      <c r="M961" s="65" t="str">
        <f aca="false">IF($K961="Open",IF($C961="Conflict","Critical",IF($L961&gt;=DecisionCritical,"Critical",IF($L961&gt;=DecisionWarn,"Warning","On track"))),IF($K961="Unconfirmed",IF($L961&gt;=UnconfirmedWarn,"Warning","On track"),""))</f>
        <v/>
      </c>
      <c r="N961" s="65" t="str">
        <f aca="false">IF($M961="","",IF($M961="Critical",3000,IF($M961="Warning",2000,1000))+$L961+ROW()/100000)</f>
        <v/>
      </c>
      <c r="O961" s="65" t="str">
        <f aca="false">IF($K961="Open",IF($C961="Conflict","decide "&amp;$A961&amp;": &lt;which version stands&gt;","decide "&amp;$A961&amp;": &lt;outcome&gt;"),IF($K961="Unconfirmed","confirm "&amp;$A961,""))</f>
        <v/>
      </c>
      <c r="P961" s="65" t="str">
        <f aca="false">IF(AND($C961="New",$B961&gt;=WeekStart),$B961+ROW()/100000,"")</f>
        <v/>
      </c>
      <c r="Q961" s="65" t="str">
        <f aca="false">IF(AND($C961="Know",$B961&gt;=WeekStart),$B961+ROW()/100000,"")</f>
        <v/>
      </c>
      <c r="R961" s="65" t="str">
        <f aca="false">IF(AND($K961="Open",$C961="Decision"),$L961+ROW()/100000,"")</f>
        <v/>
      </c>
      <c r="S961" s="65" t="str">
        <f aca="false">IF(AND($J961&lt;&gt;"",$J961=UCSel),$B961+ROW()/100000,"")</f>
        <v/>
      </c>
    </row>
    <row r="962" customFormat="false" ht="15" hidden="false" customHeight="false" outlineLevel="0" collapsed="false">
      <c r="A962" s="28"/>
      <c r="B962" s="63"/>
      <c r="C962" s="64"/>
      <c r="D962" s="28"/>
      <c r="E962" s="28"/>
      <c r="F962" s="28"/>
      <c r="G962" s="64"/>
      <c r="H962" s="64"/>
      <c r="I962" s="28"/>
      <c r="J962" s="28"/>
      <c r="K962" s="65" t="str">
        <f aca="false">IF($A962="","",IF(OR($C962="Decision",$C962="Conflict"),IF(COUNTIFS($I$2:$I$1001,$A962,$C$2:$C$1001,"Resolved")=0,"Open","Closed"),IF(AND($H962="Unconfirmed",OR($C962="New",$C962="Know")),IF(COUNTIFS($I$2:$I$1001,$A962,$C$2:$C$1001,"Confirmed")=0,"Unconfirmed","Confirmed"),"Logged")))</f>
        <v/>
      </c>
      <c r="L962" s="65" t="str">
        <f aca="false">IF($A962="","",AsOf-$B962)</f>
        <v/>
      </c>
      <c r="M962" s="65" t="str">
        <f aca="false">IF($K962="Open",IF($C962="Conflict","Critical",IF($L962&gt;=DecisionCritical,"Critical",IF($L962&gt;=DecisionWarn,"Warning","On track"))),IF($K962="Unconfirmed",IF($L962&gt;=UnconfirmedWarn,"Warning","On track"),""))</f>
        <v/>
      </c>
      <c r="N962" s="65" t="str">
        <f aca="false">IF($M962="","",IF($M962="Critical",3000,IF($M962="Warning",2000,1000))+$L962+ROW()/100000)</f>
        <v/>
      </c>
      <c r="O962" s="65" t="str">
        <f aca="false">IF($K962="Open",IF($C962="Conflict","decide "&amp;$A962&amp;": &lt;which version stands&gt;","decide "&amp;$A962&amp;": &lt;outcome&gt;"),IF($K962="Unconfirmed","confirm "&amp;$A962,""))</f>
        <v/>
      </c>
      <c r="P962" s="65" t="str">
        <f aca="false">IF(AND($C962="New",$B962&gt;=WeekStart),$B962+ROW()/100000,"")</f>
        <v/>
      </c>
      <c r="Q962" s="65" t="str">
        <f aca="false">IF(AND($C962="Know",$B962&gt;=WeekStart),$B962+ROW()/100000,"")</f>
        <v/>
      </c>
      <c r="R962" s="65" t="str">
        <f aca="false">IF(AND($K962="Open",$C962="Decision"),$L962+ROW()/100000,"")</f>
        <v/>
      </c>
      <c r="S962" s="65" t="str">
        <f aca="false">IF(AND($J962&lt;&gt;"",$J962=UCSel),$B962+ROW()/100000,"")</f>
        <v/>
      </c>
    </row>
    <row r="963" customFormat="false" ht="15" hidden="false" customHeight="false" outlineLevel="0" collapsed="false">
      <c r="A963" s="28"/>
      <c r="B963" s="63"/>
      <c r="C963" s="64"/>
      <c r="D963" s="28"/>
      <c r="E963" s="28"/>
      <c r="F963" s="28"/>
      <c r="G963" s="64"/>
      <c r="H963" s="64"/>
      <c r="I963" s="28"/>
      <c r="J963" s="28"/>
      <c r="K963" s="65" t="str">
        <f aca="false">IF($A963="","",IF(OR($C963="Decision",$C963="Conflict"),IF(COUNTIFS($I$2:$I$1001,$A963,$C$2:$C$1001,"Resolved")=0,"Open","Closed"),IF(AND($H963="Unconfirmed",OR($C963="New",$C963="Know")),IF(COUNTIFS($I$2:$I$1001,$A963,$C$2:$C$1001,"Confirmed")=0,"Unconfirmed","Confirmed"),"Logged")))</f>
        <v/>
      </c>
      <c r="L963" s="65" t="str">
        <f aca="false">IF($A963="","",AsOf-$B963)</f>
        <v/>
      </c>
      <c r="M963" s="65" t="str">
        <f aca="false">IF($K963="Open",IF($C963="Conflict","Critical",IF($L963&gt;=DecisionCritical,"Critical",IF($L963&gt;=DecisionWarn,"Warning","On track"))),IF($K963="Unconfirmed",IF($L963&gt;=UnconfirmedWarn,"Warning","On track"),""))</f>
        <v/>
      </c>
      <c r="N963" s="65" t="str">
        <f aca="false">IF($M963="","",IF($M963="Critical",3000,IF($M963="Warning",2000,1000))+$L963+ROW()/100000)</f>
        <v/>
      </c>
      <c r="O963" s="65" t="str">
        <f aca="false">IF($K963="Open",IF($C963="Conflict","decide "&amp;$A963&amp;": &lt;which version stands&gt;","decide "&amp;$A963&amp;": &lt;outcome&gt;"),IF($K963="Unconfirmed","confirm "&amp;$A963,""))</f>
        <v/>
      </c>
      <c r="P963" s="65" t="str">
        <f aca="false">IF(AND($C963="New",$B963&gt;=WeekStart),$B963+ROW()/100000,"")</f>
        <v/>
      </c>
      <c r="Q963" s="65" t="str">
        <f aca="false">IF(AND($C963="Know",$B963&gt;=WeekStart),$B963+ROW()/100000,"")</f>
        <v/>
      </c>
      <c r="R963" s="65" t="str">
        <f aca="false">IF(AND($K963="Open",$C963="Decision"),$L963+ROW()/100000,"")</f>
        <v/>
      </c>
      <c r="S963" s="65" t="str">
        <f aca="false">IF(AND($J963&lt;&gt;"",$J963=UCSel),$B963+ROW()/100000,"")</f>
        <v/>
      </c>
    </row>
    <row r="964" customFormat="false" ht="15" hidden="false" customHeight="false" outlineLevel="0" collapsed="false">
      <c r="A964" s="28"/>
      <c r="B964" s="63"/>
      <c r="C964" s="64"/>
      <c r="D964" s="28"/>
      <c r="E964" s="28"/>
      <c r="F964" s="28"/>
      <c r="G964" s="64"/>
      <c r="H964" s="64"/>
      <c r="I964" s="28"/>
      <c r="J964" s="28"/>
      <c r="K964" s="65" t="str">
        <f aca="false">IF($A964="","",IF(OR($C964="Decision",$C964="Conflict"),IF(COUNTIFS($I$2:$I$1001,$A964,$C$2:$C$1001,"Resolved")=0,"Open","Closed"),IF(AND($H964="Unconfirmed",OR($C964="New",$C964="Know")),IF(COUNTIFS($I$2:$I$1001,$A964,$C$2:$C$1001,"Confirmed")=0,"Unconfirmed","Confirmed"),"Logged")))</f>
        <v/>
      </c>
      <c r="L964" s="65" t="str">
        <f aca="false">IF($A964="","",AsOf-$B964)</f>
        <v/>
      </c>
      <c r="M964" s="65" t="str">
        <f aca="false">IF($K964="Open",IF($C964="Conflict","Critical",IF($L964&gt;=DecisionCritical,"Critical",IF($L964&gt;=DecisionWarn,"Warning","On track"))),IF($K964="Unconfirmed",IF($L964&gt;=UnconfirmedWarn,"Warning","On track"),""))</f>
        <v/>
      </c>
      <c r="N964" s="65" t="str">
        <f aca="false">IF($M964="","",IF($M964="Critical",3000,IF($M964="Warning",2000,1000))+$L964+ROW()/100000)</f>
        <v/>
      </c>
      <c r="O964" s="65" t="str">
        <f aca="false">IF($K964="Open",IF($C964="Conflict","decide "&amp;$A964&amp;": &lt;which version stands&gt;","decide "&amp;$A964&amp;": &lt;outcome&gt;"),IF($K964="Unconfirmed","confirm "&amp;$A964,""))</f>
        <v/>
      </c>
      <c r="P964" s="65" t="str">
        <f aca="false">IF(AND($C964="New",$B964&gt;=WeekStart),$B964+ROW()/100000,"")</f>
        <v/>
      </c>
      <c r="Q964" s="65" t="str">
        <f aca="false">IF(AND($C964="Know",$B964&gt;=WeekStart),$B964+ROW()/100000,"")</f>
        <v/>
      </c>
      <c r="R964" s="65" t="str">
        <f aca="false">IF(AND($K964="Open",$C964="Decision"),$L964+ROW()/100000,"")</f>
        <v/>
      </c>
      <c r="S964" s="65" t="str">
        <f aca="false">IF(AND($J964&lt;&gt;"",$J964=UCSel),$B964+ROW()/100000,"")</f>
        <v/>
      </c>
    </row>
    <row r="965" customFormat="false" ht="15" hidden="false" customHeight="false" outlineLevel="0" collapsed="false">
      <c r="A965" s="28"/>
      <c r="B965" s="63"/>
      <c r="C965" s="64"/>
      <c r="D965" s="28"/>
      <c r="E965" s="28"/>
      <c r="F965" s="28"/>
      <c r="G965" s="64"/>
      <c r="H965" s="64"/>
      <c r="I965" s="28"/>
      <c r="J965" s="28"/>
      <c r="K965" s="65" t="str">
        <f aca="false">IF($A965="","",IF(OR($C965="Decision",$C965="Conflict"),IF(COUNTIFS($I$2:$I$1001,$A965,$C$2:$C$1001,"Resolved")=0,"Open","Closed"),IF(AND($H965="Unconfirmed",OR($C965="New",$C965="Know")),IF(COUNTIFS($I$2:$I$1001,$A965,$C$2:$C$1001,"Confirmed")=0,"Unconfirmed","Confirmed"),"Logged")))</f>
        <v/>
      </c>
      <c r="L965" s="65" t="str">
        <f aca="false">IF($A965="","",AsOf-$B965)</f>
        <v/>
      </c>
      <c r="M965" s="65" t="str">
        <f aca="false">IF($K965="Open",IF($C965="Conflict","Critical",IF($L965&gt;=DecisionCritical,"Critical",IF($L965&gt;=DecisionWarn,"Warning","On track"))),IF($K965="Unconfirmed",IF($L965&gt;=UnconfirmedWarn,"Warning","On track"),""))</f>
        <v/>
      </c>
      <c r="N965" s="65" t="str">
        <f aca="false">IF($M965="","",IF($M965="Critical",3000,IF($M965="Warning",2000,1000))+$L965+ROW()/100000)</f>
        <v/>
      </c>
      <c r="O965" s="65" t="str">
        <f aca="false">IF($K965="Open",IF($C965="Conflict","decide "&amp;$A965&amp;": &lt;which version stands&gt;","decide "&amp;$A965&amp;": &lt;outcome&gt;"),IF($K965="Unconfirmed","confirm "&amp;$A965,""))</f>
        <v/>
      </c>
      <c r="P965" s="65" t="str">
        <f aca="false">IF(AND($C965="New",$B965&gt;=WeekStart),$B965+ROW()/100000,"")</f>
        <v/>
      </c>
      <c r="Q965" s="65" t="str">
        <f aca="false">IF(AND($C965="Know",$B965&gt;=WeekStart),$B965+ROW()/100000,"")</f>
        <v/>
      </c>
      <c r="R965" s="65" t="str">
        <f aca="false">IF(AND($K965="Open",$C965="Decision"),$L965+ROW()/100000,"")</f>
        <v/>
      </c>
      <c r="S965" s="65" t="str">
        <f aca="false">IF(AND($J965&lt;&gt;"",$J965=UCSel),$B965+ROW()/100000,"")</f>
        <v/>
      </c>
    </row>
    <row r="966" customFormat="false" ht="15" hidden="false" customHeight="false" outlineLevel="0" collapsed="false">
      <c r="A966" s="28"/>
      <c r="B966" s="63"/>
      <c r="C966" s="64"/>
      <c r="D966" s="28"/>
      <c r="E966" s="28"/>
      <c r="F966" s="28"/>
      <c r="G966" s="64"/>
      <c r="H966" s="64"/>
      <c r="I966" s="28"/>
      <c r="J966" s="28"/>
      <c r="K966" s="65" t="str">
        <f aca="false">IF($A966="","",IF(OR($C966="Decision",$C966="Conflict"),IF(COUNTIFS($I$2:$I$1001,$A966,$C$2:$C$1001,"Resolved")=0,"Open","Closed"),IF(AND($H966="Unconfirmed",OR($C966="New",$C966="Know")),IF(COUNTIFS($I$2:$I$1001,$A966,$C$2:$C$1001,"Confirmed")=0,"Unconfirmed","Confirmed"),"Logged")))</f>
        <v/>
      </c>
      <c r="L966" s="65" t="str">
        <f aca="false">IF($A966="","",AsOf-$B966)</f>
        <v/>
      </c>
      <c r="M966" s="65" t="str">
        <f aca="false">IF($K966="Open",IF($C966="Conflict","Critical",IF($L966&gt;=DecisionCritical,"Critical",IF($L966&gt;=DecisionWarn,"Warning","On track"))),IF($K966="Unconfirmed",IF($L966&gt;=UnconfirmedWarn,"Warning","On track"),""))</f>
        <v/>
      </c>
      <c r="N966" s="65" t="str">
        <f aca="false">IF($M966="","",IF($M966="Critical",3000,IF($M966="Warning",2000,1000))+$L966+ROW()/100000)</f>
        <v/>
      </c>
      <c r="O966" s="65" t="str">
        <f aca="false">IF($K966="Open",IF($C966="Conflict","decide "&amp;$A966&amp;": &lt;which version stands&gt;","decide "&amp;$A966&amp;": &lt;outcome&gt;"),IF($K966="Unconfirmed","confirm "&amp;$A966,""))</f>
        <v/>
      </c>
      <c r="P966" s="65" t="str">
        <f aca="false">IF(AND($C966="New",$B966&gt;=WeekStart),$B966+ROW()/100000,"")</f>
        <v/>
      </c>
      <c r="Q966" s="65" t="str">
        <f aca="false">IF(AND($C966="Know",$B966&gt;=WeekStart),$B966+ROW()/100000,"")</f>
        <v/>
      </c>
      <c r="R966" s="65" t="str">
        <f aca="false">IF(AND($K966="Open",$C966="Decision"),$L966+ROW()/100000,"")</f>
        <v/>
      </c>
      <c r="S966" s="65" t="str">
        <f aca="false">IF(AND($J966&lt;&gt;"",$J966=UCSel),$B966+ROW()/100000,"")</f>
        <v/>
      </c>
    </row>
    <row r="967" customFormat="false" ht="15" hidden="false" customHeight="false" outlineLevel="0" collapsed="false">
      <c r="A967" s="28"/>
      <c r="B967" s="63"/>
      <c r="C967" s="64"/>
      <c r="D967" s="28"/>
      <c r="E967" s="28"/>
      <c r="F967" s="28"/>
      <c r="G967" s="64"/>
      <c r="H967" s="64"/>
      <c r="I967" s="28"/>
      <c r="J967" s="28"/>
      <c r="K967" s="65" t="str">
        <f aca="false">IF($A967="","",IF(OR($C967="Decision",$C967="Conflict"),IF(COUNTIFS($I$2:$I$1001,$A967,$C$2:$C$1001,"Resolved")=0,"Open","Closed"),IF(AND($H967="Unconfirmed",OR($C967="New",$C967="Know")),IF(COUNTIFS($I$2:$I$1001,$A967,$C$2:$C$1001,"Confirmed")=0,"Unconfirmed","Confirmed"),"Logged")))</f>
        <v/>
      </c>
      <c r="L967" s="65" t="str">
        <f aca="false">IF($A967="","",AsOf-$B967)</f>
        <v/>
      </c>
      <c r="M967" s="65" t="str">
        <f aca="false">IF($K967="Open",IF($C967="Conflict","Critical",IF($L967&gt;=DecisionCritical,"Critical",IF($L967&gt;=DecisionWarn,"Warning","On track"))),IF($K967="Unconfirmed",IF($L967&gt;=UnconfirmedWarn,"Warning","On track"),""))</f>
        <v/>
      </c>
      <c r="N967" s="65" t="str">
        <f aca="false">IF($M967="","",IF($M967="Critical",3000,IF($M967="Warning",2000,1000))+$L967+ROW()/100000)</f>
        <v/>
      </c>
      <c r="O967" s="65" t="str">
        <f aca="false">IF($K967="Open",IF($C967="Conflict","decide "&amp;$A967&amp;": &lt;which version stands&gt;","decide "&amp;$A967&amp;": &lt;outcome&gt;"),IF($K967="Unconfirmed","confirm "&amp;$A967,""))</f>
        <v/>
      </c>
      <c r="P967" s="65" t="str">
        <f aca="false">IF(AND($C967="New",$B967&gt;=WeekStart),$B967+ROW()/100000,"")</f>
        <v/>
      </c>
      <c r="Q967" s="65" t="str">
        <f aca="false">IF(AND($C967="Know",$B967&gt;=WeekStart),$B967+ROW()/100000,"")</f>
        <v/>
      </c>
      <c r="R967" s="65" t="str">
        <f aca="false">IF(AND($K967="Open",$C967="Decision"),$L967+ROW()/100000,"")</f>
        <v/>
      </c>
      <c r="S967" s="65" t="str">
        <f aca="false">IF(AND($J967&lt;&gt;"",$J967=UCSel),$B967+ROW()/100000,"")</f>
        <v/>
      </c>
    </row>
    <row r="968" customFormat="false" ht="15" hidden="false" customHeight="false" outlineLevel="0" collapsed="false">
      <c r="A968" s="28"/>
      <c r="B968" s="63"/>
      <c r="C968" s="64"/>
      <c r="D968" s="28"/>
      <c r="E968" s="28"/>
      <c r="F968" s="28"/>
      <c r="G968" s="64"/>
      <c r="H968" s="64"/>
      <c r="I968" s="28"/>
      <c r="J968" s="28"/>
      <c r="K968" s="65" t="str">
        <f aca="false">IF($A968="","",IF(OR($C968="Decision",$C968="Conflict"),IF(COUNTIFS($I$2:$I$1001,$A968,$C$2:$C$1001,"Resolved")=0,"Open","Closed"),IF(AND($H968="Unconfirmed",OR($C968="New",$C968="Know")),IF(COUNTIFS($I$2:$I$1001,$A968,$C$2:$C$1001,"Confirmed")=0,"Unconfirmed","Confirmed"),"Logged")))</f>
        <v/>
      </c>
      <c r="L968" s="65" t="str">
        <f aca="false">IF($A968="","",AsOf-$B968)</f>
        <v/>
      </c>
      <c r="M968" s="65" t="str">
        <f aca="false">IF($K968="Open",IF($C968="Conflict","Critical",IF($L968&gt;=DecisionCritical,"Critical",IF($L968&gt;=DecisionWarn,"Warning","On track"))),IF($K968="Unconfirmed",IF($L968&gt;=UnconfirmedWarn,"Warning","On track"),""))</f>
        <v/>
      </c>
      <c r="N968" s="65" t="str">
        <f aca="false">IF($M968="","",IF($M968="Critical",3000,IF($M968="Warning",2000,1000))+$L968+ROW()/100000)</f>
        <v/>
      </c>
      <c r="O968" s="65" t="str">
        <f aca="false">IF($K968="Open",IF($C968="Conflict","decide "&amp;$A968&amp;": &lt;which version stands&gt;","decide "&amp;$A968&amp;": &lt;outcome&gt;"),IF($K968="Unconfirmed","confirm "&amp;$A968,""))</f>
        <v/>
      </c>
      <c r="P968" s="65" t="str">
        <f aca="false">IF(AND($C968="New",$B968&gt;=WeekStart),$B968+ROW()/100000,"")</f>
        <v/>
      </c>
      <c r="Q968" s="65" t="str">
        <f aca="false">IF(AND($C968="Know",$B968&gt;=WeekStart),$B968+ROW()/100000,"")</f>
        <v/>
      </c>
      <c r="R968" s="65" t="str">
        <f aca="false">IF(AND($K968="Open",$C968="Decision"),$L968+ROW()/100000,"")</f>
        <v/>
      </c>
      <c r="S968" s="65" t="str">
        <f aca="false">IF(AND($J968&lt;&gt;"",$J968=UCSel),$B968+ROW()/100000,"")</f>
        <v/>
      </c>
    </row>
    <row r="969" customFormat="false" ht="15" hidden="false" customHeight="false" outlineLevel="0" collapsed="false">
      <c r="A969" s="28"/>
      <c r="B969" s="63"/>
      <c r="C969" s="64"/>
      <c r="D969" s="28"/>
      <c r="E969" s="28"/>
      <c r="F969" s="28"/>
      <c r="G969" s="64"/>
      <c r="H969" s="64"/>
      <c r="I969" s="28"/>
      <c r="J969" s="28"/>
      <c r="K969" s="65" t="str">
        <f aca="false">IF($A969="","",IF(OR($C969="Decision",$C969="Conflict"),IF(COUNTIFS($I$2:$I$1001,$A969,$C$2:$C$1001,"Resolved")=0,"Open","Closed"),IF(AND($H969="Unconfirmed",OR($C969="New",$C969="Know")),IF(COUNTIFS($I$2:$I$1001,$A969,$C$2:$C$1001,"Confirmed")=0,"Unconfirmed","Confirmed"),"Logged")))</f>
        <v/>
      </c>
      <c r="L969" s="65" t="str">
        <f aca="false">IF($A969="","",AsOf-$B969)</f>
        <v/>
      </c>
      <c r="M969" s="65" t="str">
        <f aca="false">IF($K969="Open",IF($C969="Conflict","Critical",IF($L969&gt;=DecisionCritical,"Critical",IF($L969&gt;=DecisionWarn,"Warning","On track"))),IF($K969="Unconfirmed",IF($L969&gt;=UnconfirmedWarn,"Warning","On track"),""))</f>
        <v/>
      </c>
      <c r="N969" s="65" t="str">
        <f aca="false">IF($M969="","",IF($M969="Critical",3000,IF($M969="Warning",2000,1000))+$L969+ROW()/100000)</f>
        <v/>
      </c>
      <c r="O969" s="65" t="str">
        <f aca="false">IF($K969="Open",IF($C969="Conflict","decide "&amp;$A969&amp;": &lt;which version stands&gt;","decide "&amp;$A969&amp;": &lt;outcome&gt;"),IF($K969="Unconfirmed","confirm "&amp;$A969,""))</f>
        <v/>
      </c>
      <c r="P969" s="65" t="str">
        <f aca="false">IF(AND($C969="New",$B969&gt;=WeekStart),$B969+ROW()/100000,"")</f>
        <v/>
      </c>
      <c r="Q969" s="65" t="str">
        <f aca="false">IF(AND($C969="Know",$B969&gt;=WeekStart),$B969+ROW()/100000,"")</f>
        <v/>
      </c>
      <c r="R969" s="65" t="str">
        <f aca="false">IF(AND($K969="Open",$C969="Decision"),$L969+ROW()/100000,"")</f>
        <v/>
      </c>
      <c r="S969" s="65" t="str">
        <f aca="false">IF(AND($J969&lt;&gt;"",$J969=UCSel),$B969+ROW()/100000,"")</f>
        <v/>
      </c>
    </row>
    <row r="970" customFormat="false" ht="15" hidden="false" customHeight="false" outlineLevel="0" collapsed="false">
      <c r="A970" s="28"/>
      <c r="B970" s="63"/>
      <c r="C970" s="64"/>
      <c r="D970" s="28"/>
      <c r="E970" s="28"/>
      <c r="F970" s="28"/>
      <c r="G970" s="64"/>
      <c r="H970" s="64"/>
      <c r="I970" s="28"/>
      <c r="J970" s="28"/>
      <c r="K970" s="65" t="str">
        <f aca="false">IF($A970="","",IF(OR($C970="Decision",$C970="Conflict"),IF(COUNTIFS($I$2:$I$1001,$A970,$C$2:$C$1001,"Resolved")=0,"Open","Closed"),IF(AND($H970="Unconfirmed",OR($C970="New",$C970="Know")),IF(COUNTIFS($I$2:$I$1001,$A970,$C$2:$C$1001,"Confirmed")=0,"Unconfirmed","Confirmed"),"Logged")))</f>
        <v/>
      </c>
      <c r="L970" s="65" t="str">
        <f aca="false">IF($A970="","",AsOf-$B970)</f>
        <v/>
      </c>
      <c r="M970" s="65" t="str">
        <f aca="false">IF($K970="Open",IF($C970="Conflict","Critical",IF($L970&gt;=DecisionCritical,"Critical",IF($L970&gt;=DecisionWarn,"Warning","On track"))),IF($K970="Unconfirmed",IF($L970&gt;=UnconfirmedWarn,"Warning","On track"),""))</f>
        <v/>
      </c>
      <c r="N970" s="65" t="str">
        <f aca="false">IF($M970="","",IF($M970="Critical",3000,IF($M970="Warning",2000,1000))+$L970+ROW()/100000)</f>
        <v/>
      </c>
      <c r="O970" s="65" t="str">
        <f aca="false">IF($K970="Open",IF($C970="Conflict","decide "&amp;$A970&amp;": &lt;which version stands&gt;","decide "&amp;$A970&amp;": &lt;outcome&gt;"),IF($K970="Unconfirmed","confirm "&amp;$A970,""))</f>
        <v/>
      </c>
      <c r="P970" s="65" t="str">
        <f aca="false">IF(AND($C970="New",$B970&gt;=WeekStart),$B970+ROW()/100000,"")</f>
        <v/>
      </c>
      <c r="Q970" s="65" t="str">
        <f aca="false">IF(AND($C970="Know",$B970&gt;=WeekStart),$B970+ROW()/100000,"")</f>
        <v/>
      </c>
      <c r="R970" s="65" t="str">
        <f aca="false">IF(AND($K970="Open",$C970="Decision"),$L970+ROW()/100000,"")</f>
        <v/>
      </c>
      <c r="S970" s="65" t="str">
        <f aca="false">IF(AND($J970&lt;&gt;"",$J970=UCSel),$B970+ROW()/100000,"")</f>
        <v/>
      </c>
    </row>
    <row r="971" customFormat="false" ht="15" hidden="false" customHeight="false" outlineLevel="0" collapsed="false">
      <c r="A971" s="28"/>
      <c r="B971" s="63"/>
      <c r="C971" s="64"/>
      <c r="D971" s="28"/>
      <c r="E971" s="28"/>
      <c r="F971" s="28"/>
      <c r="G971" s="64"/>
      <c r="H971" s="64"/>
      <c r="I971" s="28"/>
      <c r="J971" s="28"/>
      <c r="K971" s="65" t="str">
        <f aca="false">IF($A971="","",IF(OR($C971="Decision",$C971="Conflict"),IF(COUNTIFS($I$2:$I$1001,$A971,$C$2:$C$1001,"Resolved")=0,"Open","Closed"),IF(AND($H971="Unconfirmed",OR($C971="New",$C971="Know")),IF(COUNTIFS($I$2:$I$1001,$A971,$C$2:$C$1001,"Confirmed")=0,"Unconfirmed","Confirmed"),"Logged")))</f>
        <v/>
      </c>
      <c r="L971" s="65" t="str">
        <f aca="false">IF($A971="","",AsOf-$B971)</f>
        <v/>
      </c>
      <c r="M971" s="65" t="str">
        <f aca="false">IF($K971="Open",IF($C971="Conflict","Critical",IF($L971&gt;=DecisionCritical,"Critical",IF($L971&gt;=DecisionWarn,"Warning","On track"))),IF($K971="Unconfirmed",IF($L971&gt;=UnconfirmedWarn,"Warning","On track"),""))</f>
        <v/>
      </c>
      <c r="N971" s="65" t="str">
        <f aca="false">IF($M971="","",IF($M971="Critical",3000,IF($M971="Warning",2000,1000))+$L971+ROW()/100000)</f>
        <v/>
      </c>
      <c r="O971" s="65" t="str">
        <f aca="false">IF($K971="Open",IF($C971="Conflict","decide "&amp;$A971&amp;": &lt;which version stands&gt;","decide "&amp;$A971&amp;": &lt;outcome&gt;"),IF($K971="Unconfirmed","confirm "&amp;$A971,""))</f>
        <v/>
      </c>
      <c r="P971" s="65" t="str">
        <f aca="false">IF(AND($C971="New",$B971&gt;=WeekStart),$B971+ROW()/100000,"")</f>
        <v/>
      </c>
      <c r="Q971" s="65" t="str">
        <f aca="false">IF(AND($C971="Know",$B971&gt;=WeekStart),$B971+ROW()/100000,"")</f>
        <v/>
      </c>
      <c r="R971" s="65" t="str">
        <f aca="false">IF(AND($K971="Open",$C971="Decision"),$L971+ROW()/100000,"")</f>
        <v/>
      </c>
      <c r="S971" s="65" t="str">
        <f aca="false">IF(AND($J971&lt;&gt;"",$J971=UCSel),$B971+ROW()/100000,"")</f>
        <v/>
      </c>
    </row>
    <row r="972" customFormat="false" ht="15" hidden="false" customHeight="false" outlineLevel="0" collapsed="false">
      <c r="A972" s="28"/>
      <c r="B972" s="63"/>
      <c r="C972" s="64"/>
      <c r="D972" s="28"/>
      <c r="E972" s="28"/>
      <c r="F972" s="28"/>
      <c r="G972" s="64"/>
      <c r="H972" s="64"/>
      <c r="I972" s="28"/>
      <c r="J972" s="28"/>
      <c r="K972" s="65" t="str">
        <f aca="false">IF($A972="","",IF(OR($C972="Decision",$C972="Conflict"),IF(COUNTIFS($I$2:$I$1001,$A972,$C$2:$C$1001,"Resolved")=0,"Open","Closed"),IF(AND($H972="Unconfirmed",OR($C972="New",$C972="Know")),IF(COUNTIFS($I$2:$I$1001,$A972,$C$2:$C$1001,"Confirmed")=0,"Unconfirmed","Confirmed"),"Logged")))</f>
        <v/>
      </c>
      <c r="L972" s="65" t="str">
        <f aca="false">IF($A972="","",AsOf-$B972)</f>
        <v/>
      </c>
      <c r="M972" s="65" t="str">
        <f aca="false">IF($K972="Open",IF($C972="Conflict","Critical",IF($L972&gt;=DecisionCritical,"Critical",IF($L972&gt;=DecisionWarn,"Warning","On track"))),IF($K972="Unconfirmed",IF($L972&gt;=UnconfirmedWarn,"Warning","On track"),""))</f>
        <v/>
      </c>
      <c r="N972" s="65" t="str">
        <f aca="false">IF($M972="","",IF($M972="Critical",3000,IF($M972="Warning",2000,1000))+$L972+ROW()/100000)</f>
        <v/>
      </c>
      <c r="O972" s="65" t="str">
        <f aca="false">IF($K972="Open",IF($C972="Conflict","decide "&amp;$A972&amp;": &lt;which version stands&gt;","decide "&amp;$A972&amp;": &lt;outcome&gt;"),IF($K972="Unconfirmed","confirm "&amp;$A972,""))</f>
        <v/>
      </c>
      <c r="P972" s="65" t="str">
        <f aca="false">IF(AND($C972="New",$B972&gt;=WeekStart),$B972+ROW()/100000,"")</f>
        <v/>
      </c>
      <c r="Q972" s="65" t="str">
        <f aca="false">IF(AND($C972="Know",$B972&gt;=WeekStart),$B972+ROW()/100000,"")</f>
        <v/>
      </c>
      <c r="R972" s="65" t="str">
        <f aca="false">IF(AND($K972="Open",$C972="Decision"),$L972+ROW()/100000,"")</f>
        <v/>
      </c>
      <c r="S972" s="65" t="str">
        <f aca="false">IF(AND($J972&lt;&gt;"",$J972=UCSel),$B972+ROW()/100000,"")</f>
        <v/>
      </c>
    </row>
    <row r="973" customFormat="false" ht="15" hidden="false" customHeight="false" outlineLevel="0" collapsed="false">
      <c r="A973" s="28"/>
      <c r="B973" s="63"/>
      <c r="C973" s="64"/>
      <c r="D973" s="28"/>
      <c r="E973" s="28"/>
      <c r="F973" s="28"/>
      <c r="G973" s="64"/>
      <c r="H973" s="64"/>
      <c r="I973" s="28"/>
      <c r="J973" s="28"/>
      <c r="K973" s="65" t="str">
        <f aca="false">IF($A973="","",IF(OR($C973="Decision",$C973="Conflict"),IF(COUNTIFS($I$2:$I$1001,$A973,$C$2:$C$1001,"Resolved")=0,"Open","Closed"),IF(AND($H973="Unconfirmed",OR($C973="New",$C973="Know")),IF(COUNTIFS($I$2:$I$1001,$A973,$C$2:$C$1001,"Confirmed")=0,"Unconfirmed","Confirmed"),"Logged")))</f>
        <v/>
      </c>
      <c r="L973" s="65" t="str">
        <f aca="false">IF($A973="","",AsOf-$B973)</f>
        <v/>
      </c>
      <c r="M973" s="65" t="str">
        <f aca="false">IF($K973="Open",IF($C973="Conflict","Critical",IF($L973&gt;=DecisionCritical,"Critical",IF($L973&gt;=DecisionWarn,"Warning","On track"))),IF($K973="Unconfirmed",IF($L973&gt;=UnconfirmedWarn,"Warning","On track"),""))</f>
        <v/>
      </c>
      <c r="N973" s="65" t="str">
        <f aca="false">IF($M973="","",IF($M973="Critical",3000,IF($M973="Warning",2000,1000))+$L973+ROW()/100000)</f>
        <v/>
      </c>
      <c r="O973" s="65" t="str">
        <f aca="false">IF($K973="Open",IF($C973="Conflict","decide "&amp;$A973&amp;": &lt;which version stands&gt;","decide "&amp;$A973&amp;": &lt;outcome&gt;"),IF($K973="Unconfirmed","confirm "&amp;$A973,""))</f>
        <v/>
      </c>
      <c r="P973" s="65" t="str">
        <f aca="false">IF(AND($C973="New",$B973&gt;=WeekStart),$B973+ROW()/100000,"")</f>
        <v/>
      </c>
      <c r="Q973" s="65" t="str">
        <f aca="false">IF(AND($C973="Know",$B973&gt;=WeekStart),$B973+ROW()/100000,"")</f>
        <v/>
      </c>
      <c r="R973" s="65" t="str">
        <f aca="false">IF(AND($K973="Open",$C973="Decision"),$L973+ROW()/100000,"")</f>
        <v/>
      </c>
      <c r="S973" s="65" t="str">
        <f aca="false">IF(AND($J973&lt;&gt;"",$J973=UCSel),$B973+ROW()/100000,"")</f>
        <v/>
      </c>
    </row>
    <row r="974" customFormat="false" ht="15" hidden="false" customHeight="false" outlineLevel="0" collapsed="false">
      <c r="A974" s="28"/>
      <c r="B974" s="63"/>
      <c r="C974" s="64"/>
      <c r="D974" s="28"/>
      <c r="E974" s="28"/>
      <c r="F974" s="28"/>
      <c r="G974" s="64"/>
      <c r="H974" s="64"/>
      <c r="I974" s="28"/>
      <c r="J974" s="28"/>
      <c r="K974" s="65" t="str">
        <f aca="false">IF($A974="","",IF(OR($C974="Decision",$C974="Conflict"),IF(COUNTIFS($I$2:$I$1001,$A974,$C$2:$C$1001,"Resolved")=0,"Open","Closed"),IF(AND($H974="Unconfirmed",OR($C974="New",$C974="Know")),IF(COUNTIFS($I$2:$I$1001,$A974,$C$2:$C$1001,"Confirmed")=0,"Unconfirmed","Confirmed"),"Logged")))</f>
        <v/>
      </c>
      <c r="L974" s="65" t="str">
        <f aca="false">IF($A974="","",AsOf-$B974)</f>
        <v/>
      </c>
      <c r="M974" s="65" t="str">
        <f aca="false">IF($K974="Open",IF($C974="Conflict","Critical",IF($L974&gt;=DecisionCritical,"Critical",IF($L974&gt;=DecisionWarn,"Warning","On track"))),IF($K974="Unconfirmed",IF($L974&gt;=UnconfirmedWarn,"Warning","On track"),""))</f>
        <v/>
      </c>
      <c r="N974" s="65" t="str">
        <f aca="false">IF($M974="","",IF($M974="Critical",3000,IF($M974="Warning",2000,1000))+$L974+ROW()/100000)</f>
        <v/>
      </c>
      <c r="O974" s="65" t="str">
        <f aca="false">IF($K974="Open",IF($C974="Conflict","decide "&amp;$A974&amp;": &lt;which version stands&gt;","decide "&amp;$A974&amp;": &lt;outcome&gt;"),IF($K974="Unconfirmed","confirm "&amp;$A974,""))</f>
        <v/>
      </c>
      <c r="P974" s="65" t="str">
        <f aca="false">IF(AND($C974="New",$B974&gt;=WeekStart),$B974+ROW()/100000,"")</f>
        <v/>
      </c>
      <c r="Q974" s="65" t="str">
        <f aca="false">IF(AND($C974="Know",$B974&gt;=WeekStart),$B974+ROW()/100000,"")</f>
        <v/>
      </c>
      <c r="R974" s="65" t="str">
        <f aca="false">IF(AND($K974="Open",$C974="Decision"),$L974+ROW()/100000,"")</f>
        <v/>
      </c>
      <c r="S974" s="65" t="str">
        <f aca="false">IF(AND($J974&lt;&gt;"",$J974=UCSel),$B974+ROW()/100000,"")</f>
        <v/>
      </c>
    </row>
    <row r="975" customFormat="false" ht="15" hidden="false" customHeight="false" outlineLevel="0" collapsed="false">
      <c r="A975" s="28"/>
      <c r="B975" s="63"/>
      <c r="C975" s="64"/>
      <c r="D975" s="28"/>
      <c r="E975" s="28"/>
      <c r="F975" s="28"/>
      <c r="G975" s="64"/>
      <c r="H975" s="64"/>
      <c r="I975" s="28"/>
      <c r="J975" s="28"/>
      <c r="K975" s="65" t="str">
        <f aca="false">IF($A975="","",IF(OR($C975="Decision",$C975="Conflict"),IF(COUNTIFS($I$2:$I$1001,$A975,$C$2:$C$1001,"Resolved")=0,"Open","Closed"),IF(AND($H975="Unconfirmed",OR($C975="New",$C975="Know")),IF(COUNTIFS($I$2:$I$1001,$A975,$C$2:$C$1001,"Confirmed")=0,"Unconfirmed","Confirmed"),"Logged")))</f>
        <v/>
      </c>
      <c r="L975" s="65" t="str">
        <f aca="false">IF($A975="","",AsOf-$B975)</f>
        <v/>
      </c>
      <c r="M975" s="65" t="str">
        <f aca="false">IF($K975="Open",IF($C975="Conflict","Critical",IF($L975&gt;=DecisionCritical,"Critical",IF($L975&gt;=DecisionWarn,"Warning","On track"))),IF($K975="Unconfirmed",IF($L975&gt;=UnconfirmedWarn,"Warning","On track"),""))</f>
        <v/>
      </c>
      <c r="N975" s="65" t="str">
        <f aca="false">IF($M975="","",IF($M975="Critical",3000,IF($M975="Warning",2000,1000))+$L975+ROW()/100000)</f>
        <v/>
      </c>
      <c r="O975" s="65" t="str">
        <f aca="false">IF($K975="Open",IF($C975="Conflict","decide "&amp;$A975&amp;": &lt;which version stands&gt;","decide "&amp;$A975&amp;": &lt;outcome&gt;"),IF($K975="Unconfirmed","confirm "&amp;$A975,""))</f>
        <v/>
      </c>
      <c r="P975" s="65" t="str">
        <f aca="false">IF(AND($C975="New",$B975&gt;=WeekStart),$B975+ROW()/100000,"")</f>
        <v/>
      </c>
      <c r="Q975" s="65" t="str">
        <f aca="false">IF(AND($C975="Know",$B975&gt;=WeekStart),$B975+ROW()/100000,"")</f>
        <v/>
      </c>
      <c r="R975" s="65" t="str">
        <f aca="false">IF(AND($K975="Open",$C975="Decision"),$L975+ROW()/100000,"")</f>
        <v/>
      </c>
      <c r="S975" s="65" t="str">
        <f aca="false">IF(AND($J975&lt;&gt;"",$J975=UCSel),$B975+ROW()/100000,"")</f>
        <v/>
      </c>
    </row>
    <row r="976" customFormat="false" ht="15" hidden="false" customHeight="false" outlineLevel="0" collapsed="false">
      <c r="A976" s="28"/>
      <c r="B976" s="63"/>
      <c r="C976" s="64"/>
      <c r="D976" s="28"/>
      <c r="E976" s="28"/>
      <c r="F976" s="28"/>
      <c r="G976" s="64"/>
      <c r="H976" s="64"/>
      <c r="I976" s="28"/>
      <c r="J976" s="28"/>
      <c r="K976" s="65" t="str">
        <f aca="false">IF($A976="","",IF(OR($C976="Decision",$C976="Conflict"),IF(COUNTIFS($I$2:$I$1001,$A976,$C$2:$C$1001,"Resolved")=0,"Open","Closed"),IF(AND($H976="Unconfirmed",OR($C976="New",$C976="Know")),IF(COUNTIFS($I$2:$I$1001,$A976,$C$2:$C$1001,"Confirmed")=0,"Unconfirmed","Confirmed"),"Logged")))</f>
        <v/>
      </c>
      <c r="L976" s="65" t="str">
        <f aca="false">IF($A976="","",AsOf-$B976)</f>
        <v/>
      </c>
      <c r="M976" s="65" t="str">
        <f aca="false">IF($K976="Open",IF($C976="Conflict","Critical",IF($L976&gt;=DecisionCritical,"Critical",IF($L976&gt;=DecisionWarn,"Warning","On track"))),IF($K976="Unconfirmed",IF($L976&gt;=UnconfirmedWarn,"Warning","On track"),""))</f>
        <v/>
      </c>
      <c r="N976" s="65" t="str">
        <f aca="false">IF($M976="","",IF($M976="Critical",3000,IF($M976="Warning",2000,1000))+$L976+ROW()/100000)</f>
        <v/>
      </c>
      <c r="O976" s="65" t="str">
        <f aca="false">IF($K976="Open",IF($C976="Conflict","decide "&amp;$A976&amp;": &lt;which version stands&gt;","decide "&amp;$A976&amp;": &lt;outcome&gt;"),IF($K976="Unconfirmed","confirm "&amp;$A976,""))</f>
        <v/>
      </c>
      <c r="P976" s="65" t="str">
        <f aca="false">IF(AND($C976="New",$B976&gt;=WeekStart),$B976+ROW()/100000,"")</f>
        <v/>
      </c>
      <c r="Q976" s="65" t="str">
        <f aca="false">IF(AND($C976="Know",$B976&gt;=WeekStart),$B976+ROW()/100000,"")</f>
        <v/>
      </c>
      <c r="R976" s="65" t="str">
        <f aca="false">IF(AND($K976="Open",$C976="Decision"),$L976+ROW()/100000,"")</f>
        <v/>
      </c>
      <c r="S976" s="65" t="str">
        <f aca="false">IF(AND($J976&lt;&gt;"",$J976=UCSel),$B976+ROW()/100000,"")</f>
        <v/>
      </c>
    </row>
    <row r="977" customFormat="false" ht="15" hidden="false" customHeight="false" outlineLevel="0" collapsed="false">
      <c r="A977" s="28"/>
      <c r="B977" s="63"/>
      <c r="C977" s="64"/>
      <c r="D977" s="28"/>
      <c r="E977" s="28"/>
      <c r="F977" s="28"/>
      <c r="G977" s="64"/>
      <c r="H977" s="64"/>
      <c r="I977" s="28"/>
      <c r="J977" s="28"/>
      <c r="K977" s="65" t="str">
        <f aca="false">IF($A977="","",IF(OR($C977="Decision",$C977="Conflict"),IF(COUNTIFS($I$2:$I$1001,$A977,$C$2:$C$1001,"Resolved")=0,"Open","Closed"),IF(AND($H977="Unconfirmed",OR($C977="New",$C977="Know")),IF(COUNTIFS($I$2:$I$1001,$A977,$C$2:$C$1001,"Confirmed")=0,"Unconfirmed","Confirmed"),"Logged")))</f>
        <v/>
      </c>
      <c r="L977" s="65" t="str">
        <f aca="false">IF($A977="","",AsOf-$B977)</f>
        <v/>
      </c>
      <c r="M977" s="65" t="str">
        <f aca="false">IF($K977="Open",IF($C977="Conflict","Critical",IF($L977&gt;=DecisionCritical,"Critical",IF($L977&gt;=DecisionWarn,"Warning","On track"))),IF($K977="Unconfirmed",IF($L977&gt;=UnconfirmedWarn,"Warning","On track"),""))</f>
        <v/>
      </c>
      <c r="N977" s="65" t="str">
        <f aca="false">IF($M977="","",IF($M977="Critical",3000,IF($M977="Warning",2000,1000))+$L977+ROW()/100000)</f>
        <v/>
      </c>
      <c r="O977" s="65" t="str">
        <f aca="false">IF($K977="Open",IF($C977="Conflict","decide "&amp;$A977&amp;": &lt;which version stands&gt;","decide "&amp;$A977&amp;": &lt;outcome&gt;"),IF($K977="Unconfirmed","confirm "&amp;$A977,""))</f>
        <v/>
      </c>
      <c r="P977" s="65" t="str">
        <f aca="false">IF(AND($C977="New",$B977&gt;=WeekStart),$B977+ROW()/100000,"")</f>
        <v/>
      </c>
      <c r="Q977" s="65" t="str">
        <f aca="false">IF(AND($C977="Know",$B977&gt;=WeekStart),$B977+ROW()/100000,"")</f>
        <v/>
      </c>
      <c r="R977" s="65" t="str">
        <f aca="false">IF(AND($K977="Open",$C977="Decision"),$L977+ROW()/100000,"")</f>
        <v/>
      </c>
      <c r="S977" s="65" t="str">
        <f aca="false">IF(AND($J977&lt;&gt;"",$J977=UCSel),$B977+ROW()/100000,"")</f>
        <v/>
      </c>
    </row>
    <row r="978" customFormat="false" ht="15" hidden="false" customHeight="false" outlineLevel="0" collapsed="false">
      <c r="A978" s="28"/>
      <c r="B978" s="63"/>
      <c r="C978" s="64"/>
      <c r="D978" s="28"/>
      <c r="E978" s="28"/>
      <c r="F978" s="28"/>
      <c r="G978" s="64"/>
      <c r="H978" s="64"/>
      <c r="I978" s="28"/>
      <c r="J978" s="28"/>
      <c r="K978" s="65" t="str">
        <f aca="false">IF($A978="","",IF(OR($C978="Decision",$C978="Conflict"),IF(COUNTIFS($I$2:$I$1001,$A978,$C$2:$C$1001,"Resolved")=0,"Open","Closed"),IF(AND($H978="Unconfirmed",OR($C978="New",$C978="Know")),IF(COUNTIFS($I$2:$I$1001,$A978,$C$2:$C$1001,"Confirmed")=0,"Unconfirmed","Confirmed"),"Logged")))</f>
        <v/>
      </c>
      <c r="L978" s="65" t="str">
        <f aca="false">IF($A978="","",AsOf-$B978)</f>
        <v/>
      </c>
      <c r="M978" s="65" t="str">
        <f aca="false">IF($K978="Open",IF($C978="Conflict","Critical",IF($L978&gt;=DecisionCritical,"Critical",IF($L978&gt;=DecisionWarn,"Warning","On track"))),IF($K978="Unconfirmed",IF($L978&gt;=UnconfirmedWarn,"Warning","On track"),""))</f>
        <v/>
      </c>
      <c r="N978" s="65" t="str">
        <f aca="false">IF($M978="","",IF($M978="Critical",3000,IF($M978="Warning",2000,1000))+$L978+ROW()/100000)</f>
        <v/>
      </c>
      <c r="O978" s="65" t="str">
        <f aca="false">IF($K978="Open",IF($C978="Conflict","decide "&amp;$A978&amp;": &lt;which version stands&gt;","decide "&amp;$A978&amp;": &lt;outcome&gt;"),IF($K978="Unconfirmed","confirm "&amp;$A978,""))</f>
        <v/>
      </c>
      <c r="P978" s="65" t="str">
        <f aca="false">IF(AND($C978="New",$B978&gt;=WeekStart),$B978+ROW()/100000,"")</f>
        <v/>
      </c>
      <c r="Q978" s="65" t="str">
        <f aca="false">IF(AND($C978="Know",$B978&gt;=WeekStart),$B978+ROW()/100000,"")</f>
        <v/>
      </c>
      <c r="R978" s="65" t="str">
        <f aca="false">IF(AND($K978="Open",$C978="Decision"),$L978+ROW()/100000,"")</f>
        <v/>
      </c>
      <c r="S978" s="65" t="str">
        <f aca="false">IF(AND($J978&lt;&gt;"",$J978=UCSel),$B978+ROW()/100000,"")</f>
        <v/>
      </c>
    </row>
    <row r="979" customFormat="false" ht="15" hidden="false" customHeight="false" outlineLevel="0" collapsed="false">
      <c r="A979" s="28"/>
      <c r="B979" s="63"/>
      <c r="C979" s="64"/>
      <c r="D979" s="28"/>
      <c r="E979" s="28"/>
      <c r="F979" s="28"/>
      <c r="G979" s="64"/>
      <c r="H979" s="64"/>
      <c r="I979" s="28"/>
      <c r="J979" s="28"/>
      <c r="K979" s="65" t="str">
        <f aca="false">IF($A979="","",IF(OR($C979="Decision",$C979="Conflict"),IF(COUNTIFS($I$2:$I$1001,$A979,$C$2:$C$1001,"Resolved")=0,"Open","Closed"),IF(AND($H979="Unconfirmed",OR($C979="New",$C979="Know")),IF(COUNTIFS($I$2:$I$1001,$A979,$C$2:$C$1001,"Confirmed")=0,"Unconfirmed","Confirmed"),"Logged")))</f>
        <v/>
      </c>
      <c r="L979" s="65" t="str">
        <f aca="false">IF($A979="","",AsOf-$B979)</f>
        <v/>
      </c>
      <c r="M979" s="65" t="str">
        <f aca="false">IF($K979="Open",IF($C979="Conflict","Critical",IF($L979&gt;=DecisionCritical,"Critical",IF($L979&gt;=DecisionWarn,"Warning","On track"))),IF($K979="Unconfirmed",IF($L979&gt;=UnconfirmedWarn,"Warning","On track"),""))</f>
        <v/>
      </c>
      <c r="N979" s="65" t="str">
        <f aca="false">IF($M979="","",IF($M979="Critical",3000,IF($M979="Warning",2000,1000))+$L979+ROW()/100000)</f>
        <v/>
      </c>
      <c r="O979" s="65" t="str">
        <f aca="false">IF($K979="Open",IF($C979="Conflict","decide "&amp;$A979&amp;": &lt;which version stands&gt;","decide "&amp;$A979&amp;": &lt;outcome&gt;"),IF($K979="Unconfirmed","confirm "&amp;$A979,""))</f>
        <v/>
      </c>
      <c r="P979" s="65" t="str">
        <f aca="false">IF(AND($C979="New",$B979&gt;=WeekStart),$B979+ROW()/100000,"")</f>
        <v/>
      </c>
      <c r="Q979" s="65" t="str">
        <f aca="false">IF(AND($C979="Know",$B979&gt;=WeekStart),$B979+ROW()/100000,"")</f>
        <v/>
      </c>
      <c r="R979" s="65" t="str">
        <f aca="false">IF(AND($K979="Open",$C979="Decision"),$L979+ROW()/100000,"")</f>
        <v/>
      </c>
      <c r="S979" s="65" t="str">
        <f aca="false">IF(AND($J979&lt;&gt;"",$J979=UCSel),$B979+ROW()/100000,"")</f>
        <v/>
      </c>
    </row>
    <row r="980" customFormat="false" ht="15" hidden="false" customHeight="false" outlineLevel="0" collapsed="false">
      <c r="A980" s="28"/>
      <c r="B980" s="63"/>
      <c r="C980" s="64"/>
      <c r="D980" s="28"/>
      <c r="E980" s="28"/>
      <c r="F980" s="28"/>
      <c r="G980" s="64"/>
      <c r="H980" s="64"/>
      <c r="I980" s="28"/>
      <c r="J980" s="28"/>
      <c r="K980" s="65" t="str">
        <f aca="false">IF($A980="","",IF(OR($C980="Decision",$C980="Conflict"),IF(COUNTIFS($I$2:$I$1001,$A980,$C$2:$C$1001,"Resolved")=0,"Open","Closed"),IF(AND($H980="Unconfirmed",OR($C980="New",$C980="Know")),IF(COUNTIFS($I$2:$I$1001,$A980,$C$2:$C$1001,"Confirmed")=0,"Unconfirmed","Confirmed"),"Logged")))</f>
        <v/>
      </c>
      <c r="L980" s="65" t="str">
        <f aca="false">IF($A980="","",AsOf-$B980)</f>
        <v/>
      </c>
      <c r="M980" s="65" t="str">
        <f aca="false">IF($K980="Open",IF($C980="Conflict","Critical",IF($L980&gt;=DecisionCritical,"Critical",IF($L980&gt;=DecisionWarn,"Warning","On track"))),IF($K980="Unconfirmed",IF($L980&gt;=UnconfirmedWarn,"Warning","On track"),""))</f>
        <v/>
      </c>
      <c r="N980" s="65" t="str">
        <f aca="false">IF($M980="","",IF($M980="Critical",3000,IF($M980="Warning",2000,1000))+$L980+ROW()/100000)</f>
        <v/>
      </c>
      <c r="O980" s="65" t="str">
        <f aca="false">IF($K980="Open",IF($C980="Conflict","decide "&amp;$A980&amp;": &lt;which version stands&gt;","decide "&amp;$A980&amp;": &lt;outcome&gt;"),IF($K980="Unconfirmed","confirm "&amp;$A980,""))</f>
        <v/>
      </c>
      <c r="P980" s="65" t="str">
        <f aca="false">IF(AND($C980="New",$B980&gt;=WeekStart),$B980+ROW()/100000,"")</f>
        <v/>
      </c>
      <c r="Q980" s="65" t="str">
        <f aca="false">IF(AND($C980="Know",$B980&gt;=WeekStart),$B980+ROW()/100000,"")</f>
        <v/>
      </c>
      <c r="R980" s="65" t="str">
        <f aca="false">IF(AND($K980="Open",$C980="Decision"),$L980+ROW()/100000,"")</f>
        <v/>
      </c>
      <c r="S980" s="65" t="str">
        <f aca="false">IF(AND($J980&lt;&gt;"",$J980=UCSel),$B980+ROW()/100000,"")</f>
        <v/>
      </c>
    </row>
    <row r="981" customFormat="false" ht="15" hidden="false" customHeight="false" outlineLevel="0" collapsed="false">
      <c r="A981" s="28"/>
      <c r="B981" s="63"/>
      <c r="C981" s="64"/>
      <c r="D981" s="28"/>
      <c r="E981" s="28"/>
      <c r="F981" s="28"/>
      <c r="G981" s="64"/>
      <c r="H981" s="64"/>
      <c r="I981" s="28"/>
      <c r="J981" s="28"/>
      <c r="K981" s="65" t="str">
        <f aca="false">IF($A981="","",IF(OR($C981="Decision",$C981="Conflict"),IF(COUNTIFS($I$2:$I$1001,$A981,$C$2:$C$1001,"Resolved")=0,"Open","Closed"),IF(AND($H981="Unconfirmed",OR($C981="New",$C981="Know")),IF(COUNTIFS($I$2:$I$1001,$A981,$C$2:$C$1001,"Confirmed")=0,"Unconfirmed","Confirmed"),"Logged")))</f>
        <v/>
      </c>
      <c r="L981" s="65" t="str">
        <f aca="false">IF($A981="","",AsOf-$B981)</f>
        <v/>
      </c>
      <c r="M981" s="65" t="str">
        <f aca="false">IF($K981="Open",IF($C981="Conflict","Critical",IF($L981&gt;=DecisionCritical,"Critical",IF($L981&gt;=DecisionWarn,"Warning","On track"))),IF($K981="Unconfirmed",IF($L981&gt;=UnconfirmedWarn,"Warning","On track"),""))</f>
        <v/>
      </c>
      <c r="N981" s="65" t="str">
        <f aca="false">IF($M981="","",IF($M981="Critical",3000,IF($M981="Warning",2000,1000))+$L981+ROW()/100000)</f>
        <v/>
      </c>
      <c r="O981" s="65" t="str">
        <f aca="false">IF($K981="Open",IF($C981="Conflict","decide "&amp;$A981&amp;": &lt;which version stands&gt;","decide "&amp;$A981&amp;": &lt;outcome&gt;"),IF($K981="Unconfirmed","confirm "&amp;$A981,""))</f>
        <v/>
      </c>
      <c r="P981" s="65" t="str">
        <f aca="false">IF(AND($C981="New",$B981&gt;=WeekStart),$B981+ROW()/100000,"")</f>
        <v/>
      </c>
      <c r="Q981" s="65" t="str">
        <f aca="false">IF(AND($C981="Know",$B981&gt;=WeekStart),$B981+ROW()/100000,"")</f>
        <v/>
      </c>
      <c r="R981" s="65" t="str">
        <f aca="false">IF(AND($K981="Open",$C981="Decision"),$L981+ROW()/100000,"")</f>
        <v/>
      </c>
      <c r="S981" s="65" t="str">
        <f aca="false">IF(AND($J981&lt;&gt;"",$J981=UCSel),$B981+ROW()/100000,"")</f>
        <v/>
      </c>
    </row>
    <row r="982" customFormat="false" ht="15" hidden="false" customHeight="false" outlineLevel="0" collapsed="false">
      <c r="A982" s="28"/>
      <c r="B982" s="63"/>
      <c r="C982" s="64"/>
      <c r="D982" s="28"/>
      <c r="E982" s="28"/>
      <c r="F982" s="28"/>
      <c r="G982" s="64"/>
      <c r="H982" s="64"/>
      <c r="I982" s="28"/>
      <c r="J982" s="28"/>
      <c r="K982" s="65" t="str">
        <f aca="false">IF($A982="","",IF(OR($C982="Decision",$C982="Conflict"),IF(COUNTIFS($I$2:$I$1001,$A982,$C$2:$C$1001,"Resolved")=0,"Open","Closed"),IF(AND($H982="Unconfirmed",OR($C982="New",$C982="Know")),IF(COUNTIFS($I$2:$I$1001,$A982,$C$2:$C$1001,"Confirmed")=0,"Unconfirmed","Confirmed"),"Logged")))</f>
        <v/>
      </c>
      <c r="L982" s="65" t="str">
        <f aca="false">IF($A982="","",AsOf-$B982)</f>
        <v/>
      </c>
      <c r="M982" s="65" t="str">
        <f aca="false">IF($K982="Open",IF($C982="Conflict","Critical",IF($L982&gt;=DecisionCritical,"Critical",IF($L982&gt;=DecisionWarn,"Warning","On track"))),IF($K982="Unconfirmed",IF($L982&gt;=UnconfirmedWarn,"Warning","On track"),""))</f>
        <v/>
      </c>
      <c r="N982" s="65" t="str">
        <f aca="false">IF($M982="","",IF($M982="Critical",3000,IF($M982="Warning",2000,1000))+$L982+ROW()/100000)</f>
        <v/>
      </c>
      <c r="O982" s="65" t="str">
        <f aca="false">IF($K982="Open",IF($C982="Conflict","decide "&amp;$A982&amp;": &lt;which version stands&gt;","decide "&amp;$A982&amp;": &lt;outcome&gt;"),IF($K982="Unconfirmed","confirm "&amp;$A982,""))</f>
        <v/>
      </c>
      <c r="P982" s="65" t="str">
        <f aca="false">IF(AND($C982="New",$B982&gt;=WeekStart),$B982+ROW()/100000,"")</f>
        <v/>
      </c>
      <c r="Q982" s="65" t="str">
        <f aca="false">IF(AND($C982="Know",$B982&gt;=WeekStart),$B982+ROW()/100000,"")</f>
        <v/>
      </c>
      <c r="R982" s="65" t="str">
        <f aca="false">IF(AND($K982="Open",$C982="Decision"),$L982+ROW()/100000,"")</f>
        <v/>
      </c>
      <c r="S982" s="65" t="str">
        <f aca="false">IF(AND($J982&lt;&gt;"",$J982=UCSel),$B982+ROW()/100000,"")</f>
        <v/>
      </c>
    </row>
    <row r="983" customFormat="false" ht="15" hidden="false" customHeight="false" outlineLevel="0" collapsed="false">
      <c r="A983" s="28"/>
      <c r="B983" s="63"/>
      <c r="C983" s="64"/>
      <c r="D983" s="28"/>
      <c r="E983" s="28"/>
      <c r="F983" s="28"/>
      <c r="G983" s="64"/>
      <c r="H983" s="64"/>
      <c r="I983" s="28"/>
      <c r="J983" s="28"/>
      <c r="K983" s="65" t="str">
        <f aca="false">IF($A983="","",IF(OR($C983="Decision",$C983="Conflict"),IF(COUNTIFS($I$2:$I$1001,$A983,$C$2:$C$1001,"Resolved")=0,"Open","Closed"),IF(AND($H983="Unconfirmed",OR($C983="New",$C983="Know")),IF(COUNTIFS($I$2:$I$1001,$A983,$C$2:$C$1001,"Confirmed")=0,"Unconfirmed","Confirmed"),"Logged")))</f>
        <v/>
      </c>
      <c r="L983" s="65" t="str">
        <f aca="false">IF($A983="","",AsOf-$B983)</f>
        <v/>
      </c>
      <c r="M983" s="65" t="str">
        <f aca="false">IF($K983="Open",IF($C983="Conflict","Critical",IF($L983&gt;=DecisionCritical,"Critical",IF($L983&gt;=DecisionWarn,"Warning","On track"))),IF($K983="Unconfirmed",IF($L983&gt;=UnconfirmedWarn,"Warning","On track"),""))</f>
        <v/>
      </c>
      <c r="N983" s="65" t="str">
        <f aca="false">IF($M983="","",IF($M983="Critical",3000,IF($M983="Warning",2000,1000))+$L983+ROW()/100000)</f>
        <v/>
      </c>
      <c r="O983" s="65" t="str">
        <f aca="false">IF($K983="Open",IF($C983="Conflict","decide "&amp;$A983&amp;": &lt;which version stands&gt;","decide "&amp;$A983&amp;": &lt;outcome&gt;"),IF($K983="Unconfirmed","confirm "&amp;$A983,""))</f>
        <v/>
      </c>
      <c r="P983" s="65" t="str">
        <f aca="false">IF(AND($C983="New",$B983&gt;=WeekStart),$B983+ROW()/100000,"")</f>
        <v/>
      </c>
      <c r="Q983" s="65" t="str">
        <f aca="false">IF(AND($C983="Know",$B983&gt;=WeekStart),$B983+ROW()/100000,"")</f>
        <v/>
      </c>
      <c r="R983" s="65" t="str">
        <f aca="false">IF(AND($K983="Open",$C983="Decision"),$L983+ROW()/100000,"")</f>
        <v/>
      </c>
      <c r="S983" s="65" t="str">
        <f aca="false">IF(AND($J983&lt;&gt;"",$J983=UCSel),$B983+ROW()/100000,"")</f>
        <v/>
      </c>
    </row>
    <row r="984" customFormat="false" ht="15" hidden="false" customHeight="false" outlineLevel="0" collapsed="false">
      <c r="A984" s="28"/>
      <c r="B984" s="63"/>
      <c r="C984" s="64"/>
      <c r="D984" s="28"/>
      <c r="E984" s="28"/>
      <c r="F984" s="28"/>
      <c r="G984" s="64"/>
      <c r="H984" s="64"/>
      <c r="I984" s="28"/>
      <c r="J984" s="28"/>
      <c r="K984" s="65" t="str">
        <f aca="false">IF($A984="","",IF(OR($C984="Decision",$C984="Conflict"),IF(COUNTIFS($I$2:$I$1001,$A984,$C$2:$C$1001,"Resolved")=0,"Open","Closed"),IF(AND($H984="Unconfirmed",OR($C984="New",$C984="Know")),IF(COUNTIFS($I$2:$I$1001,$A984,$C$2:$C$1001,"Confirmed")=0,"Unconfirmed","Confirmed"),"Logged")))</f>
        <v/>
      </c>
      <c r="L984" s="65" t="str">
        <f aca="false">IF($A984="","",AsOf-$B984)</f>
        <v/>
      </c>
      <c r="M984" s="65" t="str">
        <f aca="false">IF($K984="Open",IF($C984="Conflict","Critical",IF($L984&gt;=DecisionCritical,"Critical",IF($L984&gt;=DecisionWarn,"Warning","On track"))),IF($K984="Unconfirmed",IF($L984&gt;=UnconfirmedWarn,"Warning","On track"),""))</f>
        <v/>
      </c>
      <c r="N984" s="65" t="str">
        <f aca="false">IF($M984="","",IF($M984="Critical",3000,IF($M984="Warning",2000,1000))+$L984+ROW()/100000)</f>
        <v/>
      </c>
      <c r="O984" s="65" t="str">
        <f aca="false">IF($K984="Open",IF($C984="Conflict","decide "&amp;$A984&amp;": &lt;which version stands&gt;","decide "&amp;$A984&amp;": &lt;outcome&gt;"),IF($K984="Unconfirmed","confirm "&amp;$A984,""))</f>
        <v/>
      </c>
      <c r="P984" s="65" t="str">
        <f aca="false">IF(AND($C984="New",$B984&gt;=WeekStart),$B984+ROW()/100000,"")</f>
        <v/>
      </c>
      <c r="Q984" s="65" t="str">
        <f aca="false">IF(AND($C984="Know",$B984&gt;=WeekStart),$B984+ROW()/100000,"")</f>
        <v/>
      </c>
      <c r="R984" s="65" t="str">
        <f aca="false">IF(AND($K984="Open",$C984="Decision"),$L984+ROW()/100000,"")</f>
        <v/>
      </c>
      <c r="S984" s="65" t="str">
        <f aca="false">IF(AND($J984&lt;&gt;"",$J984=UCSel),$B984+ROW()/100000,"")</f>
        <v/>
      </c>
    </row>
    <row r="985" customFormat="false" ht="15" hidden="false" customHeight="false" outlineLevel="0" collapsed="false">
      <c r="A985" s="28"/>
      <c r="B985" s="63"/>
      <c r="C985" s="64"/>
      <c r="D985" s="28"/>
      <c r="E985" s="28"/>
      <c r="F985" s="28"/>
      <c r="G985" s="64"/>
      <c r="H985" s="64"/>
      <c r="I985" s="28"/>
      <c r="J985" s="28"/>
      <c r="K985" s="65" t="str">
        <f aca="false">IF($A985="","",IF(OR($C985="Decision",$C985="Conflict"),IF(COUNTIFS($I$2:$I$1001,$A985,$C$2:$C$1001,"Resolved")=0,"Open","Closed"),IF(AND($H985="Unconfirmed",OR($C985="New",$C985="Know")),IF(COUNTIFS($I$2:$I$1001,$A985,$C$2:$C$1001,"Confirmed")=0,"Unconfirmed","Confirmed"),"Logged")))</f>
        <v/>
      </c>
      <c r="L985" s="65" t="str">
        <f aca="false">IF($A985="","",AsOf-$B985)</f>
        <v/>
      </c>
      <c r="M985" s="65" t="str">
        <f aca="false">IF($K985="Open",IF($C985="Conflict","Critical",IF($L985&gt;=DecisionCritical,"Critical",IF($L985&gt;=DecisionWarn,"Warning","On track"))),IF($K985="Unconfirmed",IF($L985&gt;=UnconfirmedWarn,"Warning","On track"),""))</f>
        <v/>
      </c>
      <c r="N985" s="65" t="str">
        <f aca="false">IF($M985="","",IF($M985="Critical",3000,IF($M985="Warning",2000,1000))+$L985+ROW()/100000)</f>
        <v/>
      </c>
      <c r="O985" s="65" t="str">
        <f aca="false">IF($K985="Open",IF($C985="Conflict","decide "&amp;$A985&amp;": &lt;which version stands&gt;","decide "&amp;$A985&amp;": &lt;outcome&gt;"),IF($K985="Unconfirmed","confirm "&amp;$A985,""))</f>
        <v/>
      </c>
      <c r="P985" s="65" t="str">
        <f aca="false">IF(AND($C985="New",$B985&gt;=WeekStart),$B985+ROW()/100000,"")</f>
        <v/>
      </c>
      <c r="Q985" s="65" t="str">
        <f aca="false">IF(AND($C985="Know",$B985&gt;=WeekStart),$B985+ROW()/100000,"")</f>
        <v/>
      </c>
      <c r="R985" s="65" t="str">
        <f aca="false">IF(AND($K985="Open",$C985="Decision"),$L985+ROW()/100000,"")</f>
        <v/>
      </c>
      <c r="S985" s="65" t="str">
        <f aca="false">IF(AND($J985&lt;&gt;"",$J985=UCSel),$B985+ROW()/100000,"")</f>
        <v/>
      </c>
    </row>
    <row r="986" customFormat="false" ht="15" hidden="false" customHeight="false" outlineLevel="0" collapsed="false">
      <c r="A986" s="28"/>
      <c r="B986" s="63"/>
      <c r="C986" s="64"/>
      <c r="D986" s="28"/>
      <c r="E986" s="28"/>
      <c r="F986" s="28"/>
      <c r="G986" s="64"/>
      <c r="H986" s="64"/>
      <c r="I986" s="28"/>
      <c r="J986" s="28"/>
      <c r="K986" s="65" t="str">
        <f aca="false">IF($A986="","",IF(OR($C986="Decision",$C986="Conflict"),IF(COUNTIFS($I$2:$I$1001,$A986,$C$2:$C$1001,"Resolved")=0,"Open","Closed"),IF(AND($H986="Unconfirmed",OR($C986="New",$C986="Know")),IF(COUNTIFS($I$2:$I$1001,$A986,$C$2:$C$1001,"Confirmed")=0,"Unconfirmed","Confirmed"),"Logged")))</f>
        <v/>
      </c>
      <c r="L986" s="65" t="str">
        <f aca="false">IF($A986="","",AsOf-$B986)</f>
        <v/>
      </c>
      <c r="M986" s="65" t="str">
        <f aca="false">IF($K986="Open",IF($C986="Conflict","Critical",IF($L986&gt;=DecisionCritical,"Critical",IF($L986&gt;=DecisionWarn,"Warning","On track"))),IF($K986="Unconfirmed",IF($L986&gt;=UnconfirmedWarn,"Warning","On track"),""))</f>
        <v/>
      </c>
      <c r="N986" s="65" t="str">
        <f aca="false">IF($M986="","",IF($M986="Critical",3000,IF($M986="Warning",2000,1000))+$L986+ROW()/100000)</f>
        <v/>
      </c>
      <c r="O986" s="65" t="str">
        <f aca="false">IF($K986="Open",IF($C986="Conflict","decide "&amp;$A986&amp;": &lt;which version stands&gt;","decide "&amp;$A986&amp;": &lt;outcome&gt;"),IF($K986="Unconfirmed","confirm "&amp;$A986,""))</f>
        <v/>
      </c>
      <c r="P986" s="65" t="str">
        <f aca="false">IF(AND($C986="New",$B986&gt;=WeekStart),$B986+ROW()/100000,"")</f>
        <v/>
      </c>
      <c r="Q986" s="65" t="str">
        <f aca="false">IF(AND($C986="Know",$B986&gt;=WeekStart),$B986+ROW()/100000,"")</f>
        <v/>
      </c>
      <c r="R986" s="65" t="str">
        <f aca="false">IF(AND($K986="Open",$C986="Decision"),$L986+ROW()/100000,"")</f>
        <v/>
      </c>
      <c r="S986" s="65" t="str">
        <f aca="false">IF(AND($J986&lt;&gt;"",$J986=UCSel),$B986+ROW()/100000,"")</f>
        <v/>
      </c>
    </row>
    <row r="987" customFormat="false" ht="15" hidden="false" customHeight="false" outlineLevel="0" collapsed="false">
      <c r="A987" s="28"/>
      <c r="B987" s="63"/>
      <c r="C987" s="64"/>
      <c r="D987" s="28"/>
      <c r="E987" s="28"/>
      <c r="F987" s="28"/>
      <c r="G987" s="64"/>
      <c r="H987" s="64"/>
      <c r="I987" s="28"/>
      <c r="J987" s="28"/>
      <c r="K987" s="65" t="str">
        <f aca="false">IF($A987="","",IF(OR($C987="Decision",$C987="Conflict"),IF(COUNTIFS($I$2:$I$1001,$A987,$C$2:$C$1001,"Resolved")=0,"Open","Closed"),IF(AND($H987="Unconfirmed",OR($C987="New",$C987="Know")),IF(COUNTIFS($I$2:$I$1001,$A987,$C$2:$C$1001,"Confirmed")=0,"Unconfirmed","Confirmed"),"Logged")))</f>
        <v/>
      </c>
      <c r="L987" s="65" t="str">
        <f aca="false">IF($A987="","",AsOf-$B987)</f>
        <v/>
      </c>
      <c r="M987" s="65" t="str">
        <f aca="false">IF($K987="Open",IF($C987="Conflict","Critical",IF($L987&gt;=DecisionCritical,"Critical",IF($L987&gt;=DecisionWarn,"Warning","On track"))),IF($K987="Unconfirmed",IF($L987&gt;=UnconfirmedWarn,"Warning","On track"),""))</f>
        <v/>
      </c>
      <c r="N987" s="65" t="str">
        <f aca="false">IF($M987="","",IF($M987="Critical",3000,IF($M987="Warning",2000,1000))+$L987+ROW()/100000)</f>
        <v/>
      </c>
      <c r="O987" s="65" t="str">
        <f aca="false">IF($K987="Open",IF($C987="Conflict","decide "&amp;$A987&amp;": &lt;which version stands&gt;","decide "&amp;$A987&amp;": &lt;outcome&gt;"),IF($K987="Unconfirmed","confirm "&amp;$A987,""))</f>
        <v/>
      </c>
      <c r="P987" s="65" t="str">
        <f aca="false">IF(AND($C987="New",$B987&gt;=WeekStart),$B987+ROW()/100000,"")</f>
        <v/>
      </c>
      <c r="Q987" s="65" t="str">
        <f aca="false">IF(AND($C987="Know",$B987&gt;=WeekStart),$B987+ROW()/100000,"")</f>
        <v/>
      </c>
      <c r="R987" s="65" t="str">
        <f aca="false">IF(AND($K987="Open",$C987="Decision"),$L987+ROW()/100000,"")</f>
        <v/>
      </c>
      <c r="S987" s="65" t="str">
        <f aca="false">IF(AND($J987&lt;&gt;"",$J987=UCSel),$B987+ROW()/100000,"")</f>
        <v/>
      </c>
    </row>
    <row r="988" customFormat="false" ht="15" hidden="false" customHeight="false" outlineLevel="0" collapsed="false">
      <c r="A988" s="28"/>
      <c r="B988" s="63"/>
      <c r="C988" s="64"/>
      <c r="D988" s="28"/>
      <c r="E988" s="28"/>
      <c r="F988" s="28"/>
      <c r="G988" s="64"/>
      <c r="H988" s="64"/>
      <c r="I988" s="28"/>
      <c r="J988" s="28"/>
      <c r="K988" s="65" t="str">
        <f aca="false">IF($A988="","",IF(OR($C988="Decision",$C988="Conflict"),IF(COUNTIFS($I$2:$I$1001,$A988,$C$2:$C$1001,"Resolved")=0,"Open","Closed"),IF(AND($H988="Unconfirmed",OR($C988="New",$C988="Know")),IF(COUNTIFS($I$2:$I$1001,$A988,$C$2:$C$1001,"Confirmed")=0,"Unconfirmed","Confirmed"),"Logged")))</f>
        <v/>
      </c>
      <c r="L988" s="65" t="str">
        <f aca="false">IF($A988="","",AsOf-$B988)</f>
        <v/>
      </c>
      <c r="M988" s="65" t="str">
        <f aca="false">IF($K988="Open",IF($C988="Conflict","Critical",IF($L988&gt;=DecisionCritical,"Critical",IF($L988&gt;=DecisionWarn,"Warning","On track"))),IF($K988="Unconfirmed",IF($L988&gt;=UnconfirmedWarn,"Warning","On track"),""))</f>
        <v/>
      </c>
      <c r="N988" s="65" t="str">
        <f aca="false">IF($M988="","",IF($M988="Critical",3000,IF($M988="Warning",2000,1000))+$L988+ROW()/100000)</f>
        <v/>
      </c>
      <c r="O988" s="65" t="str">
        <f aca="false">IF($K988="Open",IF($C988="Conflict","decide "&amp;$A988&amp;": &lt;which version stands&gt;","decide "&amp;$A988&amp;": &lt;outcome&gt;"),IF($K988="Unconfirmed","confirm "&amp;$A988,""))</f>
        <v/>
      </c>
      <c r="P988" s="65" t="str">
        <f aca="false">IF(AND($C988="New",$B988&gt;=WeekStart),$B988+ROW()/100000,"")</f>
        <v/>
      </c>
      <c r="Q988" s="65" t="str">
        <f aca="false">IF(AND($C988="Know",$B988&gt;=WeekStart),$B988+ROW()/100000,"")</f>
        <v/>
      </c>
      <c r="R988" s="65" t="str">
        <f aca="false">IF(AND($K988="Open",$C988="Decision"),$L988+ROW()/100000,"")</f>
        <v/>
      </c>
      <c r="S988" s="65" t="str">
        <f aca="false">IF(AND($J988&lt;&gt;"",$J988=UCSel),$B988+ROW()/100000,"")</f>
        <v/>
      </c>
    </row>
    <row r="989" customFormat="false" ht="15" hidden="false" customHeight="false" outlineLevel="0" collapsed="false">
      <c r="A989" s="28"/>
      <c r="B989" s="63"/>
      <c r="C989" s="64"/>
      <c r="D989" s="28"/>
      <c r="E989" s="28"/>
      <c r="F989" s="28"/>
      <c r="G989" s="64"/>
      <c r="H989" s="64"/>
      <c r="I989" s="28"/>
      <c r="J989" s="28"/>
      <c r="K989" s="65" t="str">
        <f aca="false">IF($A989="","",IF(OR($C989="Decision",$C989="Conflict"),IF(COUNTIFS($I$2:$I$1001,$A989,$C$2:$C$1001,"Resolved")=0,"Open","Closed"),IF(AND($H989="Unconfirmed",OR($C989="New",$C989="Know")),IF(COUNTIFS($I$2:$I$1001,$A989,$C$2:$C$1001,"Confirmed")=0,"Unconfirmed","Confirmed"),"Logged")))</f>
        <v/>
      </c>
      <c r="L989" s="65" t="str">
        <f aca="false">IF($A989="","",AsOf-$B989)</f>
        <v/>
      </c>
      <c r="M989" s="65" t="str">
        <f aca="false">IF($K989="Open",IF($C989="Conflict","Critical",IF($L989&gt;=DecisionCritical,"Critical",IF($L989&gt;=DecisionWarn,"Warning","On track"))),IF($K989="Unconfirmed",IF($L989&gt;=UnconfirmedWarn,"Warning","On track"),""))</f>
        <v/>
      </c>
      <c r="N989" s="65" t="str">
        <f aca="false">IF($M989="","",IF($M989="Critical",3000,IF($M989="Warning",2000,1000))+$L989+ROW()/100000)</f>
        <v/>
      </c>
      <c r="O989" s="65" t="str">
        <f aca="false">IF($K989="Open",IF($C989="Conflict","decide "&amp;$A989&amp;": &lt;which version stands&gt;","decide "&amp;$A989&amp;": &lt;outcome&gt;"),IF($K989="Unconfirmed","confirm "&amp;$A989,""))</f>
        <v/>
      </c>
      <c r="P989" s="65" t="str">
        <f aca="false">IF(AND($C989="New",$B989&gt;=WeekStart),$B989+ROW()/100000,"")</f>
        <v/>
      </c>
      <c r="Q989" s="65" t="str">
        <f aca="false">IF(AND($C989="Know",$B989&gt;=WeekStart),$B989+ROW()/100000,"")</f>
        <v/>
      </c>
      <c r="R989" s="65" t="str">
        <f aca="false">IF(AND($K989="Open",$C989="Decision"),$L989+ROW()/100000,"")</f>
        <v/>
      </c>
      <c r="S989" s="65" t="str">
        <f aca="false">IF(AND($J989&lt;&gt;"",$J989=UCSel),$B989+ROW()/100000,"")</f>
        <v/>
      </c>
    </row>
    <row r="990" customFormat="false" ht="15" hidden="false" customHeight="false" outlineLevel="0" collapsed="false">
      <c r="A990" s="28"/>
      <c r="B990" s="63"/>
      <c r="C990" s="64"/>
      <c r="D990" s="28"/>
      <c r="E990" s="28"/>
      <c r="F990" s="28"/>
      <c r="G990" s="64"/>
      <c r="H990" s="64"/>
      <c r="I990" s="28"/>
      <c r="J990" s="28"/>
      <c r="K990" s="65" t="str">
        <f aca="false">IF($A990="","",IF(OR($C990="Decision",$C990="Conflict"),IF(COUNTIFS($I$2:$I$1001,$A990,$C$2:$C$1001,"Resolved")=0,"Open","Closed"),IF(AND($H990="Unconfirmed",OR($C990="New",$C990="Know")),IF(COUNTIFS($I$2:$I$1001,$A990,$C$2:$C$1001,"Confirmed")=0,"Unconfirmed","Confirmed"),"Logged")))</f>
        <v/>
      </c>
      <c r="L990" s="65" t="str">
        <f aca="false">IF($A990="","",AsOf-$B990)</f>
        <v/>
      </c>
      <c r="M990" s="65" t="str">
        <f aca="false">IF($K990="Open",IF($C990="Conflict","Critical",IF($L990&gt;=DecisionCritical,"Critical",IF($L990&gt;=DecisionWarn,"Warning","On track"))),IF($K990="Unconfirmed",IF($L990&gt;=UnconfirmedWarn,"Warning","On track"),""))</f>
        <v/>
      </c>
      <c r="N990" s="65" t="str">
        <f aca="false">IF($M990="","",IF($M990="Critical",3000,IF($M990="Warning",2000,1000))+$L990+ROW()/100000)</f>
        <v/>
      </c>
      <c r="O990" s="65" t="str">
        <f aca="false">IF($K990="Open",IF($C990="Conflict","decide "&amp;$A990&amp;": &lt;which version stands&gt;","decide "&amp;$A990&amp;": &lt;outcome&gt;"),IF($K990="Unconfirmed","confirm "&amp;$A990,""))</f>
        <v/>
      </c>
      <c r="P990" s="65" t="str">
        <f aca="false">IF(AND($C990="New",$B990&gt;=WeekStart),$B990+ROW()/100000,"")</f>
        <v/>
      </c>
      <c r="Q990" s="65" t="str">
        <f aca="false">IF(AND($C990="Know",$B990&gt;=WeekStart),$B990+ROW()/100000,"")</f>
        <v/>
      </c>
      <c r="R990" s="65" t="str">
        <f aca="false">IF(AND($K990="Open",$C990="Decision"),$L990+ROW()/100000,"")</f>
        <v/>
      </c>
      <c r="S990" s="65" t="str">
        <f aca="false">IF(AND($J990&lt;&gt;"",$J990=UCSel),$B990+ROW()/100000,"")</f>
        <v/>
      </c>
    </row>
    <row r="991" customFormat="false" ht="15" hidden="false" customHeight="false" outlineLevel="0" collapsed="false">
      <c r="A991" s="28"/>
      <c r="B991" s="63"/>
      <c r="C991" s="64"/>
      <c r="D991" s="28"/>
      <c r="E991" s="28"/>
      <c r="F991" s="28"/>
      <c r="G991" s="64"/>
      <c r="H991" s="64"/>
      <c r="I991" s="28"/>
      <c r="J991" s="28"/>
      <c r="K991" s="65" t="str">
        <f aca="false">IF($A991="","",IF(OR($C991="Decision",$C991="Conflict"),IF(COUNTIFS($I$2:$I$1001,$A991,$C$2:$C$1001,"Resolved")=0,"Open","Closed"),IF(AND($H991="Unconfirmed",OR($C991="New",$C991="Know")),IF(COUNTIFS($I$2:$I$1001,$A991,$C$2:$C$1001,"Confirmed")=0,"Unconfirmed","Confirmed"),"Logged")))</f>
        <v/>
      </c>
      <c r="L991" s="65" t="str">
        <f aca="false">IF($A991="","",AsOf-$B991)</f>
        <v/>
      </c>
      <c r="M991" s="65" t="str">
        <f aca="false">IF($K991="Open",IF($C991="Conflict","Critical",IF($L991&gt;=DecisionCritical,"Critical",IF($L991&gt;=DecisionWarn,"Warning","On track"))),IF($K991="Unconfirmed",IF($L991&gt;=UnconfirmedWarn,"Warning","On track"),""))</f>
        <v/>
      </c>
      <c r="N991" s="65" t="str">
        <f aca="false">IF($M991="","",IF($M991="Critical",3000,IF($M991="Warning",2000,1000))+$L991+ROW()/100000)</f>
        <v/>
      </c>
      <c r="O991" s="65" t="str">
        <f aca="false">IF($K991="Open",IF($C991="Conflict","decide "&amp;$A991&amp;": &lt;which version stands&gt;","decide "&amp;$A991&amp;": &lt;outcome&gt;"),IF($K991="Unconfirmed","confirm "&amp;$A991,""))</f>
        <v/>
      </c>
      <c r="P991" s="65" t="str">
        <f aca="false">IF(AND($C991="New",$B991&gt;=WeekStart),$B991+ROW()/100000,"")</f>
        <v/>
      </c>
      <c r="Q991" s="65" t="str">
        <f aca="false">IF(AND($C991="Know",$B991&gt;=WeekStart),$B991+ROW()/100000,"")</f>
        <v/>
      </c>
      <c r="R991" s="65" t="str">
        <f aca="false">IF(AND($K991="Open",$C991="Decision"),$L991+ROW()/100000,"")</f>
        <v/>
      </c>
      <c r="S991" s="65" t="str">
        <f aca="false">IF(AND($J991&lt;&gt;"",$J991=UCSel),$B991+ROW()/100000,"")</f>
        <v/>
      </c>
    </row>
    <row r="992" customFormat="false" ht="15" hidden="false" customHeight="false" outlineLevel="0" collapsed="false">
      <c r="A992" s="28"/>
      <c r="B992" s="63"/>
      <c r="C992" s="64"/>
      <c r="D992" s="28"/>
      <c r="E992" s="28"/>
      <c r="F992" s="28"/>
      <c r="G992" s="64"/>
      <c r="H992" s="64"/>
      <c r="I992" s="28"/>
      <c r="J992" s="28"/>
      <c r="K992" s="65" t="str">
        <f aca="false">IF($A992="","",IF(OR($C992="Decision",$C992="Conflict"),IF(COUNTIFS($I$2:$I$1001,$A992,$C$2:$C$1001,"Resolved")=0,"Open","Closed"),IF(AND($H992="Unconfirmed",OR($C992="New",$C992="Know")),IF(COUNTIFS($I$2:$I$1001,$A992,$C$2:$C$1001,"Confirmed")=0,"Unconfirmed","Confirmed"),"Logged")))</f>
        <v/>
      </c>
      <c r="L992" s="65" t="str">
        <f aca="false">IF($A992="","",AsOf-$B992)</f>
        <v/>
      </c>
      <c r="M992" s="65" t="str">
        <f aca="false">IF($K992="Open",IF($C992="Conflict","Critical",IF($L992&gt;=DecisionCritical,"Critical",IF($L992&gt;=DecisionWarn,"Warning","On track"))),IF($K992="Unconfirmed",IF($L992&gt;=UnconfirmedWarn,"Warning","On track"),""))</f>
        <v/>
      </c>
      <c r="N992" s="65" t="str">
        <f aca="false">IF($M992="","",IF($M992="Critical",3000,IF($M992="Warning",2000,1000))+$L992+ROW()/100000)</f>
        <v/>
      </c>
      <c r="O992" s="65" t="str">
        <f aca="false">IF($K992="Open",IF($C992="Conflict","decide "&amp;$A992&amp;": &lt;which version stands&gt;","decide "&amp;$A992&amp;": &lt;outcome&gt;"),IF($K992="Unconfirmed","confirm "&amp;$A992,""))</f>
        <v/>
      </c>
      <c r="P992" s="65" t="str">
        <f aca="false">IF(AND($C992="New",$B992&gt;=WeekStart),$B992+ROW()/100000,"")</f>
        <v/>
      </c>
      <c r="Q992" s="65" t="str">
        <f aca="false">IF(AND($C992="Know",$B992&gt;=WeekStart),$B992+ROW()/100000,"")</f>
        <v/>
      </c>
      <c r="R992" s="65" t="str">
        <f aca="false">IF(AND($K992="Open",$C992="Decision"),$L992+ROW()/100000,"")</f>
        <v/>
      </c>
      <c r="S992" s="65" t="str">
        <f aca="false">IF(AND($J992&lt;&gt;"",$J992=UCSel),$B992+ROW()/100000,"")</f>
        <v/>
      </c>
    </row>
    <row r="993" customFormat="false" ht="15" hidden="false" customHeight="false" outlineLevel="0" collapsed="false">
      <c r="A993" s="28"/>
      <c r="B993" s="63"/>
      <c r="C993" s="64"/>
      <c r="D993" s="28"/>
      <c r="E993" s="28"/>
      <c r="F993" s="28"/>
      <c r="G993" s="64"/>
      <c r="H993" s="64"/>
      <c r="I993" s="28"/>
      <c r="J993" s="28"/>
      <c r="K993" s="65" t="str">
        <f aca="false">IF($A993="","",IF(OR($C993="Decision",$C993="Conflict"),IF(COUNTIFS($I$2:$I$1001,$A993,$C$2:$C$1001,"Resolved")=0,"Open","Closed"),IF(AND($H993="Unconfirmed",OR($C993="New",$C993="Know")),IF(COUNTIFS($I$2:$I$1001,$A993,$C$2:$C$1001,"Confirmed")=0,"Unconfirmed","Confirmed"),"Logged")))</f>
        <v/>
      </c>
      <c r="L993" s="65" t="str">
        <f aca="false">IF($A993="","",AsOf-$B993)</f>
        <v/>
      </c>
      <c r="M993" s="65" t="str">
        <f aca="false">IF($K993="Open",IF($C993="Conflict","Critical",IF($L993&gt;=DecisionCritical,"Critical",IF($L993&gt;=DecisionWarn,"Warning","On track"))),IF($K993="Unconfirmed",IF($L993&gt;=UnconfirmedWarn,"Warning","On track"),""))</f>
        <v/>
      </c>
      <c r="N993" s="65" t="str">
        <f aca="false">IF($M993="","",IF($M993="Critical",3000,IF($M993="Warning",2000,1000))+$L993+ROW()/100000)</f>
        <v/>
      </c>
      <c r="O993" s="65" t="str">
        <f aca="false">IF($K993="Open",IF($C993="Conflict","decide "&amp;$A993&amp;": &lt;which version stands&gt;","decide "&amp;$A993&amp;": &lt;outcome&gt;"),IF($K993="Unconfirmed","confirm "&amp;$A993,""))</f>
        <v/>
      </c>
      <c r="P993" s="65" t="str">
        <f aca="false">IF(AND($C993="New",$B993&gt;=WeekStart),$B993+ROW()/100000,"")</f>
        <v/>
      </c>
      <c r="Q993" s="65" t="str">
        <f aca="false">IF(AND($C993="Know",$B993&gt;=WeekStart),$B993+ROW()/100000,"")</f>
        <v/>
      </c>
      <c r="R993" s="65" t="str">
        <f aca="false">IF(AND($K993="Open",$C993="Decision"),$L993+ROW()/100000,"")</f>
        <v/>
      </c>
      <c r="S993" s="65" t="str">
        <f aca="false">IF(AND($J993&lt;&gt;"",$J993=UCSel),$B993+ROW()/100000,"")</f>
        <v/>
      </c>
    </row>
    <row r="994" customFormat="false" ht="15" hidden="false" customHeight="false" outlineLevel="0" collapsed="false">
      <c r="A994" s="28"/>
      <c r="B994" s="63"/>
      <c r="C994" s="64"/>
      <c r="D994" s="28"/>
      <c r="E994" s="28"/>
      <c r="F994" s="28"/>
      <c r="G994" s="64"/>
      <c r="H994" s="64"/>
      <c r="I994" s="28"/>
      <c r="J994" s="28"/>
      <c r="K994" s="65" t="str">
        <f aca="false">IF($A994="","",IF(OR($C994="Decision",$C994="Conflict"),IF(COUNTIFS($I$2:$I$1001,$A994,$C$2:$C$1001,"Resolved")=0,"Open","Closed"),IF(AND($H994="Unconfirmed",OR($C994="New",$C994="Know")),IF(COUNTIFS($I$2:$I$1001,$A994,$C$2:$C$1001,"Confirmed")=0,"Unconfirmed","Confirmed"),"Logged")))</f>
        <v/>
      </c>
      <c r="L994" s="65" t="str">
        <f aca="false">IF($A994="","",AsOf-$B994)</f>
        <v/>
      </c>
      <c r="M994" s="65" t="str">
        <f aca="false">IF($K994="Open",IF($C994="Conflict","Critical",IF($L994&gt;=DecisionCritical,"Critical",IF($L994&gt;=DecisionWarn,"Warning","On track"))),IF($K994="Unconfirmed",IF($L994&gt;=UnconfirmedWarn,"Warning","On track"),""))</f>
        <v/>
      </c>
      <c r="N994" s="65" t="str">
        <f aca="false">IF($M994="","",IF($M994="Critical",3000,IF($M994="Warning",2000,1000))+$L994+ROW()/100000)</f>
        <v/>
      </c>
      <c r="O994" s="65" t="str">
        <f aca="false">IF($K994="Open",IF($C994="Conflict","decide "&amp;$A994&amp;": &lt;which version stands&gt;","decide "&amp;$A994&amp;": &lt;outcome&gt;"),IF($K994="Unconfirmed","confirm "&amp;$A994,""))</f>
        <v/>
      </c>
      <c r="P994" s="65" t="str">
        <f aca="false">IF(AND($C994="New",$B994&gt;=WeekStart),$B994+ROW()/100000,"")</f>
        <v/>
      </c>
      <c r="Q994" s="65" t="str">
        <f aca="false">IF(AND($C994="Know",$B994&gt;=WeekStart),$B994+ROW()/100000,"")</f>
        <v/>
      </c>
      <c r="R994" s="65" t="str">
        <f aca="false">IF(AND($K994="Open",$C994="Decision"),$L994+ROW()/100000,"")</f>
        <v/>
      </c>
      <c r="S994" s="65" t="str">
        <f aca="false">IF(AND($J994&lt;&gt;"",$J994=UCSel),$B994+ROW()/100000,"")</f>
        <v/>
      </c>
    </row>
    <row r="995" customFormat="false" ht="15" hidden="false" customHeight="false" outlineLevel="0" collapsed="false">
      <c r="A995" s="28"/>
      <c r="B995" s="63"/>
      <c r="C995" s="64"/>
      <c r="D995" s="28"/>
      <c r="E995" s="28"/>
      <c r="F995" s="28"/>
      <c r="G995" s="64"/>
      <c r="H995" s="64"/>
      <c r="I995" s="28"/>
      <c r="J995" s="28"/>
      <c r="K995" s="65" t="str">
        <f aca="false">IF($A995="","",IF(OR($C995="Decision",$C995="Conflict"),IF(COUNTIFS($I$2:$I$1001,$A995,$C$2:$C$1001,"Resolved")=0,"Open","Closed"),IF(AND($H995="Unconfirmed",OR($C995="New",$C995="Know")),IF(COUNTIFS($I$2:$I$1001,$A995,$C$2:$C$1001,"Confirmed")=0,"Unconfirmed","Confirmed"),"Logged")))</f>
        <v/>
      </c>
      <c r="L995" s="65" t="str">
        <f aca="false">IF($A995="","",AsOf-$B995)</f>
        <v/>
      </c>
      <c r="M995" s="65" t="str">
        <f aca="false">IF($K995="Open",IF($C995="Conflict","Critical",IF($L995&gt;=DecisionCritical,"Critical",IF($L995&gt;=DecisionWarn,"Warning","On track"))),IF($K995="Unconfirmed",IF($L995&gt;=UnconfirmedWarn,"Warning","On track"),""))</f>
        <v/>
      </c>
      <c r="N995" s="65" t="str">
        <f aca="false">IF($M995="","",IF($M995="Critical",3000,IF($M995="Warning",2000,1000))+$L995+ROW()/100000)</f>
        <v/>
      </c>
      <c r="O995" s="65" t="str">
        <f aca="false">IF($K995="Open",IF($C995="Conflict","decide "&amp;$A995&amp;": &lt;which version stands&gt;","decide "&amp;$A995&amp;": &lt;outcome&gt;"),IF($K995="Unconfirmed","confirm "&amp;$A995,""))</f>
        <v/>
      </c>
      <c r="P995" s="65" t="str">
        <f aca="false">IF(AND($C995="New",$B995&gt;=WeekStart),$B995+ROW()/100000,"")</f>
        <v/>
      </c>
      <c r="Q995" s="65" t="str">
        <f aca="false">IF(AND($C995="Know",$B995&gt;=WeekStart),$B995+ROW()/100000,"")</f>
        <v/>
      </c>
      <c r="R995" s="65" t="str">
        <f aca="false">IF(AND($K995="Open",$C995="Decision"),$L995+ROW()/100000,"")</f>
        <v/>
      </c>
      <c r="S995" s="65" t="str">
        <f aca="false">IF(AND($J995&lt;&gt;"",$J995=UCSel),$B995+ROW()/100000,"")</f>
        <v/>
      </c>
    </row>
    <row r="996" customFormat="false" ht="15" hidden="false" customHeight="false" outlineLevel="0" collapsed="false">
      <c r="A996" s="28"/>
      <c r="B996" s="63"/>
      <c r="C996" s="64"/>
      <c r="D996" s="28"/>
      <c r="E996" s="28"/>
      <c r="F996" s="28"/>
      <c r="G996" s="64"/>
      <c r="H996" s="64"/>
      <c r="I996" s="28"/>
      <c r="J996" s="28"/>
      <c r="K996" s="65" t="str">
        <f aca="false">IF($A996="","",IF(OR($C996="Decision",$C996="Conflict"),IF(COUNTIFS($I$2:$I$1001,$A996,$C$2:$C$1001,"Resolved")=0,"Open","Closed"),IF(AND($H996="Unconfirmed",OR($C996="New",$C996="Know")),IF(COUNTIFS($I$2:$I$1001,$A996,$C$2:$C$1001,"Confirmed")=0,"Unconfirmed","Confirmed"),"Logged")))</f>
        <v/>
      </c>
      <c r="L996" s="65" t="str">
        <f aca="false">IF($A996="","",AsOf-$B996)</f>
        <v/>
      </c>
      <c r="M996" s="65" t="str">
        <f aca="false">IF($K996="Open",IF($C996="Conflict","Critical",IF($L996&gt;=DecisionCritical,"Critical",IF($L996&gt;=DecisionWarn,"Warning","On track"))),IF($K996="Unconfirmed",IF($L996&gt;=UnconfirmedWarn,"Warning","On track"),""))</f>
        <v/>
      </c>
      <c r="N996" s="65" t="str">
        <f aca="false">IF($M996="","",IF($M996="Critical",3000,IF($M996="Warning",2000,1000))+$L996+ROW()/100000)</f>
        <v/>
      </c>
      <c r="O996" s="65" t="str">
        <f aca="false">IF($K996="Open",IF($C996="Conflict","decide "&amp;$A996&amp;": &lt;which version stands&gt;","decide "&amp;$A996&amp;": &lt;outcome&gt;"),IF($K996="Unconfirmed","confirm "&amp;$A996,""))</f>
        <v/>
      </c>
      <c r="P996" s="65" t="str">
        <f aca="false">IF(AND($C996="New",$B996&gt;=WeekStart),$B996+ROW()/100000,"")</f>
        <v/>
      </c>
      <c r="Q996" s="65" t="str">
        <f aca="false">IF(AND($C996="Know",$B996&gt;=WeekStart),$B996+ROW()/100000,"")</f>
        <v/>
      </c>
      <c r="R996" s="65" t="str">
        <f aca="false">IF(AND($K996="Open",$C996="Decision"),$L996+ROW()/100000,"")</f>
        <v/>
      </c>
      <c r="S996" s="65" t="str">
        <f aca="false">IF(AND($J996&lt;&gt;"",$J996=UCSel),$B996+ROW()/100000,"")</f>
        <v/>
      </c>
    </row>
    <row r="997" customFormat="false" ht="15" hidden="false" customHeight="false" outlineLevel="0" collapsed="false">
      <c r="A997" s="28"/>
      <c r="B997" s="63"/>
      <c r="C997" s="64"/>
      <c r="D997" s="28"/>
      <c r="E997" s="28"/>
      <c r="F997" s="28"/>
      <c r="G997" s="64"/>
      <c r="H997" s="64"/>
      <c r="I997" s="28"/>
      <c r="J997" s="28"/>
      <c r="K997" s="65" t="str">
        <f aca="false">IF($A997="","",IF(OR($C997="Decision",$C997="Conflict"),IF(COUNTIFS($I$2:$I$1001,$A997,$C$2:$C$1001,"Resolved")=0,"Open","Closed"),IF(AND($H997="Unconfirmed",OR($C997="New",$C997="Know")),IF(COUNTIFS($I$2:$I$1001,$A997,$C$2:$C$1001,"Confirmed")=0,"Unconfirmed","Confirmed"),"Logged")))</f>
        <v/>
      </c>
      <c r="L997" s="65" t="str">
        <f aca="false">IF($A997="","",AsOf-$B997)</f>
        <v/>
      </c>
      <c r="M997" s="65" t="str">
        <f aca="false">IF($K997="Open",IF($C997="Conflict","Critical",IF($L997&gt;=DecisionCritical,"Critical",IF($L997&gt;=DecisionWarn,"Warning","On track"))),IF($K997="Unconfirmed",IF($L997&gt;=UnconfirmedWarn,"Warning","On track"),""))</f>
        <v/>
      </c>
      <c r="N997" s="65" t="str">
        <f aca="false">IF($M997="","",IF($M997="Critical",3000,IF($M997="Warning",2000,1000))+$L997+ROW()/100000)</f>
        <v/>
      </c>
      <c r="O997" s="65" t="str">
        <f aca="false">IF($K997="Open",IF($C997="Conflict","decide "&amp;$A997&amp;": &lt;which version stands&gt;","decide "&amp;$A997&amp;": &lt;outcome&gt;"),IF($K997="Unconfirmed","confirm "&amp;$A997,""))</f>
        <v/>
      </c>
      <c r="P997" s="65" t="str">
        <f aca="false">IF(AND($C997="New",$B997&gt;=WeekStart),$B997+ROW()/100000,"")</f>
        <v/>
      </c>
      <c r="Q997" s="65" t="str">
        <f aca="false">IF(AND($C997="Know",$B997&gt;=WeekStart),$B997+ROW()/100000,"")</f>
        <v/>
      </c>
      <c r="R997" s="65" t="str">
        <f aca="false">IF(AND($K997="Open",$C997="Decision"),$L997+ROW()/100000,"")</f>
        <v/>
      </c>
      <c r="S997" s="65" t="str">
        <f aca="false">IF(AND($J997&lt;&gt;"",$J997=UCSel),$B997+ROW()/100000,"")</f>
        <v/>
      </c>
    </row>
    <row r="998" customFormat="false" ht="15" hidden="false" customHeight="false" outlineLevel="0" collapsed="false">
      <c r="A998" s="28"/>
      <c r="B998" s="63"/>
      <c r="C998" s="64"/>
      <c r="D998" s="28"/>
      <c r="E998" s="28"/>
      <c r="F998" s="28"/>
      <c r="G998" s="64"/>
      <c r="H998" s="64"/>
      <c r="I998" s="28"/>
      <c r="J998" s="28"/>
      <c r="K998" s="65" t="str">
        <f aca="false">IF($A998="","",IF(OR($C998="Decision",$C998="Conflict"),IF(COUNTIFS($I$2:$I$1001,$A998,$C$2:$C$1001,"Resolved")=0,"Open","Closed"),IF(AND($H998="Unconfirmed",OR($C998="New",$C998="Know")),IF(COUNTIFS($I$2:$I$1001,$A998,$C$2:$C$1001,"Confirmed")=0,"Unconfirmed","Confirmed"),"Logged")))</f>
        <v/>
      </c>
      <c r="L998" s="65" t="str">
        <f aca="false">IF($A998="","",AsOf-$B998)</f>
        <v/>
      </c>
      <c r="M998" s="65" t="str">
        <f aca="false">IF($K998="Open",IF($C998="Conflict","Critical",IF($L998&gt;=DecisionCritical,"Critical",IF($L998&gt;=DecisionWarn,"Warning","On track"))),IF($K998="Unconfirmed",IF($L998&gt;=UnconfirmedWarn,"Warning","On track"),""))</f>
        <v/>
      </c>
      <c r="N998" s="65" t="str">
        <f aca="false">IF($M998="","",IF($M998="Critical",3000,IF($M998="Warning",2000,1000))+$L998+ROW()/100000)</f>
        <v/>
      </c>
      <c r="O998" s="65" t="str">
        <f aca="false">IF($K998="Open",IF($C998="Conflict","decide "&amp;$A998&amp;": &lt;which version stands&gt;","decide "&amp;$A998&amp;": &lt;outcome&gt;"),IF($K998="Unconfirmed","confirm "&amp;$A998,""))</f>
        <v/>
      </c>
      <c r="P998" s="65" t="str">
        <f aca="false">IF(AND($C998="New",$B998&gt;=WeekStart),$B998+ROW()/100000,"")</f>
        <v/>
      </c>
      <c r="Q998" s="65" t="str">
        <f aca="false">IF(AND($C998="Know",$B998&gt;=WeekStart),$B998+ROW()/100000,"")</f>
        <v/>
      </c>
      <c r="R998" s="65" t="str">
        <f aca="false">IF(AND($K998="Open",$C998="Decision"),$L998+ROW()/100000,"")</f>
        <v/>
      </c>
      <c r="S998" s="65" t="str">
        <f aca="false">IF(AND($J998&lt;&gt;"",$J998=UCSel),$B998+ROW()/100000,"")</f>
        <v/>
      </c>
    </row>
    <row r="999" customFormat="false" ht="15" hidden="false" customHeight="false" outlineLevel="0" collapsed="false">
      <c r="A999" s="28"/>
      <c r="B999" s="63"/>
      <c r="C999" s="64"/>
      <c r="D999" s="28"/>
      <c r="E999" s="28"/>
      <c r="F999" s="28"/>
      <c r="G999" s="64"/>
      <c r="H999" s="64"/>
      <c r="I999" s="28"/>
      <c r="J999" s="28"/>
      <c r="K999" s="65" t="str">
        <f aca="false">IF($A999="","",IF(OR($C999="Decision",$C999="Conflict"),IF(COUNTIFS($I$2:$I$1001,$A999,$C$2:$C$1001,"Resolved")=0,"Open","Closed"),IF(AND($H999="Unconfirmed",OR($C999="New",$C999="Know")),IF(COUNTIFS($I$2:$I$1001,$A999,$C$2:$C$1001,"Confirmed")=0,"Unconfirmed","Confirmed"),"Logged")))</f>
        <v/>
      </c>
      <c r="L999" s="65" t="str">
        <f aca="false">IF($A999="","",AsOf-$B999)</f>
        <v/>
      </c>
      <c r="M999" s="65" t="str">
        <f aca="false">IF($K999="Open",IF($C999="Conflict","Critical",IF($L999&gt;=DecisionCritical,"Critical",IF($L999&gt;=DecisionWarn,"Warning","On track"))),IF($K999="Unconfirmed",IF($L999&gt;=UnconfirmedWarn,"Warning","On track"),""))</f>
        <v/>
      </c>
      <c r="N999" s="65" t="str">
        <f aca="false">IF($M999="","",IF($M999="Critical",3000,IF($M999="Warning",2000,1000))+$L999+ROW()/100000)</f>
        <v/>
      </c>
      <c r="O999" s="65" t="str">
        <f aca="false">IF($K999="Open",IF($C999="Conflict","decide "&amp;$A999&amp;": &lt;which version stands&gt;","decide "&amp;$A999&amp;": &lt;outcome&gt;"),IF($K999="Unconfirmed","confirm "&amp;$A999,""))</f>
        <v/>
      </c>
      <c r="P999" s="65" t="str">
        <f aca="false">IF(AND($C999="New",$B999&gt;=WeekStart),$B999+ROW()/100000,"")</f>
        <v/>
      </c>
      <c r="Q999" s="65" t="str">
        <f aca="false">IF(AND($C999="Know",$B999&gt;=WeekStart),$B999+ROW()/100000,"")</f>
        <v/>
      </c>
      <c r="R999" s="65" t="str">
        <f aca="false">IF(AND($K999="Open",$C999="Decision"),$L999+ROW()/100000,"")</f>
        <v/>
      </c>
      <c r="S999" s="65" t="str">
        <f aca="false">IF(AND($J999&lt;&gt;"",$J999=UCSel),$B999+ROW()/100000,"")</f>
        <v/>
      </c>
    </row>
    <row r="1000" customFormat="false" ht="15" hidden="false" customHeight="false" outlineLevel="0" collapsed="false">
      <c r="A1000" s="28"/>
      <c r="B1000" s="63"/>
      <c r="C1000" s="64"/>
      <c r="D1000" s="28"/>
      <c r="E1000" s="28"/>
      <c r="F1000" s="28"/>
      <c r="G1000" s="64"/>
      <c r="H1000" s="64"/>
      <c r="I1000" s="28"/>
      <c r="J1000" s="28"/>
      <c r="K1000" s="65" t="str">
        <f aca="false">IF($A1000="","",IF(OR($C1000="Decision",$C1000="Conflict"),IF(COUNTIFS($I$2:$I$1001,$A1000,$C$2:$C$1001,"Resolved")=0,"Open","Closed"),IF(AND($H1000="Unconfirmed",OR($C1000="New",$C1000="Know")),IF(COUNTIFS($I$2:$I$1001,$A1000,$C$2:$C$1001,"Confirmed")=0,"Unconfirmed","Confirmed"),"Logged")))</f>
        <v/>
      </c>
      <c r="L1000" s="65" t="str">
        <f aca="false">IF($A1000="","",AsOf-$B1000)</f>
        <v/>
      </c>
      <c r="M1000" s="65" t="str">
        <f aca="false">IF($K1000="Open",IF($C1000="Conflict","Critical",IF($L1000&gt;=DecisionCritical,"Critical",IF($L1000&gt;=DecisionWarn,"Warning","On track"))),IF($K1000="Unconfirmed",IF($L1000&gt;=UnconfirmedWarn,"Warning","On track"),""))</f>
        <v/>
      </c>
      <c r="N1000" s="65" t="str">
        <f aca="false">IF($M1000="","",IF($M1000="Critical",3000,IF($M1000="Warning",2000,1000))+$L1000+ROW()/100000)</f>
        <v/>
      </c>
      <c r="O1000" s="65" t="str">
        <f aca="false">IF($K1000="Open",IF($C1000="Conflict","decide "&amp;$A1000&amp;": &lt;which version stands&gt;","decide "&amp;$A1000&amp;": &lt;outcome&gt;"),IF($K1000="Unconfirmed","confirm "&amp;$A1000,""))</f>
        <v/>
      </c>
      <c r="P1000" s="65" t="str">
        <f aca="false">IF(AND($C1000="New",$B1000&gt;=WeekStart),$B1000+ROW()/100000,"")</f>
        <v/>
      </c>
      <c r="Q1000" s="65" t="str">
        <f aca="false">IF(AND($C1000="Know",$B1000&gt;=WeekStart),$B1000+ROW()/100000,"")</f>
        <v/>
      </c>
      <c r="R1000" s="65" t="str">
        <f aca="false">IF(AND($K1000="Open",$C1000="Decision"),$L1000+ROW()/100000,"")</f>
        <v/>
      </c>
      <c r="S1000" s="65" t="str">
        <f aca="false">IF(AND($J1000&lt;&gt;"",$J1000=UCSel),$B1000+ROW()/100000,"")</f>
        <v/>
      </c>
    </row>
    <row r="1001" customFormat="false" ht="15" hidden="false" customHeight="false" outlineLevel="0" collapsed="false">
      <c r="A1001" s="28"/>
      <c r="B1001" s="63"/>
      <c r="C1001" s="64"/>
      <c r="D1001" s="28"/>
      <c r="E1001" s="28"/>
      <c r="F1001" s="28"/>
      <c r="G1001" s="64"/>
      <c r="H1001" s="64"/>
      <c r="I1001" s="28"/>
      <c r="J1001" s="28"/>
      <c r="K1001" s="65" t="str">
        <f aca="false">IF($A1001="","",IF(OR($C1001="Decision",$C1001="Conflict"),IF(COUNTIFS($I$2:$I$1001,$A1001,$C$2:$C$1001,"Resolved")=0,"Open","Closed"),IF(AND($H1001="Unconfirmed",OR($C1001="New",$C1001="Know")),IF(COUNTIFS($I$2:$I$1001,$A1001,$C$2:$C$1001,"Confirmed")=0,"Unconfirmed","Confirmed"),"Logged")))</f>
        <v/>
      </c>
      <c r="L1001" s="65" t="str">
        <f aca="false">IF($A1001="","",AsOf-$B1001)</f>
        <v/>
      </c>
      <c r="M1001" s="65" t="str">
        <f aca="false">IF($K1001="Open",IF($C1001="Conflict","Critical",IF($L1001&gt;=DecisionCritical,"Critical",IF($L1001&gt;=DecisionWarn,"Warning","On track"))),IF($K1001="Unconfirmed",IF($L1001&gt;=UnconfirmedWarn,"Warning","On track"),""))</f>
        <v/>
      </c>
      <c r="N1001" s="65" t="str">
        <f aca="false">IF($M1001="","",IF($M1001="Critical",3000,IF($M1001="Warning",2000,1000))+$L1001+ROW()/100000)</f>
        <v/>
      </c>
      <c r="O1001" s="65" t="str">
        <f aca="false">IF($K1001="Open",IF($C1001="Conflict","decide "&amp;$A1001&amp;": &lt;which version stands&gt;","decide "&amp;$A1001&amp;": &lt;outcome&gt;"),IF($K1001="Unconfirmed","confirm "&amp;$A1001,""))</f>
        <v/>
      </c>
      <c r="P1001" s="65" t="str">
        <f aca="false">IF(AND($C1001="New",$B1001&gt;=WeekStart),$B1001+ROW()/100000,"")</f>
        <v/>
      </c>
      <c r="Q1001" s="65" t="str">
        <f aca="false">IF(AND($C1001="Know",$B1001&gt;=WeekStart),$B1001+ROW()/100000,"")</f>
        <v/>
      </c>
      <c r="R1001" s="65" t="str">
        <f aca="false">IF(AND($K1001="Open",$C1001="Decision"),$L1001+ROW()/100000,"")</f>
        <v/>
      </c>
      <c r="S1001" s="65" t="str">
        <f aca="false">IF(AND($J1001&lt;&gt;"",$J1001=UCSel),$B1001+ROW()/100000,"")</f>
        <v/>
      </c>
    </row>
  </sheetData>
  <autoFilter ref="A1:S1001"/>
  <conditionalFormatting sqref="M2:M1001">
    <cfRule type="cellIs" priority="2" operator="equal" aboveAverage="0" equalAverage="0" bottom="0" percent="0" rank="0" text="" dxfId="1">
      <formula>"Critical"</formula>
    </cfRule>
    <cfRule type="cellIs" priority="3" operator="equal" aboveAverage="0" equalAverage="0" bottom="0" percent="0" rank="0" text="" dxfId="1">
      <formula>"Overdue"</formula>
    </cfRule>
    <cfRule type="cellIs" priority="4" operator="equal" aboveAverage="0" equalAverage="0" bottom="0" percent="0" rank="0" text="" dxfId="1">
      <formula>"Red"</formula>
    </cfRule>
    <cfRule type="cellIs" priority="5" operator="equal" aboveAverage="0" equalAverage="0" bottom="0" percent="0" rank="0" text="" dxfId="1">
      <formula>"Stale"</formula>
    </cfRule>
    <cfRule type="cellIs" priority="6" operator="equal" aboveAverage="0" equalAverage="0" bottom="0" percent="0" rank="0" text="" dxfId="2">
      <formula>"Warning"</formula>
    </cfRule>
    <cfRule type="cellIs" priority="7" operator="equal" aboveAverage="0" equalAverage="0" bottom="0" percent="0" rank="0" text="" dxfId="2">
      <formula>"At risk"</formula>
    </cfRule>
    <cfRule type="cellIs" priority="8" operator="equal" aboveAverage="0" equalAverage="0" bottom="0" percent="0" rank="0" text="" dxfId="2">
      <formula>"Amber"</formula>
    </cfRule>
    <cfRule type="cellIs" priority="9" operator="equal" aboveAverage="0" equalAverage="0" bottom="0" percent="0" rank="0" text="" dxfId="2">
      <formula>"Aging"</formula>
    </cfRule>
    <cfRule type="cellIs" priority="10" operator="equal" aboveAverage="0" equalAverage="0" bottom="0" percent="0" rank="0" text="" dxfId="2">
      <formula>"Over"</formula>
    </cfRule>
    <cfRule type="cellIs" priority="11" operator="equal" aboveAverage="0" equalAverage="0" bottom="0" percent="0" rank="0" text="" dxfId="2">
      <formula>"Unmapped"</formula>
    </cfRule>
    <cfRule type="cellIs" priority="12" operator="equal" aboveAverage="0" equalAverage="0" bottom="0" percent="0" rank="0" text="" dxfId="2">
      <formula>"Below line"</formula>
    </cfRule>
    <cfRule type="cellIs" priority="13" operator="equal" aboveAverage="0" equalAverage="0" bottom="0" percent="0" rank="0" text="" dxfId="3">
      <formula>"On track"</formula>
    </cfRule>
    <cfRule type="cellIs" priority="14" operator="equal" aboveAverage="0" equalAverage="0" bottom="0" percent="0" rank="0" text="" dxfId="3">
      <formula>"Good"</formula>
    </cfRule>
    <cfRule type="cellIs" priority="15" operator="equal" aboveAverage="0" equalAverage="0" bottom="0" percent="0" rank="0" text="" dxfId="3">
      <formula>"Green"</formula>
    </cfRule>
    <cfRule type="cellIs" priority="16" operator="equal" aboveAverage="0" equalAverage="0" bottom="0" percent="0" rank="0" text="" dxfId="3">
      <formula>"Fresh"</formula>
    </cfRule>
    <cfRule type="cellIs" priority="17" operator="equal" aboveAverage="0" equalAverage="0" bottom="0" percent="0" rank="0" text="" dxfId="3">
      <formula>"Fits"</formula>
    </cfRule>
    <cfRule type="cellIs" priority="18" operator="equal" aboveAverage="0" equalAverage="0" bottom="0" percent="0" rank="0" text="" dxfId="3">
      <formula>"Passed"</formula>
    </cfRule>
    <cfRule type="cellIs" priority="19" operator="equal" aboveAverage="0" equalAverage="0" bottom="0" percent="0" rank="0" text="" dxfId="3">
      <formula>"Inside"</formula>
    </cfRule>
    <cfRule type="cellIs" priority="20" operator="equal" aboveAverage="0" equalAverage="0" bottom="0" percent="0" rank="0" text="" dxfId="4">
      <formula>"Pending"</formula>
    </cfRule>
    <cfRule type="cellIs" priority="21" operator="equal" aboveAverage="0" equalAverage="0" bottom="0" percent="0" rank="0" text="" dxfId="4">
      <formula>"Closed"</formula>
    </cfRule>
    <cfRule type="cellIs" priority="22" operator="equal" aboveAverage="0" equalAverage="0" bottom="0" percent="0" rank="0" text="" dxfId="4">
      <formula>"Committed"</formula>
    </cfRule>
  </conditionalFormatting>
  <dataValidations count="3">
    <dataValidation allowBlank="true" error="Pick one of: New, Know, Decision, Conflict, Confirmed, Resolved" errorStyle="stop" errorTitle="Not on the list" operator="between" showDropDown="false" showErrorMessage="true" showInputMessage="false" sqref="C2:C1001" type="list">
      <formula1>"New,Know,Decision,Conflict,Confirmed,Resolved"</formula1>
      <formula2>0</formula2>
    </dataValidation>
    <dataValidation allowBlank="true" error="Pick one of: Meeting, Email, Teams, Call, Document, Jira, Session" errorStyle="stop" errorTitle="Not on the list" operator="between" showDropDown="false" showErrorMessage="true" showInputMessage="false" sqref="G2:G1001" type="list">
      <formula1>"Meeting,Email,Teams,Call,Document,Jira,Session"</formula1>
      <formula2>0</formula2>
    </dataValidation>
    <dataValidation allowBlank="true" error="Pick one of: Confirmed, Unconfirmed" errorStyle="stop" errorTitle="Not on the list" operator="between" showDropDown="false" showErrorMessage="true" showInputMessage="false" sqref="H2:H1001" type="list">
      <formula1>"Confirmed,Unconfirmed"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</cols>
  <sheetData>
    <row r="1" customFormat="false" ht="30" hidden="false" customHeight="true" outlineLevel="0" collapsed="false">
      <c r="A1" s="61" t="s">
        <v>27</v>
      </c>
      <c r="B1" s="61" t="s">
        <v>28</v>
      </c>
      <c r="C1" s="61" t="s">
        <v>9</v>
      </c>
      <c r="D1" s="61" t="s">
        <v>13</v>
      </c>
      <c r="E1" s="61" t="s">
        <v>340</v>
      </c>
      <c r="F1" s="62" t="s">
        <v>31</v>
      </c>
      <c r="G1" s="62" t="s">
        <v>341</v>
      </c>
      <c r="H1" s="62" t="s">
        <v>282</v>
      </c>
      <c r="I1" s="62" t="s">
        <v>286</v>
      </c>
    </row>
    <row r="2" customFormat="false" ht="15" hidden="false" customHeight="false" outlineLevel="0" collapsed="false">
      <c r="A2" s="63" t="n">
        <v>46259</v>
      </c>
      <c r="B2" s="28" t="s">
        <v>342</v>
      </c>
      <c r="C2" s="28" t="s">
        <v>289</v>
      </c>
      <c r="D2" s="28"/>
      <c r="E2" s="64" t="s">
        <v>343</v>
      </c>
      <c r="F2" s="67" t="n">
        <f aca="false">IF($A2="","",$A2-WEEKDAY($A2,3))</f>
        <v>46258</v>
      </c>
      <c r="G2" s="65" t="str">
        <f aca="false">IF($A2="","",IF($F2=WeekStart,"Yes",""))</f>
        <v/>
      </c>
      <c r="H2" s="65" t="str">
        <f aca="false">IF($G2="Yes",$A2+ROW()/100000,"")</f>
        <v/>
      </c>
      <c r="I2" s="65" t="str">
        <f aca="false">IF(AND($D2&lt;&gt;"",$D2=UCSel),$A2+ROW()/100000,"")</f>
        <v/>
      </c>
    </row>
    <row r="3" customFormat="false" ht="15" hidden="false" customHeight="false" outlineLevel="0" collapsed="false">
      <c r="A3" s="63" t="n">
        <v>46261</v>
      </c>
      <c r="B3" s="28" t="s">
        <v>344</v>
      </c>
      <c r="C3" s="28" t="s">
        <v>289</v>
      </c>
      <c r="D3" s="28"/>
      <c r="E3" s="64" t="s">
        <v>343</v>
      </c>
      <c r="F3" s="67" t="n">
        <f aca="false">IF($A3="","",$A3-WEEKDAY($A3,3))</f>
        <v>46258</v>
      </c>
      <c r="G3" s="65" t="str">
        <f aca="false">IF($A3="","",IF($F3=WeekStart,"Yes",""))</f>
        <v/>
      </c>
      <c r="H3" s="65" t="str">
        <f aca="false">IF($G3="Yes",$A3+ROW()/100000,"")</f>
        <v/>
      </c>
      <c r="I3" s="65" t="str">
        <f aca="false">IF(AND($D3&lt;&gt;"",$D3=UCSel),$A3+ROW()/100000,"")</f>
        <v/>
      </c>
    </row>
    <row r="4" customFormat="false" ht="15" hidden="false" customHeight="false" outlineLevel="0" collapsed="false">
      <c r="A4" s="63" t="n">
        <v>46264</v>
      </c>
      <c r="B4" s="28" t="s">
        <v>345</v>
      </c>
      <c r="C4" s="28" t="s">
        <v>190</v>
      </c>
      <c r="D4" s="28" t="s">
        <v>181</v>
      </c>
      <c r="E4" s="64" t="s">
        <v>299</v>
      </c>
      <c r="F4" s="67" t="n">
        <f aca="false">IF($A4="","",$A4-WEEKDAY($A4,3))</f>
        <v>46258</v>
      </c>
      <c r="G4" s="65" t="str">
        <f aca="false">IF($A4="","",IF($F4=WeekStart,"Yes",""))</f>
        <v/>
      </c>
      <c r="H4" s="65" t="str">
        <f aca="false">IF($G4="Yes",$A4+ROW()/100000,"")</f>
        <v/>
      </c>
      <c r="I4" s="65" t="str">
        <f aca="false">IF(AND($D4&lt;&gt;"",$D4=UCSel),$A4+ROW()/100000,"")</f>
        <v/>
      </c>
    </row>
    <row r="5" customFormat="false" ht="15" hidden="false" customHeight="false" outlineLevel="0" collapsed="false">
      <c r="A5" s="63" t="n">
        <v>46266</v>
      </c>
      <c r="B5" s="28" t="s">
        <v>346</v>
      </c>
      <c r="C5" s="28" t="s">
        <v>198</v>
      </c>
      <c r="D5" s="28" t="s">
        <v>191</v>
      </c>
      <c r="E5" s="64" t="s">
        <v>343</v>
      </c>
      <c r="F5" s="67" t="n">
        <f aca="false">IF($A5="","",$A5-WEEKDAY($A5,3))</f>
        <v>46265</v>
      </c>
      <c r="G5" s="65" t="str">
        <f aca="false">IF($A5="","",IF($F5=WeekStart,"Yes",""))</f>
        <v/>
      </c>
      <c r="H5" s="65" t="str">
        <f aca="false">IF($G5="Yes",$A5+ROW()/100000,"")</f>
        <v/>
      </c>
      <c r="I5" s="65" t="str">
        <f aca="false">IF(AND($D5&lt;&gt;"",$D5=UCSel),$A5+ROW()/100000,"")</f>
        <v/>
      </c>
    </row>
    <row r="6" customFormat="false" ht="15" hidden="false" customHeight="false" outlineLevel="0" collapsed="false">
      <c r="A6" s="63" t="n">
        <v>46270</v>
      </c>
      <c r="B6" s="28" t="s">
        <v>347</v>
      </c>
      <c r="C6" s="28" t="s">
        <v>214</v>
      </c>
      <c r="D6" s="28" t="s">
        <v>206</v>
      </c>
      <c r="E6" s="64" t="s">
        <v>299</v>
      </c>
      <c r="F6" s="67" t="n">
        <f aca="false">IF($A6="","",$A6-WEEKDAY($A6,3))</f>
        <v>46265</v>
      </c>
      <c r="G6" s="65" t="str">
        <f aca="false">IF($A6="","",IF($F6=WeekStart,"Yes",""))</f>
        <v/>
      </c>
      <c r="H6" s="65" t="str">
        <f aca="false">IF($G6="Yes",$A6+ROW()/100000,"")</f>
        <v/>
      </c>
      <c r="I6" s="65" t="str">
        <f aca="false">IF(AND($D6&lt;&gt;"",$D6=UCSel),$A6+ROW()/100000,"")</f>
        <v/>
      </c>
    </row>
    <row r="7" customFormat="false" ht="15" hidden="false" customHeight="false" outlineLevel="0" collapsed="false">
      <c r="A7" s="63" t="n">
        <v>46272</v>
      </c>
      <c r="B7" s="28" t="s">
        <v>348</v>
      </c>
      <c r="C7" s="28" t="s">
        <v>240</v>
      </c>
      <c r="D7" s="28" t="s">
        <v>235</v>
      </c>
      <c r="E7" s="64" t="s">
        <v>349</v>
      </c>
      <c r="F7" s="67" t="n">
        <f aca="false">IF($A7="","",$A7-WEEKDAY($A7,3))</f>
        <v>46272</v>
      </c>
      <c r="G7" s="65" t="str">
        <f aca="false">IF($A7="","",IF($F7=WeekStart,"Yes",""))</f>
        <v/>
      </c>
      <c r="H7" s="65" t="str">
        <f aca="false">IF($G7="Yes",$A7+ROW()/100000,"")</f>
        <v/>
      </c>
      <c r="I7" s="65" t="str">
        <f aca="false">IF(AND($D7&lt;&gt;"",$D7=UCSel),$A7+ROW()/100000,"")</f>
        <v/>
      </c>
    </row>
    <row r="8" customFormat="false" ht="15" hidden="false" customHeight="false" outlineLevel="0" collapsed="false">
      <c r="A8" s="63" t="n">
        <v>46273</v>
      </c>
      <c r="B8" s="28" t="s">
        <v>350</v>
      </c>
      <c r="C8" s="28" t="s">
        <v>289</v>
      </c>
      <c r="D8" s="28"/>
      <c r="E8" s="64" t="s">
        <v>343</v>
      </c>
      <c r="F8" s="67" t="n">
        <f aca="false">IF($A8="","",$A8-WEEKDAY($A8,3))</f>
        <v>46272</v>
      </c>
      <c r="G8" s="65" t="str">
        <f aca="false">IF($A8="","",IF($F8=WeekStart,"Yes",""))</f>
        <v/>
      </c>
      <c r="H8" s="65" t="str">
        <f aca="false">IF($G8="Yes",$A8+ROW()/100000,"")</f>
        <v/>
      </c>
      <c r="I8" s="65" t="str">
        <f aca="false">IF(AND($D8&lt;&gt;"",$D8=UCSel),$A8+ROW()/100000,"")</f>
        <v/>
      </c>
    </row>
    <row r="9" customFormat="false" ht="15" hidden="false" customHeight="false" outlineLevel="0" collapsed="false">
      <c r="A9" s="63" t="n">
        <v>46277</v>
      </c>
      <c r="B9" s="28" t="s">
        <v>351</v>
      </c>
      <c r="C9" s="28" t="s">
        <v>289</v>
      </c>
      <c r="D9" s="28"/>
      <c r="E9" s="64" t="s">
        <v>307</v>
      </c>
      <c r="F9" s="67" t="n">
        <f aca="false">IF($A9="","",$A9-WEEKDAY($A9,3))</f>
        <v>46272</v>
      </c>
      <c r="G9" s="65" t="str">
        <f aca="false">IF($A9="","",IF($F9=WeekStart,"Yes",""))</f>
        <v/>
      </c>
      <c r="H9" s="65" t="str">
        <f aca="false">IF($G9="Yes",$A9+ROW()/100000,"")</f>
        <v/>
      </c>
      <c r="I9" s="65" t="str">
        <f aca="false">IF(AND($D9&lt;&gt;"",$D9=UCSel),$A9+ROW()/100000,"")</f>
        <v/>
      </c>
    </row>
    <row r="10" customFormat="false" ht="15" hidden="false" customHeight="false" outlineLevel="0" collapsed="false">
      <c r="A10" s="63" t="n">
        <v>46280</v>
      </c>
      <c r="B10" s="28" t="s">
        <v>352</v>
      </c>
      <c r="C10" s="28" t="s">
        <v>277</v>
      </c>
      <c r="D10" s="28"/>
      <c r="E10" s="64" t="s">
        <v>343</v>
      </c>
      <c r="F10" s="67" t="n">
        <f aca="false">IF($A10="","",$A10-WEEKDAY($A10,3))</f>
        <v>46279</v>
      </c>
      <c r="G10" s="65" t="str">
        <f aca="false">IF($A10="","",IF($F10=WeekStart,"Yes",""))</f>
        <v/>
      </c>
      <c r="H10" s="65" t="str">
        <f aca="false">IF($G10="Yes",$A10+ROW()/100000,"")</f>
        <v/>
      </c>
      <c r="I10" s="65" t="str">
        <f aca="false">IF(AND($D10&lt;&gt;"",$D10=UCSel),$A10+ROW()/100000,"")</f>
        <v/>
      </c>
    </row>
    <row r="11" customFormat="false" ht="15" hidden="false" customHeight="false" outlineLevel="0" collapsed="false">
      <c r="A11" s="63" t="n">
        <v>46284</v>
      </c>
      <c r="B11" s="28" t="s">
        <v>353</v>
      </c>
      <c r="C11" s="28" t="s">
        <v>190</v>
      </c>
      <c r="D11" s="28" t="s">
        <v>181</v>
      </c>
      <c r="E11" s="64" t="s">
        <v>349</v>
      </c>
      <c r="F11" s="67" t="n">
        <f aca="false">IF($A11="","",$A11-WEEKDAY($A11,3))</f>
        <v>46279</v>
      </c>
      <c r="G11" s="65" t="str">
        <f aca="false">IF($A11="","",IF($F11=WeekStart,"Yes",""))</f>
        <v/>
      </c>
      <c r="H11" s="65" t="str">
        <f aca="false">IF($G11="Yes",$A11+ROW()/100000,"")</f>
        <v/>
      </c>
      <c r="I11" s="65" t="str">
        <f aca="false">IF(AND($D11&lt;&gt;"",$D11=UCSel),$A11+ROW()/100000,"")</f>
        <v/>
      </c>
    </row>
    <row r="12" customFormat="false" ht="15" hidden="false" customHeight="false" outlineLevel="0" collapsed="false">
      <c r="A12" s="63" t="n">
        <v>46285</v>
      </c>
      <c r="B12" s="28" t="s">
        <v>354</v>
      </c>
      <c r="C12" s="28" t="s">
        <v>289</v>
      </c>
      <c r="D12" s="28" t="s">
        <v>267</v>
      </c>
      <c r="E12" s="64" t="s">
        <v>343</v>
      </c>
      <c r="F12" s="67" t="n">
        <f aca="false">IF($A12="","",$A12-WEEKDAY($A12,3))</f>
        <v>46279</v>
      </c>
      <c r="G12" s="65" t="str">
        <f aca="false">IF($A12="","",IF($F12=WeekStart,"Yes",""))</f>
        <v/>
      </c>
      <c r="H12" s="65" t="str">
        <f aca="false">IF($G12="Yes",$A12+ROW()/100000,"")</f>
        <v/>
      </c>
      <c r="I12" s="65" t="str">
        <f aca="false">IF(AND($D12&lt;&gt;"",$D12=UCSel),$A12+ROW()/100000,"")</f>
        <v/>
      </c>
    </row>
    <row r="13" customFormat="false" ht="15" hidden="false" customHeight="false" outlineLevel="0" collapsed="false">
      <c r="A13" s="63" t="n">
        <v>46286</v>
      </c>
      <c r="B13" s="28" t="s">
        <v>355</v>
      </c>
      <c r="C13" s="28" t="s">
        <v>198</v>
      </c>
      <c r="D13" s="28" t="s">
        <v>191</v>
      </c>
      <c r="E13" s="64" t="s">
        <v>299</v>
      </c>
      <c r="F13" s="67" t="n">
        <f aca="false">IF($A13="","",$A13-WEEKDAY($A13,3))</f>
        <v>46286</v>
      </c>
      <c r="G13" s="65" t="str">
        <f aca="false">IF($A13="","",IF($F13=WeekStart,"Yes",""))</f>
        <v/>
      </c>
      <c r="H13" s="65" t="str">
        <f aca="false">IF($G13="Yes",$A13+ROW()/100000,"")</f>
        <v/>
      </c>
      <c r="I13" s="65" t="str">
        <f aca="false">IF(AND($D13&lt;&gt;"",$D13=UCSel),$A13+ROW()/100000,"")</f>
        <v/>
      </c>
    </row>
    <row r="14" customFormat="false" ht="15" hidden="false" customHeight="false" outlineLevel="0" collapsed="false">
      <c r="A14" s="63" t="n">
        <v>46287</v>
      </c>
      <c r="B14" s="28" t="s">
        <v>356</v>
      </c>
      <c r="C14" s="28" t="s">
        <v>289</v>
      </c>
      <c r="D14" s="28"/>
      <c r="E14" s="64" t="s">
        <v>343</v>
      </c>
      <c r="F14" s="67" t="n">
        <f aca="false">IF($A14="","",$A14-WEEKDAY($A14,3))</f>
        <v>46286</v>
      </c>
      <c r="G14" s="65" t="str">
        <f aca="false">IF($A14="","",IF($F14=WeekStart,"Yes",""))</f>
        <v/>
      </c>
      <c r="H14" s="65" t="str">
        <f aca="false">IF($G14="Yes",$A14+ROW()/100000,"")</f>
        <v/>
      </c>
      <c r="I14" s="65" t="str">
        <f aca="false">IF(AND($D14&lt;&gt;"",$D14=UCSel),$A14+ROW()/100000,"")</f>
        <v/>
      </c>
    </row>
    <row r="15" customFormat="false" ht="15" hidden="false" customHeight="false" outlineLevel="0" collapsed="false">
      <c r="A15" s="63" t="n">
        <v>46291</v>
      </c>
      <c r="B15" s="28" t="s">
        <v>357</v>
      </c>
      <c r="C15" s="28" t="s">
        <v>277</v>
      </c>
      <c r="D15" s="28"/>
      <c r="E15" s="64" t="s">
        <v>299</v>
      </c>
      <c r="F15" s="67" t="n">
        <f aca="false">IF($A15="","",$A15-WEEKDAY($A15,3))</f>
        <v>46286</v>
      </c>
      <c r="G15" s="65" t="str">
        <f aca="false">IF($A15="","",IF($F15=WeekStart,"Yes",""))</f>
        <v/>
      </c>
      <c r="H15" s="65" t="str">
        <f aca="false">IF($G15="Yes",$A15+ROW()/100000,"")</f>
        <v/>
      </c>
      <c r="I15" s="65" t="str">
        <f aca="false">IF(AND($D15&lt;&gt;"",$D15=UCSel),$A15+ROW()/100000,"")</f>
        <v/>
      </c>
    </row>
    <row r="16" customFormat="false" ht="15" hidden="false" customHeight="false" outlineLevel="0" collapsed="false">
      <c r="A16" s="63" t="n">
        <v>46293</v>
      </c>
      <c r="B16" s="28" t="s">
        <v>358</v>
      </c>
      <c r="C16" s="28" t="s">
        <v>205</v>
      </c>
      <c r="D16" s="28" t="s">
        <v>135</v>
      </c>
      <c r="E16" s="64" t="s">
        <v>343</v>
      </c>
      <c r="F16" s="67" t="n">
        <f aca="false">IF($A16="","",$A16-WEEKDAY($A16,3))</f>
        <v>46293</v>
      </c>
      <c r="G16" s="65" t="str">
        <f aca="false">IF($A16="","",IF($F16=WeekStart,"Yes",""))</f>
        <v>Yes</v>
      </c>
      <c r="H16" s="66" t="n">
        <f aca="false">IF($G16="Yes",$A16+ROW()/100000,"")</f>
        <v>46293.00016</v>
      </c>
      <c r="I16" s="66" t="n">
        <f aca="false">IF(AND($D16&lt;&gt;"",$D16=UCSel),$A16+ROW()/100000,"")</f>
        <v>46293.00016</v>
      </c>
    </row>
    <row r="17" customFormat="false" ht="15" hidden="false" customHeight="false" outlineLevel="0" collapsed="false">
      <c r="A17" s="63" t="n">
        <v>46293</v>
      </c>
      <c r="B17" s="28" t="s">
        <v>359</v>
      </c>
      <c r="C17" s="28" t="s">
        <v>289</v>
      </c>
      <c r="D17" s="28"/>
      <c r="E17" s="64" t="s">
        <v>343</v>
      </c>
      <c r="F17" s="67" t="n">
        <f aca="false">IF($A17="","",$A17-WEEKDAY($A17,3))</f>
        <v>46293</v>
      </c>
      <c r="G17" s="65" t="str">
        <f aca="false">IF($A17="","",IF($F17=WeekStart,"Yes",""))</f>
        <v>Yes</v>
      </c>
      <c r="H17" s="66" t="n">
        <f aca="false">IF($G17="Yes",$A17+ROW()/100000,"")</f>
        <v>46293.00017</v>
      </c>
      <c r="I17" s="65" t="str">
        <f aca="false">IF(AND($D17&lt;&gt;"",$D17=UCSel),$A17+ROW()/100000,"")</f>
        <v/>
      </c>
    </row>
    <row r="18" customFormat="false" ht="15" hidden="false" customHeight="false" outlineLevel="0" collapsed="false">
      <c r="A18" s="63" t="n">
        <v>46294</v>
      </c>
      <c r="B18" s="28" t="s">
        <v>360</v>
      </c>
      <c r="C18" s="28"/>
      <c r="D18" s="28" t="s">
        <v>260</v>
      </c>
      <c r="E18" s="64" t="s">
        <v>343</v>
      </c>
      <c r="F18" s="67" t="n">
        <f aca="false">IF($A18="","",$A18-WEEKDAY($A18,3))</f>
        <v>46293</v>
      </c>
      <c r="G18" s="65" t="str">
        <f aca="false">IF($A18="","",IF($F18=WeekStart,"Yes",""))</f>
        <v>Yes</v>
      </c>
      <c r="H18" s="66" t="n">
        <f aca="false">IF($G18="Yes",$A18+ROW()/100000,"")</f>
        <v>46294.00018</v>
      </c>
      <c r="I18" s="65" t="str">
        <f aca="false">IF(AND($D18&lt;&gt;"",$D18=UCSel),$A18+ROW()/100000,"")</f>
        <v/>
      </c>
    </row>
    <row r="19" customFormat="false" ht="15" hidden="false" customHeight="false" outlineLevel="0" collapsed="false">
      <c r="A19" s="63" t="n">
        <v>46295</v>
      </c>
      <c r="B19" s="28" t="s">
        <v>361</v>
      </c>
      <c r="C19" s="28" t="s">
        <v>240</v>
      </c>
      <c r="D19" s="28" t="s">
        <v>235</v>
      </c>
      <c r="E19" s="64" t="s">
        <v>299</v>
      </c>
      <c r="F19" s="67" t="n">
        <f aca="false">IF($A19="","",$A19-WEEKDAY($A19,3))</f>
        <v>46293</v>
      </c>
      <c r="G19" s="65" t="str">
        <f aca="false">IF($A19="","",IF($F19=WeekStart,"Yes",""))</f>
        <v>Yes</v>
      </c>
      <c r="H19" s="66" t="n">
        <f aca="false">IF($G19="Yes",$A19+ROW()/100000,"")</f>
        <v>46295.00019</v>
      </c>
      <c r="I19" s="65" t="str">
        <f aca="false">IF(AND($D19&lt;&gt;"",$D19=UCSel),$A19+ROW()/100000,"")</f>
        <v/>
      </c>
    </row>
    <row r="20" customFormat="false" ht="15" hidden="false" customHeight="false" outlineLevel="0" collapsed="false">
      <c r="A20" s="63" t="n">
        <v>46296</v>
      </c>
      <c r="B20" s="28" t="s">
        <v>362</v>
      </c>
      <c r="C20" s="28" t="s">
        <v>205</v>
      </c>
      <c r="D20" s="28" t="s">
        <v>241</v>
      </c>
      <c r="E20" s="64" t="s">
        <v>343</v>
      </c>
      <c r="F20" s="67" t="n">
        <f aca="false">IF($A20="","",$A20-WEEKDAY($A20,3))</f>
        <v>46293</v>
      </c>
      <c r="G20" s="65" t="str">
        <f aca="false">IF($A20="","",IF($F20=WeekStart,"Yes",""))</f>
        <v>Yes</v>
      </c>
      <c r="H20" s="66" t="n">
        <f aca="false">IF($G20="Yes",$A20+ROW()/100000,"")</f>
        <v>46296.0002</v>
      </c>
      <c r="I20" s="65" t="str">
        <f aca="false">IF(AND($D20&lt;&gt;"",$D20=UCSel),$A20+ROW()/100000,"")</f>
        <v/>
      </c>
    </row>
    <row r="21" customFormat="false" ht="15" hidden="false" customHeight="false" outlineLevel="0" collapsed="false">
      <c r="A21" s="63" t="n">
        <v>46297</v>
      </c>
      <c r="B21" s="28" t="s">
        <v>363</v>
      </c>
      <c r="C21" s="28"/>
      <c r="D21" s="28" t="s">
        <v>245</v>
      </c>
      <c r="E21" s="64" t="s">
        <v>343</v>
      </c>
      <c r="F21" s="67" t="n">
        <f aca="false">IF($A21="","",$A21-WEEKDAY($A21,3))</f>
        <v>46293</v>
      </c>
      <c r="G21" s="65" t="str">
        <f aca="false">IF($A21="","",IF($F21=WeekStart,"Yes",""))</f>
        <v>Yes</v>
      </c>
      <c r="H21" s="66" t="n">
        <f aca="false">IF($G21="Yes",$A21+ROW()/100000,"")</f>
        <v>46297.00021</v>
      </c>
      <c r="I21" s="65" t="str">
        <f aca="false">IF(AND($D21&lt;&gt;"",$D21=UCSel),$A21+ROW()/100000,"")</f>
        <v/>
      </c>
    </row>
    <row r="22" customFormat="false" ht="15" hidden="false" customHeight="false" outlineLevel="0" collapsed="false">
      <c r="A22" s="63"/>
      <c r="B22" s="28"/>
      <c r="C22" s="28"/>
      <c r="D22" s="28"/>
      <c r="E22" s="64"/>
      <c r="F22" s="67" t="str">
        <f aca="false">IF($A22="","",$A22-WEEKDAY($A22,3))</f>
        <v/>
      </c>
      <c r="G22" s="65" t="str">
        <f aca="false">IF($A22="","",IF($F22=WeekStart,"Yes",""))</f>
        <v/>
      </c>
      <c r="H22" s="65" t="str">
        <f aca="false">IF($G22="Yes",$A22+ROW()/100000,"")</f>
        <v/>
      </c>
      <c r="I22" s="65" t="str">
        <f aca="false">IF(AND($D22&lt;&gt;"",$D22=UCSel),$A22+ROW()/100000,"")</f>
        <v/>
      </c>
    </row>
    <row r="23" customFormat="false" ht="15" hidden="false" customHeight="false" outlineLevel="0" collapsed="false">
      <c r="A23" s="63"/>
      <c r="B23" s="28"/>
      <c r="C23" s="28"/>
      <c r="D23" s="28"/>
      <c r="E23" s="64"/>
      <c r="F23" s="67" t="str">
        <f aca="false">IF($A23="","",$A23-WEEKDAY($A23,3))</f>
        <v/>
      </c>
      <c r="G23" s="65" t="str">
        <f aca="false">IF($A23="","",IF($F23=WeekStart,"Yes",""))</f>
        <v/>
      </c>
      <c r="H23" s="65" t="str">
        <f aca="false">IF($G23="Yes",$A23+ROW()/100000,"")</f>
        <v/>
      </c>
      <c r="I23" s="65" t="str">
        <f aca="false">IF(AND($D23&lt;&gt;"",$D23=UCSel),$A23+ROW()/100000,"")</f>
        <v/>
      </c>
    </row>
    <row r="24" customFormat="false" ht="15" hidden="false" customHeight="false" outlineLevel="0" collapsed="false">
      <c r="A24" s="63"/>
      <c r="B24" s="28"/>
      <c r="C24" s="28"/>
      <c r="D24" s="28"/>
      <c r="E24" s="64"/>
      <c r="F24" s="67" t="str">
        <f aca="false">IF($A24="","",$A24-WEEKDAY($A24,3))</f>
        <v/>
      </c>
      <c r="G24" s="65" t="str">
        <f aca="false">IF($A24="","",IF($F24=WeekStart,"Yes",""))</f>
        <v/>
      </c>
      <c r="H24" s="65" t="str">
        <f aca="false">IF($G24="Yes",$A24+ROW()/100000,"")</f>
        <v/>
      </c>
      <c r="I24" s="65" t="str">
        <f aca="false">IF(AND($D24&lt;&gt;"",$D24=UCSel),$A24+ROW()/100000,"")</f>
        <v/>
      </c>
    </row>
    <row r="25" customFormat="false" ht="15" hidden="false" customHeight="false" outlineLevel="0" collapsed="false">
      <c r="A25" s="63"/>
      <c r="B25" s="28"/>
      <c r="C25" s="28"/>
      <c r="D25" s="28"/>
      <c r="E25" s="64"/>
      <c r="F25" s="67" t="str">
        <f aca="false">IF($A25="","",$A25-WEEKDAY($A25,3))</f>
        <v/>
      </c>
      <c r="G25" s="65" t="str">
        <f aca="false">IF($A25="","",IF($F25=WeekStart,"Yes",""))</f>
        <v/>
      </c>
      <c r="H25" s="65" t="str">
        <f aca="false">IF($G25="Yes",$A25+ROW()/100000,"")</f>
        <v/>
      </c>
      <c r="I25" s="65" t="str">
        <f aca="false">IF(AND($D25&lt;&gt;"",$D25=UCSel),$A25+ROW()/100000,"")</f>
        <v/>
      </c>
    </row>
    <row r="26" customFormat="false" ht="15" hidden="false" customHeight="false" outlineLevel="0" collapsed="false">
      <c r="A26" s="63"/>
      <c r="B26" s="28"/>
      <c r="C26" s="28"/>
      <c r="D26" s="28"/>
      <c r="E26" s="64"/>
      <c r="F26" s="67" t="str">
        <f aca="false">IF($A26="","",$A26-WEEKDAY($A26,3))</f>
        <v/>
      </c>
      <c r="G26" s="65" t="str">
        <f aca="false">IF($A26="","",IF($F26=WeekStart,"Yes",""))</f>
        <v/>
      </c>
      <c r="H26" s="65" t="str">
        <f aca="false">IF($G26="Yes",$A26+ROW()/100000,"")</f>
        <v/>
      </c>
      <c r="I26" s="65" t="str">
        <f aca="false">IF(AND($D26&lt;&gt;"",$D26=UCSel),$A26+ROW()/100000,"")</f>
        <v/>
      </c>
    </row>
    <row r="27" customFormat="false" ht="15" hidden="false" customHeight="false" outlineLevel="0" collapsed="false">
      <c r="A27" s="63"/>
      <c r="B27" s="28"/>
      <c r="C27" s="28"/>
      <c r="D27" s="28"/>
      <c r="E27" s="64"/>
      <c r="F27" s="67" t="str">
        <f aca="false">IF($A27="","",$A27-WEEKDAY($A27,3))</f>
        <v/>
      </c>
      <c r="G27" s="65" t="str">
        <f aca="false">IF($A27="","",IF($F27=WeekStart,"Yes",""))</f>
        <v/>
      </c>
      <c r="H27" s="65" t="str">
        <f aca="false">IF($G27="Yes",$A27+ROW()/100000,"")</f>
        <v/>
      </c>
      <c r="I27" s="65" t="str">
        <f aca="false">IF(AND($D27&lt;&gt;"",$D27=UCSel),$A27+ROW()/100000,"")</f>
        <v/>
      </c>
    </row>
    <row r="28" customFormat="false" ht="15" hidden="false" customHeight="false" outlineLevel="0" collapsed="false">
      <c r="A28" s="63"/>
      <c r="B28" s="28"/>
      <c r="C28" s="28"/>
      <c r="D28" s="28"/>
      <c r="E28" s="64"/>
      <c r="F28" s="67" t="str">
        <f aca="false">IF($A28="","",$A28-WEEKDAY($A28,3))</f>
        <v/>
      </c>
      <c r="G28" s="65" t="str">
        <f aca="false">IF($A28="","",IF($F28=WeekStart,"Yes",""))</f>
        <v/>
      </c>
      <c r="H28" s="65" t="str">
        <f aca="false">IF($G28="Yes",$A28+ROW()/100000,"")</f>
        <v/>
      </c>
      <c r="I28" s="65" t="str">
        <f aca="false">IF(AND($D28&lt;&gt;"",$D28=UCSel),$A28+ROW()/100000,"")</f>
        <v/>
      </c>
    </row>
    <row r="29" customFormat="false" ht="15" hidden="false" customHeight="false" outlineLevel="0" collapsed="false">
      <c r="A29" s="63"/>
      <c r="B29" s="28"/>
      <c r="C29" s="28"/>
      <c r="D29" s="28"/>
      <c r="E29" s="64"/>
      <c r="F29" s="67" t="str">
        <f aca="false">IF($A29="","",$A29-WEEKDAY($A29,3))</f>
        <v/>
      </c>
      <c r="G29" s="65" t="str">
        <f aca="false">IF($A29="","",IF($F29=WeekStart,"Yes",""))</f>
        <v/>
      </c>
      <c r="H29" s="65" t="str">
        <f aca="false">IF($G29="Yes",$A29+ROW()/100000,"")</f>
        <v/>
      </c>
      <c r="I29" s="65" t="str">
        <f aca="false">IF(AND($D29&lt;&gt;"",$D29=UCSel),$A29+ROW()/100000,"")</f>
        <v/>
      </c>
    </row>
    <row r="30" customFormat="false" ht="15" hidden="false" customHeight="false" outlineLevel="0" collapsed="false">
      <c r="A30" s="63"/>
      <c r="B30" s="28"/>
      <c r="C30" s="28"/>
      <c r="D30" s="28"/>
      <c r="E30" s="64"/>
      <c r="F30" s="67" t="str">
        <f aca="false">IF($A30="","",$A30-WEEKDAY($A30,3))</f>
        <v/>
      </c>
      <c r="G30" s="65" t="str">
        <f aca="false">IF($A30="","",IF($F30=WeekStart,"Yes",""))</f>
        <v/>
      </c>
      <c r="H30" s="65" t="str">
        <f aca="false">IF($G30="Yes",$A30+ROW()/100000,"")</f>
        <v/>
      </c>
      <c r="I30" s="65" t="str">
        <f aca="false">IF(AND($D30&lt;&gt;"",$D30=UCSel),$A30+ROW()/100000,"")</f>
        <v/>
      </c>
    </row>
    <row r="31" customFormat="false" ht="15" hidden="false" customHeight="false" outlineLevel="0" collapsed="false">
      <c r="A31" s="63"/>
      <c r="B31" s="28"/>
      <c r="C31" s="28"/>
      <c r="D31" s="28"/>
      <c r="E31" s="64"/>
      <c r="F31" s="67" t="str">
        <f aca="false">IF($A31="","",$A31-WEEKDAY($A31,3))</f>
        <v/>
      </c>
      <c r="G31" s="65" t="str">
        <f aca="false">IF($A31="","",IF($F31=WeekStart,"Yes",""))</f>
        <v/>
      </c>
      <c r="H31" s="65" t="str">
        <f aca="false">IF($G31="Yes",$A31+ROW()/100000,"")</f>
        <v/>
      </c>
      <c r="I31" s="65" t="str">
        <f aca="false">IF(AND($D31&lt;&gt;"",$D31=UCSel),$A31+ROW()/100000,"")</f>
        <v/>
      </c>
    </row>
    <row r="32" customFormat="false" ht="15" hidden="false" customHeight="false" outlineLevel="0" collapsed="false">
      <c r="A32" s="63"/>
      <c r="B32" s="28"/>
      <c r="C32" s="28"/>
      <c r="D32" s="28"/>
      <c r="E32" s="64"/>
      <c r="F32" s="67" t="str">
        <f aca="false">IF($A32="","",$A32-WEEKDAY($A32,3))</f>
        <v/>
      </c>
      <c r="G32" s="65" t="str">
        <f aca="false">IF($A32="","",IF($F32=WeekStart,"Yes",""))</f>
        <v/>
      </c>
      <c r="H32" s="65" t="str">
        <f aca="false">IF($G32="Yes",$A32+ROW()/100000,"")</f>
        <v/>
      </c>
      <c r="I32" s="65" t="str">
        <f aca="false">IF(AND($D32&lt;&gt;"",$D32=UCSel),$A32+ROW()/100000,"")</f>
        <v/>
      </c>
    </row>
    <row r="33" customFormat="false" ht="15" hidden="false" customHeight="false" outlineLevel="0" collapsed="false">
      <c r="A33" s="63"/>
      <c r="B33" s="28"/>
      <c r="C33" s="28"/>
      <c r="D33" s="28"/>
      <c r="E33" s="64"/>
      <c r="F33" s="67" t="str">
        <f aca="false">IF($A33="","",$A33-WEEKDAY($A33,3))</f>
        <v/>
      </c>
      <c r="G33" s="65" t="str">
        <f aca="false">IF($A33="","",IF($F33=WeekStart,"Yes",""))</f>
        <v/>
      </c>
      <c r="H33" s="65" t="str">
        <f aca="false">IF($G33="Yes",$A33+ROW()/100000,"")</f>
        <v/>
      </c>
      <c r="I33" s="65" t="str">
        <f aca="false">IF(AND($D33&lt;&gt;"",$D33=UCSel),$A33+ROW()/100000,"")</f>
        <v/>
      </c>
    </row>
    <row r="34" customFormat="false" ht="15" hidden="false" customHeight="false" outlineLevel="0" collapsed="false">
      <c r="A34" s="63"/>
      <c r="B34" s="28"/>
      <c r="C34" s="28"/>
      <c r="D34" s="28"/>
      <c r="E34" s="64"/>
      <c r="F34" s="67" t="str">
        <f aca="false">IF($A34="","",$A34-WEEKDAY($A34,3))</f>
        <v/>
      </c>
      <c r="G34" s="65" t="str">
        <f aca="false">IF($A34="","",IF($F34=WeekStart,"Yes",""))</f>
        <v/>
      </c>
      <c r="H34" s="65" t="str">
        <f aca="false">IF($G34="Yes",$A34+ROW()/100000,"")</f>
        <v/>
      </c>
      <c r="I34" s="65" t="str">
        <f aca="false">IF(AND($D34&lt;&gt;"",$D34=UCSel),$A34+ROW()/100000,"")</f>
        <v/>
      </c>
    </row>
    <row r="35" customFormat="false" ht="15" hidden="false" customHeight="false" outlineLevel="0" collapsed="false">
      <c r="A35" s="63"/>
      <c r="B35" s="28"/>
      <c r="C35" s="28"/>
      <c r="D35" s="28"/>
      <c r="E35" s="64"/>
      <c r="F35" s="67" t="str">
        <f aca="false">IF($A35="","",$A35-WEEKDAY($A35,3))</f>
        <v/>
      </c>
      <c r="G35" s="65" t="str">
        <f aca="false">IF($A35="","",IF($F35=WeekStart,"Yes",""))</f>
        <v/>
      </c>
      <c r="H35" s="65" t="str">
        <f aca="false">IF($G35="Yes",$A35+ROW()/100000,"")</f>
        <v/>
      </c>
      <c r="I35" s="65" t="str">
        <f aca="false">IF(AND($D35&lt;&gt;"",$D35=UCSel),$A35+ROW()/100000,"")</f>
        <v/>
      </c>
    </row>
    <row r="36" customFormat="false" ht="15" hidden="false" customHeight="false" outlineLevel="0" collapsed="false">
      <c r="A36" s="63"/>
      <c r="B36" s="28"/>
      <c r="C36" s="28"/>
      <c r="D36" s="28"/>
      <c r="E36" s="64"/>
      <c r="F36" s="67" t="str">
        <f aca="false">IF($A36="","",$A36-WEEKDAY($A36,3))</f>
        <v/>
      </c>
      <c r="G36" s="65" t="str">
        <f aca="false">IF($A36="","",IF($F36=WeekStart,"Yes",""))</f>
        <v/>
      </c>
      <c r="H36" s="65" t="str">
        <f aca="false">IF($G36="Yes",$A36+ROW()/100000,"")</f>
        <v/>
      </c>
      <c r="I36" s="65" t="str">
        <f aca="false">IF(AND($D36&lt;&gt;"",$D36=UCSel),$A36+ROW()/100000,"")</f>
        <v/>
      </c>
    </row>
    <row r="37" customFormat="false" ht="15" hidden="false" customHeight="false" outlineLevel="0" collapsed="false">
      <c r="A37" s="63"/>
      <c r="B37" s="28"/>
      <c r="C37" s="28"/>
      <c r="D37" s="28"/>
      <c r="E37" s="64"/>
      <c r="F37" s="67" t="str">
        <f aca="false">IF($A37="","",$A37-WEEKDAY($A37,3))</f>
        <v/>
      </c>
      <c r="G37" s="65" t="str">
        <f aca="false">IF($A37="","",IF($F37=WeekStart,"Yes",""))</f>
        <v/>
      </c>
      <c r="H37" s="65" t="str">
        <f aca="false">IF($G37="Yes",$A37+ROW()/100000,"")</f>
        <v/>
      </c>
      <c r="I37" s="65" t="str">
        <f aca="false">IF(AND($D37&lt;&gt;"",$D37=UCSel),$A37+ROW()/100000,"")</f>
        <v/>
      </c>
    </row>
    <row r="38" customFormat="false" ht="15" hidden="false" customHeight="false" outlineLevel="0" collapsed="false">
      <c r="A38" s="63"/>
      <c r="B38" s="28"/>
      <c r="C38" s="28"/>
      <c r="D38" s="28"/>
      <c r="E38" s="64"/>
      <c r="F38" s="67" t="str">
        <f aca="false">IF($A38="","",$A38-WEEKDAY($A38,3))</f>
        <v/>
      </c>
      <c r="G38" s="65" t="str">
        <f aca="false">IF($A38="","",IF($F38=WeekStart,"Yes",""))</f>
        <v/>
      </c>
      <c r="H38" s="65" t="str">
        <f aca="false">IF($G38="Yes",$A38+ROW()/100000,"")</f>
        <v/>
      </c>
      <c r="I38" s="65" t="str">
        <f aca="false">IF(AND($D38&lt;&gt;"",$D38=UCSel),$A38+ROW()/100000,"")</f>
        <v/>
      </c>
    </row>
    <row r="39" customFormat="false" ht="15" hidden="false" customHeight="false" outlineLevel="0" collapsed="false">
      <c r="A39" s="63"/>
      <c r="B39" s="28"/>
      <c r="C39" s="28"/>
      <c r="D39" s="28"/>
      <c r="E39" s="64"/>
      <c r="F39" s="67" t="str">
        <f aca="false">IF($A39="","",$A39-WEEKDAY($A39,3))</f>
        <v/>
      </c>
      <c r="G39" s="65" t="str">
        <f aca="false">IF($A39="","",IF($F39=WeekStart,"Yes",""))</f>
        <v/>
      </c>
      <c r="H39" s="65" t="str">
        <f aca="false">IF($G39="Yes",$A39+ROW()/100000,"")</f>
        <v/>
      </c>
      <c r="I39" s="65" t="str">
        <f aca="false">IF(AND($D39&lt;&gt;"",$D39=UCSel),$A39+ROW()/100000,"")</f>
        <v/>
      </c>
    </row>
    <row r="40" customFormat="false" ht="15" hidden="false" customHeight="false" outlineLevel="0" collapsed="false">
      <c r="A40" s="63"/>
      <c r="B40" s="28"/>
      <c r="C40" s="28"/>
      <c r="D40" s="28"/>
      <c r="E40" s="64"/>
      <c r="F40" s="67" t="str">
        <f aca="false">IF($A40="","",$A40-WEEKDAY($A40,3))</f>
        <v/>
      </c>
      <c r="G40" s="65" t="str">
        <f aca="false">IF($A40="","",IF($F40=WeekStart,"Yes",""))</f>
        <v/>
      </c>
      <c r="H40" s="65" t="str">
        <f aca="false">IF($G40="Yes",$A40+ROW()/100000,"")</f>
        <v/>
      </c>
      <c r="I40" s="65" t="str">
        <f aca="false">IF(AND($D40&lt;&gt;"",$D40=UCSel),$A40+ROW()/100000,"")</f>
        <v/>
      </c>
    </row>
    <row r="41" customFormat="false" ht="15" hidden="false" customHeight="false" outlineLevel="0" collapsed="false">
      <c r="A41" s="63"/>
      <c r="B41" s="28"/>
      <c r="C41" s="28"/>
      <c r="D41" s="28"/>
      <c r="E41" s="64"/>
      <c r="F41" s="67" t="str">
        <f aca="false">IF($A41="","",$A41-WEEKDAY($A41,3))</f>
        <v/>
      </c>
      <c r="G41" s="65" t="str">
        <f aca="false">IF($A41="","",IF($F41=WeekStart,"Yes",""))</f>
        <v/>
      </c>
      <c r="H41" s="65" t="str">
        <f aca="false">IF($G41="Yes",$A41+ROW()/100000,"")</f>
        <v/>
      </c>
      <c r="I41" s="65" t="str">
        <f aca="false">IF(AND($D41&lt;&gt;"",$D41=UCSel),$A41+ROW()/100000,"")</f>
        <v/>
      </c>
    </row>
    <row r="42" customFormat="false" ht="15" hidden="false" customHeight="false" outlineLevel="0" collapsed="false">
      <c r="A42" s="63"/>
      <c r="B42" s="28"/>
      <c r="C42" s="28"/>
      <c r="D42" s="28"/>
      <c r="E42" s="64"/>
      <c r="F42" s="67" t="str">
        <f aca="false">IF($A42="","",$A42-WEEKDAY($A42,3))</f>
        <v/>
      </c>
      <c r="G42" s="65" t="str">
        <f aca="false">IF($A42="","",IF($F42=WeekStart,"Yes",""))</f>
        <v/>
      </c>
      <c r="H42" s="65" t="str">
        <f aca="false">IF($G42="Yes",$A42+ROW()/100000,"")</f>
        <v/>
      </c>
      <c r="I42" s="65" t="str">
        <f aca="false">IF(AND($D42&lt;&gt;"",$D42=UCSel),$A42+ROW()/100000,"")</f>
        <v/>
      </c>
    </row>
    <row r="43" customFormat="false" ht="15" hidden="false" customHeight="false" outlineLevel="0" collapsed="false">
      <c r="A43" s="63"/>
      <c r="B43" s="28"/>
      <c r="C43" s="28"/>
      <c r="D43" s="28"/>
      <c r="E43" s="64"/>
      <c r="F43" s="67" t="str">
        <f aca="false">IF($A43="","",$A43-WEEKDAY($A43,3))</f>
        <v/>
      </c>
      <c r="G43" s="65" t="str">
        <f aca="false">IF($A43="","",IF($F43=WeekStart,"Yes",""))</f>
        <v/>
      </c>
      <c r="H43" s="65" t="str">
        <f aca="false">IF($G43="Yes",$A43+ROW()/100000,"")</f>
        <v/>
      </c>
      <c r="I43" s="65" t="str">
        <f aca="false">IF(AND($D43&lt;&gt;"",$D43=UCSel),$A43+ROW()/100000,"")</f>
        <v/>
      </c>
    </row>
    <row r="44" customFormat="false" ht="15" hidden="false" customHeight="false" outlineLevel="0" collapsed="false">
      <c r="A44" s="63"/>
      <c r="B44" s="28"/>
      <c r="C44" s="28"/>
      <c r="D44" s="28"/>
      <c r="E44" s="64"/>
      <c r="F44" s="67" t="str">
        <f aca="false">IF($A44="","",$A44-WEEKDAY($A44,3))</f>
        <v/>
      </c>
      <c r="G44" s="65" t="str">
        <f aca="false">IF($A44="","",IF($F44=WeekStart,"Yes",""))</f>
        <v/>
      </c>
      <c r="H44" s="65" t="str">
        <f aca="false">IF($G44="Yes",$A44+ROW()/100000,"")</f>
        <v/>
      </c>
      <c r="I44" s="65" t="str">
        <f aca="false">IF(AND($D44&lt;&gt;"",$D44=UCSel),$A44+ROW()/100000,"")</f>
        <v/>
      </c>
    </row>
    <row r="45" customFormat="false" ht="15" hidden="false" customHeight="false" outlineLevel="0" collapsed="false">
      <c r="A45" s="63"/>
      <c r="B45" s="28"/>
      <c r="C45" s="28"/>
      <c r="D45" s="28"/>
      <c r="E45" s="64"/>
      <c r="F45" s="67" t="str">
        <f aca="false">IF($A45="","",$A45-WEEKDAY($A45,3))</f>
        <v/>
      </c>
      <c r="G45" s="65" t="str">
        <f aca="false">IF($A45="","",IF($F45=WeekStart,"Yes",""))</f>
        <v/>
      </c>
      <c r="H45" s="65" t="str">
        <f aca="false">IF($G45="Yes",$A45+ROW()/100000,"")</f>
        <v/>
      </c>
      <c r="I45" s="65" t="str">
        <f aca="false">IF(AND($D45&lt;&gt;"",$D45=UCSel),$A45+ROW()/100000,"")</f>
        <v/>
      </c>
    </row>
    <row r="46" customFormat="false" ht="15" hidden="false" customHeight="false" outlineLevel="0" collapsed="false">
      <c r="A46" s="63"/>
      <c r="B46" s="28"/>
      <c r="C46" s="28"/>
      <c r="D46" s="28"/>
      <c r="E46" s="64"/>
      <c r="F46" s="67" t="str">
        <f aca="false">IF($A46="","",$A46-WEEKDAY($A46,3))</f>
        <v/>
      </c>
      <c r="G46" s="65" t="str">
        <f aca="false">IF($A46="","",IF($F46=WeekStart,"Yes",""))</f>
        <v/>
      </c>
      <c r="H46" s="65" t="str">
        <f aca="false">IF($G46="Yes",$A46+ROW()/100000,"")</f>
        <v/>
      </c>
      <c r="I46" s="65" t="str">
        <f aca="false">IF(AND($D46&lt;&gt;"",$D46=UCSel),$A46+ROW()/100000,"")</f>
        <v/>
      </c>
    </row>
    <row r="47" customFormat="false" ht="15" hidden="false" customHeight="false" outlineLevel="0" collapsed="false">
      <c r="A47" s="63"/>
      <c r="B47" s="28"/>
      <c r="C47" s="28"/>
      <c r="D47" s="28"/>
      <c r="E47" s="64"/>
      <c r="F47" s="67" t="str">
        <f aca="false">IF($A47="","",$A47-WEEKDAY($A47,3))</f>
        <v/>
      </c>
      <c r="G47" s="65" t="str">
        <f aca="false">IF($A47="","",IF($F47=WeekStart,"Yes",""))</f>
        <v/>
      </c>
      <c r="H47" s="65" t="str">
        <f aca="false">IF($G47="Yes",$A47+ROW()/100000,"")</f>
        <v/>
      </c>
      <c r="I47" s="65" t="str">
        <f aca="false">IF(AND($D47&lt;&gt;"",$D47=UCSel),$A47+ROW()/100000,"")</f>
        <v/>
      </c>
    </row>
    <row r="48" customFormat="false" ht="15" hidden="false" customHeight="false" outlineLevel="0" collapsed="false">
      <c r="A48" s="63"/>
      <c r="B48" s="28"/>
      <c r="C48" s="28"/>
      <c r="D48" s="28"/>
      <c r="E48" s="64"/>
      <c r="F48" s="67" t="str">
        <f aca="false">IF($A48="","",$A48-WEEKDAY($A48,3))</f>
        <v/>
      </c>
      <c r="G48" s="65" t="str">
        <f aca="false">IF($A48="","",IF($F48=WeekStart,"Yes",""))</f>
        <v/>
      </c>
      <c r="H48" s="65" t="str">
        <f aca="false">IF($G48="Yes",$A48+ROW()/100000,"")</f>
        <v/>
      </c>
      <c r="I48" s="65" t="str">
        <f aca="false">IF(AND($D48&lt;&gt;"",$D48=UCSel),$A48+ROW()/100000,"")</f>
        <v/>
      </c>
    </row>
    <row r="49" customFormat="false" ht="15" hidden="false" customHeight="false" outlineLevel="0" collapsed="false">
      <c r="A49" s="63"/>
      <c r="B49" s="28"/>
      <c r="C49" s="28"/>
      <c r="D49" s="28"/>
      <c r="E49" s="64"/>
      <c r="F49" s="67" t="str">
        <f aca="false">IF($A49="","",$A49-WEEKDAY($A49,3))</f>
        <v/>
      </c>
      <c r="G49" s="65" t="str">
        <f aca="false">IF($A49="","",IF($F49=WeekStart,"Yes",""))</f>
        <v/>
      </c>
      <c r="H49" s="65" t="str">
        <f aca="false">IF($G49="Yes",$A49+ROW()/100000,"")</f>
        <v/>
      </c>
      <c r="I49" s="65" t="str">
        <f aca="false">IF(AND($D49&lt;&gt;"",$D49=UCSel),$A49+ROW()/100000,"")</f>
        <v/>
      </c>
    </row>
    <row r="50" customFormat="false" ht="15" hidden="false" customHeight="false" outlineLevel="0" collapsed="false">
      <c r="A50" s="63"/>
      <c r="B50" s="28"/>
      <c r="C50" s="28"/>
      <c r="D50" s="28"/>
      <c r="E50" s="64"/>
      <c r="F50" s="67" t="str">
        <f aca="false">IF($A50="","",$A50-WEEKDAY($A50,3))</f>
        <v/>
      </c>
      <c r="G50" s="65" t="str">
        <f aca="false">IF($A50="","",IF($F50=WeekStart,"Yes",""))</f>
        <v/>
      </c>
      <c r="H50" s="65" t="str">
        <f aca="false">IF($G50="Yes",$A50+ROW()/100000,"")</f>
        <v/>
      </c>
      <c r="I50" s="65" t="str">
        <f aca="false">IF(AND($D50&lt;&gt;"",$D50=UCSel),$A50+ROW()/100000,"")</f>
        <v/>
      </c>
    </row>
    <row r="51" customFormat="false" ht="15" hidden="false" customHeight="false" outlineLevel="0" collapsed="false">
      <c r="A51" s="63"/>
      <c r="B51" s="28"/>
      <c r="C51" s="28"/>
      <c r="D51" s="28"/>
      <c r="E51" s="64"/>
      <c r="F51" s="67" t="str">
        <f aca="false">IF($A51="","",$A51-WEEKDAY($A51,3))</f>
        <v/>
      </c>
      <c r="G51" s="65" t="str">
        <f aca="false">IF($A51="","",IF($F51=WeekStart,"Yes",""))</f>
        <v/>
      </c>
      <c r="H51" s="65" t="str">
        <f aca="false">IF($G51="Yes",$A51+ROW()/100000,"")</f>
        <v/>
      </c>
      <c r="I51" s="65" t="str">
        <f aca="false">IF(AND($D51&lt;&gt;"",$D51=UCSel),$A51+ROW()/100000,"")</f>
        <v/>
      </c>
    </row>
    <row r="52" customFormat="false" ht="15" hidden="false" customHeight="false" outlineLevel="0" collapsed="false">
      <c r="A52" s="63"/>
      <c r="B52" s="28"/>
      <c r="C52" s="28"/>
      <c r="D52" s="28"/>
      <c r="E52" s="64"/>
      <c r="F52" s="67" t="str">
        <f aca="false">IF($A52="","",$A52-WEEKDAY($A52,3))</f>
        <v/>
      </c>
      <c r="G52" s="65" t="str">
        <f aca="false">IF($A52="","",IF($F52=WeekStart,"Yes",""))</f>
        <v/>
      </c>
      <c r="H52" s="65" t="str">
        <f aca="false">IF($G52="Yes",$A52+ROW()/100000,"")</f>
        <v/>
      </c>
      <c r="I52" s="65" t="str">
        <f aca="false">IF(AND($D52&lt;&gt;"",$D52=UCSel),$A52+ROW()/100000,"")</f>
        <v/>
      </c>
    </row>
    <row r="53" customFormat="false" ht="15" hidden="false" customHeight="false" outlineLevel="0" collapsed="false">
      <c r="A53" s="63"/>
      <c r="B53" s="28"/>
      <c r="C53" s="28"/>
      <c r="D53" s="28"/>
      <c r="E53" s="64"/>
      <c r="F53" s="67" t="str">
        <f aca="false">IF($A53="","",$A53-WEEKDAY($A53,3))</f>
        <v/>
      </c>
      <c r="G53" s="65" t="str">
        <f aca="false">IF($A53="","",IF($F53=WeekStart,"Yes",""))</f>
        <v/>
      </c>
      <c r="H53" s="65" t="str">
        <f aca="false">IF($G53="Yes",$A53+ROW()/100000,"")</f>
        <v/>
      </c>
      <c r="I53" s="65" t="str">
        <f aca="false">IF(AND($D53&lt;&gt;"",$D53=UCSel),$A53+ROW()/100000,"")</f>
        <v/>
      </c>
    </row>
    <row r="54" customFormat="false" ht="15" hidden="false" customHeight="false" outlineLevel="0" collapsed="false">
      <c r="A54" s="63"/>
      <c r="B54" s="28"/>
      <c r="C54" s="28"/>
      <c r="D54" s="28"/>
      <c r="E54" s="64"/>
      <c r="F54" s="67" t="str">
        <f aca="false">IF($A54="","",$A54-WEEKDAY($A54,3))</f>
        <v/>
      </c>
      <c r="G54" s="65" t="str">
        <f aca="false">IF($A54="","",IF($F54=WeekStart,"Yes",""))</f>
        <v/>
      </c>
      <c r="H54" s="65" t="str">
        <f aca="false">IF($G54="Yes",$A54+ROW()/100000,"")</f>
        <v/>
      </c>
      <c r="I54" s="65" t="str">
        <f aca="false">IF(AND($D54&lt;&gt;"",$D54=UCSel),$A54+ROW()/100000,"")</f>
        <v/>
      </c>
    </row>
    <row r="55" customFormat="false" ht="15" hidden="false" customHeight="false" outlineLevel="0" collapsed="false">
      <c r="A55" s="63"/>
      <c r="B55" s="28"/>
      <c r="C55" s="28"/>
      <c r="D55" s="28"/>
      <c r="E55" s="64"/>
      <c r="F55" s="67" t="str">
        <f aca="false">IF($A55="","",$A55-WEEKDAY($A55,3))</f>
        <v/>
      </c>
      <c r="G55" s="65" t="str">
        <f aca="false">IF($A55="","",IF($F55=WeekStart,"Yes",""))</f>
        <v/>
      </c>
      <c r="H55" s="65" t="str">
        <f aca="false">IF($G55="Yes",$A55+ROW()/100000,"")</f>
        <v/>
      </c>
      <c r="I55" s="65" t="str">
        <f aca="false">IF(AND($D55&lt;&gt;"",$D55=UCSel),$A55+ROW()/100000,"")</f>
        <v/>
      </c>
    </row>
    <row r="56" customFormat="false" ht="15" hidden="false" customHeight="false" outlineLevel="0" collapsed="false">
      <c r="A56" s="63"/>
      <c r="B56" s="28"/>
      <c r="C56" s="28"/>
      <c r="D56" s="28"/>
      <c r="E56" s="64"/>
      <c r="F56" s="67" t="str">
        <f aca="false">IF($A56="","",$A56-WEEKDAY($A56,3))</f>
        <v/>
      </c>
      <c r="G56" s="65" t="str">
        <f aca="false">IF($A56="","",IF($F56=WeekStart,"Yes",""))</f>
        <v/>
      </c>
      <c r="H56" s="65" t="str">
        <f aca="false">IF($G56="Yes",$A56+ROW()/100000,"")</f>
        <v/>
      </c>
      <c r="I56" s="65" t="str">
        <f aca="false">IF(AND($D56&lt;&gt;"",$D56=UCSel),$A56+ROW()/100000,"")</f>
        <v/>
      </c>
    </row>
    <row r="57" customFormat="false" ht="15" hidden="false" customHeight="false" outlineLevel="0" collapsed="false">
      <c r="A57" s="63"/>
      <c r="B57" s="28"/>
      <c r="C57" s="28"/>
      <c r="D57" s="28"/>
      <c r="E57" s="64"/>
      <c r="F57" s="67" t="str">
        <f aca="false">IF($A57="","",$A57-WEEKDAY($A57,3))</f>
        <v/>
      </c>
      <c r="G57" s="65" t="str">
        <f aca="false">IF($A57="","",IF($F57=WeekStart,"Yes",""))</f>
        <v/>
      </c>
      <c r="H57" s="65" t="str">
        <f aca="false">IF($G57="Yes",$A57+ROW()/100000,"")</f>
        <v/>
      </c>
      <c r="I57" s="65" t="str">
        <f aca="false">IF(AND($D57&lt;&gt;"",$D57=UCSel),$A57+ROW()/100000,"")</f>
        <v/>
      </c>
    </row>
    <row r="58" customFormat="false" ht="15" hidden="false" customHeight="false" outlineLevel="0" collapsed="false">
      <c r="A58" s="63"/>
      <c r="B58" s="28"/>
      <c r="C58" s="28"/>
      <c r="D58" s="28"/>
      <c r="E58" s="64"/>
      <c r="F58" s="67" t="str">
        <f aca="false">IF($A58="","",$A58-WEEKDAY($A58,3))</f>
        <v/>
      </c>
      <c r="G58" s="65" t="str">
        <f aca="false">IF($A58="","",IF($F58=WeekStart,"Yes",""))</f>
        <v/>
      </c>
      <c r="H58" s="65" t="str">
        <f aca="false">IF($G58="Yes",$A58+ROW()/100000,"")</f>
        <v/>
      </c>
      <c r="I58" s="65" t="str">
        <f aca="false">IF(AND($D58&lt;&gt;"",$D58=UCSel),$A58+ROW()/100000,"")</f>
        <v/>
      </c>
    </row>
    <row r="59" customFormat="false" ht="15" hidden="false" customHeight="false" outlineLevel="0" collapsed="false">
      <c r="A59" s="63"/>
      <c r="B59" s="28"/>
      <c r="C59" s="28"/>
      <c r="D59" s="28"/>
      <c r="E59" s="64"/>
      <c r="F59" s="67" t="str">
        <f aca="false">IF($A59="","",$A59-WEEKDAY($A59,3))</f>
        <v/>
      </c>
      <c r="G59" s="65" t="str">
        <f aca="false">IF($A59="","",IF($F59=WeekStart,"Yes",""))</f>
        <v/>
      </c>
      <c r="H59" s="65" t="str">
        <f aca="false">IF($G59="Yes",$A59+ROW()/100000,"")</f>
        <v/>
      </c>
      <c r="I59" s="65" t="str">
        <f aca="false">IF(AND($D59&lt;&gt;"",$D59=UCSel),$A59+ROW()/100000,"")</f>
        <v/>
      </c>
    </row>
    <row r="60" customFormat="false" ht="15" hidden="false" customHeight="false" outlineLevel="0" collapsed="false">
      <c r="A60" s="63"/>
      <c r="B60" s="28"/>
      <c r="C60" s="28"/>
      <c r="D60" s="28"/>
      <c r="E60" s="64"/>
      <c r="F60" s="67" t="str">
        <f aca="false">IF($A60="","",$A60-WEEKDAY($A60,3))</f>
        <v/>
      </c>
      <c r="G60" s="65" t="str">
        <f aca="false">IF($A60="","",IF($F60=WeekStart,"Yes",""))</f>
        <v/>
      </c>
      <c r="H60" s="65" t="str">
        <f aca="false">IF($G60="Yes",$A60+ROW()/100000,"")</f>
        <v/>
      </c>
      <c r="I60" s="65" t="str">
        <f aca="false">IF(AND($D60&lt;&gt;"",$D60=UCSel),$A60+ROW()/100000,"")</f>
        <v/>
      </c>
    </row>
    <row r="61" customFormat="false" ht="15" hidden="false" customHeight="false" outlineLevel="0" collapsed="false">
      <c r="A61" s="63"/>
      <c r="B61" s="28"/>
      <c r="C61" s="28"/>
      <c r="D61" s="28"/>
      <c r="E61" s="64"/>
      <c r="F61" s="67" t="str">
        <f aca="false">IF($A61="","",$A61-WEEKDAY($A61,3))</f>
        <v/>
      </c>
      <c r="G61" s="65" t="str">
        <f aca="false">IF($A61="","",IF($F61=WeekStart,"Yes",""))</f>
        <v/>
      </c>
      <c r="H61" s="65" t="str">
        <f aca="false">IF($G61="Yes",$A61+ROW()/100000,"")</f>
        <v/>
      </c>
      <c r="I61" s="65" t="str">
        <f aca="false">IF(AND($D61&lt;&gt;"",$D61=UCSel),$A61+ROW()/100000,"")</f>
        <v/>
      </c>
    </row>
    <row r="62" customFormat="false" ht="15" hidden="false" customHeight="false" outlineLevel="0" collapsed="false">
      <c r="A62" s="63"/>
      <c r="B62" s="28"/>
      <c r="C62" s="28"/>
      <c r="D62" s="28"/>
      <c r="E62" s="64"/>
      <c r="F62" s="67" t="str">
        <f aca="false">IF($A62="","",$A62-WEEKDAY($A62,3))</f>
        <v/>
      </c>
      <c r="G62" s="65" t="str">
        <f aca="false">IF($A62="","",IF($F62=WeekStart,"Yes",""))</f>
        <v/>
      </c>
      <c r="H62" s="65" t="str">
        <f aca="false">IF($G62="Yes",$A62+ROW()/100000,"")</f>
        <v/>
      </c>
      <c r="I62" s="65" t="str">
        <f aca="false">IF(AND($D62&lt;&gt;"",$D62=UCSel),$A62+ROW()/100000,"")</f>
        <v/>
      </c>
    </row>
    <row r="63" customFormat="false" ht="15" hidden="false" customHeight="false" outlineLevel="0" collapsed="false">
      <c r="A63" s="63"/>
      <c r="B63" s="28"/>
      <c r="C63" s="28"/>
      <c r="D63" s="28"/>
      <c r="E63" s="64"/>
      <c r="F63" s="67" t="str">
        <f aca="false">IF($A63="","",$A63-WEEKDAY($A63,3))</f>
        <v/>
      </c>
      <c r="G63" s="65" t="str">
        <f aca="false">IF($A63="","",IF($F63=WeekStart,"Yes",""))</f>
        <v/>
      </c>
      <c r="H63" s="65" t="str">
        <f aca="false">IF($G63="Yes",$A63+ROW()/100000,"")</f>
        <v/>
      </c>
      <c r="I63" s="65" t="str">
        <f aca="false">IF(AND($D63&lt;&gt;"",$D63=UCSel),$A63+ROW()/100000,"")</f>
        <v/>
      </c>
    </row>
    <row r="64" customFormat="false" ht="15" hidden="false" customHeight="false" outlineLevel="0" collapsed="false">
      <c r="A64" s="63"/>
      <c r="B64" s="28"/>
      <c r="C64" s="28"/>
      <c r="D64" s="28"/>
      <c r="E64" s="64"/>
      <c r="F64" s="67" t="str">
        <f aca="false">IF($A64="","",$A64-WEEKDAY($A64,3))</f>
        <v/>
      </c>
      <c r="G64" s="65" t="str">
        <f aca="false">IF($A64="","",IF($F64=WeekStart,"Yes",""))</f>
        <v/>
      </c>
      <c r="H64" s="65" t="str">
        <f aca="false">IF($G64="Yes",$A64+ROW()/100000,"")</f>
        <v/>
      </c>
      <c r="I64" s="65" t="str">
        <f aca="false">IF(AND($D64&lt;&gt;"",$D64=UCSel),$A64+ROW()/100000,"")</f>
        <v/>
      </c>
    </row>
    <row r="65" customFormat="false" ht="15" hidden="false" customHeight="false" outlineLevel="0" collapsed="false">
      <c r="A65" s="63"/>
      <c r="B65" s="28"/>
      <c r="C65" s="28"/>
      <c r="D65" s="28"/>
      <c r="E65" s="64"/>
      <c r="F65" s="67" t="str">
        <f aca="false">IF($A65="","",$A65-WEEKDAY($A65,3))</f>
        <v/>
      </c>
      <c r="G65" s="65" t="str">
        <f aca="false">IF($A65="","",IF($F65=WeekStart,"Yes",""))</f>
        <v/>
      </c>
      <c r="H65" s="65" t="str">
        <f aca="false">IF($G65="Yes",$A65+ROW()/100000,"")</f>
        <v/>
      </c>
      <c r="I65" s="65" t="str">
        <f aca="false">IF(AND($D65&lt;&gt;"",$D65=UCSel),$A65+ROW()/100000,"")</f>
        <v/>
      </c>
    </row>
    <row r="66" customFormat="false" ht="15" hidden="false" customHeight="false" outlineLevel="0" collapsed="false">
      <c r="A66" s="63"/>
      <c r="B66" s="28"/>
      <c r="C66" s="28"/>
      <c r="D66" s="28"/>
      <c r="E66" s="64"/>
      <c r="F66" s="67" t="str">
        <f aca="false">IF($A66="","",$A66-WEEKDAY($A66,3))</f>
        <v/>
      </c>
      <c r="G66" s="65" t="str">
        <f aca="false">IF($A66="","",IF($F66=WeekStart,"Yes",""))</f>
        <v/>
      </c>
      <c r="H66" s="65" t="str">
        <f aca="false">IF($G66="Yes",$A66+ROW()/100000,"")</f>
        <v/>
      </c>
      <c r="I66" s="65" t="str">
        <f aca="false">IF(AND($D66&lt;&gt;"",$D66=UCSel),$A66+ROW()/100000,"")</f>
        <v/>
      </c>
    </row>
    <row r="67" customFormat="false" ht="15" hidden="false" customHeight="false" outlineLevel="0" collapsed="false">
      <c r="A67" s="63"/>
      <c r="B67" s="28"/>
      <c r="C67" s="28"/>
      <c r="D67" s="28"/>
      <c r="E67" s="64"/>
      <c r="F67" s="67" t="str">
        <f aca="false">IF($A67="","",$A67-WEEKDAY($A67,3))</f>
        <v/>
      </c>
      <c r="G67" s="65" t="str">
        <f aca="false">IF($A67="","",IF($F67=WeekStart,"Yes",""))</f>
        <v/>
      </c>
      <c r="H67" s="65" t="str">
        <f aca="false">IF($G67="Yes",$A67+ROW()/100000,"")</f>
        <v/>
      </c>
      <c r="I67" s="65" t="str">
        <f aca="false">IF(AND($D67&lt;&gt;"",$D67=UCSel),$A67+ROW()/100000,"")</f>
        <v/>
      </c>
    </row>
    <row r="68" customFormat="false" ht="15" hidden="false" customHeight="false" outlineLevel="0" collapsed="false">
      <c r="A68" s="63"/>
      <c r="B68" s="28"/>
      <c r="C68" s="28"/>
      <c r="D68" s="28"/>
      <c r="E68" s="64"/>
      <c r="F68" s="67" t="str">
        <f aca="false">IF($A68="","",$A68-WEEKDAY($A68,3))</f>
        <v/>
      </c>
      <c r="G68" s="65" t="str">
        <f aca="false">IF($A68="","",IF($F68=WeekStart,"Yes",""))</f>
        <v/>
      </c>
      <c r="H68" s="65" t="str">
        <f aca="false">IF($G68="Yes",$A68+ROW()/100000,"")</f>
        <v/>
      </c>
      <c r="I68" s="65" t="str">
        <f aca="false">IF(AND($D68&lt;&gt;"",$D68=UCSel),$A68+ROW()/100000,"")</f>
        <v/>
      </c>
    </row>
    <row r="69" customFormat="false" ht="15" hidden="false" customHeight="false" outlineLevel="0" collapsed="false">
      <c r="A69" s="63"/>
      <c r="B69" s="28"/>
      <c r="C69" s="28"/>
      <c r="D69" s="28"/>
      <c r="E69" s="64"/>
      <c r="F69" s="67" t="str">
        <f aca="false">IF($A69="","",$A69-WEEKDAY($A69,3))</f>
        <v/>
      </c>
      <c r="G69" s="65" t="str">
        <f aca="false">IF($A69="","",IF($F69=WeekStart,"Yes",""))</f>
        <v/>
      </c>
      <c r="H69" s="65" t="str">
        <f aca="false">IF($G69="Yes",$A69+ROW()/100000,"")</f>
        <v/>
      </c>
      <c r="I69" s="65" t="str">
        <f aca="false">IF(AND($D69&lt;&gt;"",$D69=UCSel),$A69+ROW()/100000,"")</f>
        <v/>
      </c>
    </row>
    <row r="70" customFormat="false" ht="15" hidden="false" customHeight="false" outlineLevel="0" collapsed="false">
      <c r="A70" s="63"/>
      <c r="B70" s="28"/>
      <c r="C70" s="28"/>
      <c r="D70" s="28"/>
      <c r="E70" s="64"/>
      <c r="F70" s="67" t="str">
        <f aca="false">IF($A70="","",$A70-WEEKDAY($A70,3))</f>
        <v/>
      </c>
      <c r="G70" s="65" t="str">
        <f aca="false">IF($A70="","",IF($F70=WeekStart,"Yes",""))</f>
        <v/>
      </c>
      <c r="H70" s="65" t="str">
        <f aca="false">IF($G70="Yes",$A70+ROW()/100000,"")</f>
        <v/>
      </c>
      <c r="I70" s="65" t="str">
        <f aca="false">IF(AND($D70&lt;&gt;"",$D70=UCSel),$A70+ROW()/100000,"")</f>
        <v/>
      </c>
    </row>
    <row r="71" customFormat="false" ht="15" hidden="false" customHeight="false" outlineLevel="0" collapsed="false">
      <c r="A71" s="63"/>
      <c r="B71" s="28"/>
      <c r="C71" s="28"/>
      <c r="D71" s="28"/>
      <c r="E71" s="64"/>
      <c r="F71" s="67" t="str">
        <f aca="false">IF($A71="","",$A71-WEEKDAY($A71,3))</f>
        <v/>
      </c>
      <c r="G71" s="65" t="str">
        <f aca="false">IF($A71="","",IF($F71=WeekStart,"Yes",""))</f>
        <v/>
      </c>
      <c r="H71" s="65" t="str">
        <f aca="false">IF($G71="Yes",$A71+ROW()/100000,"")</f>
        <v/>
      </c>
      <c r="I71" s="65" t="str">
        <f aca="false">IF(AND($D71&lt;&gt;"",$D71=UCSel),$A71+ROW()/100000,"")</f>
        <v/>
      </c>
    </row>
    <row r="72" customFormat="false" ht="15" hidden="false" customHeight="false" outlineLevel="0" collapsed="false">
      <c r="A72" s="63"/>
      <c r="B72" s="28"/>
      <c r="C72" s="28"/>
      <c r="D72" s="28"/>
      <c r="E72" s="64"/>
      <c r="F72" s="67" t="str">
        <f aca="false">IF($A72="","",$A72-WEEKDAY($A72,3))</f>
        <v/>
      </c>
      <c r="G72" s="65" t="str">
        <f aca="false">IF($A72="","",IF($F72=WeekStart,"Yes",""))</f>
        <v/>
      </c>
      <c r="H72" s="65" t="str">
        <f aca="false">IF($G72="Yes",$A72+ROW()/100000,"")</f>
        <v/>
      </c>
      <c r="I72" s="65" t="str">
        <f aca="false">IF(AND($D72&lt;&gt;"",$D72=UCSel),$A72+ROW()/100000,"")</f>
        <v/>
      </c>
    </row>
    <row r="73" customFormat="false" ht="15" hidden="false" customHeight="false" outlineLevel="0" collapsed="false">
      <c r="A73" s="63"/>
      <c r="B73" s="28"/>
      <c r="C73" s="28"/>
      <c r="D73" s="28"/>
      <c r="E73" s="64"/>
      <c r="F73" s="67" t="str">
        <f aca="false">IF($A73="","",$A73-WEEKDAY($A73,3))</f>
        <v/>
      </c>
      <c r="G73" s="65" t="str">
        <f aca="false">IF($A73="","",IF($F73=WeekStart,"Yes",""))</f>
        <v/>
      </c>
      <c r="H73" s="65" t="str">
        <f aca="false">IF($G73="Yes",$A73+ROW()/100000,"")</f>
        <v/>
      </c>
      <c r="I73" s="65" t="str">
        <f aca="false">IF(AND($D73&lt;&gt;"",$D73=UCSel),$A73+ROW()/100000,"")</f>
        <v/>
      </c>
    </row>
    <row r="74" customFormat="false" ht="15" hidden="false" customHeight="false" outlineLevel="0" collapsed="false">
      <c r="A74" s="63"/>
      <c r="B74" s="28"/>
      <c r="C74" s="28"/>
      <c r="D74" s="28"/>
      <c r="E74" s="64"/>
      <c r="F74" s="67" t="str">
        <f aca="false">IF($A74="","",$A74-WEEKDAY($A74,3))</f>
        <v/>
      </c>
      <c r="G74" s="65" t="str">
        <f aca="false">IF($A74="","",IF($F74=WeekStart,"Yes",""))</f>
        <v/>
      </c>
      <c r="H74" s="65" t="str">
        <f aca="false">IF($G74="Yes",$A74+ROW()/100000,"")</f>
        <v/>
      </c>
      <c r="I74" s="65" t="str">
        <f aca="false">IF(AND($D74&lt;&gt;"",$D74=UCSel),$A74+ROW()/100000,"")</f>
        <v/>
      </c>
    </row>
    <row r="75" customFormat="false" ht="15" hidden="false" customHeight="false" outlineLevel="0" collapsed="false">
      <c r="A75" s="63"/>
      <c r="B75" s="28"/>
      <c r="C75" s="28"/>
      <c r="D75" s="28"/>
      <c r="E75" s="64"/>
      <c r="F75" s="67" t="str">
        <f aca="false">IF($A75="","",$A75-WEEKDAY($A75,3))</f>
        <v/>
      </c>
      <c r="G75" s="65" t="str">
        <f aca="false">IF($A75="","",IF($F75=WeekStart,"Yes",""))</f>
        <v/>
      </c>
      <c r="H75" s="65" t="str">
        <f aca="false">IF($G75="Yes",$A75+ROW()/100000,"")</f>
        <v/>
      </c>
      <c r="I75" s="65" t="str">
        <f aca="false">IF(AND($D75&lt;&gt;"",$D75=UCSel),$A75+ROW()/100000,"")</f>
        <v/>
      </c>
    </row>
    <row r="76" customFormat="false" ht="15" hidden="false" customHeight="false" outlineLevel="0" collapsed="false">
      <c r="A76" s="63"/>
      <c r="B76" s="28"/>
      <c r="C76" s="28"/>
      <c r="D76" s="28"/>
      <c r="E76" s="64"/>
      <c r="F76" s="67" t="str">
        <f aca="false">IF($A76="","",$A76-WEEKDAY($A76,3))</f>
        <v/>
      </c>
      <c r="G76" s="65" t="str">
        <f aca="false">IF($A76="","",IF($F76=WeekStart,"Yes",""))</f>
        <v/>
      </c>
      <c r="H76" s="65" t="str">
        <f aca="false">IF($G76="Yes",$A76+ROW()/100000,"")</f>
        <v/>
      </c>
      <c r="I76" s="65" t="str">
        <f aca="false">IF(AND($D76&lt;&gt;"",$D76=UCSel),$A76+ROW()/100000,"")</f>
        <v/>
      </c>
    </row>
    <row r="77" customFormat="false" ht="15" hidden="false" customHeight="false" outlineLevel="0" collapsed="false">
      <c r="A77" s="63"/>
      <c r="B77" s="28"/>
      <c r="C77" s="28"/>
      <c r="D77" s="28"/>
      <c r="E77" s="64"/>
      <c r="F77" s="67" t="str">
        <f aca="false">IF($A77="","",$A77-WEEKDAY($A77,3))</f>
        <v/>
      </c>
      <c r="G77" s="65" t="str">
        <f aca="false">IF($A77="","",IF($F77=WeekStart,"Yes",""))</f>
        <v/>
      </c>
      <c r="H77" s="65" t="str">
        <f aca="false">IF($G77="Yes",$A77+ROW()/100000,"")</f>
        <v/>
      </c>
      <c r="I77" s="65" t="str">
        <f aca="false">IF(AND($D77&lt;&gt;"",$D77=UCSel),$A77+ROW()/100000,"")</f>
        <v/>
      </c>
    </row>
    <row r="78" customFormat="false" ht="15" hidden="false" customHeight="false" outlineLevel="0" collapsed="false">
      <c r="A78" s="63"/>
      <c r="B78" s="28"/>
      <c r="C78" s="28"/>
      <c r="D78" s="28"/>
      <c r="E78" s="64"/>
      <c r="F78" s="67" t="str">
        <f aca="false">IF($A78="","",$A78-WEEKDAY($A78,3))</f>
        <v/>
      </c>
      <c r="G78" s="65" t="str">
        <f aca="false">IF($A78="","",IF($F78=WeekStart,"Yes",""))</f>
        <v/>
      </c>
      <c r="H78" s="65" t="str">
        <f aca="false">IF($G78="Yes",$A78+ROW()/100000,"")</f>
        <v/>
      </c>
      <c r="I78" s="65" t="str">
        <f aca="false">IF(AND($D78&lt;&gt;"",$D78=UCSel),$A78+ROW()/100000,"")</f>
        <v/>
      </c>
    </row>
    <row r="79" customFormat="false" ht="15" hidden="false" customHeight="false" outlineLevel="0" collapsed="false">
      <c r="A79" s="63"/>
      <c r="B79" s="28"/>
      <c r="C79" s="28"/>
      <c r="D79" s="28"/>
      <c r="E79" s="64"/>
      <c r="F79" s="67" t="str">
        <f aca="false">IF($A79="","",$A79-WEEKDAY($A79,3))</f>
        <v/>
      </c>
      <c r="G79" s="65" t="str">
        <f aca="false">IF($A79="","",IF($F79=WeekStart,"Yes",""))</f>
        <v/>
      </c>
      <c r="H79" s="65" t="str">
        <f aca="false">IF($G79="Yes",$A79+ROW()/100000,"")</f>
        <v/>
      </c>
      <c r="I79" s="65" t="str">
        <f aca="false">IF(AND($D79&lt;&gt;"",$D79=UCSel),$A79+ROW()/100000,"")</f>
        <v/>
      </c>
    </row>
    <row r="80" customFormat="false" ht="15" hidden="false" customHeight="false" outlineLevel="0" collapsed="false">
      <c r="A80" s="63"/>
      <c r="B80" s="28"/>
      <c r="C80" s="28"/>
      <c r="D80" s="28"/>
      <c r="E80" s="64"/>
      <c r="F80" s="67" t="str">
        <f aca="false">IF($A80="","",$A80-WEEKDAY($A80,3))</f>
        <v/>
      </c>
      <c r="G80" s="65" t="str">
        <f aca="false">IF($A80="","",IF($F80=WeekStart,"Yes",""))</f>
        <v/>
      </c>
      <c r="H80" s="65" t="str">
        <f aca="false">IF($G80="Yes",$A80+ROW()/100000,"")</f>
        <v/>
      </c>
      <c r="I80" s="65" t="str">
        <f aca="false">IF(AND($D80&lt;&gt;"",$D80=UCSel),$A80+ROW()/100000,"")</f>
        <v/>
      </c>
    </row>
    <row r="81" customFormat="false" ht="15" hidden="false" customHeight="false" outlineLevel="0" collapsed="false">
      <c r="A81" s="63"/>
      <c r="B81" s="28"/>
      <c r="C81" s="28"/>
      <c r="D81" s="28"/>
      <c r="E81" s="64"/>
      <c r="F81" s="67" t="str">
        <f aca="false">IF($A81="","",$A81-WEEKDAY($A81,3))</f>
        <v/>
      </c>
      <c r="G81" s="65" t="str">
        <f aca="false">IF($A81="","",IF($F81=WeekStart,"Yes",""))</f>
        <v/>
      </c>
      <c r="H81" s="65" t="str">
        <f aca="false">IF($G81="Yes",$A81+ROW()/100000,"")</f>
        <v/>
      </c>
      <c r="I81" s="65" t="str">
        <f aca="false">IF(AND($D81&lt;&gt;"",$D81=UCSel),$A81+ROW()/100000,"")</f>
        <v/>
      </c>
    </row>
    <row r="82" customFormat="false" ht="15" hidden="false" customHeight="false" outlineLevel="0" collapsed="false">
      <c r="A82" s="63"/>
      <c r="B82" s="28"/>
      <c r="C82" s="28"/>
      <c r="D82" s="28"/>
      <c r="E82" s="64"/>
      <c r="F82" s="67" t="str">
        <f aca="false">IF($A82="","",$A82-WEEKDAY($A82,3))</f>
        <v/>
      </c>
      <c r="G82" s="65" t="str">
        <f aca="false">IF($A82="","",IF($F82=WeekStart,"Yes",""))</f>
        <v/>
      </c>
      <c r="H82" s="65" t="str">
        <f aca="false">IF($G82="Yes",$A82+ROW()/100000,"")</f>
        <v/>
      </c>
      <c r="I82" s="65" t="str">
        <f aca="false">IF(AND($D82&lt;&gt;"",$D82=UCSel),$A82+ROW()/100000,"")</f>
        <v/>
      </c>
    </row>
    <row r="83" customFormat="false" ht="15" hidden="false" customHeight="false" outlineLevel="0" collapsed="false">
      <c r="A83" s="63"/>
      <c r="B83" s="28"/>
      <c r="C83" s="28"/>
      <c r="D83" s="28"/>
      <c r="E83" s="64"/>
      <c r="F83" s="67" t="str">
        <f aca="false">IF($A83="","",$A83-WEEKDAY($A83,3))</f>
        <v/>
      </c>
      <c r="G83" s="65" t="str">
        <f aca="false">IF($A83="","",IF($F83=WeekStart,"Yes",""))</f>
        <v/>
      </c>
      <c r="H83" s="65" t="str">
        <f aca="false">IF($G83="Yes",$A83+ROW()/100000,"")</f>
        <v/>
      </c>
      <c r="I83" s="65" t="str">
        <f aca="false">IF(AND($D83&lt;&gt;"",$D83=UCSel),$A83+ROW()/100000,"")</f>
        <v/>
      </c>
    </row>
    <row r="84" customFormat="false" ht="15" hidden="false" customHeight="false" outlineLevel="0" collapsed="false">
      <c r="A84" s="63"/>
      <c r="B84" s="28"/>
      <c r="C84" s="28"/>
      <c r="D84" s="28"/>
      <c r="E84" s="64"/>
      <c r="F84" s="67" t="str">
        <f aca="false">IF($A84="","",$A84-WEEKDAY($A84,3))</f>
        <v/>
      </c>
      <c r="G84" s="65" t="str">
        <f aca="false">IF($A84="","",IF($F84=WeekStart,"Yes",""))</f>
        <v/>
      </c>
      <c r="H84" s="65" t="str">
        <f aca="false">IF($G84="Yes",$A84+ROW()/100000,"")</f>
        <v/>
      </c>
      <c r="I84" s="65" t="str">
        <f aca="false">IF(AND($D84&lt;&gt;"",$D84=UCSel),$A84+ROW()/100000,"")</f>
        <v/>
      </c>
    </row>
    <row r="85" customFormat="false" ht="15" hidden="false" customHeight="false" outlineLevel="0" collapsed="false">
      <c r="A85" s="63"/>
      <c r="B85" s="28"/>
      <c r="C85" s="28"/>
      <c r="D85" s="28"/>
      <c r="E85" s="64"/>
      <c r="F85" s="67" t="str">
        <f aca="false">IF($A85="","",$A85-WEEKDAY($A85,3))</f>
        <v/>
      </c>
      <c r="G85" s="65" t="str">
        <f aca="false">IF($A85="","",IF($F85=WeekStart,"Yes",""))</f>
        <v/>
      </c>
      <c r="H85" s="65" t="str">
        <f aca="false">IF($G85="Yes",$A85+ROW()/100000,"")</f>
        <v/>
      </c>
      <c r="I85" s="65" t="str">
        <f aca="false">IF(AND($D85&lt;&gt;"",$D85=UCSel),$A85+ROW()/100000,"")</f>
        <v/>
      </c>
    </row>
    <row r="86" customFormat="false" ht="15" hidden="false" customHeight="false" outlineLevel="0" collapsed="false">
      <c r="A86" s="63"/>
      <c r="B86" s="28"/>
      <c r="C86" s="28"/>
      <c r="D86" s="28"/>
      <c r="E86" s="64"/>
      <c r="F86" s="67" t="str">
        <f aca="false">IF($A86="","",$A86-WEEKDAY($A86,3))</f>
        <v/>
      </c>
      <c r="G86" s="65" t="str">
        <f aca="false">IF($A86="","",IF($F86=WeekStart,"Yes",""))</f>
        <v/>
      </c>
      <c r="H86" s="65" t="str">
        <f aca="false">IF($G86="Yes",$A86+ROW()/100000,"")</f>
        <v/>
      </c>
      <c r="I86" s="65" t="str">
        <f aca="false">IF(AND($D86&lt;&gt;"",$D86=UCSel),$A86+ROW()/100000,"")</f>
        <v/>
      </c>
    </row>
    <row r="87" customFormat="false" ht="15" hidden="false" customHeight="false" outlineLevel="0" collapsed="false">
      <c r="A87" s="63"/>
      <c r="B87" s="28"/>
      <c r="C87" s="28"/>
      <c r="D87" s="28"/>
      <c r="E87" s="64"/>
      <c r="F87" s="67" t="str">
        <f aca="false">IF($A87="","",$A87-WEEKDAY($A87,3))</f>
        <v/>
      </c>
      <c r="G87" s="65" t="str">
        <f aca="false">IF($A87="","",IF($F87=WeekStart,"Yes",""))</f>
        <v/>
      </c>
      <c r="H87" s="65" t="str">
        <f aca="false">IF($G87="Yes",$A87+ROW()/100000,"")</f>
        <v/>
      </c>
      <c r="I87" s="65" t="str">
        <f aca="false">IF(AND($D87&lt;&gt;"",$D87=UCSel),$A87+ROW()/100000,"")</f>
        <v/>
      </c>
    </row>
    <row r="88" customFormat="false" ht="15" hidden="false" customHeight="false" outlineLevel="0" collapsed="false">
      <c r="A88" s="63"/>
      <c r="B88" s="28"/>
      <c r="C88" s="28"/>
      <c r="D88" s="28"/>
      <c r="E88" s="64"/>
      <c r="F88" s="67" t="str">
        <f aca="false">IF($A88="","",$A88-WEEKDAY($A88,3))</f>
        <v/>
      </c>
      <c r="G88" s="65" t="str">
        <f aca="false">IF($A88="","",IF($F88=WeekStart,"Yes",""))</f>
        <v/>
      </c>
      <c r="H88" s="65" t="str">
        <f aca="false">IF($G88="Yes",$A88+ROW()/100000,"")</f>
        <v/>
      </c>
      <c r="I88" s="65" t="str">
        <f aca="false">IF(AND($D88&lt;&gt;"",$D88=UCSel),$A88+ROW()/100000,"")</f>
        <v/>
      </c>
    </row>
    <row r="89" customFormat="false" ht="15" hidden="false" customHeight="false" outlineLevel="0" collapsed="false">
      <c r="A89" s="63"/>
      <c r="B89" s="28"/>
      <c r="C89" s="28"/>
      <c r="D89" s="28"/>
      <c r="E89" s="64"/>
      <c r="F89" s="67" t="str">
        <f aca="false">IF($A89="","",$A89-WEEKDAY($A89,3))</f>
        <v/>
      </c>
      <c r="G89" s="65" t="str">
        <f aca="false">IF($A89="","",IF($F89=WeekStart,"Yes",""))</f>
        <v/>
      </c>
      <c r="H89" s="65" t="str">
        <f aca="false">IF($G89="Yes",$A89+ROW()/100000,"")</f>
        <v/>
      </c>
      <c r="I89" s="65" t="str">
        <f aca="false">IF(AND($D89&lt;&gt;"",$D89=UCSel),$A89+ROW()/100000,"")</f>
        <v/>
      </c>
    </row>
    <row r="90" customFormat="false" ht="15" hidden="false" customHeight="false" outlineLevel="0" collapsed="false">
      <c r="A90" s="63"/>
      <c r="B90" s="28"/>
      <c r="C90" s="28"/>
      <c r="D90" s="28"/>
      <c r="E90" s="64"/>
      <c r="F90" s="67" t="str">
        <f aca="false">IF($A90="","",$A90-WEEKDAY($A90,3))</f>
        <v/>
      </c>
      <c r="G90" s="65" t="str">
        <f aca="false">IF($A90="","",IF($F90=WeekStart,"Yes",""))</f>
        <v/>
      </c>
      <c r="H90" s="65" t="str">
        <f aca="false">IF($G90="Yes",$A90+ROW()/100000,"")</f>
        <v/>
      </c>
      <c r="I90" s="65" t="str">
        <f aca="false">IF(AND($D90&lt;&gt;"",$D90=UCSel),$A90+ROW()/100000,"")</f>
        <v/>
      </c>
    </row>
    <row r="91" customFormat="false" ht="15" hidden="false" customHeight="false" outlineLevel="0" collapsed="false">
      <c r="A91" s="63"/>
      <c r="B91" s="28"/>
      <c r="C91" s="28"/>
      <c r="D91" s="28"/>
      <c r="E91" s="64"/>
      <c r="F91" s="67" t="str">
        <f aca="false">IF($A91="","",$A91-WEEKDAY($A91,3))</f>
        <v/>
      </c>
      <c r="G91" s="65" t="str">
        <f aca="false">IF($A91="","",IF($F91=WeekStart,"Yes",""))</f>
        <v/>
      </c>
      <c r="H91" s="65" t="str">
        <f aca="false">IF($G91="Yes",$A91+ROW()/100000,"")</f>
        <v/>
      </c>
      <c r="I91" s="65" t="str">
        <f aca="false">IF(AND($D91&lt;&gt;"",$D91=UCSel),$A91+ROW()/100000,"")</f>
        <v/>
      </c>
    </row>
    <row r="92" customFormat="false" ht="15" hidden="false" customHeight="false" outlineLevel="0" collapsed="false">
      <c r="A92" s="63"/>
      <c r="B92" s="28"/>
      <c r="C92" s="28"/>
      <c r="D92" s="28"/>
      <c r="E92" s="64"/>
      <c r="F92" s="67" t="str">
        <f aca="false">IF($A92="","",$A92-WEEKDAY($A92,3))</f>
        <v/>
      </c>
      <c r="G92" s="65" t="str">
        <f aca="false">IF($A92="","",IF($F92=WeekStart,"Yes",""))</f>
        <v/>
      </c>
      <c r="H92" s="65" t="str">
        <f aca="false">IF($G92="Yes",$A92+ROW()/100000,"")</f>
        <v/>
      </c>
      <c r="I92" s="65" t="str">
        <f aca="false">IF(AND($D92&lt;&gt;"",$D92=UCSel),$A92+ROW()/100000,"")</f>
        <v/>
      </c>
    </row>
    <row r="93" customFormat="false" ht="15" hidden="false" customHeight="false" outlineLevel="0" collapsed="false">
      <c r="A93" s="63"/>
      <c r="B93" s="28"/>
      <c r="C93" s="28"/>
      <c r="D93" s="28"/>
      <c r="E93" s="64"/>
      <c r="F93" s="67" t="str">
        <f aca="false">IF($A93="","",$A93-WEEKDAY($A93,3))</f>
        <v/>
      </c>
      <c r="G93" s="65" t="str">
        <f aca="false">IF($A93="","",IF($F93=WeekStart,"Yes",""))</f>
        <v/>
      </c>
      <c r="H93" s="65" t="str">
        <f aca="false">IF($G93="Yes",$A93+ROW()/100000,"")</f>
        <v/>
      </c>
      <c r="I93" s="65" t="str">
        <f aca="false">IF(AND($D93&lt;&gt;"",$D93=UCSel),$A93+ROW()/100000,"")</f>
        <v/>
      </c>
    </row>
    <row r="94" customFormat="false" ht="15" hidden="false" customHeight="false" outlineLevel="0" collapsed="false">
      <c r="A94" s="63"/>
      <c r="B94" s="28"/>
      <c r="C94" s="28"/>
      <c r="D94" s="28"/>
      <c r="E94" s="64"/>
      <c r="F94" s="67" t="str">
        <f aca="false">IF($A94="","",$A94-WEEKDAY($A94,3))</f>
        <v/>
      </c>
      <c r="G94" s="65" t="str">
        <f aca="false">IF($A94="","",IF($F94=WeekStart,"Yes",""))</f>
        <v/>
      </c>
      <c r="H94" s="65" t="str">
        <f aca="false">IF($G94="Yes",$A94+ROW()/100000,"")</f>
        <v/>
      </c>
      <c r="I94" s="65" t="str">
        <f aca="false">IF(AND($D94&lt;&gt;"",$D94=UCSel),$A94+ROW()/100000,"")</f>
        <v/>
      </c>
    </row>
    <row r="95" customFormat="false" ht="15" hidden="false" customHeight="false" outlineLevel="0" collapsed="false">
      <c r="A95" s="63"/>
      <c r="B95" s="28"/>
      <c r="C95" s="28"/>
      <c r="D95" s="28"/>
      <c r="E95" s="64"/>
      <c r="F95" s="67" t="str">
        <f aca="false">IF($A95="","",$A95-WEEKDAY($A95,3))</f>
        <v/>
      </c>
      <c r="G95" s="65" t="str">
        <f aca="false">IF($A95="","",IF($F95=WeekStart,"Yes",""))</f>
        <v/>
      </c>
      <c r="H95" s="65" t="str">
        <f aca="false">IF($G95="Yes",$A95+ROW()/100000,"")</f>
        <v/>
      </c>
      <c r="I95" s="65" t="str">
        <f aca="false">IF(AND($D95&lt;&gt;"",$D95=UCSel),$A95+ROW()/100000,"")</f>
        <v/>
      </c>
    </row>
    <row r="96" customFormat="false" ht="15" hidden="false" customHeight="false" outlineLevel="0" collapsed="false">
      <c r="A96" s="63"/>
      <c r="B96" s="28"/>
      <c r="C96" s="28"/>
      <c r="D96" s="28"/>
      <c r="E96" s="64"/>
      <c r="F96" s="67" t="str">
        <f aca="false">IF($A96="","",$A96-WEEKDAY($A96,3))</f>
        <v/>
      </c>
      <c r="G96" s="65" t="str">
        <f aca="false">IF($A96="","",IF($F96=WeekStart,"Yes",""))</f>
        <v/>
      </c>
      <c r="H96" s="65" t="str">
        <f aca="false">IF($G96="Yes",$A96+ROW()/100000,"")</f>
        <v/>
      </c>
      <c r="I96" s="65" t="str">
        <f aca="false">IF(AND($D96&lt;&gt;"",$D96=UCSel),$A96+ROW()/100000,"")</f>
        <v/>
      </c>
    </row>
    <row r="97" customFormat="false" ht="15" hidden="false" customHeight="false" outlineLevel="0" collapsed="false">
      <c r="A97" s="63"/>
      <c r="B97" s="28"/>
      <c r="C97" s="28"/>
      <c r="D97" s="28"/>
      <c r="E97" s="64"/>
      <c r="F97" s="67" t="str">
        <f aca="false">IF($A97="","",$A97-WEEKDAY($A97,3))</f>
        <v/>
      </c>
      <c r="G97" s="65" t="str">
        <f aca="false">IF($A97="","",IF($F97=WeekStart,"Yes",""))</f>
        <v/>
      </c>
      <c r="H97" s="65" t="str">
        <f aca="false">IF($G97="Yes",$A97+ROW()/100000,"")</f>
        <v/>
      </c>
      <c r="I97" s="65" t="str">
        <f aca="false">IF(AND($D97&lt;&gt;"",$D97=UCSel),$A97+ROW()/100000,"")</f>
        <v/>
      </c>
    </row>
    <row r="98" customFormat="false" ht="15" hidden="false" customHeight="false" outlineLevel="0" collapsed="false">
      <c r="A98" s="63"/>
      <c r="B98" s="28"/>
      <c r="C98" s="28"/>
      <c r="D98" s="28"/>
      <c r="E98" s="64"/>
      <c r="F98" s="67" t="str">
        <f aca="false">IF($A98="","",$A98-WEEKDAY($A98,3))</f>
        <v/>
      </c>
      <c r="G98" s="65" t="str">
        <f aca="false">IF($A98="","",IF($F98=WeekStart,"Yes",""))</f>
        <v/>
      </c>
      <c r="H98" s="65" t="str">
        <f aca="false">IF($G98="Yes",$A98+ROW()/100000,"")</f>
        <v/>
      </c>
      <c r="I98" s="65" t="str">
        <f aca="false">IF(AND($D98&lt;&gt;"",$D98=UCSel),$A98+ROW()/100000,"")</f>
        <v/>
      </c>
    </row>
    <row r="99" customFormat="false" ht="15" hidden="false" customHeight="false" outlineLevel="0" collapsed="false">
      <c r="A99" s="63"/>
      <c r="B99" s="28"/>
      <c r="C99" s="28"/>
      <c r="D99" s="28"/>
      <c r="E99" s="64"/>
      <c r="F99" s="67" t="str">
        <f aca="false">IF($A99="","",$A99-WEEKDAY($A99,3))</f>
        <v/>
      </c>
      <c r="G99" s="65" t="str">
        <f aca="false">IF($A99="","",IF($F99=WeekStart,"Yes",""))</f>
        <v/>
      </c>
      <c r="H99" s="65" t="str">
        <f aca="false">IF($G99="Yes",$A99+ROW()/100000,"")</f>
        <v/>
      </c>
      <c r="I99" s="65" t="str">
        <f aca="false">IF(AND($D99&lt;&gt;"",$D99=UCSel),$A99+ROW()/100000,"")</f>
        <v/>
      </c>
    </row>
    <row r="100" customFormat="false" ht="15" hidden="false" customHeight="false" outlineLevel="0" collapsed="false">
      <c r="A100" s="63"/>
      <c r="B100" s="28"/>
      <c r="C100" s="28"/>
      <c r="D100" s="28"/>
      <c r="E100" s="64"/>
      <c r="F100" s="67" t="str">
        <f aca="false">IF($A100="","",$A100-WEEKDAY($A100,3))</f>
        <v/>
      </c>
      <c r="G100" s="65" t="str">
        <f aca="false">IF($A100="","",IF($F100=WeekStart,"Yes",""))</f>
        <v/>
      </c>
      <c r="H100" s="65" t="str">
        <f aca="false">IF($G100="Yes",$A100+ROW()/100000,"")</f>
        <v/>
      </c>
      <c r="I100" s="65" t="str">
        <f aca="false">IF(AND($D100&lt;&gt;"",$D100=UCSel),$A100+ROW()/100000,"")</f>
        <v/>
      </c>
    </row>
    <row r="101" customFormat="false" ht="15" hidden="false" customHeight="false" outlineLevel="0" collapsed="false">
      <c r="A101" s="63"/>
      <c r="B101" s="28"/>
      <c r="C101" s="28"/>
      <c r="D101" s="28"/>
      <c r="E101" s="64"/>
      <c r="F101" s="67" t="str">
        <f aca="false">IF($A101="","",$A101-WEEKDAY($A101,3))</f>
        <v/>
      </c>
      <c r="G101" s="65" t="str">
        <f aca="false">IF($A101="","",IF($F101=WeekStart,"Yes",""))</f>
        <v/>
      </c>
      <c r="H101" s="65" t="str">
        <f aca="false">IF($G101="Yes",$A101+ROW()/100000,"")</f>
        <v/>
      </c>
      <c r="I101" s="65" t="str">
        <f aca="false">IF(AND($D101&lt;&gt;"",$D101=UCSel),$A101+ROW()/100000,"")</f>
        <v/>
      </c>
    </row>
    <row r="102" customFormat="false" ht="15" hidden="false" customHeight="false" outlineLevel="0" collapsed="false">
      <c r="A102" s="63"/>
      <c r="B102" s="28"/>
      <c r="C102" s="28"/>
      <c r="D102" s="28"/>
      <c r="E102" s="64"/>
      <c r="F102" s="67" t="str">
        <f aca="false">IF($A102="","",$A102-WEEKDAY($A102,3))</f>
        <v/>
      </c>
      <c r="G102" s="65" t="str">
        <f aca="false">IF($A102="","",IF($F102=WeekStart,"Yes",""))</f>
        <v/>
      </c>
      <c r="H102" s="65" t="str">
        <f aca="false">IF($G102="Yes",$A102+ROW()/100000,"")</f>
        <v/>
      </c>
      <c r="I102" s="65" t="str">
        <f aca="false">IF(AND($D102&lt;&gt;"",$D102=UCSel),$A102+ROW()/100000,"")</f>
        <v/>
      </c>
    </row>
    <row r="103" customFormat="false" ht="15" hidden="false" customHeight="false" outlineLevel="0" collapsed="false">
      <c r="A103" s="63"/>
      <c r="B103" s="28"/>
      <c r="C103" s="28"/>
      <c r="D103" s="28"/>
      <c r="E103" s="64"/>
      <c r="F103" s="67" t="str">
        <f aca="false">IF($A103="","",$A103-WEEKDAY($A103,3))</f>
        <v/>
      </c>
      <c r="G103" s="65" t="str">
        <f aca="false">IF($A103="","",IF($F103=WeekStart,"Yes",""))</f>
        <v/>
      </c>
      <c r="H103" s="65" t="str">
        <f aca="false">IF($G103="Yes",$A103+ROW()/100000,"")</f>
        <v/>
      </c>
      <c r="I103" s="65" t="str">
        <f aca="false">IF(AND($D103&lt;&gt;"",$D103=UCSel),$A103+ROW()/100000,"")</f>
        <v/>
      </c>
    </row>
    <row r="104" customFormat="false" ht="15" hidden="false" customHeight="false" outlineLevel="0" collapsed="false">
      <c r="A104" s="63"/>
      <c r="B104" s="28"/>
      <c r="C104" s="28"/>
      <c r="D104" s="28"/>
      <c r="E104" s="64"/>
      <c r="F104" s="67" t="str">
        <f aca="false">IF($A104="","",$A104-WEEKDAY($A104,3))</f>
        <v/>
      </c>
      <c r="G104" s="65" t="str">
        <f aca="false">IF($A104="","",IF($F104=WeekStart,"Yes",""))</f>
        <v/>
      </c>
      <c r="H104" s="65" t="str">
        <f aca="false">IF($G104="Yes",$A104+ROW()/100000,"")</f>
        <v/>
      </c>
      <c r="I104" s="65" t="str">
        <f aca="false">IF(AND($D104&lt;&gt;"",$D104=UCSel),$A104+ROW()/100000,"")</f>
        <v/>
      </c>
    </row>
    <row r="105" customFormat="false" ht="15" hidden="false" customHeight="false" outlineLevel="0" collapsed="false">
      <c r="A105" s="63"/>
      <c r="B105" s="28"/>
      <c r="C105" s="28"/>
      <c r="D105" s="28"/>
      <c r="E105" s="64"/>
      <c r="F105" s="67" t="str">
        <f aca="false">IF($A105="","",$A105-WEEKDAY($A105,3))</f>
        <v/>
      </c>
      <c r="G105" s="65" t="str">
        <f aca="false">IF($A105="","",IF($F105=WeekStart,"Yes",""))</f>
        <v/>
      </c>
      <c r="H105" s="65" t="str">
        <f aca="false">IF($G105="Yes",$A105+ROW()/100000,"")</f>
        <v/>
      </c>
      <c r="I105" s="65" t="str">
        <f aca="false">IF(AND($D105&lt;&gt;"",$D105=UCSel),$A105+ROW()/100000,"")</f>
        <v/>
      </c>
    </row>
    <row r="106" customFormat="false" ht="15" hidden="false" customHeight="false" outlineLevel="0" collapsed="false">
      <c r="A106" s="63"/>
      <c r="B106" s="28"/>
      <c r="C106" s="28"/>
      <c r="D106" s="28"/>
      <c r="E106" s="64"/>
      <c r="F106" s="67" t="str">
        <f aca="false">IF($A106="","",$A106-WEEKDAY($A106,3))</f>
        <v/>
      </c>
      <c r="G106" s="65" t="str">
        <f aca="false">IF($A106="","",IF($F106=WeekStart,"Yes",""))</f>
        <v/>
      </c>
      <c r="H106" s="65" t="str">
        <f aca="false">IF($G106="Yes",$A106+ROW()/100000,"")</f>
        <v/>
      </c>
      <c r="I106" s="65" t="str">
        <f aca="false">IF(AND($D106&lt;&gt;"",$D106=UCSel),$A106+ROW()/100000,"")</f>
        <v/>
      </c>
    </row>
    <row r="107" customFormat="false" ht="15" hidden="false" customHeight="false" outlineLevel="0" collapsed="false">
      <c r="A107" s="63"/>
      <c r="B107" s="28"/>
      <c r="C107" s="28"/>
      <c r="D107" s="28"/>
      <c r="E107" s="64"/>
      <c r="F107" s="67" t="str">
        <f aca="false">IF($A107="","",$A107-WEEKDAY($A107,3))</f>
        <v/>
      </c>
      <c r="G107" s="65" t="str">
        <f aca="false">IF($A107="","",IF($F107=WeekStart,"Yes",""))</f>
        <v/>
      </c>
      <c r="H107" s="65" t="str">
        <f aca="false">IF($G107="Yes",$A107+ROW()/100000,"")</f>
        <v/>
      </c>
      <c r="I107" s="65" t="str">
        <f aca="false">IF(AND($D107&lt;&gt;"",$D107=UCSel),$A107+ROW()/100000,"")</f>
        <v/>
      </c>
    </row>
    <row r="108" customFormat="false" ht="15" hidden="false" customHeight="false" outlineLevel="0" collapsed="false">
      <c r="A108" s="63"/>
      <c r="B108" s="28"/>
      <c r="C108" s="28"/>
      <c r="D108" s="28"/>
      <c r="E108" s="64"/>
      <c r="F108" s="67" t="str">
        <f aca="false">IF($A108="","",$A108-WEEKDAY($A108,3))</f>
        <v/>
      </c>
      <c r="G108" s="65" t="str">
        <f aca="false">IF($A108="","",IF($F108=WeekStart,"Yes",""))</f>
        <v/>
      </c>
      <c r="H108" s="65" t="str">
        <f aca="false">IF($G108="Yes",$A108+ROW()/100000,"")</f>
        <v/>
      </c>
      <c r="I108" s="65" t="str">
        <f aca="false">IF(AND($D108&lt;&gt;"",$D108=UCSel),$A108+ROW()/100000,"")</f>
        <v/>
      </c>
    </row>
    <row r="109" customFormat="false" ht="15" hidden="false" customHeight="false" outlineLevel="0" collapsed="false">
      <c r="A109" s="63"/>
      <c r="B109" s="28"/>
      <c r="C109" s="28"/>
      <c r="D109" s="28"/>
      <c r="E109" s="64"/>
      <c r="F109" s="67" t="str">
        <f aca="false">IF($A109="","",$A109-WEEKDAY($A109,3))</f>
        <v/>
      </c>
      <c r="G109" s="65" t="str">
        <f aca="false">IF($A109="","",IF($F109=WeekStart,"Yes",""))</f>
        <v/>
      </c>
      <c r="H109" s="65" t="str">
        <f aca="false">IF($G109="Yes",$A109+ROW()/100000,"")</f>
        <v/>
      </c>
      <c r="I109" s="65" t="str">
        <f aca="false">IF(AND($D109&lt;&gt;"",$D109=UCSel),$A109+ROW()/100000,"")</f>
        <v/>
      </c>
    </row>
    <row r="110" customFormat="false" ht="15" hidden="false" customHeight="false" outlineLevel="0" collapsed="false">
      <c r="A110" s="63"/>
      <c r="B110" s="28"/>
      <c r="C110" s="28"/>
      <c r="D110" s="28"/>
      <c r="E110" s="64"/>
      <c r="F110" s="67" t="str">
        <f aca="false">IF($A110="","",$A110-WEEKDAY($A110,3))</f>
        <v/>
      </c>
      <c r="G110" s="65" t="str">
        <f aca="false">IF($A110="","",IF($F110=WeekStart,"Yes",""))</f>
        <v/>
      </c>
      <c r="H110" s="65" t="str">
        <f aca="false">IF($G110="Yes",$A110+ROW()/100000,"")</f>
        <v/>
      </c>
      <c r="I110" s="65" t="str">
        <f aca="false">IF(AND($D110&lt;&gt;"",$D110=UCSel),$A110+ROW()/100000,"")</f>
        <v/>
      </c>
    </row>
    <row r="111" customFormat="false" ht="15" hidden="false" customHeight="false" outlineLevel="0" collapsed="false">
      <c r="A111" s="63"/>
      <c r="B111" s="28"/>
      <c r="C111" s="28"/>
      <c r="D111" s="28"/>
      <c r="E111" s="64"/>
      <c r="F111" s="67" t="str">
        <f aca="false">IF($A111="","",$A111-WEEKDAY($A111,3))</f>
        <v/>
      </c>
      <c r="G111" s="65" t="str">
        <f aca="false">IF($A111="","",IF($F111=WeekStart,"Yes",""))</f>
        <v/>
      </c>
      <c r="H111" s="65" t="str">
        <f aca="false">IF($G111="Yes",$A111+ROW()/100000,"")</f>
        <v/>
      </c>
      <c r="I111" s="65" t="str">
        <f aca="false">IF(AND($D111&lt;&gt;"",$D111=UCSel),$A111+ROW()/100000,"")</f>
        <v/>
      </c>
    </row>
    <row r="112" customFormat="false" ht="15" hidden="false" customHeight="false" outlineLevel="0" collapsed="false">
      <c r="A112" s="63"/>
      <c r="B112" s="28"/>
      <c r="C112" s="28"/>
      <c r="D112" s="28"/>
      <c r="E112" s="64"/>
      <c r="F112" s="67" t="str">
        <f aca="false">IF($A112="","",$A112-WEEKDAY($A112,3))</f>
        <v/>
      </c>
      <c r="G112" s="65" t="str">
        <f aca="false">IF($A112="","",IF($F112=WeekStart,"Yes",""))</f>
        <v/>
      </c>
      <c r="H112" s="65" t="str">
        <f aca="false">IF($G112="Yes",$A112+ROW()/100000,"")</f>
        <v/>
      </c>
      <c r="I112" s="65" t="str">
        <f aca="false">IF(AND($D112&lt;&gt;"",$D112=UCSel),$A112+ROW()/100000,"")</f>
        <v/>
      </c>
    </row>
    <row r="113" customFormat="false" ht="15" hidden="false" customHeight="false" outlineLevel="0" collapsed="false">
      <c r="A113" s="63"/>
      <c r="B113" s="28"/>
      <c r="C113" s="28"/>
      <c r="D113" s="28"/>
      <c r="E113" s="64"/>
      <c r="F113" s="67" t="str">
        <f aca="false">IF($A113="","",$A113-WEEKDAY($A113,3))</f>
        <v/>
      </c>
      <c r="G113" s="65" t="str">
        <f aca="false">IF($A113="","",IF($F113=WeekStart,"Yes",""))</f>
        <v/>
      </c>
      <c r="H113" s="65" t="str">
        <f aca="false">IF($G113="Yes",$A113+ROW()/100000,"")</f>
        <v/>
      </c>
      <c r="I113" s="65" t="str">
        <f aca="false">IF(AND($D113&lt;&gt;"",$D113=UCSel),$A113+ROW()/100000,"")</f>
        <v/>
      </c>
    </row>
    <row r="114" customFormat="false" ht="15" hidden="false" customHeight="false" outlineLevel="0" collapsed="false">
      <c r="A114" s="63"/>
      <c r="B114" s="28"/>
      <c r="C114" s="28"/>
      <c r="D114" s="28"/>
      <c r="E114" s="64"/>
      <c r="F114" s="67" t="str">
        <f aca="false">IF($A114="","",$A114-WEEKDAY($A114,3))</f>
        <v/>
      </c>
      <c r="G114" s="65" t="str">
        <f aca="false">IF($A114="","",IF($F114=WeekStart,"Yes",""))</f>
        <v/>
      </c>
      <c r="H114" s="65" t="str">
        <f aca="false">IF($G114="Yes",$A114+ROW()/100000,"")</f>
        <v/>
      </c>
      <c r="I114" s="65" t="str">
        <f aca="false">IF(AND($D114&lt;&gt;"",$D114=UCSel),$A114+ROW()/100000,"")</f>
        <v/>
      </c>
    </row>
    <row r="115" customFormat="false" ht="15" hidden="false" customHeight="false" outlineLevel="0" collapsed="false">
      <c r="A115" s="63"/>
      <c r="B115" s="28"/>
      <c r="C115" s="28"/>
      <c r="D115" s="28"/>
      <c r="E115" s="64"/>
      <c r="F115" s="67" t="str">
        <f aca="false">IF($A115="","",$A115-WEEKDAY($A115,3))</f>
        <v/>
      </c>
      <c r="G115" s="65" t="str">
        <f aca="false">IF($A115="","",IF($F115=WeekStart,"Yes",""))</f>
        <v/>
      </c>
      <c r="H115" s="65" t="str">
        <f aca="false">IF($G115="Yes",$A115+ROW()/100000,"")</f>
        <v/>
      </c>
      <c r="I115" s="65" t="str">
        <f aca="false">IF(AND($D115&lt;&gt;"",$D115=UCSel),$A115+ROW()/100000,"")</f>
        <v/>
      </c>
    </row>
    <row r="116" customFormat="false" ht="15" hidden="false" customHeight="false" outlineLevel="0" collapsed="false">
      <c r="A116" s="63"/>
      <c r="B116" s="28"/>
      <c r="C116" s="28"/>
      <c r="D116" s="28"/>
      <c r="E116" s="64"/>
      <c r="F116" s="67" t="str">
        <f aca="false">IF($A116="","",$A116-WEEKDAY($A116,3))</f>
        <v/>
      </c>
      <c r="G116" s="65" t="str">
        <f aca="false">IF($A116="","",IF($F116=WeekStart,"Yes",""))</f>
        <v/>
      </c>
      <c r="H116" s="65" t="str">
        <f aca="false">IF($G116="Yes",$A116+ROW()/100000,"")</f>
        <v/>
      </c>
      <c r="I116" s="65" t="str">
        <f aca="false">IF(AND($D116&lt;&gt;"",$D116=UCSel),$A116+ROW()/100000,"")</f>
        <v/>
      </c>
    </row>
    <row r="117" customFormat="false" ht="15" hidden="false" customHeight="false" outlineLevel="0" collapsed="false">
      <c r="A117" s="63"/>
      <c r="B117" s="28"/>
      <c r="C117" s="28"/>
      <c r="D117" s="28"/>
      <c r="E117" s="64"/>
      <c r="F117" s="67" t="str">
        <f aca="false">IF($A117="","",$A117-WEEKDAY($A117,3))</f>
        <v/>
      </c>
      <c r="G117" s="65" t="str">
        <f aca="false">IF($A117="","",IF($F117=WeekStart,"Yes",""))</f>
        <v/>
      </c>
      <c r="H117" s="65" t="str">
        <f aca="false">IF($G117="Yes",$A117+ROW()/100000,"")</f>
        <v/>
      </c>
      <c r="I117" s="65" t="str">
        <f aca="false">IF(AND($D117&lt;&gt;"",$D117=UCSel),$A117+ROW()/100000,"")</f>
        <v/>
      </c>
    </row>
    <row r="118" customFormat="false" ht="15" hidden="false" customHeight="false" outlineLevel="0" collapsed="false">
      <c r="A118" s="63"/>
      <c r="B118" s="28"/>
      <c r="C118" s="28"/>
      <c r="D118" s="28"/>
      <c r="E118" s="64"/>
      <c r="F118" s="67" t="str">
        <f aca="false">IF($A118="","",$A118-WEEKDAY($A118,3))</f>
        <v/>
      </c>
      <c r="G118" s="65" t="str">
        <f aca="false">IF($A118="","",IF($F118=WeekStart,"Yes",""))</f>
        <v/>
      </c>
      <c r="H118" s="65" t="str">
        <f aca="false">IF($G118="Yes",$A118+ROW()/100000,"")</f>
        <v/>
      </c>
      <c r="I118" s="65" t="str">
        <f aca="false">IF(AND($D118&lt;&gt;"",$D118=UCSel),$A118+ROW()/100000,"")</f>
        <v/>
      </c>
    </row>
    <row r="119" customFormat="false" ht="15" hidden="false" customHeight="false" outlineLevel="0" collapsed="false">
      <c r="A119" s="63"/>
      <c r="B119" s="28"/>
      <c r="C119" s="28"/>
      <c r="D119" s="28"/>
      <c r="E119" s="64"/>
      <c r="F119" s="67" t="str">
        <f aca="false">IF($A119="","",$A119-WEEKDAY($A119,3))</f>
        <v/>
      </c>
      <c r="G119" s="65" t="str">
        <f aca="false">IF($A119="","",IF($F119=WeekStart,"Yes",""))</f>
        <v/>
      </c>
      <c r="H119" s="65" t="str">
        <f aca="false">IF($G119="Yes",$A119+ROW()/100000,"")</f>
        <v/>
      </c>
      <c r="I119" s="65" t="str">
        <f aca="false">IF(AND($D119&lt;&gt;"",$D119=UCSel),$A119+ROW()/100000,"")</f>
        <v/>
      </c>
    </row>
    <row r="120" customFormat="false" ht="15" hidden="false" customHeight="false" outlineLevel="0" collapsed="false">
      <c r="A120" s="63"/>
      <c r="B120" s="28"/>
      <c r="C120" s="28"/>
      <c r="D120" s="28"/>
      <c r="E120" s="64"/>
      <c r="F120" s="67" t="str">
        <f aca="false">IF($A120="","",$A120-WEEKDAY($A120,3))</f>
        <v/>
      </c>
      <c r="G120" s="65" t="str">
        <f aca="false">IF($A120="","",IF($F120=WeekStart,"Yes",""))</f>
        <v/>
      </c>
      <c r="H120" s="65" t="str">
        <f aca="false">IF($G120="Yes",$A120+ROW()/100000,"")</f>
        <v/>
      </c>
      <c r="I120" s="65" t="str">
        <f aca="false">IF(AND($D120&lt;&gt;"",$D120=UCSel),$A120+ROW()/100000,"")</f>
        <v/>
      </c>
    </row>
    <row r="121" customFormat="false" ht="15" hidden="false" customHeight="false" outlineLevel="0" collapsed="false">
      <c r="A121" s="63"/>
      <c r="B121" s="28"/>
      <c r="C121" s="28"/>
      <c r="D121" s="28"/>
      <c r="E121" s="64"/>
      <c r="F121" s="67" t="str">
        <f aca="false">IF($A121="","",$A121-WEEKDAY($A121,3))</f>
        <v/>
      </c>
      <c r="G121" s="65" t="str">
        <f aca="false">IF($A121="","",IF($F121=WeekStart,"Yes",""))</f>
        <v/>
      </c>
      <c r="H121" s="65" t="str">
        <f aca="false">IF($G121="Yes",$A121+ROW()/100000,"")</f>
        <v/>
      </c>
      <c r="I121" s="65" t="str">
        <f aca="false">IF(AND($D121&lt;&gt;"",$D121=UCSel),$A121+ROW()/100000,"")</f>
        <v/>
      </c>
    </row>
    <row r="122" customFormat="false" ht="15" hidden="false" customHeight="false" outlineLevel="0" collapsed="false">
      <c r="A122" s="63"/>
      <c r="B122" s="28"/>
      <c r="C122" s="28"/>
      <c r="D122" s="28"/>
      <c r="E122" s="64"/>
      <c r="F122" s="67" t="str">
        <f aca="false">IF($A122="","",$A122-WEEKDAY($A122,3))</f>
        <v/>
      </c>
      <c r="G122" s="65" t="str">
        <f aca="false">IF($A122="","",IF($F122=WeekStart,"Yes",""))</f>
        <v/>
      </c>
      <c r="H122" s="65" t="str">
        <f aca="false">IF($G122="Yes",$A122+ROW()/100000,"")</f>
        <v/>
      </c>
      <c r="I122" s="65" t="str">
        <f aca="false">IF(AND($D122&lt;&gt;"",$D122=UCSel),$A122+ROW()/100000,"")</f>
        <v/>
      </c>
    </row>
    <row r="123" customFormat="false" ht="15" hidden="false" customHeight="false" outlineLevel="0" collapsed="false">
      <c r="A123" s="63"/>
      <c r="B123" s="28"/>
      <c r="C123" s="28"/>
      <c r="D123" s="28"/>
      <c r="E123" s="64"/>
      <c r="F123" s="67" t="str">
        <f aca="false">IF($A123="","",$A123-WEEKDAY($A123,3))</f>
        <v/>
      </c>
      <c r="G123" s="65" t="str">
        <f aca="false">IF($A123="","",IF($F123=WeekStart,"Yes",""))</f>
        <v/>
      </c>
      <c r="H123" s="65" t="str">
        <f aca="false">IF($G123="Yes",$A123+ROW()/100000,"")</f>
        <v/>
      </c>
      <c r="I123" s="65" t="str">
        <f aca="false">IF(AND($D123&lt;&gt;"",$D123=UCSel),$A123+ROW()/100000,"")</f>
        <v/>
      </c>
    </row>
    <row r="124" customFormat="false" ht="15" hidden="false" customHeight="false" outlineLevel="0" collapsed="false">
      <c r="A124" s="63"/>
      <c r="B124" s="28"/>
      <c r="C124" s="28"/>
      <c r="D124" s="28"/>
      <c r="E124" s="64"/>
      <c r="F124" s="67" t="str">
        <f aca="false">IF($A124="","",$A124-WEEKDAY($A124,3))</f>
        <v/>
      </c>
      <c r="G124" s="65" t="str">
        <f aca="false">IF($A124="","",IF($F124=WeekStart,"Yes",""))</f>
        <v/>
      </c>
      <c r="H124" s="65" t="str">
        <f aca="false">IF($G124="Yes",$A124+ROW()/100000,"")</f>
        <v/>
      </c>
      <c r="I124" s="65" t="str">
        <f aca="false">IF(AND($D124&lt;&gt;"",$D124=UCSel),$A124+ROW()/100000,"")</f>
        <v/>
      </c>
    </row>
    <row r="125" customFormat="false" ht="15" hidden="false" customHeight="false" outlineLevel="0" collapsed="false">
      <c r="A125" s="63"/>
      <c r="B125" s="28"/>
      <c r="C125" s="28"/>
      <c r="D125" s="28"/>
      <c r="E125" s="64"/>
      <c r="F125" s="67" t="str">
        <f aca="false">IF($A125="","",$A125-WEEKDAY($A125,3))</f>
        <v/>
      </c>
      <c r="G125" s="65" t="str">
        <f aca="false">IF($A125="","",IF($F125=WeekStart,"Yes",""))</f>
        <v/>
      </c>
      <c r="H125" s="65" t="str">
        <f aca="false">IF($G125="Yes",$A125+ROW()/100000,"")</f>
        <v/>
      </c>
      <c r="I125" s="65" t="str">
        <f aca="false">IF(AND($D125&lt;&gt;"",$D125=UCSel),$A125+ROW()/100000,"")</f>
        <v/>
      </c>
    </row>
    <row r="126" customFormat="false" ht="15" hidden="false" customHeight="false" outlineLevel="0" collapsed="false">
      <c r="A126" s="63"/>
      <c r="B126" s="28"/>
      <c r="C126" s="28"/>
      <c r="D126" s="28"/>
      <c r="E126" s="64"/>
      <c r="F126" s="67" t="str">
        <f aca="false">IF($A126="","",$A126-WEEKDAY($A126,3))</f>
        <v/>
      </c>
      <c r="G126" s="65" t="str">
        <f aca="false">IF($A126="","",IF($F126=WeekStart,"Yes",""))</f>
        <v/>
      </c>
      <c r="H126" s="65" t="str">
        <f aca="false">IF($G126="Yes",$A126+ROW()/100000,"")</f>
        <v/>
      </c>
      <c r="I126" s="65" t="str">
        <f aca="false">IF(AND($D126&lt;&gt;"",$D126=UCSel),$A126+ROW()/100000,"")</f>
        <v/>
      </c>
    </row>
    <row r="127" customFormat="false" ht="15" hidden="false" customHeight="false" outlineLevel="0" collapsed="false">
      <c r="A127" s="63"/>
      <c r="B127" s="28"/>
      <c r="C127" s="28"/>
      <c r="D127" s="28"/>
      <c r="E127" s="64"/>
      <c r="F127" s="67" t="str">
        <f aca="false">IF($A127="","",$A127-WEEKDAY($A127,3))</f>
        <v/>
      </c>
      <c r="G127" s="65" t="str">
        <f aca="false">IF($A127="","",IF($F127=WeekStart,"Yes",""))</f>
        <v/>
      </c>
      <c r="H127" s="65" t="str">
        <f aca="false">IF($G127="Yes",$A127+ROW()/100000,"")</f>
        <v/>
      </c>
      <c r="I127" s="65" t="str">
        <f aca="false">IF(AND($D127&lt;&gt;"",$D127=UCSel),$A127+ROW()/100000,"")</f>
        <v/>
      </c>
    </row>
    <row r="128" customFormat="false" ht="15" hidden="false" customHeight="false" outlineLevel="0" collapsed="false">
      <c r="A128" s="63"/>
      <c r="B128" s="28"/>
      <c r="C128" s="28"/>
      <c r="D128" s="28"/>
      <c r="E128" s="64"/>
      <c r="F128" s="67" t="str">
        <f aca="false">IF($A128="","",$A128-WEEKDAY($A128,3))</f>
        <v/>
      </c>
      <c r="G128" s="65" t="str">
        <f aca="false">IF($A128="","",IF($F128=WeekStart,"Yes",""))</f>
        <v/>
      </c>
      <c r="H128" s="65" t="str">
        <f aca="false">IF($G128="Yes",$A128+ROW()/100000,"")</f>
        <v/>
      </c>
      <c r="I128" s="65" t="str">
        <f aca="false">IF(AND($D128&lt;&gt;"",$D128=UCSel),$A128+ROW()/100000,"")</f>
        <v/>
      </c>
    </row>
    <row r="129" customFormat="false" ht="15" hidden="false" customHeight="false" outlineLevel="0" collapsed="false">
      <c r="A129" s="63"/>
      <c r="B129" s="28"/>
      <c r="C129" s="28"/>
      <c r="D129" s="28"/>
      <c r="E129" s="64"/>
      <c r="F129" s="67" t="str">
        <f aca="false">IF($A129="","",$A129-WEEKDAY($A129,3))</f>
        <v/>
      </c>
      <c r="G129" s="65" t="str">
        <f aca="false">IF($A129="","",IF($F129=WeekStart,"Yes",""))</f>
        <v/>
      </c>
      <c r="H129" s="65" t="str">
        <f aca="false">IF($G129="Yes",$A129+ROW()/100000,"")</f>
        <v/>
      </c>
      <c r="I129" s="65" t="str">
        <f aca="false">IF(AND($D129&lt;&gt;"",$D129=UCSel),$A129+ROW()/100000,"")</f>
        <v/>
      </c>
    </row>
    <row r="130" customFormat="false" ht="15" hidden="false" customHeight="false" outlineLevel="0" collapsed="false">
      <c r="A130" s="63"/>
      <c r="B130" s="28"/>
      <c r="C130" s="28"/>
      <c r="D130" s="28"/>
      <c r="E130" s="64"/>
      <c r="F130" s="67" t="str">
        <f aca="false">IF($A130="","",$A130-WEEKDAY($A130,3))</f>
        <v/>
      </c>
      <c r="G130" s="65" t="str">
        <f aca="false">IF($A130="","",IF($F130=WeekStart,"Yes",""))</f>
        <v/>
      </c>
      <c r="H130" s="65" t="str">
        <f aca="false">IF($G130="Yes",$A130+ROW()/100000,"")</f>
        <v/>
      </c>
      <c r="I130" s="65" t="str">
        <f aca="false">IF(AND($D130&lt;&gt;"",$D130=UCSel),$A130+ROW()/100000,"")</f>
        <v/>
      </c>
    </row>
    <row r="131" customFormat="false" ht="15" hidden="false" customHeight="false" outlineLevel="0" collapsed="false">
      <c r="A131" s="63"/>
      <c r="B131" s="28"/>
      <c r="C131" s="28"/>
      <c r="D131" s="28"/>
      <c r="E131" s="64"/>
      <c r="F131" s="67" t="str">
        <f aca="false">IF($A131="","",$A131-WEEKDAY($A131,3))</f>
        <v/>
      </c>
      <c r="G131" s="65" t="str">
        <f aca="false">IF($A131="","",IF($F131=WeekStart,"Yes",""))</f>
        <v/>
      </c>
      <c r="H131" s="65" t="str">
        <f aca="false">IF($G131="Yes",$A131+ROW()/100000,"")</f>
        <v/>
      </c>
      <c r="I131" s="65" t="str">
        <f aca="false">IF(AND($D131&lt;&gt;"",$D131=UCSel),$A131+ROW()/100000,"")</f>
        <v/>
      </c>
    </row>
    <row r="132" customFormat="false" ht="15" hidden="false" customHeight="false" outlineLevel="0" collapsed="false">
      <c r="A132" s="63"/>
      <c r="B132" s="28"/>
      <c r="C132" s="28"/>
      <c r="D132" s="28"/>
      <c r="E132" s="64"/>
      <c r="F132" s="67" t="str">
        <f aca="false">IF($A132="","",$A132-WEEKDAY($A132,3))</f>
        <v/>
      </c>
      <c r="G132" s="65" t="str">
        <f aca="false">IF($A132="","",IF($F132=WeekStart,"Yes",""))</f>
        <v/>
      </c>
      <c r="H132" s="65" t="str">
        <f aca="false">IF($G132="Yes",$A132+ROW()/100000,"")</f>
        <v/>
      </c>
      <c r="I132" s="65" t="str">
        <f aca="false">IF(AND($D132&lt;&gt;"",$D132=UCSel),$A132+ROW()/100000,"")</f>
        <v/>
      </c>
    </row>
    <row r="133" customFormat="false" ht="15" hidden="false" customHeight="false" outlineLevel="0" collapsed="false">
      <c r="A133" s="63"/>
      <c r="B133" s="28"/>
      <c r="C133" s="28"/>
      <c r="D133" s="28"/>
      <c r="E133" s="64"/>
      <c r="F133" s="67" t="str">
        <f aca="false">IF($A133="","",$A133-WEEKDAY($A133,3))</f>
        <v/>
      </c>
      <c r="G133" s="65" t="str">
        <f aca="false">IF($A133="","",IF($F133=WeekStart,"Yes",""))</f>
        <v/>
      </c>
      <c r="H133" s="65" t="str">
        <f aca="false">IF($G133="Yes",$A133+ROW()/100000,"")</f>
        <v/>
      </c>
      <c r="I133" s="65" t="str">
        <f aca="false">IF(AND($D133&lt;&gt;"",$D133=UCSel),$A133+ROW()/100000,"")</f>
        <v/>
      </c>
    </row>
    <row r="134" customFormat="false" ht="15" hidden="false" customHeight="false" outlineLevel="0" collapsed="false">
      <c r="A134" s="63"/>
      <c r="B134" s="28"/>
      <c r="C134" s="28"/>
      <c r="D134" s="28"/>
      <c r="E134" s="64"/>
      <c r="F134" s="67" t="str">
        <f aca="false">IF($A134="","",$A134-WEEKDAY($A134,3))</f>
        <v/>
      </c>
      <c r="G134" s="65" t="str">
        <f aca="false">IF($A134="","",IF($F134=WeekStart,"Yes",""))</f>
        <v/>
      </c>
      <c r="H134" s="65" t="str">
        <f aca="false">IF($G134="Yes",$A134+ROW()/100000,"")</f>
        <v/>
      </c>
      <c r="I134" s="65" t="str">
        <f aca="false">IF(AND($D134&lt;&gt;"",$D134=UCSel),$A134+ROW()/100000,"")</f>
        <v/>
      </c>
    </row>
    <row r="135" customFormat="false" ht="15" hidden="false" customHeight="false" outlineLevel="0" collapsed="false">
      <c r="A135" s="63"/>
      <c r="B135" s="28"/>
      <c r="C135" s="28"/>
      <c r="D135" s="28"/>
      <c r="E135" s="64"/>
      <c r="F135" s="67" t="str">
        <f aca="false">IF($A135="","",$A135-WEEKDAY($A135,3))</f>
        <v/>
      </c>
      <c r="G135" s="65" t="str">
        <f aca="false">IF($A135="","",IF($F135=WeekStart,"Yes",""))</f>
        <v/>
      </c>
      <c r="H135" s="65" t="str">
        <f aca="false">IF($G135="Yes",$A135+ROW()/100000,"")</f>
        <v/>
      </c>
      <c r="I135" s="65" t="str">
        <f aca="false">IF(AND($D135&lt;&gt;"",$D135=UCSel),$A135+ROW()/100000,"")</f>
        <v/>
      </c>
    </row>
    <row r="136" customFormat="false" ht="15" hidden="false" customHeight="false" outlineLevel="0" collapsed="false">
      <c r="A136" s="63"/>
      <c r="B136" s="28"/>
      <c r="C136" s="28"/>
      <c r="D136" s="28"/>
      <c r="E136" s="64"/>
      <c r="F136" s="67" t="str">
        <f aca="false">IF($A136="","",$A136-WEEKDAY($A136,3))</f>
        <v/>
      </c>
      <c r="G136" s="65" t="str">
        <f aca="false">IF($A136="","",IF($F136=WeekStart,"Yes",""))</f>
        <v/>
      </c>
      <c r="H136" s="65" t="str">
        <f aca="false">IF($G136="Yes",$A136+ROW()/100000,"")</f>
        <v/>
      </c>
      <c r="I136" s="65" t="str">
        <f aca="false">IF(AND($D136&lt;&gt;"",$D136=UCSel),$A136+ROW()/100000,"")</f>
        <v/>
      </c>
    </row>
    <row r="137" customFormat="false" ht="15" hidden="false" customHeight="false" outlineLevel="0" collapsed="false">
      <c r="A137" s="63"/>
      <c r="B137" s="28"/>
      <c r="C137" s="28"/>
      <c r="D137" s="28"/>
      <c r="E137" s="64"/>
      <c r="F137" s="67" t="str">
        <f aca="false">IF($A137="","",$A137-WEEKDAY($A137,3))</f>
        <v/>
      </c>
      <c r="G137" s="65" t="str">
        <f aca="false">IF($A137="","",IF($F137=WeekStart,"Yes",""))</f>
        <v/>
      </c>
      <c r="H137" s="65" t="str">
        <f aca="false">IF($G137="Yes",$A137+ROW()/100000,"")</f>
        <v/>
      </c>
      <c r="I137" s="65" t="str">
        <f aca="false">IF(AND($D137&lt;&gt;"",$D137=UCSel),$A137+ROW()/100000,"")</f>
        <v/>
      </c>
    </row>
    <row r="138" customFormat="false" ht="15" hidden="false" customHeight="false" outlineLevel="0" collapsed="false">
      <c r="A138" s="63"/>
      <c r="B138" s="28"/>
      <c r="C138" s="28"/>
      <c r="D138" s="28"/>
      <c r="E138" s="64"/>
      <c r="F138" s="67" t="str">
        <f aca="false">IF($A138="","",$A138-WEEKDAY($A138,3))</f>
        <v/>
      </c>
      <c r="G138" s="65" t="str">
        <f aca="false">IF($A138="","",IF($F138=WeekStart,"Yes",""))</f>
        <v/>
      </c>
      <c r="H138" s="65" t="str">
        <f aca="false">IF($G138="Yes",$A138+ROW()/100000,"")</f>
        <v/>
      </c>
      <c r="I138" s="65" t="str">
        <f aca="false">IF(AND($D138&lt;&gt;"",$D138=UCSel),$A138+ROW()/100000,"")</f>
        <v/>
      </c>
    </row>
    <row r="139" customFormat="false" ht="15" hidden="false" customHeight="false" outlineLevel="0" collapsed="false">
      <c r="A139" s="63"/>
      <c r="B139" s="28"/>
      <c r="C139" s="28"/>
      <c r="D139" s="28"/>
      <c r="E139" s="64"/>
      <c r="F139" s="67" t="str">
        <f aca="false">IF($A139="","",$A139-WEEKDAY($A139,3))</f>
        <v/>
      </c>
      <c r="G139" s="65" t="str">
        <f aca="false">IF($A139="","",IF($F139=WeekStart,"Yes",""))</f>
        <v/>
      </c>
      <c r="H139" s="65" t="str">
        <f aca="false">IF($G139="Yes",$A139+ROW()/100000,"")</f>
        <v/>
      </c>
      <c r="I139" s="65" t="str">
        <f aca="false">IF(AND($D139&lt;&gt;"",$D139=UCSel),$A139+ROW()/100000,"")</f>
        <v/>
      </c>
    </row>
    <row r="140" customFormat="false" ht="15" hidden="false" customHeight="false" outlineLevel="0" collapsed="false">
      <c r="A140" s="63"/>
      <c r="B140" s="28"/>
      <c r="C140" s="28"/>
      <c r="D140" s="28"/>
      <c r="E140" s="64"/>
      <c r="F140" s="67" t="str">
        <f aca="false">IF($A140="","",$A140-WEEKDAY($A140,3))</f>
        <v/>
      </c>
      <c r="G140" s="65" t="str">
        <f aca="false">IF($A140="","",IF($F140=WeekStart,"Yes",""))</f>
        <v/>
      </c>
      <c r="H140" s="65" t="str">
        <f aca="false">IF($G140="Yes",$A140+ROW()/100000,"")</f>
        <v/>
      </c>
      <c r="I140" s="65" t="str">
        <f aca="false">IF(AND($D140&lt;&gt;"",$D140=UCSel),$A140+ROW()/100000,"")</f>
        <v/>
      </c>
    </row>
    <row r="141" customFormat="false" ht="15" hidden="false" customHeight="false" outlineLevel="0" collapsed="false">
      <c r="A141" s="63"/>
      <c r="B141" s="28"/>
      <c r="C141" s="28"/>
      <c r="D141" s="28"/>
      <c r="E141" s="64"/>
      <c r="F141" s="67" t="str">
        <f aca="false">IF($A141="","",$A141-WEEKDAY($A141,3))</f>
        <v/>
      </c>
      <c r="G141" s="65" t="str">
        <f aca="false">IF($A141="","",IF($F141=WeekStart,"Yes",""))</f>
        <v/>
      </c>
      <c r="H141" s="65" t="str">
        <f aca="false">IF($G141="Yes",$A141+ROW()/100000,"")</f>
        <v/>
      </c>
      <c r="I141" s="65" t="str">
        <f aca="false">IF(AND($D141&lt;&gt;"",$D141=UCSel),$A141+ROW()/100000,"")</f>
        <v/>
      </c>
    </row>
    <row r="142" customFormat="false" ht="15" hidden="false" customHeight="false" outlineLevel="0" collapsed="false">
      <c r="A142" s="63"/>
      <c r="B142" s="28"/>
      <c r="C142" s="28"/>
      <c r="D142" s="28"/>
      <c r="E142" s="64"/>
      <c r="F142" s="67" t="str">
        <f aca="false">IF($A142="","",$A142-WEEKDAY($A142,3))</f>
        <v/>
      </c>
      <c r="G142" s="65" t="str">
        <f aca="false">IF($A142="","",IF($F142=WeekStart,"Yes",""))</f>
        <v/>
      </c>
      <c r="H142" s="65" t="str">
        <f aca="false">IF($G142="Yes",$A142+ROW()/100000,"")</f>
        <v/>
      </c>
      <c r="I142" s="65" t="str">
        <f aca="false">IF(AND($D142&lt;&gt;"",$D142=UCSel),$A142+ROW()/100000,"")</f>
        <v/>
      </c>
    </row>
    <row r="143" customFormat="false" ht="15" hidden="false" customHeight="false" outlineLevel="0" collapsed="false">
      <c r="A143" s="63"/>
      <c r="B143" s="28"/>
      <c r="C143" s="28"/>
      <c r="D143" s="28"/>
      <c r="E143" s="64"/>
      <c r="F143" s="67" t="str">
        <f aca="false">IF($A143="","",$A143-WEEKDAY($A143,3))</f>
        <v/>
      </c>
      <c r="G143" s="65" t="str">
        <f aca="false">IF($A143="","",IF($F143=WeekStart,"Yes",""))</f>
        <v/>
      </c>
      <c r="H143" s="65" t="str">
        <f aca="false">IF($G143="Yes",$A143+ROW()/100000,"")</f>
        <v/>
      </c>
      <c r="I143" s="65" t="str">
        <f aca="false">IF(AND($D143&lt;&gt;"",$D143=UCSel),$A143+ROW()/100000,"")</f>
        <v/>
      </c>
    </row>
    <row r="144" customFormat="false" ht="15" hidden="false" customHeight="false" outlineLevel="0" collapsed="false">
      <c r="A144" s="63"/>
      <c r="B144" s="28"/>
      <c r="C144" s="28"/>
      <c r="D144" s="28"/>
      <c r="E144" s="64"/>
      <c r="F144" s="67" t="str">
        <f aca="false">IF($A144="","",$A144-WEEKDAY($A144,3))</f>
        <v/>
      </c>
      <c r="G144" s="65" t="str">
        <f aca="false">IF($A144="","",IF($F144=WeekStart,"Yes",""))</f>
        <v/>
      </c>
      <c r="H144" s="65" t="str">
        <f aca="false">IF($G144="Yes",$A144+ROW()/100000,"")</f>
        <v/>
      </c>
      <c r="I144" s="65" t="str">
        <f aca="false">IF(AND($D144&lt;&gt;"",$D144=UCSel),$A144+ROW()/100000,"")</f>
        <v/>
      </c>
    </row>
    <row r="145" customFormat="false" ht="15" hidden="false" customHeight="false" outlineLevel="0" collapsed="false">
      <c r="A145" s="63"/>
      <c r="B145" s="28"/>
      <c r="C145" s="28"/>
      <c r="D145" s="28"/>
      <c r="E145" s="64"/>
      <c r="F145" s="67" t="str">
        <f aca="false">IF($A145="","",$A145-WEEKDAY($A145,3))</f>
        <v/>
      </c>
      <c r="G145" s="65" t="str">
        <f aca="false">IF($A145="","",IF($F145=WeekStart,"Yes",""))</f>
        <v/>
      </c>
      <c r="H145" s="65" t="str">
        <f aca="false">IF($G145="Yes",$A145+ROW()/100000,"")</f>
        <v/>
      </c>
      <c r="I145" s="65" t="str">
        <f aca="false">IF(AND($D145&lt;&gt;"",$D145=UCSel),$A145+ROW()/100000,"")</f>
        <v/>
      </c>
    </row>
    <row r="146" customFormat="false" ht="15" hidden="false" customHeight="false" outlineLevel="0" collapsed="false">
      <c r="A146" s="63"/>
      <c r="B146" s="28"/>
      <c r="C146" s="28"/>
      <c r="D146" s="28"/>
      <c r="E146" s="64"/>
      <c r="F146" s="67" t="str">
        <f aca="false">IF($A146="","",$A146-WEEKDAY($A146,3))</f>
        <v/>
      </c>
      <c r="G146" s="65" t="str">
        <f aca="false">IF($A146="","",IF($F146=WeekStart,"Yes",""))</f>
        <v/>
      </c>
      <c r="H146" s="65" t="str">
        <f aca="false">IF($G146="Yes",$A146+ROW()/100000,"")</f>
        <v/>
      </c>
      <c r="I146" s="65" t="str">
        <f aca="false">IF(AND($D146&lt;&gt;"",$D146=UCSel),$A146+ROW()/100000,"")</f>
        <v/>
      </c>
    </row>
    <row r="147" customFormat="false" ht="15" hidden="false" customHeight="false" outlineLevel="0" collapsed="false">
      <c r="A147" s="63"/>
      <c r="B147" s="28"/>
      <c r="C147" s="28"/>
      <c r="D147" s="28"/>
      <c r="E147" s="64"/>
      <c r="F147" s="67" t="str">
        <f aca="false">IF($A147="","",$A147-WEEKDAY($A147,3))</f>
        <v/>
      </c>
      <c r="G147" s="65" t="str">
        <f aca="false">IF($A147="","",IF($F147=WeekStart,"Yes",""))</f>
        <v/>
      </c>
      <c r="H147" s="65" t="str">
        <f aca="false">IF($G147="Yes",$A147+ROW()/100000,"")</f>
        <v/>
      </c>
      <c r="I147" s="65" t="str">
        <f aca="false">IF(AND($D147&lt;&gt;"",$D147=UCSel),$A147+ROW()/100000,"")</f>
        <v/>
      </c>
    </row>
    <row r="148" customFormat="false" ht="15" hidden="false" customHeight="false" outlineLevel="0" collapsed="false">
      <c r="A148" s="63"/>
      <c r="B148" s="28"/>
      <c r="C148" s="28"/>
      <c r="D148" s="28"/>
      <c r="E148" s="64"/>
      <c r="F148" s="67" t="str">
        <f aca="false">IF($A148="","",$A148-WEEKDAY($A148,3))</f>
        <v/>
      </c>
      <c r="G148" s="65" t="str">
        <f aca="false">IF($A148="","",IF($F148=WeekStart,"Yes",""))</f>
        <v/>
      </c>
      <c r="H148" s="65" t="str">
        <f aca="false">IF($G148="Yes",$A148+ROW()/100000,"")</f>
        <v/>
      </c>
      <c r="I148" s="65" t="str">
        <f aca="false">IF(AND($D148&lt;&gt;"",$D148=UCSel),$A148+ROW()/100000,"")</f>
        <v/>
      </c>
    </row>
    <row r="149" customFormat="false" ht="15" hidden="false" customHeight="false" outlineLevel="0" collapsed="false">
      <c r="A149" s="63"/>
      <c r="B149" s="28"/>
      <c r="C149" s="28"/>
      <c r="D149" s="28"/>
      <c r="E149" s="64"/>
      <c r="F149" s="67" t="str">
        <f aca="false">IF($A149="","",$A149-WEEKDAY($A149,3))</f>
        <v/>
      </c>
      <c r="G149" s="65" t="str">
        <f aca="false">IF($A149="","",IF($F149=WeekStart,"Yes",""))</f>
        <v/>
      </c>
      <c r="H149" s="65" t="str">
        <f aca="false">IF($G149="Yes",$A149+ROW()/100000,"")</f>
        <v/>
      </c>
      <c r="I149" s="65" t="str">
        <f aca="false">IF(AND($D149&lt;&gt;"",$D149=UCSel),$A149+ROW()/100000,"")</f>
        <v/>
      </c>
    </row>
    <row r="150" customFormat="false" ht="15" hidden="false" customHeight="false" outlineLevel="0" collapsed="false">
      <c r="A150" s="63"/>
      <c r="B150" s="28"/>
      <c r="C150" s="28"/>
      <c r="D150" s="28"/>
      <c r="E150" s="64"/>
      <c r="F150" s="67" t="str">
        <f aca="false">IF($A150="","",$A150-WEEKDAY($A150,3))</f>
        <v/>
      </c>
      <c r="G150" s="65" t="str">
        <f aca="false">IF($A150="","",IF($F150=WeekStart,"Yes",""))</f>
        <v/>
      </c>
      <c r="H150" s="65" t="str">
        <f aca="false">IF($G150="Yes",$A150+ROW()/100000,"")</f>
        <v/>
      </c>
      <c r="I150" s="65" t="str">
        <f aca="false">IF(AND($D150&lt;&gt;"",$D150=UCSel),$A150+ROW()/100000,"")</f>
        <v/>
      </c>
    </row>
    <row r="151" customFormat="false" ht="15" hidden="false" customHeight="false" outlineLevel="0" collapsed="false">
      <c r="A151" s="63"/>
      <c r="B151" s="28"/>
      <c r="C151" s="28"/>
      <c r="D151" s="28"/>
      <c r="E151" s="64"/>
      <c r="F151" s="67" t="str">
        <f aca="false">IF($A151="","",$A151-WEEKDAY($A151,3))</f>
        <v/>
      </c>
      <c r="G151" s="65" t="str">
        <f aca="false">IF($A151="","",IF($F151=WeekStart,"Yes",""))</f>
        <v/>
      </c>
      <c r="H151" s="65" t="str">
        <f aca="false">IF($G151="Yes",$A151+ROW()/100000,"")</f>
        <v/>
      </c>
      <c r="I151" s="65" t="str">
        <f aca="false">IF(AND($D151&lt;&gt;"",$D151=UCSel),$A151+ROW()/100000,"")</f>
        <v/>
      </c>
    </row>
    <row r="152" customFormat="false" ht="15" hidden="false" customHeight="false" outlineLevel="0" collapsed="false">
      <c r="A152" s="63"/>
      <c r="B152" s="28"/>
      <c r="C152" s="28"/>
      <c r="D152" s="28"/>
      <c r="E152" s="64"/>
      <c r="F152" s="67" t="str">
        <f aca="false">IF($A152="","",$A152-WEEKDAY($A152,3))</f>
        <v/>
      </c>
      <c r="G152" s="65" t="str">
        <f aca="false">IF($A152="","",IF($F152=WeekStart,"Yes",""))</f>
        <v/>
      </c>
      <c r="H152" s="65" t="str">
        <f aca="false">IF($G152="Yes",$A152+ROW()/100000,"")</f>
        <v/>
      </c>
      <c r="I152" s="65" t="str">
        <f aca="false">IF(AND($D152&lt;&gt;"",$D152=UCSel),$A152+ROW()/100000,"")</f>
        <v/>
      </c>
    </row>
    <row r="153" customFormat="false" ht="15" hidden="false" customHeight="false" outlineLevel="0" collapsed="false">
      <c r="A153" s="63"/>
      <c r="B153" s="28"/>
      <c r="C153" s="28"/>
      <c r="D153" s="28"/>
      <c r="E153" s="64"/>
      <c r="F153" s="67" t="str">
        <f aca="false">IF($A153="","",$A153-WEEKDAY($A153,3))</f>
        <v/>
      </c>
      <c r="G153" s="65" t="str">
        <f aca="false">IF($A153="","",IF($F153=WeekStart,"Yes",""))</f>
        <v/>
      </c>
      <c r="H153" s="65" t="str">
        <f aca="false">IF($G153="Yes",$A153+ROW()/100000,"")</f>
        <v/>
      </c>
      <c r="I153" s="65" t="str">
        <f aca="false">IF(AND($D153&lt;&gt;"",$D153=UCSel),$A153+ROW()/100000,"")</f>
        <v/>
      </c>
    </row>
    <row r="154" customFormat="false" ht="15" hidden="false" customHeight="false" outlineLevel="0" collapsed="false">
      <c r="A154" s="63"/>
      <c r="B154" s="28"/>
      <c r="C154" s="28"/>
      <c r="D154" s="28"/>
      <c r="E154" s="64"/>
      <c r="F154" s="67" t="str">
        <f aca="false">IF($A154="","",$A154-WEEKDAY($A154,3))</f>
        <v/>
      </c>
      <c r="G154" s="65" t="str">
        <f aca="false">IF($A154="","",IF($F154=WeekStart,"Yes",""))</f>
        <v/>
      </c>
      <c r="H154" s="65" t="str">
        <f aca="false">IF($G154="Yes",$A154+ROW()/100000,"")</f>
        <v/>
      </c>
      <c r="I154" s="65" t="str">
        <f aca="false">IF(AND($D154&lt;&gt;"",$D154=UCSel),$A154+ROW()/100000,"")</f>
        <v/>
      </c>
    </row>
    <row r="155" customFormat="false" ht="15" hidden="false" customHeight="false" outlineLevel="0" collapsed="false">
      <c r="A155" s="63"/>
      <c r="B155" s="28"/>
      <c r="C155" s="28"/>
      <c r="D155" s="28"/>
      <c r="E155" s="64"/>
      <c r="F155" s="67" t="str">
        <f aca="false">IF($A155="","",$A155-WEEKDAY($A155,3))</f>
        <v/>
      </c>
      <c r="G155" s="65" t="str">
        <f aca="false">IF($A155="","",IF($F155=WeekStart,"Yes",""))</f>
        <v/>
      </c>
      <c r="H155" s="65" t="str">
        <f aca="false">IF($G155="Yes",$A155+ROW()/100000,"")</f>
        <v/>
      </c>
      <c r="I155" s="65" t="str">
        <f aca="false">IF(AND($D155&lt;&gt;"",$D155=UCSel),$A155+ROW()/100000,"")</f>
        <v/>
      </c>
    </row>
    <row r="156" customFormat="false" ht="15" hidden="false" customHeight="false" outlineLevel="0" collapsed="false">
      <c r="A156" s="63"/>
      <c r="B156" s="28"/>
      <c r="C156" s="28"/>
      <c r="D156" s="28"/>
      <c r="E156" s="64"/>
      <c r="F156" s="67" t="str">
        <f aca="false">IF($A156="","",$A156-WEEKDAY($A156,3))</f>
        <v/>
      </c>
      <c r="G156" s="65" t="str">
        <f aca="false">IF($A156="","",IF($F156=WeekStart,"Yes",""))</f>
        <v/>
      </c>
      <c r="H156" s="65" t="str">
        <f aca="false">IF($G156="Yes",$A156+ROW()/100000,"")</f>
        <v/>
      </c>
      <c r="I156" s="65" t="str">
        <f aca="false">IF(AND($D156&lt;&gt;"",$D156=UCSel),$A156+ROW()/100000,"")</f>
        <v/>
      </c>
    </row>
    <row r="157" customFormat="false" ht="15" hidden="false" customHeight="false" outlineLevel="0" collapsed="false">
      <c r="A157" s="63"/>
      <c r="B157" s="28"/>
      <c r="C157" s="28"/>
      <c r="D157" s="28"/>
      <c r="E157" s="64"/>
      <c r="F157" s="67" t="str">
        <f aca="false">IF($A157="","",$A157-WEEKDAY($A157,3))</f>
        <v/>
      </c>
      <c r="G157" s="65" t="str">
        <f aca="false">IF($A157="","",IF($F157=WeekStart,"Yes",""))</f>
        <v/>
      </c>
      <c r="H157" s="65" t="str">
        <f aca="false">IF($G157="Yes",$A157+ROW()/100000,"")</f>
        <v/>
      </c>
      <c r="I157" s="65" t="str">
        <f aca="false">IF(AND($D157&lt;&gt;"",$D157=UCSel),$A157+ROW()/100000,"")</f>
        <v/>
      </c>
    </row>
    <row r="158" customFormat="false" ht="15" hidden="false" customHeight="false" outlineLevel="0" collapsed="false">
      <c r="A158" s="63"/>
      <c r="B158" s="28"/>
      <c r="C158" s="28"/>
      <c r="D158" s="28"/>
      <c r="E158" s="64"/>
      <c r="F158" s="67" t="str">
        <f aca="false">IF($A158="","",$A158-WEEKDAY($A158,3))</f>
        <v/>
      </c>
      <c r="G158" s="65" t="str">
        <f aca="false">IF($A158="","",IF($F158=WeekStart,"Yes",""))</f>
        <v/>
      </c>
      <c r="H158" s="65" t="str">
        <f aca="false">IF($G158="Yes",$A158+ROW()/100000,"")</f>
        <v/>
      </c>
      <c r="I158" s="65" t="str">
        <f aca="false">IF(AND($D158&lt;&gt;"",$D158=UCSel),$A158+ROW()/100000,"")</f>
        <v/>
      </c>
    </row>
    <row r="159" customFormat="false" ht="15" hidden="false" customHeight="false" outlineLevel="0" collapsed="false">
      <c r="A159" s="63"/>
      <c r="B159" s="28"/>
      <c r="C159" s="28"/>
      <c r="D159" s="28"/>
      <c r="E159" s="64"/>
      <c r="F159" s="67" t="str">
        <f aca="false">IF($A159="","",$A159-WEEKDAY($A159,3))</f>
        <v/>
      </c>
      <c r="G159" s="65" t="str">
        <f aca="false">IF($A159="","",IF($F159=WeekStart,"Yes",""))</f>
        <v/>
      </c>
      <c r="H159" s="65" t="str">
        <f aca="false">IF($G159="Yes",$A159+ROW()/100000,"")</f>
        <v/>
      </c>
      <c r="I159" s="65" t="str">
        <f aca="false">IF(AND($D159&lt;&gt;"",$D159=UCSel),$A159+ROW()/100000,"")</f>
        <v/>
      </c>
    </row>
    <row r="160" customFormat="false" ht="15" hidden="false" customHeight="false" outlineLevel="0" collapsed="false">
      <c r="A160" s="63"/>
      <c r="B160" s="28"/>
      <c r="C160" s="28"/>
      <c r="D160" s="28"/>
      <c r="E160" s="64"/>
      <c r="F160" s="67" t="str">
        <f aca="false">IF($A160="","",$A160-WEEKDAY($A160,3))</f>
        <v/>
      </c>
      <c r="G160" s="65" t="str">
        <f aca="false">IF($A160="","",IF($F160=WeekStart,"Yes",""))</f>
        <v/>
      </c>
      <c r="H160" s="65" t="str">
        <f aca="false">IF($G160="Yes",$A160+ROW()/100000,"")</f>
        <v/>
      </c>
      <c r="I160" s="65" t="str">
        <f aca="false">IF(AND($D160&lt;&gt;"",$D160=UCSel),$A160+ROW()/100000,"")</f>
        <v/>
      </c>
    </row>
    <row r="161" customFormat="false" ht="15" hidden="false" customHeight="false" outlineLevel="0" collapsed="false">
      <c r="A161" s="63"/>
      <c r="B161" s="28"/>
      <c r="C161" s="28"/>
      <c r="D161" s="28"/>
      <c r="E161" s="64"/>
      <c r="F161" s="67" t="str">
        <f aca="false">IF($A161="","",$A161-WEEKDAY($A161,3))</f>
        <v/>
      </c>
      <c r="G161" s="65" t="str">
        <f aca="false">IF($A161="","",IF($F161=WeekStart,"Yes",""))</f>
        <v/>
      </c>
      <c r="H161" s="65" t="str">
        <f aca="false">IF($G161="Yes",$A161+ROW()/100000,"")</f>
        <v/>
      </c>
      <c r="I161" s="65" t="str">
        <f aca="false">IF(AND($D161&lt;&gt;"",$D161=UCSel),$A161+ROW()/100000,"")</f>
        <v/>
      </c>
    </row>
    <row r="162" customFormat="false" ht="15" hidden="false" customHeight="false" outlineLevel="0" collapsed="false">
      <c r="A162" s="63"/>
      <c r="B162" s="28"/>
      <c r="C162" s="28"/>
      <c r="D162" s="28"/>
      <c r="E162" s="64"/>
      <c r="F162" s="67" t="str">
        <f aca="false">IF($A162="","",$A162-WEEKDAY($A162,3))</f>
        <v/>
      </c>
      <c r="G162" s="65" t="str">
        <f aca="false">IF($A162="","",IF($F162=WeekStart,"Yes",""))</f>
        <v/>
      </c>
      <c r="H162" s="65" t="str">
        <f aca="false">IF($G162="Yes",$A162+ROW()/100000,"")</f>
        <v/>
      </c>
      <c r="I162" s="65" t="str">
        <f aca="false">IF(AND($D162&lt;&gt;"",$D162=UCSel),$A162+ROW()/100000,"")</f>
        <v/>
      </c>
    </row>
    <row r="163" customFormat="false" ht="15" hidden="false" customHeight="false" outlineLevel="0" collapsed="false">
      <c r="A163" s="63"/>
      <c r="B163" s="28"/>
      <c r="C163" s="28"/>
      <c r="D163" s="28"/>
      <c r="E163" s="64"/>
      <c r="F163" s="67" t="str">
        <f aca="false">IF($A163="","",$A163-WEEKDAY($A163,3))</f>
        <v/>
      </c>
      <c r="G163" s="65" t="str">
        <f aca="false">IF($A163="","",IF($F163=WeekStart,"Yes",""))</f>
        <v/>
      </c>
      <c r="H163" s="65" t="str">
        <f aca="false">IF($G163="Yes",$A163+ROW()/100000,"")</f>
        <v/>
      </c>
      <c r="I163" s="65" t="str">
        <f aca="false">IF(AND($D163&lt;&gt;"",$D163=UCSel),$A163+ROW()/100000,"")</f>
        <v/>
      </c>
    </row>
    <row r="164" customFormat="false" ht="15" hidden="false" customHeight="false" outlineLevel="0" collapsed="false">
      <c r="A164" s="63"/>
      <c r="B164" s="28"/>
      <c r="C164" s="28"/>
      <c r="D164" s="28"/>
      <c r="E164" s="64"/>
      <c r="F164" s="67" t="str">
        <f aca="false">IF($A164="","",$A164-WEEKDAY($A164,3))</f>
        <v/>
      </c>
      <c r="G164" s="65" t="str">
        <f aca="false">IF($A164="","",IF($F164=WeekStart,"Yes",""))</f>
        <v/>
      </c>
      <c r="H164" s="65" t="str">
        <f aca="false">IF($G164="Yes",$A164+ROW()/100000,"")</f>
        <v/>
      </c>
      <c r="I164" s="65" t="str">
        <f aca="false">IF(AND($D164&lt;&gt;"",$D164=UCSel),$A164+ROW()/100000,"")</f>
        <v/>
      </c>
    </row>
    <row r="165" customFormat="false" ht="15" hidden="false" customHeight="false" outlineLevel="0" collapsed="false">
      <c r="A165" s="63"/>
      <c r="B165" s="28"/>
      <c r="C165" s="28"/>
      <c r="D165" s="28"/>
      <c r="E165" s="64"/>
      <c r="F165" s="67" t="str">
        <f aca="false">IF($A165="","",$A165-WEEKDAY($A165,3))</f>
        <v/>
      </c>
      <c r="G165" s="65" t="str">
        <f aca="false">IF($A165="","",IF($F165=WeekStart,"Yes",""))</f>
        <v/>
      </c>
      <c r="H165" s="65" t="str">
        <f aca="false">IF($G165="Yes",$A165+ROW()/100000,"")</f>
        <v/>
      </c>
      <c r="I165" s="65" t="str">
        <f aca="false">IF(AND($D165&lt;&gt;"",$D165=UCSel),$A165+ROW()/100000,"")</f>
        <v/>
      </c>
    </row>
    <row r="166" customFormat="false" ht="15" hidden="false" customHeight="false" outlineLevel="0" collapsed="false">
      <c r="A166" s="63"/>
      <c r="B166" s="28"/>
      <c r="C166" s="28"/>
      <c r="D166" s="28"/>
      <c r="E166" s="64"/>
      <c r="F166" s="67" t="str">
        <f aca="false">IF($A166="","",$A166-WEEKDAY($A166,3))</f>
        <v/>
      </c>
      <c r="G166" s="65" t="str">
        <f aca="false">IF($A166="","",IF($F166=WeekStart,"Yes",""))</f>
        <v/>
      </c>
      <c r="H166" s="65" t="str">
        <f aca="false">IF($G166="Yes",$A166+ROW()/100000,"")</f>
        <v/>
      </c>
      <c r="I166" s="65" t="str">
        <f aca="false">IF(AND($D166&lt;&gt;"",$D166=UCSel),$A166+ROW()/100000,"")</f>
        <v/>
      </c>
    </row>
    <row r="167" customFormat="false" ht="15" hidden="false" customHeight="false" outlineLevel="0" collapsed="false">
      <c r="A167" s="63"/>
      <c r="B167" s="28"/>
      <c r="C167" s="28"/>
      <c r="D167" s="28"/>
      <c r="E167" s="64"/>
      <c r="F167" s="67" t="str">
        <f aca="false">IF($A167="","",$A167-WEEKDAY($A167,3))</f>
        <v/>
      </c>
      <c r="G167" s="65" t="str">
        <f aca="false">IF($A167="","",IF($F167=WeekStart,"Yes",""))</f>
        <v/>
      </c>
      <c r="H167" s="65" t="str">
        <f aca="false">IF($G167="Yes",$A167+ROW()/100000,"")</f>
        <v/>
      </c>
      <c r="I167" s="65" t="str">
        <f aca="false">IF(AND($D167&lt;&gt;"",$D167=UCSel),$A167+ROW()/100000,"")</f>
        <v/>
      </c>
    </row>
    <row r="168" customFormat="false" ht="15" hidden="false" customHeight="false" outlineLevel="0" collapsed="false">
      <c r="A168" s="63"/>
      <c r="B168" s="28"/>
      <c r="C168" s="28"/>
      <c r="D168" s="28"/>
      <c r="E168" s="64"/>
      <c r="F168" s="67" t="str">
        <f aca="false">IF($A168="","",$A168-WEEKDAY($A168,3))</f>
        <v/>
      </c>
      <c r="G168" s="65" t="str">
        <f aca="false">IF($A168="","",IF($F168=WeekStart,"Yes",""))</f>
        <v/>
      </c>
      <c r="H168" s="65" t="str">
        <f aca="false">IF($G168="Yes",$A168+ROW()/100000,"")</f>
        <v/>
      </c>
      <c r="I168" s="65" t="str">
        <f aca="false">IF(AND($D168&lt;&gt;"",$D168=UCSel),$A168+ROW()/100000,"")</f>
        <v/>
      </c>
    </row>
    <row r="169" customFormat="false" ht="15" hidden="false" customHeight="false" outlineLevel="0" collapsed="false">
      <c r="A169" s="63"/>
      <c r="B169" s="28"/>
      <c r="C169" s="28"/>
      <c r="D169" s="28"/>
      <c r="E169" s="64"/>
      <c r="F169" s="67" t="str">
        <f aca="false">IF($A169="","",$A169-WEEKDAY($A169,3))</f>
        <v/>
      </c>
      <c r="G169" s="65" t="str">
        <f aca="false">IF($A169="","",IF($F169=WeekStart,"Yes",""))</f>
        <v/>
      </c>
      <c r="H169" s="65" t="str">
        <f aca="false">IF($G169="Yes",$A169+ROW()/100000,"")</f>
        <v/>
      </c>
      <c r="I169" s="65" t="str">
        <f aca="false">IF(AND($D169&lt;&gt;"",$D169=UCSel),$A169+ROW()/100000,"")</f>
        <v/>
      </c>
    </row>
    <row r="170" customFormat="false" ht="15" hidden="false" customHeight="false" outlineLevel="0" collapsed="false">
      <c r="A170" s="63"/>
      <c r="B170" s="28"/>
      <c r="C170" s="28"/>
      <c r="D170" s="28"/>
      <c r="E170" s="64"/>
      <c r="F170" s="67" t="str">
        <f aca="false">IF($A170="","",$A170-WEEKDAY($A170,3))</f>
        <v/>
      </c>
      <c r="G170" s="65" t="str">
        <f aca="false">IF($A170="","",IF($F170=WeekStart,"Yes",""))</f>
        <v/>
      </c>
      <c r="H170" s="65" t="str">
        <f aca="false">IF($G170="Yes",$A170+ROW()/100000,"")</f>
        <v/>
      </c>
      <c r="I170" s="65" t="str">
        <f aca="false">IF(AND($D170&lt;&gt;"",$D170=UCSel),$A170+ROW()/100000,"")</f>
        <v/>
      </c>
    </row>
    <row r="171" customFormat="false" ht="15" hidden="false" customHeight="false" outlineLevel="0" collapsed="false">
      <c r="A171" s="63"/>
      <c r="B171" s="28"/>
      <c r="C171" s="28"/>
      <c r="D171" s="28"/>
      <c r="E171" s="64"/>
      <c r="F171" s="67" t="str">
        <f aca="false">IF($A171="","",$A171-WEEKDAY($A171,3))</f>
        <v/>
      </c>
      <c r="G171" s="65" t="str">
        <f aca="false">IF($A171="","",IF($F171=WeekStart,"Yes",""))</f>
        <v/>
      </c>
      <c r="H171" s="65" t="str">
        <f aca="false">IF($G171="Yes",$A171+ROW()/100000,"")</f>
        <v/>
      </c>
      <c r="I171" s="65" t="str">
        <f aca="false">IF(AND($D171&lt;&gt;"",$D171=UCSel),$A171+ROW()/100000,"")</f>
        <v/>
      </c>
    </row>
    <row r="172" customFormat="false" ht="15" hidden="false" customHeight="false" outlineLevel="0" collapsed="false">
      <c r="A172" s="63"/>
      <c r="B172" s="28"/>
      <c r="C172" s="28"/>
      <c r="D172" s="28"/>
      <c r="E172" s="64"/>
      <c r="F172" s="67" t="str">
        <f aca="false">IF($A172="","",$A172-WEEKDAY($A172,3))</f>
        <v/>
      </c>
      <c r="G172" s="65" t="str">
        <f aca="false">IF($A172="","",IF($F172=WeekStart,"Yes",""))</f>
        <v/>
      </c>
      <c r="H172" s="65" t="str">
        <f aca="false">IF($G172="Yes",$A172+ROW()/100000,"")</f>
        <v/>
      </c>
      <c r="I172" s="65" t="str">
        <f aca="false">IF(AND($D172&lt;&gt;"",$D172=UCSel),$A172+ROW()/100000,"")</f>
        <v/>
      </c>
    </row>
    <row r="173" customFormat="false" ht="15" hidden="false" customHeight="false" outlineLevel="0" collapsed="false">
      <c r="A173" s="63"/>
      <c r="B173" s="28"/>
      <c r="C173" s="28"/>
      <c r="D173" s="28"/>
      <c r="E173" s="64"/>
      <c r="F173" s="67" t="str">
        <f aca="false">IF($A173="","",$A173-WEEKDAY($A173,3))</f>
        <v/>
      </c>
      <c r="G173" s="65" t="str">
        <f aca="false">IF($A173="","",IF($F173=WeekStart,"Yes",""))</f>
        <v/>
      </c>
      <c r="H173" s="65" t="str">
        <f aca="false">IF($G173="Yes",$A173+ROW()/100000,"")</f>
        <v/>
      </c>
      <c r="I173" s="65" t="str">
        <f aca="false">IF(AND($D173&lt;&gt;"",$D173=UCSel),$A173+ROW()/100000,"")</f>
        <v/>
      </c>
    </row>
    <row r="174" customFormat="false" ht="15" hidden="false" customHeight="false" outlineLevel="0" collapsed="false">
      <c r="A174" s="63"/>
      <c r="B174" s="28"/>
      <c r="C174" s="28"/>
      <c r="D174" s="28"/>
      <c r="E174" s="64"/>
      <c r="F174" s="67" t="str">
        <f aca="false">IF($A174="","",$A174-WEEKDAY($A174,3))</f>
        <v/>
      </c>
      <c r="G174" s="65" t="str">
        <f aca="false">IF($A174="","",IF($F174=WeekStart,"Yes",""))</f>
        <v/>
      </c>
      <c r="H174" s="65" t="str">
        <f aca="false">IF($G174="Yes",$A174+ROW()/100000,"")</f>
        <v/>
      </c>
      <c r="I174" s="65" t="str">
        <f aca="false">IF(AND($D174&lt;&gt;"",$D174=UCSel),$A174+ROW()/100000,"")</f>
        <v/>
      </c>
    </row>
    <row r="175" customFormat="false" ht="15" hidden="false" customHeight="false" outlineLevel="0" collapsed="false">
      <c r="A175" s="63"/>
      <c r="B175" s="28"/>
      <c r="C175" s="28"/>
      <c r="D175" s="28"/>
      <c r="E175" s="64"/>
      <c r="F175" s="67" t="str">
        <f aca="false">IF($A175="","",$A175-WEEKDAY($A175,3))</f>
        <v/>
      </c>
      <c r="G175" s="65" t="str">
        <f aca="false">IF($A175="","",IF($F175=WeekStart,"Yes",""))</f>
        <v/>
      </c>
      <c r="H175" s="65" t="str">
        <f aca="false">IF($G175="Yes",$A175+ROW()/100000,"")</f>
        <v/>
      </c>
      <c r="I175" s="65" t="str">
        <f aca="false">IF(AND($D175&lt;&gt;"",$D175=UCSel),$A175+ROW()/100000,"")</f>
        <v/>
      </c>
    </row>
    <row r="176" customFormat="false" ht="15" hidden="false" customHeight="false" outlineLevel="0" collapsed="false">
      <c r="A176" s="63"/>
      <c r="B176" s="28"/>
      <c r="C176" s="28"/>
      <c r="D176" s="28"/>
      <c r="E176" s="64"/>
      <c r="F176" s="67" t="str">
        <f aca="false">IF($A176="","",$A176-WEEKDAY($A176,3))</f>
        <v/>
      </c>
      <c r="G176" s="65" t="str">
        <f aca="false">IF($A176="","",IF($F176=WeekStart,"Yes",""))</f>
        <v/>
      </c>
      <c r="H176" s="65" t="str">
        <f aca="false">IF($G176="Yes",$A176+ROW()/100000,"")</f>
        <v/>
      </c>
      <c r="I176" s="65" t="str">
        <f aca="false">IF(AND($D176&lt;&gt;"",$D176=UCSel),$A176+ROW()/100000,"")</f>
        <v/>
      </c>
    </row>
    <row r="177" customFormat="false" ht="15" hidden="false" customHeight="false" outlineLevel="0" collapsed="false">
      <c r="A177" s="63"/>
      <c r="B177" s="28"/>
      <c r="C177" s="28"/>
      <c r="D177" s="28"/>
      <c r="E177" s="64"/>
      <c r="F177" s="67" t="str">
        <f aca="false">IF($A177="","",$A177-WEEKDAY($A177,3))</f>
        <v/>
      </c>
      <c r="G177" s="65" t="str">
        <f aca="false">IF($A177="","",IF($F177=WeekStart,"Yes",""))</f>
        <v/>
      </c>
      <c r="H177" s="65" t="str">
        <f aca="false">IF($G177="Yes",$A177+ROW()/100000,"")</f>
        <v/>
      </c>
      <c r="I177" s="65" t="str">
        <f aca="false">IF(AND($D177&lt;&gt;"",$D177=UCSel),$A177+ROW()/100000,"")</f>
        <v/>
      </c>
    </row>
    <row r="178" customFormat="false" ht="15" hidden="false" customHeight="false" outlineLevel="0" collapsed="false">
      <c r="A178" s="63"/>
      <c r="B178" s="28"/>
      <c r="C178" s="28"/>
      <c r="D178" s="28"/>
      <c r="E178" s="64"/>
      <c r="F178" s="67" t="str">
        <f aca="false">IF($A178="","",$A178-WEEKDAY($A178,3))</f>
        <v/>
      </c>
      <c r="G178" s="65" t="str">
        <f aca="false">IF($A178="","",IF($F178=WeekStart,"Yes",""))</f>
        <v/>
      </c>
      <c r="H178" s="65" t="str">
        <f aca="false">IF($G178="Yes",$A178+ROW()/100000,"")</f>
        <v/>
      </c>
      <c r="I178" s="65" t="str">
        <f aca="false">IF(AND($D178&lt;&gt;"",$D178=UCSel),$A178+ROW()/100000,"")</f>
        <v/>
      </c>
    </row>
    <row r="179" customFormat="false" ht="15" hidden="false" customHeight="false" outlineLevel="0" collapsed="false">
      <c r="A179" s="63"/>
      <c r="B179" s="28"/>
      <c r="C179" s="28"/>
      <c r="D179" s="28"/>
      <c r="E179" s="64"/>
      <c r="F179" s="67" t="str">
        <f aca="false">IF($A179="","",$A179-WEEKDAY($A179,3))</f>
        <v/>
      </c>
      <c r="G179" s="65" t="str">
        <f aca="false">IF($A179="","",IF($F179=WeekStart,"Yes",""))</f>
        <v/>
      </c>
      <c r="H179" s="65" t="str">
        <f aca="false">IF($G179="Yes",$A179+ROW()/100000,"")</f>
        <v/>
      </c>
      <c r="I179" s="65" t="str">
        <f aca="false">IF(AND($D179&lt;&gt;"",$D179=UCSel),$A179+ROW()/100000,"")</f>
        <v/>
      </c>
    </row>
    <row r="180" customFormat="false" ht="15" hidden="false" customHeight="false" outlineLevel="0" collapsed="false">
      <c r="A180" s="63"/>
      <c r="B180" s="28"/>
      <c r="C180" s="28"/>
      <c r="D180" s="28"/>
      <c r="E180" s="64"/>
      <c r="F180" s="67" t="str">
        <f aca="false">IF($A180="","",$A180-WEEKDAY($A180,3))</f>
        <v/>
      </c>
      <c r="G180" s="65" t="str">
        <f aca="false">IF($A180="","",IF($F180=WeekStart,"Yes",""))</f>
        <v/>
      </c>
      <c r="H180" s="65" t="str">
        <f aca="false">IF($G180="Yes",$A180+ROW()/100000,"")</f>
        <v/>
      </c>
      <c r="I180" s="65" t="str">
        <f aca="false">IF(AND($D180&lt;&gt;"",$D180=UCSel),$A180+ROW()/100000,"")</f>
        <v/>
      </c>
    </row>
    <row r="181" customFormat="false" ht="15" hidden="false" customHeight="false" outlineLevel="0" collapsed="false">
      <c r="A181" s="63"/>
      <c r="B181" s="28"/>
      <c r="C181" s="28"/>
      <c r="D181" s="28"/>
      <c r="E181" s="64"/>
      <c r="F181" s="67" t="str">
        <f aca="false">IF($A181="","",$A181-WEEKDAY($A181,3))</f>
        <v/>
      </c>
      <c r="G181" s="65" t="str">
        <f aca="false">IF($A181="","",IF($F181=WeekStart,"Yes",""))</f>
        <v/>
      </c>
      <c r="H181" s="65" t="str">
        <f aca="false">IF($G181="Yes",$A181+ROW()/100000,"")</f>
        <v/>
      </c>
      <c r="I181" s="65" t="str">
        <f aca="false">IF(AND($D181&lt;&gt;"",$D181=UCSel),$A181+ROW()/100000,"")</f>
        <v/>
      </c>
    </row>
    <row r="182" customFormat="false" ht="15" hidden="false" customHeight="false" outlineLevel="0" collapsed="false">
      <c r="A182" s="63"/>
      <c r="B182" s="28"/>
      <c r="C182" s="28"/>
      <c r="D182" s="28"/>
      <c r="E182" s="64"/>
      <c r="F182" s="67" t="str">
        <f aca="false">IF($A182="","",$A182-WEEKDAY($A182,3))</f>
        <v/>
      </c>
      <c r="G182" s="65" t="str">
        <f aca="false">IF($A182="","",IF($F182=WeekStart,"Yes",""))</f>
        <v/>
      </c>
      <c r="H182" s="65" t="str">
        <f aca="false">IF($G182="Yes",$A182+ROW()/100000,"")</f>
        <v/>
      </c>
      <c r="I182" s="65" t="str">
        <f aca="false">IF(AND($D182&lt;&gt;"",$D182=UCSel),$A182+ROW()/100000,"")</f>
        <v/>
      </c>
    </row>
    <row r="183" customFormat="false" ht="15" hidden="false" customHeight="false" outlineLevel="0" collapsed="false">
      <c r="A183" s="63"/>
      <c r="B183" s="28"/>
      <c r="C183" s="28"/>
      <c r="D183" s="28"/>
      <c r="E183" s="64"/>
      <c r="F183" s="67" t="str">
        <f aca="false">IF($A183="","",$A183-WEEKDAY($A183,3))</f>
        <v/>
      </c>
      <c r="G183" s="65" t="str">
        <f aca="false">IF($A183="","",IF($F183=WeekStart,"Yes",""))</f>
        <v/>
      </c>
      <c r="H183" s="65" t="str">
        <f aca="false">IF($G183="Yes",$A183+ROW()/100000,"")</f>
        <v/>
      </c>
      <c r="I183" s="65" t="str">
        <f aca="false">IF(AND($D183&lt;&gt;"",$D183=UCSel),$A183+ROW()/100000,"")</f>
        <v/>
      </c>
    </row>
    <row r="184" customFormat="false" ht="15" hidden="false" customHeight="false" outlineLevel="0" collapsed="false">
      <c r="A184" s="63"/>
      <c r="B184" s="28"/>
      <c r="C184" s="28"/>
      <c r="D184" s="28"/>
      <c r="E184" s="64"/>
      <c r="F184" s="67" t="str">
        <f aca="false">IF($A184="","",$A184-WEEKDAY($A184,3))</f>
        <v/>
      </c>
      <c r="G184" s="65" t="str">
        <f aca="false">IF($A184="","",IF($F184=WeekStart,"Yes",""))</f>
        <v/>
      </c>
      <c r="H184" s="65" t="str">
        <f aca="false">IF($G184="Yes",$A184+ROW()/100000,"")</f>
        <v/>
      </c>
      <c r="I184" s="65" t="str">
        <f aca="false">IF(AND($D184&lt;&gt;"",$D184=UCSel),$A184+ROW()/100000,"")</f>
        <v/>
      </c>
    </row>
    <row r="185" customFormat="false" ht="15" hidden="false" customHeight="false" outlineLevel="0" collapsed="false">
      <c r="A185" s="63"/>
      <c r="B185" s="28"/>
      <c r="C185" s="28"/>
      <c r="D185" s="28"/>
      <c r="E185" s="64"/>
      <c r="F185" s="67" t="str">
        <f aca="false">IF($A185="","",$A185-WEEKDAY($A185,3))</f>
        <v/>
      </c>
      <c r="G185" s="65" t="str">
        <f aca="false">IF($A185="","",IF($F185=WeekStart,"Yes",""))</f>
        <v/>
      </c>
      <c r="H185" s="65" t="str">
        <f aca="false">IF($G185="Yes",$A185+ROW()/100000,"")</f>
        <v/>
      </c>
      <c r="I185" s="65" t="str">
        <f aca="false">IF(AND($D185&lt;&gt;"",$D185=UCSel),$A185+ROW()/100000,"")</f>
        <v/>
      </c>
    </row>
    <row r="186" customFormat="false" ht="15" hidden="false" customHeight="false" outlineLevel="0" collapsed="false">
      <c r="A186" s="63"/>
      <c r="B186" s="28"/>
      <c r="C186" s="28"/>
      <c r="D186" s="28"/>
      <c r="E186" s="64"/>
      <c r="F186" s="67" t="str">
        <f aca="false">IF($A186="","",$A186-WEEKDAY($A186,3))</f>
        <v/>
      </c>
      <c r="G186" s="65" t="str">
        <f aca="false">IF($A186="","",IF($F186=WeekStart,"Yes",""))</f>
        <v/>
      </c>
      <c r="H186" s="65" t="str">
        <f aca="false">IF($G186="Yes",$A186+ROW()/100000,"")</f>
        <v/>
      </c>
      <c r="I186" s="65" t="str">
        <f aca="false">IF(AND($D186&lt;&gt;"",$D186=UCSel),$A186+ROW()/100000,"")</f>
        <v/>
      </c>
    </row>
    <row r="187" customFormat="false" ht="15" hidden="false" customHeight="false" outlineLevel="0" collapsed="false">
      <c r="A187" s="63"/>
      <c r="B187" s="28"/>
      <c r="C187" s="28"/>
      <c r="D187" s="28"/>
      <c r="E187" s="64"/>
      <c r="F187" s="67" t="str">
        <f aca="false">IF($A187="","",$A187-WEEKDAY($A187,3))</f>
        <v/>
      </c>
      <c r="G187" s="65" t="str">
        <f aca="false">IF($A187="","",IF($F187=WeekStart,"Yes",""))</f>
        <v/>
      </c>
      <c r="H187" s="65" t="str">
        <f aca="false">IF($G187="Yes",$A187+ROW()/100000,"")</f>
        <v/>
      </c>
      <c r="I187" s="65" t="str">
        <f aca="false">IF(AND($D187&lt;&gt;"",$D187=UCSel),$A187+ROW()/100000,"")</f>
        <v/>
      </c>
    </row>
    <row r="188" customFormat="false" ht="15" hidden="false" customHeight="false" outlineLevel="0" collapsed="false">
      <c r="A188" s="63"/>
      <c r="B188" s="28"/>
      <c r="C188" s="28"/>
      <c r="D188" s="28"/>
      <c r="E188" s="64"/>
      <c r="F188" s="67" t="str">
        <f aca="false">IF($A188="","",$A188-WEEKDAY($A188,3))</f>
        <v/>
      </c>
      <c r="G188" s="65" t="str">
        <f aca="false">IF($A188="","",IF($F188=WeekStart,"Yes",""))</f>
        <v/>
      </c>
      <c r="H188" s="65" t="str">
        <f aca="false">IF($G188="Yes",$A188+ROW()/100000,"")</f>
        <v/>
      </c>
      <c r="I188" s="65" t="str">
        <f aca="false">IF(AND($D188&lt;&gt;"",$D188=UCSel),$A188+ROW()/100000,"")</f>
        <v/>
      </c>
    </row>
    <row r="189" customFormat="false" ht="15" hidden="false" customHeight="false" outlineLevel="0" collapsed="false">
      <c r="A189" s="63"/>
      <c r="B189" s="28"/>
      <c r="C189" s="28"/>
      <c r="D189" s="28"/>
      <c r="E189" s="64"/>
      <c r="F189" s="67" t="str">
        <f aca="false">IF($A189="","",$A189-WEEKDAY($A189,3))</f>
        <v/>
      </c>
      <c r="G189" s="65" t="str">
        <f aca="false">IF($A189="","",IF($F189=WeekStart,"Yes",""))</f>
        <v/>
      </c>
      <c r="H189" s="65" t="str">
        <f aca="false">IF($G189="Yes",$A189+ROW()/100000,"")</f>
        <v/>
      </c>
      <c r="I189" s="65" t="str">
        <f aca="false">IF(AND($D189&lt;&gt;"",$D189=UCSel),$A189+ROW()/100000,"")</f>
        <v/>
      </c>
    </row>
    <row r="190" customFormat="false" ht="15" hidden="false" customHeight="false" outlineLevel="0" collapsed="false">
      <c r="A190" s="63"/>
      <c r="B190" s="28"/>
      <c r="C190" s="28"/>
      <c r="D190" s="28"/>
      <c r="E190" s="64"/>
      <c r="F190" s="67" t="str">
        <f aca="false">IF($A190="","",$A190-WEEKDAY($A190,3))</f>
        <v/>
      </c>
      <c r="G190" s="65" t="str">
        <f aca="false">IF($A190="","",IF($F190=WeekStart,"Yes",""))</f>
        <v/>
      </c>
      <c r="H190" s="65" t="str">
        <f aca="false">IF($G190="Yes",$A190+ROW()/100000,"")</f>
        <v/>
      </c>
      <c r="I190" s="65" t="str">
        <f aca="false">IF(AND($D190&lt;&gt;"",$D190=UCSel),$A190+ROW()/100000,"")</f>
        <v/>
      </c>
    </row>
    <row r="191" customFormat="false" ht="15" hidden="false" customHeight="false" outlineLevel="0" collapsed="false">
      <c r="A191" s="63"/>
      <c r="B191" s="28"/>
      <c r="C191" s="28"/>
      <c r="D191" s="28"/>
      <c r="E191" s="64"/>
      <c r="F191" s="67" t="str">
        <f aca="false">IF($A191="","",$A191-WEEKDAY($A191,3))</f>
        <v/>
      </c>
      <c r="G191" s="65" t="str">
        <f aca="false">IF($A191="","",IF($F191=WeekStart,"Yes",""))</f>
        <v/>
      </c>
      <c r="H191" s="65" t="str">
        <f aca="false">IF($G191="Yes",$A191+ROW()/100000,"")</f>
        <v/>
      </c>
      <c r="I191" s="65" t="str">
        <f aca="false">IF(AND($D191&lt;&gt;"",$D191=UCSel),$A191+ROW()/100000,"")</f>
        <v/>
      </c>
    </row>
    <row r="192" customFormat="false" ht="15" hidden="false" customHeight="false" outlineLevel="0" collapsed="false">
      <c r="A192" s="63"/>
      <c r="B192" s="28"/>
      <c r="C192" s="28"/>
      <c r="D192" s="28"/>
      <c r="E192" s="64"/>
      <c r="F192" s="67" t="str">
        <f aca="false">IF($A192="","",$A192-WEEKDAY($A192,3))</f>
        <v/>
      </c>
      <c r="G192" s="65" t="str">
        <f aca="false">IF($A192="","",IF($F192=WeekStart,"Yes",""))</f>
        <v/>
      </c>
      <c r="H192" s="65" t="str">
        <f aca="false">IF($G192="Yes",$A192+ROW()/100000,"")</f>
        <v/>
      </c>
      <c r="I192" s="65" t="str">
        <f aca="false">IF(AND($D192&lt;&gt;"",$D192=UCSel),$A192+ROW()/100000,"")</f>
        <v/>
      </c>
    </row>
    <row r="193" customFormat="false" ht="15" hidden="false" customHeight="false" outlineLevel="0" collapsed="false">
      <c r="A193" s="63"/>
      <c r="B193" s="28"/>
      <c r="C193" s="28"/>
      <c r="D193" s="28"/>
      <c r="E193" s="64"/>
      <c r="F193" s="67" t="str">
        <f aca="false">IF($A193="","",$A193-WEEKDAY($A193,3))</f>
        <v/>
      </c>
      <c r="G193" s="65" t="str">
        <f aca="false">IF($A193="","",IF($F193=WeekStart,"Yes",""))</f>
        <v/>
      </c>
      <c r="H193" s="65" t="str">
        <f aca="false">IF($G193="Yes",$A193+ROW()/100000,"")</f>
        <v/>
      </c>
      <c r="I193" s="65" t="str">
        <f aca="false">IF(AND($D193&lt;&gt;"",$D193=UCSel),$A193+ROW()/100000,"")</f>
        <v/>
      </c>
    </row>
    <row r="194" customFormat="false" ht="15" hidden="false" customHeight="false" outlineLevel="0" collapsed="false">
      <c r="A194" s="63"/>
      <c r="B194" s="28"/>
      <c r="C194" s="28"/>
      <c r="D194" s="28"/>
      <c r="E194" s="64"/>
      <c r="F194" s="67" t="str">
        <f aca="false">IF($A194="","",$A194-WEEKDAY($A194,3))</f>
        <v/>
      </c>
      <c r="G194" s="65" t="str">
        <f aca="false">IF($A194="","",IF($F194=WeekStart,"Yes",""))</f>
        <v/>
      </c>
      <c r="H194" s="65" t="str">
        <f aca="false">IF($G194="Yes",$A194+ROW()/100000,"")</f>
        <v/>
      </c>
      <c r="I194" s="65" t="str">
        <f aca="false">IF(AND($D194&lt;&gt;"",$D194=UCSel),$A194+ROW()/100000,"")</f>
        <v/>
      </c>
    </row>
    <row r="195" customFormat="false" ht="15" hidden="false" customHeight="false" outlineLevel="0" collapsed="false">
      <c r="A195" s="63"/>
      <c r="B195" s="28"/>
      <c r="C195" s="28"/>
      <c r="D195" s="28"/>
      <c r="E195" s="64"/>
      <c r="F195" s="67" t="str">
        <f aca="false">IF($A195="","",$A195-WEEKDAY($A195,3))</f>
        <v/>
      </c>
      <c r="G195" s="65" t="str">
        <f aca="false">IF($A195="","",IF($F195=WeekStart,"Yes",""))</f>
        <v/>
      </c>
      <c r="H195" s="65" t="str">
        <f aca="false">IF($G195="Yes",$A195+ROW()/100000,"")</f>
        <v/>
      </c>
      <c r="I195" s="65" t="str">
        <f aca="false">IF(AND($D195&lt;&gt;"",$D195=UCSel),$A195+ROW()/100000,"")</f>
        <v/>
      </c>
    </row>
    <row r="196" customFormat="false" ht="15" hidden="false" customHeight="false" outlineLevel="0" collapsed="false">
      <c r="A196" s="63"/>
      <c r="B196" s="28"/>
      <c r="C196" s="28"/>
      <c r="D196" s="28"/>
      <c r="E196" s="64"/>
      <c r="F196" s="67" t="str">
        <f aca="false">IF($A196="","",$A196-WEEKDAY($A196,3))</f>
        <v/>
      </c>
      <c r="G196" s="65" t="str">
        <f aca="false">IF($A196="","",IF($F196=WeekStart,"Yes",""))</f>
        <v/>
      </c>
      <c r="H196" s="65" t="str">
        <f aca="false">IF($G196="Yes",$A196+ROW()/100000,"")</f>
        <v/>
      </c>
      <c r="I196" s="65" t="str">
        <f aca="false">IF(AND($D196&lt;&gt;"",$D196=UCSel),$A196+ROW()/100000,"")</f>
        <v/>
      </c>
    </row>
    <row r="197" customFormat="false" ht="15" hidden="false" customHeight="false" outlineLevel="0" collapsed="false">
      <c r="A197" s="63"/>
      <c r="B197" s="28"/>
      <c r="C197" s="28"/>
      <c r="D197" s="28"/>
      <c r="E197" s="64"/>
      <c r="F197" s="67" t="str">
        <f aca="false">IF($A197="","",$A197-WEEKDAY($A197,3))</f>
        <v/>
      </c>
      <c r="G197" s="65" t="str">
        <f aca="false">IF($A197="","",IF($F197=WeekStart,"Yes",""))</f>
        <v/>
      </c>
      <c r="H197" s="65" t="str">
        <f aca="false">IF($G197="Yes",$A197+ROW()/100000,"")</f>
        <v/>
      </c>
      <c r="I197" s="65" t="str">
        <f aca="false">IF(AND($D197&lt;&gt;"",$D197=UCSel),$A197+ROW()/100000,"")</f>
        <v/>
      </c>
    </row>
    <row r="198" customFormat="false" ht="15" hidden="false" customHeight="false" outlineLevel="0" collapsed="false">
      <c r="A198" s="63"/>
      <c r="B198" s="28"/>
      <c r="C198" s="28"/>
      <c r="D198" s="28"/>
      <c r="E198" s="64"/>
      <c r="F198" s="67" t="str">
        <f aca="false">IF($A198="","",$A198-WEEKDAY($A198,3))</f>
        <v/>
      </c>
      <c r="G198" s="65" t="str">
        <f aca="false">IF($A198="","",IF($F198=WeekStart,"Yes",""))</f>
        <v/>
      </c>
      <c r="H198" s="65" t="str">
        <f aca="false">IF($G198="Yes",$A198+ROW()/100000,"")</f>
        <v/>
      </c>
      <c r="I198" s="65" t="str">
        <f aca="false">IF(AND($D198&lt;&gt;"",$D198=UCSel),$A198+ROW()/100000,"")</f>
        <v/>
      </c>
    </row>
    <row r="199" customFormat="false" ht="15" hidden="false" customHeight="false" outlineLevel="0" collapsed="false">
      <c r="A199" s="63"/>
      <c r="B199" s="28"/>
      <c r="C199" s="28"/>
      <c r="D199" s="28"/>
      <c r="E199" s="64"/>
      <c r="F199" s="67" t="str">
        <f aca="false">IF($A199="","",$A199-WEEKDAY($A199,3))</f>
        <v/>
      </c>
      <c r="G199" s="65" t="str">
        <f aca="false">IF($A199="","",IF($F199=WeekStart,"Yes",""))</f>
        <v/>
      </c>
      <c r="H199" s="65" t="str">
        <f aca="false">IF($G199="Yes",$A199+ROW()/100000,"")</f>
        <v/>
      </c>
      <c r="I199" s="65" t="str">
        <f aca="false">IF(AND($D199&lt;&gt;"",$D199=UCSel),$A199+ROW()/100000,"")</f>
        <v/>
      </c>
    </row>
    <row r="200" customFormat="false" ht="15" hidden="false" customHeight="false" outlineLevel="0" collapsed="false">
      <c r="A200" s="63"/>
      <c r="B200" s="28"/>
      <c r="C200" s="28"/>
      <c r="D200" s="28"/>
      <c r="E200" s="64"/>
      <c r="F200" s="67" t="str">
        <f aca="false">IF($A200="","",$A200-WEEKDAY($A200,3))</f>
        <v/>
      </c>
      <c r="G200" s="65" t="str">
        <f aca="false">IF($A200="","",IF($F200=WeekStart,"Yes",""))</f>
        <v/>
      </c>
      <c r="H200" s="65" t="str">
        <f aca="false">IF($G200="Yes",$A200+ROW()/100000,"")</f>
        <v/>
      </c>
      <c r="I200" s="65" t="str">
        <f aca="false">IF(AND($D200&lt;&gt;"",$D200=UCSel),$A200+ROW()/100000,"")</f>
        <v/>
      </c>
    </row>
    <row r="201" customFormat="false" ht="15" hidden="false" customHeight="false" outlineLevel="0" collapsed="false">
      <c r="A201" s="63"/>
      <c r="B201" s="28"/>
      <c r="C201" s="28"/>
      <c r="D201" s="28"/>
      <c r="E201" s="64"/>
      <c r="F201" s="67" t="str">
        <f aca="false">IF($A201="","",$A201-WEEKDAY($A201,3))</f>
        <v/>
      </c>
      <c r="G201" s="65" t="str">
        <f aca="false">IF($A201="","",IF($F201=WeekStart,"Yes",""))</f>
        <v/>
      </c>
      <c r="H201" s="65" t="str">
        <f aca="false">IF($G201="Yes",$A201+ROW()/100000,"")</f>
        <v/>
      </c>
      <c r="I201" s="65" t="str">
        <f aca="false">IF(AND($D201&lt;&gt;"",$D201=UCSel),$A201+ROW()/100000,"")</f>
        <v/>
      </c>
    </row>
    <row r="202" customFormat="false" ht="15" hidden="false" customHeight="false" outlineLevel="0" collapsed="false">
      <c r="A202" s="63"/>
      <c r="B202" s="28"/>
      <c r="C202" s="28"/>
      <c r="D202" s="28"/>
      <c r="E202" s="64"/>
      <c r="F202" s="67" t="str">
        <f aca="false">IF($A202="","",$A202-WEEKDAY($A202,3))</f>
        <v/>
      </c>
      <c r="G202" s="65" t="str">
        <f aca="false">IF($A202="","",IF($F202=WeekStart,"Yes",""))</f>
        <v/>
      </c>
      <c r="H202" s="65" t="str">
        <f aca="false">IF($G202="Yes",$A202+ROW()/100000,"")</f>
        <v/>
      </c>
      <c r="I202" s="65" t="str">
        <f aca="false">IF(AND($D202&lt;&gt;"",$D202=UCSel),$A202+ROW()/100000,"")</f>
        <v/>
      </c>
    </row>
    <row r="203" customFormat="false" ht="15" hidden="false" customHeight="false" outlineLevel="0" collapsed="false">
      <c r="A203" s="63"/>
      <c r="B203" s="28"/>
      <c r="C203" s="28"/>
      <c r="D203" s="28"/>
      <c r="E203" s="64"/>
      <c r="F203" s="67" t="str">
        <f aca="false">IF($A203="","",$A203-WEEKDAY($A203,3))</f>
        <v/>
      </c>
      <c r="G203" s="65" t="str">
        <f aca="false">IF($A203="","",IF($F203=WeekStart,"Yes",""))</f>
        <v/>
      </c>
      <c r="H203" s="65" t="str">
        <f aca="false">IF($G203="Yes",$A203+ROW()/100000,"")</f>
        <v/>
      </c>
      <c r="I203" s="65" t="str">
        <f aca="false">IF(AND($D203&lt;&gt;"",$D203=UCSel),$A203+ROW()/100000,"")</f>
        <v/>
      </c>
    </row>
    <row r="204" customFormat="false" ht="15" hidden="false" customHeight="false" outlineLevel="0" collapsed="false">
      <c r="A204" s="63"/>
      <c r="B204" s="28"/>
      <c r="C204" s="28"/>
      <c r="D204" s="28"/>
      <c r="E204" s="64"/>
      <c r="F204" s="67" t="str">
        <f aca="false">IF($A204="","",$A204-WEEKDAY($A204,3))</f>
        <v/>
      </c>
      <c r="G204" s="65" t="str">
        <f aca="false">IF($A204="","",IF($F204=WeekStart,"Yes",""))</f>
        <v/>
      </c>
      <c r="H204" s="65" t="str">
        <f aca="false">IF($G204="Yes",$A204+ROW()/100000,"")</f>
        <v/>
      </c>
      <c r="I204" s="65" t="str">
        <f aca="false">IF(AND($D204&lt;&gt;"",$D204=UCSel),$A204+ROW()/100000,"")</f>
        <v/>
      </c>
    </row>
    <row r="205" customFormat="false" ht="15" hidden="false" customHeight="false" outlineLevel="0" collapsed="false">
      <c r="A205" s="63"/>
      <c r="B205" s="28"/>
      <c r="C205" s="28"/>
      <c r="D205" s="28"/>
      <c r="E205" s="64"/>
      <c r="F205" s="67" t="str">
        <f aca="false">IF($A205="","",$A205-WEEKDAY($A205,3))</f>
        <v/>
      </c>
      <c r="G205" s="65" t="str">
        <f aca="false">IF($A205="","",IF($F205=WeekStart,"Yes",""))</f>
        <v/>
      </c>
      <c r="H205" s="65" t="str">
        <f aca="false">IF($G205="Yes",$A205+ROW()/100000,"")</f>
        <v/>
      </c>
      <c r="I205" s="65" t="str">
        <f aca="false">IF(AND($D205&lt;&gt;"",$D205=UCSel),$A205+ROW()/100000,"")</f>
        <v/>
      </c>
    </row>
    <row r="206" customFormat="false" ht="15" hidden="false" customHeight="false" outlineLevel="0" collapsed="false">
      <c r="A206" s="63"/>
      <c r="B206" s="28"/>
      <c r="C206" s="28"/>
      <c r="D206" s="28"/>
      <c r="E206" s="64"/>
      <c r="F206" s="67" t="str">
        <f aca="false">IF($A206="","",$A206-WEEKDAY($A206,3))</f>
        <v/>
      </c>
      <c r="G206" s="65" t="str">
        <f aca="false">IF($A206="","",IF($F206=WeekStart,"Yes",""))</f>
        <v/>
      </c>
      <c r="H206" s="65" t="str">
        <f aca="false">IF($G206="Yes",$A206+ROW()/100000,"")</f>
        <v/>
      </c>
      <c r="I206" s="65" t="str">
        <f aca="false">IF(AND($D206&lt;&gt;"",$D206=UCSel),$A206+ROW()/100000,"")</f>
        <v/>
      </c>
    </row>
    <row r="207" customFormat="false" ht="15" hidden="false" customHeight="false" outlineLevel="0" collapsed="false">
      <c r="A207" s="63"/>
      <c r="B207" s="28"/>
      <c r="C207" s="28"/>
      <c r="D207" s="28"/>
      <c r="E207" s="64"/>
      <c r="F207" s="67" t="str">
        <f aca="false">IF($A207="","",$A207-WEEKDAY($A207,3))</f>
        <v/>
      </c>
      <c r="G207" s="65" t="str">
        <f aca="false">IF($A207="","",IF($F207=WeekStart,"Yes",""))</f>
        <v/>
      </c>
      <c r="H207" s="65" t="str">
        <f aca="false">IF($G207="Yes",$A207+ROW()/100000,"")</f>
        <v/>
      </c>
      <c r="I207" s="65" t="str">
        <f aca="false">IF(AND($D207&lt;&gt;"",$D207=UCSel),$A207+ROW()/100000,"")</f>
        <v/>
      </c>
    </row>
    <row r="208" customFormat="false" ht="15" hidden="false" customHeight="false" outlineLevel="0" collapsed="false">
      <c r="A208" s="63"/>
      <c r="B208" s="28"/>
      <c r="C208" s="28"/>
      <c r="D208" s="28"/>
      <c r="E208" s="64"/>
      <c r="F208" s="67" t="str">
        <f aca="false">IF($A208="","",$A208-WEEKDAY($A208,3))</f>
        <v/>
      </c>
      <c r="G208" s="65" t="str">
        <f aca="false">IF($A208="","",IF($F208=WeekStart,"Yes",""))</f>
        <v/>
      </c>
      <c r="H208" s="65" t="str">
        <f aca="false">IF($G208="Yes",$A208+ROW()/100000,"")</f>
        <v/>
      </c>
      <c r="I208" s="65" t="str">
        <f aca="false">IF(AND($D208&lt;&gt;"",$D208=UCSel),$A208+ROW()/100000,"")</f>
        <v/>
      </c>
    </row>
    <row r="209" customFormat="false" ht="15" hidden="false" customHeight="false" outlineLevel="0" collapsed="false">
      <c r="A209" s="63"/>
      <c r="B209" s="28"/>
      <c r="C209" s="28"/>
      <c r="D209" s="28"/>
      <c r="E209" s="64"/>
      <c r="F209" s="67" t="str">
        <f aca="false">IF($A209="","",$A209-WEEKDAY($A209,3))</f>
        <v/>
      </c>
      <c r="G209" s="65" t="str">
        <f aca="false">IF($A209="","",IF($F209=WeekStart,"Yes",""))</f>
        <v/>
      </c>
      <c r="H209" s="65" t="str">
        <f aca="false">IF($G209="Yes",$A209+ROW()/100000,"")</f>
        <v/>
      </c>
      <c r="I209" s="65" t="str">
        <f aca="false">IF(AND($D209&lt;&gt;"",$D209=UCSel),$A209+ROW()/100000,"")</f>
        <v/>
      </c>
    </row>
    <row r="210" customFormat="false" ht="15" hidden="false" customHeight="false" outlineLevel="0" collapsed="false">
      <c r="A210" s="63"/>
      <c r="B210" s="28"/>
      <c r="C210" s="28"/>
      <c r="D210" s="28"/>
      <c r="E210" s="64"/>
      <c r="F210" s="67" t="str">
        <f aca="false">IF($A210="","",$A210-WEEKDAY($A210,3))</f>
        <v/>
      </c>
      <c r="G210" s="65" t="str">
        <f aca="false">IF($A210="","",IF($F210=WeekStart,"Yes",""))</f>
        <v/>
      </c>
      <c r="H210" s="65" t="str">
        <f aca="false">IF($G210="Yes",$A210+ROW()/100000,"")</f>
        <v/>
      </c>
      <c r="I210" s="65" t="str">
        <f aca="false">IF(AND($D210&lt;&gt;"",$D210=UCSel),$A210+ROW()/100000,"")</f>
        <v/>
      </c>
    </row>
    <row r="211" customFormat="false" ht="15" hidden="false" customHeight="false" outlineLevel="0" collapsed="false">
      <c r="A211" s="63"/>
      <c r="B211" s="28"/>
      <c r="C211" s="28"/>
      <c r="D211" s="28"/>
      <c r="E211" s="64"/>
      <c r="F211" s="67" t="str">
        <f aca="false">IF($A211="","",$A211-WEEKDAY($A211,3))</f>
        <v/>
      </c>
      <c r="G211" s="65" t="str">
        <f aca="false">IF($A211="","",IF($F211=WeekStart,"Yes",""))</f>
        <v/>
      </c>
      <c r="H211" s="65" t="str">
        <f aca="false">IF($G211="Yes",$A211+ROW()/100000,"")</f>
        <v/>
      </c>
      <c r="I211" s="65" t="str">
        <f aca="false">IF(AND($D211&lt;&gt;"",$D211=UCSel),$A211+ROW()/100000,"")</f>
        <v/>
      </c>
    </row>
    <row r="212" customFormat="false" ht="15" hidden="false" customHeight="false" outlineLevel="0" collapsed="false">
      <c r="A212" s="63"/>
      <c r="B212" s="28"/>
      <c r="C212" s="28"/>
      <c r="D212" s="28"/>
      <c r="E212" s="64"/>
      <c r="F212" s="67" t="str">
        <f aca="false">IF($A212="","",$A212-WEEKDAY($A212,3))</f>
        <v/>
      </c>
      <c r="G212" s="65" t="str">
        <f aca="false">IF($A212="","",IF($F212=WeekStart,"Yes",""))</f>
        <v/>
      </c>
      <c r="H212" s="65" t="str">
        <f aca="false">IF($G212="Yes",$A212+ROW()/100000,"")</f>
        <v/>
      </c>
      <c r="I212" s="65" t="str">
        <f aca="false">IF(AND($D212&lt;&gt;"",$D212=UCSel),$A212+ROW()/100000,"")</f>
        <v/>
      </c>
    </row>
    <row r="213" customFormat="false" ht="15" hidden="false" customHeight="false" outlineLevel="0" collapsed="false">
      <c r="A213" s="63"/>
      <c r="B213" s="28"/>
      <c r="C213" s="28"/>
      <c r="D213" s="28"/>
      <c r="E213" s="64"/>
      <c r="F213" s="67" t="str">
        <f aca="false">IF($A213="","",$A213-WEEKDAY($A213,3))</f>
        <v/>
      </c>
      <c r="G213" s="65" t="str">
        <f aca="false">IF($A213="","",IF($F213=WeekStart,"Yes",""))</f>
        <v/>
      </c>
      <c r="H213" s="65" t="str">
        <f aca="false">IF($G213="Yes",$A213+ROW()/100000,"")</f>
        <v/>
      </c>
      <c r="I213" s="65" t="str">
        <f aca="false">IF(AND($D213&lt;&gt;"",$D213=UCSel),$A213+ROW()/100000,"")</f>
        <v/>
      </c>
    </row>
    <row r="214" customFormat="false" ht="15" hidden="false" customHeight="false" outlineLevel="0" collapsed="false">
      <c r="A214" s="63"/>
      <c r="B214" s="28"/>
      <c r="C214" s="28"/>
      <c r="D214" s="28"/>
      <c r="E214" s="64"/>
      <c r="F214" s="67" t="str">
        <f aca="false">IF($A214="","",$A214-WEEKDAY($A214,3))</f>
        <v/>
      </c>
      <c r="G214" s="65" t="str">
        <f aca="false">IF($A214="","",IF($F214=WeekStart,"Yes",""))</f>
        <v/>
      </c>
      <c r="H214" s="65" t="str">
        <f aca="false">IF($G214="Yes",$A214+ROW()/100000,"")</f>
        <v/>
      </c>
      <c r="I214" s="65" t="str">
        <f aca="false">IF(AND($D214&lt;&gt;"",$D214=UCSel),$A214+ROW()/100000,"")</f>
        <v/>
      </c>
    </row>
    <row r="215" customFormat="false" ht="15" hidden="false" customHeight="false" outlineLevel="0" collapsed="false">
      <c r="A215" s="63"/>
      <c r="B215" s="28"/>
      <c r="C215" s="28"/>
      <c r="D215" s="28"/>
      <c r="E215" s="64"/>
      <c r="F215" s="67" t="str">
        <f aca="false">IF($A215="","",$A215-WEEKDAY($A215,3))</f>
        <v/>
      </c>
      <c r="G215" s="65" t="str">
        <f aca="false">IF($A215="","",IF($F215=WeekStart,"Yes",""))</f>
        <v/>
      </c>
      <c r="H215" s="65" t="str">
        <f aca="false">IF($G215="Yes",$A215+ROW()/100000,"")</f>
        <v/>
      </c>
      <c r="I215" s="65" t="str">
        <f aca="false">IF(AND($D215&lt;&gt;"",$D215=UCSel),$A215+ROW()/100000,"")</f>
        <v/>
      </c>
    </row>
    <row r="216" customFormat="false" ht="15" hidden="false" customHeight="false" outlineLevel="0" collapsed="false">
      <c r="A216" s="63"/>
      <c r="B216" s="28"/>
      <c r="C216" s="28"/>
      <c r="D216" s="28"/>
      <c r="E216" s="64"/>
      <c r="F216" s="67" t="str">
        <f aca="false">IF($A216="","",$A216-WEEKDAY($A216,3))</f>
        <v/>
      </c>
      <c r="G216" s="65" t="str">
        <f aca="false">IF($A216="","",IF($F216=WeekStart,"Yes",""))</f>
        <v/>
      </c>
      <c r="H216" s="65" t="str">
        <f aca="false">IF($G216="Yes",$A216+ROW()/100000,"")</f>
        <v/>
      </c>
      <c r="I216" s="65" t="str">
        <f aca="false">IF(AND($D216&lt;&gt;"",$D216=UCSel),$A216+ROW()/100000,"")</f>
        <v/>
      </c>
    </row>
    <row r="217" customFormat="false" ht="15" hidden="false" customHeight="false" outlineLevel="0" collapsed="false">
      <c r="A217" s="63"/>
      <c r="B217" s="28"/>
      <c r="C217" s="28"/>
      <c r="D217" s="28"/>
      <c r="E217" s="64"/>
      <c r="F217" s="67" t="str">
        <f aca="false">IF($A217="","",$A217-WEEKDAY($A217,3))</f>
        <v/>
      </c>
      <c r="G217" s="65" t="str">
        <f aca="false">IF($A217="","",IF($F217=WeekStart,"Yes",""))</f>
        <v/>
      </c>
      <c r="H217" s="65" t="str">
        <f aca="false">IF($G217="Yes",$A217+ROW()/100000,"")</f>
        <v/>
      </c>
      <c r="I217" s="65" t="str">
        <f aca="false">IF(AND($D217&lt;&gt;"",$D217=UCSel),$A217+ROW()/100000,"")</f>
        <v/>
      </c>
    </row>
    <row r="218" customFormat="false" ht="15" hidden="false" customHeight="false" outlineLevel="0" collapsed="false">
      <c r="A218" s="63"/>
      <c r="B218" s="28"/>
      <c r="C218" s="28"/>
      <c r="D218" s="28"/>
      <c r="E218" s="64"/>
      <c r="F218" s="67" t="str">
        <f aca="false">IF($A218="","",$A218-WEEKDAY($A218,3))</f>
        <v/>
      </c>
      <c r="G218" s="65" t="str">
        <f aca="false">IF($A218="","",IF($F218=WeekStart,"Yes",""))</f>
        <v/>
      </c>
      <c r="H218" s="65" t="str">
        <f aca="false">IF($G218="Yes",$A218+ROW()/100000,"")</f>
        <v/>
      </c>
      <c r="I218" s="65" t="str">
        <f aca="false">IF(AND($D218&lt;&gt;"",$D218=UCSel),$A218+ROW()/100000,"")</f>
        <v/>
      </c>
    </row>
    <row r="219" customFormat="false" ht="15" hidden="false" customHeight="false" outlineLevel="0" collapsed="false">
      <c r="A219" s="63"/>
      <c r="B219" s="28"/>
      <c r="C219" s="28"/>
      <c r="D219" s="28"/>
      <c r="E219" s="64"/>
      <c r="F219" s="67" t="str">
        <f aca="false">IF($A219="","",$A219-WEEKDAY($A219,3))</f>
        <v/>
      </c>
      <c r="G219" s="65" t="str">
        <f aca="false">IF($A219="","",IF($F219=WeekStart,"Yes",""))</f>
        <v/>
      </c>
      <c r="H219" s="65" t="str">
        <f aca="false">IF($G219="Yes",$A219+ROW()/100000,"")</f>
        <v/>
      </c>
      <c r="I219" s="65" t="str">
        <f aca="false">IF(AND($D219&lt;&gt;"",$D219=UCSel),$A219+ROW()/100000,"")</f>
        <v/>
      </c>
    </row>
    <row r="220" customFormat="false" ht="15" hidden="false" customHeight="false" outlineLevel="0" collapsed="false">
      <c r="A220" s="63"/>
      <c r="B220" s="28"/>
      <c r="C220" s="28"/>
      <c r="D220" s="28"/>
      <c r="E220" s="64"/>
      <c r="F220" s="67" t="str">
        <f aca="false">IF($A220="","",$A220-WEEKDAY($A220,3))</f>
        <v/>
      </c>
      <c r="G220" s="65" t="str">
        <f aca="false">IF($A220="","",IF($F220=WeekStart,"Yes",""))</f>
        <v/>
      </c>
      <c r="H220" s="65" t="str">
        <f aca="false">IF($G220="Yes",$A220+ROW()/100000,"")</f>
        <v/>
      </c>
      <c r="I220" s="65" t="str">
        <f aca="false">IF(AND($D220&lt;&gt;"",$D220=UCSel),$A220+ROW()/100000,"")</f>
        <v/>
      </c>
    </row>
    <row r="221" customFormat="false" ht="15" hidden="false" customHeight="false" outlineLevel="0" collapsed="false">
      <c r="A221" s="63"/>
      <c r="B221" s="28"/>
      <c r="C221" s="28"/>
      <c r="D221" s="28"/>
      <c r="E221" s="64"/>
      <c r="F221" s="67" t="str">
        <f aca="false">IF($A221="","",$A221-WEEKDAY($A221,3))</f>
        <v/>
      </c>
      <c r="G221" s="65" t="str">
        <f aca="false">IF($A221="","",IF($F221=WeekStart,"Yes",""))</f>
        <v/>
      </c>
      <c r="H221" s="65" t="str">
        <f aca="false">IF($G221="Yes",$A221+ROW()/100000,"")</f>
        <v/>
      </c>
      <c r="I221" s="65" t="str">
        <f aca="false">IF(AND($D221&lt;&gt;"",$D221=UCSel),$A221+ROW()/100000,"")</f>
        <v/>
      </c>
    </row>
    <row r="222" customFormat="false" ht="15" hidden="false" customHeight="false" outlineLevel="0" collapsed="false">
      <c r="A222" s="63"/>
      <c r="B222" s="28"/>
      <c r="C222" s="28"/>
      <c r="D222" s="28"/>
      <c r="E222" s="64"/>
      <c r="F222" s="67" t="str">
        <f aca="false">IF($A222="","",$A222-WEEKDAY($A222,3))</f>
        <v/>
      </c>
      <c r="G222" s="65" t="str">
        <f aca="false">IF($A222="","",IF($F222=WeekStart,"Yes",""))</f>
        <v/>
      </c>
      <c r="H222" s="65" t="str">
        <f aca="false">IF($G222="Yes",$A222+ROW()/100000,"")</f>
        <v/>
      </c>
      <c r="I222" s="65" t="str">
        <f aca="false">IF(AND($D222&lt;&gt;"",$D222=UCSel),$A222+ROW()/100000,"")</f>
        <v/>
      </c>
    </row>
    <row r="223" customFormat="false" ht="15" hidden="false" customHeight="false" outlineLevel="0" collapsed="false">
      <c r="A223" s="63"/>
      <c r="B223" s="28"/>
      <c r="C223" s="28"/>
      <c r="D223" s="28"/>
      <c r="E223" s="64"/>
      <c r="F223" s="67" t="str">
        <f aca="false">IF($A223="","",$A223-WEEKDAY($A223,3))</f>
        <v/>
      </c>
      <c r="G223" s="65" t="str">
        <f aca="false">IF($A223="","",IF($F223=WeekStart,"Yes",""))</f>
        <v/>
      </c>
      <c r="H223" s="65" t="str">
        <f aca="false">IF($G223="Yes",$A223+ROW()/100000,"")</f>
        <v/>
      </c>
      <c r="I223" s="65" t="str">
        <f aca="false">IF(AND($D223&lt;&gt;"",$D223=UCSel),$A223+ROW()/100000,"")</f>
        <v/>
      </c>
    </row>
    <row r="224" customFormat="false" ht="15" hidden="false" customHeight="false" outlineLevel="0" collapsed="false">
      <c r="A224" s="63"/>
      <c r="B224" s="28"/>
      <c r="C224" s="28"/>
      <c r="D224" s="28"/>
      <c r="E224" s="64"/>
      <c r="F224" s="67" t="str">
        <f aca="false">IF($A224="","",$A224-WEEKDAY($A224,3))</f>
        <v/>
      </c>
      <c r="G224" s="65" t="str">
        <f aca="false">IF($A224="","",IF($F224=WeekStart,"Yes",""))</f>
        <v/>
      </c>
      <c r="H224" s="65" t="str">
        <f aca="false">IF($G224="Yes",$A224+ROW()/100000,"")</f>
        <v/>
      </c>
      <c r="I224" s="65" t="str">
        <f aca="false">IF(AND($D224&lt;&gt;"",$D224=UCSel),$A224+ROW()/100000,"")</f>
        <v/>
      </c>
    </row>
    <row r="225" customFormat="false" ht="15" hidden="false" customHeight="false" outlineLevel="0" collapsed="false">
      <c r="A225" s="63"/>
      <c r="B225" s="28"/>
      <c r="C225" s="28"/>
      <c r="D225" s="28"/>
      <c r="E225" s="64"/>
      <c r="F225" s="67" t="str">
        <f aca="false">IF($A225="","",$A225-WEEKDAY($A225,3))</f>
        <v/>
      </c>
      <c r="G225" s="65" t="str">
        <f aca="false">IF($A225="","",IF($F225=WeekStart,"Yes",""))</f>
        <v/>
      </c>
      <c r="H225" s="65" t="str">
        <f aca="false">IF($G225="Yes",$A225+ROW()/100000,"")</f>
        <v/>
      </c>
      <c r="I225" s="65" t="str">
        <f aca="false">IF(AND($D225&lt;&gt;"",$D225=UCSel),$A225+ROW()/100000,"")</f>
        <v/>
      </c>
    </row>
    <row r="226" customFormat="false" ht="15" hidden="false" customHeight="false" outlineLevel="0" collapsed="false">
      <c r="A226" s="63"/>
      <c r="B226" s="28"/>
      <c r="C226" s="28"/>
      <c r="D226" s="28"/>
      <c r="E226" s="64"/>
      <c r="F226" s="67" t="str">
        <f aca="false">IF($A226="","",$A226-WEEKDAY($A226,3))</f>
        <v/>
      </c>
      <c r="G226" s="65" t="str">
        <f aca="false">IF($A226="","",IF($F226=WeekStart,"Yes",""))</f>
        <v/>
      </c>
      <c r="H226" s="65" t="str">
        <f aca="false">IF($G226="Yes",$A226+ROW()/100000,"")</f>
        <v/>
      </c>
      <c r="I226" s="65" t="str">
        <f aca="false">IF(AND($D226&lt;&gt;"",$D226=UCSel),$A226+ROW()/100000,"")</f>
        <v/>
      </c>
    </row>
    <row r="227" customFormat="false" ht="15" hidden="false" customHeight="false" outlineLevel="0" collapsed="false">
      <c r="A227" s="63"/>
      <c r="B227" s="28"/>
      <c r="C227" s="28"/>
      <c r="D227" s="28"/>
      <c r="E227" s="64"/>
      <c r="F227" s="67" t="str">
        <f aca="false">IF($A227="","",$A227-WEEKDAY($A227,3))</f>
        <v/>
      </c>
      <c r="G227" s="65" t="str">
        <f aca="false">IF($A227="","",IF($F227=WeekStart,"Yes",""))</f>
        <v/>
      </c>
      <c r="H227" s="65" t="str">
        <f aca="false">IF($G227="Yes",$A227+ROW()/100000,"")</f>
        <v/>
      </c>
      <c r="I227" s="65" t="str">
        <f aca="false">IF(AND($D227&lt;&gt;"",$D227=UCSel),$A227+ROW()/100000,"")</f>
        <v/>
      </c>
    </row>
    <row r="228" customFormat="false" ht="15" hidden="false" customHeight="false" outlineLevel="0" collapsed="false">
      <c r="A228" s="63"/>
      <c r="B228" s="28"/>
      <c r="C228" s="28"/>
      <c r="D228" s="28"/>
      <c r="E228" s="64"/>
      <c r="F228" s="67" t="str">
        <f aca="false">IF($A228="","",$A228-WEEKDAY($A228,3))</f>
        <v/>
      </c>
      <c r="G228" s="65" t="str">
        <f aca="false">IF($A228="","",IF($F228=WeekStart,"Yes",""))</f>
        <v/>
      </c>
      <c r="H228" s="65" t="str">
        <f aca="false">IF($G228="Yes",$A228+ROW()/100000,"")</f>
        <v/>
      </c>
      <c r="I228" s="65" t="str">
        <f aca="false">IF(AND($D228&lt;&gt;"",$D228=UCSel),$A228+ROW()/100000,"")</f>
        <v/>
      </c>
    </row>
    <row r="229" customFormat="false" ht="15" hidden="false" customHeight="false" outlineLevel="0" collapsed="false">
      <c r="A229" s="63"/>
      <c r="B229" s="28"/>
      <c r="C229" s="28"/>
      <c r="D229" s="28"/>
      <c r="E229" s="64"/>
      <c r="F229" s="67" t="str">
        <f aca="false">IF($A229="","",$A229-WEEKDAY($A229,3))</f>
        <v/>
      </c>
      <c r="G229" s="65" t="str">
        <f aca="false">IF($A229="","",IF($F229=WeekStart,"Yes",""))</f>
        <v/>
      </c>
      <c r="H229" s="65" t="str">
        <f aca="false">IF($G229="Yes",$A229+ROW()/100000,"")</f>
        <v/>
      </c>
      <c r="I229" s="65" t="str">
        <f aca="false">IF(AND($D229&lt;&gt;"",$D229=UCSel),$A229+ROW()/100000,"")</f>
        <v/>
      </c>
    </row>
    <row r="230" customFormat="false" ht="15" hidden="false" customHeight="false" outlineLevel="0" collapsed="false">
      <c r="A230" s="63"/>
      <c r="B230" s="28"/>
      <c r="C230" s="28"/>
      <c r="D230" s="28"/>
      <c r="E230" s="64"/>
      <c r="F230" s="67" t="str">
        <f aca="false">IF($A230="","",$A230-WEEKDAY($A230,3))</f>
        <v/>
      </c>
      <c r="G230" s="65" t="str">
        <f aca="false">IF($A230="","",IF($F230=WeekStart,"Yes",""))</f>
        <v/>
      </c>
      <c r="H230" s="65" t="str">
        <f aca="false">IF($G230="Yes",$A230+ROW()/100000,"")</f>
        <v/>
      </c>
      <c r="I230" s="65" t="str">
        <f aca="false">IF(AND($D230&lt;&gt;"",$D230=UCSel),$A230+ROW()/100000,"")</f>
        <v/>
      </c>
    </row>
    <row r="231" customFormat="false" ht="15" hidden="false" customHeight="false" outlineLevel="0" collapsed="false">
      <c r="A231" s="63"/>
      <c r="B231" s="28"/>
      <c r="C231" s="28"/>
      <c r="D231" s="28"/>
      <c r="E231" s="64"/>
      <c r="F231" s="67" t="str">
        <f aca="false">IF($A231="","",$A231-WEEKDAY($A231,3))</f>
        <v/>
      </c>
      <c r="G231" s="65" t="str">
        <f aca="false">IF($A231="","",IF($F231=WeekStart,"Yes",""))</f>
        <v/>
      </c>
      <c r="H231" s="65" t="str">
        <f aca="false">IF($G231="Yes",$A231+ROW()/100000,"")</f>
        <v/>
      </c>
      <c r="I231" s="65" t="str">
        <f aca="false">IF(AND($D231&lt;&gt;"",$D231=UCSel),$A231+ROW()/100000,"")</f>
        <v/>
      </c>
    </row>
    <row r="232" customFormat="false" ht="15" hidden="false" customHeight="false" outlineLevel="0" collapsed="false">
      <c r="A232" s="63"/>
      <c r="B232" s="28"/>
      <c r="C232" s="28"/>
      <c r="D232" s="28"/>
      <c r="E232" s="64"/>
      <c r="F232" s="67" t="str">
        <f aca="false">IF($A232="","",$A232-WEEKDAY($A232,3))</f>
        <v/>
      </c>
      <c r="G232" s="65" t="str">
        <f aca="false">IF($A232="","",IF($F232=WeekStart,"Yes",""))</f>
        <v/>
      </c>
      <c r="H232" s="65" t="str">
        <f aca="false">IF($G232="Yes",$A232+ROW()/100000,"")</f>
        <v/>
      </c>
      <c r="I232" s="65" t="str">
        <f aca="false">IF(AND($D232&lt;&gt;"",$D232=UCSel),$A232+ROW()/100000,"")</f>
        <v/>
      </c>
    </row>
    <row r="233" customFormat="false" ht="15" hidden="false" customHeight="false" outlineLevel="0" collapsed="false">
      <c r="A233" s="63"/>
      <c r="B233" s="28"/>
      <c r="C233" s="28"/>
      <c r="D233" s="28"/>
      <c r="E233" s="64"/>
      <c r="F233" s="67" t="str">
        <f aca="false">IF($A233="","",$A233-WEEKDAY($A233,3))</f>
        <v/>
      </c>
      <c r="G233" s="65" t="str">
        <f aca="false">IF($A233="","",IF($F233=WeekStart,"Yes",""))</f>
        <v/>
      </c>
      <c r="H233" s="65" t="str">
        <f aca="false">IF($G233="Yes",$A233+ROW()/100000,"")</f>
        <v/>
      </c>
      <c r="I233" s="65" t="str">
        <f aca="false">IF(AND($D233&lt;&gt;"",$D233=UCSel),$A233+ROW()/100000,"")</f>
        <v/>
      </c>
    </row>
    <row r="234" customFormat="false" ht="15" hidden="false" customHeight="false" outlineLevel="0" collapsed="false">
      <c r="A234" s="63"/>
      <c r="B234" s="28"/>
      <c r="C234" s="28"/>
      <c r="D234" s="28"/>
      <c r="E234" s="64"/>
      <c r="F234" s="67" t="str">
        <f aca="false">IF($A234="","",$A234-WEEKDAY($A234,3))</f>
        <v/>
      </c>
      <c r="G234" s="65" t="str">
        <f aca="false">IF($A234="","",IF($F234=WeekStart,"Yes",""))</f>
        <v/>
      </c>
      <c r="H234" s="65" t="str">
        <f aca="false">IF($G234="Yes",$A234+ROW()/100000,"")</f>
        <v/>
      </c>
      <c r="I234" s="65" t="str">
        <f aca="false">IF(AND($D234&lt;&gt;"",$D234=UCSel),$A234+ROW()/100000,"")</f>
        <v/>
      </c>
    </row>
    <row r="235" customFormat="false" ht="15" hidden="false" customHeight="false" outlineLevel="0" collapsed="false">
      <c r="A235" s="63"/>
      <c r="B235" s="28"/>
      <c r="C235" s="28"/>
      <c r="D235" s="28"/>
      <c r="E235" s="64"/>
      <c r="F235" s="67" t="str">
        <f aca="false">IF($A235="","",$A235-WEEKDAY($A235,3))</f>
        <v/>
      </c>
      <c r="G235" s="65" t="str">
        <f aca="false">IF($A235="","",IF($F235=WeekStart,"Yes",""))</f>
        <v/>
      </c>
      <c r="H235" s="65" t="str">
        <f aca="false">IF($G235="Yes",$A235+ROW()/100000,"")</f>
        <v/>
      </c>
      <c r="I235" s="65" t="str">
        <f aca="false">IF(AND($D235&lt;&gt;"",$D235=UCSel),$A235+ROW()/100000,"")</f>
        <v/>
      </c>
    </row>
    <row r="236" customFormat="false" ht="15" hidden="false" customHeight="false" outlineLevel="0" collapsed="false">
      <c r="A236" s="63"/>
      <c r="B236" s="28"/>
      <c r="C236" s="28"/>
      <c r="D236" s="28"/>
      <c r="E236" s="64"/>
      <c r="F236" s="67" t="str">
        <f aca="false">IF($A236="","",$A236-WEEKDAY($A236,3))</f>
        <v/>
      </c>
      <c r="G236" s="65" t="str">
        <f aca="false">IF($A236="","",IF($F236=WeekStart,"Yes",""))</f>
        <v/>
      </c>
      <c r="H236" s="65" t="str">
        <f aca="false">IF($G236="Yes",$A236+ROW()/100000,"")</f>
        <v/>
      </c>
      <c r="I236" s="65" t="str">
        <f aca="false">IF(AND($D236&lt;&gt;"",$D236=UCSel),$A236+ROW()/100000,"")</f>
        <v/>
      </c>
    </row>
    <row r="237" customFormat="false" ht="15" hidden="false" customHeight="false" outlineLevel="0" collapsed="false">
      <c r="A237" s="63"/>
      <c r="B237" s="28"/>
      <c r="C237" s="28"/>
      <c r="D237" s="28"/>
      <c r="E237" s="64"/>
      <c r="F237" s="67" t="str">
        <f aca="false">IF($A237="","",$A237-WEEKDAY($A237,3))</f>
        <v/>
      </c>
      <c r="G237" s="65" t="str">
        <f aca="false">IF($A237="","",IF($F237=WeekStart,"Yes",""))</f>
        <v/>
      </c>
      <c r="H237" s="65" t="str">
        <f aca="false">IF($G237="Yes",$A237+ROW()/100000,"")</f>
        <v/>
      </c>
      <c r="I237" s="65" t="str">
        <f aca="false">IF(AND($D237&lt;&gt;"",$D237=UCSel),$A237+ROW()/100000,"")</f>
        <v/>
      </c>
    </row>
    <row r="238" customFormat="false" ht="15" hidden="false" customHeight="false" outlineLevel="0" collapsed="false">
      <c r="A238" s="63"/>
      <c r="B238" s="28"/>
      <c r="C238" s="28"/>
      <c r="D238" s="28"/>
      <c r="E238" s="64"/>
      <c r="F238" s="67" t="str">
        <f aca="false">IF($A238="","",$A238-WEEKDAY($A238,3))</f>
        <v/>
      </c>
      <c r="G238" s="65" t="str">
        <f aca="false">IF($A238="","",IF($F238=WeekStart,"Yes",""))</f>
        <v/>
      </c>
      <c r="H238" s="65" t="str">
        <f aca="false">IF($G238="Yes",$A238+ROW()/100000,"")</f>
        <v/>
      </c>
      <c r="I238" s="65" t="str">
        <f aca="false">IF(AND($D238&lt;&gt;"",$D238=UCSel),$A238+ROW()/100000,"")</f>
        <v/>
      </c>
    </row>
    <row r="239" customFormat="false" ht="15" hidden="false" customHeight="false" outlineLevel="0" collapsed="false">
      <c r="A239" s="63"/>
      <c r="B239" s="28"/>
      <c r="C239" s="28"/>
      <c r="D239" s="28"/>
      <c r="E239" s="64"/>
      <c r="F239" s="67" t="str">
        <f aca="false">IF($A239="","",$A239-WEEKDAY($A239,3))</f>
        <v/>
      </c>
      <c r="G239" s="65" t="str">
        <f aca="false">IF($A239="","",IF($F239=WeekStart,"Yes",""))</f>
        <v/>
      </c>
      <c r="H239" s="65" t="str">
        <f aca="false">IF($G239="Yes",$A239+ROW()/100000,"")</f>
        <v/>
      </c>
      <c r="I239" s="65" t="str">
        <f aca="false">IF(AND($D239&lt;&gt;"",$D239=UCSel),$A239+ROW()/100000,"")</f>
        <v/>
      </c>
    </row>
    <row r="240" customFormat="false" ht="15" hidden="false" customHeight="false" outlineLevel="0" collapsed="false">
      <c r="A240" s="63"/>
      <c r="B240" s="28"/>
      <c r="C240" s="28"/>
      <c r="D240" s="28"/>
      <c r="E240" s="64"/>
      <c r="F240" s="67" t="str">
        <f aca="false">IF($A240="","",$A240-WEEKDAY($A240,3))</f>
        <v/>
      </c>
      <c r="G240" s="65" t="str">
        <f aca="false">IF($A240="","",IF($F240=WeekStart,"Yes",""))</f>
        <v/>
      </c>
      <c r="H240" s="65" t="str">
        <f aca="false">IF($G240="Yes",$A240+ROW()/100000,"")</f>
        <v/>
      </c>
      <c r="I240" s="65" t="str">
        <f aca="false">IF(AND($D240&lt;&gt;"",$D240=UCSel),$A240+ROW()/100000,"")</f>
        <v/>
      </c>
    </row>
    <row r="241" customFormat="false" ht="15" hidden="false" customHeight="false" outlineLevel="0" collapsed="false">
      <c r="A241" s="63"/>
      <c r="B241" s="28"/>
      <c r="C241" s="28"/>
      <c r="D241" s="28"/>
      <c r="E241" s="64"/>
      <c r="F241" s="67" t="str">
        <f aca="false">IF($A241="","",$A241-WEEKDAY($A241,3))</f>
        <v/>
      </c>
      <c r="G241" s="65" t="str">
        <f aca="false">IF($A241="","",IF($F241=WeekStart,"Yes",""))</f>
        <v/>
      </c>
      <c r="H241" s="65" t="str">
        <f aca="false">IF($G241="Yes",$A241+ROW()/100000,"")</f>
        <v/>
      </c>
      <c r="I241" s="65" t="str">
        <f aca="false">IF(AND($D241&lt;&gt;"",$D241=UCSel),$A241+ROW()/100000,"")</f>
        <v/>
      </c>
    </row>
    <row r="242" customFormat="false" ht="15" hidden="false" customHeight="false" outlineLevel="0" collapsed="false">
      <c r="A242" s="63"/>
      <c r="B242" s="28"/>
      <c r="C242" s="28"/>
      <c r="D242" s="28"/>
      <c r="E242" s="64"/>
      <c r="F242" s="67" t="str">
        <f aca="false">IF($A242="","",$A242-WEEKDAY($A242,3))</f>
        <v/>
      </c>
      <c r="G242" s="65" t="str">
        <f aca="false">IF($A242="","",IF($F242=WeekStart,"Yes",""))</f>
        <v/>
      </c>
      <c r="H242" s="65" t="str">
        <f aca="false">IF($G242="Yes",$A242+ROW()/100000,"")</f>
        <v/>
      </c>
      <c r="I242" s="65" t="str">
        <f aca="false">IF(AND($D242&lt;&gt;"",$D242=UCSel),$A242+ROW()/100000,"")</f>
        <v/>
      </c>
    </row>
    <row r="243" customFormat="false" ht="15" hidden="false" customHeight="false" outlineLevel="0" collapsed="false">
      <c r="A243" s="63"/>
      <c r="B243" s="28"/>
      <c r="C243" s="28"/>
      <c r="D243" s="28"/>
      <c r="E243" s="64"/>
      <c r="F243" s="67" t="str">
        <f aca="false">IF($A243="","",$A243-WEEKDAY($A243,3))</f>
        <v/>
      </c>
      <c r="G243" s="65" t="str">
        <f aca="false">IF($A243="","",IF($F243=WeekStart,"Yes",""))</f>
        <v/>
      </c>
      <c r="H243" s="65" t="str">
        <f aca="false">IF($G243="Yes",$A243+ROW()/100000,"")</f>
        <v/>
      </c>
      <c r="I243" s="65" t="str">
        <f aca="false">IF(AND($D243&lt;&gt;"",$D243=UCSel),$A243+ROW()/100000,"")</f>
        <v/>
      </c>
    </row>
    <row r="244" customFormat="false" ht="15" hidden="false" customHeight="false" outlineLevel="0" collapsed="false">
      <c r="A244" s="63"/>
      <c r="B244" s="28"/>
      <c r="C244" s="28"/>
      <c r="D244" s="28"/>
      <c r="E244" s="64"/>
      <c r="F244" s="67" t="str">
        <f aca="false">IF($A244="","",$A244-WEEKDAY($A244,3))</f>
        <v/>
      </c>
      <c r="G244" s="65" t="str">
        <f aca="false">IF($A244="","",IF($F244=WeekStart,"Yes",""))</f>
        <v/>
      </c>
      <c r="H244" s="65" t="str">
        <f aca="false">IF($G244="Yes",$A244+ROW()/100000,"")</f>
        <v/>
      </c>
      <c r="I244" s="65" t="str">
        <f aca="false">IF(AND($D244&lt;&gt;"",$D244=UCSel),$A244+ROW()/100000,"")</f>
        <v/>
      </c>
    </row>
    <row r="245" customFormat="false" ht="15" hidden="false" customHeight="false" outlineLevel="0" collapsed="false">
      <c r="A245" s="63"/>
      <c r="B245" s="28"/>
      <c r="C245" s="28"/>
      <c r="D245" s="28"/>
      <c r="E245" s="64"/>
      <c r="F245" s="67" t="str">
        <f aca="false">IF($A245="","",$A245-WEEKDAY($A245,3))</f>
        <v/>
      </c>
      <c r="G245" s="65" t="str">
        <f aca="false">IF($A245="","",IF($F245=WeekStart,"Yes",""))</f>
        <v/>
      </c>
      <c r="H245" s="65" t="str">
        <f aca="false">IF($G245="Yes",$A245+ROW()/100000,"")</f>
        <v/>
      </c>
      <c r="I245" s="65" t="str">
        <f aca="false">IF(AND($D245&lt;&gt;"",$D245=UCSel),$A245+ROW()/100000,"")</f>
        <v/>
      </c>
    </row>
    <row r="246" customFormat="false" ht="15" hidden="false" customHeight="false" outlineLevel="0" collapsed="false">
      <c r="A246" s="63"/>
      <c r="B246" s="28"/>
      <c r="C246" s="28"/>
      <c r="D246" s="28"/>
      <c r="E246" s="64"/>
      <c r="F246" s="67" t="str">
        <f aca="false">IF($A246="","",$A246-WEEKDAY($A246,3))</f>
        <v/>
      </c>
      <c r="G246" s="65" t="str">
        <f aca="false">IF($A246="","",IF($F246=WeekStart,"Yes",""))</f>
        <v/>
      </c>
      <c r="H246" s="65" t="str">
        <f aca="false">IF($G246="Yes",$A246+ROW()/100000,"")</f>
        <v/>
      </c>
      <c r="I246" s="65" t="str">
        <f aca="false">IF(AND($D246&lt;&gt;"",$D246=UCSel),$A246+ROW()/100000,"")</f>
        <v/>
      </c>
    </row>
    <row r="247" customFormat="false" ht="15" hidden="false" customHeight="false" outlineLevel="0" collapsed="false">
      <c r="A247" s="63"/>
      <c r="B247" s="28"/>
      <c r="C247" s="28"/>
      <c r="D247" s="28"/>
      <c r="E247" s="64"/>
      <c r="F247" s="67" t="str">
        <f aca="false">IF($A247="","",$A247-WEEKDAY($A247,3))</f>
        <v/>
      </c>
      <c r="G247" s="65" t="str">
        <f aca="false">IF($A247="","",IF($F247=WeekStart,"Yes",""))</f>
        <v/>
      </c>
      <c r="H247" s="65" t="str">
        <f aca="false">IF($G247="Yes",$A247+ROW()/100000,"")</f>
        <v/>
      </c>
      <c r="I247" s="65" t="str">
        <f aca="false">IF(AND($D247&lt;&gt;"",$D247=UCSel),$A247+ROW()/100000,"")</f>
        <v/>
      </c>
    </row>
    <row r="248" customFormat="false" ht="15" hidden="false" customHeight="false" outlineLevel="0" collapsed="false">
      <c r="A248" s="63"/>
      <c r="B248" s="28"/>
      <c r="C248" s="28"/>
      <c r="D248" s="28"/>
      <c r="E248" s="64"/>
      <c r="F248" s="67" t="str">
        <f aca="false">IF($A248="","",$A248-WEEKDAY($A248,3))</f>
        <v/>
      </c>
      <c r="G248" s="65" t="str">
        <f aca="false">IF($A248="","",IF($F248=WeekStart,"Yes",""))</f>
        <v/>
      </c>
      <c r="H248" s="65" t="str">
        <f aca="false">IF($G248="Yes",$A248+ROW()/100000,"")</f>
        <v/>
      </c>
      <c r="I248" s="65" t="str">
        <f aca="false">IF(AND($D248&lt;&gt;"",$D248=UCSel),$A248+ROW()/100000,"")</f>
        <v/>
      </c>
    </row>
    <row r="249" customFormat="false" ht="15" hidden="false" customHeight="false" outlineLevel="0" collapsed="false">
      <c r="A249" s="63"/>
      <c r="B249" s="28"/>
      <c r="C249" s="28"/>
      <c r="D249" s="28"/>
      <c r="E249" s="64"/>
      <c r="F249" s="67" t="str">
        <f aca="false">IF($A249="","",$A249-WEEKDAY($A249,3))</f>
        <v/>
      </c>
      <c r="G249" s="65" t="str">
        <f aca="false">IF($A249="","",IF($F249=WeekStart,"Yes",""))</f>
        <v/>
      </c>
      <c r="H249" s="65" t="str">
        <f aca="false">IF($G249="Yes",$A249+ROW()/100000,"")</f>
        <v/>
      </c>
      <c r="I249" s="65" t="str">
        <f aca="false">IF(AND($D249&lt;&gt;"",$D249=UCSel),$A249+ROW()/100000,"")</f>
        <v/>
      </c>
    </row>
    <row r="250" customFormat="false" ht="15" hidden="false" customHeight="false" outlineLevel="0" collapsed="false">
      <c r="A250" s="63"/>
      <c r="B250" s="28"/>
      <c r="C250" s="28"/>
      <c r="D250" s="28"/>
      <c r="E250" s="64"/>
      <c r="F250" s="67" t="str">
        <f aca="false">IF($A250="","",$A250-WEEKDAY($A250,3))</f>
        <v/>
      </c>
      <c r="G250" s="65" t="str">
        <f aca="false">IF($A250="","",IF($F250=WeekStart,"Yes",""))</f>
        <v/>
      </c>
      <c r="H250" s="65" t="str">
        <f aca="false">IF($G250="Yes",$A250+ROW()/100000,"")</f>
        <v/>
      </c>
      <c r="I250" s="65" t="str">
        <f aca="false">IF(AND($D250&lt;&gt;"",$D250=UCSel),$A250+ROW()/100000,"")</f>
        <v/>
      </c>
    </row>
    <row r="251" customFormat="false" ht="15" hidden="false" customHeight="false" outlineLevel="0" collapsed="false">
      <c r="A251" s="63"/>
      <c r="B251" s="28"/>
      <c r="C251" s="28"/>
      <c r="D251" s="28"/>
      <c r="E251" s="64"/>
      <c r="F251" s="67" t="str">
        <f aca="false">IF($A251="","",$A251-WEEKDAY($A251,3))</f>
        <v/>
      </c>
      <c r="G251" s="65" t="str">
        <f aca="false">IF($A251="","",IF($F251=WeekStart,"Yes",""))</f>
        <v/>
      </c>
      <c r="H251" s="65" t="str">
        <f aca="false">IF($G251="Yes",$A251+ROW()/100000,"")</f>
        <v/>
      </c>
      <c r="I251" s="65" t="str">
        <f aca="false">IF(AND($D251&lt;&gt;"",$D251=UCSel),$A251+ROW()/100000,"")</f>
        <v/>
      </c>
    </row>
    <row r="252" customFormat="false" ht="15" hidden="false" customHeight="false" outlineLevel="0" collapsed="false">
      <c r="A252" s="63"/>
      <c r="B252" s="28"/>
      <c r="C252" s="28"/>
      <c r="D252" s="28"/>
      <c r="E252" s="64"/>
      <c r="F252" s="67" t="str">
        <f aca="false">IF($A252="","",$A252-WEEKDAY($A252,3))</f>
        <v/>
      </c>
      <c r="G252" s="65" t="str">
        <f aca="false">IF($A252="","",IF($F252=WeekStart,"Yes",""))</f>
        <v/>
      </c>
      <c r="H252" s="65" t="str">
        <f aca="false">IF($G252="Yes",$A252+ROW()/100000,"")</f>
        <v/>
      </c>
      <c r="I252" s="65" t="str">
        <f aca="false">IF(AND($D252&lt;&gt;"",$D252=UCSel),$A252+ROW()/100000,"")</f>
        <v/>
      </c>
    </row>
    <row r="253" customFormat="false" ht="15" hidden="false" customHeight="false" outlineLevel="0" collapsed="false">
      <c r="A253" s="63"/>
      <c r="B253" s="28"/>
      <c r="C253" s="28"/>
      <c r="D253" s="28"/>
      <c r="E253" s="64"/>
      <c r="F253" s="67" t="str">
        <f aca="false">IF($A253="","",$A253-WEEKDAY($A253,3))</f>
        <v/>
      </c>
      <c r="G253" s="65" t="str">
        <f aca="false">IF($A253="","",IF($F253=WeekStart,"Yes",""))</f>
        <v/>
      </c>
      <c r="H253" s="65" t="str">
        <f aca="false">IF($G253="Yes",$A253+ROW()/100000,"")</f>
        <v/>
      </c>
      <c r="I253" s="65" t="str">
        <f aca="false">IF(AND($D253&lt;&gt;"",$D253=UCSel),$A253+ROW()/100000,"")</f>
        <v/>
      </c>
    </row>
    <row r="254" customFormat="false" ht="15" hidden="false" customHeight="false" outlineLevel="0" collapsed="false">
      <c r="A254" s="63"/>
      <c r="B254" s="28"/>
      <c r="C254" s="28"/>
      <c r="D254" s="28"/>
      <c r="E254" s="64"/>
      <c r="F254" s="67" t="str">
        <f aca="false">IF($A254="","",$A254-WEEKDAY($A254,3))</f>
        <v/>
      </c>
      <c r="G254" s="65" t="str">
        <f aca="false">IF($A254="","",IF($F254=WeekStart,"Yes",""))</f>
        <v/>
      </c>
      <c r="H254" s="65" t="str">
        <f aca="false">IF($G254="Yes",$A254+ROW()/100000,"")</f>
        <v/>
      </c>
      <c r="I254" s="65" t="str">
        <f aca="false">IF(AND($D254&lt;&gt;"",$D254=UCSel),$A254+ROW()/100000,"")</f>
        <v/>
      </c>
    </row>
    <row r="255" customFormat="false" ht="15" hidden="false" customHeight="false" outlineLevel="0" collapsed="false">
      <c r="A255" s="63"/>
      <c r="B255" s="28"/>
      <c r="C255" s="28"/>
      <c r="D255" s="28"/>
      <c r="E255" s="64"/>
      <c r="F255" s="67" t="str">
        <f aca="false">IF($A255="","",$A255-WEEKDAY($A255,3))</f>
        <v/>
      </c>
      <c r="G255" s="65" t="str">
        <f aca="false">IF($A255="","",IF($F255=WeekStart,"Yes",""))</f>
        <v/>
      </c>
      <c r="H255" s="65" t="str">
        <f aca="false">IF($G255="Yes",$A255+ROW()/100000,"")</f>
        <v/>
      </c>
      <c r="I255" s="65" t="str">
        <f aca="false">IF(AND($D255&lt;&gt;"",$D255=UCSel),$A255+ROW()/100000,"")</f>
        <v/>
      </c>
    </row>
    <row r="256" customFormat="false" ht="15" hidden="false" customHeight="false" outlineLevel="0" collapsed="false">
      <c r="A256" s="63"/>
      <c r="B256" s="28"/>
      <c r="C256" s="28"/>
      <c r="D256" s="28"/>
      <c r="E256" s="64"/>
      <c r="F256" s="67" t="str">
        <f aca="false">IF($A256="","",$A256-WEEKDAY($A256,3))</f>
        <v/>
      </c>
      <c r="G256" s="65" t="str">
        <f aca="false">IF($A256="","",IF($F256=WeekStart,"Yes",""))</f>
        <v/>
      </c>
      <c r="H256" s="65" t="str">
        <f aca="false">IF($G256="Yes",$A256+ROW()/100000,"")</f>
        <v/>
      </c>
      <c r="I256" s="65" t="str">
        <f aca="false">IF(AND($D256&lt;&gt;"",$D256=UCSel),$A256+ROW()/100000,"")</f>
        <v/>
      </c>
    </row>
    <row r="257" customFormat="false" ht="15" hidden="false" customHeight="false" outlineLevel="0" collapsed="false">
      <c r="A257" s="63"/>
      <c r="B257" s="28"/>
      <c r="C257" s="28"/>
      <c r="D257" s="28"/>
      <c r="E257" s="64"/>
      <c r="F257" s="67" t="str">
        <f aca="false">IF($A257="","",$A257-WEEKDAY($A257,3))</f>
        <v/>
      </c>
      <c r="G257" s="65" t="str">
        <f aca="false">IF($A257="","",IF($F257=WeekStart,"Yes",""))</f>
        <v/>
      </c>
      <c r="H257" s="65" t="str">
        <f aca="false">IF($G257="Yes",$A257+ROW()/100000,"")</f>
        <v/>
      </c>
      <c r="I257" s="65" t="str">
        <f aca="false">IF(AND($D257&lt;&gt;"",$D257=UCSel),$A257+ROW()/100000,"")</f>
        <v/>
      </c>
    </row>
    <row r="258" customFormat="false" ht="15" hidden="false" customHeight="false" outlineLevel="0" collapsed="false">
      <c r="A258" s="63"/>
      <c r="B258" s="28"/>
      <c r="C258" s="28"/>
      <c r="D258" s="28"/>
      <c r="E258" s="64"/>
      <c r="F258" s="67" t="str">
        <f aca="false">IF($A258="","",$A258-WEEKDAY($A258,3))</f>
        <v/>
      </c>
      <c r="G258" s="65" t="str">
        <f aca="false">IF($A258="","",IF($F258=WeekStart,"Yes",""))</f>
        <v/>
      </c>
      <c r="H258" s="65" t="str">
        <f aca="false">IF($G258="Yes",$A258+ROW()/100000,"")</f>
        <v/>
      </c>
      <c r="I258" s="65" t="str">
        <f aca="false">IF(AND($D258&lt;&gt;"",$D258=UCSel),$A258+ROW()/100000,"")</f>
        <v/>
      </c>
    </row>
    <row r="259" customFormat="false" ht="15" hidden="false" customHeight="false" outlineLevel="0" collapsed="false">
      <c r="A259" s="63"/>
      <c r="B259" s="28"/>
      <c r="C259" s="28"/>
      <c r="D259" s="28"/>
      <c r="E259" s="64"/>
      <c r="F259" s="67" t="str">
        <f aca="false">IF($A259="","",$A259-WEEKDAY($A259,3))</f>
        <v/>
      </c>
      <c r="G259" s="65" t="str">
        <f aca="false">IF($A259="","",IF($F259=WeekStart,"Yes",""))</f>
        <v/>
      </c>
      <c r="H259" s="65" t="str">
        <f aca="false">IF($G259="Yes",$A259+ROW()/100000,"")</f>
        <v/>
      </c>
      <c r="I259" s="65" t="str">
        <f aca="false">IF(AND($D259&lt;&gt;"",$D259=UCSel),$A259+ROW()/100000,"")</f>
        <v/>
      </c>
    </row>
    <row r="260" customFormat="false" ht="15" hidden="false" customHeight="false" outlineLevel="0" collapsed="false">
      <c r="A260" s="63"/>
      <c r="B260" s="28"/>
      <c r="C260" s="28"/>
      <c r="D260" s="28"/>
      <c r="E260" s="64"/>
      <c r="F260" s="67" t="str">
        <f aca="false">IF($A260="","",$A260-WEEKDAY($A260,3))</f>
        <v/>
      </c>
      <c r="G260" s="65" t="str">
        <f aca="false">IF($A260="","",IF($F260=WeekStart,"Yes",""))</f>
        <v/>
      </c>
      <c r="H260" s="65" t="str">
        <f aca="false">IF($G260="Yes",$A260+ROW()/100000,"")</f>
        <v/>
      </c>
      <c r="I260" s="65" t="str">
        <f aca="false">IF(AND($D260&lt;&gt;"",$D260=UCSel),$A260+ROW()/100000,"")</f>
        <v/>
      </c>
    </row>
    <row r="261" customFormat="false" ht="15" hidden="false" customHeight="false" outlineLevel="0" collapsed="false">
      <c r="A261" s="63"/>
      <c r="B261" s="28"/>
      <c r="C261" s="28"/>
      <c r="D261" s="28"/>
      <c r="E261" s="64"/>
      <c r="F261" s="67" t="str">
        <f aca="false">IF($A261="","",$A261-WEEKDAY($A261,3))</f>
        <v/>
      </c>
      <c r="G261" s="65" t="str">
        <f aca="false">IF($A261="","",IF($F261=WeekStart,"Yes",""))</f>
        <v/>
      </c>
      <c r="H261" s="65" t="str">
        <f aca="false">IF($G261="Yes",$A261+ROW()/100000,"")</f>
        <v/>
      </c>
      <c r="I261" s="65" t="str">
        <f aca="false">IF(AND($D261&lt;&gt;"",$D261=UCSel),$A261+ROW()/100000,"")</f>
        <v/>
      </c>
    </row>
    <row r="262" customFormat="false" ht="15" hidden="false" customHeight="false" outlineLevel="0" collapsed="false">
      <c r="A262" s="63"/>
      <c r="B262" s="28"/>
      <c r="C262" s="28"/>
      <c r="D262" s="28"/>
      <c r="E262" s="64"/>
      <c r="F262" s="67" t="str">
        <f aca="false">IF($A262="","",$A262-WEEKDAY($A262,3))</f>
        <v/>
      </c>
      <c r="G262" s="65" t="str">
        <f aca="false">IF($A262="","",IF($F262=WeekStart,"Yes",""))</f>
        <v/>
      </c>
      <c r="H262" s="65" t="str">
        <f aca="false">IF($G262="Yes",$A262+ROW()/100000,"")</f>
        <v/>
      </c>
      <c r="I262" s="65" t="str">
        <f aca="false">IF(AND($D262&lt;&gt;"",$D262=UCSel),$A262+ROW()/100000,"")</f>
        <v/>
      </c>
    </row>
    <row r="263" customFormat="false" ht="15" hidden="false" customHeight="false" outlineLevel="0" collapsed="false">
      <c r="A263" s="63"/>
      <c r="B263" s="28"/>
      <c r="C263" s="28"/>
      <c r="D263" s="28"/>
      <c r="E263" s="64"/>
      <c r="F263" s="67" t="str">
        <f aca="false">IF($A263="","",$A263-WEEKDAY($A263,3))</f>
        <v/>
      </c>
      <c r="G263" s="65" t="str">
        <f aca="false">IF($A263="","",IF($F263=WeekStart,"Yes",""))</f>
        <v/>
      </c>
      <c r="H263" s="65" t="str">
        <f aca="false">IF($G263="Yes",$A263+ROW()/100000,"")</f>
        <v/>
      </c>
      <c r="I263" s="65" t="str">
        <f aca="false">IF(AND($D263&lt;&gt;"",$D263=UCSel),$A263+ROW()/100000,"")</f>
        <v/>
      </c>
    </row>
    <row r="264" customFormat="false" ht="15" hidden="false" customHeight="false" outlineLevel="0" collapsed="false">
      <c r="A264" s="63"/>
      <c r="B264" s="28"/>
      <c r="C264" s="28"/>
      <c r="D264" s="28"/>
      <c r="E264" s="64"/>
      <c r="F264" s="67" t="str">
        <f aca="false">IF($A264="","",$A264-WEEKDAY($A264,3))</f>
        <v/>
      </c>
      <c r="G264" s="65" t="str">
        <f aca="false">IF($A264="","",IF($F264=WeekStart,"Yes",""))</f>
        <v/>
      </c>
      <c r="H264" s="65" t="str">
        <f aca="false">IF($G264="Yes",$A264+ROW()/100000,"")</f>
        <v/>
      </c>
      <c r="I264" s="65" t="str">
        <f aca="false">IF(AND($D264&lt;&gt;"",$D264=UCSel),$A264+ROW()/100000,"")</f>
        <v/>
      </c>
    </row>
    <row r="265" customFormat="false" ht="15" hidden="false" customHeight="false" outlineLevel="0" collapsed="false">
      <c r="A265" s="63"/>
      <c r="B265" s="28"/>
      <c r="C265" s="28"/>
      <c r="D265" s="28"/>
      <c r="E265" s="64"/>
      <c r="F265" s="67" t="str">
        <f aca="false">IF($A265="","",$A265-WEEKDAY($A265,3))</f>
        <v/>
      </c>
      <c r="G265" s="65" t="str">
        <f aca="false">IF($A265="","",IF($F265=WeekStart,"Yes",""))</f>
        <v/>
      </c>
      <c r="H265" s="65" t="str">
        <f aca="false">IF($G265="Yes",$A265+ROW()/100000,"")</f>
        <v/>
      </c>
      <c r="I265" s="65" t="str">
        <f aca="false">IF(AND($D265&lt;&gt;"",$D265=UCSel),$A265+ROW()/100000,"")</f>
        <v/>
      </c>
    </row>
    <row r="266" customFormat="false" ht="15" hidden="false" customHeight="false" outlineLevel="0" collapsed="false">
      <c r="A266" s="63"/>
      <c r="B266" s="28"/>
      <c r="C266" s="28"/>
      <c r="D266" s="28"/>
      <c r="E266" s="64"/>
      <c r="F266" s="67" t="str">
        <f aca="false">IF($A266="","",$A266-WEEKDAY($A266,3))</f>
        <v/>
      </c>
      <c r="G266" s="65" t="str">
        <f aca="false">IF($A266="","",IF($F266=WeekStart,"Yes",""))</f>
        <v/>
      </c>
      <c r="H266" s="65" t="str">
        <f aca="false">IF($G266="Yes",$A266+ROW()/100000,"")</f>
        <v/>
      </c>
      <c r="I266" s="65" t="str">
        <f aca="false">IF(AND($D266&lt;&gt;"",$D266=UCSel),$A266+ROW()/100000,"")</f>
        <v/>
      </c>
    </row>
    <row r="267" customFormat="false" ht="15" hidden="false" customHeight="false" outlineLevel="0" collapsed="false">
      <c r="A267" s="63"/>
      <c r="B267" s="28"/>
      <c r="C267" s="28"/>
      <c r="D267" s="28"/>
      <c r="E267" s="64"/>
      <c r="F267" s="67" t="str">
        <f aca="false">IF($A267="","",$A267-WEEKDAY($A267,3))</f>
        <v/>
      </c>
      <c r="G267" s="65" t="str">
        <f aca="false">IF($A267="","",IF($F267=WeekStart,"Yes",""))</f>
        <v/>
      </c>
      <c r="H267" s="65" t="str">
        <f aca="false">IF($G267="Yes",$A267+ROW()/100000,"")</f>
        <v/>
      </c>
      <c r="I267" s="65" t="str">
        <f aca="false">IF(AND($D267&lt;&gt;"",$D267=UCSel),$A267+ROW()/100000,"")</f>
        <v/>
      </c>
    </row>
    <row r="268" customFormat="false" ht="15" hidden="false" customHeight="false" outlineLevel="0" collapsed="false">
      <c r="A268" s="63"/>
      <c r="B268" s="28"/>
      <c r="C268" s="28"/>
      <c r="D268" s="28"/>
      <c r="E268" s="64"/>
      <c r="F268" s="67" t="str">
        <f aca="false">IF($A268="","",$A268-WEEKDAY($A268,3))</f>
        <v/>
      </c>
      <c r="G268" s="65" t="str">
        <f aca="false">IF($A268="","",IF($F268=WeekStart,"Yes",""))</f>
        <v/>
      </c>
      <c r="H268" s="65" t="str">
        <f aca="false">IF($G268="Yes",$A268+ROW()/100000,"")</f>
        <v/>
      </c>
      <c r="I268" s="65" t="str">
        <f aca="false">IF(AND($D268&lt;&gt;"",$D268=UCSel),$A268+ROW()/100000,"")</f>
        <v/>
      </c>
    </row>
    <row r="269" customFormat="false" ht="15" hidden="false" customHeight="false" outlineLevel="0" collapsed="false">
      <c r="A269" s="63"/>
      <c r="B269" s="28"/>
      <c r="C269" s="28"/>
      <c r="D269" s="28"/>
      <c r="E269" s="64"/>
      <c r="F269" s="67" t="str">
        <f aca="false">IF($A269="","",$A269-WEEKDAY($A269,3))</f>
        <v/>
      </c>
      <c r="G269" s="65" t="str">
        <f aca="false">IF($A269="","",IF($F269=WeekStart,"Yes",""))</f>
        <v/>
      </c>
      <c r="H269" s="65" t="str">
        <f aca="false">IF($G269="Yes",$A269+ROW()/100000,"")</f>
        <v/>
      </c>
      <c r="I269" s="65" t="str">
        <f aca="false">IF(AND($D269&lt;&gt;"",$D269=UCSel),$A269+ROW()/100000,"")</f>
        <v/>
      </c>
    </row>
    <row r="270" customFormat="false" ht="15" hidden="false" customHeight="false" outlineLevel="0" collapsed="false">
      <c r="A270" s="63"/>
      <c r="B270" s="28"/>
      <c r="C270" s="28"/>
      <c r="D270" s="28"/>
      <c r="E270" s="64"/>
      <c r="F270" s="67" t="str">
        <f aca="false">IF($A270="","",$A270-WEEKDAY($A270,3))</f>
        <v/>
      </c>
      <c r="G270" s="65" t="str">
        <f aca="false">IF($A270="","",IF($F270=WeekStart,"Yes",""))</f>
        <v/>
      </c>
      <c r="H270" s="65" t="str">
        <f aca="false">IF($G270="Yes",$A270+ROW()/100000,"")</f>
        <v/>
      </c>
      <c r="I270" s="65" t="str">
        <f aca="false">IF(AND($D270&lt;&gt;"",$D270=UCSel),$A270+ROW()/100000,"")</f>
        <v/>
      </c>
    </row>
    <row r="271" customFormat="false" ht="15" hidden="false" customHeight="false" outlineLevel="0" collapsed="false">
      <c r="A271" s="63"/>
      <c r="B271" s="28"/>
      <c r="C271" s="28"/>
      <c r="D271" s="28"/>
      <c r="E271" s="64"/>
      <c r="F271" s="67" t="str">
        <f aca="false">IF($A271="","",$A271-WEEKDAY($A271,3))</f>
        <v/>
      </c>
      <c r="G271" s="65" t="str">
        <f aca="false">IF($A271="","",IF($F271=WeekStart,"Yes",""))</f>
        <v/>
      </c>
      <c r="H271" s="65" t="str">
        <f aca="false">IF($G271="Yes",$A271+ROW()/100000,"")</f>
        <v/>
      </c>
      <c r="I271" s="65" t="str">
        <f aca="false">IF(AND($D271&lt;&gt;"",$D271=UCSel),$A271+ROW()/100000,"")</f>
        <v/>
      </c>
    </row>
    <row r="272" customFormat="false" ht="15" hidden="false" customHeight="false" outlineLevel="0" collapsed="false">
      <c r="A272" s="63"/>
      <c r="B272" s="28"/>
      <c r="C272" s="28"/>
      <c r="D272" s="28"/>
      <c r="E272" s="64"/>
      <c r="F272" s="67" t="str">
        <f aca="false">IF($A272="","",$A272-WEEKDAY($A272,3))</f>
        <v/>
      </c>
      <c r="G272" s="65" t="str">
        <f aca="false">IF($A272="","",IF($F272=WeekStart,"Yes",""))</f>
        <v/>
      </c>
      <c r="H272" s="65" t="str">
        <f aca="false">IF($G272="Yes",$A272+ROW()/100000,"")</f>
        <v/>
      </c>
      <c r="I272" s="65" t="str">
        <f aca="false">IF(AND($D272&lt;&gt;"",$D272=UCSel),$A272+ROW()/100000,"")</f>
        <v/>
      </c>
    </row>
    <row r="273" customFormat="false" ht="15" hidden="false" customHeight="false" outlineLevel="0" collapsed="false">
      <c r="A273" s="63"/>
      <c r="B273" s="28"/>
      <c r="C273" s="28"/>
      <c r="D273" s="28"/>
      <c r="E273" s="64"/>
      <c r="F273" s="67" t="str">
        <f aca="false">IF($A273="","",$A273-WEEKDAY($A273,3))</f>
        <v/>
      </c>
      <c r="G273" s="65" t="str">
        <f aca="false">IF($A273="","",IF($F273=WeekStart,"Yes",""))</f>
        <v/>
      </c>
      <c r="H273" s="65" t="str">
        <f aca="false">IF($G273="Yes",$A273+ROW()/100000,"")</f>
        <v/>
      </c>
      <c r="I273" s="65" t="str">
        <f aca="false">IF(AND($D273&lt;&gt;"",$D273=UCSel),$A273+ROW()/100000,"")</f>
        <v/>
      </c>
    </row>
    <row r="274" customFormat="false" ht="15" hidden="false" customHeight="false" outlineLevel="0" collapsed="false">
      <c r="A274" s="63"/>
      <c r="B274" s="28"/>
      <c r="C274" s="28"/>
      <c r="D274" s="28"/>
      <c r="E274" s="64"/>
      <c r="F274" s="67" t="str">
        <f aca="false">IF($A274="","",$A274-WEEKDAY($A274,3))</f>
        <v/>
      </c>
      <c r="G274" s="65" t="str">
        <f aca="false">IF($A274="","",IF($F274=WeekStart,"Yes",""))</f>
        <v/>
      </c>
      <c r="H274" s="65" t="str">
        <f aca="false">IF($G274="Yes",$A274+ROW()/100000,"")</f>
        <v/>
      </c>
      <c r="I274" s="65" t="str">
        <f aca="false">IF(AND($D274&lt;&gt;"",$D274=UCSel),$A274+ROW()/100000,"")</f>
        <v/>
      </c>
    </row>
    <row r="275" customFormat="false" ht="15" hidden="false" customHeight="false" outlineLevel="0" collapsed="false">
      <c r="A275" s="63"/>
      <c r="B275" s="28"/>
      <c r="C275" s="28"/>
      <c r="D275" s="28"/>
      <c r="E275" s="64"/>
      <c r="F275" s="67" t="str">
        <f aca="false">IF($A275="","",$A275-WEEKDAY($A275,3))</f>
        <v/>
      </c>
      <c r="G275" s="65" t="str">
        <f aca="false">IF($A275="","",IF($F275=WeekStart,"Yes",""))</f>
        <v/>
      </c>
      <c r="H275" s="65" t="str">
        <f aca="false">IF($G275="Yes",$A275+ROW()/100000,"")</f>
        <v/>
      </c>
      <c r="I275" s="65" t="str">
        <f aca="false">IF(AND($D275&lt;&gt;"",$D275=UCSel),$A275+ROW()/100000,"")</f>
        <v/>
      </c>
    </row>
    <row r="276" customFormat="false" ht="15" hidden="false" customHeight="false" outlineLevel="0" collapsed="false">
      <c r="A276" s="63"/>
      <c r="B276" s="28"/>
      <c r="C276" s="28"/>
      <c r="D276" s="28"/>
      <c r="E276" s="64"/>
      <c r="F276" s="67" t="str">
        <f aca="false">IF($A276="","",$A276-WEEKDAY($A276,3))</f>
        <v/>
      </c>
      <c r="G276" s="65" t="str">
        <f aca="false">IF($A276="","",IF($F276=WeekStart,"Yes",""))</f>
        <v/>
      </c>
      <c r="H276" s="65" t="str">
        <f aca="false">IF($G276="Yes",$A276+ROW()/100000,"")</f>
        <v/>
      </c>
      <c r="I276" s="65" t="str">
        <f aca="false">IF(AND($D276&lt;&gt;"",$D276=UCSel),$A276+ROW()/100000,"")</f>
        <v/>
      </c>
    </row>
    <row r="277" customFormat="false" ht="15" hidden="false" customHeight="false" outlineLevel="0" collapsed="false">
      <c r="A277" s="63"/>
      <c r="B277" s="28"/>
      <c r="C277" s="28"/>
      <c r="D277" s="28"/>
      <c r="E277" s="64"/>
      <c r="F277" s="67" t="str">
        <f aca="false">IF($A277="","",$A277-WEEKDAY($A277,3))</f>
        <v/>
      </c>
      <c r="G277" s="65" t="str">
        <f aca="false">IF($A277="","",IF($F277=WeekStart,"Yes",""))</f>
        <v/>
      </c>
      <c r="H277" s="65" t="str">
        <f aca="false">IF($G277="Yes",$A277+ROW()/100000,"")</f>
        <v/>
      </c>
      <c r="I277" s="65" t="str">
        <f aca="false">IF(AND($D277&lt;&gt;"",$D277=UCSel),$A277+ROW()/100000,"")</f>
        <v/>
      </c>
    </row>
    <row r="278" customFormat="false" ht="15" hidden="false" customHeight="false" outlineLevel="0" collapsed="false">
      <c r="A278" s="63"/>
      <c r="B278" s="28"/>
      <c r="C278" s="28"/>
      <c r="D278" s="28"/>
      <c r="E278" s="64"/>
      <c r="F278" s="67" t="str">
        <f aca="false">IF($A278="","",$A278-WEEKDAY($A278,3))</f>
        <v/>
      </c>
      <c r="G278" s="65" t="str">
        <f aca="false">IF($A278="","",IF($F278=WeekStart,"Yes",""))</f>
        <v/>
      </c>
      <c r="H278" s="65" t="str">
        <f aca="false">IF($G278="Yes",$A278+ROW()/100000,"")</f>
        <v/>
      </c>
      <c r="I278" s="65" t="str">
        <f aca="false">IF(AND($D278&lt;&gt;"",$D278=UCSel),$A278+ROW()/100000,"")</f>
        <v/>
      </c>
    </row>
    <row r="279" customFormat="false" ht="15" hidden="false" customHeight="false" outlineLevel="0" collapsed="false">
      <c r="A279" s="63"/>
      <c r="B279" s="28"/>
      <c r="C279" s="28"/>
      <c r="D279" s="28"/>
      <c r="E279" s="64"/>
      <c r="F279" s="67" t="str">
        <f aca="false">IF($A279="","",$A279-WEEKDAY($A279,3))</f>
        <v/>
      </c>
      <c r="G279" s="65" t="str">
        <f aca="false">IF($A279="","",IF($F279=WeekStart,"Yes",""))</f>
        <v/>
      </c>
      <c r="H279" s="65" t="str">
        <f aca="false">IF($G279="Yes",$A279+ROW()/100000,"")</f>
        <v/>
      </c>
      <c r="I279" s="65" t="str">
        <f aca="false">IF(AND($D279&lt;&gt;"",$D279=UCSel),$A279+ROW()/100000,"")</f>
        <v/>
      </c>
    </row>
    <row r="280" customFormat="false" ht="15" hidden="false" customHeight="false" outlineLevel="0" collapsed="false">
      <c r="A280" s="63"/>
      <c r="B280" s="28"/>
      <c r="C280" s="28"/>
      <c r="D280" s="28"/>
      <c r="E280" s="64"/>
      <c r="F280" s="67" t="str">
        <f aca="false">IF($A280="","",$A280-WEEKDAY($A280,3))</f>
        <v/>
      </c>
      <c r="G280" s="65" t="str">
        <f aca="false">IF($A280="","",IF($F280=WeekStart,"Yes",""))</f>
        <v/>
      </c>
      <c r="H280" s="65" t="str">
        <f aca="false">IF($G280="Yes",$A280+ROW()/100000,"")</f>
        <v/>
      </c>
      <c r="I280" s="65" t="str">
        <f aca="false">IF(AND($D280&lt;&gt;"",$D280=UCSel),$A280+ROW()/100000,"")</f>
        <v/>
      </c>
    </row>
    <row r="281" customFormat="false" ht="15" hidden="false" customHeight="false" outlineLevel="0" collapsed="false">
      <c r="A281" s="63"/>
      <c r="B281" s="28"/>
      <c r="C281" s="28"/>
      <c r="D281" s="28"/>
      <c r="E281" s="64"/>
      <c r="F281" s="67" t="str">
        <f aca="false">IF($A281="","",$A281-WEEKDAY($A281,3))</f>
        <v/>
      </c>
      <c r="G281" s="65" t="str">
        <f aca="false">IF($A281="","",IF($F281=WeekStart,"Yes",""))</f>
        <v/>
      </c>
      <c r="H281" s="65" t="str">
        <f aca="false">IF($G281="Yes",$A281+ROW()/100000,"")</f>
        <v/>
      </c>
      <c r="I281" s="65" t="str">
        <f aca="false">IF(AND($D281&lt;&gt;"",$D281=UCSel),$A281+ROW()/100000,"")</f>
        <v/>
      </c>
    </row>
    <row r="282" customFormat="false" ht="15" hidden="false" customHeight="false" outlineLevel="0" collapsed="false">
      <c r="A282" s="63"/>
      <c r="B282" s="28"/>
      <c r="C282" s="28"/>
      <c r="D282" s="28"/>
      <c r="E282" s="64"/>
      <c r="F282" s="67" t="str">
        <f aca="false">IF($A282="","",$A282-WEEKDAY($A282,3))</f>
        <v/>
      </c>
      <c r="G282" s="65" t="str">
        <f aca="false">IF($A282="","",IF($F282=WeekStart,"Yes",""))</f>
        <v/>
      </c>
      <c r="H282" s="65" t="str">
        <f aca="false">IF($G282="Yes",$A282+ROW()/100000,"")</f>
        <v/>
      </c>
      <c r="I282" s="65" t="str">
        <f aca="false">IF(AND($D282&lt;&gt;"",$D282=UCSel),$A282+ROW()/100000,"")</f>
        <v/>
      </c>
    </row>
    <row r="283" customFormat="false" ht="15" hidden="false" customHeight="false" outlineLevel="0" collapsed="false">
      <c r="A283" s="63"/>
      <c r="B283" s="28"/>
      <c r="C283" s="28"/>
      <c r="D283" s="28"/>
      <c r="E283" s="64"/>
      <c r="F283" s="67" t="str">
        <f aca="false">IF($A283="","",$A283-WEEKDAY($A283,3))</f>
        <v/>
      </c>
      <c r="G283" s="65" t="str">
        <f aca="false">IF($A283="","",IF($F283=WeekStart,"Yes",""))</f>
        <v/>
      </c>
      <c r="H283" s="65" t="str">
        <f aca="false">IF($G283="Yes",$A283+ROW()/100000,"")</f>
        <v/>
      </c>
      <c r="I283" s="65" t="str">
        <f aca="false">IF(AND($D283&lt;&gt;"",$D283=UCSel),$A283+ROW()/100000,"")</f>
        <v/>
      </c>
    </row>
    <row r="284" customFormat="false" ht="15" hidden="false" customHeight="false" outlineLevel="0" collapsed="false">
      <c r="A284" s="63"/>
      <c r="B284" s="28"/>
      <c r="C284" s="28"/>
      <c r="D284" s="28"/>
      <c r="E284" s="64"/>
      <c r="F284" s="67" t="str">
        <f aca="false">IF($A284="","",$A284-WEEKDAY($A284,3))</f>
        <v/>
      </c>
      <c r="G284" s="65" t="str">
        <f aca="false">IF($A284="","",IF($F284=WeekStart,"Yes",""))</f>
        <v/>
      </c>
      <c r="H284" s="65" t="str">
        <f aca="false">IF($G284="Yes",$A284+ROW()/100000,"")</f>
        <v/>
      </c>
      <c r="I284" s="65" t="str">
        <f aca="false">IF(AND($D284&lt;&gt;"",$D284=UCSel),$A284+ROW()/100000,"")</f>
        <v/>
      </c>
    </row>
    <row r="285" customFormat="false" ht="15" hidden="false" customHeight="false" outlineLevel="0" collapsed="false">
      <c r="A285" s="63"/>
      <c r="B285" s="28"/>
      <c r="C285" s="28"/>
      <c r="D285" s="28"/>
      <c r="E285" s="64"/>
      <c r="F285" s="67" t="str">
        <f aca="false">IF($A285="","",$A285-WEEKDAY($A285,3))</f>
        <v/>
      </c>
      <c r="G285" s="65" t="str">
        <f aca="false">IF($A285="","",IF($F285=WeekStart,"Yes",""))</f>
        <v/>
      </c>
      <c r="H285" s="65" t="str">
        <f aca="false">IF($G285="Yes",$A285+ROW()/100000,"")</f>
        <v/>
      </c>
      <c r="I285" s="65" t="str">
        <f aca="false">IF(AND($D285&lt;&gt;"",$D285=UCSel),$A285+ROW()/100000,"")</f>
        <v/>
      </c>
    </row>
    <row r="286" customFormat="false" ht="15" hidden="false" customHeight="false" outlineLevel="0" collapsed="false">
      <c r="A286" s="63"/>
      <c r="B286" s="28"/>
      <c r="C286" s="28"/>
      <c r="D286" s="28"/>
      <c r="E286" s="64"/>
      <c r="F286" s="67" t="str">
        <f aca="false">IF($A286="","",$A286-WEEKDAY($A286,3))</f>
        <v/>
      </c>
      <c r="G286" s="65" t="str">
        <f aca="false">IF($A286="","",IF($F286=WeekStart,"Yes",""))</f>
        <v/>
      </c>
      <c r="H286" s="65" t="str">
        <f aca="false">IF($G286="Yes",$A286+ROW()/100000,"")</f>
        <v/>
      </c>
      <c r="I286" s="65" t="str">
        <f aca="false">IF(AND($D286&lt;&gt;"",$D286=UCSel),$A286+ROW()/100000,"")</f>
        <v/>
      </c>
    </row>
    <row r="287" customFormat="false" ht="15" hidden="false" customHeight="false" outlineLevel="0" collapsed="false">
      <c r="A287" s="63"/>
      <c r="B287" s="28"/>
      <c r="C287" s="28"/>
      <c r="D287" s="28"/>
      <c r="E287" s="64"/>
      <c r="F287" s="67" t="str">
        <f aca="false">IF($A287="","",$A287-WEEKDAY($A287,3))</f>
        <v/>
      </c>
      <c r="G287" s="65" t="str">
        <f aca="false">IF($A287="","",IF($F287=WeekStart,"Yes",""))</f>
        <v/>
      </c>
      <c r="H287" s="65" t="str">
        <f aca="false">IF($G287="Yes",$A287+ROW()/100000,"")</f>
        <v/>
      </c>
      <c r="I287" s="65" t="str">
        <f aca="false">IF(AND($D287&lt;&gt;"",$D287=UCSel),$A287+ROW()/100000,"")</f>
        <v/>
      </c>
    </row>
    <row r="288" customFormat="false" ht="15" hidden="false" customHeight="false" outlineLevel="0" collapsed="false">
      <c r="A288" s="63"/>
      <c r="B288" s="28"/>
      <c r="C288" s="28"/>
      <c r="D288" s="28"/>
      <c r="E288" s="64"/>
      <c r="F288" s="67" t="str">
        <f aca="false">IF($A288="","",$A288-WEEKDAY($A288,3))</f>
        <v/>
      </c>
      <c r="G288" s="65" t="str">
        <f aca="false">IF($A288="","",IF($F288=WeekStart,"Yes",""))</f>
        <v/>
      </c>
      <c r="H288" s="65" t="str">
        <f aca="false">IF($G288="Yes",$A288+ROW()/100000,"")</f>
        <v/>
      </c>
      <c r="I288" s="65" t="str">
        <f aca="false">IF(AND($D288&lt;&gt;"",$D288=UCSel),$A288+ROW()/100000,"")</f>
        <v/>
      </c>
    </row>
    <row r="289" customFormat="false" ht="15" hidden="false" customHeight="false" outlineLevel="0" collapsed="false">
      <c r="A289" s="63"/>
      <c r="B289" s="28"/>
      <c r="C289" s="28"/>
      <c r="D289" s="28"/>
      <c r="E289" s="64"/>
      <c r="F289" s="67" t="str">
        <f aca="false">IF($A289="","",$A289-WEEKDAY($A289,3))</f>
        <v/>
      </c>
      <c r="G289" s="65" t="str">
        <f aca="false">IF($A289="","",IF($F289=WeekStart,"Yes",""))</f>
        <v/>
      </c>
      <c r="H289" s="65" t="str">
        <f aca="false">IF($G289="Yes",$A289+ROW()/100000,"")</f>
        <v/>
      </c>
      <c r="I289" s="65" t="str">
        <f aca="false">IF(AND($D289&lt;&gt;"",$D289=UCSel),$A289+ROW()/100000,"")</f>
        <v/>
      </c>
    </row>
    <row r="290" customFormat="false" ht="15" hidden="false" customHeight="false" outlineLevel="0" collapsed="false">
      <c r="A290" s="63"/>
      <c r="B290" s="28"/>
      <c r="C290" s="28"/>
      <c r="D290" s="28"/>
      <c r="E290" s="64"/>
      <c r="F290" s="67" t="str">
        <f aca="false">IF($A290="","",$A290-WEEKDAY($A290,3))</f>
        <v/>
      </c>
      <c r="G290" s="65" t="str">
        <f aca="false">IF($A290="","",IF($F290=WeekStart,"Yes",""))</f>
        <v/>
      </c>
      <c r="H290" s="65" t="str">
        <f aca="false">IF($G290="Yes",$A290+ROW()/100000,"")</f>
        <v/>
      </c>
      <c r="I290" s="65" t="str">
        <f aca="false">IF(AND($D290&lt;&gt;"",$D290=UCSel),$A290+ROW()/100000,"")</f>
        <v/>
      </c>
    </row>
    <row r="291" customFormat="false" ht="15" hidden="false" customHeight="false" outlineLevel="0" collapsed="false">
      <c r="A291" s="63"/>
      <c r="B291" s="28"/>
      <c r="C291" s="28"/>
      <c r="D291" s="28"/>
      <c r="E291" s="64"/>
      <c r="F291" s="67" t="str">
        <f aca="false">IF($A291="","",$A291-WEEKDAY($A291,3))</f>
        <v/>
      </c>
      <c r="G291" s="65" t="str">
        <f aca="false">IF($A291="","",IF($F291=WeekStart,"Yes",""))</f>
        <v/>
      </c>
      <c r="H291" s="65" t="str">
        <f aca="false">IF($G291="Yes",$A291+ROW()/100000,"")</f>
        <v/>
      </c>
      <c r="I291" s="65" t="str">
        <f aca="false">IF(AND($D291&lt;&gt;"",$D291=UCSel),$A291+ROW()/100000,"")</f>
        <v/>
      </c>
    </row>
    <row r="292" customFormat="false" ht="15" hidden="false" customHeight="false" outlineLevel="0" collapsed="false">
      <c r="A292" s="63"/>
      <c r="B292" s="28"/>
      <c r="C292" s="28"/>
      <c r="D292" s="28"/>
      <c r="E292" s="64"/>
      <c r="F292" s="67" t="str">
        <f aca="false">IF($A292="","",$A292-WEEKDAY($A292,3))</f>
        <v/>
      </c>
      <c r="G292" s="65" t="str">
        <f aca="false">IF($A292="","",IF($F292=WeekStart,"Yes",""))</f>
        <v/>
      </c>
      <c r="H292" s="65" t="str">
        <f aca="false">IF($G292="Yes",$A292+ROW()/100000,"")</f>
        <v/>
      </c>
      <c r="I292" s="65" t="str">
        <f aca="false">IF(AND($D292&lt;&gt;"",$D292=UCSel),$A292+ROW()/100000,"")</f>
        <v/>
      </c>
    </row>
    <row r="293" customFormat="false" ht="15" hidden="false" customHeight="false" outlineLevel="0" collapsed="false">
      <c r="A293" s="63"/>
      <c r="B293" s="28"/>
      <c r="C293" s="28"/>
      <c r="D293" s="28"/>
      <c r="E293" s="64"/>
      <c r="F293" s="67" t="str">
        <f aca="false">IF($A293="","",$A293-WEEKDAY($A293,3))</f>
        <v/>
      </c>
      <c r="G293" s="65" t="str">
        <f aca="false">IF($A293="","",IF($F293=WeekStart,"Yes",""))</f>
        <v/>
      </c>
      <c r="H293" s="65" t="str">
        <f aca="false">IF($G293="Yes",$A293+ROW()/100000,"")</f>
        <v/>
      </c>
      <c r="I293" s="65" t="str">
        <f aca="false">IF(AND($D293&lt;&gt;"",$D293=UCSel),$A293+ROW()/100000,"")</f>
        <v/>
      </c>
    </row>
    <row r="294" customFormat="false" ht="15" hidden="false" customHeight="false" outlineLevel="0" collapsed="false">
      <c r="A294" s="63"/>
      <c r="B294" s="28"/>
      <c r="C294" s="28"/>
      <c r="D294" s="28"/>
      <c r="E294" s="64"/>
      <c r="F294" s="67" t="str">
        <f aca="false">IF($A294="","",$A294-WEEKDAY($A294,3))</f>
        <v/>
      </c>
      <c r="G294" s="65" t="str">
        <f aca="false">IF($A294="","",IF($F294=WeekStart,"Yes",""))</f>
        <v/>
      </c>
      <c r="H294" s="65" t="str">
        <f aca="false">IF($G294="Yes",$A294+ROW()/100000,"")</f>
        <v/>
      </c>
      <c r="I294" s="65" t="str">
        <f aca="false">IF(AND($D294&lt;&gt;"",$D294=UCSel),$A294+ROW()/100000,"")</f>
        <v/>
      </c>
    </row>
    <row r="295" customFormat="false" ht="15" hidden="false" customHeight="false" outlineLevel="0" collapsed="false">
      <c r="A295" s="63"/>
      <c r="B295" s="28"/>
      <c r="C295" s="28"/>
      <c r="D295" s="28"/>
      <c r="E295" s="64"/>
      <c r="F295" s="67" t="str">
        <f aca="false">IF($A295="","",$A295-WEEKDAY($A295,3))</f>
        <v/>
      </c>
      <c r="G295" s="65" t="str">
        <f aca="false">IF($A295="","",IF($F295=WeekStart,"Yes",""))</f>
        <v/>
      </c>
      <c r="H295" s="65" t="str">
        <f aca="false">IF($G295="Yes",$A295+ROW()/100000,"")</f>
        <v/>
      </c>
      <c r="I295" s="65" t="str">
        <f aca="false">IF(AND($D295&lt;&gt;"",$D295=UCSel),$A295+ROW()/100000,"")</f>
        <v/>
      </c>
    </row>
    <row r="296" customFormat="false" ht="15" hidden="false" customHeight="false" outlineLevel="0" collapsed="false">
      <c r="A296" s="63"/>
      <c r="B296" s="28"/>
      <c r="C296" s="28"/>
      <c r="D296" s="28"/>
      <c r="E296" s="64"/>
      <c r="F296" s="67" t="str">
        <f aca="false">IF($A296="","",$A296-WEEKDAY($A296,3))</f>
        <v/>
      </c>
      <c r="G296" s="65" t="str">
        <f aca="false">IF($A296="","",IF($F296=WeekStart,"Yes",""))</f>
        <v/>
      </c>
      <c r="H296" s="65" t="str">
        <f aca="false">IF($G296="Yes",$A296+ROW()/100000,"")</f>
        <v/>
      </c>
      <c r="I296" s="65" t="str">
        <f aca="false">IF(AND($D296&lt;&gt;"",$D296=UCSel),$A296+ROW()/100000,"")</f>
        <v/>
      </c>
    </row>
    <row r="297" customFormat="false" ht="15" hidden="false" customHeight="false" outlineLevel="0" collapsed="false">
      <c r="A297" s="63"/>
      <c r="B297" s="28"/>
      <c r="C297" s="28"/>
      <c r="D297" s="28"/>
      <c r="E297" s="64"/>
      <c r="F297" s="67" t="str">
        <f aca="false">IF($A297="","",$A297-WEEKDAY($A297,3))</f>
        <v/>
      </c>
      <c r="G297" s="65" t="str">
        <f aca="false">IF($A297="","",IF($F297=WeekStart,"Yes",""))</f>
        <v/>
      </c>
      <c r="H297" s="65" t="str">
        <f aca="false">IF($G297="Yes",$A297+ROW()/100000,"")</f>
        <v/>
      </c>
      <c r="I297" s="65" t="str">
        <f aca="false">IF(AND($D297&lt;&gt;"",$D297=UCSel),$A297+ROW()/100000,"")</f>
        <v/>
      </c>
    </row>
    <row r="298" customFormat="false" ht="15" hidden="false" customHeight="false" outlineLevel="0" collapsed="false">
      <c r="A298" s="63"/>
      <c r="B298" s="28"/>
      <c r="C298" s="28"/>
      <c r="D298" s="28"/>
      <c r="E298" s="64"/>
      <c r="F298" s="67" t="str">
        <f aca="false">IF($A298="","",$A298-WEEKDAY($A298,3))</f>
        <v/>
      </c>
      <c r="G298" s="65" t="str">
        <f aca="false">IF($A298="","",IF($F298=WeekStart,"Yes",""))</f>
        <v/>
      </c>
      <c r="H298" s="65" t="str">
        <f aca="false">IF($G298="Yes",$A298+ROW()/100000,"")</f>
        <v/>
      </c>
      <c r="I298" s="65" t="str">
        <f aca="false">IF(AND($D298&lt;&gt;"",$D298=UCSel),$A298+ROW()/100000,"")</f>
        <v/>
      </c>
    </row>
    <row r="299" customFormat="false" ht="15" hidden="false" customHeight="false" outlineLevel="0" collapsed="false">
      <c r="A299" s="63"/>
      <c r="B299" s="28"/>
      <c r="C299" s="28"/>
      <c r="D299" s="28"/>
      <c r="E299" s="64"/>
      <c r="F299" s="67" t="str">
        <f aca="false">IF($A299="","",$A299-WEEKDAY($A299,3))</f>
        <v/>
      </c>
      <c r="G299" s="65" t="str">
        <f aca="false">IF($A299="","",IF($F299=WeekStart,"Yes",""))</f>
        <v/>
      </c>
      <c r="H299" s="65" t="str">
        <f aca="false">IF($G299="Yes",$A299+ROW()/100000,"")</f>
        <v/>
      </c>
      <c r="I299" s="65" t="str">
        <f aca="false">IF(AND($D299&lt;&gt;"",$D299=UCSel),$A299+ROW()/100000,"")</f>
        <v/>
      </c>
    </row>
    <row r="300" customFormat="false" ht="15" hidden="false" customHeight="false" outlineLevel="0" collapsed="false">
      <c r="A300" s="63"/>
      <c r="B300" s="28"/>
      <c r="C300" s="28"/>
      <c r="D300" s="28"/>
      <c r="E300" s="64"/>
      <c r="F300" s="67" t="str">
        <f aca="false">IF($A300="","",$A300-WEEKDAY($A300,3))</f>
        <v/>
      </c>
      <c r="G300" s="65" t="str">
        <f aca="false">IF($A300="","",IF($F300=WeekStart,"Yes",""))</f>
        <v/>
      </c>
      <c r="H300" s="65" t="str">
        <f aca="false">IF($G300="Yes",$A300+ROW()/100000,"")</f>
        <v/>
      </c>
      <c r="I300" s="65" t="str">
        <f aca="false">IF(AND($D300&lt;&gt;"",$D300=UCSel),$A300+ROW()/100000,"")</f>
        <v/>
      </c>
    </row>
    <row r="301" customFormat="false" ht="15" hidden="false" customHeight="false" outlineLevel="0" collapsed="false">
      <c r="A301" s="63"/>
      <c r="B301" s="28"/>
      <c r="C301" s="28"/>
      <c r="D301" s="28"/>
      <c r="E301" s="64"/>
      <c r="F301" s="67" t="str">
        <f aca="false">IF($A301="","",$A301-WEEKDAY($A301,3))</f>
        <v/>
      </c>
      <c r="G301" s="65" t="str">
        <f aca="false">IF($A301="","",IF($F301=WeekStart,"Yes",""))</f>
        <v/>
      </c>
      <c r="H301" s="65" t="str">
        <f aca="false">IF($G301="Yes",$A301+ROW()/100000,"")</f>
        <v/>
      </c>
      <c r="I301" s="65" t="str">
        <f aca="false">IF(AND($D301&lt;&gt;"",$D301=UCSel),$A301+ROW()/100000,"")</f>
        <v/>
      </c>
    </row>
    <row r="302" customFormat="false" ht="15" hidden="false" customHeight="false" outlineLevel="0" collapsed="false">
      <c r="A302" s="63"/>
      <c r="B302" s="28"/>
      <c r="C302" s="28"/>
      <c r="D302" s="28"/>
      <c r="E302" s="64"/>
      <c r="F302" s="67" t="str">
        <f aca="false">IF($A302="","",$A302-WEEKDAY($A302,3))</f>
        <v/>
      </c>
      <c r="G302" s="65" t="str">
        <f aca="false">IF($A302="","",IF($F302=WeekStart,"Yes",""))</f>
        <v/>
      </c>
      <c r="H302" s="65" t="str">
        <f aca="false">IF($G302="Yes",$A302+ROW()/100000,"")</f>
        <v/>
      </c>
      <c r="I302" s="65" t="str">
        <f aca="false">IF(AND($D302&lt;&gt;"",$D302=UCSel),$A302+ROW()/100000,"")</f>
        <v/>
      </c>
    </row>
    <row r="303" customFormat="false" ht="15" hidden="false" customHeight="false" outlineLevel="0" collapsed="false">
      <c r="A303" s="63"/>
      <c r="B303" s="28"/>
      <c r="C303" s="28"/>
      <c r="D303" s="28"/>
      <c r="E303" s="64"/>
      <c r="F303" s="67" t="str">
        <f aca="false">IF($A303="","",$A303-WEEKDAY($A303,3))</f>
        <v/>
      </c>
      <c r="G303" s="65" t="str">
        <f aca="false">IF($A303="","",IF($F303=WeekStart,"Yes",""))</f>
        <v/>
      </c>
      <c r="H303" s="65" t="str">
        <f aca="false">IF($G303="Yes",$A303+ROW()/100000,"")</f>
        <v/>
      </c>
      <c r="I303" s="65" t="str">
        <f aca="false">IF(AND($D303&lt;&gt;"",$D303=UCSel),$A303+ROW()/100000,"")</f>
        <v/>
      </c>
    </row>
    <row r="304" customFormat="false" ht="15" hidden="false" customHeight="false" outlineLevel="0" collapsed="false">
      <c r="A304" s="63"/>
      <c r="B304" s="28"/>
      <c r="C304" s="28"/>
      <c r="D304" s="28"/>
      <c r="E304" s="64"/>
      <c r="F304" s="67" t="str">
        <f aca="false">IF($A304="","",$A304-WEEKDAY($A304,3))</f>
        <v/>
      </c>
      <c r="G304" s="65" t="str">
        <f aca="false">IF($A304="","",IF($F304=WeekStart,"Yes",""))</f>
        <v/>
      </c>
      <c r="H304" s="65" t="str">
        <f aca="false">IF($G304="Yes",$A304+ROW()/100000,"")</f>
        <v/>
      </c>
      <c r="I304" s="65" t="str">
        <f aca="false">IF(AND($D304&lt;&gt;"",$D304=UCSel),$A304+ROW()/100000,"")</f>
        <v/>
      </c>
    </row>
    <row r="305" customFormat="false" ht="15" hidden="false" customHeight="false" outlineLevel="0" collapsed="false">
      <c r="A305" s="63"/>
      <c r="B305" s="28"/>
      <c r="C305" s="28"/>
      <c r="D305" s="28"/>
      <c r="E305" s="64"/>
      <c r="F305" s="67" t="str">
        <f aca="false">IF($A305="","",$A305-WEEKDAY($A305,3))</f>
        <v/>
      </c>
      <c r="G305" s="65" t="str">
        <f aca="false">IF($A305="","",IF($F305=WeekStart,"Yes",""))</f>
        <v/>
      </c>
      <c r="H305" s="65" t="str">
        <f aca="false">IF($G305="Yes",$A305+ROW()/100000,"")</f>
        <v/>
      </c>
      <c r="I305" s="65" t="str">
        <f aca="false">IF(AND($D305&lt;&gt;"",$D305=UCSel),$A305+ROW()/100000,"")</f>
        <v/>
      </c>
    </row>
    <row r="306" customFormat="false" ht="15" hidden="false" customHeight="false" outlineLevel="0" collapsed="false">
      <c r="A306" s="63"/>
      <c r="B306" s="28"/>
      <c r="C306" s="28"/>
      <c r="D306" s="28"/>
      <c r="E306" s="64"/>
      <c r="F306" s="67" t="str">
        <f aca="false">IF($A306="","",$A306-WEEKDAY($A306,3))</f>
        <v/>
      </c>
      <c r="G306" s="65" t="str">
        <f aca="false">IF($A306="","",IF($F306=WeekStart,"Yes",""))</f>
        <v/>
      </c>
      <c r="H306" s="65" t="str">
        <f aca="false">IF($G306="Yes",$A306+ROW()/100000,"")</f>
        <v/>
      </c>
      <c r="I306" s="65" t="str">
        <f aca="false">IF(AND($D306&lt;&gt;"",$D306=UCSel),$A306+ROW()/100000,"")</f>
        <v/>
      </c>
    </row>
    <row r="307" customFormat="false" ht="15" hidden="false" customHeight="false" outlineLevel="0" collapsed="false">
      <c r="A307" s="63"/>
      <c r="B307" s="28"/>
      <c r="C307" s="28"/>
      <c r="D307" s="28"/>
      <c r="E307" s="64"/>
      <c r="F307" s="67" t="str">
        <f aca="false">IF($A307="","",$A307-WEEKDAY($A307,3))</f>
        <v/>
      </c>
      <c r="G307" s="65" t="str">
        <f aca="false">IF($A307="","",IF($F307=WeekStart,"Yes",""))</f>
        <v/>
      </c>
      <c r="H307" s="65" t="str">
        <f aca="false">IF($G307="Yes",$A307+ROW()/100000,"")</f>
        <v/>
      </c>
      <c r="I307" s="65" t="str">
        <f aca="false">IF(AND($D307&lt;&gt;"",$D307=UCSel),$A307+ROW()/100000,"")</f>
        <v/>
      </c>
    </row>
    <row r="308" customFormat="false" ht="15" hidden="false" customHeight="false" outlineLevel="0" collapsed="false">
      <c r="A308" s="63"/>
      <c r="B308" s="28"/>
      <c r="C308" s="28"/>
      <c r="D308" s="28"/>
      <c r="E308" s="64"/>
      <c r="F308" s="67" t="str">
        <f aca="false">IF($A308="","",$A308-WEEKDAY($A308,3))</f>
        <v/>
      </c>
      <c r="G308" s="65" t="str">
        <f aca="false">IF($A308="","",IF($F308=WeekStart,"Yes",""))</f>
        <v/>
      </c>
      <c r="H308" s="65" t="str">
        <f aca="false">IF($G308="Yes",$A308+ROW()/100000,"")</f>
        <v/>
      </c>
      <c r="I308" s="65" t="str">
        <f aca="false">IF(AND($D308&lt;&gt;"",$D308=UCSel),$A308+ROW()/100000,"")</f>
        <v/>
      </c>
    </row>
    <row r="309" customFormat="false" ht="15" hidden="false" customHeight="false" outlineLevel="0" collapsed="false">
      <c r="A309" s="63"/>
      <c r="B309" s="28"/>
      <c r="C309" s="28"/>
      <c r="D309" s="28"/>
      <c r="E309" s="64"/>
      <c r="F309" s="67" t="str">
        <f aca="false">IF($A309="","",$A309-WEEKDAY($A309,3))</f>
        <v/>
      </c>
      <c r="G309" s="65" t="str">
        <f aca="false">IF($A309="","",IF($F309=WeekStart,"Yes",""))</f>
        <v/>
      </c>
      <c r="H309" s="65" t="str">
        <f aca="false">IF($G309="Yes",$A309+ROW()/100000,"")</f>
        <v/>
      </c>
      <c r="I309" s="65" t="str">
        <f aca="false">IF(AND($D309&lt;&gt;"",$D309=UCSel),$A309+ROW()/100000,"")</f>
        <v/>
      </c>
    </row>
    <row r="310" customFormat="false" ht="15" hidden="false" customHeight="false" outlineLevel="0" collapsed="false">
      <c r="A310" s="63"/>
      <c r="B310" s="28"/>
      <c r="C310" s="28"/>
      <c r="D310" s="28"/>
      <c r="E310" s="64"/>
      <c r="F310" s="67" t="str">
        <f aca="false">IF($A310="","",$A310-WEEKDAY($A310,3))</f>
        <v/>
      </c>
      <c r="G310" s="65" t="str">
        <f aca="false">IF($A310="","",IF($F310=WeekStart,"Yes",""))</f>
        <v/>
      </c>
      <c r="H310" s="65" t="str">
        <f aca="false">IF($G310="Yes",$A310+ROW()/100000,"")</f>
        <v/>
      </c>
      <c r="I310" s="65" t="str">
        <f aca="false">IF(AND($D310&lt;&gt;"",$D310=UCSel),$A310+ROW()/100000,"")</f>
        <v/>
      </c>
    </row>
    <row r="311" customFormat="false" ht="15" hidden="false" customHeight="false" outlineLevel="0" collapsed="false">
      <c r="A311" s="63"/>
      <c r="B311" s="28"/>
      <c r="C311" s="28"/>
      <c r="D311" s="28"/>
      <c r="E311" s="64"/>
      <c r="F311" s="67" t="str">
        <f aca="false">IF($A311="","",$A311-WEEKDAY($A311,3))</f>
        <v/>
      </c>
      <c r="G311" s="65" t="str">
        <f aca="false">IF($A311="","",IF($F311=WeekStart,"Yes",""))</f>
        <v/>
      </c>
      <c r="H311" s="65" t="str">
        <f aca="false">IF($G311="Yes",$A311+ROW()/100000,"")</f>
        <v/>
      </c>
      <c r="I311" s="65" t="str">
        <f aca="false">IF(AND($D311&lt;&gt;"",$D311=UCSel),$A311+ROW()/100000,"")</f>
        <v/>
      </c>
    </row>
    <row r="312" customFormat="false" ht="15" hidden="false" customHeight="false" outlineLevel="0" collapsed="false">
      <c r="A312" s="63"/>
      <c r="B312" s="28"/>
      <c r="C312" s="28"/>
      <c r="D312" s="28"/>
      <c r="E312" s="64"/>
      <c r="F312" s="67" t="str">
        <f aca="false">IF($A312="","",$A312-WEEKDAY($A312,3))</f>
        <v/>
      </c>
      <c r="G312" s="65" t="str">
        <f aca="false">IF($A312="","",IF($F312=WeekStart,"Yes",""))</f>
        <v/>
      </c>
      <c r="H312" s="65" t="str">
        <f aca="false">IF($G312="Yes",$A312+ROW()/100000,"")</f>
        <v/>
      </c>
      <c r="I312" s="65" t="str">
        <f aca="false">IF(AND($D312&lt;&gt;"",$D312=UCSel),$A312+ROW()/100000,"")</f>
        <v/>
      </c>
    </row>
    <row r="313" customFormat="false" ht="15" hidden="false" customHeight="false" outlineLevel="0" collapsed="false">
      <c r="A313" s="63"/>
      <c r="B313" s="28"/>
      <c r="C313" s="28"/>
      <c r="D313" s="28"/>
      <c r="E313" s="64"/>
      <c r="F313" s="67" t="str">
        <f aca="false">IF($A313="","",$A313-WEEKDAY($A313,3))</f>
        <v/>
      </c>
      <c r="G313" s="65" t="str">
        <f aca="false">IF($A313="","",IF($F313=WeekStart,"Yes",""))</f>
        <v/>
      </c>
      <c r="H313" s="65" t="str">
        <f aca="false">IF($G313="Yes",$A313+ROW()/100000,"")</f>
        <v/>
      </c>
      <c r="I313" s="65" t="str">
        <f aca="false">IF(AND($D313&lt;&gt;"",$D313=UCSel),$A313+ROW()/100000,"")</f>
        <v/>
      </c>
    </row>
    <row r="314" customFormat="false" ht="15" hidden="false" customHeight="false" outlineLevel="0" collapsed="false">
      <c r="A314" s="63"/>
      <c r="B314" s="28"/>
      <c r="C314" s="28"/>
      <c r="D314" s="28"/>
      <c r="E314" s="64"/>
      <c r="F314" s="67" t="str">
        <f aca="false">IF($A314="","",$A314-WEEKDAY($A314,3))</f>
        <v/>
      </c>
      <c r="G314" s="65" t="str">
        <f aca="false">IF($A314="","",IF($F314=WeekStart,"Yes",""))</f>
        <v/>
      </c>
      <c r="H314" s="65" t="str">
        <f aca="false">IF($G314="Yes",$A314+ROW()/100000,"")</f>
        <v/>
      </c>
      <c r="I314" s="65" t="str">
        <f aca="false">IF(AND($D314&lt;&gt;"",$D314=UCSel),$A314+ROW()/100000,"")</f>
        <v/>
      </c>
    </row>
    <row r="315" customFormat="false" ht="15" hidden="false" customHeight="false" outlineLevel="0" collapsed="false">
      <c r="A315" s="63"/>
      <c r="B315" s="28"/>
      <c r="C315" s="28"/>
      <c r="D315" s="28"/>
      <c r="E315" s="64"/>
      <c r="F315" s="67" t="str">
        <f aca="false">IF($A315="","",$A315-WEEKDAY($A315,3))</f>
        <v/>
      </c>
      <c r="G315" s="65" t="str">
        <f aca="false">IF($A315="","",IF($F315=WeekStart,"Yes",""))</f>
        <v/>
      </c>
      <c r="H315" s="65" t="str">
        <f aca="false">IF($G315="Yes",$A315+ROW()/100000,"")</f>
        <v/>
      </c>
      <c r="I315" s="65" t="str">
        <f aca="false">IF(AND($D315&lt;&gt;"",$D315=UCSel),$A315+ROW()/100000,"")</f>
        <v/>
      </c>
    </row>
    <row r="316" customFormat="false" ht="15" hidden="false" customHeight="false" outlineLevel="0" collapsed="false">
      <c r="A316" s="63"/>
      <c r="B316" s="28"/>
      <c r="C316" s="28"/>
      <c r="D316" s="28"/>
      <c r="E316" s="64"/>
      <c r="F316" s="67" t="str">
        <f aca="false">IF($A316="","",$A316-WEEKDAY($A316,3))</f>
        <v/>
      </c>
      <c r="G316" s="65" t="str">
        <f aca="false">IF($A316="","",IF($F316=WeekStart,"Yes",""))</f>
        <v/>
      </c>
      <c r="H316" s="65" t="str">
        <f aca="false">IF($G316="Yes",$A316+ROW()/100000,"")</f>
        <v/>
      </c>
      <c r="I316" s="65" t="str">
        <f aca="false">IF(AND($D316&lt;&gt;"",$D316=UCSel),$A316+ROW()/100000,"")</f>
        <v/>
      </c>
    </row>
    <row r="317" customFormat="false" ht="15" hidden="false" customHeight="false" outlineLevel="0" collapsed="false">
      <c r="A317" s="63"/>
      <c r="B317" s="28"/>
      <c r="C317" s="28"/>
      <c r="D317" s="28"/>
      <c r="E317" s="64"/>
      <c r="F317" s="67" t="str">
        <f aca="false">IF($A317="","",$A317-WEEKDAY($A317,3))</f>
        <v/>
      </c>
      <c r="G317" s="65" t="str">
        <f aca="false">IF($A317="","",IF($F317=WeekStart,"Yes",""))</f>
        <v/>
      </c>
      <c r="H317" s="65" t="str">
        <f aca="false">IF($G317="Yes",$A317+ROW()/100000,"")</f>
        <v/>
      </c>
      <c r="I317" s="65" t="str">
        <f aca="false">IF(AND($D317&lt;&gt;"",$D317=UCSel),$A317+ROW()/100000,"")</f>
        <v/>
      </c>
    </row>
    <row r="318" customFormat="false" ht="15" hidden="false" customHeight="false" outlineLevel="0" collapsed="false">
      <c r="A318" s="63"/>
      <c r="B318" s="28"/>
      <c r="C318" s="28"/>
      <c r="D318" s="28"/>
      <c r="E318" s="64"/>
      <c r="F318" s="67" t="str">
        <f aca="false">IF($A318="","",$A318-WEEKDAY($A318,3))</f>
        <v/>
      </c>
      <c r="G318" s="65" t="str">
        <f aca="false">IF($A318="","",IF($F318=WeekStart,"Yes",""))</f>
        <v/>
      </c>
      <c r="H318" s="65" t="str">
        <f aca="false">IF($G318="Yes",$A318+ROW()/100000,"")</f>
        <v/>
      </c>
      <c r="I318" s="65" t="str">
        <f aca="false">IF(AND($D318&lt;&gt;"",$D318=UCSel),$A318+ROW()/100000,"")</f>
        <v/>
      </c>
    </row>
    <row r="319" customFormat="false" ht="15" hidden="false" customHeight="false" outlineLevel="0" collapsed="false">
      <c r="A319" s="63"/>
      <c r="B319" s="28"/>
      <c r="C319" s="28"/>
      <c r="D319" s="28"/>
      <c r="E319" s="64"/>
      <c r="F319" s="67" t="str">
        <f aca="false">IF($A319="","",$A319-WEEKDAY($A319,3))</f>
        <v/>
      </c>
      <c r="G319" s="65" t="str">
        <f aca="false">IF($A319="","",IF($F319=WeekStart,"Yes",""))</f>
        <v/>
      </c>
      <c r="H319" s="65" t="str">
        <f aca="false">IF($G319="Yes",$A319+ROW()/100000,"")</f>
        <v/>
      </c>
      <c r="I319" s="65" t="str">
        <f aca="false">IF(AND($D319&lt;&gt;"",$D319=UCSel),$A319+ROW()/100000,"")</f>
        <v/>
      </c>
    </row>
    <row r="320" customFormat="false" ht="15" hidden="false" customHeight="false" outlineLevel="0" collapsed="false">
      <c r="A320" s="63"/>
      <c r="B320" s="28"/>
      <c r="C320" s="28"/>
      <c r="D320" s="28"/>
      <c r="E320" s="64"/>
      <c r="F320" s="67" t="str">
        <f aca="false">IF($A320="","",$A320-WEEKDAY($A320,3))</f>
        <v/>
      </c>
      <c r="G320" s="65" t="str">
        <f aca="false">IF($A320="","",IF($F320=WeekStart,"Yes",""))</f>
        <v/>
      </c>
      <c r="H320" s="65" t="str">
        <f aca="false">IF($G320="Yes",$A320+ROW()/100000,"")</f>
        <v/>
      </c>
      <c r="I320" s="65" t="str">
        <f aca="false">IF(AND($D320&lt;&gt;"",$D320=UCSel),$A320+ROW()/100000,"")</f>
        <v/>
      </c>
    </row>
    <row r="321" customFormat="false" ht="15" hidden="false" customHeight="false" outlineLevel="0" collapsed="false">
      <c r="A321" s="63"/>
      <c r="B321" s="28"/>
      <c r="C321" s="28"/>
      <c r="D321" s="28"/>
      <c r="E321" s="64"/>
      <c r="F321" s="67" t="str">
        <f aca="false">IF($A321="","",$A321-WEEKDAY($A321,3))</f>
        <v/>
      </c>
      <c r="G321" s="65" t="str">
        <f aca="false">IF($A321="","",IF($F321=WeekStart,"Yes",""))</f>
        <v/>
      </c>
      <c r="H321" s="65" t="str">
        <f aca="false">IF($G321="Yes",$A321+ROW()/100000,"")</f>
        <v/>
      </c>
      <c r="I321" s="65" t="str">
        <f aca="false">IF(AND($D321&lt;&gt;"",$D321=UCSel),$A321+ROW()/100000,"")</f>
        <v/>
      </c>
    </row>
    <row r="322" customFormat="false" ht="15" hidden="false" customHeight="false" outlineLevel="0" collapsed="false">
      <c r="A322" s="63"/>
      <c r="B322" s="28"/>
      <c r="C322" s="28"/>
      <c r="D322" s="28"/>
      <c r="E322" s="64"/>
      <c r="F322" s="67" t="str">
        <f aca="false">IF($A322="","",$A322-WEEKDAY($A322,3))</f>
        <v/>
      </c>
      <c r="G322" s="65" t="str">
        <f aca="false">IF($A322="","",IF($F322=WeekStart,"Yes",""))</f>
        <v/>
      </c>
      <c r="H322" s="65" t="str">
        <f aca="false">IF($G322="Yes",$A322+ROW()/100000,"")</f>
        <v/>
      </c>
      <c r="I322" s="65" t="str">
        <f aca="false">IF(AND($D322&lt;&gt;"",$D322=UCSel),$A322+ROW()/100000,"")</f>
        <v/>
      </c>
    </row>
    <row r="323" customFormat="false" ht="15" hidden="false" customHeight="false" outlineLevel="0" collapsed="false">
      <c r="A323" s="63"/>
      <c r="B323" s="28"/>
      <c r="C323" s="28"/>
      <c r="D323" s="28"/>
      <c r="E323" s="64"/>
      <c r="F323" s="67" t="str">
        <f aca="false">IF($A323="","",$A323-WEEKDAY($A323,3))</f>
        <v/>
      </c>
      <c r="G323" s="65" t="str">
        <f aca="false">IF($A323="","",IF($F323=WeekStart,"Yes",""))</f>
        <v/>
      </c>
      <c r="H323" s="65" t="str">
        <f aca="false">IF($G323="Yes",$A323+ROW()/100000,"")</f>
        <v/>
      </c>
      <c r="I323" s="65" t="str">
        <f aca="false">IF(AND($D323&lt;&gt;"",$D323=UCSel),$A323+ROW()/100000,"")</f>
        <v/>
      </c>
    </row>
    <row r="324" customFormat="false" ht="15" hidden="false" customHeight="false" outlineLevel="0" collapsed="false">
      <c r="A324" s="63"/>
      <c r="B324" s="28"/>
      <c r="C324" s="28"/>
      <c r="D324" s="28"/>
      <c r="E324" s="64"/>
      <c r="F324" s="67" t="str">
        <f aca="false">IF($A324="","",$A324-WEEKDAY($A324,3))</f>
        <v/>
      </c>
      <c r="G324" s="65" t="str">
        <f aca="false">IF($A324="","",IF($F324=WeekStart,"Yes",""))</f>
        <v/>
      </c>
      <c r="H324" s="65" t="str">
        <f aca="false">IF($G324="Yes",$A324+ROW()/100000,"")</f>
        <v/>
      </c>
      <c r="I324" s="65" t="str">
        <f aca="false">IF(AND($D324&lt;&gt;"",$D324=UCSel),$A324+ROW()/100000,"")</f>
        <v/>
      </c>
    </row>
    <row r="325" customFormat="false" ht="15" hidden="false" customHeight="false" outlineLevel="0" collapsed="false">
      <c r="A325" s="63"/>
      <c r="B325" s="28"/>
      <c r="C325" s="28"/>
      <c r="D325" s="28"/>
      <c r="E325" s="64"/>
      <c r="F325" s="67" t="str">
        <f aca="false">IF($A325="","",$A325-WEEKDAY($A325,3))</f>
        <v/>
      </c>
      <c r="G325" s="65" t="str">
        <f aca="false">IF($A325="","",IF($F325=WeekStart,"Yes",""))</f>
        <v/>
      </c>
      <c r="H325" s="65" t="str">
        <f aca="false">IF($G325="Yes",$A325+ROW()/100000,"")</f>
        <v/>
      </c>
      <c r="I325" s="65" t="str">
        <f aca="false">IF(AND($D325&lt;&gt;"",$D325=UCSel),$A325+ROW()/100000,"")</f>
        <v/>
      </c>
    </row>
    <row r="326" customFormat="false" ht="15" hidden="false" customHeight="false" outlineLevel="0" collapsed="false">
      <c r="A326" s="63"/>
      <c r="B326" s="28"/>
      <c r="C326" s="28"/>
      <c r="D326" s="28"/>
      <c r="E326" s="64"/>
      <c r="F326" s="67" t="str">
        <f aca="false">IF($A326="","",$A326-WEEKDAY($A326,3))</f>
        <v/>
      </c>
      <c r="G326" s="65" t="str">
        <f aca="false">IF($A326="","",IF($F326=WeekStart,"Yes",""))</f>
        <v/>
      </c>
      <c r="H326" s="65" t="str">
        <f aca="false">IF($G326="Yes",$A326+ROW()/100000,"")</f>
        <v/>
      </c>
      <c r="I326" s="65" t="str">
        <f aca="false">IF(AND($D326&lt;&gt;"",$D326=UCSel),$A326+ROW()/100000,"")</f>
        <v/>
      </c>
    </row>
    <row r="327" customFormat="false" ht="15" hidden="false" customHeight="false" outlineLevel="0" collapsed="false">
      <c r="A327" s="63"/>
      <c r="B327" s="28"/>
      <c r="C327" s="28"/>
      <c r="D327" s="28"/>
      <c r="E327" s="64"/>
      <c r="F327" s="67" t="str">
        <f aca="false">IF($A327="","",$A327-WEEKDAY($A327,3))</f>
        <v/>
      </c>
      <c r="G327" s="65" t="str">
        <f aca="false">IF($A327="","",IF($F327=WeekStart,"Yes",""))</f>
        <v/>
      </c>
      <c r="H327" s="65" t="str">
        <f aca="false">IF($G327="Yes",$A327+ROW()/100000,"")</f>
        <v/>
      </c>
      <c r="I327" s="65" t="str">
        <f aca="false">IF(AND($D327&lt;&gt;"",$D327=UCSel),$A327+ROW()/100000,"")</f>
        <v/>
      </c>
    </row>
    <row r="328" customFormat="false" ht="15" hidden="false" customHeight="false" outlineLevel="0" collapsed="false">
      <c r="A328" s="63"/>
      <c r="B328" s="28"/>
      <c r="C328" s="28"/>
      <c r="D328" s="28"/>
      <c r="E328" s="64"/>
      <c r="F328" s="67" t="str">
        <f aca="false">IF($A328="","",$A328-WEEKDAY($A328,3))</f>
        <v/>
      </c>
      <c r="G328" s="65" t="str">
        <f aca="false">IF($A328="","",IF($F328=WeekStart,"Yes",""))</f>
        <v/>
      </c>
      <c r="H328" s="65" t="str">
        <f aca="false">IF($G328="Yes",$A328+ROW()/100000,"")</f>
        <v/>
      </c>
      <c r="I328" s="65" t="str">
        <f aca="false">IF(AND($D328&lt;&gt;"",$D328=UCSel),$A328+ROW()/100000,"")</f>
        <v/>
      </c>
    </row>
    <row r="329" customFormat="false" ht="15" hidden="false" customHeight="false" outlineLevel="0" collapsed="false">
      <c r="A329" s="63"/>
      <c r="B329" s="28"/>
      <c r="C329" s="28"/>
      <c r="D329" s="28"/>
      <c r="E329" s="64"/>
      <c r="F329" s="67" t="str">
        <f aca="false">IF($A329="","",$A329-WEEKDAY($A329,3))</f>
        <v/>
      </c>
      <c r="G329" s="65" t="str">
        <f aca="false">IF($A329="","",IF($F329=WeekStart,"Yes",""))</f>
        <v/>
      </c>
      <c r="H329" s="65" t="str">
        <f aca="false">IF($G329="Yes",$A329+ROW()/100000,"")</f>
        <v/>
      </c>
      <c r="I329" s="65" t="str">
        <f aca="false">IF(AND($D329&lt;&gt;"",$D329=UCSel),$A329+ROW()/100000,"")</f>
        <v/>
      </c>
    </row>
    <row r="330" customFormat="false" ht="15" hidden="false" customHeight="false" outlineLevel="0" collapsed="false">
      <c r="A330" s="63"/>
      <c r="B330" s="28"/>
      <c r="C330" s="28"/>
      <c r="D330" s="28"/>
      <c r="E330" s="64"/>
      <c r="F330" s="67" t="str">
        <f aca="false">IF($A330="","",$A330-WEEKDAY($A330,3))</f>
        <v/>
      </c>
      <c r="G330" s="65" t="str">
        <f aca="false">IF($A330="","",IF($F330=WeekStart,"Yes",""))</f>
        <v/>
      </c>
      <c r="H330" s="65" t="str">
        <f aca="false">IF($G330="Yes",$A330+ROW()/100000,"")</f>
        <v/>
      </c>
      <c r="I330" s="65" t="str">
        <f aca="false">IF(AND($D330&lt;&gt;"",$D330=UCSel),$A330+ROW()/100000,"")</f>
        <v/>
      </c>
    </row>
    <row r="331" customFormat="false" ht="15" hidden="false" customHeight="false" outlineLevel="0" collapsed="false">
      <c r="A331" s="63"/>
      <c r="B331" s="28"/>
      <c r="C331" s="28"/>
      <c r="D331" s="28"/>
      <c r="E331" s="64"/>
      <c r="F331" s="67" t="str">
        <f aca="false">IF($A331="","",$A331-WEEKDAY($A331,3))</f>
        <v/>
      </c>
      <c r="G331" s="65" t="str">
        <f aca="false">IF($A331="","",IF($F331=WeekStart,"Yes",""))</f>
        <v/>
      </c>
      <c r="H331" s="65" t="str">
        <f aca="false">IF($G331="Yes",$A331+ROW()/100000,"")</f>
        <v/>
      </c>
      <c r="I331" s="65" t="str">
        <f aca="false">IF(AND($D331&lt;&gt;"",$D331=UCSel),$A331+ROW()/100000,"")</f>
        <v/>
      </c>
    </row>
    <row r="332" customFormat="false" ht="15" hidden="false" customHeight="false" outlineLevel="0" collapsed="false">
      <c r="A332" s="63"/>
      <c r="B332" s="28"/>
      <c r="C332" s="28"/>
      <c r="D332" s="28"/>
      <c r="E332" s="64"/>
      <c r="F332" s="67" t="str">
        <f aca="false">IF($A332="","",$A332-WEEKDAY($A332,3))</f>
        <v/>
      </c>
      <c r="G332" s="65" t="str">
        <f aca="false">IF($A332="","",IF($F332=WeekStart,"Yes",""))</f>
        <v/>
      </c>
      <c r="H332" s="65" t="str">
        <f aca="false">IF($G332="Yes",$A332+ROW()/100000,"")</f>
        <v/>
      </c>
      <c r="I332" s="65" t="str">
        <f aca="false">IF(AND($D332&lt;&gt;"",$D332=UCSel),$A332+ROW()/100000,"")</f>
        <v/>
      </c>
    </row>
    <row r="333" customFormat="false" ht="15" hidden="false" customHeight="false" outlineLevel="0" collapsed="false">
      <c r="A333" s="63"/>
      <c r="B333" s="28"/>
      <c r="C333" s="28"/>
      <c r="D333" s="28"/>
      <c r="E333" s="64"/>
      <c r="F333" s="67" t="str">
        <f aca="false">IF($A333="","",$A333-WEEKDAY($A333,3))</f>
        <v/>
      </c>
      <c r="G333" s="65" t="str">
        <f aca="false">IF($A333="","",IF($F333=WeekStart,"Yes",""))</f>
        <v/>
      </c>
      <c r="H333" s="65" t="str">
        <f aca="false">IF($G333="Yes",$A333+ROW()/100000,"")</f>
        <v/>
      </c>
      <c r="I333" s="65" t="str">
        <f aca="false">IF(AND($D333&lt;&gt;"",$D333=UCSel),$A333+ROW()/100000,"")</f>
        <v/>
      </c>
    </row>
    <row r="334" customFormat="false" ht="15" hidden="false" customHeight="false" outlineLevel="0" collapsed="false">
      <c r="A334" s="63"/>
      <c r="B334" s="28"/>
      <c r="C334" s="28"/>
      <c r="D334" s="28"/>
      <c r="E334" s="64"/>
      <c r="F334" s="67" t="str">
        <f aca="false">IF($A334="","",$A334-WEEKDAY($A334,3))</f>
        <v/>
      </c>
      <c r="G334" s="65" t="str">
        <f aca="false">IF($A334="","",IF($F334=WeekStart,"Yes",""))</f>
        <v/>
      </c>
      <c r="H334" s="65" t="str">
        <f aca="false">IF($G334="Yes",$A334+ROW()/100000,"")</f>
        <v/>
      </c>
      <c r="I334" s="65" t="str">
        <f aca="false">IF(AND($D334&lt;&gt;"",$D334=UCSel),$A334+ROW()/100000,"")</f>
        <v/>
      </c>
    </row>
    <row r="335" customFormat="false" ht="15" hidden="false" customHeight="false" outlineLevel="0" collapsed="false">
      <c r="A335" s="63"/>
      <c r="B335" s="28"/>
      <c r="C335" s="28"/>
      <c r="D335" s="28"/>
      <c r="E335" s="64"/>
      <c r="F335" s="67" t="str">
        <f aca="false">IF($A335="","",$A335-WEEKDAY($A335,3))</f>
        <v/>
      </c>
      <c r="G335" s="65" t="str">
        <f aca="false">IF($A335="","",IF($F335=WeekStart,"Yes",""))</f>
        <v/>
      </c>
      <c r="H335" s="65" t="str">
        <f aca="false">IF($G335="Yes",$A335+ROW()/100000,"")</f>
        <v/>
      </c>
      <c r="I335" s="65" t="str">
        <f aca="false">IF(AND($D335&lt;&gt;"",$D335=UCSel),$A335+ROW()/100000,"")</f>
        <v/>
      </c>
    </row>
    <row r="336" customFormat="false" ht="15" hidden="false" customHeight="false" outlineLevel="0" collapsed="false">
      <c r="A336" s="63"/>
      <c r="B336" s="28"/>
      <c r="C336" s="28"/>
      <c r="D336" s="28"/>
      <c r="E336" s="64"/>
      <c r="F336" s="67" t="str">
        <f aca="false">IF($A336="","",$A336-WEEKDAY($A336,3))</f>
        <v/>
      </c>
      <c r="G336" s="65" t="str">
        <f aca="false">IF($A336="","",IF($F336=WeekStart,"Yes",""))</f>
        <v/>
      </c>
      <c r="H336" s="65" t="str">
        <f aca="false">IF($G336="Yes",$A336+ROW()/100000,"")</f>
        <v/>
      </c>
      <c r="I336" s="65" t="str">
        <f aca="false">IF(AND($D336&lt;&gt;"",$D336=UCSel),$A336+ROW()/100000,"")</f>
        <v/>
      </c>
    </row>
    <row r="337" customFormat="false" ht="15" hidden="false" customHeight="false" outlineLevel="0" collapsed="false">
      <c r="A337" s="63"/>
      <c r="B337" s="28"/>
      <c r="C337" s="28"/>
      <c r="D337" s="28"/>
      <c r="E337" s="64"/>
      <c r="F337" s="67" t="str">
        <f aca="false">IF($A337="","",$A337-WEEKDAY($A337,3))</f>
        <v/>
      </c>
      <c r="G337" s="65" t="str">
        <f aca="false">IF($A337="","",IF($F337=WeekStart,"Yes",""))</f>
        <v/>
      </c>
      <c r="H337" s="65" t="str">
        <f aca="false">IF($G337="Yes",$A337+ROW()/100000,"")</f>
        <v/>
      </c>
      <c r="I337" s="65" t="str">
        <f aca="false">IF(AND($D337&lt;&gt;"",$D337=UCSel),$A337+ROW()/100000,"")</f>
        <v/>
      </c>
    </row>
    <row r="338" customFormat="false" ht="15" hidden="false" customHeight="false" outlineLevel="0" collapsed="false">
      <c r="A338" s="63"/>
      <c r="B338" s="28"/>
      <c r="C338" s="28"/>
      <c r="D338" s="28"/>
      <c r="E338" s="64"/>
      <c r="F338" s="67" t="str">
        <f aca="false">IF($A338="","",$A338-WEEKDAY($A338,3))</f>
        <v/>
      </c>
      <c r="G338" s="65" t="str">
        <f aca="false">IF($A338="","",IF($F338=WeekStart,"Yes",""))</f>
        <v/>
      </c>
      <c r="H338" s="65" t="str">
        <f aca="false">IF($G338="Yes",$A338+ROW()/100000,"")</f>
        <v/>
      </c>
      <c r="I338" s="65" t="str">
        <f aca="false">IF(AND($D338&lt;&gt;"",$D338=UCSel),$A338+ROW()/100000,"")</f>
        <v/>
      </c>
    </row>
    <row r="339" customFormat="false" ht="15" hidden="false" customHeight="false" outlineLevel="0" collapsed="false">
      <c r="A339" s="63"/>
      <c r="B339" s="28"/>
      <c r="C339" s="28"/>
      <c r="D339" s="28"/>
      <c r="E339" s="64"/>
      <c r="F339" s="67" t="str">
        <f aca="false">IF($A339="","",$A339-WEEKDAY($A339,3))</f>
        <v/>
      </c>
      <c r="G339" s="65" t="str">
        <f aca="false">IF($A339="","",IF($F339=WeekStart,"Yes",""))</f>
        <v/>
      </c>
      <c r="H339" s="65" t="str">
        <f aca="false">IF($G339="Yes",$A339+ROW()/100000,"")</f>
        <v/>
      </c>
      <c r="I339" s="65" t="str">
        <f aca="false">IF(AND($D339&lt;&gt;"",$D339=UCSel),$A339+ROW()/100000,"")</f>
        <v/>
      </c>
    </row>
    <row r="340" customFormat="false" ht="15" hidden="false" customHeight="false" outlineLevel="0" collapsed="false">
      <c r="A340" s="63"/>
      <c r="B340" s="28"/>
      <c r="C340" s="28"/>
      <c r="D340" s="28"/>
      <c r="E340" s="64"/>
      <c r="F340" s="67" t="str">
        <f aca="false">IF($A340="","",$A340-WEEKDAY($A340,3))</f>
        <v/>
      </c>
      <c r="G340" s="65" t="str">
        <f aca="false">IF($A340="","",IF($F340=WeekStart,"Yes",""))</f>
        <v/>
      </c>
      <c r="H340" s="65" t="str">
        <f aca="false">IF($G340="Yes",$A340+ROW()/100000,"")</f>
        <v/>
      </c>
      <c r="I340" s="65" t="str">
        <f aca="false">IF(AND($D340&lt;&gt;"",$D340=UCSel),$A340+ROW()/100000,"")</f>
        <v/>
      </c>
    </row>
    <row r="341" customFormat="false" ht="15" hidden="false" customHeight="false" outlineLevel="0" collapsed="false">
      <c r="A341" s="63"/>
      <c r="B341" s="28"/>
      <c r="C341" s="28"/>
      <c r="D341" s="28"/>
      <c r="E341" s="64"/>
      <c r="F341" s="67" t="str">
        <f aca="false">IF($A341="","",$A341-WEEKDAY($A341,3))</f>
        <v/>
      </c>
      <c r="G341" s="65" t="str">
        <f aca="false">IF($A341="","",IF($F341=WeekStart,"Yes",""))</f>
        <v/>
      </c>
      <c r="H341" s="65" t="str">
        <f aca="false">IF($G341="Yes",$A341+ROW()/100000,"")</f>
        <v/>
      </c>
      <c r="I341" s="65" t="str">
        <f aca="false">IF(AND($D341&lt;&gt;"",$D341=UCSel),$A341+ROW()/100000,"")</f>
        <v/>
      </c>
    </row>
    <row r="342" customFormat="false" ht="15" hidden="false" customHeight="false" outlineLevel="0" collapsed="false">
      <c r="A342" s="63"/>
      <c r="B342" s="28"/>
      <c r="C342" s="28"/>
      <c r="D342" s="28"/>
      <c r="E342" s="64"/>
      <c r="F342" s="67" t="str">
        <f aca="false">IF($A342="","",$A342-WEEKDAY($A342,3))</f>
        <v/>
      </c>
      <c r="G342" s="65" t="str">
        <f aca="false">IF($A342="","",IF($F342=WeekStart,"Yes",""))</f>
        <v/>
      </c>
      <c r="H342" s="65" t="str">
        <f aca="false">IF($G342="Yes",$A342+ROW()/100000,"")</f>
        <v/>
      </c>
      <c r="I342" s="65" t="str">
        <f aca="false">IF(AND($D342&lt;&gt;"",$D342=UCSel),$A342+ROW()/100000,"")</f>
        <v/>
      </c>
    </row>
    <row r="343" customFormat="false" ht="15" hidden="false" customHeight="false" outlineLevel="0" collapsed="false">
      <c r="A343" s="63"/>
      <c r="B343" s="28"/>
      <c r="C343" s="28"/>
      <c r="D343" s="28"/>
      <c r="E343" s="64"/>
      <c r="F343" s="67" t="str">
        <f aca="false">IF($A343="","",$A343-WEEKDAY($A343,3))</f>
        <v/>
      </c>
      <c r="G343" s="65" t="str">
        <f aca="false">IF($A343="","",IF($F343=WeekStart,"Yes",""))</f>
        <v/>
      </c>
      <c r="H343" s="65" t="str">
        <f aca="false">IF($G343="Yes",$A343+ROW()/100000,"")</f>
        <v/>
      </c>
      <c r="I343" s="65" t="str">
        <f aca="false">IF(AND($D343&lt;&gt;"",$D343=UCSel),$A343+ROW()/100000,"")</f>
        <v/>
      </c>
    </row>
    <row r="344" customFormat="false" ht="15" hidden="false" customHeight="false" outlineLevel="0" collapsed="false">
      <c r="A344" s="63"/>
      <c r="B344" s="28"/>
      <c r="C344" s="28"/>
      <c r="D344" s="28"/>
      <c r="E344" s="64"/>
      <c r="F344" s="67" t="str">
        <f aca="false">IF($A344="","",$A344-WEEKDAY($A344,3))</f>
        <v/>
      </c>
      <c r="G344" s="65" t="str">
        <f aca="false">IF($A344="","",IF($F344=WeekStart,"Yes",""))</f>
        <v/>
      </c>
      <c r="H344" s="65" t="str">
        <f aca="false">IF($G344="Yes",$A344+ROW()/100000,"")</f>
        <v/>
      </c>
      <c r="I344" s="65" t="str">
        <f aca="false">IF(AND($D344&lt;&gt;"",$D344=UCSel),$A344+ROW()/100000,"")</f>
        <v/>
      </c>
    </row>
    <row r="345" customFormat="false" ht="15" hidden="false" customHeight="false" outlineLevel="0" collapsed="false">
      <c r="A345" s="63"/>
      <c r="B345" s="28"/>
      <c r="C345" s="28"/>
      <c r="D345" s="28"/>
      <c r="E345" s="64"/>
      <c r="F345" s="67" t="str">
        <f aca="false">IF($A345="","",$A345-WEEKDAY($A345,3))</f>
        <v/>
      </c>
      <c r="G345" s="65" t="str">
        <f aca="false">IF($A345="","",IF($F345=WeekStart,"Yes",""))</f>
        <v/>
      </c>
      <c r="H345" s="65" t="str">
        <f aca="false">IF($G345="Yes",$A345+ROW()/100000,"")</f>
        <v/>
      </c>
      <c r="I345" s="65" t="str">
        <f aca="false">IF(AND($D345&lt;&gt;"",$D345=UCSel),$A345+ROW()/100000,"")</f>
        <v/>
      </c>
    </row>
    <row r="346" customFormat="false" ht="15" hidden="false" customHeight="false" outlineLevel="0" collapsed="false">
      <c r="A346" s="63"/>
      <c r="B346" s="28"/>
      <c r="C346" s="28"/>
      <c r="D346" s="28"/>
      <c r="E346" s="64"/>
      <c r="F346" s="67" t="str">
        <f aca="false">IF($A346="","",$A346-WEEKDAY($A346,3))</f>
        <v/>
      </c>
      <c r="G346" s="65" t="str">
        <f aca="false">IF($A346="","",IF($F346=WeekStart,"Yes",""))</f>
        <v/>
      </c>
      <c r="H346" s="65" t="str">
        <f aca="false">IF($G346="Yes",$A346+ROW()/100000,"")</f>
        <v/>
      </c>
      <c r="I346" s="65" t="str">
        <f aca="false">IF(AND($D346&lt;&gt;"",$D346=UCSel),$A346+ROW()/100000,"")</f>
        <v/>
      </c>
    </row>
    <row r="347" customFormat="false" ht="15" hidden="false" customHeight="false" outlineLevel="0" collapsed="false">
      <c r="A347" s="63"/>
      <c r="B347" s="28"/>
      <c r="C347" s="28"/>
      <c r="D347" s="28"/>
      <c r="E347" s="64"/>
      <c r="F347" s="67" t="str">
        <f aca="false">IF($A347="","",$A347-WEEKDAY($A347,3))</f>
        <v/>
      </c>
      <c r="G347" s="65" t="str">
        <f aca="false">IF($A347="","",IF($F347=WeekStart,"Yes",""))</f>
        <v/>
      </c>
      <c r="H347" s="65" t="str">
        <f aca="false">IF($G347="Yes",$A347+ROW()/100000,"")</f>
        <v/>
      </c>
      <c r="I347" s="65" t="str">
        <f aca="false">IF(AND($D347&lt;&gt;"",$D347=UCSel),$A347+ROW()/100000,"")</f>
        <v/>
      </c>
    </row>
    <row r="348" customFormat="false" ht="15" hidden="false" customHeight="false" outlineLevel="0" collapsed="false">
      <c r="A348" s="63"/>
      <c r="B348" s="28"/>
      <c r="C348" s="28"/>
      <c r="D348" s="28"/>
      <c r="E348" s="64"/>
      <c r="F348" s="67" t="str">
        <f aca="false">IF($A348="","",$A348-WEEKDAY($A348,3))</f>
        <v/>
      </c>
      <c r="G348" s="65" t="str">
        <f aca="false">IF($A348="","",IF($F348=WeekStart,"Yes",""))</f>
        <v/>
      </c>
      <c r="H348" s="65" t="str">
        <f aca="false">IF($G348="Yes",$A348+ROW()/100000,"")</f>
        <v/>
      </c>
      <c r="I348" s="65" t="str">
        <f aca="false">IF(AND($D348&lt;&gt;"",$D348=UCSel),$A348+ROW()/100000,"")</f>
        <v/>
      </c>
    </row>
    <row r="349" customFormat="false" ht="15" hidden="false" customHeight="false" outlineLevel="0" collapsed="false">
      <c r="A349" s="63"/>
      <c r="B349" s="28"/>
      <c r="C349" s="28"/>
      <c r="D349" s="28"/>
      <c r="E349" s="64"/>
      <c r="F349" s="67" t="str">
        <f aca="false">IF($A349="","",$A349-WEEKDAY($A349,3))</f>
        <v/>
      </c>
      <c r="G349" s="65" t="str">
        <f aca="false">IF($A349="","",IF($F349=WeekStart,"Yes",""))</f>
        <v/>
      </c>
      <c r="H349" s="65" t="str">
        <f aca="false">IF($G349="Yes",$A349+ROW()/100000,"")</f>
        <v/>
      </c>
      <c r="I349" s="65" t="str">
        <f aca="false">IF(AND($D349&lt;&gt;"",$D349=UCSel),$A349+ROW()/100000,"")</f>
        <v/>
      </c>
    </row>
    <row r="350" customFormat="false" ht="15" hidden="false" customHeight="false" outlineLevel="0" collapsed="false">
      <c r="A350" s="63"/>
      <c r="B350" s="28"/>
      <c r="C350" s="28"/>
      <c r="D350" s="28"/>
      <c r="E350" s="64"/>
      <c r="F350" s="67" t="str">
        <f aca="false">IF($A350="","",$A350-WEEKDAY($A350,3))</f>
        <v/>
      </c>
      <c r="G350" s="65" t="str">
        <f aca="false">IF($A350="","",IF($F350=WeekStart,"Yes",""))</f>
        <v/>
      </c>
      <c r="H350" s="65" t="str">
        <f aca="false">IF($G350="Yes",$A350+ROW()/100000,"")</f>
        <v/>
      </c>
      <c r="I350" s="65" t="str">
        <f aca="false">IF(AND($D350&lt;&gt;"",$D350=UCSel),$A350+ROW()/100000,"")</f>
        <v/>
      </c>
    </row>
    <row r="351" customFormat="false" ht="15" hidden="false" customHeight="false" outlineLevel="0" collapsed="false">
      <c r="A351" s="63"/>
      <c r="B351" s="28"/>
      <c r="C351" s="28"/>
      <c r="D351" s="28"/>
      <c r="E351" s="64"/>
      <c r="F351" s="67" t="str">
        <f aca="false">IF($A351="","",$A351-WEEKDAY($A351,3))</f>
        <v/>
      </c>
      <c r="G351" s="65" t="str">
        <f aca="false">IF($A351="","",IF($F351=WeekStart,"Yes",""))</f>
        <v/>
      </c>
      <c r="H351" s="65" t="str">
        <f aca="false">IF($G351="Yes",$A351+ROW()/100000,"")</f>
        <v/>
      </c>
      <c r="I351" s="65" t="str">
        <f aca="false">IF(AND($D351&lt;&gt;"",$D351=UCSel),$A351+ROW()/100000,"")</f>
        <v/>
      </c>
    </row>
    <row r="352" customFormat="false" ht="15" hidden="false" customHeight="false" outlineLevel="0" collapsed="false">
      <c r="A352" s="63"/>
      <c r="B352" s="28"/>
      <c r="C352" s="28"/>
      <c r="D352" s="28"/>
      <c r="E352" s="64"/>
      <c r="F352" s="67" t="str">
        <f aca="false">IF($A352="","",$A352-WEEKDAY($A352,3))</f>
        <v/>
      </c>
      <c r="G352" s="65" t="str">
        <f aca="false">IF($A352="","",IF($F352=WeekStart,"Yes",""))</f>
        <v/>
      </c>
      <c r="H352" s="65" t="str">
        <f aca="false">IF($G352="Yes",$A352+ROW()/100000,"")</f>
        <v/>
      </c>
      <c r="I352" s="65" t="str">
        <f aca="false">IF(AND($D352&lt;&gt;"",$D352=UCSel),$A352+ROW()/100000,"")</f>
        <v/>
      </c>
    </row>
    <row r="353" customFormat="false" ht="15" hidden="false" customHeight="false" outlineLevel="0" collapsed="false">
      <c r="A353" s="63"/>
      <c r="B353" s="28"/>
      <c r="C353" s="28"/>
      <c r="D353" s="28"/>
      <c r="E353" s="64"/>
      <c r="F353" s="67" t="str">
        <f aca="false">IF($A353="","",$A353-WEEKDAY($A353,3))</f>
        <v/>
      </c>
      <c r="G353" s="65" t="str">
        <f aca="false">IF($A353="","",IF($F353=WeekStart,"Yes",""))</f>
        <v/>
      </c>
      <c r="H353" s="65" t="str">
        <f aca="false">IF($G353="Yes",$A353+ROW()/100000,"")</f>
        <v/>
      </c>
      <c r="I353" s="65" t="str">
        <f aca="false">IF(AND($D353&lt;&gt;"",$D353=UCSel),$A353+ROW()/100000,"")</f>
        <v/>
      </c>
    </row>
    <row r="354" customFormat="false" ht="15" hidden="false" customHeight="false" outlineLevel="0" collapsed="false">
      <c r="A354" s="63"/>
      <c r="B354" s="28"/>
      <c r="C354" s="28"/>
      <c r="D354" s="28"/>
      <c r="E354" s="64"/>
      <c r="F354" s="67" t="str">
        <f aca="false">IF($A354="","",$A354-WEEKDAY($A354,3))</f>
        <v/>
      </c>
      <c r="G354" s="65" t="str">
        <f aca="false">IF($A354="","",IF($F354=WeekStart,"Yes",""))</f>
        <v/>
      </c>
      <c r="H354" s="65" t="str">
        <f aca="false">IF($G354="Yes",$A354+ROW()/100000,"")</f>
        <v/>
      </c>
      <c r="I354" s="65" t="str">
        <f aca="false">IF(AND($D354&lt;&gt;"",$D354=UCSel),$A354+ROW()/100000,"")</f>
        <v/>
      </c>
    </row>
    <row r="355" customFormat="false" ht="15" hidden="false" customHeight="false" outlineLevel="0" collapsed="false">
      <c r="A355" s="63"/>
      <c r="B355" s="28"/>
      <c r="C355" s="28"/>
      <c r="D355" s="28"/>
      <c r="E355" s="64"/>
      <c r="F355" s="67" t="str">
        <f aca="false">IF($A355="","",$A355-WEEKDAY($A355,3))</f>
        <v/>
      </c>
      <c r="G355" s="65" t="str">
        <f aca="false">IF($A355="","",IF($F355=WeekStart,"Yes",""))</f>
        <v/>
      </c>
      <c r="H355" s="65" t="str">
        <f aca="false">IF($G355="Yes",$A355+ROW()/100000,"")</f>
        <v/>
      </c>
      <c r="I355" s="65" t="str">
        <f aca="false">IF(AND($D355&lt;&gt;"",$D355=UCSel),$A355+ROW()/100000,"")</f>
        <v/>
      </c>
    </row>
    <row r="356" customFormat="false" ht="15" hidden="false" customHeight="false" outlineLevel="0" collapsed="false">
      <c r="A356" s="63"/>
      <c r="B356" s="28"/>
      <c r="C356" s="28"/>
      <c r="D356" s="28"/>
      <c r="E356" s="64"/>
      <c r="F356" s="67" t="str">
        <f aca="false">IF($A356="","",$A356-WEEKDAY($A356,3))</f>
        <v/>
      </c>
      <c r="G356" s="65" t="str">
        <f aca="false">IF($A356="","",IF($F356=WeekStart,"Yes",""))</f>
        <v/>
      </c>
      <c r="H356" s="65" t="str">
        <f aca="false">IF($G356="Yes",$A356+ROW()/100000,"")</f>
        <v/>
      </c>
      <c r="I356" s="65" t="str">
        <f aca="false">IF(AND($D356&lt;&gt;"",$D356=UCSel),$A356+ROW()/100000,"")</f>
        <v/>
      </c>
    </row>
    <row r="357" customFormat="false" ht="15" hidden="false" customHeight="false" outlineLevel="0" collapsed="false">
      <c r="A357" s="63"/>
      <c r="B357" s="28"/>
      <c r="C357" s="28"/>
      <c r="D357" s="28"/>
      <c r="E357" s="64"/>
      <c r="F357" s="67" t="str">
        <f aca="false">IF($A357="","",$A357-WEEKDAY($A357,3))</f>
        <v/>
      </c>
      <c r="G357" s="65" t="str">
        <f aca="false">IF($A357="","",IF($F357=WeekStart,"Yes",""))</f>
        <v/>
      </c>
      <c r="H357" s="65" t="str">
        <f aca="false">IF($G357="Yes",$A357+ROW()/100000,"")</f>
        <v/>
      </c>
      <c r="I357" s="65" t="str">
        <f aca="false">IF(AND($D357&lt;&gt;"",$D357=UCSel),$A357+ROW()/100000,"")</f>
        <v/>
      </c>
    </row>
    <row r="358" customFormat="false" ht="15" hidden="false" customHeight="false" outlineLevel="0" collapsed="false">
      <c r="A358" s="63"/>
      <c r="B358" s="28"/>
      <c r="C358" s="28"/>
      <c r="D358" s="28"/>
      <c r="E358" s="64"/>
      <c r="F358" s="67" t="str">
        <f aca="false">IF($A358="","",$A358-WEEKDAY($A358,3))</f>
        <v/>
      </c>
      <c r="G358" s="65" t="str">
        <f aca="false">IF($A358="","",IF($F358=WeekStart,"Yes",""))</f>
        <v/>
      </c>
      <c r="H358" s="65" t="str">
        <f aca="false">IF($G358="Yes",$A358+ROW()/100000,"")</f>
        <v/>
      </c>
      <c r="I358" s="65" t="str">
        <f aca="false">IF(AND($D358&lt;&gt;"",$D358=UCSel),$A358+ROW()/100000,"")</f>
        <v/>
      </c>
    </row>
    <row r="359" customFormat="false" ht="15" hidden="false" customHeight="false" outlineLevel="0" collapsed="false">
      <c r="A359" s="63"/>
      <c r="B359" s="28"/>
      <c r="C359" s="28"/>
      <c r="D359" s="28"/>
      <c r="E359" s="64"/>
      <c r="F359" s="67" t="str">
        <f aca="false">IF($A359="","",$A359-WEEKDAY($A359,3))</f>
        <v/>
      </c>
      <c r="G359" s="65" t="str">
        <f aca="false">IF($A359="","",IF($F359=WeekStart,"Yes",""))</f>
        <v/>
      </c>
      <c r="H359" s="65" t="str">
        <f aca="false">IF($G359="Yes",$A359+ROW()/100000,"")</f>
        <v/>
      </c>
      <c r="I359" s="65" t="str">
        <f aca="false">IF(AND($D359&lt;&gt;"",$D359=UCSel),$A359+ROW()/100000,"")</f>
        <v/>
      </c>
    </row>
    <row r="360" customFormat="false" ht="15" hidden="false" customHeight="false" outlineLevel="0" collapsed="false">
      <c r="A360" s="63"/>
      <c r="B360" s="28"/>
      <c r="C360" s="28"/>
      <c r="D360" s="28"/>
      <c r="E360" s="64"/>
      <c r="F360" s="67" t="str">
        <f aca="false">IF($A360="","",$A360-WEEKDAY($A360,3))</f>
        <v/>
      </c>
      <c r="G360" s="65" t="str">
        <f aca="false">IF($A360="","",IF($F360=WeekStart,"Yes",""))</f>
        <v/>
      </c>
      <c r="H360" s="65" t="str">
        <f aca="false">IF($G360="Yes",$A360+ROW()/100000,"")</f>
        <v/>
      </c>
      <c r="I360" s="65" t="str">
        <f aca="false">IF(AND($D360&lt;&gt;"",$D360=UCSel),$A360+ROW()/100000,"")</f>
        <v/>
      </c>
    </row>
    <row r="361" customFormat="false" ht="15" hidden="false" customHeight="false" outlineLevel="0" collapsed="false">
      <c r="A361" s="63"/>
      <c r="B361" s="28"/>
      <c r="C361" s="28"/>
      <c r="D361" s="28"/>
      <c r="E361" s="64"/>
      <c r="F361" s="67" t="str">
        <f aca="false">IF($A361="","",$A361-WEEKDAY($A361,3))</f>
        <v/>
      </c>
      <c r="G361" s="65" t="str">
        <f aca="false">IF($A361="","",IF($F361=WeekStart,"Yes",""))</f>
        <v/>
      </c>
      <c r="H361" s="65" t="str">
        <f aca="false">IF($G361="Yes",$A361+ROW()/100000,"")</f>
        <v/>
      </c>
      <c r="I361" s="65" t="str">
        <f aca="false">IF(AND($D361&lt;&gt;"",$D361=UCSel),$A361+ROW()/100000,"")</f>
        <v/>
      </c>
    </row>
    <row r="362" customFormat="false" ht="15" hidden="false" customHeight="false" outlineLevel="0" collapsed="false">
      <c r="A362" s="63"/>
      <c r="B362" s="28"/>
      <c r="C362" s="28"/>
      <c r="D362" s="28"/>
      <c r="E362" s="64"/>
      <c r="F362" s="67" t="str">
        <f aca="false">IF($A362="","",$A362-WEEKDAY($A362,3))</f>
        <v/>
      </c>
      <c r="G362" s="65" t="str">
        <f aca="false">IF($A362="","",IF($F362=WeekStart,"Yes",""))</f>
        <v/>
      </c>
      <c r="H362" s="65" t="str">
        <f aca="false">IF($G362="Yes",$A362+ROW()/100000,"")</f>
        <v/>
      </c>
      <c r="I362" s="65" t="str">
        <f aca="false">IF(AND($D362&lt;&gt;"",$D362=UCSel),$A362+ROW()/100000,"")</f>
        <v/>
      </c>
    </row>
    <row r="363" customFormat="false" ht="15" hidden="false" customHeight="false" outlineLevel="0" collapsed="false">
      <c r="A363" s="63"/>
      <c r="B363" s="28"/>
      <c r="C363" s="28"/>
      <c r="D363" s="28"/>
      <c r="E363" s="64"/>
      <c r="F363" s="67" t="str">
        <f aca="false">IF($A363="","",$A363-WEEKDAY($A363,3))</f>
        <v/>
      </c>
      <c r="G363" s="65" t="str">
        <f aca="false">IF($A363="","",IF($F363=WeekStart,"Yes",""))</f>
        <v/>
      </c>
      <c r="H363" s="65" t="str">
        <f aca="false">IF($G363="Yes",$A363+ROW()/100000,"")</f>
        <v/>
      </c>
      <c r="I363" s="65" t="str">
        <f aca="false">IF(AND($D363&lt;&gt;"",$D363=UCSel),$A363+ROW()/100000,"")</f>
        <v/>
      </c>
    </row>
    <row r="364" customFormat="false" ht="15" hidden="false" customHeight="false" outlineLevel="0" collapsed="false">
      <c r="A364" s="63"/>
      <c r="B364" s="28"/>
      <c r="C364" s="28"/>
      <c r="D364" s="28"/>
      <c r="E364" s="64"/>
      <c r="F364" s="67" t="str">
        <f aca="false">IF($A364="","",$A364-WEEKDAY($A364,3))</f>
        <v/>
      </c>
      <c r="G364" s="65" t="str">
        <f aca="false">IF($A364="","",IF($F364=WeekStart,"Yes",""))</f>
        <v/>
      </c>
      <c r="H364" s="65" t="str">
        <f aca="false">IF($G364="Yes",$A364+ROW()/100000,"")</f>
        <v/>
      </c>
      <c r="I364" s="65" t="str">
        <f aca="false">IF(AND($D364&lt;&gt;"",$D364=UCSel),$A364+ROW()/100000,"")</f>
        <v/>
      </c>
    </row>
    <row r="365" customFormat="false" ht="15" hidden="false" customHeight="false" outlineLevel="0" collapsed="false">
      <c r="A365" s="63"/>
      <c r="B365" s="28"/>
      <c r="C365" s="28"/>
      <c r="D365" s="28"/>
      <c r="E365" s="64"/>
      <c r="F365" s="67" t="str">
        <f aca="false">IF($A365="","",$A365-WEEKDAY($A365,3))</f>
        <v/>
      </c>
      <c r="G365" s="65" t="str">
        <f aca="false">IF($A365="","",IF($F365=WeekStart,"Yes",""))</f>
        <v/>
      </c>
      <c r="H365" s="65" t="str">
        <f aca="false">IF($G365="Yes",$A365+ROW()/100000,"")</f>
        <v/>
      </c>
      <c r="I365" s="65" t="str">
        <f aca="false">IF(AND($D365&lt;&gt;"",$D365=UCSel),$A365+ROW()/100000,"")</f>
        <v/>
      </c>
    </row>
    <row r="366" customFormat="false" ht="15" hidden="false" customHeight="false" outlineLevel="0" collapsed="false">
      <c r="A366" s="63"/>
      <c r="B366" s="28"/>
      <c r="C366" s="28"/>
      <c r="D366" s="28"/>
      <c r="E366" s="64"/>
      <c r="F366" s="67" t="str">
        <f aca="false">IF($A366="","",$A366-WEEKDAY($A366,3))</f>
        <v/>
      </c>
      <c r="G366" s="65" t="str">
        <f aca="false">IF($A366="","",IF($F366=WeekStart,"Yes",""))</f>
        <v/>
      </c>
      <c r="H366" s="65" t="str">
        <f aca="false">IF($G366="Yes",$A366+ROW()/100000,"")</f>
        <v/>
      </c>
      <c r="I366" s="65" t="str">
        <f aca="false">IF(AND($D366&lt;&gt;"",$D366=UCSel),$A366+ROW()/100000,"")</f>
        <v/>
      </c>
    </row>
    <row r="367" customFormat="false" ht="15" hidden="false" customHeight="false" outlineLevel="0" collapsed="false">
      <c r="A367" s="63"/>
      <c r="B367" s="28"/>
      <c r="C367" s="28"/>
      <c r="D367" s="28"/>
      <c r="E367" s="64"/>
      <c r="F367" s="67" t="str">
        <f aca="false">IF($A367="","",$A367-WEEKDAY($A367,3))</f>
        <v/>
      </c>
      <c r="G367" s="65" t="str">
        <f aca="false">IF($A367="","",IF($F367=WeekStart,"Yes",""))</f>
        <v/>
      </c>
      <c r="H367" s="65" t="str">
        <f aca="false">IF($G367="Yes",$A367+ROW()/100000,"")</f>
        <v/>
      </c>
      <c r="I367" s="65" t="str">
        <f aca="false">IF(AND($D367&lt;&gt;"",$D367=UCSel),$A367+ROW()/100000,"")</f>
        <v/>
      </c>
    </row>
    <row r="368" customFormat="false" ht="15" hidden="false" customHeight="false" outlineLevel="0" collapsed="false">
      <c r="A368" s="63"/>
      <c r="B368" s="28"/>
      <c r="C368" s="28"/>
      <c r="D368" s="28"/>
      <c r="E368" s="64"/>
      <c r="F368" s="67" t="str">
        <f aca="false">IF($A368="","",$A368-WEEKDAY($A368,3))</f>
        <v/>
      </c>
      <c r="G368" s="65" t="str">
        <f aca="false">IF($A368="","",IF($F368=WeekStart,"Yes",""))</f>
        <v/>
      </c>
      <c r="H368" s="65" t="str">
        <f aca="false">IF($G368="Yes",$A368+ROW()/100000,"")</f>
        <v/>
      </c>
      <c r="I368" s="65" t="str">
        <f aca="false">IF(AND($D368&lt;&gt;"",$D368=UCSel),$A368+ROW()/100000,"")</f>
        <v/>
      </c>
    </row>
    <row r="369" customFormat="false" ht="15" hidden="false" customHeight="false" outlineLevel="0" collapsed="false">
      <c r="A369" s="63"/>
      <c r="B369" s="28"/>
      <c r="C369" s="28"/>
      <c r="D369" s="28"/>
      <c r="E369" s="64"/>
      <c r="F369" s="67" t="str">
        <f aca="false">IF($A369="","",$A369-WEEKDAY($A369,3))</f>
        <v/>
      </c>
      <c r="G369" s="65" t="str">
        <f aca="false">IF($A369="","",IF($F369=WeekStart,"Yes",""))</f>
        <v/>
      </c>
      <c r="H369" s="65" t="str">
        <f aca="false">IF($G369="Yes",$A369+ROW()/100000,"")</f>
        <v/>
      </c>
      <c r="I369" s="65" t="str">
        <f aca="false">IF(AND($D369&lt;&gt;"",$D369=UCSel),$A369+ROW()/100000,"")</f>
        <v/>
      </c>
    </row>
    <row r="370" customFormat="false" ht="15" hidden="false" customHeight="false" outlineLevel="0" collapsed="false">
      <c r="A370" s="63"/>
      <c r="B370" s="28"/>
      <c r="C370" s="28"/>
      <c r="D370" s="28"/>
      <c r="E370" s="64"/>
      <c r="F370" s="67" t="str">
        <f aca="false">IF($A370="","",$A370-WEEKDAY($A370,3))</f>
        <v/>
      </c>
      <c r="G370" s="65" t="str">
        <f aca="false">IF($A370="","",IF($F370=WeekStart,"Yes",""))</f>
        <v/>
      </c>
      <c r="H370" s="65" t="str">
        <f aca="false">IF($G370="Yes",$A370+ROW()/100000,"")</f>
        <v/>
      </c>
      <c r="I370" s="65" t="str">
        <f aca="false">IF(AND($D370&lt;&gt;"",$D370=UCSel),$A370+ROW()/100000,"")</f>
        <v/>
      </c>
    </row>
    <row r="371" customFormat="false" ht="15" hidden="false" customHeight="false" outlineLevel="0" collapsed="false">
      <c r="A371" s="63"/>
      <c r="B371" s="28"/>
      <c r="C371" s="28"/>
      <c r="D371" s="28"/>
      <c r="E371" s="64"/>
      <c r="F371" s="67" t="str">
        <f aca="false">IF($A371="","",$A371-WEEKDAY($A371,3))</f>
        <v/>
      </c>
      <c r="G371" s="65" t="str">
        <f aca="false">IF($A371="","",IF($F371=WeekStart,"Yes",""))</f>
        <v/>
      </c>
      <c r="H371" s="65" t="str">
        <f aca="false">IF($G371="Yes",$A371+ROW()/100000,"")</f>
        <v/>
      </c>
      <c r="I371" s="65" t="str">
        <f aca="false">IF(AND($D371&lt;&gt;"",$D371=UCSel),$A371+ROW()/100000,"")</f>
        <v/>
      </c>
    </row>
    <row r="372" customFormat="false" ht="15" hidden="false" customHeight="false" outlineLevel="0" collapsed="false">
      <c r="A372" s="63"/>
      <c r="B372" s="28"/>
      <c r="C372" s="28"/>
      <c r="D372" s="28"/>
      <c r="E372" s="64"/>
      <c r="F372" s="67" t="str">
        <f aca="false">IF($A372="","",$A372-WEEKDAY($A372,3))</f>
        <v/>
      </c>
      <c r="G372" s="65" t="str">
        <f aca="false">IF($A372="","",IF($F372=WeekStart,"Yes",""))</f>
        <v/>
      </c>
      <c r="H372" s="65" t="str">
        <f aca="false">IF($G372="Yes",$A372+ROW()/100000,"")</f>
        <v/>
      </c>
      <c r="I372" s="65" t="str">
        <f aca="false">IF(AND($D372&lt;&gt;"",$D372=UCSel),$A372+ROW()/100000,"")</f>
        <v/>
      </c>
    </row>
    <row r="373" customFormat="false" ht="15" hidden="false" customHeight="false" outlineLevel="0" collapsed="false">
      <c r="A373" s="63"/>
      <c r="B373" s="28"/>
      <c r="C373" s="28"/>
      <c r="D373" s="28"/>
      <c r="E373" s="64"/>
      <c r="F373" s="67" t="str">
        <f aca="false">IF($A373="","",$A373-WEEKDAY($A373,3))</f>
        <v/>
      </c>
      <c r="G373" s="65" t="str">
        <f aca="false">IF($A373="","",IF($F373=WeekStart,"Yes",""))</f>
        <v/>
      </c>
      <c r="H373" s="65" t="str">
        <f aca="false">IF($G373="Yes",$A373+ROW()/100000,"")</f>
        <v/>
      </c>
      <c r="I373" s="65" t="str">
        <f aca="false">IF(AND($D373&lt;&gt;"",$D373=UCSel),$A373+ROW()/100000,"")</f>
        <v/>
      </c>
    </row>
    <row r="374" customFormat="false" ht="15" hidden="false" customHeight="false" outlineLevel="0" collapsed="false">
      <c r="A374" s="63"/>
      <c r="B374" s="28"/>
      <c r="C374" s="28"/>
      <c r="D374" s="28"/>
      <c r="E374" s="64"/>
      <c r="F374" s="67" t="str">
        <f aca="false">IF($A374="","",$A374-WEEKDAY($A374,3))</f>
        <v/>
      </c>
      <c r="G374" s="65" t="str">
        <f aca="false">IF($A374="","",IF($F374=WeekStart,"Yes",""))</f>
        <v/>
      </c>
      <c r="H374" s="65" t="str">
        <f aca="false">IF($G374="Yes",$A374+ROW()/100000,"")</f>
        <v/>
      </c>
      <c r="I374" s="65" t="str">
        <f aca="false">IF(AND($D374&lt;&gt;"",$D374=UCSel),$A374+ROW()/100000,"")</f>
        <v/>
      </c>
    </row>
    <row r="375" customFormat="false" ht="15" hidden="false" customHeight="false" outlineLevel="0" collapsed="false">
      <c r="A375" s="63"/>
      <c r="B375" s="28"/>
      <c r="C375" s="28"/>
      <c r="D375" s="28"/>
      <c r="E375" s="64"/>
      <c r="F375" s="67" t="str">
        <f aca="false">IF($A375="","",$A375-WEEKDAY($A375,3))</f>
        <v/>
      </c>
      <c r="G375" s="65" t="str">
        <f aca="false">IF($A375="","",IF($F375=WeekStart,"Yes",""))</f>
        <v/>
      </c>
      <c r="H375" s="65" t="str">
        <f aca="false">IF($G375="Yes",$A375+ROW()/100000,"")</f>
        <v/>
      </c>
      <c r="I375" s="65" t="str">
        <f aca="false">IF(AND($D375&lt;&gt;"",$D375=UCSel),$A375+ROW()/100000,"")</f>
        <v/>
      </c>
    </row>
    <row r="376" customFormat="false" ht="15" hidden="false" customHeight="false" outlineLevel="0" collapsed="false">
      <c r="A376" s="63"/>
      <c r="B376" s="28"/>
      <c r="C376" s="28"/>
      <c r="D376" s="28"/>
      <c r="E376" s="64"/>
      <c r="F376" s="67" t="str">
        <f aca="false">IF($A376="","",$A376-WEEKDAY($A376,3))</f>
        <v/>
      </c>
      <c r="G376" s="65" t="str">
        <f aca="false">IF($A376="","",IF($F376=WeekStart,"Yes",""))</f>
        <v/>
      </c>
      <c r="H376" s="65" t="str">
        <f aca="false">IF($G376="Yes",$A376+ROW()/100000,"")</f>
        <v/>
      </c>
      <c r="I376" s="65" t="str">
        <f aca="false">IF(AND($D376&lt;&gt;"",$D376=UCSel),$A376+ROW()/100000,"")</f>
        <v/>
      </c>
    </row>
    <row r="377" customFormat="false" ht="15" hidden="false" customHeight="false" outlineLevel="0" collapsed="false">
      <c r="A377" s="63"/>
      <c r="B377" s="28"/>
      <c r="C377" s="28"/>
      <c r="D377" s="28"/>
      <c r="E377" s="64"/>
      <c r="F377" s="67" t="str">
        <f aca="false">IF($A377="","",$A377-WEEKDAY($A377,3))</f>
        <v/>
      </c>
      <c r="G377" s="65" t="str">
        <f aca="false">IF($A377="","",IF($F377=WeekStart,"Yes",""))</f>
        <v/>
      </c>
      <c r="H377" s="65" t="str">
        <f aca="false">IF($G377="Yes",$A377+ROW()/100000,"")</f>
        <v/>
      </c>
      <c r="I377" s="65" t="str">
        <f aca="false">IF(AND($D377&lt;&gt;"",$D377=UCSel),$A377+ROW()/100000,"")</f>
        <v/>
      </c>
    </row>
    <row r="378" customFormat="false" ht="15" hidden="false" customHeight="false" outlineLevel="0" collapsed="false">
      <c r="A378" s="63"/>
      <c r="B378" s="28"/>
      <c r="C378" s="28"/>
      <c r="D378" s="28"/>
      <c r="E378" s="64"/>
      <c r="F378" s="67" t="str">
        <f aca="false">IF($A378="","",$A378-WEEKDAY($A378,3))</f>
        <v/>
      </c>
      <c r="G378" s="65" t="str">
        <f aca="false">IF($A378="","",IF($F378=WeekStart,"Yes",""))</f>
        <v/>
      </c>
      <c r="H378" s="65" t="str">
        <f aca="false">IF($G378="Yes",$A378+ROW()/100000,"")</f>
        <v/>
      </c>
      <c r="I378" s="65" t="str">
        <f aca="false">IF(AND($D378&lt;&gt;"",$D378=UCSel),$A378+ROW()/100000,"")</f>
        <v/>
      </c>
    </row>
    <row r="379" customFormat="false" ht="15" hidden="false" customHeight="false" outlineLevel="0" collapsed="false">
      <c r="A379" s="63"/>
      <c r="B379" s="28"/>
      <c r="C379" s="28"/>
      <c r="D379" s="28"/>
      <c r="E379" s="64"/>
      <c r="F379" s="67" t="str">
        <f aca="false">IF($A379="","",$A379-WEEKDAY($A379,3))</f>
        <v/>
      </c>
      <c r="G379" s="65" t="str">
        <f aca="false">IF($A379="","",IF($F379=WeekStart,"Yes",""))</f>
        <v/>
      </c>
      <c r="H379" s="65" t="str">
        <f aca="false">IF($G379="Yes",$A379+ROW()/100000,"")</f>
        <v/>
      </c>
      <c r="I379" s="65" t="str">
        <f aca="false">IF(AND($D379&lt;&gt;"",$D379=UCSel),$A379+ROW()/100000,"")</f>
        <v/>
      </c>
    </row>
    <row r="380" customFormat="false" ht="15" hidden="false" customHeight="false" outlineLevel="0" collapsed="false">
      <c r="A380" s="63"/>
      <c r="B380" s="28"/>
      <c r="C380" s="28"/>
      <c r="D380" s="28"/>
      <c r="E380" s="64"/>
      <c r="F380" s="67" t="str">
        <f aca="false">IF($A380="","",$A380-WEEKDAY($A380,3))</f>
        <v/>
      </c>
      <c r="G380" s="65" t="str">
        <f aca="false">IF($A380="","",IF($F380=WeekStart,"Yes",""))</f>
        <v/>
      </c>
      <c r="H380" s="65" t="str">
        <f aca="false">IF($G380="Yes",$A380+ROW()/100000,"")</f>
        <v/>
      </c>
      <c r="I380" s="65" t="str">
        <f aca="false">IF(AND($D380&lt;&gt;"",$D380=UCSel),$A380+ROW()/100000,"")</f>
        <v/>
      </c>
    </row>
    <row r="381" customFormat="false" ht="15" hidden="false" customHeight="false" outlineLevel="0" collapsed="false">
      <c r="A381" s="63"/>
      <c r="B381" s="28"/>
      <c r="C381" s="28"/>
      <c r="D381" s="28"/>
      <c r="E381" s="64"/>
      <c r="F381" s="67" t="str">
        <f aca="false">IF($A381="","",$A381-WEEKDAY($A381,3))</f>
        <v/>
      </c>
      <c r="G381" s="65" t="str">
        <f aca="false">IF($A381="","",IF($F381=WeekStart,"Yes",""))</f>
        <v/>
      </c>
      <c r="H381" s="65" t="str">
        <f aca="false">IF($G381="Yes",$A381+ROW()/100000,"")</f>
        <v/>
      </c>
      <c r="I381" s="65" t="str">
        <f aca="false">IF(AND($D381&lt;&gt;"",$D381=UCSel),$A381+ROW()/100000,"")</f>
        <v/>
      </c>
    </row>
    <row r="382" customFormat="false" ht="15" hidden="false" customHeight="false" outlineLevel="0" collapsed="false">
      <c r="A382" s="63"/>
      <c r="B382" s="28"/>
      <c r="C382" s="28"/>
      <c r="D382" s="28"/>
      <c r="E382" s="64"/>
      <c r="F382" s="67" t="str">
        <f aca="false">IF($A382="","",$A382-WEEKDAY($A382,3))</f>
        <v/>
      </c>
      <c r="G382" s="65" t="str">
        <f aca="false">IF($A382="","",IF($F382=WeekStart,"Yes",""))</f>
        <v/>
      </c>
      <c r="H382" s="65" t="str">
        <f aca="false">IF($G382="Yes",$A382+ROW()/100000,"")</f>
        <v/>
      </c>
      <c r="I382" s="65" t="str">
        <f aca="false">IF(AND($D382&lt;&gt;"",$D382=UCSel),$A382+ROW()/100000,"")</f>
        <v/>
      </c>
    </row>
    <row r="383" customFormat="false" ht="15" hidden="false" customHeight="false" outlineLevel="0" collapsed="false">
      <c r="A383" s="63"/>
      <c r="B383" s="28"/>
      <c r="C383" s="28"/>
      <c r="D383" s="28"/>
      <c r="E383" s="64"/>
      <c r="F383" s="67" t="str">
        <f aca="false">IF($A383="","",$A383-WEEKDAY($A383,3))</f>
        <v/>
      </c>
      <c r="G383" s="65" t="str">
        <f aca="false">IF($A383="","",IF($F383=WeekStart,"Yes",""))</f>
        <v/>
      </c>
      <c r="H383" s="65" t="str">
        <f aca="false">IF($G383="Yes",$A383+ROW()/100000,"")</f>
        <v/>
      </c>
      <c r="I383" s="65" t="str">
        <f aca="false">IF(AND($D383&lt;&gt;"",$D383=UCSel),$A383+ROW()/100000,"")</f>
        <v/>
      </c>
    </row>
    <row r="384" customFormat="false" ht="15" hidden="false" customHeight="false" outlineLevel="0" collapsed="false">
      <c r="A384" s="63"/>
      <c r="B384" s="28"/>
      <c r="C384" s="28"/>
      <c r="D384" s="28"/>
      <c r="E384" s="64"/>
      <c r="F384" s="67" t="str">
        <f aca="false">IF($A384="","",$A384-WEEKDAY($A384,3))</f>
        <v/>
      </c>
      <c r="G384" s="65" t="str">
        <f aca="false">IF($A384="","",IF($F384=WeekStart,"Yes",""))</f>
        <v/>
      </c>
      <c r="H384" s="65" t="str">
        <f aca="false">IF($G384="Yes",$A384+ROW()/100000,"")</f>
        <v/>
      </c>
      <c r="I384" s="65" t="str">
        <f aca="false">IF(AND($D384&lt;&gt;"",$D384=UCSel),$A384+ROW()/100000,"")</f>
        <v/>
      </c>
    </row>
    <row r="385" customFormat="false" ht="15" hidden="false" customHeight="false" outlineLevel="0" collapsed="false">
      <c r="A385" s="63"/>
      <c r="B385" s="28"/>
      <c r="C385" s="28"/>
      <c r="D385" s="28"/>
      <c r="E385" s="64"/>
      <c r="F385" s="67" t="str">
        <f aca="false">IF($A385="","",$A385-WEEKDAY($A385,3))</f>
        <v/>
      </c>
      <c r="G385" s="65" t="str">
        <f aca="false">IF($A385="","",IF($F385=WeekStart,"Yes",""))</f>
        <v/>
      </c>
      <c r="H385" s="65" t="str">
        <f aca="false">IF($G385="Yes",$A385+ROW()/100000,"")</f>
        <v/>
      </c>
      <c r="I385" s="65" t="str">
        <f aca="false">IF(AND($D385&lt;&gt;"",$D385=UCSel),$A385+ROW()/100000,"")</f>
        <v/>
      </c>
    </row>
    <row r="386" customFormat="false" ht="15" hidden="false" customHeight="false" outlineLevel="0" collapsed="false">
      <c r="A386" s="63"/>
      <c r="B386" s="28"/>
      <c r="C386" s="28"/>
      <c r="D386" s="28"/>
      <c r="E386" s="64"/>
      <c r="F386" s="67" t="str">
        <f aca="false">IF($A386="","",$A386-WEEKDAY($A386,3))</f>
        <v/>
      </c>
      <c r="G386" s="65" t="str">
        <f aca="false">IF($A386="","",IF($F386=WeekStart,"Yes",""))</f>
        <v/>
      </c>
      <c r="H386" s="65" t="str">
        <f aca="false">IF($G386="Yes",$A386+ROW()/100000,"")</f>
        <v/>
      </c>
      <c r="I386" s="65" t="str">
        <f aca="false">IF(AND($D386&lt;&gt;"",$D386=UCSel),$A386+ROW()/100000,"")</f>
        <v/>
      </c>
    </row>
    <row r="387" customFormat="false" ht="15" hidden="false" customHeight="false" outlineLevel="0" collapsed="false">
      <c r="A387" s="63"/>
      <c r="B387" s="28"/>
      <c r="C387" s="28"/>
      <c r="D387" s="28"/>
      <c r="E387" s="64"/>
      <c r="F387" s="67" t="str">
        <f aca="false">IF($A387="","",$A387-WEEKDAY($A387,3))</f>
        <v/>
      </c>
      <c r="G387" s="65" t="str">
        <f aca="false">IF($A387="","",IF($F387=WeekStart,"Yes",""))</f>
        <v/>
      </c>
      <c r="H387" s="65" t="str">
        <f aca="false">IF($G387="Yes",$A387+ROW()/100000,"")</f>
        <v/>
      </c>
      <c r="I387" s="65" t="str">
        <f aca="false">IF(AND($D387&lt;&gt;"",$D387=UCSel),$A387+ROW()/100000,"")</f>
        <v/>
      </c>
    </row>
    <row r="388" customFormat="false" ht="15" hidden="false" customHeight="false" outlineLevel="0" collapsed="false">
      <c r="A388" s="63"/>
      <c r="B388" s="28"/>
      <c r="C388" s="28"/>
      <c r="D388" s="28"/>
      <c r="E388" s="64"/>
      <c r="F388" s="67" t="str">
        <f aca="false">IF($A388="","",$A388-WEEKDAY($A388,3))</f>
        <v/>
      </c>
      <c r="G388" s="65" t="str">
        <f aca="false">IF($A388="","",IF($F388=WeekStart,"Yes",""))</f>
        <v/>
      </c>
      <c r="H388" s="65" t="str">
        <f aca="false">IF($G388="Yes",$A388+ROW()/100000,"")</f>
        <v/>
      </c>
      <c r="I388" s="65" t="str">
        <f aca="false">IF(AND($D388&lt;&gt;"",$D388=UCSel),$A388+ROW()/100000,"")</f>
        <v/>
      </c>
    </row>
    <row r="389" customFormat="false" ht="15" hidden="false" customHeight="false" outlineLevel="0" collapsed="false">
      <c r="A389" s="63"/>
      <c r="B389" s="28"/>
      <c r="C389" s="28"/>
      <c r="D389" s="28"/>
      <c r="E389" s="64"/>
      <c r="F389" s="67" t="str">
        <f aca="false">IF($A389="","",$A389-WEEKDAY($A389,3))</f>
        <v/>
      </c>
      <c r="G389" s="65" t="str">
        <f aca="false">IF($A389="","",IF($F389=WeekStart,"Yes",""))</f>
        <v/>
      </c>
      <c r="H389" s="65" t="str">
        <f aca="false">IF($G389="Yes",$A389+ROW()/100000,"")</f>
        <v/>
      </c>
      <c r="I389" s="65" t="str">
        <f aca="false">IF(AND($D389&lt;&gt;"",$D389=UCSel),$A389+ROW()/100000,"")</f>
        <v/>
      </c>
    </row>
    <row r="390" customFormat="false" ht="15" hidden="false" customHeight="false" outlineLevel="0" collapsed="false">
      <c r="A390" s="63"/>
      <c r="B390" s="28"/>
      <c r="C390" s="28"/>
      <c r="D390" s="28"/>
      <c r="E390" s="64"/>
      <c r="F390" s="67" t="str">
        <f aca="false">IF($A390="","",$A390-WEEKDAY($A390,3))</f>
        <v/>
      </c>
      <c r="G390" s="65" t="str">
        <f aca="false">IF($A390="","",IF($F390=WeekStart,"Yes",""))</f>
        <v/>
      </c>
      <c r="H390" s="65" t="str">
        <f aca="false">IF($G390="Yes",$A390+ROW()/100000,"")</f>
        <v/>
      </c>
      <c r="I390" s="65" t="str">
        <f aca="false">IF(AND($D390&lt;&gt;"",$D390=UCSel),$A390+ROW()/100000,"")</f>
        <v/>
      </c>
    </row>
    <row r="391" customFormat="false" ht="15" hidden="false" customHeight="false" outlineLevel="0" collapsed="false">
      <c r="A391" s="63"/>
      <c r="B391" s="28"/>
      <c r="C391" s="28"/>
      <c r="D391" s="28"/>
      <c r="E391" s="64"/>
      <c r="F391" s="67" t="str">
        <f aca="false">IF($A391="","",$A391-WEEKDAY($A391,3))</f>
        <v/>
      </c>
      <c r="G391" s="65" t="str">
        <f aca="false">IF($A391="","",IF($F391=WeekStart,"Yes",""))</f>
        <v/>
      </c>
      <c r="H391" s="65" t="str">
        <f aca="false">IF($G391="Yes",$A391+ROW()/100000,"")</f>
        <v/>
      </c>
      <c r="I391" s="65" t="str">
        <f aca="false">IF(AND($D391&lt;&gt;"",$D391=UCSel),$A391+ROW()/100000,"")</f>
        <v/>
      </c>
    </row>
    <row r="392" customFormat="false" ht="15" hidden="false" customHeight="false" outlineLevel="0" collapsed="false">
      <c r="A392" s="63"/>
      <c r="B392" s="28"/>
      <c r="C392" s="28"/>
      <c r="D392" s="28"/>
      <c r="E392" s="64"/>
      <c r="F392" s="67" t="str">
        <f aca="false">IF($A392="","",$A392-WEEKDAY($A392,3))</f>
        <v/>
      </c>
      <c r="G392" s="65" t="str">
        <f aca="false">IF($A392="","",IF($F392=WeekStart,"Yes",""))</f>
        <v/>
      </c>
      <c r="H392" s="65" t="str">
        <f aca="false">IF($G392="Yes",$A392+ROW()/100000,"")</f>
        <v/>
      </c>
      <c r="I392" s="65" t="str">
        <f aca="false">IF(AND($D392&lt;&gt;"",$D392=UCSel),$A392+ROW()/100000,"")</f>
        <v/>
      </c>
    </row>
    <row r="393" customFormat="false" ht="15" hidden="false" customHeight="false" outlineLevel="0" collapsed="false">
      <c r="A393" s="63"/>
      <c r="B393" s="28"/>
      <c r="C393" s="28"/>
      <c r="D393" s="28"/>
      <c r="E393" s="64"/>
      <c r="F393" s="67" t="str">
        <f aca="false">IF($A393="","",$A393-WEEKDAY($A393,3))</f>
        <v/>
      </c>
      <c r="G393" s="65" t="str">
        <f aca="false">IF($A393="","",IF($F393=WeekStart,"Yes",""))</f>
        <v/>
      </c>
      <c r="H393" s="65" t="str">
        <f aca="false">IF($G393="Yes",$A393+ROW()/100000,"")</f>
        <v/>
      </c>
      <c r="I393" s="65" t="str">
        <f aca="false">IF(AND($D393&lt;&gt;"",$D393=UCSel),$A393+ROW()/100000,"")</f>
        <v/>
      </c>
    </row>
    <row r="394" customFormat="false" ht="15" hidden="false" customHeight="false" outlineLevel="0" collapsed="false">
      <c r="A394" s="63"/>
      <c r="B394" s="28"/>
      <c r="C394" s="28"/>
      <c r="D394" s="28"/>
      <c r="E394" s="64"/>
      <c r="F394" s="67" t="str">
        <f aca="false">IF($A394="","",$A394-WEEKDAY($A394,3))</f>
        <v/>
      </c>
      <c r="G394" s="65" t="str">
        <f aca="false">IF($A394="","",IF($F394=WeekStart,"Yes",""))</f>
        <v/>
      </c>
      <c r="H394" s="65" t="str">
        <f aca="false">IF($G394="Yes",$A394+ROW()/100000,"")</f>
        <v/>
      </c>
      <c r="I394" s="65" t="str">
        <f aca="false">IF(AND($D394&lt;&gt;"",$D394=UCSel),$A394+ROW()/100000,"")</f>
        <v/>
      </c>
    </row>
    <row r="395" customFormat="false" ht="15" hidden="false" customHeight="false" outlineLevel="0" collapsed="false">
      <c r="A395" s="63"/>
      <c r="B395" s="28"/>
      <c r="C395" s="28"/>
      <c r="D395" s="28"/>
      <c r="E395" s="64"/>
      <c r="F395" s="67" t="str">
        <f aca="false">IF($A395="","",$A395-WEEKDAY($A395,3))</f>
        <v/>
      </c>
      <c r="G395" s="65" t="str">
        <f aca="false">IF($A395="","",IF($F395=WeekStart,"Yes",""))</f>
        <v/>
      </c>
      <c r="H395" s="65" t="str">
        <f aca="false">IF($G395="Yes",$A395+ROW()/100000,"")</f>
        <v/>
      </c>
      <c r="I395" s="65" t="str">
        <f aca="false">IF(AND($D395&lt;&gt;"",$D395=UCSel),$A395+ROW()/100000,"")</f>
        <v/>
      </c>
    </row>
    <row r="396" customFormat="false" ht="15" hidden="false" customHeight="false" outlineLevel="0" collapsed="false">
      <c r="A396" s="63"/>
      <c r="B396" s="28"/>
      <c r="C396" s="28"/>
      <c r="D396" s="28"/>
      <c r="E396" s="64"/>
      <c r="F396" s="67" t="str">
        <f aca="false">IF($A396="","",$A396-WEEKDAY($A396,3))</f>
        <v/>
      </c>
      <c r="G396" s="65" t="str">
        <f aca="false">IF($A396="","",IF($F396=WeekStart,"Yes",""))</f>
        <v/>
      </c>
      <c r="H396" s="65" t="str">
        <f aca="false">IF($G396="Yes",$A396+ROW()/100000,"")</f>
        <v/>
      </c>
      <c r="I396" s="65" t="str">
        <f aca="false">IF(AND($D396&lt;&gt;"",$D396=UCSel),$A396+ROW()/100000,"")</f>
        <v/>
      </c>
    </row>
    <row r="397" customFormat="false" ht="15" hidden="false" customHeight="false" outlineLevel="0" collapsed="false">
      <c r="A397" s="63"/>
      <c r="B397" s="28"/>
      <c r="C397" s="28"/>
      <c r="D397" s="28"/>
      <c r="E397" s="64"/>
      <c r="F397" s="67" t="str">
        <f aca="false">IF($A397="","",$A397-WEEKDAY($A397,3))</f>
        <v/>
      </c>
      <c r="G397" s="65" t="str">
        <f aca="false">IF($A397="","",IF($F397=WeekStart,"Yes",""))</f>
        <v/>
      </c>
      <c r="H397" s="65" t="str">
        <f aca="false">IF($G397="Yes",$A397+ROW()/100000,"")</f>
        <v/>
      </c>
      <c r="I397" s="65" t="str">
        <f aca="false">IF(AND($D397&lt;&gt;"",$D397=UCSel),$A397+ROW()/100000,"")</f>
        <v/>
      </c>
    </row>
    <row r="398" customFormat="false" ht="15" hidden="false" customHeight="false" outlineLevel="0" collapsed="false">
      <c r="A398" s="63"/>
      <c r="B398" s="28"/>
      <c r="C398" s="28"/>
      <c r="D398" s="28"/>
      <c r="E398" s="64"/>
      <c r="F398" s="67" t="str">
        <f aca="false">IF($A398="","",$A398-WEEKDAY($A398,3))</f>
        <v/>
      </c>
      <c r="G398" s="65" t="str">
        <f aca="false">IF($A398="","",IF($F398=WeekStart,"Yes",""))</f>
        <v/>
      </c>
      <c r="H398" s="65" t="str">
        <f aca="false">IF($G398="Yes",$A398+ROW()/100000,"")</f>
        <v/>
      </c>
      <c r="I398" s="65" t="str">
        <f aca="false">IF(AND($D398&lt;&gt;"",$D398=UCSel),$A398+ROW()/100000,"")</f>
        <v/>
      </c>
    </row>
    <row r="399" customFormat="false" ht="15" hidden="false" customHeight="false" outlineLevel="0" collapsed="false">
      <c r="A399" s="63"/>
      <c r="B399" s="28"/>
      <c r="C399" s="28"/>
      <c r="D399" s="28"/>
      <c r="E399" s="64"/>
      <c r="F399" s="67" t="str">
        <f aca="false">IF($A399="","",$A399-WEEKDAY($A399,3))</f>
        <v/>
      </c>
      <c r="G399" s="65" t="str">
        <f aca="false">IF($A399="","",IF($F399=WeekStart,"Yes",""))</f>
        <v/>
      </c>
      <c r="H399" s="65" t="str">
        <f aca="false">IF($G399="Yes",$A399+ROW()/100000,"")</f>
        <v/>
      </c>
      <c r="I399" s="65" t="str">
        <f aca="false">IF(AND($D399&lt;&gt;"",$D399=UCSel),$A399+ROW()/100000,"")</f>
        <v/>
      </c>
    </row>
    <row r="400" customFormat="false" ht="15" hidden="false" customHeight="false" outlineLevel="0" collapsed="false">
      <c r="A400" s="63"/>
      <c r="B400" s="28"/>
      <c r="C400" s="28"/>
      <c r="D400" s="28"/>
      <c r="E400" s="64"/>
      <c r="F400" s="67" t="str">
        <f aca="false">IF($A400="","",$A400-WEEKDAY($A400,3))</f>
        <v/>
      </c>
      <c r="G400" s="65" t="str">
        <f aca="false">IF($A400="","",IF($F400=WeekStart,"Yes",""))</f>
        <v/>
      </c>
      <c r="H400" s="65" t="str">
        <f aca="false">IF($G400="Yes",$A400+ROW()/100000,"")</f>
        <v/>
      </c>
      <c r="I400" s="65" t="str">
        <f aca="false">IF(AND($D400&lt;&gt;"",$D400=UCSel),$A400+ROW()/100000,"")</f>
        <v/>
      </c>
    </row>
    <row r="401" customFormat="false" ht="15" hidden="false" customHeight="false" outlineLevel="0" collapsed="false">
      <c r="A401" s="63"/>
      <c r="B401" s="28"/>
      <c r="C401" s="28"/>
      <c r="D401" s="28"/>
      <c r="E401" s="64"/>
      <c r="F401" s="67" t="str">
        <f aca="false">IF($A401="","",$A401-WEEKDAY($A401,3))</f>
        <v/>
      </c>
      <c r="G401" s="65" t="str">
        <f aca="false">IF($A401="","",IF($F401=WeekStart,"Yes",""))</f>
        <v/>
      </c>
      <c r="H401" s="65" t="str">
        <f aca="false">IF($G401="Yes",$A401+ROW()/100000,"")</f>
        <v/>
      </c>
      <c r="I401" s="65" t="str">
        <f aca="false">IF(AND($D401&lt;&gt;"",$D401=UCSel),$A401+ROW()/100000,"")</f>
        <v/>
      </c>
    </row>
    <row r="402" customFormat="false" ht="15" hidden="false" customHeight="false" outlineLevel="0" collapsed="false">
      <c r="A402" s="63"/>
      <c r="B402" s="28"/>
      <c r="C402" s="28"/>
      <c r="D402" s="28"/>
      <c r="E402" s="64"/>
      <c r="F402" s="67" t="str">
        <f aca="false">IF($A402="","",$A402-WEEKDAY($A402,3))</f>
        <v/>
      </c>
      <c r="G402" s="65" t="str">
        <f aca="false">IF($A402="","",IF($F402=WeekStart,"Yes",""))</f>
        <v/>
      </c>
      <c r="H402" s="65" t="str">
        <f aca="false">IF($G402="Yes",$A402+ROW()/100000,"")</f>
        <v/>
      </c>
      <c r="I402" s="65" t="str">
        <f aca="false">IF(AND($D402&lt;&gt;"",$D402=UCSel),$A402+ROW()/100000,"")</f>
        <v/>
      </c>
    </row>
    <row r="403" customFormat="false" ht="15" hidden="false" customHeight="false" outlineLevel="0" collapsed="false">
      <c r="A403" s="63"/>
      <c r="B403" s="28"/>
      <c r="C403" s="28"/>
      <c r="D403" s="28"/>
      <c r="E403" s="64"/>
      <c r="F403" s="67" t="str">
        <f aca="false">IF($A403="","",$A403-WEEKDAY($A403,3))</f>
        <v/>
      </c>
      <c r="G403" s="65" t="str">
        <f aca="false">IF($A403="","",IF($F403=WeekStart,"Yes",""))</f>
        <v/>
      </c>
      <c r="H403" s="65" t="str">
        <f aca="false">IF($G403="Yes",$A403+ROW()/100000,"")</f>
        <v/>
      </c>
      <c r="I403" s="65" t="str">
        <f aca="false">IF(AND($D403&lt;&gt;"",$D403=UCSel),$A403+ROW()/100000,"")</f>
        <v/>
      </c>
    </row>
    <row r="404" customFormat="false" ht="15" hidden="false" customHeight="false" outlineLevel="0" collapsed="false">
      <c r="A404" s="63"/>
      <c r="B404" s="28"/>
      <c r="C404" s="28"/>
      <c r="D404" s="28"/>
      <c r="E404" s="64"/>
      <c r="F404" s="67" t="str">
        <f aca="false">IF($A404="","",$A404-WEEKDAY($A404,3))</f>
        <v/>
      </c>
      <c r="G404" s="65" t="str">
        <f aca="false">IF($A404="","",IF($F404=WeekStart,"Yes",""))</f>
        <v/>
      </c>
      <c r="H404" s="65" t="str">
        <f aca="false">IF($G404="Yes",$A404+ROW()/100000,"")</f>
        <v/>
      </c>
      <c r="I404" s="65" t="str">
        <f aca="false">IF(AND($D404&lt;&gt;"",$D404=UCSel),$A404+ROW()/100000,"")</f>
        <v/>
      </c>
    </row>
    <row r="405" customFormat="false" ht="15" hidden="false" customHeight="false" outlineLevel="0" collapsed="false">
      <c r="A405" s="63"/>
      <c r="B405" s="28"/>
      <c r="C405" s="28"/>
      <c r="D405" s="28"/>
      <c r="E405" s="64"/>
      <c r="F405" s="67" t="str">
        <f aca="false">IF($A405="","",$A405-WEEKDAY($A405,3))</f>
        <v/>
      </c>
      <c r="G405" s="65" t="str">
        <f aca="false">IF($A405="","",IF($F405=WeekStart,"Yes",""))</f>
        <v/>
      </c>
      <c r="H405" s="65" t="str">
        <f aca="false">IF($G405="Yes",$A405+ROW()/100000,"")</f>
        <v/>
      </c>
      <c r="I405" s="65" t="str">
        <f aca="false">IF(AND($D405&lt;&gt;"",$D405=UCSel),$A405+ROW()/100000,"")</f>
        <v/>
      </c>
    </row>
    <row r="406" customFormat="false" ht="15" hidden="false" customHeight="false" outlineLevel="0" collapsed="false">
      <c r="A406" s="63"/>
      <c r="B406" s="28"/>
      <c r="C406" s="28"/>
      <c r="D406" s="28"/>
      <c r="E406" s="64"/>
      <c r="F406" s="67" t="str">
        <f aca="false">IF($A406="","",$A406-WEEKDAY($A406,3))</f>
        <v/>
      </c>
      <c r="G406" s="65" t="str">
        <f aca="false">IF($A406="","",IF($F406=WeekStart,"Yes",""))</f>
        <v/>
      </c>
      <c r="H406" s="65" t="str">
        <f aca="false">IF($G406="Yes",$A406+ROW()/100000,"")</f>
        <v/>
      </c>
      <c r="I406" s="65" t="str">
        <f aca="false">IF(AND($D406&lt;&gt;"",$D406=UCSel),$A406+ROW()/100000,"")</f>
        <v/>
      </c>
    </row>
    <row r="407" customFormat="false" ht="15" hidden="false" customHeight="false" outlineLevel="0" collapsed="false">
      <c r="A407" s="63"/>
      <c r="B407" s="28"/>
      <c r="C407" s="28"/>
      <c r="D407" s="28"/>
      <c r="E407" s="64"/>
      <c r="F407" s="67" t="str">
        <f aca="false">IF($A407="","",$A407-WEEKDAY($A407,3))</f>
        <v/>
      </c>
      <c r="G407" s="65" t="str">
        <f aca="false">IF($A407="","",IF($F407=WeekStart,"Yes",""))</f>
        <v/>
      </c>
      <c r="H407" s="65" t="str">
        <f aca="false">IF($G407="Yes",$A407+ROW()/100000,"")</f>
        <v/>
      </c>
      <c r="I407" s="65" t="str">
        <f aca="false">IF(AND($D407&lt;&gt;"",$D407=UCSel),$A407+ROW()/100000,"")</f>
        <v/>
      </c>
    </row>
    <row r="408" customFormat="false" ht="15" hidden="false" customHeight="false" outlineLevel="0" collapsed="false">
      <c r="A408" s="63"/>
      <c r="B408" s="28"/>
      <c r="C408" s="28"/>
      <c r="D408" s="28"/>
      <c r="E408" s="64"/>
      <c r="F408" s="67" t="str">
        <f aca="false">IF($A408="","",$A408-WEEKDAY($A408,3))</f>
        <v/>
      </c>
      <c r="G408" s="65" t="str">
        <f aca="false">IF($A408="","",IF($F408=WeekStart,"Yes",""))</f>
        <v/>
      </c>
      <c r="H408" s="65" t="str">
        <f aca="false">IF($G408="Yes",$A408+ROW()/100000,"")</f>
        <v/>
      </c>
      <c r="I408" s="65" t="str">
        <f aca="false">IF(AND($D408&lt;&gt;"",$D408=UCSel),$A408+ROW()/100000,"")</f>
        <v/>
      </c>
    </row>
    <row r="409" customFormat="false" ht="15" hidden="false" customHeight="false" outlineLevel="0" collapsed="false">
      <c r="A409" s="63"/>
      <c r="B409" s="28"/>
      <c r="C409" s="28"/>
      <c r="D409" s="28"/>
      <c r="E409" s="64"/>
      <c r="F409" s="67" t="str">
        <f aca="false">IF($A409="","",$A409-WEEKDAY($A409,3))</f>
        <v/>
      </c>
      <c r="G409" s="65" t="str">
        <f aca="false">IF($A409="","",IF($F409=WeekStart,"Yes",""))</f>
        <v/>
      </c>
      <c r="H409" s="65" t="str">
        <f aca="false">IF($G409="Yes",$A409+ROW()/100000,"")</f>
        <v/>
      </c>
      <c r="I409" s="65" t="str">
        <f aca="false">IF(AND($D409&lt;&gt;"",$D409=UCSel),$A409+ROW()/100000,"")</f>
        <v/>
      </c>
    </row>
    <row r="410" customFormat="false" ht="15" hidden="false" customHeight="false" outlineLevel="0" collapsed="false">
      <c r="A410" s="63"/>
      <c r="B410" s="28"/>
      <c r="C410" s="28"/>
      <c r="D410" s="28"/>
      <c r="E410" s="64"/>
      <c r="F410" s="67" t="str">
        <f aca="false">IF($A410="","",$A410-WEEKDAY($A410,3))</f>
        <v/>
      </c>
      <c r="G410" s="65" t="str">
        <f aca="false">IF($A410="","",IF($F410=WeekStart,"Yes",""))</f>
        <v/>
      </c>
      <c r="H410" s="65" t="str">
        <f aca="false">IF($G410="Yes",$A410+ROW()/100000,"")</f>
        <v/>
      </c>
      <c r="I410" s="65" t="str">
        <f aca="false">IF(AND($D410&lt;&gt;"",$D410=UCSel),$A410+ROW()/100000,"")</f>
        <v/>
      </c>
    </row>
    <row r="411" customFormat="false" ht="15" hidden="false" customHeight="false" outlineLevel="0" collapsed="false">
      <c r="A411" s="63"/>
      <c r="B411" s="28"/>
      <c r="C411" s="28"/>
      <c r="D411" s="28"/>
      <c r="E411" s="64"/>
      <c r="F411" s="67" t="str">
        <f aca="false">IF($A411="","",$A411-WEEKDAY($A411,3))</f>
        <v/>
      </c>
      <c r="G411" s="65" t="str">
        <f aca="false">IF($A411="","",IF($F411=WeekStart,"Yes",""))</f>
        <v/>
      </c>
      <c r="H411" s="65" t="str">
        <f aca="false">IF($G411="Yes",$A411+ROW()/100000,"")</f>
        <v/>
      </c>
      <c r="I411" s="65" t="str">
        <f aca="false">IF(AND($D411&lt;&gt;"",$D411=UCSel),$A411+ROW()/100000,"")</f>
        <v/>
      </c>
    </row>
    <row r="412" customFormat="false" ht="15" hidden="false" customHeight="false" outlineLevel="0" collapsed="false">
      <c r="A412" s="63"/>
      <c r="B412" s="28"/>
      <c r="C412" s="28"/>
      <c r="D412" s="28"/>
      <c r="E412" s="64"/>
      <c r="F412" s="67" t="str">
        <f aca="false">IF($A412="","",$A412-WEEKDAY($A412,3))</f>
        <v/>
      </c>
      <c r="G412" s="65" t="str">
        <f aca="false">IF($A412="","",IF($F412=WeekStart,"Yes",""))</f>
        <v/>
      </c>
      <c r="H412" s="65" t="str">
        <f aca="false">IF($G412="Yes",$A412+ROW()/100000,"")</f>
        <v/>
      </c>
      <c r="I412" s="65" t="str">
        <f aca="false">IF(AND($D412&lt;&gt;"",$D412=UCSel),$A412+ROW()/100000,"")</f>
        <v/>
      </c>
    </row>
    <row r="413" customFormat="false" ht="15" hidden="false" customHeight="false" outlineLevel="0" collapsed="false">
      <c r="A413" s="63"/>
      <c r="B413" s="28"/>
      <c r="C413" s="28"/>
      <c r="D413" s="28"/>
      <c r="E413" s="64"/>
      <c r="F413" s="67" t="str">
        <f aca="false">IF($A413="","",$A413-WEEKDAY($A413,3))</f>
        <v/>
      </c>
      <c r="G413" s="65" t="str">
        <f aca="false">IF($A413="","",IF($F413=WeekStart,"Yes",""))</f>
        <v/>
      </c>
      <c r="H413" s="65" t="str">
        <f aca="false">IF($G413="Yes",$A413+ROW()/100000,"")</f>
        <v/>
      </c>
      <c r="I413" s="65" t="str">
        <f aca="false">IF(AND($D413&lt;&gt;"",$D413=UCSel),$A413+ROW()/100000,"")</f>
        <v/>
      </c>
    </row>
    <row r="414" customFormat="false" ht="15" hidden="false" customHeight="false" outlineLevel="0" collapsed="false">
      <c r="A414" s="63"/>
      <c r="B414" s="28"/>
      <c r="C414" s="28"/>
      <c r="D414" s="28"/>
      <c r="E414" s="64"/>
      <c r="F414" s="67" t="str">
        <f aca="false">IF($A414="","",$A414-WEEKDAY($A414,3))</f>
        <v/>
      </c>
      <c r="G414" s="65" t="str">
        <f aca="false">IF($A414="","",IF($F414=WeekStart,"Yes",""))</f>
        <v/>
      </c>
      <c r="H414" s="65" t="str">
        <f aca="false">IF($G414="Yes",$A414+ROW()/100000,"")</f>
        <v/>
      </c>
      <c r="I414" s="65" t="str">
        <f aca="false">IF(AND($D414&lt;&gt;"",$D414=UCSel),$A414+ROW()/100000,"")</f>
        <v/>
      </c>
    </row>
    <row r="415" customFormat="false" ht="15" hidden="false" customHeight="false" outlineLevel="0" collapsed="false">
      <c r="A415" s="63"/>
      <c r="B415" s="28"/>
      <c r="C415" s="28"/>
      <c r="D415" s="28"/>
      <c r="E415" s="64"/>
      <c r="F415" s="67" t="str">
        <f aca="false">IF($A415="","",$A415-WEEKDAY($A415,3))</f>
        <v/>
      </c>
      <c r="G415" s="65" t="str">
        <f aca="false">IF($A415="","",IF($F415=WeekStart,"Yes",""))</f>
        <v/>
      </c>
      <c r="H415" s="65" t="str">
        <f aca="false">IF($G415="Yes",$A415+ROW()/100000,"")</f>
        <v/>
      </c>
      <c r="I415" s="65" t="str">
        <f aca="false">IF(AND($D415&lt;&gt;"",$D415=UCSel),$A415+ROW()/100000,"")</f>
        <v/>
      </c>
    </row>
    <row r="416" customFormat="false" ht="15" hidden="false" customHeight="false" outlineLevel="0" collapsed="false">
      <c r="A416" s="63"/>
      <c r="B416" s="28"/>
      <c r="C416" s="28"/>
      <c r="D416" s="28"/>
      <c r="E416" s="64"/>
      <c r="F416" s="67" t="str">
        <f aca="false">IF($A416="","",$A416-WEEKDAY($A416,3))</f>
        <v/>
      </c>
      <c r="G416" s="65" t="str">
        <f aca="false">IF($A416="","",IF($F416=WeekStart,"Yes",""))</f>
        <v/>
      </c>
      <c r="H416" s="65" t="str">
        <f aca="false">IF($G416="Yes",$A416+ROW()/100000,"")</f>
        <v/>
      </c>
      <c r="I416" s="65" t="str">
        <f aca="false">IF(AND($D416&lt;&gt;"",$D416=UCSel),$A416+ROW()/100000,"")</f>
        <v/>
      </c>
    </row>
    <row r="417" customFormat="false" ht="15" hidden="false" customHeight="false" outlineLevel="0" collapsed="false">
      <c r="A417" s="63"/>
      <c r="B417" s="28"/>
      <c r="C417" s="28"/>
      <c r="D417" s="28"/>
      <c r="E417" s="64"/>
      <c r="F417" s="67" t="str">
        <f aca="false">IF($A417="","",$A417-WEEKDAY($A417,3))</f>
        <v/>
      </c>
      <c r="G417" s="65" t="str">
        <f aca="false">IF($A417="","",IF($F417=WeekStart,"Yes",""))</f>
        <v/>
      </c>
      <c r="H417" s="65" t="str">
        <f aca="false">IF($G417="Yes",$A417+ROW()/100000,"")</f>
        <v/>
      </c>
      <c r="I417" s="65" t="str">
        <f aca="false">IF(AND($D417&lt;&gt;"",$D417=UCSel),$A417+ROW()/100000,"")</f>
        <v/>
      </c>
    </row>
    <row r="418" customFormat="false" ht="15" hidden="false" customHeight="false" outlineLevel="0" collapsed="false">
      <c r="A418" s="63"/>
      <c r="B418" s="28"/>
      <c r="C418" s="28"/>
      <c r="D418" s="28"/>
      <c r="E418" s="64"/>
      <c r="F418" s="67" t="str">
        <f aca="false">IF($A418="","",$A418-WEEKDAY($A418,3))</f>
        <v/>
      </c>
      <c r="G418" s="65" t="str">
        <f aca="false">IF($A418="","",IF($F418=WeekStart,"Yes",""))</f>
        <v/>
      </c>
      <c r="H418" s="65" t="str">
        <f aca="false">IF($G418="Yes",$A418+ROW()/100000,"")</f>
        <v/>
      </c>
      <c r="I418" s="65" t="str">
        <f aca="false">IF(AND($D418&lt;&gt;"",$D418=UCSel),$A418+ROW()/100000,"")</f>
        <v/>
      </c>
    </row>
    <row r="419" customFormat="false" ht="15" hidden="false" customHeight="false" outlineLevel="0" collapsed="false">
      <c r="A419" s="63"/>
      <c r="B419" s="28"/>
      <c r="C419" s="28"/>
      <c r="D419" s="28"/>
      <c r="E419" s="64"/>
      <c r="F419" s="67" t="str">
        <f aca="false">IF($A419="","",$A419-WEEKDAY($A419,3))</f>
        <v/>
      </c>
      <c r="G419" s="65" t="str">
        <f aca="false">IF($A419="","",IF($F419=WeekStart,"Yes",""))</f>
        <v/>
      </c>
      <c r="H419" s="65" t="str">
        <f aca="false">IF($G419="Yes",$A419+ROW()/100000,"")</f>
        <v/>
      </c>
      <c r="I419" s="65" t="str">
        <f aca="false">IF(AND($D419&lt;&gt;"",$D419=UCSel),$A419+ROW()/100000,"")</f>
        <v/>
      </c>
    </row>
    <row r="420" customFormat="false" ht="15" hidden="false" customHeight="false" outlineLevel="0" collapsed="false">
      <c r="A420" s="63"/>
      <c r="B420" s="28"/>
      <c r="C420" s="28"/>
      <c r="D420" s="28"/>
      <c r="E420" s="64"/>
      <c r="F420" s="67" t="str">
        <f aca="false">IF($A420="","",$A420-WEEKDAY($A420,3))</f>
        <v/>
      </c>
      <c r="G420" s="65" t="str">
        <f aca="false">IF($A420="","",IF($F420=WeekStart,"Yes",""))</f>
        <v/>
      </c>
      <c r="H420" s="65" t="str">
        <f aca="false">IF($G420="Yes",$A420+ROW()/100000,"")</f>
        <v/>
      </c>
      <c r="I420" s="65" t="str">
        <f aca="false">IF(AND($D420&lt;&gt;"",$D420=UCSel),$A420+ROW()/100000,"")</f>
        <v/>
      </c>
    </row>
    <row r="421" customFormat="false" ht="15" hidden="false" customHeight="false" outlineLevel="0" collapsed="false">
      <c r="A421" s="63"/>
      <c r="B421" s="28"/>
      <c r="C421" s="28"/>
      <c r="D421" s="28"/>
      <c r="E421" s="64"/>
      <c r="F421" s="67" t="str">
        <f aca="false">IF($A421="","",$A421-WEEKDAY($A421,3))</f>
        <v/>
      </c>
      <c r="G421" s="65" t="str">
        <f aca="false">IF($A421="","",IF($F421=WeekStart,"Yes",""))</f>
        <v/>
      </c>
      <c r="H421" s="65" t="str">
        <f aca="false">IF($G421="Yes",$A421+ROW()/100000,"")</f>
        <v/>
      </c>
      <c r="I421" s="65" t="str">
        <f aca="false">IF(AND($D421&lt;&gt;"",$D421=UCSel),$A421+ROW()/100000,"")</f>
        <v/>
      </c>
    </row>
    <row r="422" customFormat="false" ht="15" hidden="false" customHeight="false" outlineLevel="0" collapsed="false">
      <c r="A422" s="63"/>
      <c r="B422" s="28"/>
      <c r="C422" s="28"/>
      <c r="D422" s="28"/>
      <c r="E422" s="64"/>
      <c r="F422" s="67" t="str">
        <f aca="false">IF($A422="","",$A422-WEEKDAY($A422,3))</f>
        <v/>
      </c>
      <c r="G422" s="65" t="str">
        <f aca="false">IF($A422="","",IF($F422=WeekStart,"Yes",""))</f>
        <v/>
      </c>
      <c r="H422" s="65" t="str">
        <f aca="false">IF($G422="Yes",$A422+ROW()/100000,"")</f>
        <v/>
      </c>
      <c r="I422" s="65" t="str">
        <f aca="false">IF(AND($D422&lt;&gt;"",$D422=UCSel),$A422+ROW()/100000,"")</f>
        <v/>
      </c>
    </row>
    <row r="423" customFormat="false" ht="15" hidden="false" customHeight="false" outlineLevel="0" collapsed="false">
      <c r="A423" s="63"/>
      <c r="B423" s="28"/>
      <c r="C423" s="28"/>
      <c r="D423" s="28"/>
      <c r="E423" s="64"/>
      <c r="F423" s="67" t="str">
        <f aca="false">IF($A423="","",$A423-WEEKDAY($A423,3))</f>
        <v/>
      </c>
      <c r="G423" s="65" t="str">
        <f aca="false">IF($A423="","",IF($F423=WeekStart,"Yes",""))</f>
        <v/>
      </c>
      <c r="H423" s="65" t="str">
        <f aca="false">IF($G423="Yes",$A423+ROW()/100000,"")</f>
        <v/>
      </c>
      <c r="I423" s="65" t="str">
        <f aca="false">IF(AND($D423&lt;&gt;"",$D423=UCSel),$A423+ROW()/100000,"")</f>
        <v/>
      </c>
    </row>
    <row r="424" customFormat="false" ht="15" hidden="false" customHeight="false" outlineLevel="0" collapsed="false">
      <c r="A424" s="63"/>
      <c r="B424" s="28"/>
      <c r="C424" s="28"/>
      <c r="D424" s="28"/>
      <c r="E424" s="64"/>
      <c r="F424" s="67" t="str">
        <f aca="false">IF($A424="","",$A424-WEEKDAY($A424,3))</f>
        <v/>
      </c>
      <c r="G424" s="65" t="str">
        <f aca="false">IF($A424="","",IF($F424=WeekStart,"Yes",""))</f>
        <v/>
      </c>
      <c r="H424" s="65" t="str">
        <f aca="false">IF($G424="Yes",$A424+ROW()/100000,"")</f>
        <v/>
      </c>
      <c r="I424" s="65" t="str">
        <f aca="false">IF(AND($D424&lt;&gt;"",$D424=UCSel),$A424+ROW()/100000,"")</f>
        <v/>
      </c>
    </row>
    <row r="425" customFormat="false" ht="15" hidden="false" customHeight="false" outlineLevel="0" collapsed="false">
      <c r="A425" s="63"/>
      <c r="B425" s="28"/>
      <c r="C425" s="28"/>
      <c r="D425" s="28"/>
      <c r="E425" s="64"/>
      <c r="F425" s="67" t="str">
        <f aca="false">IF($A425="","",$A425-WEEKDAY($A425,3))</f>
        <v/>
      </c>
      <c r="G425" s="65" t="str">
        <f aca="false">IF($A425="","",IF($F425=WeekStart,"Yes",""))</f>
        <v/>
      </c>
      <c r="H425" s="65" t="str">
        <f aca="false">IF($G425="Yes",$A425+ROW()/100000,"")</f>
        <v/>
      </c>
      <c r="I425" s="65" t="str">
        <f aca="false">IF(AND($D425&lt;&gt;"",$D425=UCSel),$A425+ROW()/100000,"")</f>
        <v/>
      </c>
    </row>
    <row r="426" customFormat="false" ht="15" hidden="false" customHeight="false" outlineLevel="0" collapsed="false">
      <c r="A426" s="63"/>
      <c r="B426" s="28"/>
      <c r="C426" s="28"/>
      <c r="D426" s="28"/>
      <c r="E426" s="64"/>
      <c r="F426" s="67" t="str">
        <f aca="false">IF($A426="","",$A426-WEEKDAY($A426,3))</f>
        <v/>
      </c>
      <c r="G426" s="65" t="str">
        <f aca="false">IF($A426="","",IF($F426=WeekStart,"Yes",""))</f>
        <v/>
      </c>
      <c r="H426" s="65" t="str">
        <f aca="false">IF($G426="Yes",$A426+ROW()/100000,"")</f>
        <v/>
      </c>
      <c r="I426" s="65" t="str">
        <f aca="false">IF(AND($D426&lt;&gt;"",$D426=UCSel),$A426+ROW()/100000,"")</f>
        <v/>
      </c>
    </row>
    <row r="427" customFormat="false" ht="15" hidden="false" customHeight="false" outlineLevel="0" collapsed="false">
      <c r="A427" s="63"/>
      <c r="B427" s="28"/>
      <c r="C427" s="28"/>
      <c r="D427" s="28"/>
      <c r="E427" s="64"/>
      <c r="F427" s="67" t="str">
        <f aca="false">IF($A427="","",$A427-WEEKDAY($A427,3))</f>
        <v/>
      </c>
      <c r="G427" s="65" t="str">
        <f aca="false">IF($A427="","",IF($F427=WeekStart,"Yes",""))</f>
        <v/>
      </c>
      <c r="H427" s="65" t="str">
        <f aca="false">IF($G427="Yes",$A427+ROW()/100000,"")</f>
        <v/>
      </c>
      <c r="I427" s="65" t="str">
        <f aca="false">IF(AND($D427&lt;&gt;"",$D427=UCSel),$A427+ROW()/100000,"")</f>
        <v/>
      </c>
    </row>
    <row r="428" customFormat="false" ht="15" hidden="false" customHeight="false" outlineLevel="0" collapsed="false">
      <c r="A428" s="63"/>
      <c r="B428" s="28"/>
      <c r="C428" s="28"/>
      <c r="D428" s="28"/>
      <c r="E428" s="64"/>
      <c r="F428" s="67" t="str">
        <f aca="false">IF($A428="","",$A428-WEEKDAY($A428,3))</f>
        <v/>
      </c>
      <c r="G428" s="65" t="str">
        <f aca="false">IF($A428="","",IF($F428=WeekStart,"Yes",""))</f>
        <v/>
      </c>
      <c r="H428" s="65" t="str">
        <f aca="false">IF($G428="Yes",$A428+ROW()/100000,"")</f>
        <v/>
      </c>
      <c r="I428" s="65" t="str">
        <f aca="false">IF(AND($D428&lt;&gt;"",$D428=UCSel),$A428+ROW()/100000,"")</f>
        <v/>
      </c>
    </row>
    <row r="429" customFormat="false" ht="15" hidden="false" customHeight="false" outlineLevel="0" collapsed="false">
      <c r="A429" s="63"/>
      <c r="B429" s="28"/>
      <c r="C429" s="28"/>
      <c r="D429" s="28"/>
      <c r="E429" s="64"/>
      <c r="F429" s="67" t="str">
        <f aca="false">IF($A429="","",$A429-WEEKDAY($A429,3))</f>
        <v/>
      </c>
      <c r="G429" s="65" t="str">
        <f aca="false">IF($A429="","",IF($F429=WeekStart,"Yes",""))</f>
        <v/>
      </c>
      <c r="H429" s="65" t="str">
        <f aca="false">IF($G429="Yes",$A429+ROW()/100000,"")</f>
        <v/>
      </c>
      <c r="I429" s="65" t="str">
        <f aca="false">IF(AND($D429&lt;&gt;"",$D429=UCSel),$A429+ROW()/100000,"")</f>
        <v/>
      </c>
    </row>
    <row r="430" customFormat="false" ht="15" hidden="false" customHeight="false" outlineLevel="0" collapsed="false">
      <c r="A430" s="63"/>
      <c r="B430" s="28"/>
      <c r="C430" s="28"/>
      <c r="D430" s="28"/>
      <c r="E430" s="64"/>
      <c r="F430" s="67" t="str">
        <f aca="false">IF($A430="","",$A430-WEEKDAY($A430,3))</f>
        <v/>
      </c>
      <c r="G430" s="65" t="str">
        <f aca="false">IF($A430="","",IF($F430=WeekStart,"Yes",""))</f>
        <v/>
      </c>
      <c r="H430" s="65" t="str">
        <f aca="false">IF($G430="Yes",$A430+ROW()/100000,"")</f>
        <v/>
      </c>
      <c r="I430" s="65" t="str">
        <f aca="false">IF(AND($D430&lt;&gt;"",$D430=UCSel),$A430+ROW()/100000,"")</f>
        <v/>
      </c>
    </row>
    <row r="431" customFormat="false" ht="15" hidden="false" customHeight="false" outlineLevel="0" collapsed="false">
      <c r="A431" s="63"/>
      <c r="B431" s="28"/>
      <c r="C431" s="28"/>
      <c r="D431" s="28"/>
      <c r="E431" s="64"/>
      <c r="F431" s="67" t="str">
        <f aca="false">IF($A431="","",$A431-WEEKDAY($A431,3))</f>
        <v/>
      </c>
      <c r="G431" s="65" t="str">
        <f aca="false">IF($A431="","",IF($F431=WeekStart,"Yes",""))</f>
        <v/>
      </c>
      <c r="H431" s="65" t="str">
        <f aca="false">IF($G431="Yes",$A431+ROW()/100000,"")</f>
        <v/>
      </c>
      <c r="I431" s="65" t="str">
        <f aca="false">IF(AND($D431&lt;&gt;"",$D431=UCSel),$A431+ROW()/100000,"")</f>
        <v/>
      </c>
    </row>
    <row r="432" customFormat="false" ht="15" hidden="false" customHeight="false" outlineLevel="0" collapsed="false">
      <c r="A432" s="63"/>
      <c r="B432" s="28"/>
      <c r="C432" s="28"/>
      <c r="D432" s="28"/>
      <c r="E432" s="64"/>
      <c r="F432" s="67" t="str">
        <f aca="false">IF($A432="","",$A432-WEEKDAY($A432,3))</f>
        <v/>
      </c>
      <c r="G432" s="65" t="str">
        <f aca="false">IF($A432="","",IF($F432=WeekStart,"Yes",""))</f>
        <v/>
      </c>
      <c r="H432" s="65" t="str">
        <f aca="false">IF($G432="Yes",$A432+ROW()/100000,"")</f>
        <v/>
      </c>
      <c r="I432" s="65" t="str">
        <f aca="false">IF(AND($D432&lt;&gt;"",$D432=UCSel),$A432+ROW()/100000,"")</f>
        <v/>
      </c>
    </row>
    <row r="433" customFormat="false" ht="15" hidden="false" customHeight="false" outlineLevel="0" collapsed="false">
      <c r="A433" s="63"/>
      <c r="B433" s="28"/>
      <c r="C433" s="28"/>
      <c r="D433" s="28"/>
      <c r="E433" s="64"/>
      <c r="F433" s="67" t="str">
        <f aca="false">IF($A433="","",$A433-WEEKDAY($A433,3))</f>
        <v/>
      </c>
      <c r="G433" s="65" t="str">
        <f aca="false">IF($A433="","",IF($F433=WeekStart,"Yes",""))</f>
        <v/>
      </c>
      <c r="H433" s="65" t="str">
        <f aca="false">IF($G433="Yes",$A433+ROW()/100000,"")</f>
        <v/>
      </c>
      <c r="I433" s="65" t="str">
        <f aca="false">IF(AND($D433&lt;&gt;"",$D433=UCSel),$A433+ROW()/100000,"")</f>
        <v/>
      </c>
    </row>
    <row r="434" customFormat="false" ht="15" hidden="false" customHeight="false" outlineLevel="0" collapsed="false">
      <c r="A434" s="63"/>
      <c r="B434" s="28"/>
      <c r="C434" s="28"/>
      <c r="D434" s="28"/>
      <c r="E434" s="64"/>
      <c r="F434" s="67" t="str">
        <f aca="false">IF($A434="","",$A434-WEEKDAY($A434,3))</f>
        <v/>
      </c>
      <c r="G434" s="65" t="str">
        <f aca="false">IF($A434="","",IF($F434=WeekStart,"Yes",""))</f>
        <v/>
      </c>
      <c r="H434" s="65" t="str">
        <f aca="false">IF($G434="Yes",$A434+ROW()/100000,"")</f>
        <v/>
      </c>
      <c r="I434" s="65" t="str">
        <f aca="false">IF(AND($D434&lt;&gt;"",$D434=UCSel),$A434+ROW()/100000,"")</f>
        <v/>
      </c>
    </row>
    <row r="435" customFormat="false" ht="15" hidden="false" customHeight="false" outlineLevel="0" collapsed="false">
      <c r="A435" s="63"/>
      <c r="B435" s="28"/>
      <c r="C435" s="28"/>
      <c r="D435" s="28"/>
      <c r="E435" s="64"/>
      <c r="F435" s="67" t="str">
        <f aca="false">IF($A435="","",$A435-WEEKDAY($A435,3))</f>
        <v/>
      </c>
      <c r="G435" s="65" t="str">
        <f aca="false">IF($A435="","",IF($F435=WeekStart,"Yes",""))</f>
        <v/>
      </c>
      <c r="H435" s="65" t="str">
        <f aca="false">IF($G435="Yes",$A435+ROW()/100000,"")</f>
        <v/>
      </c>
      <c r="I435" s="65" t="str">
        <f aca="false">IF(AND($D435&lt;&gt;"",$D435=UCSel),$A435+ROW()/100000,"")</f>
        <v/>
      </c>
    </row>
    <row r="436" customFormat="false" ht="15" hidden="false" customHeight="false" outlineLevel="0" collapsed="false">
      <c r="A436" s="63"/>
      <c r="B436" s="28"/>
      <c r="C436" s="28"/>
      <c r="D436" s="28"/>
      <c r="E436" s="64"/>
      <c r="F436" s="67" t="str">
        <f aca="false">IF($A436="","",$A436-WEEKDAY($A436,3))</f>
        <v/>
      </c>
      <c r="G436" s="65" t="str">
        <f aca="false">IF($A436="","",IF($F436=WeekStart,"Yes",""))</f>
        <v/>
      </c>
      <c r="H436" s="65" t="str">
        <f aca="false">IF($G436="Yes",$A436+ROW()/100000,"")</f>
        <v/>
      </c>
      <c r="I436" s="65" t="str">
        <f aca="false">IF(AND($D436&lt;&gt;"",$D436=UCSel),$A436+ROW()/100000,"")</f>
        <v/>
      </c>
    </row>
    <row r="437" customFormat="false" ht="15" hidden="false" customHeight="false" outlineLevel="0" collapsed="false">
      <c r="A437" s="63"/>
      <c r="B437" s="28"/>
      <c r="C437" s="28"/>
      <c r="D437" s="28"/>
      <c r="E437" s="64"/>
      <c r="F437" s="67" t="str">
        <f aca="false">IF($A437="","",$A437-WEEKDAY($A437,3))</f>
        <v/>
      </c>
      <c r="G437" s="65" t="str">
        <f aca="false">IF($A437="","",IF($F437=WeekStart,"Yes",""))</f>
        <v/>
      </c>
      <c r="H437" s="65" t="str">
        <f aca="false">IF($G437="Yes",$A437+ROW()/100000,"")</f>
        <v/>
      </c>
      <c r="I437" s="65" t="str">
        <f aca="false">IF(AND($D437&lt;&gt;"",$D437=UCSel),$A437+ROW()/100000,"")</f>
        <v/>
      </c>
    </row>
    <row r="438" customFormat="false" ht="15" hidden="false" customHeight="false" outlineLevel="0" collapsed="false">
      <c r="A438" s="63"/>
      <c r="B438" s="28"/>
      <c r="C438" s="28"/>
      <c r="D438" s="28"/>
      <c r="E438" s="64"/>
      <c r="F438" s="67" t="str">
        <f aca="false">IF($A438="","",$A438-WEEKDAY($A438,3))</f>
        <v/>
      </c>
      <c r="G438" s="65" t="str">
        <f aca="false">IF($A438="","",IF($F438=WeekStart,"Yes",""))</f>
        <v/>
      </c>
      <c r="H438" s="65" t="str">
        <f aca="false">IF($G438="Yes",$A438+ROW()/100000,"")</f>
        <v/>
      </c>
      <c r="I438" s="65" t="str">
        <f aca="false">IF(AND($D438&lt;&gt;"",$D438=UCSel),$A438+ROW()/100000,"")</f>
        <v/>
      </c>
    </row>
    <row r="439" customFormat="false" ht="15" hidden="false" customHeight="false" outlineLevel="0" collapsed="false">
      <c r="A439" s="63"/>
      <c r="B439" s="28"/>
      <c r="C439" s="28"/>
      <c r="D439" s="28"/>
      <c r="E439" s="64"/>
      <c r="F439" s="67" t="str">
        <f aca="false">IF($A439="","",$A439-WEEKDAY($A439,3))</f>
        <v/>
      </c>
      <c r="G439" s="65" t="str">
        <f aca="false">IF($A439="","",IF($F439=WeekStart,"Yes",""))</f>
        <v/>
      </c>
      <c r="H439" s="65" t="str">
        <f aca="false">IF($G439="Yes",$A439+ROW()/100000,"")</f>
        <v/>
      </c>
      <c r="I439" s="65" t="str">
        <f aca="false">IF(AND($D439&lt;&gt;"",$D439=UCSel),$A439+ROW()/100000,"")</f>
        <v/>
      </c>
    </row>
    <row r="440" customFormat="false" ht="15" hidden="false" customHeight="false" outlineLevel="0" collapsed="false">
      <c r="A440" s="63"/>
      <c r="B440" s="28"/>
      <c r="C440" s="28"/>
      <c r="D440" s="28"/>
      <c r="E440" s="64"/>
      <c r="F440" s="67" t="str">
        <f aca="false">IF($A440="","",$A440-WEEKDAY($A440,3))</f>
        <v/>
      </c>
      <c r="G440" s="65" t="str">
        <f aca="false">IF($A440="","",IF($F440=WeekStart,"Yes",""))</f>
        <v/>
      </c>
      <c r="H440" s="65" t="str">
        <f aca="false">IF($G440="Yes",$A440+ROW()/100000,"")</f>
        <v/>
      </c>
      <c r="I440" s="65" t="str">
        <f aca="false">IF(AND($D440&lt;&gt;"",$D440=UCSel),$A440+ROW()/100000,"")</f>
        <v/>
      </c>
    </row>
    <row r="441" customFormat="false" ht="15" hidden="false" customHeight="false" outlineLevel="0" collapsed="false">
      <c r="A441" s="63"/>
      <c r="B441" s="28"/>
      <c r="C441" s="28"/>
      <c r="D441" s="28"/>
      <c r="E441" s="64"/>
      <c r="F441" s="67" t="str">
        <f aca="false">IF($A441="","",$A441-WEEKDAY($A441,3))</f>
        <v/>
      </c>
      <c r="G441" s="65" t="str">
        <f aca="false">IF($A441="","",IF($F441=WeekStart,"Yes",""))</f>
        <v/>
      </c>
      <c r="H441" s="65" t="str">
        <f aca="false">IF($G441="Yes",$A441+ROW()/100000,"")</f>
        <v/>
      </c>
      <c r="I441" s="65" t="str">
        <f aca="false">IF(AND($D441&lt;&gt;"",$D441=UCSel),$A441+ROW()/100000,"")</f>
        <v/>
      </c>
    </row>
    <row r="442" customFormat="false" ht="15" hidden="false" customHeight="false" outlineLevel="0" collapsed="false">
      <c r="A442" s="63"/>
      <c r="B442" s="28"/>
      <c r="C442" s="28"/>
      <c r="D442" s="28"/>
      <c r="E442" s="64"/>
      <c r="F442" s="67" t="str">
        <f aca="false">IF($A442="","",$A442-WEEKDAY($A442,3))</f>
        <v/>
      </c>
      <c r="G442" s="65" t="str">
        <f aca="false">IF($A442="","",IF($F442=WeekStart,"Yes",""))</f>
        <v/>
      </c>
      <c r="H442" s="65" t="str">
        <f aca="false">IF($G442="Yes",$A442+ROW()/100000,"")</f>
        <v/>
      </c>
      <c r="I442" s="65" t="str">
        <f aca="false">IF(AND($D442&lt;&gt;"",$D442=UCSel),$A442+ROW()/100000,"")</f>
        <v/>
      </c>
    </row>
    <row r="443" customFormat="false" ht="15" hidden="false" customHeight="false" outlineLevel="0" collapsed="false">
      <c r="A443" s="63"/>
      <c r="B443" s="28"/>
      <c r="C443" s="28"/>
      <c r="D443" s="28"/>
      <c r="E443" s="64"/>
      <c r="F443" s="67" t="str">
        <f aca="false">IF($A443="","",$A443-WEEKDAY($A443,3))</f>
        <v/>
      </c>
      <c r="G443" s="65" t="str">
        <f aca="false">IF($A443="","",IF($F443=WeekStart,"Yes",""))</f>
        <v/>
      </c>
      <c r="H443" s="65" t="str">
        <f aca="false">IF($G443="Yes",$A443+ROW()/100000,"")</f>
        <v/>
      </c>
      <c r="I443" s="65" t="str">
        <f aca="false">IF(AND($D443&lt;&gt;"",$D443=UCSel),$A443+ROW()/100000,"")</f>
        <v/>
      </c>
    </row>
    <row r="444" customFormat="false" ht="15" hidden="false" customHeight="false" outlineLevel="0" collapsed="false">
      <c r="A444" s="63"/>
      <c r="B444" s="28"/>
      <c r="C444" s="28"/>
      <c r="D444" s="28"/>
      <c r="E444" s="64"/>
      <c r="F444" s="67" t="str">
        <f aca="false">IF($A444="","",$A444-WEEKDAY($A444,3))</f>
        <v/>
      </c>
      <c r="G444" s="65" t="str">
        <f aca="false">IF($A444="","",IF($F444=WeekStart,"Yes",""))</f>
        <v/>
      </c>
      <c r="H444" s="65" t="str">
        <f aca="false">IF($G444="Yes",$A444+ROW()/100000,"")</f>
        <v/>
      </c>
      <c r="I444" s="65" t="str">
        <f aca="false">IF(AND($D444&lt;&gt;"",$D444=UCSel),$A444+ROW()/100000,"")</f>
        <v/>
      </c>
    </row>
    <row r="445" customFormat="false" ht="15" hidden="false" customHeight="false" outlineLevel="0" collapsed="false">
      <c r="A445" s="63"/>
      <c r="B445" s="28"/>
      <c r="C445" s="28"/>
      <c r="D445" s="28"/>
      <c r="E445" s="64"/>
      <c r="F445" s="67" t="str">
        <f aca="false">IF($A445="","",$A445-WEEKDAY($A445,3))</f>
        <v/>
      </c>
      <c r="G445" s="65" t="str">
        <f aca="false">IF($A445="","",IF($F445=WeekStart,"Yes",""))</f>
        <v/>
      </c>
      <c r="H445" s="65" t="str">
        <f aca="false">IF($G445="Yes",$A445+ROW()/100000,"")</f>
        <v/>
      </c>
      <c r="I445" s="65" t="str">
        <f aca="false">IF(AND($D445&lt;&gt;"",$D445=UCSel),$A445+ROW()/100000,"")</f>
        <v/>
      </c>
    </row>
    <row r="446" customFormat="false" ht="15" hidden="false" customHeight="false" outlineLevel="0" collapsed="false">
      <c r="A446" s="63"/>
      <c r="B446" s="28"/>
      <c r="C446" s="28"/>
      <c r="D446" s="28"/>
      <c r="E446" s="64"/>
      <c r="F446" s="67" t="str">
        <f aca="false">IF($A446="","",$A446-WEEKDAY($A446,3))</f>
        <v/>
      </c>
      <c r="G446" s="65" t="str">
        <f aca="false">IF($A446="","",IF($F446=WeekStart,"Yes",""))</f>
        <v/>
      </c>
      <c r="H446" s="65" t="str">
        <f aca="false">IF($G446="Yes",$A446+ROW()/100000,"")</f>
        <v/>
      </c>
      <c r="I446" s="65" t="str">
        <f aca="false">IF(AND($D446&lt;&gt;"",$D446=UCSel),$A446+ROW()/100000,"")</f>
        <v/>
      </c>
    </row>
    <row r="447" customFormat="false" ht="15" hidden="false" customHeight="false" outlineLevel="0" collapsed="false">
      <c r="A447" s="63"/>
      <c r="B447" s="28"/>
      <c r="C447" s="28"/>
      <c r="D447" s="28"/>
      <c r="E447" s="64"/>
      <c r="F447" s="67" t="str">
        <f aca="false">IF($A447="","",$A447-WEEKDAY($A447,3))</f>
        <v/>
      </c>
      <c r="G447" s="65" t="str">
        <f aca="false">IF($A447="","",IF($F447=WeekStart,"Yes",""))</f>
        <v/>
      </c>
      <c r="H447" s="65" t="str">
        <f aca="false">IF($G447="Yes",$A447+ROW()/100000,"")</f>
        <v/>
      </c>
      <c r="I447" s="65" t="str">
        <f aca="false">IF(AND($D447&lt;&gt;"",$D447=UCSel),$A447+ROW()/100000,"")</f>
        <v/>
      </c>
    </row>
    <row r="448" customFormat="false" ht="15" hidden="false" customHeight="false" outlineLevel="0" collapsed="false">
      <c r="A448" s="63"/>
      <c r="B448" s="28"/>
      <c r="C448" s="28"/>
      <c r="D448" s="28"/>
      <c r="E448" s="64"/>
      <c r="F448" s="67" t="str">
        <f aca="false">IF($A448="","",$A448-WEEKDAY($A448,3))</f>
        <v/>
      </c>
      <c r="G448" s="65" t="str">
        <f aca="false">IF($A448="","",IF($F448=WeekStart,"Yes",""))</f>
        <v/>
      </c>
      <c r="H448" s="65" t="str">
        <f aca="false">IF($G448="Yes",$A448+ROW()/100000,"")</f>
        <v/>
      </c>
      <c r="I448" s="65" t="str">
        <f aca="false">IF(AND($D448&lt;&gt;"",$D448=UCSel),$A448+ROW()/100000,"")</f>
        <v/>
      </c>
    </row>
    <row r="449" customFormat="false" ht="15" hidden="false" customHeight="false" outlineLevel="0" collapsed="false">
      <c r="A449" s="63"/>
      <c r="B449" s="28"/>
      <c r="C449" s="28"/>
      <c r="D449" s="28"/>
      <c r="E449" s="64"/>
      <c r="F449" s="67" t="str">
        <f aca="false">IF($A449="","",$A449-WEEKDAY($A449,3))</f>
        <v/>
      </c>
      <c r="G449" s="65" t="str">
        <f aca="false">IF($A449="","",IF($F449=WeekStart,"Yes",""))</f>
        <v/>
      </c>
      <c r="H449" s="65" t="str">
        <f aca="false">IF($G449="Yes",$A449+ROW()/100000,"")</f>
        <v/>
      </c>
      <c r="I449" s="65" t="str">
        <f aca="false">IF(AND($D449&lt;&gt;"",$D449=UCSel),$A449+ROW()/100000,"")</f>
        <v/>
      </c>
    </row>
    <row r="450" customFormat="false" ht="15" hidden="false" customHeight="false" outlineLevel="0" collapsed="false">
      <c r="A450" s="63"/>
      <c r="B450" s="28"/>
      <c r="C450" s="28"/>
      <c r="D450" s="28"/>
      <c r="E450" s="64"/>
      <c r="F450" s="67" t="str">
        <f aca="false">IF($A450="","",$A450-WEEKDAY($A450,3))</f>
        <v/>
      </c>
      <c r="G450" s="65" t="str">
        <f aca="false">IF($A450="","",IF($F450=WeekStart,"Yes",""))</f>
        <v/>
      </c>
      <c r="H450" s="65" t="str">
        <f aca="false">IF($G450="Yes",$A450+ROW()/100000,"")</f>
        <v/>
      </c>
      <c r="I450" s="65" t="str">
        <f aca="false">IF(AND($D450&lt;&gt;"",$D450=UCSel),$A450+ROW()/100000,"")</f>
        <v/>
      </c>
    </row>
    <row r="451" customFormat="false" ht="15" hidden="false" customHeight="false" outlineLevel="0" collapsed="false">
      <c r="A451" s="63"/>
      <c r="B451" s="28"/>
      <c r="C451" s="28"/>
      <c r="D451" s="28"/>
      <c r="E451" s="64"/>
      <c r="F451" s="67" t="str">
        <f aca="false">IF($A451="","",$A451-WEEKDAY($A451,3))</f>
        <v/>
      </c>
      <c r="G451" s="65" t="str">
        <f aca="false">IF($A451="","",IF($F451=WeekStart,"Yes",""))</f>
        <v/>
      </c>
      <c r="H451" s="65" t="str">
        <f aca="false">IF($G451="Yes",$A451+ROW()/100000,"")</f>
        <v/>
      </c>
      <c r="I451" s="65" t="str">
        <f aca="false">IF(AND($D451&lt;&gt;"",$D451=UCSel),$A451+ROW()/100000,"")</f>
        <v/>
      </c>
    </row>
    <row r="452" customFormat="false" ht="15" hidden="false" customHeight="false" outlineLevel="0" collapsed="false">
      <c r="A452" s="63"/>
      <c r="B452" s="28"/>
      <c r="C452" s="28"/>
      <c r="D452" s="28"/>
      <c r="E452" s="64"/>
      <c r="F452" s="67" t="str">
        <f aca="false">IF($A452="","",$A452-WEEKDAY($A452,3))</f>
        <v/>
      </c>
      <c r="G452" s="65" t="str">
        <f aca="false">IF($A452="","",IF($F452=WeekStart,"Yes",""))</f>
        <v/>
      </c>
      <c r="H452" s="65" t="str">
        <f aca="false">IF($G452="Yes",$A452+ROW()/100000,"")</f>
        <v/>
      </c>
      <c r="I452" s="65" t="str">
        <f aca="false">IF(AND($D452&lt;&gt;"",$D452=UCSel),$A452+ROW()/100000,"")</f>
        <v/>
      </c>
    </row>
    <row r="453" customFormat="false" ht="15" hidden="false" customHeight="false" outlineLevel="0" collapsed="false">
      <c r="A453" s="63"/>
      <c r="B453" s="28"/>
      <c r="C453" s="28"/>
      <c r="D453" s="28"/>
      <c r="E453" s="64"/>
      <c r="F453" s="67" t="str">
        <f aca="false">IF($A453="","",$A453-WEEKDAY($A453,3))</f>
        <v/>
      </c>
      <c r="G453" s="65" t="str">
        <f aca="false">IF($A453="","",IF($F453=WeekStart,"Yes",""))</f>
        <v/>
      </c>
      <c r="H453" s="65" t="str">
        <f aca="false">IF($G453="Yes",$A453+ROW()/100000,"")</f>
        <v/>
      </c>
      <c r="I453" s="65" t="str">
        <f aca="false">IF(AND($D453&lt;&gt;"",$D453=UCSel),$A453+ROW()/100000,"")</f>
        <v/>
      </c>
    </row>
    <row r="454" customFormat="false" ht="15" hidden="false" customHeight="false" outlineLevel="0" collapsed="false">
      <c r="A454" s="63"/>
      <c r="B454" s="28"/>
      <c r="C454" s="28"/>
      <c r="D454" s="28"/>
      <c r="E454" s="64"/>
      <c r="F454" s="67" t="str">
        <f aca="false">IF($A454="","",$A454-WEEKDAY($A454,3))</f>
        <v/>
      </c>
      <c r="G454" s="65" t="str">
        <f aca="false">IF($A454="","",IF($F454=WeekStart,"Yes",""))</f>
        <v/>
      </c>
      <c r="H454" s="65" t="str">
        <f aca="false">IF($G454="Yes",$A454+ROW()/100000,"")</f>
        <v/>
      </c>
      <c r="I454" s="65" t="str">
        <f aca="false">IF(AND($D454&lt;&gt;"",$D454=UCSel),$A454+ROW()/100000,"")</f>
        <v/>
      </c>
    </row>
    <row r="455" customFormat="false" ht="15" hidden="false" customHeight="false" outlineLevel="0" collapsed="false">
      <c r="A455" s="63"/>
      <c r="B455" s="28"/>
      <c r="C455" s="28"/>
      <c r="D455" s="28"/>
      <c r="E455" s="64"/>
      <c r="F455" s="67" t="str">
        <f aca="false">IF($A455="","",$A455-WEEKDAY($A455,3))</f>
        <v/>
      </c>
      <c r="G455" s="65" t="str">
        <f aca="false">IF($A455="","",IF($F455=WeekStart,"Yes",""))</f>
        <v/>
      </c>
      <c r="H455" s="65" t="str">
        <f aca="false">IF($G455="Yes",$A455+ROW()/100000,"")</f>
        <v/>
      </c>
      <c r="I455" s="65" t="str">
        <f aca="false">IF(AND($D455&lt;&gt;"",$D455=UCSel),$A455+ROW()/100000,"")</f>
        <v/>
      </c>
    </row>
    <row r="456" customFormat="false" ht="15" hidden="false" customHeight="false" outlineLevel="0" collapsed="false">
      <c r="A456" s="63"/>
      <c r="B456" s="28"/>
      <c r="C456" s="28"/>
      <c r="D456" s="28"/>
      <c r="E456" s="64"/>
      <c r="F456" s="67" t="str">
        <f aca="false">IF($A456="","",$A456-WEEKDAY($A456,3))</f>
        <v/>
      </c>
      <c r="G456" s="65" t="str">
        <f aca="false">IF($A456="","",IF($F456=WeekStart,"Yes",""))</f>
        <v/>
      </c>
      <c r="H456" s="65" t="str">
        <f aca="false">IF($G456="Yes",$A456+ROW()/100000,"")</f>
        <v/>
      </c>
      <c r="I456" s="65" t="str">
        <f aca="false">IF(AND($D456&lt;&gt;"",$D456=UCSel),$A456+ROW()/100000,"")</f>
        <v/>
      </c>
    </row>
    <row r="457" customFormat="false" ht="15" hidden="false" customHeight="false" outlineLevel="0" collapsed="false">
      <c r="A457" s="63"/>
      <c r="B457" s="28"/>
      <c r="C457" s="28"/>
      <c r="D457" s="28"/>
      <c r="E457" s="64"/>
      <c r="F457" s="67" t="str">
        <f aca="false">IF($A457="","",$A457-WEEKDAY($A457,3))</f>
        <v/>
      </c>
      <c r="G457" s="65" t="str">
        <f aca="false">IF($A457="","",IF($F457=WeekStart,"Yes",""))</f>
        <v/>
      </c>
      <c r="H457" s="65" t="str">
        <f aca="false">IF($G457="Yes",$A457+ROW()/100000,"")</f>
        <v/>
      </c>
      <c r="I457" s="65" t="str">
        <f aca="false">IF(AND($D457&lt;&gt;"",$D457=UCSel),$A457+ROW()/100000,"")</f>
        <v/>
      </c>
    </row>
    <row r="458" customFormat="false" ht="15" hidden="false" customHeight="false" outlineLevel="0" collapsed="false">
      <c r="A458" s="63"/>
      <c r="B458" s="28"/>
      <c r="C458" s="28"/>
      <c r="D458" s="28"/>
      <c r="E458" s="64"/>
      <c r="F458" s="67" t="str">
        <f aca="false">IF($A458="","",$A458-WEEKDAY($A458,3))</f>
        <v/>
      </c>
      <c r="G458" s="65" t="str">
        <f aca="false">IF($A458="","",IF($F458=WeekStart,"Yes",""))</f>
        <v/>
      </c>
      <c r="H458" s="65" t="str">
        <f aca="false">IF($G458="Yes",$A458+ROW()/100000,"")</f>
        <v/>
      </c>
      <c r="I458" s="65" t="str">
        <f aca="false">IF(AND($D458&lt;&gt;"",$D458=UCSel),$A458+ROW()/100000,"")</f>
        <v/>
      </c>
    </row>
    <row r="459" customFormat="false" ht="15" hidden="false" customHeight="false" outlineLevel="0" collapsed="false">
      <c r="A459" s="63"/>
      <c r="B459" s="28"/>
      <c r="C459" s="28"/>
      <c r="D459" s="28"/>
      <c r="E459" s="64"/>
      <c r="F459" s="67" t="str">
        <f aca="false">IF($A459="","",$A459-WEEKDAY($A459,3))</f>
        <v/>
      </c>
      <c r="G459" s="65" t="str">
        <f aca="false">IF($A459="","",IF($F459=WeekStart,"Yes",""))</f>
        <v/>
      </c>
      <c r="H459" s="65" t="str">
        <f aca="false">IF($G459="Yes",$A459+ROW()/100000,"")</f>
        <v/>
      </c>
      <c r="I459" s="65" t="str">
        <f aca="false">IF(AND($D459&lt;&gt;"",$D459=UCSel),$A459+ROW()/100000,"")</f>
        <v/>
      </c>
    </row>
    <row r="460" customFormat="false" ht="15" hidden="false" customHeight="false" outlineLevel="0" collapsed="false">
      <c r="A460" s="63"/>
      <c r="B460" s="28"/>
      <c r="C460" s="28"/>
      <c r="D460" s="28"/>
      <c r="E460" s="64"/>
      <c r="F460" s="67" t="str">
        <f aca="false">IF($A460="","",$A460-WEEKDAY($A460,3))</f>
        <v/>
      </c>
      <c r="G460" s="65" t="str">
        <f aca="false">IF($A460="","",IF($F460=WeekStart,"Yes",""))</f>
        <v/>
      </c>
      <c r="H460" s="65" t="str">
        <f aca="false">IF($G460="Yes",$A460+ROW()/100000,"")</f>
        <v/>
      </c>
      <c r="I460" s="65" t="str">
        <f aca="false">IF(AND($D460&lt;&gt;"",$D460=UCSel),$A460+ROW()/100000,"")</f>
        <v/>
      </c>
    </row>
    <row r="461" customFormat="false" ht="15" hidden="false" customHeight="false" outlineLevel="0" collapsed="false">
      <c r="A461" s="63"/>
      <c r="B461" s="28"/>
      <c r="C461" s="28"/>
      <c r="D461" s="28"/>
      <c r="E461" s="64"/>
      <c r="F461" s="67" t="str">
        <f aca="false">IF($A461="","",$A461-WEEKDAY($A461,3))</f>
        <v/>
      </c>
      <c r="G461" s="65" t="str">
        <f aca="false">IF($A461="","",IF($F461=WeekStart,"Yes",""))</f>
        <v/>
      </c>
      <c r="H461" s="65" t="str">
        <f aca="false">IF($G461="Yes",$A461+ROW()/100000,"")</f>
        <v/>
      </c>
      <c r="I461" s="65" t="str">
        <f aca="false">IF(AND($D461&lt;&gt;"",$D461=UCSel),$A461+ROW()/100000,"")</f>
        <v/>
      </c>
    </row>
    <row r="462" customFormat="false" ht="15" hidden="false" customHeight="false" outlineLevel="0" collapsed="false">
      <c r="A462" s="63"/>
      <c r="B462" s="28"/>
      <c r="C462" s="28"/>
      <c r="D462" s="28"/>
      <c r="E462" s="64"/>
      <c r="F462" s="67" t="str">
        <f aca="false">IF($A462="","",$A462-WEEKDAY($A462,3))</f>
        <v/>
      </c>
      <c r="G462" s="65" t="str">
        <f aca="false">IF($A462="","",IF($F462=WeekStart,"Yes",""))</f>
        <v/>
      </c>
      <c r="H462" s="65" t="str">
        <f aca="false">IF($G462="Yes",$A462+ROW()/100000,"")</f>
        <v/>
      </c>
      <c r="I462" s="65" t="str">
        <f aca="false">IF(AND($D462&lt;&gt;"",$D462=UCSel),$A462+ROW()/100000,"")</f>
        <v/>
      </c>
    </row>
    <row r="463" customFormat="false" ht="15" hidden="false" customHeight="false" outlineLevel="0" collapsed="false">
      <c r="A463" s="63"/>
      <c r="B463" s="28"/>
      <c r="C463" s="28"/>
      <c r="D463" s="28"/>
      <c r="E463" s="64"/>
      <c r="F463" s="67" t="str">
        <f aca="false">IF($A463="","",$A463-WEEKDAY($A463,3))</f>
        <v/>
      </c>
      <c r="G463" s="65" t="str">
        <f aca="false">IF($A463="","",IF($F463=WeekStart,"Yes",""))</f>
        <v/>
      </c>
      <c r="H463" s="65" t="str">
        <f aca="false">IF($G463="Yes",$A463+ROW()/100000,"")</f>
        <v/>
      </c>
      <c r="I463" s="65" t="str">
        <f aca="false">IF(AND($D463&lt;&gt;"",$D463=UCSel),$A463+ROW()/100000,"")</f>
        <v/>
      </c>
    </row>
    <row r="464" customFormat="false" ht="15" hidden="false" customHeight="false" outlineLevel="0" collapsed="false">
      <c r="A464" s="63"/>
      <c r="B464" s="28"/>
      <c r="C464" s="28"/>
      <c r="D464" s="28"/>
      <c r="E464" s="64"/>
      <c r="F464" s="67" t="str">
        <f aca="false">IF($A464="","",$A464-WEEKDAY($A464,3))</f>
        <v/>
      </c>
      <c r="G464" s="65" t="str">
        <f aca="false">IF($A464="","",IF($F464=WeekStart,"Yes",""))</f>
        <v/>
      </c>
      <c r="H464" s="65" t="str">
        <f aca="false">IF($G464="Yes",$A464+ROW()/100000,"")</f>
        <v/>
      </c>
      <c r="I464" s="65" t="str">
        <f aca="false">IF(AND($D464&lt;&gt;"",$D464=UCSel),$A464+ROW()/100000,"")</f>
        <v/>
      </c>
    </row>
    <row r="465" customFormat="false" ht="15" hidden="false" customHeight="false" outlineLevel="0" collapsed="false">
      <c r="A465" s="63"/>
      <c r="B465" s="28"/>
      <c r="C465" s="28"/>
      <c r="D465" s="28"/>
      <c r="E465" s="64"/>
      <c r="F465" s="67" t="str">
        <f aca="false">IF($A465="","",$A465-WEEKDAY($A465,3))</f>
        <v/>
      </c>
      <c r="G465" s="65" t="str">
        <f aca="false">IF($A465="","",IF($F465=WeekStart,"Yes",""))</f>
        <v/>
      </c>
      <c r="H465" s="65" t="str">
        <f aca="false">IF($G465="Yes",$A465+ROW()/100000,"")</f>
        <v/>
      </c>
      <c r="I465" s="65" t="str">
        <f aca="false">IF(AND($D465&lt;&gt;"",$D465=UCSel),$A465+ROW()/100000,"")</f>
        <v/>
      </c>
    </row>
    <row r="466" customFormat="false" ht="15" hidden="false" customHeight="false" outlineLevel="0" collapsed="false">
      <c r="A466" s="63"/>
      <c r="B466" s="28"/>
      <c r="C466" s="28"/>
      <c r="D466" s="28"/>
      <c r="E466" s="64"/>
      <c r="F466" s="67" t="str">
        <f aca="false">IF($A466="","",$A466-WEEKDAY($A466,3))</f>
        <v/>
      </c>
      <c r="G466" s="65" t="str">
        <f aca="false">IF($A466="","",IF($F466=WeekStart,"Yes",""))</f>
        <v/>
      </c>
      <c r="H466" s="65" t="str">
        <f aca="false">IF($G466="Yes",$A466+ROW()/100000,"")</f>
        <v/>
      </c>
      <c r="I466" s="65" t="str">
        <f aca="false">IF(AND($D466&lt;&gt;"",$D466=UCSel),$A466+ROW()/100000,"")</f>
        <v/>
      </c>
    </row>
    <row r="467" customFormat="false" ht="15" hidden="false" customHeight="false" outlineLevel="0" collapsed="false">
      <c r="A467" s="63"/>
      <c r="B467" s="28"/>
      <c r="C467" s="28"/>
      <c r="D467" s="28"/>
      <c r="E467" s="64"/>
      <c r="F467" s="67" t="str">
        <f aca="false">IF($A467="","",$A467-WEEKDAY($A467,3))</f>
        <v/>
      </c>
      <c r="G467" s="65" t="str">
        <f aca="false">IF($A467="","",IF($F467=WeekStart,"Yes",""))</f>
        <v/>
      </c>
      <c r="H467" s="65" t="str">
        <f aca="false">IF($G467="Yes",$A467+ROW()/100000,"")</f>
        <v/>
      </c>
      <c r="I467" s="65" t="str">
        <f aca="false">IF(AND($D467&lt;&gt;"",$D467=UCSel),$A467+ROW()/100000,"")</f>
        <v/>
      </c>
    </row>
    <row r="468" customFormat="false" ht="15" hidden="false" customHeight="false" outlineLevel="0" collapsed="false">
      <c r="A468" s="63"/>
      <c r="B468" s="28"/>
      <c r="C468" s="28"/>
      <c r="D468" s="28"/>
      <c r="E468" s="64"/>
      <c r="F468" s="67" t="str">
        <f aca="false">IF($A468="","",$A468-WEEKDAY($A468,3))</f>
        <v/>
      </c>
      <c r="G468" s="65" t="str">
        <f aca="false">IF($A468="","",IF($F468=WeekStart,"Yes",""))</f>
        <v/>
      </c>
      <c r="H468" s="65" t="str">
        <f aca="false">IF($G468="Yes",$A468+ROW()/100000,"")</f>
        <v/>
      </c>
      <c r="I468" s="65" t="str">
        <f aca="false">IF(AND($D468&lt;&gt;"",$D468=UCSel),$A468+ROW()/100000,"")</f>
        <v/>
      </c>
    </row>
    <row r="469" customFormat="false" ht="15" hidden="false" customHeight="false" outlineLevel="0" collapsed="false">
      <c r="A469" s="63"/>
      <c r="B469" s="28"/>
      <c r="C469" s="28"/>
      <c r="D469" s="28"/>
      <c r="E469" s="64"/>
      <c r="F469" s="67" t="str">
        <f aca="false">IF($A469="","",$A469-WEEKDAY($A469,3))</f>
        <v/>
      </c>
      <c r="G469" s="65" t="str">
        <f aca="false">IF($A469="","",IF($F469=WeekStart,"Yes",""))</f>
        <v/>
      </c>
      <c r="H469" s="65" t="str">
        <f aca="false">IF($G469="Yes",$A469+ROW()/100000,"")</f>
        <v/>
      </c>
      <c r="I469" s="65" t="str">
        <f aca="false">IF(AND($D469&lt;&gt;"",$D469=UCSel),$A469+ROW()/100000,"")</f>
        <v/>
      </c>
    </row>
    <row r="470" customFormat="false" ht="15" hidden="false" customHeight="false" outlineLevel="0" collapsed="false">
      <c r="A470" s="63"/>
      <c r="B470" s="28"/>
      <c r="C470" s="28"/>
      <c r="D470" s="28"/>
      <c r="E470" s="64"/>
      <c r="F470" s="67" t="str">
        <f aca="false">IF($A470="","",$A470-WEEKDAY($A470,3))</f>
        <v/>
      </c>
      <c r="G470" s="65" t="str">
        <f aca="false">IF($A470="","",IF($F470=WeekStart,"Yes",""))</f>
        <v/>
      </c>
      <c r="H470" s="65" t="str">
        <f aca="false">IF($G470="Yes",$A470+ROW()/100000,"")</f>
        <v/>
      </c>
      <c r="I470" s="65" t="str">
        <f aca="false">IF(AND($D470&lt;&gt;"",$D470=UCSel),$A470+ROW()/100000,"")</f>
        <v/>
      </c>
    </row>
    <row r="471" customFormat="false" ht="15" hidden="false" customHeight="false" outlineLevel="0" collapsed="false">
      <c r="A471" s="63"/>
      <c r="B471" s="28"/>
      <c r="C471" s="28"/>
      <c r="D471" s="28"/>
      <c r="E471" s="64"/>
      <c r="F471" s="67" t="str">
        <f aca="false">IF($A471="","",$A471-WEEKDAY($A471,3))</f>
        <v/>
      </c>
      <c r="G471" s="65" t="str">
        <f aca="false">IF($A471="","",IF($F471=WeekStart,"Yes",""))</f>
        <v/>
      </c>
      <c r="H471" s="65" t="str">
        <f aca="false">IF($G471="Yes",$A471+ROW()/100000,"")</f>
        <v/>
      </c>
      <c r="I471" s="65" t="str">
        <f aca="false">IF(AND($D471&lt;&gt;"",$D471=UCSel),$A471+ROW()/100000,"")</f>
        <v/>
      </c>
    </row>
    <row r="472" customFormat="false" ht="15" hidden="false" customHeight="false" outlineLevel="0" collapsed="false">
      <c r="A472" s="63"/>
      <c r="B472" s="28"/>
      <c r="C472" s="28"/>
      <c r="D472" s="28"/>
      <c r="E472" s="64"/>
      <c r="F472" s="67" t="str">
        <f aca="false">IF($A472="","",$A472-WEEKDAY($A472,3))</f>
        <v/>
      </c>
      <c r="G472" s="65" t="str">
        <f aca="false">IF($A472="","",IF($F472=WeekStart,"Yes",""))</f>
        <v/>
      </c>
      <c r="H472" s="65" t="str">
        <f aca="false">IF($G472="Yes",$A472+ROW()/100000,"")</f>
        <v/>
      </c>
      <c r="I472" s="65" t="str">
        <f aca="false">IF(AND($D472&lt;&gt;"",$D472=UCSel),$A472+ROW()/100000,"")</f>
        <v/>
      </c>
    </row>
    <row r="473" customFormat="false" ht="15" hidden="false" customHeight="false" outlineLevel="0" collapsed="false">
      <c r="A473" s="63"/>
      <c r="B473" s="28"/>
      <c r="C473" s="28"/>
      <c r="D473" s="28"/>
      <c r="E473" s="64"/>
      <c r="F473" s="67" t="str">
        <f aca="false">IF($A473="","",$A473-WEEKDAY($A473,3))</f>
        <v/>
      </c>
      <c r="G473" s="65" t="str">
        <f aca="false">IF($A473="","",IF($F473=WeekStart,"Yes",""))</f>
        <v/>
      </c>
      <c r="H473" s="65" t="str">
        <f aca="false">IF($G473="Yes",$A473+ROW()/100000,"")</f>
        <v/>
      </c>
      <c r="I473" s="65" t="str">
        <f aca="false">IF(AND($D473&lt;&gt;"",$D473=UCSel),$A473+ROW()/100000,"")</f>
        <v/>
      </c>
    </row>
    <row r="474" customFormat="false" ht="15" hidden="false" customHeight="false" outlineLevel="0" collapsed="false">
      <c r="A474" s="63"/>
      <c r="B474" s="28"/>
      <c r="C474" s="28"/>
      <c r="D474" s="28"/>
      <c r="E474" s="64"/>
      <c r="F474" s="67" t="str">
        <f aca="false">IF($A474="","",$A474-WEEKDAY($A474,3))</f>
        <v/>
      </c>
      <c r="G474" s="65" t="str">
        <f aca="false">IF($A474="","",IF($F474=WeekStart,"Yes",""))</f>
        <v/>
      </c>
      <c r="H474" s="65" t="str">
        <f aca="false">IF($G474="Yes",$A474+ROW()/100000,"")</f>
        <v/>
      </c>
      <c r="I474" s="65" t="str">
        <f aca="false">IF(AND($D474&lt;&gt;"",$D474=UCSel),$A474+ROW()/100000,"")</f>
        <v/>
      </c>
    </row>
    <row r="475" customFormat="false" ht="15" hidden="false" customHeight="false" outlineLevel="0" collapsed="false">
      <c r="A475" s="63"/>
      <c r="B475" s="28"/>
      <c r="C475" s="28"/>
      <c r="D475" s="28"/>
      <c r="E475" s="64"/>
      <c r="F475" s="67" t="str">
        <f aca="false">IF($A475="","",$A475-WEEKDAY($A475,3))</f>
        <v/>
      </c>
      <c r="G475" s="65" t="str">
        <f aca="false">IF($A475="","",IF($F475=WeekStart,"Yes",""))</f>
        <v/>
      </c>
      <c r="H475" s="65" t="str">
        <f aca="false">IF($G475="Yes",$A475+ROW()/100000,"")</f>
        <v/>
      </c>
      <c r="I475" s="65" t="str">
        <f aca="false">IF(AND($D475&lt;&gt;"",$D475=UCSel),$A475+ROW()/100000,"")</f>
        <v/>
      </c>
    </row>
    <row r="476" customFormat="false" ht="15" hidden="false" customHeight="false" outlineLevel="0" collapsed="false">
      <c r="A476" s="63"/>
      <c r="B476" s="28"/>
      <c r="C476" s="28"/>
      <c r="D476" s="28"/>
      <c r="E476" s="64"/>
      <c r="F476" s="67" t="str">
        <f aca="false">IF($A476="","",$A476-WEEKDAY($A476,3))</f>
        <v/>
      </c>
      <c r="G476" s="65" t="str">
        <f aca="false">IF($A476="","",IF($F476=WeekStart,"Yes",""))</f>
        <v/>
      </c>
      <c r="H476" s="65" t="str">
        <f aca="false">IF($G476="Yes",$A476+ROW()/100000,"")</f>
        <v/>
      </c>
      <c r="I476" s="65" t="str">
        <f aca="false">IF(AND($D476&lt;&gt;"",$D476=UCSel),$A476+ROW()/100000,"")</f>
        <v/>
      </c>
    </row>
    <row r="477" customFormat="false" ht="15" hidden="false" customHeight="false" outlineLevel="0" collapsed="false">
      <c r="A477" s="63"/>
      <c r="B477" s="28"/>
      <c r="C477" s="28"/>
      <c r="D477" s="28"/>
      <c r="E477" s="64"/>
      <c r="F477" s="67" t="str">
        <f aca="false">IF($A477="","",$A477-WEEKDAY($A477,3))</f>
        <v/>
      </c>
      <c r="G477" s="65" t="str">
        <f aca="false">IF($A477="","",IF($F477=WeekStart,"Yes",""))</f>
        <v/>
      </c>
      <c r="H477" s="65" t="str">
        <f aca="false">IF($G477="Yes",$A477+ROW()/100000,"")</f>
        <v/>
      </c>
      <c r="I477" s="65" t="str">
        <f aca="false">IF(AND($D477&lt;&gt;"",$D477=UCSel),$A477+ROW()/100000,"")</f>
        <v/>
      </c>
    </row>
    <row r="478" customFormat="false" ht="15" hidden="false" customHeight="false" outlineLevel="0" collapsed="false">
      <c r="A478" s="63"/>
      <c r="B478" s="28"/>
      <c r="C478" s="28"/>
      <c r="D478" s="28"/>
      <c r="E478" s="64"/>
      <c r="F478" s="67" t="str">
        <f aca="false">IF($A478="","",$A478-WEEKDAY($A478,3))</f>
        <v/>
      </c>
      <c r="G478" s="65" t="str">
        <f aca="false">IF($A478="","",IF($F478=WeekStart,"Yes",""))</f>
        <v/>
      </c>
      <c r="H478" s="65" t="str">
        <f aca="false">IF($G478="Yes",$A478+ROW()/100000,"")</f>
        <v/>
      </c>
      <c r="I478" s="65" t="str">
        <f aca="false">IF(AND($D478&lt;&gt;"",$D478=UCSel),$A478+ROW()/100000,"")</f>
        <v/>
      </c>
    </row>
    <row r="479" customFormat="false" ht="15" hidden="false" customHeight="false" outlineLevel="0" collapsed="false">
      <c r="A479" s="63"/>
      <c r="B479" s="28"/>
      <c r="C479" s="28"/>
      <c r="D479" s="28"/>
      <c r="E479" s="64"/>
      <c r="F479" s="67" t="str">
        <f aca="false">IF($A479="","",$A479-WEEKDAY($A479,3))</f>
        <v/>
      </c>
      <c r="G479" s="65" t="str">
        <f aca="false">IF($A479="","",IF($F479=WeekStart,"Yes",""))</f>
        <v/>
      </c>
      <c r="H479" s="65" t="str">
        <f aca="false">IF($G479="Yes",$A479+ROW()/100000,"")</f>
        <v/>
      </c>
      <c r="I479" s="65" t="str">
        <f aca="false">IF(AND($D479&lt;&gt;"",$D479=UCSel),$A479+ROW()/100000,"")</f>
        <v/>
      </c>
    </row>
    <row r="480" customFormat="false" ht="15" hidden="false" customHeight="false" outlineLevel="0" collapsed="false">
      <c r="A480" s="63"/>
      <c r="B480" s="28"/>
      <c r="C480" s="28"/>
      <c r="D480" s="28"/>
      <c r="E480" s="64"/>
      <c r="F480" s="67" t="str">
        <f aca="false">IF($A480="","",$A480-WEEKDAY($A480,3))</f>
        <v/>
      </c>
      <c r="G480" s="65" t="str">
        <f aca="false">IF($A480="","",IF($F480=WeekStart,"Yes",""))</f>
        <v/>
      </c>
      <c r="H480" s="65" t="str">
        <f aca="false">IF($G480="Yes",$A480+ROW()/100000,"")</f>
        <v/>
      </c>
      <c r="I480" s="65" t="str">
        <f aca="false">IF(AND($D480&lt;&gt;"",$D480=UCSel),$A480+ROW()/100000,"")</f>
        <v/>
      </c>
    </row>
    <row r="481" customFormat="false" ht="15" hidden="false" customHeight="false" outlineLevel="0" collapsed="false">
      <c r="A481" s="63"/>
      <c r="B481" s="28"/>
      <c r="C481" s="28"/>
      <c r="D481" s="28"/>
      <c r="E481" s="64"/>
      <c r="F481" s="67" t="str">
        <f aca="false">IF($A481="","",$A481-WEEKDAY($A481,3))</f>
        <v/>
      </c>
      <c r="G481" s="65" t="str">
        <f aca="false">IF($A481="","",IF($F481=WeekStart,"Yes",""))</f>
        <v/>
      </c>
      <c r="H481" s="65" t="str">
        <f aca="false">IF($G481="Yes",$A481+ROW()/100000,"")</f>
        <v/>
      </c>
      <c r="I481" s="65" t="str">
        <f aca="false">IF(AND($D481&lt;&gt;"",$D481=UCSel),$A481+ROW()/100000,"")</f>
        <v/>
      </c>
    </row>
    <row r="482" customFormat="false" ht="15" hidden="false" customHeight="false" outlineLevel="0" collapsed="false">
      <c r="A482" s="63"/>
      <c r="B482" s="28"/>
      <c r="C482" s="28"/>
      <c r="D482" s="28"/>
      <c r="E482" s="64"/>
      <c r="F482" s="67" t="str">
        <f aca="false">IF($A482="","",$A482-WEEKDAY($A482,3))</f>
        <v/>
      </c>
      <c r="G482" s="65" t="str">
        <f aca="false">IF($A482="","",IF($F482=WeekStart,"Yes",""))</f>
        <v/>
      </c>
      <c r="H482" s="65" t="str">
        <f aca="false">IF($G482="Yes",$A482+ROW()/100000,"")</f>
        <v/>
      </c>
      <c r="I482" s="65" t="str">
        <f aca="false">IF(AND($D482&lt;&gt;"",$D482=UCSel),$A482+ROW()/100000,"")</f>
        <v/>
      </c>
    </row>
    <row r="483" customFormat="false" ht="15" hidden="false" customHeight="false" outlineLevel="0" collapsed="false">
      <c r="A483" s="63"/>
      <c r="B483" s="28"/>
      <c r="C483" s="28"/>
      <c r="D483" s="28"/>
      <c r="E483" s="64"/>
      <c r="F483" s="67" t="str">
        <f aca="false">IF($A483="","",$A483-WEEKDAY($A483,3))</f>
        <v/>
      </c>
      <c r="G483" s="65" t="str">
        <f aca="false">IF($A483="","",IF($F483=WeekStart,"Yes",""))</f>
        <v/>
      </c>
      <c r="H483" s="65" t="str">
        <f aca="false">IF($G483="Yes",$A483+ROW()/100000,"")</f>
        <v/>
      </c>
      <c r="I483" s="65" t="str">
        <f aca="false">IF(AND($D483&lt;&gt;"",$D483=UCSel),$A483+ROW()/100000,"")</f>
        <v/>
      </c>
    </row>
    <row r="484" customFormat="false" ht="15" hidden="false" customHeight="false" outlineLevel="0" collapsed="false">
      <c r="A484" s="63"/>
      <c r="B484" s="28"/>
      <c r="C484" s="28"/>
      <c r="D484" s="28"/>
      <c r="E484" s="64"/>
      <c r="F484" s="67" t="str">
        <f aca="false">IF($A484="","",$A484-WEEKDAY($A484,3))</f>
        <v/>
      </c>
      <c r="G484" s="65" t="str">
        <f aca="false">IF($A484="","",IF($F484=WeekStart,"Yes",""))</f>
        <v/>
      </c>
      <c r="H484" s="65" t="str">
        <f aca="false">IF($G484="Yes",$A484+ROW()/100000,"")</f>
        <v/>
      </c>
      <c r="I484" s="65" t="str">
        <f aca="false">IF(AND($D484&lt;&gt;"",$D484=UCSel),$A484+ROW()/100000,"")</f>
        <v/>
      </c>
    </row>
    <row r="485" customFormat="false" ht="15" hidden="false" customHeight="false" outlineLevel="0" collapsed="false">
      <c r="A485" s="63"/>
      <c r="B485" s="28"/>
      <c r="C485" s="28"/>
      <c r="D485" s="28"/>
      <c r="E485" s="64"/>
      <c r="F485" s="67" t="str">
        <f aca="false">IF($A485="","",$A485-WEEKDAY($A485,3))</f>
        <v/>
      </c>
      <c r="G485" s="65" t="str">
        <f aca="false">IF($A485="","",IF($F485=WeekStart,"Yes",""))</f>
        <v/>
      </c>
      <c r="H485" s="65" t="str">
        <f aca="false">IF($G485="Yes",$A485+ROW()/100000,"")</f>
        <v/>
      </c>
      <c r="I485" s="65" t="str">
        <f aca="false">IF(AND($D485&lt;&gt;"",$D485=UCSel),$A485+ROW()/100000,"")</f>
        <v/>
      </c>
    </row>
    <row r="486" customFormat="false" ht="15" hidden="false" customHeight="false" outlineLevel="0" collapsed="false">
      <c r="A486" s="63"/>
      <c r="B486" s="28"/>
      <c r="C486" s="28"/>
      <c r="D486" s="28"/>
      <c r="E486" s="64"/>
      <c r="F486" s="67" t="str">
        <f aca="false">IF($A486="","",$A486-WEEKDAY($A486,3))</f>
        <v/>
      </c>
      <c r="G486" s="65" t="str">
        <f aca="false">IF($A486="","",IF($F486=WeekStart,"Yes",""))</f>
        <v/>
      </c>
      <c r="H486" s="65" t="str">
        <f aca="false">IF($G486="Yes",$A486+ROW()/100000,"")</f>
        <v/>
      </c>
      <c r="I486" s="65" t="str">
        <f aca="false">IF(AND($D486&lt;&gt;"",$D486=UCSel),$A486+ROW()/100000,"")</f>
        <v/>
      </c>
    </row>
    <row r="487" customFormat="false" ht="15" hidden="false" customHeight="false" outlineLevel="0" collapsed="false">
      <c r="A487" s="63"/>
      <c r="B487" s="28"/>
      <c r="C487" s="28"/>
      <c r="D487" s="28"/>
      <c r="E487" s="64"/>
      <c r="F487" s="67" t="str">
        <f aca="false">IF($A487="","",$A487-WEEKDAY($A487,3))</f>
        <v/>
      </c>
      <c r="G487" s="65" t="str">
        <f aca="false">IF($A487="","",IF($F487=WeekStart,"Yes",""))</f>
        <v/>
      </c>
      <c r="H487" s="65" t="str">
        <f aca="false">IF($G487="Yes",$A487+ROW()/100000,"")</f>
        <v/>
      </c>
      <c r="I487" s="65" t="str">
        <f aca="false">IF(AND($D487&lt;&gt;"",$D487=UCSel),$A487+ROW()/100000,"")</f>
        <v/>
      </c>
    </row>
    <row r="488" customFormat="false" ht="15" hidden="false" customHeight="false" outlineLevel="0" collapsed="false">
      <c r="A488" s="63"/>
      <c r="B488" s="28"/>
      <c r="C488" s="28"/>
      <c r="D488" s="28"/>
      <c r="E488" s="64"/>
      <c r="F488" s="67" t="str">
        <f aca="false">IF($A488="","",$A488-WEEKDAY($A488,3))</f>
        <v/>
      </c>
      <c r="G488" s="65" t="str">
        <f aca="false">IF($A488="","",IF($F488=WeekStart,"Yes",""))</f>
        <v/>
      </c>
      <c r="H488" s="65" t="str">
        <f aca="false">IF($G488="Yes",$A488+ROW()/100000,"")</f>
        <v/>
      </c>
      <c r="I488" s="65" t="str">
        <f aca="false">IF(AND($D488&lt;&gt;"",$D488=UCSel),$A488+ROW()/100000,"")</f>
        <v/>
      </c>
    </row>
    <row r="489" customFormat="false" ht="15" hidden="false" customHeight="false" outlineLevel="0" collapsed="false">
      <c r="A489" s="63"/>
      <c r="B489" s="28"/>
      <c r="C489" s="28"/>
      <c r="D489" s="28"/>
      <c r="E489" s="64"/>
      <c r="F489" s="67" t="str">
        <f aca="false">IF($A489="","",$A489-WEEKDAY($A489,3))</f>
        <v/>
      </c>
      <c r="G489" s="65" t="str">
        <f aca="false">IF($A489="","",IF($F489=WeekStart,"Yes",""))</f>
        <v/>
      </c>
      <c r="H489" s="65" t="str">
        <f aca="false">IF($G489="Yes",$A489+ROW()/100000,"")</f>
        <v/>
      </c>
      <c r="I489" s="65" t="str">
        <f aca="false">IF(AND($D489&lt;&gt;"",$D489=UCSel),$A489+ROW()/100000,"")</f>
        <v/>
      </c>
    </row>
    <row r="490" customFormat="false" ht="15" hidden="false" customHeight="false" outlineLevel="0" collapsed="false">
      <c r="A490" s="63"/>
      <c r="B490" s="28"/>
      <c r="C490" s="28"/>
      <c r="D490" s="28"/>
      <c r="E490" s="64"/>
      <c r="F490" s="67" t="str">
        <f aca="false">IF($A490="","",$A490-WEEKDAY($A490,3))</f>
        <v/>
      </c>
      <c r="G490" s="65" t="str">
        <f aca="false">IF($A490="","",IF($F490=WeekStart,"Yes",""))</f>
        <v/>
      </c>
      <c r="H490" s="65" t="str">
        <f aca="false">IF($G490="Yes",$A490+ROW()/100000,"")</f>
        <v/>
      </c>
      <c r="I490" s="65" t="str">
        <f aca="false">IF(AND($D490&lt;&gt;"",$D490=UCSel),$A490+ROW()/100000,"")</f>
        <v/>
      </c>
    </row>
    <row r="491" customFormat="false" ht="15" hidden="false" customHeight="false" outlineLevel="0" collapsed="false">
      <c r="A491" s="63"/>
      <c r="B491" s="28"/>
      <c r="C491" s="28"/>
      <c r="D491" s="28"/>
      <c r="E491" s="64"/>
      <c r="F491" s="67" t="str">
        <f aca="false">IF($A491="","",$A491-WEEKDAY($A491,3))</f>
        <v/>
      </c>
      <c r="G491" s="65" t="str">
        <f aca="false">IF($A491="","",IF($F491=WeekStart,"Yes",""))</f>
        <v/>
      </c>
      <c r="H491" s="65" t="str">
        <f aca="false">IF($G491="Yes",$A491+ROW()/100000,"")</f>
        <v/>
      </c>
      <c r="I491" s="65" t="str">
        <f aca="false">IF(AND($D491&lt;&gt;"",$D491=UCSel),$A491+ROW()/100000,"")</f>
        <v/>
      </c>
    </row>
    <row r="492" customFormat="false" ht="15" hidden="false" customHeight="false" outlineLevel="0" collapsed="false">
      <c r="A492" s="63"/>
      <c r="B492" s="28"/>
      <c r="C492" s="28"/>
      <c r="D492" s="28"/>
      <c r="E492" s="64"/>
      <c r="F492" s="67" t="str">
        <f aca="false">IF($A492="","",$A492-WEEKDAY($A492,3))</f>
        <v/>
      </c>
      <c r="G492" s="65" t="str">
        <f aca="false">IF($A492="","",IF($F492=WeekStart,"Yes",""))</f>
        <v/>
      </c>
      <c r="H492" s="65" t="str">
        <f aca="false">IF($G492="Yes",$A492+ROW()/100000,"")</f>
        <v/>
      </c>
      <c r="I492" s="65" t="str">
        <f aca="false">IF(AND($D492&lt;&gt;"",$D492=UCSel),$A492+ROW()/100000,"")</f>
        <v/>
      </c>
    </row>
    <row r="493" customFormat="false" ht="15" hidden="false" customHeight="false" outlineLevel="0" collapsed="false">
      <c r="A493" s="63"/>
      <c r="B493" s="28"/>
      <c r="C493" s="28"/>
      <c r="D493" s="28"/>
      <c r="E493" s="64"/>
      <c r="F493" s="67" t="str">
        <f aca="false">IF($A493="","",$A493-WEEKDAY($A493,3))</f>
        <v/>
      </c>
      <c r="G493" s="65" t="str">
        <f aca="false">IF($A493="","",IF($F493=WeekStart,"Yes",""))</f>
        <v/>
      </c>
      <c r="H493" s="65" t="str">
        <f aca="false">IF($G493="Yes",$A493+ROW()/100000,"")</f>
        <v/>
      </c>
      <c r="I493" s="65" t="str">
        <f aca="false">IF(AND($D493&lt;&gt;"",$D493=UCSel),$A493+ROW()/100000,"")</f>
        <v/>
      </c>
    </row>
    <row r="494" customFormat="false" ht="15" hidden="false" customHeight="false" outlineLevel="0" collapsed="false">
      <c r="A494" s="63"/>
      <c r="B494" s="28"/>
      <c r="C494" s="28"/>
      <c r="D494" s="28"/>
      <c r="E494" s="64"/>
      <c r="F494" s="67" t="str">
        <f aca="false">IF($A494="","",$A494-WEEKDAY($A494,3))</f>
        <v/>
      </c>
      <c r="G494" s="65" t="str">
        <f aca="false">IF($A494="","",IF($F494=WeekStart,"Yes",""))</f>
        <v/>
      </c>
      <c r="H494" s="65" t="str">
        <f aca="false">IF($G494="Yes",$A494+ROW()/100000,"")</f>
        <v/>
      </c>
      <c r="I494" s="65" t="str">
        <f aca="false">IF(AND($D494&lt;&gt;"",$D494=UCSel),$A494+ROW()/100000,"")</f>
        <v/>
      </c>
    </row>
    <row r="495" customFormat="false" ht="15" hidden="false" customHeight="false" outlineLevel="0" collapsed="false">
      <c r="A495" s="63"/>
      <c r="B495" s="28"/>
      <c r="C495" s="28"/>
      <c r="D495" s="28"/>
      <c r="E495" s="64"/>
      <c r="F495" s="67" t="str">
        <f aca="false">IF($A495="","",$A495-WEEKDAY($A495,3))</f>
        <v/>
      </c>
      <c r="G495" s="65" t="str">
        <f aca="false">IF($A495="","",IF($F495=WeekStart,"Yes",""))</f>
        <v/>
      </c>
      <c r="H495" s="65" t="str">
        <f aca="false">IF($G495="Yes",$A495+ROW()/100000,"")</f>
        <v/>
      </c>
      <c r="I495" s="65" t="str">
        <f aca="false">IF(AND($D495&lt;&gt;"",$D495=UCSel),$A495+ROW()/100000,"")</f>
        <v/>
      </c>
    </row>
    <row r="496" customFormat="false" ht="15" hidden="false" customHeight="false" outlineLevel="0" collapsed="false">
      <c r="A496" s="63"/>
      <c r="B496" s="28"/>
      <c r="C496" s="28"/>
      <c r="D496" s="28"/>
      <c r="E496" s="64"/>
      <c r="F496" s="67" t="str">
        <f aca="false">IF($A496="","",$A496-WEEKDAY($A496,3))</f>
        <v/>
      </c>
      <c r="G496" s="65" t="str">
        <f aca="false">IF($A496="","",IF($F496=WeekStart,"Yes",""))</f>
        <v/>
      </c>
      <c r="H496" s="65" t="str">
        <f aca="false">IF($G496="Yes",$A496+ROW()/100000,"")</f>
        <v/>
      </c>
      <c r="I496" s="65" t="str">
        <f aca="false">IF(AND($D496&lt;&gt;"",$D496=UCSel),$A496+ROW()/100000,"")</f>
        <v/>
      </c>
    </row>
    <row r="497" customFormat="false" ht="15" hidden="false" customHeight="false" outlineLevel="0" collapsed="false">
      <c r="A497" s="63"/>
      <c r="B497" s="28"/>
      <c r="C497" s="28"/>
      <c r="D497" s="28"/>
      <c r="E497" s="64"/>
      <c r="F497" s="67" t="str">
        <f aca="false">IF($A497="","",$A497-WEEKDAY($A497,3))</f>
        <v/>
      </c>
      <c r="G497" s="65" t="str">
        <f aca="false">IF($A497="","",IF($F497=WeekStart,"Yes",""))</f>
        <v/>
      </c>
      <c r="H497" s="65" t="str">
        <f aca="false">IF($G497="Yes",$A497+ROW()/100000,"")</f>
        <v/>
      </c>
      <c r="I497" s="65" t="str">
        <f aca="false">IF(AND($D497&lt;&gt;"",$D497=UCSel),$A497+ROW()/100000,"")</f>
        <v/>
      </c>
    </row>
    <row r="498" customFormat="false" ht="15" hidden="false" customHeight="false" outlineLevel="0" collapsed="false">
      <c r="A498" s="63"/>
      <c r="B498" s="28"/>
      <c r="C498" s="28"/>
      <c r="D498" s="28"/>
      <c r="E498" s="64"/>
      <c r="F498" s="67" t="str">
        <f aca="false">IF($A498="","",$A498-WEEKDAY($A498,3))</f>
        <v/>
      </c>
      <c r="G498" s="65" t="str">
        <f aca="false">IF($A498="","",IF($F498=WeekStart,"Yes",""))</f>
        <v/>
      </c>
      <c r="H498" s="65" t="str">
        <f aca="false">IF($G498="Yes",$A498+ROW()/100000,"")</f>
        <v/>
      </c>
      <c r="I498" s="65" t="str">
        <f aca="false">IF(AND($D498&lt;&gt;"",$D498=UCSel),$A498+ROW()/100000,"")</f>
        <v/>
      </c>
    </row>
    <row r="499" customFormat="false" ht="15" hidden="false" customHeight="false" outlineLevel="0" collapsed="false">
      <c r="A499" s="63"/>
      <c r="B499" s="28"/>
      <c r="C499" s="28"/>
      <c r="D499" s="28"/>
      <c r="E499" s="64"/>
      <c r="F499" s="67" t="str">
        <f aca="false">IF($A499="","",$A499-WEEKDAY($A499,3))</f>
        <v/>
      </c>
      <c r="G499" s="65" t="str">
        <f aca="false">IF($A499="","",IF($F499=WeekStart,"Yes",""))</f>
        <v/>
      </c>
      <c r="H499" s="65" t="str">
        <f aca="false">IF($G499="Yes",$A499+ROW()/100000,"")</f>
        <v/>
      </c>
      <c r="I499" s="65" t="str">
        <f aca="false">IF(AND($D499&lt;&gt;"",$D499=UCSel),$A499+ROW()/100000,"")</f>
        <v/>
      </c>
    </row>
    <row r="500" customFormat="false" ht="15" hidden="false" customHeight="false" outlineLevel="0" collapsed="false">
      <c r="A500" s="63"/>
      <c r="B500" s="28"/>
      <c r="C500" s="28"/>
      <c r="D500" s="28"/>
      <c r="E500" s="64"/>
      <c r="F500" s="67" t="str">
        <f aca="false">IF($A500="","",$A500-WEEKDAY($A500,3))</f>
        <v/>
      </c>
      <c r="G500" s="65" t="str">
        <f aca="false">IF($A500="","",IF($F500=WeekStart,"Yes",""))</f>
        <v/>
      </c>
      <c r="H500" s="65" t="str">
        <f aca="false">IF($G500="Yes",$A500+ROW()/100000,"")</f>
        <v/>
      </c>
      <c r="I500" s="65" t="str">
        <f aca="false">IF(AND($D500&lt;&gt;"",$D500=UCSel),$A500+ROW()/100000,"")</f>
        <v/>
      </c>
    </row>
    <row r="501" customFormat="false" ht="15" hidden="false" customHeight="false" outlineLevel="0" collapsed="false">
      <c r="A501" s="63"/>
      <c r="B501" s="28"/>
      <c r="C501" s="28"/>
      <c r="D501" s="28"/>
      <c r="E501" s="64"/>
      <c r="F501" s="67" t="str">
        <f aca="false">IF($A501="","",$A501-WEEKDAY($A501,3))</f>
        <v/>
      </c>
      <c r="G501" s="65" t="str">
        <f aca="false">IF($A501="","",IF($F501=WeekStart,"Yes",""))</f>
        <v/>
      </c>
      <c r="H501" s="65" t="str">
        <f aca="false">IF($G501="Yes",$A501+ROW()/100000,"")</f>
        <v/>
      </c>
      <c r="I501" s="65" t="str">
        <f aca="false">IF(AND($D501&lt;&gt;"",$D501=UCSel),$A501+ROW()/100000,"")</f>
        <v/>
      </c>
    </row>
    <row r="502" customFormat="false" ht="15" hidden="false" customHeight="false" outlineLevel="0" collapsed="false">
      <c r="A502" s="63"/>
      <c r="B502" s="28"/>
      <c r="C502" s="28"/>
      <c r="D502" s="28"/>
      <c r="E502" s="64"/>
      <c r="F502" s="67" t="str">
        <f aca="false">IF($A502="","",$A502-WEEKDAY($A502,3))</f>
        <v/>
      </c>
      <c r="G502" s="65" t="str">
        <f aca="false">IF($A502="","",IF($F502=WeekStart,"Yes",""))</f>
        <v/>
      </c>
      <c r="H502" s="65" t="str">
        <f aca="false">IF($G502="Yes",$A502+ROW()/100000,"")</f>
        <v/>
      </c>
      <c r="I502" s="65" t="str">
        <f aca="false">IF(AND($D502&lt;&gt;"",$D502=UCSel),$A502+ROW()/100000,"")</f>
        <v/>
      </c>
    </row>
    <row r="503" customFormat="false" ht="15" hidden="false" customHeight="false" outlineLevel="0" collapsed="false">
      <c r="A503" s="63"/>
      <c r="B503" s="28"/>
      <c r="C503" s="28"/>
      <c r="D503" s="28"/>
      <c r="E503" s="64"/>
      <c r="F503" s="67" t="str">
        <f aca="false">IF($A503="","",$A503-WEEKDAY($A503,3))</f>
        <v/>
      </c>
      <c r="G503" s="65" t="str">
        <f aca="false">IF($A503="","",IF($F503=WeekStart,"Yes",""))</f>
        <v/>
      </c>
      <c r="H503" s="65" t="str">
        <f aca="false">IF($G503="Yes",$A503+ROW()/100000,"")</f>
        <v/>
      </c>
      <c r="I503" s="65" t="str">
        <f aca="false">IF(AND($D503&lt;&gt;"",$D503=UCSel),$A503+ROW()/100000,"")</f>
        <v/>
      </c>
    </row>
    <row r="504" customFormat="false" ht="15" hidden="false" customHeight="false" outlineLevel="0" collapsed="false">
      <c r="A504" s="63"/>
      <c r="B504" s="28"/>
      <c r="C504" s="28"/>
      <c r="D504" s="28"/>
      <c r="E504" s="64"/>
      <c r="F504" s="67" t="str">
        <f aca="false">IF($A504="","",$A504-WEEKDAY($A504,3))</f>
        <v/>
      </c>
      <c r="G504" s="65" t="str">
        <f aca="false">IF($A504="","",IF($F504=WeekStart,"Yes",""))</f>
        <v/>
      </c>
      <c r="H504" s="65" t="str">
        <f aca="false">IF($G504="Yes",$A504+ROW()/100000,"")</f>
        <v/>
      </c>
      <c r="I504" s="65" t="str">
        <f aca="false">IF(AND($D504&lt;&gt;"",$D504=UCSel),$A504+ROW()/100000,"")</f>
        <v/>
      </c>
    </row>
    <row r="505" customFormat="false" ht="15" hidden="false" customHeight="false" outlineLevel="0" collapsed="false">
      <c r="A505" s="63"/>
      <c r="B505" s="28"/>
      <c r="C505" s="28"/>
      <c r="D505" s="28"/>
      <c r="E505" s="64"/>
      <c r="F505" s="67" t="str">
        <f aca="false">IF($A505="","",$A505-WEEKDAY($A505,3))</f>
        <v/>
      </c>
      <c r="G505" s="65" t="str">
        <f aca="false">IF($A505="","",IF($F505=WeekStart,"Yes",""))</f>
        <v/>
      </c>
      <c r="H505" s="65" t="str">
        <f aca="false">IF($G505="Yes",$A505+ROW()/100000,"")</f>
        <v/>
      </c>
      <c r="I505" s="65" t="str">
        <f aca="false">IF(AND($D505&lt;&gt;"",$D505=UCSel),$A505+ROW()/100000,"")</f>
        <v/>
      </c>
    </row>
    <row r="506" customFormat="false" ht="15" hidden="false" customHeight="false" outlineLevel="0" collapsed="false">
      <c r="A506" s="63"/>
      <c r="B506" s="28"/>
      <c r="C506" s="28"/>
      <c r="D506" s="28"/>
      <c r="E506" s="64"/>
      <c r="F506" s="67" t="str">
        <f aca="false">IF($A506="","",$A506-WEEKDAY($A506,3))</f>
        <v/>
      </c>
      <c r="G506" s="65" t="str">
        <f aca="false">IF($A506="","",IF($F506=WeekStart,"Yes",""))</f>
        <v/>
      </c>
      <c r="H506" s="65" t="str">
        <f aca="false">IF($G506="Yes",$A506+ROW()/100000,"")</f>
        <v/>
      </c>
      <c r="I506" s="65" t="str">
        <f aca="false">IF(AND($D506&lt;&gt;"",$D506=UCSel),$A506+ROW()/100000,"")</f>
        <v/>
      </c>
    </row>
    <row r="507" customFormat="false" ht="15" hidden="false" customHeight="false" outlineLevel="0" collapsed="false">
      <c r="A507" s="63"/>
      <c r="B507" s="28"/>
      <c r="C507" s="28"/>
      <c r="D507" s="28"/>
      <c r="E507" s="64"/>
      <c r="F507" s="67" t="str">
        <f aca="false">IF($A507="","",$A507-WEEKDAY($A507,3))</f>
        <v/>
      </c>
      <c r="G507" s="65" t="str">
        <f aca="false">IF($A507="","",IF($F507=WeekStart,"Yes",""))</f>
        <v/>
      </c>
      <c r="H507" s="65" t="str">
        <f aca="false">IF($G507="Yes",$A507+ROW()/100000,"")</f>
        <v/>
      </c>
      <c r="I507" s="65" t="str">
        <f aca="false">IF(AND($D507&lt;&gt;"",$D507=UCSel),$A507+ROW()/100000,"")</f>
        <v/>
      </c>
    </row>
    <row r="508" customFormat="false" ht="15" hidden="false" customHeight="false" outlineLevel="0" collapsed="false">
      <c r="A508" s="63"/>
      <c r="B508" s="28"/>
      <c r="C508" s="28"/>
      <c r="D508" s="28"/>
      <c r="E508" s="64"/>
      <c r="F508" s="67" t="str">
        <f aca="false">IF($A508="","",$A508-WEEKDAY($A508,3))</f>
        <v/>
      </c>
      <c r="G508" s="65" t="str">
        <f aca="false">IF($A508="","",IF($F508=WeekStart,"Yes",""))</f>
        <v/>
      </c>
      <c r="H508" s="65" t="str">
        <f aca="false">IF($G508="Yes",$A508+ROW()/100000,"")</f>
        <v/>
      </c>
      <c r="I508" s="65" t="str">
        <f aca="false">IF(AND($D508&lt;&gt;"",$D508=UCSel),$A508+ROW()/100000,"")</f>
        <v/>
      </c>
    </row>
    <row r="509" customFormat="false" ht="15" hidden="false" customHeight="false" outlineLevel="0" collapsed="false">
      <c r="A509" s="63"/>
      <c r="B509" s="28"/>
      <c r="C509" s="28"/>
      <c r="D509" s="28"/>
      <c r="E509" s="64"/>
      <c r="F509" s="67" t="str">
        <f aca="false">IF($A509="","",$A509-WEEKDAY($A509,3))</f>
        <v/>
      </c>
      <c r="G509" s="65" t="str">
        <f aca="false">IF($A509="","",IF($F509=WeekStart,"Yes",""))</f>
        <v/>
      </c>
      <c r="H509" s="65" t="str">
        <f aca="false">IF($G509="Yes",$A509+ROW()/100000,"")</f>
        <v/>
      </c>
      <c r="I509" s="65" t="str">
        <f aca="false">IF(AND($D509&lt;&gt;"",$D509=UCSel),$A509+ROW()/100000,"")</f>
        <v/>
      </c>
    </row>
    <row r="510" customFormat="false" ht="15" hidden="false" customHeight="false" outlineLevel="0" collapsed="false">
      <c r="A510" s="63"/>
      <c r="B510" s="28"/>
      <c r="C510" s="28"/>
      <c r="D510" s="28"/>
      <c r="E510" s="64"/>
      <c r="F510" s="67" t="str">
        <f aca="false">IF($A510="","",$A510-WEEKDAY($A510,3))</f>
        <v/>
      </c>
      <c r="G510" s="65" t="str">
        <f aca="false">IF($A510="","",IF($F510=WeekStart,"Yes",""))</f>
        <v/>
      </c>
      <c r="H510" s="65" t="str">
        <f aca="false">IF($G510="Yes",$A510+ROW()/100000,"")</f>
        <v/>
      </c>
      <c r="I510" s="65" t="str">
        <f aca="false">IF(AND($D510&lt;&gt;"",$D510=UCSel),$A510+ROW()/100000,"")</f>
        <v/>
      </c>
    </row>
    <row r="511" customFormat="false" ht="15" hidden="false" customHeight="false" outlineLevel="0" collapsed="false">
      <c r="A511" s="63"/>
      <c r="B511" s="28"/>
      <c r="C511" s="28"/>
      <c r="D511" s="28"/>
      <c r="E511" s="64"/>
      <c r="F511" s="67" t="str">
        <f aca="false">IF($A511="","",$A511-WEEKDAY($A511,3))</f>
        <v/>
      </c>
      <c r="G511" s="65" t="str">
        <f aca="false">IF($A511="","",IF($F511=WeekStart,"Yes",""))</f>
        <v/>
      </c>
      <c r="H511" s="65" t="str">
        <f aca="false">IF($G511="Yes",$A511+ROW()/100000,"")</f>
        <v/>
      </c>
      <c r="I511" s="65" t="str">
        <f aca="false">IF(AND($D511&lt;&gt;"",$D511=UCSel),$A511+ROW()/100000,"")</f>
        <v/>
      </c>
    </row>
    <row r="512" customFormat="false" ht="15" hidden="false" customHeight="false" outlineLevel="0" collapsed="false">
      <c r="A512" s="63"/>
      <c r="B512" s="28"/>
      <c r="C512" s="28"/>
      <c r="D512" s="28"/>
      <c r="E512" s="64"/>
      <c r="F512" s="67" t="str">
        <f aca="false">IF($A512="","",$A512-WEEKDAY($A512,3))</f>
        <v/>
      </c>
      <c r="G512" s="65" t="str">
        <f aca="false">IF($A512="","",IF($F512=WeekStart,"Yes",""))</f>
        <v/>
      </c>
      <c r="H512" s="65" t="str">
        <f aca="false">IF($G512="Yes",$A512+ROW()/100000,"")</f>
        <v/>
      </c>
      <c r="I512" s="65" t="str">
        <f aca="false">IF(AND($D512&lt;&gt;"",$D512=UCSel),$A512+ROW()/100000,"")</f>
        <v/>
      </c>
    </row>
    <row r="513" customFormat="false" ht="15" hidden="false" customHeight="false" outlineLevel="0" collapsed="false">
      <c r="A513" s="63"/>
      <c r="B513" s="28"/>
      <c r="C513" s="28"/>
      <c r="D513" s="28"/>
      <c r="E513" s="64"/>
      <c r="F513" s="67" t="str">
        <f aca="false">IF($A513="","",$A513-WEEKDAY($A513,3))</f>
        <v/>
      </c>
      <c r="G513" s="65" t="str">
        <f aca="false">IF($A513="","",IF($F513=WeekStart,"Yes",""))</f>
        <v/>
      </c>
      <c r="H513" s="65" t="str">
        <f aca="false">IF($G513="Yes",$A513+ROW()/100000,"")</f>
        <v/>
      </c>
      <c r="I513" s="65" t="str">
        <f aca="false">IF(AND($D513&lt;&gt;"",$D513=UCSel),$A513+ROW()/100000,"")</f>
        <v/>
      </c>
    </row>
    <row r="514" customFormat="false" ht="15" hidden="false" customHeight="false" outlineLevel="0" collapsed="false">
      <c r="A514" s="63"/>
      <c r="B514" s="28"/>
      <c r="C514" s="28"/>
      <c r="D514" s="28"/>
      <c r="E514" s="64"/>
      <c r="F514" s="67" t="str">
        <f aca="false">IF($A514="","",$A514-WEEKDAY($A514,3))</f>
        <v/>
      </c>
      <c r="G514" s="65" t="str">
        <f aca="false">IF($A514="","",IF($F514=WeekStart,"Yes",""))</f>
        <v/>
      </c>
      <c r="H514" s="65" t="str">
        <f aca="false">IF($G514="Yes",$A514+ROW()/100000,"")</f>
        <v/>
      </c>
      <c r="I514" s="65" t="str">
        <f aca="false">IF(AND($D514&lt;&gt;"",$D514=UCSel),$A514+ROW()/100000,"")</f>
        <v/>
      </c>
    </row>
    <row r="515" customFormat="false" ht="15" hidden="false" customHeight="false" outlineLevel="0" collapsed="false">
      <c r="A515" s="63"/>
      <c r="B515" s="28"/>
      <c r="C515" s="28"/>
      <c r="D515" s="28"/>
      <c r="E515" s="64"/>
      <c r="F515" s="67" t="str">
        <f aca="false">IF($A515="","",$A515-WEEKDAY($A515,3))</f>
        <v/>
      </c>
      <c r="G515" s="65" t="str">
        <f aca="false">IF($A515="","",IF($F515=WeekStart,"Yes",""))</f>
        <v/>
      </c>
      <c r="H515" s="65" t="str">
        <f aca="false">IF($G515="Yes",$A515+ROW()/100000,"")</f>
        <v/>
      </c>
      <c r="I515" s="65" t="str">
        <f aca="false">IF(AND($D515&lt;&gt;"",$D515=UCSel),$A515+ROW()/100000,"")</f>
        <v/>
      </c>
    </row>
    <row r="516" customFormat="false" ht="15" hidden="false" customHeight="false" outlineLevel="0" collapsed="false">
      <c r="A516" s="63"/>
      <c r="B516" s="28"/>
      <c r="C516" s="28"/>
      <c r="D516" s="28"/>
      <c r="E516" s="64"/>
      <c r="F516" s="67" t="str">
        <f aca="false">IF($A516="","",$A516-WEEKDAY($A516,3))</f>
        <v/>
      </c>
      <c r="G516" s="65" t="str">
        <f aca="false">IF($A516="","",IF($F516=WeekStart,"Yes",""))</f>
        <v/>
      </c>
      <c r="H516" s="65" t="str">
        <f aca="false">IF($G516="Yes",$A516+ROW()/100000,"")</f>
        <v/>
      </c>
      <c r="I516" s="65" t="str">
        <f aca="false">IF(AND($D516&lt;&gt;"",$D516=UCSel),$A516+ROW()/100000,"")</f>
        <v/>
      </c>
    </row>
    <row r="517" customFormat="false" ht="15" hidden="false" customHeight="false" outlineLevel="0" collapsed="false">
      <c r="A517" s="63"/>
      <c r="B517" s="28"/>
      <c r="C517" s="28"/>
      <c r="D517" s="28"/>
      <c r="E517" s="64"/>
      <c r="F517" s="67" t="str">
        <f aca="false">IF($A517="","",$A517-WEEKDAY($A517,3))</f>
        <v/>
      </c>
      <c r="G517" s="65" t="str">
        <f aca="false">IF($A517="","",IF($F517=WeekStart,"Yes",""))</f>
        <v/>
      </c>
      <c r="H517" s="65" t="str">
        <f aca="false">IF($G517="Yes",$A517+ROW()/100000,"")</f>
        <v/>
      </c>
      <c r="I517" s="65" t="str">
        <f aca="false">IF(AND($D517&lt;&gt;"",$D517=UCSel),$A517+ROW()/100000,"")</f>
        <v/>
      </c>
    </row>
    <row r="518" customFormat="false" ht="15" hidden="false" customHeight="false" outlineLevel="0" collapsed="false">
      <c r="A518" s="63"/>
      <c r="B518" s="28"/>
      <c r="C518" s="28"/>
      <c r="D518" s="28"/>
      <c r="E518" s="64"/>
      <c r="F518" s="67" t="str">
        <f aca="false">IF($A518="","",$A518-WEEKDAY($A518,3))</f>
        <v/>
      </c>
      <c r="G518" s="65" t="str">
        <f aca="false">IF($A518="","",IF($F518=WeekStart,"Yes",""))</f>
        <v/>
      </c>
      <c r="H518" s="65" t="str">
        <f aca="false">IF($G518="Yes",$A518+ROW()/100000,"")</f>
        <v/>
      </c>
      <c r="I518" s="65" t="str">
        <f aca="false">IF(AND($D518&lt;&gt;"",$D518=UCSel),$A518+ROW()/100000,"")</f>
        <v/>
      </c>
    </row>
    <row r="519" customFormat="false" ht="15" hidden="false" customHeight="false" outlineLevel="0" collapsed="false">
      <c r="A519" s="63"/>
      <c r="B519" s="28"/>
      <c r="C519" s="28"/>
      <c r="D519" s="28"/>
      <c r="E519" s="64"/>
      <c r="F519" s="67" t="str">
        <f aca="false">IF($A519="","",$A519-WEEKDAY($A519,3))</f>
        <v/>
      </c>
      <c r="G519" s="65" t="str">
        <f aca="false">IF($A519="","",IF($F519=WeekStart,"Yes",""))</f>
        <v/>
      </c>
      <c r="H519" s="65" t="str">
        <f aca="false">IF($G519="Yes",$A519+ROW()/100000,"")</f>
        <v/>
      </c>
      <c r="I519" s="65" t="str">
        <f aca="false">IF(AND($D519&lt;&gt;"",$D519=UCSel),$A519+ROW()/100000,"")</f>
        <v/>
      </c>
    </row>
    <row r="520" customFormat="false" ht="15" hidden="false" customHeight="false" outlineLevel="0" collapsed="false">
      <c r="A520" s="63"/>
      <c r="B520" s="28"/>
      <c r="C520" s="28"/>
      <c r="D520" s="28"/>
      <c r="E520" s="64"/>
      <c r="F520" s="67" t="str">
        <f aca="false">IF($A520="","",$A520-WEEKDAY($A520,3))</f>
        <v/>
      </c>
      <c r="G520" s="65" t="str">
        <f aca="false">IF($A520="","",IF($F520=WeekStart,"Yes",""))</f>
        <v/>
      </c>
      <c r="H520" s="65" t="str">
        <f aca="false">IF($G520="Yes",$A520+ROW()/100000,"")</f>
        <v/>
      </c>
      <c r="I520" s="65" t="str">
        <f aca="false">IF(AND($D520&lt;&gt;"",$D520=UCSel),$A520+ROW()/100000,"")</f>
        <v/>
      </c>
    </row>
    <row r="521" customFormat="false" ht="15" hidden="false" customHeight="false" outlineLevel="0" collapsed="false">
      <c r="A521" s="63"/>
      <c r="B521" s="28"/>
      <c r="C521" s="28"/>
      <c r="D521" s="28"/>
      <c r="E521" s="64"/>
      <c r="F521" s="67" t="str">
        <f aca="false">IF($A521="","",$A521-WEEKDAY($A521,3))</f>
        <v/>
      </c>
      <c r="G521" s="65" t="str">
        <f aca="false">IF($A521="","",IF($F521=WeekStart,"Yes",""))</f>
        <v/>
      </c>
      <c r="H521" s="65" t="str">
        <f aca="false">IF($G521="Yes",$A521+ROW()/100000,"")</f>
        <v/>
      </c>
      <c r="I521" s="65" t="str">
        <f aca="false">IF(AND($D521&lt;&gt;"",$D521=UCSel),$A521+ROW()/100000,"")</f>
        <v/>
      </c>
    </row>
    <row r="522" customFormat="false" ht="15" hidden="false" customHeight="false" outlineLevel="0" collapsed="false">
      <c r="A522" s="63"/>
      <c r="B522" s="28"/>
      <c r="C522" s="28"/>
      <c r="D522" s="28"/>
      <c r="E522" s="64"/>
      <c r="F522" s="67" t="str">
        <f aca="false">IF($A522="","",$A522-WEEKDAY($A522,3))</f>
        <v/>
      </c>
      <c r="G522" s="65" t="str">
        <f aca="false">IF($A522="","",IF($F522=WeekStart,"Yes",""))</f>
        <v/>
      </c>
      <c r="H522" s="65" t="str">
        <f aca="false">IF($G522="Yes",$A522+ROW()/100000,"")</f>
        <v/>
      </c>
      <c r="I522" s="65" t="str">
        <f aca="false">IF(AND($D522&lt;&gt;"",$D522=UCSel),$A522+ROW()/100000,"")</f>
        <v/>
      </c>
    </row>
    <row r="523" customFormat="false" ht="15" hidden="false" customHeight="false" outlineLevel="0" collapsed="false">
      <c r="A523" s="63"/>
      <c r="B523" s="28"/>
      <c r="C523" s="28"/>
      <c r="D523" s="28"/>
      <c r="E523" s="64"/>
      <c r="F523" s="67" t="str">
        <f aca="false">IF($A523="","",$A523-WEEKDAY($A523,3))</f>
        <v/>
      </c>
      <c r="G523" s="65" t="str">
        <f aca="false">IF($A523="","",IF($F523=WeekStart,"Yes",""))</f>
        <v/>
      </c>
      <c r="H523" s="65" t="str">
        <f aca="false">IF($G523="Yes",$A523+ROW()/100000,"")</f>
        <v/>
      </c>
      <c r="I523" s="65" t="str">
        <f aca="false">IF(AND($D523&lt;&gt;"",$D523=UCSel),$A523+ROW()/100000,"")</f>
        <v/>
      </c>
    </row>
    <row r="524" customFormat="false" ht="15" hidden="false" customHeight="false" outlineLevel="0" collapsed="false">
      <c r="A524" s="63"/>
      <c r="B524" s="28"/>
      <c r="C524" s="28"/>
      <c r="D524" s="28"/>
      <c r="E524" s="64"/>
      <c r="F524" s="67" t="str">
        <f aca="false">IF($A524="","",$A524-WEEKDAY($A524,3))</f>
        <v/>
      </c>
      <c r="G524" s="65" t="str">
        <f aca="false">IF($A524="","",IF($F524=WeekStart,"Yes",""))</f>
        <v/>
      </c>
      <c r="H524" s="65" t="str">
        <f aca="false">IF($G524="Yes",$A524+ROW()/100000,"")</f>
        <v/>
      </c>
      <c r="I524" s="65" t="str">
        <f aca="false">IF(AND($D524&lt;&gt;"",$D524=UCSel),$A524+ROW()/100000,"")</f>
        <v/>
      </c>
    </row>
    <row r="525" customFormat="false" ht="15" hidden="false" customHeight="false" outlineLevel="0" collapsed="false">
      <c r="A525" s="63"/>
      <c r="B525" s="28"/>
      <c r="C525" s="28"/>
      <c r="D525" s="28"/>
      <c r="E525" s="64"/>
      <c r="F525" s="67" t="str">
        <f aca="false">IF($A525="","",$A525-WEEKDAY($A525,3))</f>
        <v/>
      </c>
      <c r="G525" s="65" t="str">
        <f aca="false">IF($A525="","",IF($F525=WeekStart,"Yes",""))</f>
        <v/>
      </c>
      <c r="H525" s="65" t="str">
        <f aca="false">IF($G525="Yes",$A525+ROW()/100000,"")</f>
        <v/>
      </c>
      <c r="I525" s="65" t="str">
        <f aca="false">IF(AND($D525&lt;&gt;"",$D525=UCSel),$A525+ROW()/100000,"")</f>
        <v/>
      </c>
    </row>
    <row r="526" customFormat="false" ht="15" hidden="false" customHeight="false" outlineLevel="0" collapsed="false">
      <c r="A526" s="63"/>
      <c r="B526" s="28"/>
      <c r="C526" s="28"/>
      <c r="D526" s="28"/>
      <c r="E526" s="64"/>
      <c r="F526" s="67" t="str">
        <f aca="false">IF($A526="","",$A526-WEEKDAY($A526,3))</f>
        <v/>
      </c>
      <c r="G526" s="65" t="str">
        <f aca="false">IF($A526="","",IF($F526=WeekStart,"Yes",""))</f>
        <v/>
      </c>
      <c r="H526" s="65" t="str">
        <f aca="false">IF($G526="Yes",$A526+ROW()/100000,"")</f>
        <v/>
      </c>
      <c r="I526" s="65" t="str">
        <f aca="false">IF(AND($D526&lt;&gt;"",$D526=UCSel),$A526+ROW()/100000,"")</f>
        <v/>
      </c>
    </row>
    <row r="527" customFormat="false" ht="15" hidden="false" customHeight="false" outlineLevel="0" collapsed="false">
      <c r="A527" s="63"/>
      <c r="B527" s="28"/>
      <c r="C527" s="28"/>
      <c r="D527" s="28"/>
      <c r="E527" s="64"/>
      <c r="F527" s="67" t="str">
        <f aca="false">IF($A527="","",$A527-WEEKDAY($A527,3))</f>
        <v/>
      </c>
      <c r="G527" s="65" t="str">
        <f aca="false">IF($A527="","",IF($F527=WeekStart,"Yes",""))</f>
        <v/>
      </c>
      <c r="H527" s="65" t="str">
        <f aca="false">IF($G527="Yes",$A527+ROW()/100000,"")</f>
        <v/>
      </c>
      <c r="I527" s="65" t="str">
        <f aca="false">IF(AND($D527&lt;&gt;"",$D527=UCSel),$A527+ROW()/100000,"")</f>
        <v/>
      </c>
    </row>
    <row r="528" customFormat="false" ht="15" hidden="false" customHeight="false" outlineLevel="0" collapsed="false">
      <c r="A528" s="63"/>
      <c r="B528" s="28"/>
      <c r="C528" s="28"/>
      <c r="D528" s="28"/>
      <c r="E528" s="64"/>
      <c r="F528" s="67" t="str">
        <f aca="false">IF($A528="","",$A528-WEEKDAY($A528,3))</f>
        <v/>
      </c>
      <c r="G528" s="65" t="str">
        <f aca="false">IF($A528="","",IF($F528=WeekStart,"Yes",""))</f>
        <v/>
      </c>
      <c r="H528" s="65" t="str">
        <f aca="false">IF($G528="Yes",$A528+ROW()/100000,"")</f>
        <v/>
      </c>
      <c r="I528" s="65" t="str">
        <f aca="false">IF(AND($D528&lt;&gt;"",$D528=UCSel),$A528+ROW()/100000,"")</f>
        <v/>
      </c>
    </row>
    <row r="529" customFormat="false" ht="15" hidden="false" customHeight="false" outlineLevel="0" collapsed="false">
      <c r="A529" s="63"/>
      <c r="B529" s="28"/>
      <c r="C529" s="28"/>
      <c r="D529" s="28"/>
      <c r="E529" s="64"/>
      <c r="F529" s="67" t="str">
        <f aca="false">IF($A529="","",$A529-WEEKDAY($A529,3))</f>
        <v/>
      </c>
      <c r="G529" s="65" t="str">
        <f aca="false">IF($A529="","",IF($F529=WeekStart,"Yes",""))</f>
        <v/>
      </c>
      <c r="H529" s="65" t="str">
        <f aca="false">IF($G529="Yes",$A529+ROW()/100000,"")</f>
        <v/>
      </c>
      <c r="I529" s="65" t="str">
        <f aca="false">IF(AND($D529&lt;&gt;"",$D529=UCSel),$A529+ROW()/100000,"")</f>
        <v/>
      </c>
    </row>
    <row r="530" customFormat="false" ht="15" hidden="false" customHeight="false" outlineLevel="0" collapsed="false">
      <c r="A530" s="63"/>
      <c r="B530" s="28"/>
      <c r="C530" s="28"/>
      <c r="D530" s="28"/>
      <c r="E530" s="64"/>
      <c r="F530" s="67" t="str">
        <f aca="false">IF($A530="","",$A530-WEEKDAY($A530,3))</f>
        <v/>
      </c>
      <c r="G530" s="65" t="str">
        <f aca="false">IF($A530="","",IF($F530=WeekStart,"Yes",""))</f>
        <v/>
      </c>
      <c r="H530" s="65" t="str">
        <f aca="false">IF($G530="Yes",$A530+ROW()/100000,"")</f>
        <v/>
      </c>
      <c r="I530" s="65" t="str">
        <f aca="false">IF(AND($D530&lt;&gt;"",$D530=UCSel),$A530+ROW()/100000,"")</f>
        <v/>
      </c>
    </row>
    <row r="531" customFormat="false" ht="15" hidden="false" customHeight="false" outlineLevel="0" collapsed="false">
      <c r="A531" s="63"/>
      <c r="B531" s="28"/>
      <c r="C531" s="28"/>
      <c r="D531" s="28"/>
      <c r="E531" s="64"/>
      <c r="F531" s="67" t="str">
        <f aca="false">IF($A531="","",$A531-WEEKDAY($A531,3))</f>
        <v/>
      </c>
      <c r="G531" s="65" t="str">
        <f aca="false">IF($A531="","",IF($F531=WeekStart,"Yes",""))</f>
        <v/>
      </c>
      <c r="H531" s="65" t="str">
        <f aca="false">IF($G531="Yes",$A531+ROW()/100000,"")</f>
        <v/>
      </c>
      <c r="I531" s="65" t="str">
        <f aca="false">IF(AND($D531&lt;&gt;"",$D531=UCSel),$A531+ROW()/100000,"")</f>
        <v/>
      </c>
    </row>
    <row r="532" customFormat="false" ht="15" hidden="false" customHeight="false" outlineLevel="0" collapsed="false">
      <c r="A532" s="63"/>
      <c r="B532" s="28"/>
      <c r="C532" s="28"/>
      <c r="D532" s="28"/>
      <c r="E532" s="64"/>
      <c r="F532" s="67" t="str">
        <f aca="false">IF($A532="","",$A532-WEEKDAY($A532,3))</f>
        <v/>
      </c>
      <c r="G532" s="65" t="str">
        <f aca="false">IF($A532="","",IF($F532=WeekStart,"Yes",""))</f>
        <v/>
      </c>
      <c r="H532" s="65" t="str">
        <f aca="false">IF($G532="Yes",$A532+ROW()/100000,"")</f>
        <v/>
      </c>
      <c r="I532" s="65" t="str">
        <f aca="false">IF(AND($D532&lt;&gt;"",$D532=UCSel),$A532+ROW()/100000,"")</f>
        <v/>
      </c>
    </row>
    <row r="533" customFormat="false" ht="15" hidden="false" customHeight="false" outlineLevel="0" collapsed="false">
      <c r="A533" s="63"/>
      <c r="B533" s="28"/>
      <c r="C533" s="28"/>
      <c r="D533" s="28"/>
      <c r="E533" s="64"/>
      <c r="F533" s="67" t="str">
        <f aca="false">IF($A533="","",$A533-WEEKDAY($A533,3))</f>
        <v/>
      </c>
      <c r="G533" s="65" t="str">
        <f aca="false">IF($A533="","",IF($F533=WeekStart,"Yes",""))</f>
        <v/>
      </c>
      <c r="H533" s="65" t="str">
        <f aca="false">IF($G533="Yes",$A533+ROW()/100000,"")</f>
        <v/>
      </c>
      <c r="I533" s="65" t="str">
        <f aca="false">IF(AND($D533&lt;&gt;"",$D533=UCSel),$A533+ROW()/100000,"")</f>
        <v/>
      </c>
    </row>
    <row r="534" customFormat="false" ht="15" hidden="false" customHeight="false" outlineLevel="0" collapsed="false">
      <c r="A534" s="63"/>
      <c r="B534" s="28"/>
      <c r="C534" s="28"/>
      <c r="D534" s="28"/>
      <c r="E534" s="64"/>
      <c r="F534" s="67" t="str">
        <f aca="false">IF($A534="","",$A534-WEEKDAY($A534,3))</f>
        <v/>
      </c>
      <c r="G534" s="65" t="str">
        <f aca="false">IF($A534="","",IF($F534=WeekStart,"Yes",""))</f>
        <v/>
      </c>
      <c r="H534" s="65" t="str">
        <f aca="false">IF($G534="Yes",$A534+ROW()/100000,"")</f>
        <v/>
      </c>
      <c r="I534" s="65" t="str">
        <f aca="false">IF(AND($D534&lt;&gt;"",$D534=UCSel),$A534+ROW()/100000,"")</f>
        <v/>
      </c>
    </row>
    <row r="535" customFormat="false" ht="15" hidden="false" customHeight="false" outlineLevel="0" collapsed="false">
      <c r="A535" s="63"/>
      <c r="B535" s="28"/>
      <c r="C535" s="28"/>
      <c r="D535" s="28"/>
      <c r="E535" s="64"/>
      <c r="F535" s="67" t="str">
        <f aca="false">IF($A535="","",$A535-WEEKDAY($A535,3))</f>
        <v/>
      </c>
      <c r="G535" s="65" t="str">
        <f aca="false">IF($A535="","",IF($F535=WeekStart,"Yes",""))</f>
        <v/>
      </c>
      <c r="H535" s="65" t="str">
        <f aca="false">IF($G535="Yes",$A535+ROW()/100000,"")</f>
        <v/>
      </c>
      <c r="I535" s="65" t="str">
        <f aca="false">IF(AND($D535&lt;&gt;"",$D535=UCSel),$A535+ROW()/100000,"")</f>
        <v/>
      </c>
    </row>
    <row r="536" customFormat="false" ht="15" hidden="false" customHeight="false" outlineLevel="0" collapsed="false">
      <c r="A536" s="63"/>
      <c r="B536" s="28"/>
      <c r="C536" s="28"/>
      <c r="D536" s="28"/>
      <c r="E536" s="64"/>
      <c r="F536" s="67" t="str">
        <f aca="false">IF($A536="","",$A536-WEEKDAY($A536,3))</f>
        <v/>
      </c>
      <c r="G536" s="65" t="str">
        <f aca="false">IF($A536="","",IF($F536=WeekStart,"Yes",""))</f>
        <v/>
      </c>
      <c r="H536" s="65" t="str">
        <f aca="false">IF($G536="Yes",$A536+ROW()/100000,"")</f>
        <v/>
      </c>
      <c r="I536" s="65" t="str">
        <f aca="false">IF(AND($D536&lt;&gt;"",$D536=UCSel),$A536+ROW()/100000,"")</f>
        <v/>
      </c>
    </row>
    <row r="537" customFormat="false" ht="15" hidden="false" customHeight="false" outlineLevel="0" collapsed="false">
      <c r="A537" s="63"/>
      <c r="B537" s="28"/>
      <c r="C537" s="28"/>
      <c r="D537" s="28"/>
      <c r="E537" s="64"/>
      <c r="F537" s="67" t="str">
        <f aca="false">IF($A537="","",$A537-WEEKDAY($A537,3))</f>
        <v/>
      </c>
      <c r="G537" s="65" t="str">
        <f aca="false">IF($A537="","",IF($F537=WeekStart,"Yes",""))</f>
        <v/>
      </c>
      <c r="H537" s="65" t="str">
        <f aca="false">IF($G537="Yes",$A537+ROW()/100000,"")</f>
        <v/>
      </c>
      <c r="I537" s="65" t="str">
        <f aca="false">IF(AND($D537&lt;&gt;"",$D537=UCSel),$A537+ROW()/100000,"")</f>
        <v/>
      </c>
    </row>
    <row r="538" customFormat="false" ht="15" hidden="false" customHeight="false" outlineLevel="0" collapsed="false">
      <c r="A538" s="63"/>
      <c r="B538" s="28"/>
      <c r="C538" s="28"/>
      <c r="D538" s="28"/>
      <c r="E538" s="64"/>
      <c r="F538" s="67" t="str">
        <f aca="false">IF($A538="","",$A538-WEEKDAY($A538,3))</f>
        <v/>
      </c>
      <c r="G538" s="65" t="str">
        <f aca="false">IF($A538="","",IF($F538=WeekStart,"Yes",""))</f>
        <v/>
      </c>
      <c r="H538" s="65" t="str">
        <f aca="false">IF($G538="Yes",$A538+ROW()/100000,"")</f>
        <v/>
      </c>
      <c r="I538" s="65" t="str">
        <f aca="false">IF(AND($D538&lt;&gt;"",$D538=UCSel),$A538+ROW()/100000,"")</f>
        <v/>
      </c>
    </row>
    <row r="539" customFormat="false" ht="15" hidden="false" customHeight="false" outlineLevel="0" collapsed="false">
      <c r="A539" s="63"/>
      <c r="B539" s="28"/>
      <c r="C539" s="28"/>
      <c r="D539" s="28"/>
      <c r="E539" s="64"/>
      <c r="F539" s="67" t="str">
        <f aca="false">IF($A539="","",$A539-WEEKDAY($A539,3))</f>
        <v/>
      </c>
      <c r="G539" s="65" t="str">
        <f aca="false">IF($A539="","",IF($F539=WeekStart,"Yes",""))</f>
        <v/>
      </c>
      <c r="H539" s="65" t="str">
        <f aca="false">IF($G539="Yes",$A539+ROW()/100000,"")</f>
        <v/>
      </c>
      <c r="I539" s="65" t="str">
        <f aca="false">IF(AND($D539&lt;&gt;"",$D539=UCSel),$A539+ROW()/100000,"")</f>
        <v/>
      </c>
    </row>
    <row r="540" customFormat="false" ht="15" hidden="false" customHeight="false" outlineLevel="0" collapsed="false">
      <c r="A540" s="63"/>
      <c r="B540" s="28"/>
      <c r="C540" s="28"/>
      <c r="D540" s="28"/>
      <c r="E540" s="64"/>
      <c r="F540" s="67" t="str">
        <f aca="false">IF($A540="","",$A540-WEEKDAY($A540,3))</f>
        <v/>
      </c>
      <c r="G540" s="65" t="str">
        <f aca="false">IF($A540="","",IF($F540=WeekStart,"Yes",""))</f>
        <v/>
      </c>
      <c r="H540" s="65" t="str">
        <f aca="false">IF($G540="Yes",$A540+ROW()/100000,"")</f>
        <v/>
      </c>
      <c r="I540" s="65" t="str">
        <f aca="false">IF(AND($D540&lt;&gt;"",$D540=UCSel),$A540+ROW()/100000,"")</f>
        <v/>
      </c>
    </row>
    <row r="541" customFormat="false" ht="15" hidden="false" customHeight="false" outlineLevel="0" collapsed="false">
      <c r="A541" s="63"/>
      <c r="B541" s="28"/>
      <c r="C541" s="28"/>
      <c r="D541" s="28"/>
      <c r="E541" s="64"/>
      <c r="F541" s="67" t="str">
        <f aca="false">IF($A541="","",$A541-WEEKDAY($A541,3))</f>
        <v/>
      </c>
      <c r="G541" s="65" t="str">
        <f aca="false">IF($A541="","",IF($F541=WeekStart,"Yes",""))</f>
        <v/>
      </c>
      <c r="H541" s="65" t="str">
        <f aca="false">IF($G541="Yes",$A541+ROW()/100000,"")</f>
        <v/>
      </c>
      <c r="I541" s="65" t="str">
        <f aca="false">IF(AND($D541&lt;&gt;"",$D541=UCSel),$A541+ROW()/100000,"")</f>
        <v/>
      </c>
    </row>
    <row r="542" customFormat="false" ht="15" hidden="false" customHeight="false" outlineLevel="0" collapsed="false">
      <c r="A542" s="63"/>
      <c r="B542" s="28"/>
      <c r="C542" s="28"/>
      <c r="D542" s="28"/>
      <c r="E542" s="64"/>
      <c r="F542" s="67" t="str">
        <f aca="false">IF($A542="","",$A542-WEEKDAY($A542,3))</f>
        <v/>
      </c>
      <c r="G542" s="65" t="str">
        <f aca="false">IF($A542="","",IF($F542=WeekStart,"Yes",""))</f>
        <v/>
      </c>
      <c r="H542" s="65" t="str">
        <f aca="false">IF($G542="Yes",$A542+ROW()/100000,"")</f>
        <v/>
      </c>
      <c r="I542" s="65" t="str">
        <f aca="false">IF(AND($D542&lt;&gt;"",$D542=UCSel),$A542+ROW()/100000,"")</f>
        <v/>
      </c>
    </row>
    <row r="543" customFormat="false" ht="15" hidden="false" customHeight="false" outlineLevel="0" collapsed="false">
      <c r="A543" s="63"/>
      <c r="B543" s="28"/>
      <c r="C543" s="28"/>
      <c r="D543" s="28"/>
      <c r="E543" s="64"/>
      <c r="F543" s="67" t="str">
        <f aca="false">IF($A543="","",$A543-WEEKDAY($A543,3))</f>
        <v/>
      </c>
      <c r="G543" s="65" t="str">
        <f aca="false">IF($A543="","",IF($F543=WeekStart,"Yes",""))</f>
        <v/>
      </c>
      <c r="H543" s="65" t="str">
        <f aca="false">IF($G543="Yes",$A543+ROW()/100000,"")</f>
        <v/>
      </c>
      <c r="I543" s="65" t="str">
        <f aca="false">IF(AND($D543&lt;&gt;"",$D543=UCSel),$A543+ROW()/100000,"")</f>
        <v/>
      </c>
    </row>
    <row r="544" customFormat="false" ht="15" hidden="false" customHeight="false" outlineLevel="0" collapsed="false">
      <c r="A544" s="63"/>
      <c r="B544" s="28"/>
      <c r="C544" s="28"/>
      <c r="D544" s="28"/>
      <c r="E544" s="64"/>
      <c r="F544" s="67" t="str">
        <f aca="false">IF($A544="","",$A544-WEEKDAY($A544,3))</f>
        <v/>
      </c>
      <c r="G544" s="65" t="str">
        <f aca="false">IF($A544="","",IF($F544=WeekStart,"Yes",""))</f>
        <v/>
      </c>
      <c r="H544" s="65" t="str">
        <f aca="false">IF($G544="Yes",$A544+ROW()/100000,"")</f>
        <v/>
      </c>
      <c r="I544" s="65" t="str">
        <f aca="false">IF(AND($D544&lt;&gt;"",$D544=UCSel),$A544+ROW()/100000,"")</f>
        <v/>
      </c>
    </row>
    <row r="545" customFormat="false" ht="15" hidden="false" customHeight="false" outlineLevel="0" collapsed="false">
      <c r="A545" s="63"/>
      <c r="B545" s="28"/>
      <c r="C545" s="28"/>
      <c r="D545" s="28"/>
      <c r="E545" s="64"/>
      <c r="F545" s="67" t="str">
        <f aca="false">IF($A545="","",$A545-WEEKDAY($A545,3))</f>
        <v/>
      </c>
      <c r="G545" s="65" t="str">
        <f aca="false">IF($A545="","",IF($F545=WeekStart,"Yes",""))</f>
        <v/>
      </c>
      <c r="H545" s="65" t="str">
        <f aca="false">IF($G545="Yes",$A545+ROW()/100000,"")</f>
        <v/>
      </c>
      <c r="I545" s="65" t="str">
        <f aca="false">IF(AND($D545&lt;&gt;"",$D545=UCSel),$A545+ROW()/100000,"")</f>
        <v/>
      </c>
    </row>
    <row r="546" customFormat="false" ht="15" hidden="false" customHeight="false" outlineLevel="0" collapsed="false">
      <c r="A546" s="63"/>
      <c r="B546" s="28"/>
      <c r="C546" s="28"/>
      <c r="D546" s="28"/>
      <c r="E546" s="64"/>
      <c r="F546" s="67" t="str">
        <f aca="false">IF($A546="","",$A546-WEEKDAY($A546,3))</f>
        <v/>
      </c>
      <c r="G546" s="65" t="str">
        <f aca="false">IF($A546="","",IF($F546=WeekStart,"Yes",""))</f>
        <v/>
      </c>
      <c r="H546" s="65" t="str">
        <f aca="false">IF($G546="Yes",$A546+ROW()/100000,"")</f>
        <v/>
      </c>
      <c r="I546" s="65" t="str">
        <f aca="false">IF(AND($D546&lt;&gt;"",$D546=UCSel),$A546+ROW()/100000,"")</f>
        <v/>
      </c>
    </row>
    <row r="547" customFormat="false" ht="15" hidden="false" customHeight="false" outlineLevel="0" collapsed="false">
      <c r="A547" s="63"/>
      <c r="B547" s="28"/>
      <c r="C547" s="28"/>
      <c r="D547" s="28"/>
      <c r="E547" s="64"/>
      <c r="F547" s="67" t="str">
        <f aca="false">IF($A547="","",$A547-WEEKDAY($A547,3))</f>
        <v/>
      </c>
      <c r="G547" s="65" t="str">
        <f aca="false">IF($A547="","",IF($F547=WeekStart,"Yes",""))</f>
        <v/>
      </c>
      <c r="H547" s="65" t="str">
        <f aca="false">IF($G547="Yes",$A547+ROW()/100000,"")</f>
        <v/>
      </c>
      <c r="I547" s="65" t="str">
        <f aca="false">IF(AND($D547&lt;&gt;"",$D547=UCSel),$A547+ROW()/100000,"")</f>
        <v/>
      </c>
    </row>
    <row r="548" customFormat="false" ht="15" hidden="false" customHeight="false" outlineLevel="0" collapsed="false">
      <c r="A548" s="63"/>
      <c r="B548" s="28"/>
      <c r="C548" s="28"/>
      <c r="D548" s="28"/>
      <c r="E548" s="64"/>
      <c r="F548" s="67" t="str">
        <f aca="false">IF($A548="","",$A548-WEEKDAY($A548,3))</f>
        <v/>
      </c>
      <c r="G548" s="65" t="str">
        <f aca="false">IF($A548="","",IF($F548=WeekStart,"Yes",""))</f>
        <v/>
      </c>
      <c r="H548" s="65" t="str">
        <f aca="false">IF($G548="Yes",$A548+ROW()/100000,"")</f>
        <v/>
      </c>
      <c r="I548" s="65" t="str">
        <f aca="false">IF(AND($D548&lt;&gt;"",$D548=UCSel),$A548+ROW()/100000,"")</f>
        <v/>
      </c>
    </row>
    <row r="549" customFormat="false" ht="15" hidden="false" customHeight="false" outlineLevel="0" collapsed="false">
      <c r="A549" s="63"/>
      <c r="B549" s="28"/>
      <c r="C549" s="28"/>
      <c r="D549" s="28"/>
      <c r="E549" s="64"/>
      <c r="F549" s="67" t="str">
        <f aca="false">IF($A549="","",$A549-WEEKDAY($A549,3))</f>
        <v/>
      </c>
      <c r="G549" s="65" t="str">
        <f aca="false">IF($A549="","",IF($F549=WeekStart,"Yes",""))</f>
        <v/>
      </c>
      <c r="H549" s="65" t="str">
        <f aca="false">IF($G549="Yes",$A549+ROW()/100000,"")</f>
        <v/>
      </c>
      <c r="I549" s="65" t="str">
        <f aca="false">IF(AND($D549&lt;&gt;"",$D549=UCSel),$A549+ROW()/100000,"")</f>
        <v/>
      </c>
    </row>
    <row r="550" customFormat="false" ht="15" hidden="false" customHeight="false" outlineLevel="0" collapsed="false">
      <c r="A550" s="63"/>
      <c r="B550" s="28"/>
      <c r="C550" s="28"/>
      <c r="D550" s="28"/>
      <c r="E550" s="64"/>
      <c r="F550" s="67" t="str">
        <f aca="false">IF($A550="","",$A550-WEEKDAY($A550,3))</f>
        <v/>
      </c>
      <c r="G550" s="65" t="str">
        <f aca="false">IF($A550="","",IF($F550=WeekStart,"Yes",""))</f>
        <v/>
      </c>
      <c r="H550" s="65" t="str">
        <f aca="false">IF($G550="Yes",$A550+ROW()/100000,"")</f>
        <v/>
      </c>
      <c r="I550" s="65" t="str">
        <f aca="false">IF(AND($D550&lt;&gt;"",$D550=UCSel),$A550+ROW()/100000,"")</f>
        <v/>
      </c>
    </row>
    <row r="551" customFormat="false" ht="15" hidden="false" customHeight="false" outlineLevel="0" collapsed="false">
      <c r="A551" s="63"/>
      <c r="B551" s="28"/>
      <c r="C551" s="28"/>
      <c r="D551" s="28"/>
      <c r="E551" s="64"/>
      <c r="F551" s="67" t="str">
        <f aca="false">IF($A551="","",$A551-WEEKDAY($A551,3))</f>
        <v/>
      </c>
      <c r="G551" s="65" t="str">
        <f aca="false">IF($A551="","",IF($F551=WeekStart,"Yes",""))</f>
        <v/>
      </c>
      <c r="H551" s="65" t="str">
        <f aca="false">IF($G551="Yes",$A551+ROW()/100000,"")</f>
        <v/>
      </c>
      <c r="I551" s="65" t="str">
        <f aca="false">IF(AND($D551&lt;&gt;"",$D551=UCSel),$A551+ROW()/100000,"")</f>
        <v/>
      </c>
    </row>
    <row r="552" customFormat="false" ht="15" hidden="false" customHeight="false" outlineLevel="0" collapsed="false">
      <c r="A552" s="63"/>
      <c r="B552" s="28"/>
      <c r="C552" s="28"/>
      <c r="D552" s="28"/>
      <c r="E552" s="64"/>
      <c r="F552" s="67" t="str">
        <f aca="false">IF($A552="","",$A552-WEEKDAY($A552,3))</f>
        <v/>
      </c>
      <c r="G552" s="65" t="str">
        <f aca="false">IF($A552="","",IF($F552=WeekStart,"Yes",""))</f>
        <v/>
      </c>
      <c r="H552" s="65" t="str">
        <f aca="false">IF($G552="Yes",$A552+ROW()/100000,"")</f>
        <v/>
      </c>
      <c r="I552" s="65" t="str">
        <f aca="false">IF(AND($D552&lt;&gt;"",$D552=UCSel),$A552+ROW()/100000,"")</f>
        <v/>
      </c>
    </row>
    <row r="553" customFormat="false" ht="15" hidden="false" customHeight="false" outlineLevel="0" collapsed="false">
      <c r="A553" s="63"/>
      <c r="B553" s="28"/>
      <c r="C553" s="28"/>
      <c r="D553" s="28"/>
      <c r="E553" s="64"/>
      <c r="F553" s="67" t="str">
        <f aca="false">IF($A553="","",$A553-WEEKDAY($A553,3))</f>
        <v/>
      </c>
      <c r="G553" s="65" t="str">
        <f aca="false">IF($A553="","",IF($F553=WeekStart,"Yes",""))</f>
        <v/>
      </c>
      <c r="H553" s="65" t="str">
        <f aca="false">IF($G553="Yes",$A553+ROW()/100000,"")</f>
        <v/>
      </c>
      <c r="I553" s="65" t="str">
        <f aca="false">IF(AND($D553&lt;&gt;"",$D553=UCSel),$A553+ROW()/100000,"")</f>
        <v/>
      </c>
    </row>
    <row r="554" customFormat="false" ht="15" hidden="false" customHeight="false" outlineLevel="0" collapsed="false">
      <c r="A554" s="63"/>
      <c r="B554" s="28"/>
      <c r="C554" s="28"/>
      <c r="D554" s="28"/>
      <c r="E554" s="64"/>
      <c r="F554" s="67" t="str">
        <f aca="false">IF($A554="","",$A554-WEEKDAY($A554,3))</f>
        <v/>
      </c>
      <c r="G554" s="65" t="str">
        <f aca="false">IF($A554="","",IF($F554=WeekStart,"Yes",""))</f>
        <v/>
      </c>
      <c r="H554" s="65" t="str">
        <f aca="false">IF($G554="Yes",$A554+ROW()/100000,"")</f>
        <v/>
      </c>
      <c r="I554" s="65" t="str">
        <f aca="false">IF(AND($D554&lt;&gt;"",$D554=UCSel),$A554+ROW()/100000,"")</f>
        <v/>
      </c>
    </row>
    <row r="555" customFormat="false" ht="15" hidden="false" customHeight="false" outlineLevel="0" collapsed="false">
      <c r="A555" s="63"/>
      <c r="B555" s="28"/>
      <c r="C555" s="28"/>
      <c r="D555" s="28"/>
      <c r="E555" s="64"/>
      <c r="F555" s="67" t="str">
        <f aca="false">IF($A555="","",$A555-WEEKDAY($A555,3))</f>
        <v/>
      </c>
      <c r="G555" s="65" t="str">
        <f aca="false">IF($A555="","",IF($F555=WeekStart,"Yes",""))</f>
        <v/>
      </c>
      <c r="H555" s="65" t="str">
        <f aca="false">IF($G555="Yes",$A555+ROW()/100000,"")</f>
        <v/>
      </c>
      <c r="I555" s="65" t="str">
        <f aca="false">IF(AND($D555&lt;&gt;"",$D555=UCSel),$A555+ROW()/100000,"")</f>
        <v/>
      </c>
    </row>
    <row r="556" customFormat="false" ht="15" hidden="false" customHeight="false" outlineLevel="0" collapsed="false">
      <c r="A556" s="63"/>
      <c r="B556" s="28"/>
      <c r="C556" s="28"/>
      <c r="D556" s="28"/>
      <c r="E556" s="64"/>
      <c r="F556" s="67" t="str">
        <f aca="false">IF($A556="","",$A556-WEEKDAY($A556,3))</f>
        <v/>
      </c>
      <c r="G556" s="65" t="str">
        <f aca="false">IF($A556="","",IF($F556=WeekStart,"Yes",""))</f>
        <v/>
      </c>
      <c r="H556" s="65" t="str">
        <f aca="false">IF($G556="Yes",$A556+ROW()/100000,"")</f>
        <v/>
      </c>
      <c r="I556" s="65" t="str">
        <f aca="false">IF(AND($D556&lt;&gt;"",$D556=UCSel),$A556+ROW()/100000,"")</f>
        <v/>
      </c>
    </row>
    <row r="557" customFormat="false" ht="15" hidden="false" customHeight="false" outlineLevel="0" collapsed="false">
      <c r="A557" s="63"/>
      <c r="B557" s="28"/>
      <c r="C557" s="28"/>
      <c r="D557" s="28"/>
      <c r="E557" s="64"/>
      <c r="F557" s="67" t="str">
        <f aca="false">IF($A557="","",$A557-WEEKDAY($A557,3))</f>
        <v/>
      </c>
      <c r="G557" s="65" t="str">
        <f aca="false">IF($A557="","",IF($F557=WeekStart,"Yes",""))</f>
        <v/>
      </c>
      <c r="H557" s="65" t="str">
        <f aca="false">IF($G557="Yes",$A557+ROW()/100000,"")</f>
        <v/>
      </c>
      <c r="I557" s="65" t="str">
        <f aca="false">IF(AND($D557&lt;&gt;"",$D557=UCSel),$A557+ROW()/100000,"")</f>
        <v/>
      </c>
    </row>
    <row r="558" customFormat="false" ht="15" hidden="false" customHeight="false" outlineLevel="0" collapsed="false">
      <c r="A558" s="63"/>
      <c r="B558" s="28"/>
      <c r="C558" s="28"/>
      <c r="D558" s="28"/>
      <c r="E558" s="64"/>
      <c r="F558" s="67" t="str">
        <f aca="false">IF($A558="","",$A558-WEEKDAY($A558,3))</f>
        <v/>
      </c>
      <c r="G558" s="65" t="str">
        <f aca="false">IF($A558="","",IF($F558=WeekStart,"Yes",""))</f>
        <v/>
      </c>
      <c r="H558" s="65" t="str">
        <f aca="false">IF($G558="Yes",$A558+ROW()/100000,"")</f>
        <v/>
      </c>
      <c r="I558" s="65" t="str">
        <f aca="false">IF(AND($D558&lt;&gt;"",$D558=UCSel),$A558+ROW()/100000,"")</f>
        <v/>
      </c>
    </row>
    <row r="559" customFormat="false" ht="15" hidden="false" customHeight="false" outlineLevel="0" collapsed="false">
      <c r="A559" s="63"/>
      <c r="B559" s="28"/>
      <c r="C559" s="28"/>
      <c r="D559" s="28"/>
      <c r="E559" s="64"/>
      <c r="F559" s="67" t="str">
        <f aca="false">IF($A559="","",$A559-WEEKDAY($A559,3))</f>
        <v/>
      </c>
      <c r="G559" s="65" t="str">
        <f aca="false">IF($A559="","",IF($F559=WeekStart,"Yes",""))</f>
        <v/>
      </c>
      <c r="H559" s="65" t="str">
        <f aca="false">IF($G559="Yes",$A559+ROW()/100000,"")</f>
        <v/>
      </c>
      <c r="I559" s="65" t="str">
        <f aca="false">IF(AND($D559&lt;&gt;"",$D559=UCSel),$A559+ROW()/100000,"")</f>
        <v/>
      </c>
    </row>
    <row r="560" customFormat="false" ht="15" hidden="false" customHeight="false" outlineLevel="0" collapsed="false">
      <c r="A560" s="63"/>
      <c r="B560" s="28"/>
      <c r="C560" s="28"/>
      <c r="D560" s="28"/>
      <c r="E560" s="64"/>
      <c r="F560" s="67" t="str">
        <f aca="false">IF($A560="","",$A560-WEEKDAY($A560,3))</f>
        <v/>
      </c>
      <c r="G560" s="65" t="str">
        <f aca="false">IF($A560="","",IF($F560=WeekStart,"Yes",""))</f>
        <v/>
      </c>
      <c r="H560" s="65" t="str">
        <f aca="false">IF($G560="Yes",$A560+ROW()/100000,"")</f>
        <v/>
      </c>
      <c r="I560" s="65" t="str">
        <f aca="false">IF(AND($D560&lt;&gt;"",$D560=UCSel),$A560+ROW()/100000,"")</f>
        <v/>
      </c>
    </row>
    <row r="561" customFormat="false" ht="15" hidden="false" customHeight="false" outlineLevel="0" collapsed="false">
      <c r="A561" s="63"/>
      <c r="B561" s="28"/>
      <c r="C561" s="28"/>
      <c r="D561" s="28"/>
      <c r="E561" s="64"/>
      <c r="F561" s="67" t="str">
        <f aca="false">IF($A561="","",$A561-WEEKDAY($A561,3))</f>
        <v/>
      </c>
      <c r="G561" s="65" t="str">
        <f aca="false">IF($A561="","",IF($F561=WeekStart,"Yes",""))</f>
        <v/>
      </c>
      <c r="H561" s="65" t="str">
        <f aca="false">IF($G561="Yes",$A561+ROW()/100000,"")</f>
        <v/>
      </c>
      <c r="I561" s="65" t="str">
        <f aca="false">IF(AND($D561&lt;&gt;"",$D561=UCSel),$A561+ROW()/100000,"")</f>
        <v/>
      </c>
    </row>
    <row r="562" customFormat="false" ht="15" hidden="false" customHeight="false" outlineLevel="0" collapsed="false">
      <c r="A562" s="63"/>
      <c r="B562" s="28"/>
      <c r="C562" s="28"/>
      <c r="D562" s="28"/>
      <c r="E562" s="64"/>
      <c r="F562" s="67" t="str">
        <f aca="false">IF($A562="","",$A562-WEEKDAY($A562,3))</f>
        <v/>
      </c>
      <c r="G562" s="65" t="str">
        <f aca="false">IF($A562="","",IF($F562=WeekStart,"Yes",""))</f>
        <v/>
      </c>
      <c r="H562" s="65" t="str">
        <f aca="false">IF($G562="Yes",$A562+ROW()/100000,"")</f>
        <v/>
      </c>
      <c r="I562" s="65" t="str">
        <f aca="false">IF(AND($D562&lt;&gt;"",$D562=UCSel),$A562+ROW()/100000,"")</f>
        <v/>
      </c>
    </row>
    <row r="563" customFormat="false" ht="15" hidden="false" customHeight="false" outlineLevel="0" collapsed="false">
      <c r="A563" s="63"/>
      <c r="B563" s="28"/>
      <c r="C563" s="28"/>
      <c r="D563" s="28"/>
      <c r="E563" s="64"/>
      <c r="F563" s="67" t="str">
        <f aca="false">IF($A563="","",$A563-WEEKDAY($A563,3))</f>
        <v/>
      </c>
      <c r="G563" s="65" t="str">
        <f aca="false">IF($A563="","",IF($F563=WeekStart,"Yes",""))</f>
        <v/>
      </c>
      <c r="H563" s="65" t="str">
        <f aca="false">IF($G563="Yes",$A563+ROW()/100000,"")</f>
        <v/>
      </c>
      <c r="I563" s="65" t="str">
        <f aca="false">IF(AND($D563&lt;&gt;"",$D563=UCSel),$A563+ROW()/100000,"")</f>
        <v/>
      </c>
    </row>
    <row r="564" customFormat="false" ht="15" hidden="false" customHeight="false" outlineLevel="0" collapsed="false">
      <c r="A564" s="63"/>
      <c r="B564" s="28"/>
      <c r="C564" s="28"/>
      <c r="D564" s="28"/>
      <c r="E564" s="64"/>
      <c r="F564" s="67" t="str">
        <f aca="false">IF($A564="","",$A564-WEEKDAY($A564,3))</f>
        <v/>
      </c>
      <c r="G564" s="65" t="str">
        <f aca="false">IF($A564="","",IF($F564=WeekStart,"Yes",""))</f>
        <v/>
      </c>
      <c r="H564" s="65" t="str">
        <f aca="false">IF($G564="Yes",$A564+ROW()/100000,"")</f>
        <v/>
      </c>
      <c r="I564" s="65" t="str">
        <f aca="false">IF(AND($D564&lt;&gt;"",$D564=UCSel),$A564+ROW()/100000,"")</f>
        <v/>
      </c>
    </row>
    <row r="565" customFormat="false" ht="15" hidden="false" customHeight="false" outlineLevel="0" collapsed="false">
      <c r="A565" s="63"/>
      <c r="B565" s="28"/>
      <c r="C565" s="28"/>
      <c r="D565" s="28"/>
      <c r="E565" s="64"/>
      <c r="F565" s="67" t="str">
        <f aca="false">IF($A565="","",$A565-WEEKDAY($A565,3))</f>
        <v/>
      </c>
      <c r="G565" s="65" t="str">
        <f aca="false">IF($A565="","",IF($F565=WeekStart,"Yes",""))</f>
        <v/>
      </c>
      <c r="H565" s="65" t="str">
        <f aca="false">IF($G565="Yes",$A565+ROW()/100000,"")</f>
        <v/>
      </c>
      <c r="I565" s="65" t="str">
        <f aca="false">IF(AND($D565&lt;&gt;"",$D565=UCSel),$A565+ROW()/100000,"")</f>
        <v/>
      </c>
    </row>
    <row r="566" customFormat="false" ht="15" hidden="false" customHeight="false" outlineLevel="0" collapsed="false">
      <c r="A566" s="63"/>
      <c r="B566" s="28"/>
      <c r="C566" s="28"/>
      <c r="D566" s="28"/>
      <c r="E566" s="64"/>
      <c r="F566" s="67" t="str">
        <f aca="false">IF($A566="","",$A566-WEEKDAY($A566,3))</f>
        <v/>
      </c>
      <c r="G566" s="65" t="str">
        <f aca="false">IF($A566="","",IF($F566=WeekStart,"Yes",""))</f>
        <v/>
      </c>
      <c r="H566" s="65" t="str">
        <f aca="false">IF($G566="Yes",$A566+ROW()/100000,"")</f>
        <v/>
      </c>
      <c r="I566" s="65" t="str">
        <f aca="false">IF(AND($D566&lt;&gt;"",$D566=UCSel),$A566+ROW()/100000,"")</f>
        <v/>
      </c>
    </row>
    <row r="567" customFormat="false" ht="15" hidden="false" customHeight="false" outlineLevel="0" collapsed="false">
      <c r="A567" s="63"/>
      <c r="B567" s="28"/>
      <c r="C567" s="28"/>
      <c r="D567" s="28"/>
      <c r="E567" s="64"/>
      <c r="F567" s="67" t="str">
        <f aca="false">IF($A567="","",$A567-WEEKDAY($A567,3))</f>
        <v/>
      </c>
      <c r="G567" s="65" t="str">
        <f aca="false">IF($A567="","",IF($F567=WeekStart,"Yes",""))</f>
        <v/>
      </c>
      <c r="H567" s="65" t="str">
        <f aca="false">IF($G567="Yes",$A567+ROW()/100000,"")</f>
        <v/>
      </c>
      <c r="I567" s="65" t="str">
        <f aca="false">IF(AND($D567&lt;&gt;"",$D567=UCSel),$A567+ROW()/100000,"")</f>
        <v/>
      </c>
    </row>
    <row r="568" customFormat="false" ht="15" hidden="false" customHeight="false" outlineLevel="0" collapsed="false">
      <c r="A568" s="63"/>
      <c r="B568" s="28"/>
      <c r="C568" s="28"/>
      <c r="D568" s="28"/>
      <c r="E568" s="64"/>
      <c r="F568" s="67" t="str">
        <f aca="false">IF($A568="","",$A568-WEEKDAY($A568,3))</f>
        <v/>
      </c>
      <c r="G568" s="65" t="str">
        <f aca="false">IF($A568="","",IF($F568=WeekStart,"Yes",""))</f>
        <v/>
      </c>
      <c r="H568" s="65" t="str">
        <f aca="false">IF($G568="Yes",$A568+ROW()/100000,"")</f>
        <v/>
      </c>
      <c r="I568" s="65" t="str">
        <f aca="false">IF(AND($D568&lt;&gt;"",$D568=UCSel),$A568+ROW()/100000,"")</f>
        <v/>
      </c>
    </row>
    <row r="569" customFormat="false" ht="15" hidden="false" customHeight="false" outlineLevel="0" collapsed="false">
      <c r="A569" s="63"/>
      <c r="B569" s="28"/>
      <c r="C569" s="28"/>
      <c r="D569" s="28"/>
      <c r="E569" s="64"/>
      <c r="F569" s="67" t="str">
        <f aca="false">IF($A569="","",$A569-WEEKDAY($A569,3))</f>
        <v/>
      </c>
      <c r="G569" s="65" t="str">
        <f aca="false">IF($A569="","",IF($F569=WeekStart,"Yes",""))</f>
        <v/>
      </c>
      <c r="H569" s="65" t="str">
        <f aca="false">IF($G569="Yes",$A569+ROW()/100000,"")</f>
        <v/>
      </c>
      <c r="I569" s="65" t="str">
        <f aca="false">IF(AND($D569&lt;&gt;"",$D569=UCSel),$A569+ROW()/100000,"")</f>
        <v/>
      </c>
    </row>
    <row r="570" customFormat="false" ht="15" hidden="false" customHeight="false" outlineLevel="0" collapsed="false">
      <c r="A570" s="63"/>
      <c r="B570" s="28"/>
      <c r="C570" s="28"/>
      <c r="D570" s="28"/>
      <c r="E570" s="64"/>
      <c r="F570" s="67" t="str">
        <f aca="false">IF($A570="","",$A570-WEEKDAY($A570,3))</f>
        <v/>
      </c>
      <c r="G570" s="65" t="str">
        <f aca="false">IF($A570="","",IF($F570=WeekStart,"Yes",""))</f>
        <v/>
      </c>
      <c r="H570" s="65" t="str">
        <f aca="false">IF($G570="Yes",$A570+ROW()/100000,"")</f>
        <v/>
      </c>
      <c r="I570" s="65" t="str">
        <f aca="false">IF(AND($D570&lt;&gt;"",$D570=UCSel),$A570+ROW()/100000,"")</f>
        <v/>
      </c>
    </row>
    <row r="571" customFormat="false" ht="15" hidden="false" customHeight="false" outlineLevel="0" collapsed="false">
      <c r="A571" s="63"/>
      <c r="B571" s="28"/>
      <c r="C571" s="28"/>
      <c r="D571" s="28"/>
      <c r="E571" s="64"/>
      <c r="F571" s="67" t="str">
        <f aca="false">IF($A571="","",$A571-WEEKDAY($A571,3))</f>
        <v/>
      </c>
      <c r="G571" s="65" t="str">
        <f aca="false">IF($A571="","",IF($F571=WeekStart,"Yes",""))</f>
        <v/>
      </c>
      <c r="H571" s="65" t="str">
        <f aca="false">IF($G571="Yes",$A571+ROW()/100000,"")</f>
        <v/>
      </c>
      <c r="I571" s="65" t="str">
        <f aca="false">IF(AND($D571&lt;&gt;"",$D571=UCSel),$A571+ROW()/100000,"")</f>
        <v/>
      </c>
    </row>
    <row r="572" customFormat="false" ht="15" hidden="false" customHeight="false" outlineLevel="0" collapsed="false">
      <c r="A572" s="63"/>
      <c r="B572" s="28"/>
      <c r="C572" s="28"/>
      <c r="D572" s="28"/>
      <c r="E572" s="64"/>
      <c r="F572" s="67" t="str">
        <f aca="false">IF($A572="","",$A572-WEEKDAY($A572,3))</f>
        <v/>
      </c>
      <c r="G572" s="65" t="str">
        <f aca="false">IF($A572="","",IF($F572=WeekStart,"Yes",""))</f>
        <v/>
      </c>
      <c r="H572" s="65" t="str">
        <f aca="false">IF($G572="Yes",$A572+ROW()/100000,"")</f>
        <v/>
      </c>
      <c r="I572" s="65" t="str">
        <f aca="false">IF(AND($D572&lt;&gt;"",$D572=UCSel),$A572+ROW()/100000,"")</f>
        <v/>
      </c>
    </row>
    <row r="573" customFormat="false" ht="15" hidden="false" customHeight="false" outlineLevel="0" collapsed="false">
      <c r="A573" s="63"/>
      <c r="B573" s="28"/>
      <c r="C573" s="28"/>
      <c r="D573" s="28"/>
      <c r="E573" s="64"/>
      <c r="F573" s="67" t="str">
        <f aca="false">IF($A573="","",$A573-WEEKDAY($A573,3))</f>
        <v/>
      </c>
      <c r="G573" s="65" t="str">
        <f aca="false">IF($A573="","",IF($F573=WeekStart,"Yes",""))</f>
        <v/>
      </c>
      <c r="H573" s="65" t="str">
        <f aca="false">IF($G573="Yes",$A573+ROW()/100000,"")</f>
        <v/>
      </c>
      <c r="I573" s="65" t="str">
        <f aca="false">IF(AND($D573&lt;&gt;"",$D573=UCSel),$A573+ROW()/100000,"")</f>
        <v/>
      </c>
    </row>
    <row r="574" customFormat="false" ht="15" hidden="false" customHeight="false" outlineLevel="0" collapsed="false">
      <c r="A574" s="63"/>
      <c r="B574" s="28"/>
      <c r="C574" s="28"/>
      <c r="D574" s="28"/>
      <c r="E574" s="64"/>
      <c r="F574" s="67" t="str">
        <f aca="false">IF($A574="","",$A574-WEEKDAY($A574,3))</f>
        <v/>
      </c>
      <c r="G574" s="65" t="str">
        <f aca="false">IF($A574="","",IF($F574=WeekStart,"Yes",""))</f>
        <v/>
      </c>
      <c r="H574" s="65" t="str">
        <f aca="false">IF($G574="Yes",$A574+ROW()/100000,"")</f>
        <v/>
      </c>
      <c r="I574" s="65" t="str">
        <f aca="false">IF(AND($D574&lt;&gt;"",$D574=UCSel),$A574+ROW()/100000,"")</f>
        <v/>
      </c>
    </row>
    <row r="575" customFormat="false" ht="15" hidden="false" customHeight="false" outlineLevel="0" collapsed="false">
      <c r="A575" s="63"/>
      <c r="B575" s="28"/>
      <c r="C575" s="28"/>
      <c r="D575" s="28"/>
      <c r="E575" s="64"/>
      <c r="F575" s="67" t="str">
        <f aca="false">IF($A575="","",$A575-WEEKDAY($A575,3))</f>
        <v/>
      </c>
      <c r="G575" s="65" t="str">
        <f aca="false">IF($A575="","",IF($F575=WeekStart,"Yes",""))</f>
        <v/>
      </c>
      <c r="H575" s="65" t="str">
        <f aca="false">IF($G575="Yes",$A575+ROW()/100000,"")</f>
        <v/>
      </c>
      <c r="I575" s="65" t="str">
        <f aca="false">IF(AND($D575&lt;&gt;"",$D575=UCSel),$A575+ROW()/100000,"")</f>
        <v/>
      </c>
    </row>
    <row r="576" customFormat="false" ht="15" hidden="false" customHeight="false" outlineLevel="0" collapsed="false">
      <c r="A576" s="63"/>
      <c r="B576" s="28"/>
      <c r="C576" s="28"/>
      <c r="D576" s="28"/>
      <c r="E576" s="64"/>
      <c r="F576" s="67" t="str">
        <f aca="false">IF($A576="","",$A576-WEEKDAY($A576,3))</f>
        <v/>
      </c>
      <c r="G576" s="65" t="str">
        <f aca="false">IF($A576="","",IF($F576=WeekStart,"Yes",""))</f>
        <v/>
      </c>
      <c r="H576" s="65" t="str">
        <f aca="false">IF($G576="Yes",$A576+ROW()/100000,"")</f>
        <v/>
      </c>
      <c r="I576" s="65" t="str">
        <f aca="false">IF(AND($D576&lt;&gt;"",$D576=UCSel),$A576+ROW()/100000,"")</f>
        <v/>
      </c>
    </row>
    <row r="577" customFormat="false" ht="15" hidden="false" customHeight="false" outlineLevel="0" collapsed="false">
      <c r="A577" s="63"/>
      <c r="B577" s="28"/>
      <c r="C577" s="28"/>
      <c r="D577" s="28"/>
      <c r="E577" s="64"/>
      <c r="F577" s="67" t="str">
        <f aca="false">IF($A577="","",$A577-WEEKDAY($A577,3))</f>
        <v/>
      </c>
      <c r="G577" s="65" t="str">
        <f aca="false">IF($A577="","",IF($F577=WeekStart,"Yes",""))</f>
        <v/>
      </c>
      <c r="H577" s="65" t="str">
        <f aca="false">IF($G577="Yes",$A577+ROW()/100000,"")</f>
        <v/>
      </c>
      <c r="I577" s="65" t="str">
        <f aca="false">IF(AND($D577&lt;&gt;"",$D577=UCSel),$A577+ROW()/100000,"")</f>
        <v/>
      </c>
    </row>
    <row r="578" customFormat="false" ht="15" hidden="false" customHeight="false" outlineLevel="0" collapsed="false">
      <c r="A578" s="63"/>
      <c r="B578" s="28"/>
      <c r="C578" s="28"/>
      <c r="D578" s="28"/>
      <c r="E578" s="64"/>
      <c r="F578" s="67" t="str">
        <f aca="false">IF($A578="","",$A578-WEEKDAY($A578,3))</f>
        <v/>
      </c>
      <c r="G578" s="65" t="str">
        <f aca="false">IF($A578="","",IF($F578=WeekStart,"Yes",""))</f>
        <v/>
      </c>
      <c r="H578" s="65" t="str">
        <f aca="false">IF($G578="Yes",$A578+ROW()/100000,"")</f>
        <v/>
      </c>
      <c r="I578" s="65" t="str">
        <f aca="false">IF(AND($D578&lt;&gt;"",$D578=UCSel),$A578+ROW()/100000,"")</f>
        <v/>
      </c>
    </row>
    <row r="579" customFormat="false" ht="15" hidden="false" customHeight="false" outlineLevel="0" collapsed="false">
      <c r="A579" s="63"/>
      <c r="B579" s="28"/>
      <c r="C579" s="28"/>
      <c r="D579" s="28"/>
      <c r="E579" s="64"/>
      <c r="F579" s="67" t="str">
        <f aca="false">IF($A579="","",$A579-WEEKDAY($A579,3))</f>
        <v/>
      </c>
      <c r="G579" s="65" t="str">
        <f aca="false">IF($A579="","",IF($F579=WeekStart,"Yes",""))</f>
        <v/>
      </c>
      <c r="H579" s="65" t="str">
        <f aca="false">IF($G579="Yes",$A579+ROW()/100000,"")</f>
        <v/>
      </c>
      <c r="I579" s="65" t="str">
        <f aca="false">IF(AND($D579&lt;&gt;"",$D579=UCSel),$A579+ROW()/100000,"")</f>
        <v/>
      </c>
    </row>
    <row r="580" customFormat="false" ht="15" hidden="false" customHeight="false" outlineLevel="0" collapsed="false">
      <c r="A580" s="63"/>
      <c r="B580" s="28"/>
      <c r="C580" s="28"/>
      <c r="D580" s="28"/>
      <c r="E580" s="64"/>
      <c r="F580" s="67" t="str">
        <f aca="false">IF($A580="","",$A580-WEEKDAY($A580,3))</f>
        <v/>
      </c>
      <c r="G580" s="65" t="str">
        <f aca="false">IF($A580="","",IF($F580=WeekStart,"Yes",""))</f>
        <v/>
      </c>
      <c r="H580" s="65" t="str">
        <f aca="false">IF($G580="Yes",$A580+ROW()/100000,"")</f>
        <v/>
      </c>
      <c r="I580" s="65" t="str">
        <f aca="false">IF(AND($D580&lt;&gt;"",$D580=UCSel),$A580+ROW()/100000,"")</f>
        <v/>
      </c>
    </row>
    <row r="581" customFormat="false" ht="15" hidden="false" customHeight="false" outlineLevel="0" collapsed="false">
      <c r="A581" s="63"/>
      <c r="B581" s="28"/>
      <c r="C581" s="28"/>
      <c r="D581" s="28"/>
      <c r="E581" s="64"/>
      <c r="F581" s="67" t="str">
        <f aca="false">IF($A581="","",$A581-WEEKDAY($A581,3))</f>
        <v/>
      </c>
      <c r="G581" s="65" t="str">
        <f aca="false">IF($A581="","",IF($F581=WeekStart,"Yes",""))</f>
        <v/>
      </c>
      <c r="H581" s="65" t="str">
        <f aca="false">IF($G581="Yes",$A581+ROW()/100000,"")</f>
        <v/>
      </c>
      <c r="I581" s="65" t="str">
        <f aca="false">IF(AND($D581&lt;&gt;"",$D581=UCSel),$A581+ROW()/100000,"")</f>
        <v/>
      </c>
    </row>
    <row r="582" customFormat="false" ht="15" hidden="false" customHeight="false" outlineLevel="0" collapsed="false">
      <c r="A582" s="63"/>
      <c r="B582" s="28"/>
      <c r="C582" s="28"/>
      <c r="D582" s="28"/>
      <c r="E582" s="64"/>
      <c r="F582" s="67" t="str">
        <f aca="false">IF($A582="","",$A582-WEEKDAY($A582,3))</f>
        <v/>
      </c>
      <c r="G582" s="65" t="str">
        <f aca="false">IF($A582="","",IF($F582=WeekStart,"Yes",""))</f>
        <v/>
      </c>
      <c r="H582" s="65" t="str">
        <f aca="false">IF($G582="Yes",$A582+ROW()/100000,"")</f>
        <v/>
      </c>
      <c r="I582" s="65" t="str">
        <f aca="false">IF(AND($D582&lt;&gt;"",$D582=UCSel),$A582+ROW()/100000,"")</f>
        <v/>
      </c>
    </row>
    <row r="583" customFormat="false" ht="15" hidden="false" customHeight="false" outlineLevel="0" collapsed="false">
      <c r="A583" s="63"/>
      <c r="B583" s="28"/>
      <c r="C583" s="28"/>
      <c r="D583" s="28"/>
      <c r="E583" s="64"/>
      <c r="F583" s="67" t="str">
        <f aca="false">IF($A583="","",$A583-WEEKDAY($A583,3))</f>
        <v/>
      </c>
      <c r="G583" s="65" t="str">
        <f aca="false">IF($A583="","",IF($F583=WeekStart,"Yes",""))</f>
        <v/>
      </c>
      <c r="H583" s="65" t="str">
        <f aca="false">IF($G583="Yes",$A583+ROW()/100000,"")</f>
        <v/>
      </c>
      <c r="I583" s="65" t="str">
        <f aca="false">IF(AND($D583&lt;&gt;"",$D583=UCSel),$A583+ROW()/100000,"")</f>
        <v/>
      </c>
    </row>
    <row r="584" customFormat="false" ht="15" hidden="false" customHeight="false" outlineLevel="0" collapsed="false">
      <c r="A584" s="63"/>
      <c r="B584" s="28"/>
      <c r="C584" s="28"/>
      <c r="D584" s="28"/>
      <c r="E584" s="64"/>
      <c r="F584" s="67" t="str">
        <f aca="false">IF($A584="","",$A584-WEEKDAY($A584,3))</f>
        <v/>
      </c>
      <c r="G584" s="65" t="str">
        <f aca="false">IF($A584="","",IF($F584=WeekStart,"Yes",""))</f>
        <v/>
      </c>
      <c r="H584" s="65" t="str">
        <f aca="false">IF($G584="Yes",$A584+ROW()/100000,"")</f>
        <v/>
      </c>
      <c r="I584" s="65" t="str">
        <f aca="false">IF(AND($D584&lt;&gt;"",$D584=UCSel),$A584+ROW()/100000,"")</f>
        <v/>
      </c>
    </row>
    <row r="585" customFormat="false" ht="15" hidden="false" customHeight="false" outlineLevel="0" collapsed="false">
      <c r="A585" s="63"/>
      <c r="B585" s="28"/>
      <c r="C585" s="28"/>
      <c r="D585" s="28"/>
      <c r="E585" s="64"/>
      <c r="F585" s="67" t="str">
        <f aca="false">IF($A585="","",$A585-WEEKDAY($A585,3))</f>
        <v/>
      </c>
      <c r="G585" s="65" t="str">
        <f aca="false">IF($A585="","",IF($F585=WeekStart,"Yes",""))</f>
        <v/>
      </c>
      <c r="H585" s="65" t="str">
        <f aca="false">IF($G585="Yes",$A585+ROW()/100000,"")</f>
        <v/>
      </c>
      <c r="I585" s="65" t="str">
        <f aca="false">IF(AND($D585&lt;&gt;"",$D585=UCSel),$A585+ROW()/100000,"")</f>
        <v/>
      </c>
    </row>
    <row r="586" customFormat="false" ht="15" hidden="false" customHeight="false" outlineLevel="0" collapsed="false">
      <c r="A586" s="63"/>
      <c r="B586" s="28"/>
      <c r="C586" s="28"/>
      <c r="D586" s="28"/>
      <c r="E586" s="64"/>
      <c r="F586" s="67" t="str">
        <f aca="false">IF($A586="","",$A586-WEEKDAY($A586,3))</f>
        <v/>
      </c>
      <c r="G586" s="65" t="str">
        <f aca="false">IF($A586="","",IF($F586=WeekStart,"Yes",""))</f>
        <v/>
      </c>
      <c r="H586" s="65" t="str">
        <f aca="false">IF($G586="Yes",$A586+ROW()/100000,"")</f>
        <v/>
      </c>
      <c r="I586" s="65" t="str">
        <f aca="false">IF(AND($D586&lt;&gt;"",$D586=UCSel),$A586+ROW()/100000,"")</f>
        <v/>
      </c>
    </row>
    <row r="587" customFormat="false" ht="15" hidden="false" customHeight="false" outlineLevel="0" collapsed="false">
      <c r="A587" s="63"/>
      <c r="B587" s="28"/>
      <c r="C587" s="28"/>
      <c r="D587" s="28"/>
      <c r="E587" s="64"/>
      <c r="F587" s="67" t="str">
        <f aca="false">IF($A587="","",$A587-WEEKDAY($A587,3))</f>
        <v/>
      </c>
      <c r="G587" s="65" t="str">
        <f aca="false">IF($A587="","",IF($F587=WeekStart,"Yes",""))</f>
        <v/>
      </c>
      <c r="H587" s="65" t="str">
        <f aca="false">IF($G587="Yes",$A587+ROW()/100000,"")</f>
        <v/>
      </c>
      <c r="I587" s="65" t="str">
        <f aca="false">IF(AND($D587&lt;&gt;"",$D587=UCSel),$A587+ROW()/100000,"")</f>
        <v/>
      </c>
    </row>
    <row r="588" customFormat="false" ht="15" hidden="false" customHeight="false" outlineLevel="0" collapsed="false">
      <c r="A588" s="63"/>
      <c r="B588" s="28"/>
      <c r="C588" s="28"/>
      <c r="D588" s="28"/>
      <c r="E588" s="64"/>
      <c r="F588" s="67" t="str">
        <f aca="false">IF($A588="","",$A588-WEEKDAY($A588,3))</f>
        <v/>
      </c>
      <c r="G588" s="65" t="str">
        <f aca="false">IF($A588="","",IF($F588=WeekStart,"Yes",""))</f>
        <v/>
      </c>
      <c r="H588" s="65" t="str">
        <f aca="false">IF($G588="Yes",$A588+ROW()/100000,"")</f>
        <v/>
      </c>
      <c r="I588" s="65" t="str">
        <f aca="false">IF(AND($D588&lt;&gt;"",$D588=UCSel),$A588+ROW()/100000,"")</f>
        <v/>
      </c>
    </row>
    <row r="589" customFormat="false" ht="15" hidden="false" customHeight="false" outlineLevel="0" collapsed="false">
      <c r="A589" s="63"/>
      <c r="B589" s="28"/>
      <c r="C589" s="28"/>
      <c r="D589" s="28"/>
      <c r="E589" s="64"/>
      <c r="F589" s="67" t="str">
        <f aca="false">IF($A589="","",$A589-WEEKDAY($A589,3))</f>
        <v/>
      </c>
      <c r="G589" s="65" t="str">
        <f aca="false">IF($A589="","",IF($F589=WeekStart,"Yes",""))</f>
        <v/>
      </c>
      <c r="H589" s="65" t="str">
        <f aca="false">IF($G589="Yes",$A589+ROW()/100000,"")</f>
        <v/>
      </c>
      <c r="I589" s="65" t="str">
        <f aca="false">IF(AND($D589&lt;&gt;"",$D589=UCSel),$A589+ROW()/100000,"")</f>
        <v/>
      </c>
    </row>
    <row r="590" customFormat="false" ht="15" hidden="false" customHeight="false" outlineLevel="0" collapsed="false">
      <c r="A590" s="63"/>
      <c r="B590" s="28"/>
      <c r="C590" s="28"/>
      <c r="D590" s="28"/>
      <c r="E590" s="64"/>
      <c r="F590" s="67" t="str">
        <f aca="false">IF($A590="","",$A590-WEEKDAY($A590,3))</f>
        <v/>
      </c>
      <c r="G590" s="65" t="str">
        <f aca="false">IF($A590="","",IF($F590=WeekStart,"Yes",""))</f>
        <v/>
      </c>
      <c r="H590" s="65" t="str">
        <f aca="false">IF($G590="Yes",$A590+ROW()/100000,"")</f>
        <v/>
      </c>
      <c r="I590" s="65" t="str">
        <f aca="false">IF(AND($D590&lt;&gt;"",$D590=UCSel),$A590+ROW()/100000,"")</f>
        <v/>
      </c>
    </row>
    <row r="591" customFormat="false" ht="15" hidden="false" customHeight="false" outlineLevel="0" collapsed="false">
      <c r="A591" s="63"/>
      <c r="B591" s="28"/>
      <c r="C591" s="28"/>
      <c r="D591" s="28"/>
      <c r="E591" s="64"/>
      <c r="F591" s="67" t="str">
        <f aca="false">IF($A591="","",$A591-WEEKDAY($A591,3))</f>
        <v/>
      </c>
      <c r="G591" s="65" t="str">
        <f aca="false">IF($A591="","",IF($F591=WeekStart,"Yes",""))</f>
        <v/>
      </c>
      <c r="H591" s="65" t="str">
        <f aca="false">IF($G591="Yes",$A591+ROW()/100000,"")</f>
        <v/>
      </c>
      <c r="I591" s="65" t="str">
        <f aca="false">IF(AND($D591&lt;&gt;"",$D591=UCSel),$A591+ROW()/100000,"")</f>
        <v/>
      </c>
    </row>
    <row r="592" customFormat="false" ht="15" hidden="false" customHeight="false" outlineLevel="0" collapsed="false">
      <c r="A592" s="63"/>
      <c r="B592" s="28"/>
      <c r="C592" s="28"/>
      <c r="D592" s="28"/>
      <c r="E592" s="64"/>
      <c r="F592" s="67" t="str">
        <f aca="false">IF($A592="","",$A592-WEEKDAY($A592,3))</f>
        <v/>
      </c>
      <c r="G592" s="65" t="str">
        <f aca="false">IF($A592="","",IF($F592=WeekStart,"Yes",""))</f>
        <v/>
      </c>
      <c r="H592" s="65" t="str">
        <f aca="false">IF($G592="Yes",$A592+ROW()/100000,"")</f>
        <v/>
      </c>
      <c r="I592" s="65" t="str">
        <f aca="false">IF(AND($D592&lt;&gt;"",$D592=UCSel),$A592+ROW()/100000,"")</f>
        <v/>
      </c>
    </row>
    <row r="593" customFormat="false" ht="15" hidden="false" customHeight="false" outlineLevel="0" collapsed="false">
      <c r="A593" s="63"/>
      <c r="B593" s="28"/>
      <c r="C593" s="28"/>
      <c r="D593" s="28"/>
      <c r="E593" s="64"/>
      <c r="F593" s="67" t="str">
        <f aca="false">IF($A593="","",$A593-WEEKDAY($A593,3))</f>
        <v/>
      </c>
      <c r="G593" s="65" t="str">
        <f aca="false">IF($A593="","",IF($F593=WeekStart,"Yes",""))</f>
        <v/>
      </c>
      <c r="H593" s="65" t="str">
        <f aca="false">IF($G593="Yes",$A593+ROW()/100000,"")</f>
        <v/>
      </c>
      <c r="I593" s="65" t="str">
        <f aca="false">IF(AND($D593&lt;&gt;"",$D593=UCSel),$A593+ROW()/100000,"")</f>
        <v/>
      </c>
    </row>
    <row r="594" customFormat="false" ht="15" hidden="false" customHeight="false" outlineLevel="0" collapsed="false">
      <c r="A594" s="63"/>
      <c r="B594" s="28"/>
      <c r="C594" s="28"/>
      <c r="D594" s="28"/>
      <c r="E594" s="64"/>
      <c r="F594" s="67" t="str">
        <f aca="false">IF($A594="","",$A594-WEEKDAY($A594,3))</f>
        <v/>
      </c>
      <c r="G594" s="65" t="str">
        <f aca="false">IF($A594="","",IF($F594=WeekStart,"Yes",""))</f>
        <v/>
      </c>
      <c r="H594" s="65" t="str">
        <f aca="false">IF($G594="Yes",$A594+ROW()/100000,"")</f>
        <v/>
      </c>
      <c r="I594" s="65" t="str">
        <f aca="false">IF(AND($D594&lt;&gt;"",$D594=UCSel),$A594+ROW()/100000,"")</f>
        <v/>
      </c>
    </row>
    <row r="595" customFormat="false" ht="15" hidden="false" customHeight="false" outlineLevel="0" collapsed="false">
      <c r="A595" s="63"/>
      <c r="B595" s="28"/>
      <c r="C595" s="28"/>
      <c r="D595" s="28"/>
      <c r="E595" s="64"/>
      <c r="F595" s="67" t="str">
        <f aca="false">IF($A595="","",$A595-WEEKDAY($A595,3))</f>
        <v/>
      </c>
      <c r="G595" s="65" t="str">
        <f aca="false">IF($A595="","",IF($F595=WeekStart,"Yes",""))</f>
        <v/>
      </c>
      <c r="H595" s="65" t="str">
        <f aca="false">IF($G595="Yes",$A595+ROW()/100000,"")</f>
        <v/>
      </c>
      <c r="I595" s="65" t="str">
        <f aca="false">IF(AND($D595&lt;&gt;"",$D595=UCSel),$A595+ROW()/100000,"")</f>
        <v/>
      </c>
    </row>
    <row r="596" customFormat="false" ht="15" hidden="false" customHeight="false" outlineLevel="0" collapsed="false">
      <c r="A596" s="63"/>
      <c r="B596" s="28"/>
      <c r="C596" s="28"/>
      <c r="D596" s="28"/>
      <c r="E596" s="64"/>
      <c r="F596" s="67" t="str">
        <f aca="false">IF($A596="","",$A596-WEEKDAY($A596,3))</f>
        <v/>
      </c>
      <c r="G596" s="65" t="str">
        <f aca="false">IF($A596="","",IF($F596=WeekStart,"Yes",""))</f>
        <v/>
      </c>
      <c r="H596" s="65" t="str">
        <f aca="false">IF($G596="Yes",$A596+ROW()/100000,"")</f>
        <v/>
      </c>
      <c r="I596" s="65" t="str">
        <f aca="false">IF(AND($D596&lt;&gt;"",$D596=UCSel),$A596+ROW()/100000,"")</f>
        <v/>
      </c>
    </row>
    <row r="597" customFormat="false" ht="15" hidden="false" customHeight="false" outlineLevel="0" collapsed="false">
      <c r="A597" s="63"/>
      <c r="B597" s="28"/>
      <c r="C597" s="28"/>
      <c r="D597" s="28"/>
      <c r="E597" s="64"/>
      <c r="F597" s="67" t="str">
        <f aca="false">IF($A597="","",$A597-WEEKDAY($A597,3))</f>
        <v/>
      </c>
      <c r="G597" s="65" t="str">
        <f aca="false">IF($A597="","",IF($F597=WeekStart,"Yes",""))</f>
        <v/>
      </c>
      <c r="H597" s="65" t="str">
        <f aca="false">IF($G597="Yes",$A597+ROW()/100000,"")</f>
        <v/>
      </c>
      <c r="I597" s="65" t="str">
        <f aca="false">IF(AND($D597&lt;&gt;"",$D597=UCSel),$A597+ROW()/100000,"")</f>
        <v/>
      </c>
    </row>
    <row r="598" customFormat="false" ht="15" hidden="false" customHeight="false" outlineLevel="0" collapsed="false">
      <c r="A598" s="63"/>
      <c r="B598" s="28"/>
      <c r="C598" s="28"/>
      <c r="D598" s="28"/>
      <c r="E598" s="64"/>
      <c r="F598" s="67" t="str">
        <f aca="false">IF($A598="","",$A598-WEEKDAY($A598,3))</f>
        <v/>
      </c>
      <c r="G598" s="65" t="str">
        <f aca="false">IF($A598="","",IF($F598=WeekStart,"Yes",""))</f>
        <v/>
      </c>
      <c r="H598" s="65" t="str">
        <f aca="false">IF($G598="Yes",$A598+ROW()/100000,"")</f>
        <v/>
      </c>
      <c r="I598" s="65" t="str">
        <f aca="false">IF(AND($D598&lt;&gt;"",$D598=UCSel),$A598+ROW()/100000,"")</f>
        <v/>
      </c>
    </row>
    <row r="599" customFormat="false" ht="15" hidden="false" customHeight="false" outlineLevel="0" collapsed="false">
      <c r="A599" s="63"/>
      <c r="B599" s="28"/>
      <c r="C599" s="28"/>
      <c r="D599" s="28"/>
      <c r="E599" s="64"/>
      <c r="F599" s="67" t="str">
        <f aca="false">IF($A599="","",$A599-WEEKDAY($A599,3))</f>
        <v/>
      </c>
      <c r="G599" s="65" t="str">
        <f aca="false">IF($A599="","",IF($F599=WeekStart,"Yes",""))</f>
        <v/>
      </c>
      <c r="H599" s="65" t="str">
        <f aca="false">IF($G599="Yes",$A599+ROW()/100000,"")</f>
        <v/>
      </c>
      <c r="I599" s="65" t="str">
        <f aca="false">IF(AND($D599&lt;&gt;"",$D599=UCSel),$A599+ROW()/100000,"")</f>
        <v/>
      </c>
    </row>
    <row r="600" customFormat="false" ht="15" hidden="false" customHeight="false" outlineLevel="0" collapsed="false">
      <c r="A600" s="63"/>
      <c r="B600" s="28"/>
      <c r="C600" s="28"/>
      <c r="D600" s="28"/>
      <c r="E600" s="64"/>
      <c r="F600" s="67" t="str">
        <f aca="false">IF($A600="","",$A600-WEEKDAY($A600,3))</f>
        <v/>
      </c>
      <c r="G600" s="65" t="str">
        <f aca="false">IF($A600="","",IF($F600=WeekStart,"Yes",""))</f>
        <v/>
      </c>
      <c r="H600" s="65" t="str">
        <f aca="false">IF($G600="Yes",$A600+ROW()/100000,"")</f>
        <v/>
      </c>
      <c r="I600" s="65" t="str">
        <f aca="false">IF(AND($D600&lt;&gt;"",$D600=UCSel),$A600+ROW()/100000,"")</f>
        <v/>
      </c>
    </row>
    <row r="601" customFormat="false" ht="15" hidden="false" customHeight="false" outlineLevel="0" collapsed="false">
      <c r="A601" s="63"/>
      <c r="B601" s="28"/>
      <c r="C601" s="28"/>
      <c r="D601" s="28"/>
      <c r="E601" s="64"/>
      <c r="F601" s="67" t="str">
        <f aca="false">IF($A601="","",$A601-WEEKDAY($A601,3))</f>
        <v/>
      </c>
      <c r="G601" s="65" t="str">
        <f aca="false">IF($A601="","",IF($F601=WeekStart,"Yes",""))</f>
        <v/>
      </c>
      <c r="H601" s="65" t="str">
        <f aca="false">IF($G601="Yes",$A601+ROW()/100000,"")</f>
        <v/>
      </c>
      <c r="I601" s="65" t="str">
        <f aca="false">IF(AND($D601&lt;&gt;"",$D601=UCSel),$A601+ROW()/100000,"")</f>
        <v/>
      </c>
    </row>
    <row r="602" customFormat="false" ht="15" hidden="false" customHeight="false" outlineLevel="0" collapsed="false">
      <c r="A602" s="63"/>
      <c r="B602" s="28"/>
      <c r="C602" s="28"/>
      <c r="D602" s="28"/>
      <c r="E602" s="64"/>
      <c r="F602" s="67" t="str">
        <f aca="false">IF($A602="","",$A602-WEEKDAY($A602,3))</f>
        <v/>
      </c>
      <c r="G602" s="65" t="str">
        <f aca="false">IF($A602="","",IF($F602=WeekStart,"Yes",""))</f>
        <v/>
      </c>
      <c r="H602" s="65" t="str">
        <f aca="false">IF($G602="Yes",$A602+ROW()/100000,"")</f>
        <v/>
      </c>
      <c r="I602" s="65" t="str">
        <f aca="false">IF(AND($D602&lt;&gt;"",$D602=UCSel),$A602+ROW()/100000,"")</f>
        <v/>
      </c>
    </row>
    <row r="603" customFormat="false" ht="15" hidden="false" customHeight="false" outlineLevel="0" collapsed="false">
      <c r="A603" s="63"/>
      <c r="B603" s="28"/>
      <c r="C603" s="28"/>
      <c r="D603" s="28"/>
      <c r="E603" s="64"/>
      <c r="F603" s="67" t="str">
        <f aca="false">IF($A603="","",$A603-WEEKDAY($A603,3))</f>
        <v/>
      </c>
      <c r="G603" s="65" t="str">
        <f aca="false">IF($A603="","",IF($F603=WeekStart,"Yes",""))</f>
        <v/>
      </c>
      <c r="H603" s="65" t="str">
        <f aca="false">IF($G603="Yes",$A603+ROW()/100000,"")</f>
        <v/>
      </c>
      <c r="I603" s="65" t="str">
        <f aca="false">IF(AND($D603&lt;&gt;"",$D603=UCSel),$A603+ROW()/100000,"")</f>
        <v/>
      </c>
    </row>
    <row r="604" customFormat="false" ht="15" hidden="false" customHeight="false" outlineLevel="0" collapsed="false">
      <c r="A604" s="63"/>
      <c r="B604" s="28"/>
      <c r="C604" s="28"/>
      <c r="D604" s="28"/>
      <c r="E604" s="64"/>
      <c r="F604" s="67" t="str">
        <f aca="false">IF($A604="","",$A604-WEEKDAY($A604,3))</f>
        <v/>
      </c>
      <c r="G604" s="65" t="str">
        <f aca="false">IF($A604="","",IF($F604=WeekStart,"Yes",""))</f>
        <v/>
      </c>
      <c r="H604" s="65" t="str">
        <f aca="false">IF($G604="Yes",$A604+ROW()/100000,"")</f>
        <v/>
      </c>
      <c r="I604" s="65" t="str">
        <f aca="false">IF(AND($D604&lt;&gt;"",$D604=UCSel),$A604+ROW()/100000,"")</f>
        <v/>
      </c>
    </row>
    <row r="605" customFormat="false" ht="15" hidden="false" customHeight="false" outlineLevel="0" collapsed="false">
      <c r="A605" s="63"/>
      <c r="B605" s="28"/>
      <c r="C605" s="28"/>
      <c r="D605" s="28"/>
      <c r="E605" s="64"/>
      <c r="F605" s="67" t="str">
        <f aca="false">IF($A605="","",$A605-WEEKDAY($A605,3))</f>
        <v/>
      </c>
      <c r="G605" s="65" t="str">
        <f aca="false">IF($A605="","",IF($F605=WeekStart,"Yes",""))</f>
        <v/>
      </c>
      <c r="H605" s="65" t="str">
        <f aca="false">IF($G605="Yes",$A605+ROW()/100000,"")</f>
        <v/>
      </c>
      <c r="I605" s="65" t="str">
        <f aca="false">IF(AND($D605&lt;&gt;"",$D605=UCSel),$A605+ROW()/100000,"")</f>
        <v/>
      </c>
    </row>
    <row r="606" customFormat="false" ht="15" hidden="false" customHeight="false" outlineLevel="0" collapsed="false">
      <c r="A606" s="63"/>
      <c r="B606" s="28"/>
      <c r="C606" s="28"/>
      <c r="D606" s="28"/>
      <c r="E606" s="64"/>
      <c r="F606" s="67" t="str">
        <f aca="false">IF($A606="","",$A606-WEEKDAY($A606,3))</f>
        <v/>
      </c>
      <c r="G606" s="65" t="str">
        <f aca="false">IF($A606="","",IF($F606=WeekStart,"Yes",""))</f>
        <v/>
      </c>
      <c r="H606" s="65" t="str">
        <f aca="false">IF($G606="Yes",$A606+ROW()/100000,"")</f>
        <v/>
      </c>
      <c r="I606" s="65" t="str">
        <f aca="false">IF(AND($D606&lt;&gt;"",$D606=UCSel),$A606+ROW()/100000,"")</f>
        <v/>
      </c>
    </row>
    <row r="607" customFormat="false" ht="15" hidden="false" customHeight="false" outlineLevel="0" collapsed="false">
      <c r="A607" s="63"/>
      <c r="B607" s="28"/>
      <c r="C607" s="28"/>
      <c r="D607" s="28"/>
      <c r="E607" s="64"/>
      <c r="F607" s="67" t="str">
        <f aca="false">IF($A607="","",$A607-WEEKDAY($A607,3))</f>
        <v/>
      </c>
      <c r="G607" s="65" t="str">
        <f aca="false">IF($A607="","",IF($F607=WeekStart,"Yes",""))</f>
        <v/>
      </c>
      <c r="H607" s="65" t="str">
        <f aca="false">IF($G607="Yes",$A607+ROW()/100000,"")</f>
        <v/>
      </c>
      <c r="I607" s="65" t="str">
        <f aca="false">IF(AND($D607&lt;&gt;"",$D607=UCSel),$A607+ROW()/100000,"")</f>
        <v/>
      </c>
    </row>
    <row r="608" customFormat="false" ht="15" hidden="false" customHeight="false" outlineLevel="0" collapsed="false">
      <c r="A608" s="63"/>
      <c r="B608" s="28"/>
      <c r="C608" s="28"/>
      <c r="D608" s="28"/>
      <c r="E608" s="64"/>
      <c r="F608" s="67" t="str">
        <f aca="false">IF($A608="","",$A608-WEEKDAY($A608,3))</f>
        <v/>
      </c>
      <c r="G608" s="65" t="str">
        <f aca="false">IF($A608="","",IF($F608=WeekStart,"Yes",""))</f>
        <v/>
      </c>
      <c r="H608" s="65" t="str">
        <f aca="false">IF($G608="Yes",$A608+ROW()/100000,"")</f>
        <v/>
      </c>
      <c r="I608" s="65" t="str">
        <f aca="false">IF(AND($D608&lt;&gt;"",$D608=UCSel),$A608+ROW()/100000,"")</f>
        <v/>
      </c>
    </row>
    <row r="609" customFormat="false" ht="15" hidden="false" customHeight="false" outlineLevel="0" collapsed="false">
      <c r="A609" s="63"/>
      <c r="B609" s="28"/>
      <c r="C609" s="28"/>
      <c r="D609" s="28"/>
      <c r="E609" s="64"/>
      <c r="F609" s="67" t="str">
        <f aca="false">IF($A609="","",$A609-WEEKDAY($A609,3))</f>
        <v/>
      </c>
      <c r="G609" s="65" t="str">
        <f aca="false">IF($A609="","",IF($F609=WeekStart,"Yes",""))</f>
        <v/>
      </c>
      <c r="H609" s="65" t="str">
        <f aca="false">IF($G609="Yes",$A609+ROW()/100000,"")</f>
        <v/>
      </c>
      <c r="I609" s="65" t="str">
        <f aca="false">IF(AND($D609&lt;&gt;"",$D609=UCSel),$A609+ROW()/100000,"")</f>
        <v/>
      </c>
    </row>
    <row r="610" customFormat="false" ht="15" hidden="false" customHeight="false" outlineLevel="0" collapsed="false">
      <c r="A610" s="63"/>
      <c r="B610" s="28"/>
      <c r="C610" s="28"/>
      <c r="D610" s="28"/>
      <c r="E610" s="64"/>
      <c r="F610" s="67" t="str">
        <f aca="false">IF($A610="","",$A610-WEEKDAY($A610,3))</f>
        <v/>
      </c>
      <c r="G610" s="65" t="str">
        <f aca="false">IF($A610="","",IF($F610=WeekStart,"Yes",""))</f>
        <v/>
      </c>
      <c r="H610" s="65" t="str">
        <f aca="false">IF($G610="Yes",$A610+ROW()/100000,"")</f>
        <v/>
      </c>
      <c r="I610" s="65" t="str">
        <f aca="false">IF(AND($D610&lt;&gt;"",$D610=UCSel),$A610+ROW()/100000,"")</f>
        <v/>
      </c>
    </row>
    <row r="611" customFormat="false" ht="15" hidden="false" customHeight="false" outlineLevel="0" collapsed="false">
      <c r="A611" s="63"/>
      <c r="B611" s="28"/>
      <c r="C611" s="28"/>
      <c r="D611" s="28"/>
      <c r="E611" s="64"/>
      <c r="F611" s="67" t="str">
        <f aca="false">IF($A611="","",$A611-WEEKDAY($A611,3))</f>
        <v/>
      </c>
      <c r="G611" s="65" t="str">
        <f aca="false">IF($A611="","",IF($F611=WeekStart,"Yes",""))</f>
        <v/>
      </c>
      <c r="H611" s="65" t="str">
        <f aca="false">IF($G611="Yes",$A611+ROW()/100000,"")</f>
        <v/>
      </c>
      <c r="I611" s="65" t="str">
        <f aca="false">IF(AND($D611&lt;&gt;"",$D611=UCSel),$A611+ROW()/100000,"")</f>
        <v/>
      </c>
    </row>
    <row r="612" customFormat="false" ht="15" hidden="false" customHeight="false" outlineLevel="0" collapsed="false">
      <c r="A612" s="63"/>
      <c r="B612" s="28"/>
      <c r="C612" s="28"/>
      <c r="D612" s="28"/>
      <c r="E612" s="64"/>
      <c r="F612" s="67" t="str">
        <f aca="false">IF($A612="","",$A612-WEEKDAY($A612,3))</f>
        <v/>
      </c>
      <c r="G612" s="65" t="str">
        <f aca="false">IF($A612="","",IF($F612=WeekStart,"Yes",""))</f>
        <v/>
      </c>
      <c r="H612" s="65" t="str">
        <f aca="false">IF($G612="Yes",$A612+ROW()/100000,"")</f>
        <v/>
      </c>
      <c r="I612" s="65" t="str">
        <f aca="false">IF(AND($D612&lt;&gt;"",$D612=UCSel),$A612+ROW()/100000,"")</f>
        <v/>
      </c>
    </row>
    <row r="613" customFormat="false" ht="15" hidden="false" customHeight="false" outlineLevel="0" collapsed="false">
      <c r="A613" s="63"/>
      <c r="B613" s="28"/>
      <c r="C613" s="28"/>
      <c r="D613" s="28"/>
      <c r="E613" s="64"/>
      <c r="F613" s="67" t="str">
        <f aca="false">IF($A613="","",$A613-WEEKDAY($A613,3))</f>
        <v/>
      </c>
      <c r="G613" s="65" t="str">
        <f aca="false">IF($A613="","",IF($F613=WeekStart,"Yes",""))</f>
        <v/>
      </c>
      <c r="H613" s="65" t="str">
        <f aca="false">IF($G613="Yes",$A613+ROW()/100000,"")</f>
        <v/>
      </c>
      <c r="I613" s="65" t="str">
        <f aca="false">IF(AND($D613&lt;&gt;"",$D613=UCSel),$A613+ROW()/100000,"")</f>
        <v/>
      </c>
    </row>
    <row r="614" customFormat="false" ht="15" hidden="false" customHeight="false" outlineLevel="0" collapsed="false">
      <c r="A614" s="63"/>
      <c r="B614" s="28"/>
      <c r="C614" s="28"/>
      <c r="D614" s="28"/>
      <c r="E614" s="64"/>
      <c r="F614" s="67" t="str">
        <f aca="false">IF($A614="","",$A614-WEEKDAY($A614,3))</f>
        <v/>
      </c>
      <c r="G614" s="65" t="str">
        <f aca="false">IF($A614="","",IF($F614=WeekStart,"Yes",""))</f>
        <v/>
      </c>
      <c r="H614" s="65" t="str">
        <f aca="false">IF($G614="Yes",$A614+ROW()/100000,"")</f>
        <v/>
      </c>
      <c r="I614" s="65" t="str">
        <f aca="false">IF(AND($D614&lt;&gt;"",$D614=UCSel),$A614+ROW()/100000,"")</f>
        <v/>
      </c>
    </row>
    <row r="615" customFormat="false" ht="15" hidden="false" customHeight="false" outlineLevel="0" collapsed="false">
      <c r="A615" s="63"/>
      <c r="B615" s="28"/>
      <c r="C615" s="28"/>
      <c r="D615" s="28"/>
      <c r="E615" s="64"/>
      <c r="F615" s="67" t="str">
        <f aca="false">IF($A615="","",$A615-WEEKDAY($A615,3))</f>
        <v/>
      </c>
      <c r="G615" s="65" t="str">
        <f aca="false">IF($A615="","",IF($F615=WeekStart,"Yes",""))</f>
        <v/>
      </c>
      <c r="H615" s="65" t="str">
        <f aca="false">IF($G615="Yes",$A615+ROW()/100000,"")</f>
        <v/>
      </c>
      <c r="I615" s="65" t="str">
        <f aca="false">IF(AND($D615&lt;&gt;"",$D615=UCSel),$A615+ROW()/100000,"")</f>
        <v/>
      </c>
    </row>
    <row r="616" customFormat="false" ht="15" hidden="false" customHeight="false" outlineLevel="0" collapsed="false">
      <c r="A616" s="63"/>
      <c r="B616" s="28"/>
      <c r="C616" s="28"/>
      <c r="D616" s="28"/>
      <c r="E616" s="64"/>
      <c r="F616" s="67" t="str">
        <f aca="false">IF($A616="","",$A616-WEEKDAY($A616,3))</f>
        <v/>
      </c>
      <c r="G616" s="65" t="str">
        <f aca="false">IF($A616="","",IF($F616=WeekStart,"Yes",""))</f>
        <v/>
      </c>
      <c r="H616" s="65" t="str">
        <f aca="false">IF($G616="Yes",$A616+ROW()/100000,"")</f>
        <v/>
      </c>
      <c r="I616" s="65" t="str">
        <f aca="false">IF(AND($D616&lt;&gt;"",$D616=UCSel),$A616+ROW()/100000,"")</f>
        <v/>
      </c>
    </row>
    <row r="617" customFormat="false" ht="15" hidden="false" customHeight="false" outlineLevel="0" collapsed="false">
      <c r="A617" s="63"/>
      <c r="B617" s="28"/>
      <c r="C617" s="28"/>
      <c r="D617" s="28"/>
      <c r="E617" s="64"/>
      <c r="F617" s="67" t="str">
        <f aca="false">IF($A617="","",$A617-WEEKDAY($A617,3))</f>
        <v/>
      </c>
      <c r="G617" s="65" t="str">
        <f aca="false">IF($A617="","",IF($F617=WeekStart,"Yes",""))</f>
        <v/>
      </c>
      <c r="H617" s="65" t="str">
        <f aca="false">IF($G617="Yes",$A617+ROW()/100000,"")</f>
        <v/>
      </c>
      <c r="I617" s="65" t="str">
        <f aca="false">IF(AND($D617&lt;&gt;"",$D617=UCSel),$A617+ROW()/100000,"")</f>
        <v/>
      </c>
    </row>
    <row r="618" customFormat="false" ht="15" hidden="false" customHeight="false" outlineLevel="0" collapsed="false">
      <c r="A618" s="63"/>
      <c r="B618" s="28"/>
      <c r="C618" s="28"/>
      <c r="D618" s="28"/>
      <c r="E618" s="64"/>
      <c r="F618" s="67" t="str">
        <f aca="false">IF($A618="","",$A618-WEEKDAY($A618,3))</f>
        <v/>
      </c>
      <c r="G618" s="65" t="str">
        <f aca="false">IF($A618="","",IF($F618=WeekStart,"Yes",""))</f>
        <v/>
      </c>
      <c r="H618" s="65" t="str">
        <f aca="false">IF($G618="Yes",$A618+ROW()/100000,"")</f>
        <v/>
      </c>
      <c r="I618" s="65" t="str">
        <f aca="false">IF(AND($D618&lt;&gt;"",$D618=UCSel),$A618+ROW()/100000,"")</f>
        <v/>
      </c>
    </row>
    <row r="619" customFormat="false" ht="15" hidden="false" customHeight="false" outlineLevel="0" collapsed="false">
      <c r="A619" s="63"/>
      <c r="B619" s="28"/>
      <c r="C619" s="28"/>
      <c r="D619" s="28"/>
      <c r="E619" s="64"/>
      <c r="F619" s="67" t="str">
        <f aca="false">IF($A619="","",$A619-WEEKDAY($A619,3))</f>
        <v/>
      </c>
      <c r="G619" s="65" t="str">
        <f aca="false">IF($A619="","",IF($F619=WeekStart,"Yes",""))</f>
        <v/>
      </c>
      <c r="H619" s="65" t="str">
        <f aca="false">IF($G619="Yes",$A619+ROW()/100000,"")</f>
        <v/>
      </c>
      <c r="I619" s="65" t="str">
        <f aca="false">IF(AND($D619&lt;&gt;"",$D619=UCSel),$A619+ROW()/100000,"")</f>
        <v/>
      </c>
    </row>
    <row r="620" customFormat="false" ht="15" hidden="false" customHeight="false" outlineLevel="0" collapsed="false">
      <c r="A620" s="63"/>
      <c r="B620" s="28"/>
      <c r="C620" s="28"/>
      <c r="D620" s="28"/>
      <c r="E620" s="64"/>
      <c r="F620" s="67" t="str">
        <f aca="false">IF($A620="","",$A620-WEEKDAY($A620,3))</f>
        <v/>
      </c>
      <c r="G620" s="65" t="str">
        <f aca="false">IF($A620="","",IF($F620=WeekStart,"Yes",""))</f>
        <v/>
      </c>
      <c r="H620" s="65" t="str">
        <f aca="false">IF($G620="Yes",$A620+ROW()/100000,"")</f>
        <v/>
      </c>
      <c r="I620" s="65" t="str">
        <f aca="false">IF(AND($D620&lt;&gt;"",$D620=UCSel),$A620+ROW()/100000,"")</f>
        <v/>
      </c>
    </row>
    <row r="621" customFormat="false" ht="15" hidden="false" customHeight="false" outlineLevel="0" collapsed="false">
      <c r="A621" s="63"/>
      <c r="B621" s="28"/>
      <c r="C621" s="28"/>
      <c r="D621" s="28"/>
      <c r="E621" s="64"/>
      <c r="F621" s="67" t="str">
        <f aca="false">IF($A621="","",$A621-WEEKDAY($A621,3))</f>
        <v/>
      </c>
      <c r="G621" s="65" t="str">
        <f aca="false">IF($A621="","",IF($F621=WeekStart,"Yes",""))</f>
        <v/>
      </c>
      <c r="H621" s="65" t="str">
        <f aca="false">IF($G621="Yes",$A621+ROW()/100000,"")</f>
        <v/>
      </c>
      <c r="I621" s="65" t="str">
        <f aca="false">IF(AND($D621&lt;&gt;"",$D621=UCSel),$A621+ROW()/100000,"")</f>
        <v/>
      </c>
    </row>
    <row r="622" customFormat="false" ht="15" hidden="false" customHeight="false" outlineLevel="0" collapsed="false">
      <c r="A622" s="63"/>
      <c r="B622" s="28"/>
      <c r="C622" s="28"/>
      <c r="D622" s="28"/>
      <c r="E622" s="64"/>
      <c r="F622" s="67" t="str">
        <f aca="false">IF($A622="","",$A622-WEEKDAY($A622,3))</f>
        <v/>
      </c>
      <c r="G622" s="65" t="str">
        <f aca="false">IF($A622="","",IF($F622=WeekStart,"Yes",""))</f>
        <v/>
      </c>
      <c r="H622" s="65" t="str">
        <f aca="false">IF($G622="Yes",$A622+ROW()/100000,"")</f>
        <v/>
      </c>
      <c r="I622" s="65" t="str">
        <f aca="false">IF(AND($D622&lt;&gt;"",$D622=UCSel),$A622+ROW()/100000,"")</f>
        <v/>
      </c>
    </row>
    <row r="623" customFormat="false" ht="15" hidden="false" customHeight="false" outlineLevel="0" collapsed="false">
      <c r="A623" s="63"/>
      <c r="B623" s="28"/>
      <c r="C623" s="28"/>
      <c r="D623" s="28"/>
      <c r="E623" s="64"/>
      <c r="F623" s="67" t="str">
        <f aca="false">IF($A623="","",$A623-WEEKDAY($A623,3))</f>
        <v/>
      </c>
      <c r="G623" s="65" t="str">
        <f aca="false">IF($A623="","",IF($F623=WeekStart,"Yes",""))</f>
        <v/>
      </c>
      <c r="H623" s="65" t="str">
        <f aca="false">IF($G623="Yes",$A623+ROW()/100000,"")</f>
        <v/>
      </c>
      <c r="I623" s="65" t="str">
        <f aca="false">IF(AND($D623&lt;&gt;"",$D623=UCSel),$A623+ROW()/100000,"")</f>
        <v/>
      </c>
    </row>
    <row r="624" customFormat="false" ht="15" hidden="false" customHeight="false" outlineLevel="0" collapsed="false">
      <c r="A624" s="63"/>
      <c r="B624" s="28"/>
      <c r="C624" s="28"/>
      <c r="D624" s="28"/>
      <c r="E624" s="64"/>
      <c r="F624" s="67" t="str">
        <f aca="false">IF($A624="","",$A624-WEEKDAY($A624,3))</f>
        <v/>
      </c>
      <c r="G624" s="65" t="str">
        <f aca="false">IF($A624="","",IF($F624=WeekStart,"Yes",""))</f>
        <v/>
      </c>
      <c r="H624" s="65" t="str">
        <f aca="false">IF($G624="Yes",$A624+ROW()/100000,"")</f>
        <v/>
      </c>
      <c r="I624" s="65" t="str">
        <f aca="false">IF(AND($D624&lt;&gt;"",$D624=UCSel),$A624+ROW()/100000,"")</f>
        <v/>
      </c>
    </row>
    <row r="625" customFormat="false" ht="15" hidden="false" customHeight="false" outlineLevel="0" collapsed="false">
      <c r="A625" s="63"/>
      <c r="B625" s="28"/>
      <c r="C625" s="28"/>
      <c r="D625" s="28"/>
      <c r="E625" s="64"/>
      <c r="F625" s="67" t="str">
        <f aca="false">IF($A625="","",$A625-WEEKDAY($A625,3))</f>
        <v/>
      </c>
      <c r="G625" s="65" t="str">
        <f aca="false">IF($A625="","",IF($F625=WeekStart,"Yes",""))</f>
        <v/>
      </c>
      <c r="H625" s="65" t="str">
        <f aca="false">IF($G625="Yes",$A625+ROW()/100000,"")</f>
        <v/>
      </c>
      <c r="I625" s="65" t="str">
        <f aca="false">IF(AND($D625&lt;&gt;"",$D625=UCSel),$A625+ROW()/100000,"")</f>
        <v/>
      </c>
    </row>
    <row r="626" customFormat="false" ht="15" hidden="false" customHeight="false" outlineLevel="0" collapsed="false">
      <c r="A626" s="63"/>
      <c r="B626" s="28"/>
      <c r="C626" s="28"/>
      <c r="D626" s="28"/>
      <c r="E626" s="64"/>
      <c r="F626" s="67" t="str">
        <f aca="false">IF($A626="","",$A626-WEEKDAY($A626,3))</f>
        <v/>
      </c>
      <c r="G626" s="65" t="str">
        <f aca="false">IF($A626="","",IF($F626=WeekStart,"Yes",""))</f>
        <v/>
      </c>
      <c r="H626" s="65" t="str">
        <f aca="false">IF($G626="Yes",$A626+ROW()/100000,"")</f>
        <v/>
      </c>
      <c r="I626" s="65" t="str">
        <f aca="false">IF(AND($D626&lt;&gt;"",$D626=UCSel),$A626+ROW()/100000,"")</f>
        <v/>
      </c>
    </row>
    <row r="627" customFormat="false" ht="15" hidden="false" customHeight="false" outlineLevel="0" collapsed="false">
      <c r="A627" s="63"/>
      <c r="B627" s="28"/>
      <c r="C627" s="28"/>
      <c r="D627" s="28"/>
      <c r="E627" s="64"/>
      <c r="F627" s="67" t="str">
        <f aca="false">IF($A627="","",$A627-WEEKDAY($A627,3))</f>
        <v/>
      </c>
      <c r="G627" s="65" t="str">
        <f aca="false">IF($A627="","",IF($F627=WeekStart,"Yes",""))</f>
        <v/>
      </c>
      <c r="H627" s="65" t="str">
        <f aca="false">IF($G627="Yes",$A627+ROW()/100000,"")</f>
        <v/>
      </c>
      <c r="I627" s="65" t="str">
        <f aca="false">IF(AND($D627&lt;&gt;"",$D627=UCSel),$A627+ROW()/100000,"")</f>
        <v/>
      </c>
    </row>
    <row r="628" customFormat="false" ht="15" hidden="false" customHeight="false" outlineLevel="0" collapsed="false">
      <c r="A628" s="63"/>
      <c r="B628" s="28"/>
      <c r="C628" s="28"/>
      <c r="D628" s="28"/>
      <c r="E628" s="64"/>
      <c r="F628" s="67" t="str">
        <f aca="false">IF($A628="","",$A628-WEEKDAY($A628,3))</f>
        <v/>
      </c>
      <c r="G628" s="65" t="str">
        <f aca="false">IF($A628="","",IF($F628=WeekStart,"Yes",""))</f>
        <v/>
      </c>
      <c r="H628" s="65" t="str">
        <f aca="false">IF($G628="Yes",$A628+ROW()/100000,"")</f>
        <v/>
      </c>
      <c r="I628" s="65" t="str">
        <f aca="false">IF(AND($D628&lt;&gt;"",$D628=UCSel),$A628+ROW()/100000,"")</f>
        <v/>
      </c>
    </row>
    <row r="629" customFormat="false" ht="15" hidden="false" customHeight="false" outlineLevel="0" collapsed="false">
      <c r="A629" s="63"/>
      <c r="B629" s="28"/>
      <c r="C629" s="28"/>
      <c r="D629" s="28"/>
      <c r="E629" s="64"/>
      <c r="F629" s="67" t="str">
        <f aca="false">IF($A629="","",$A629-WEEKDAY($A629,3))</f>
        <v/>
      </c>
      <c r="G629" s="65" t="str">
        <f aca="false">IF($A629="","",IF($F629=WeekStart,"Yes",""))</f>
        <v/>
      </c>
      <c r="H629" s="65" t="str">
        <f aca="false">IF($G629="Yes",$A629+ROW()/100000,"")</f>
        <v/>
      </c>
      <c r="I629" s="65" t="str">
        <f aca="false">IF(AND($D629&lt;&gt;"",$D629=UCSel),$A629+ROW()/100000,"")</f>
        <v/>
      </c>
    </row>
    <row r="630" customFormat="false" ht="15" hidden="false" customHeight="false" outlineLevel="0" collapsed="false">
      <c r="A630" s="63"/>
      <c r="B630" s="28"/>
      <c r="C630" s="28"/>
      <c r="D630" s="28"/>
      <c r="E630" s="64"/>
      <c r="F630" s="67" t="str">
        <f aca="false">IF($A630="","",$A630-WEEKDAY($A630,3))</f>
        <v/>
      </c>
      <c r="G630" s="65" t="str">
        <f aca="false">IF($A630="","",IF($F630=WeekStart,"Yes",""))</f>
        <v/>
      </c>
      <c r="H630" s="65" t="str">
        <f aca="false">IF($G630="Yes",$A630+ROW()/100000,"")</f>
        <v/>
      </c>
      <c r="I630" s="65" t="str">
        <f aca="false">IF(AND($D630&lt;&gt;"",$D630=UCSel),$A630+ROW()/100000,"")</f>
        <v/>
      </c>
    </row>
    <row r="631" customFormat="false" ht="15" hidden="false" customHeight="false" outlineLevel="0" collapsed="false">
      <c r="A631" s="63"/>
      <c r="B631" s="28"/>
      <c r="C631" s="28"/>
      <c r="D631" s="28"/>
      <c r="E631" s="64"/>
      <c r="F631" s="67" t="str">
        <f aca="false">IF($A631="","",$A631-WEEKDAY($A631,3))</f>
        <v/>
      </c>
      <c r="G631" s="65" t="str">
        <f aca="false">IF($A631="","",IF($F631=WeekStart,"Yes",""))</f>
        <v/>
      </c>
      <c r="H631" s="65" t="str">
        <f aca="false">IF($G631="Yes",$A631+ROW()/100000,"")</f>
        <v/>
      </c>
      <c r="I631" s="65" t="str">
        <f aca="false">IF(AND($D631&lt;&gt;"",$D631=UCSel),$A631+ROW()/100000,"")</f>
        <v/>
      </c>
    </row>
    <row r="632" customFormat="false" ht="15" hidden="false" customHeight="false" outlineLevel="0" collapsed="false">
      <c r="A632" s="63"/>
      <c r="B632" s="28"/>
      <c r="C632" s="28"/>
      <c r="D632" s="28"/>
      <c r="E632" s="64"/>
      <c r="F632" s="67" t="str">
        <f aca="false">IF($A632="","",$A632-WEEKDAY($A632,3))</f>
        <v/>
      </c>
      <c r="G632" s="65" t="str">
        <f aca="false">IF($A632="","",IF($F632=WeekStart,"Yes",""))</f>
        <v/>
      </c>
      <c r="H632" s="65" t="str">
        <f aca="false">IF($G632="Yes",$A632+ROW()/100000,"")</f>
        <v/>
      </c>
      <c r="I632" s="65" t="str">
        <f aca="false">IF(AND($D632&lt;&gt;"",$D632=UCSel),$A632+ROW()/100000,"")</f>
        <v/>
      </c>
    </row>
    <row r="633" customFormat="false" ht="15" hidden="false" customHeight="false" outlineLevel="0" collapsed="false">
      <c r="A633" s="63"/>
      <c r="B633" s="28"/>
      <c r="C633" s="28"/>
      <c r="D633" s="28"/>
      <c r="E633" s="64"/>
      <c r="F633" s="67" t="str">
        <f aca="false">IF($A633="","",$A633-WEEKDAY($A633,3))</f>
        <v/>
      </c>
      <c r="G633" s="65" t="str">
        <f aca="false">IF($A633="","",IF($F633=WeekStart,"Yes",""))</f>
        <v/>
      </c>
      <c r="H633" s="65" t="str">
        <f aca="false">IF($G633="Yes",$A633+ROW()/100000,"")</f>
        <v/>
      </c>
      <c r="I633" s="65" t="str">
        <f aca="false">IF(AND($D633&lt;&gt;"",$D633=UCSel),$A633+ROW()/100000,"")</f>
        <v/>
      </c>
    </row>
    <row r="634" customFormat="false" ht="15" hidden="false" customHeight="false" outlineLevel="0" collapsed="false">
      <c r="A634" s="63"/>
      <c r="B634" s="28"/>
      <c r="C634" s="28"/>
      <c r="D634" s="28"/>
      <c r="E634" s="64"/>
      <c r="F634" s="67" t="str">
        <f aca="false">IF($A634="","",$A634-WEEKDAY($A634,3))</f>
        <v/>
      </c>
      <c r="G634" s="65" t="str">
        <f aca="false">IF($A634="","",IF($F634=WeekStart,"Yes",""))</f>
        <v/>
      </c>
      <c r="H634" s="65" t="str">
        <f aca="false">IF($G634="Yes",$A634+ROW()/100000,"")</f>
        <v/>
      </c>
      <c r="I634" s="65" t="str">
        <f aca="false">IF(AND($D634&lt;&gt;"",$D634=UCSel),$A634+ROW()/100000,"")</f>
        <v/>
      </c>
    </row>
    <row r="635" customFormat="false" ht="15" hidden="false" customHeight="false" outlineLevel="0" collapsed="false">
      <c r="A635" s="63"/>
      <c r="B635" s="28"/>
      <c r="C635" s="28"/>
      <c r="D635" s="28"/>
      <c r="E635" s="64"/>
      <c r="F635" s="67" t="str">
        <f aca="false">IF($A635="","",$A635-WEEKDAY($A635,3))</f>
        <v/>
      </c>
      <c r="G635" s="65" t="str">
        <f aca="false">IF($A635="","",IF($F635=WeekStart,"Yes",""))</f>
        <v/>
      </c>
      <c r="H635" s="65" t="str">
        <f aca="false">IF($G635="Yes",$A635+ROW()/100000,"")</f>
        <v/>
      </c>
      <c r="I635" s="65" t="str">
        <f aca="false">IF(AND($D635&lt;&gt;"",$D635=UCSel),$A635+ROW()/100000,"")</f>
        <v/>
      </c>
    </row>
    <row r="636" customFormat="false" ht="15" hidden="false" customHeight="false" outlineLevel="0" collapsed="false">
      <c r="A636" s="63"/>
      <c r="B636" s="28"/>
      <c r="C636" s="28"/>
      <c r="D636" s="28"/>
      <c r="E636" s="64"/>
      <c r="F636" s="67" t="str">
        <f aca="false">IF($A636="","",$A636-WEEKDAY($A636,3))</f>
        <v/>
      </c>
      <c r="G636" s="65" t="str">
        <f aca="false">IF($A636="","",IF($F636=WeekStart,"Yes",""))</f>
        <v/>
      </c>
      <c r="H636" s="65" t="str">
        <f aca="false">IF($G636="Yes",$A636+ROW()/100000,"")</f>
        <v/>
      </c>
      <c r="I636" s="65" t="str">
        <f aca="false">IF(AND($D636&lt;&gt;"",$D636=UCSel),$A636+ROW()/100000,"")</f>
        <v/>
      </c>
    </row>
    <row r="637" customFormat="false" ht="15" hidden="false" customHeight="false" outlineLevel="0" collapsed="false">
      <c r="A637" s="63"/>
      <c r="B637" s="28"/>
      <c r="C637" s="28"/>
      <c r="D637" s="28"/>
      <c r="E637" s="64"/>
      <c r="F637" s="67" t="str">
        <f aca="false">IF($A637="","",$A637-WEEKDAY($A637,3))</f>
        <v/>
      </c>
      <c r="G637" s="65" t="str">
        <f aca="false">IF($A637="","",IF($F637=WeekStart,"Yes",""))</f>
        <v/>
      </c>
      <c r="H637" s="65" t="str">
        <f aca="false">IF($G637="Yes",$A637+ROW()/100000,"")</f>
        <v/>
      </c>
      <c r="I637" s="65" t="str">
        <f aca="false">IF(AND($D637&lt;&gt;"",$D637=UCSel),$A637+ROW()/100000,"")</f>
        <v/>
      </c>
    </row>
    <row r="638" customFormat="false" ht="15" hidden="false" customHeight="false" outlineLevel="0" collapsed="false">
      <c r="A638" s="63"/>
      <c r="B638" s="28"/>
      <c r="C638" s="28"/>
      <c r="D638" s="28"/>
      <c r="E638" s="64"/>
      <c r="F638" s="67" t="str">
        <f aca="false">IF($A638="","",$A638-WEEKDAY($A638,3))</f>
        <v/>
      </c>
      <c r="G638" s="65" t="str">
        <f aca="false">IF($A638="","",IF($F638=WeekStart,"Yes",""))</f>
        <v/>
      </c>
      <c r="H638" s="65" t="str">
        <f aca="false">IF($G638="Yes",$A638+ROW()/100000,"")</f>
        <v/>
      </c>
      <c r="I638" s="65" t="str">
        <f aca="false">IF(AND($D638&lt;&gt;"",$D638=UCSel),$A638+ROW()/100000,"")</f>
        <v/>
      </c>
    </row>
    <row r="639" customFormat="false" ht="15" hidden="false" customHeight="false" outlineLevel="0" collapsed="false">
      <c r="A639" s="63"/>
      <c r="B639" s="28"/>
      <c r="C639" s="28"/>
      <c r="D639" s="28"/>
      <c r="E639" s="64"/>
      <c r="F639" s="67" t="str">
        <f aca="false">IF($A639="","",$A639-WEEKDAY($A639,3))</f>
        <v/>
      </c>
      <c r="G639" s="65" t="str">
        <f aca="false">IF($A639="","",IF($F639=WeekStart,"Yes",""))</f>
        <v/>
      </c>
      <c r="H639" s="65" t="str">
        <f aca="false">IF($G639="Yes",$A639+ROW()/100000,"")</f>
        <v/>
      </c>
      <c r="I639" s="65" t="str">
        <f aca="false">IF(AND($D639&lt;&gt;"",$D639=UCSel),$A639+ROW()/100000,"")</f>
        <v/>
      </c>
    </row>
    <row r="640" customFormat="false" ht="15" hidden="false" customHeight="false" outlineLevel="0" collapsed="false">
      <c r="A640" s="63"/>
      <c r="B640" s="28"/>
      <c r="C640" s="28"/>
      <c r="D640" s="28"/>
      <c r="E640" s="64"/>
      <c r="F640" s="67" t="str">
        <f aca="false">IF($A640="","",$A640-WEEKDAY($A640,3))</f>
        <v/>
      </c>
      <c r="G640" s="65" t="str">
        <f aca="false">IF($A640="","",IF($F640=WeekStart,"Yes",""))</f>
        <v/>
      </c>
      <c r="H640" s="65" t="str">
        <f aca="false">IF($G640="Yes",$A640+ROW()/100000,"")</f>
        <v/>
      </c>
      <c r="I640" s="65" t="str">
        <f aca="false">IF(AND($D640&lt;&gt;"",$D640=UCSel),$A640+ROW()/100000,"")</f>
        <v/>
      </c>
    </row>
    <row r="641" customFormat="false" ht="15" hidden="false" customHeight="false" outlineLevel="0" collapsed="false">
      <c r="A641" s="63"/>
      <c r="B641" s="28"/>
      <c r="C641" s="28"/>
      <c r="D641" s="28"/>
      <c r="E641" s="64"/>
      <c r="F641" s="67" t="str">
        <f aca="false">IF($A641="","",$A641-WEEKDAY($A641,3))</f>
        <v/>
      </c>
      <c r="G641" s="65" t="str">
        <f aca="false">IF($A641="","",IF($F641=WeekStart,"Yes",""))</f>
        <v/>
      </c>
      <c r="H641" s="65" t="str">
        <f aca="false">IF($G641="Yes",$A641+ROW()/100000,"")</f>
        <v/>
      </c>
      <c r="I641" s="65" t="str">
        <f aca="false">IF(AND($D641&lt;&gt;"",$D641=UCSel),$A641+ROW()/100000,"")</f>
        <v/>
      </c>
    </row>
    <row r="642" customFormat="false" ht="15" hidden="false" customHeight="false" outlineLevel="0" collapsed="false">
      <c r="A642" s="63"/>
      <c r="B642" s="28"/>
      <c r="C642" s="28"/>
      <c r="D642" s="28"/>
      <c r="E642" s="64"/>
      <c r="F642" s="67" t="str">
        <f aca="false">IF($A642="","",$A642-WEEKDAY($A642,3))</f>
        <v/>
      </c>
      <c r="G642" s="65" t="str">
        <f aca="false">IF($A642="","",IF($F642=WeekStart,"Yes",""))</f>
        <v/>
      </c>
      <c r="H642" s="65" t="str">
        <f aca="false">IF($G642="Yes",$A642+ROW()/100000,"")</f>
        <v/>
      </c>
      <c r="I642" s="65" t="str">
        <f aca="false">IF(AND($D642&lt;&gt;"",$D642=UCSel),$A642+ROW()/100000,"")</f>
        <v/>
      </c>
    </row>
    <row r="643" customFormat="false" ht="15" hidden="false" customHeight="false" outlineLevel="0" collapsed="false">
      <c r="A643" s="63"/>
      <c r="B643" s="28"/>
      <c r="C643" s="28"/>
      <c r="D643" s="28"/>
      <c r="E643" s="64"/>
      <c r="F643" s="67" t="str">
        <f aca="false">IF($A643="","",$A643-WEEKDAY($A643,3))</f>
        <v/>
      </c>
      <c r="G643" s="65" t="str">
        <f aca="false">IF($A643="","",IF($F643=WeekStart,"Yes",""))</f>
        <v/>
      </c>
      <c r="H643" s="65" t="str">
        <f aca="false">IF($G643="Yes",$A643+ROW()/100000,"")</f>
        <v/>
      </c>
      <c r="I643" s="65" t="str">
        <f aca="false">IF(AND($D643&lt;&gt;"",$D643=UCSel),$A643+ROW()/100000,"")</f>
        <v/>
      </c>
    </row>
    <row r="644" customFormat="false" ht="15" hidden="false" customHeight="false" outlineLevel="0" collapsed="false">
      <c r="A644" s="63"/>
      <c r="B644" s="28"/>
      <c r="C644" s="28"/>
      <c r="D644" s="28"/>
      <c r="E644" s="64"/>
      <c r="F644" s="67" t="str">
        <f aca="false">IF($A644="","",$A644-WEEKDAY($A644,3))</f>
        <v/>
      </c>
      <c r="G644" s="65" t="str">
        <f aca="false">IF($A644="","",IF($F644=WeekStart,"Yes",""))</f>
        <v/>
      </c>
      <c r="H644" s="65" t="str">
        <f aca="false">IF($G644="Yes",$A644+ROW()/100000,"")</f>
        <v/>
      </c>
      <c r="I644" s="65" t="str">
        <f aca="false">IF(AND($D644&lt;&gt;"",$D644=UCSel),$A644+ROW()/100000,"")</f>
        <v/>
      </c>
    </row>
    <row r="645" customFormat="false" ht="15" hidden="false" customHeight="false" outlineLevel="0" collapsed="false">
      <c r="A645" s="63"/>
      <c r="B645" s="28"/>
      <c r="C645" s="28"/>
      <c r="D645" s="28"/>
      <c r="E645" s="64"/>
      <c r="F645" s="67" t="str">
        <f aca="false">IF($A645="","",$A645-WEEKDAY($A645,3))</f>
        <v/>
      </c>
      <c r="G645" s="65" t="str">
        <f aca="false">IF($A645="","",IF($F645=WeekStart,"Yes",""))</f>
        <v/>
      </c>
      <c r="H645" s="65" t="str">
        <f aca="false">IF($G645="Yes",$A645+ROW()/100000,"")</f>
        <v/>
      </c>
      <c r="I645" s="65" t="str">
        <f aca="false">IF(AND($D645&lt;&gt;"",$D645=UCSel),$A645+ROW()/100000,"")</f>
        <v/>
      </c>
    </row>
    <row r="646" customFormat="false" ht="15" hidden="false" customHeight="false" outlineLevel="0" collapsed="false">
      <c r="A646" s="63"/>
      <c r="B646" s="28"/>
      <c r="C646" s="28"/>
      <c r="D646" s="28"/>
      <c r="E646" s="64"/>
      <c r="F646" s="67" t="str">
        <f aca="false">IF($A646="","",$A646-WEEKDAY($A646,3))</f>
        <v/>
      </c>
      <c r="G646" s="65" t="str">
        <f aca="false">IF($A646="","",IF($F646=WeekStart,"Yes",""))</f>
        <v/>
      </c>
      <c r="H646" s="65" t="str">
        <f aca="false">IF($G646="Yes",$A646+ROW()/100000,"")</f>
        <v/>
      </c>
      <c r="I646" s="65" t="str">
        <f aca="false">IF(AND($D646&lt;&gt;"",$D646=UCSel),$A646+ROW()/100000,"")</f>
        <v/>
      </c>
    </row>
    <row r="647" customFormat="false" ht="15" hidden="false" customHeight="false" outlineLevel="0" collapsed="false">
      <c r="A647" s="63"/>
      <c r="B647" s="28"/>
      <c r="C647" s="28"/>
      <c r="D647" s="28"/>
      <c r="E647" s="64"/>
      <c r="F647" s="67" t="str">
        <f aca="false">IF($A647="","",$A647-WEEKDAY($A647,3))</f>
        <v/>
      </c>
      <c r="G647" s="65" t="str">
        <f aca="false">IF($A647="","",IF($F647=WeekStart,"Yes",""))</f>
        <v/>
      </c>
      <c r="H647" s="65" t="str">
        <f aca="false">IF($G647="Yes",$A647+ROW()/100000,"")</f>
        <v/>
      </c>
      <c r="I647" s="65" t="str">
        <f aca="false">IF(AND($D647&lt;&gt;"",$D647=UCSel),$A647+ROW()/100000,"")</f>
        <v/>
      </c>
    </row>
    <row r="648" customFormat="false" ht="15" hidden="false" customHeight="false" outlineLevel="0" collapsed="false">
      <c r="A648" s="63"/>
      <c r="B648" s="28"/>
      <c r="C648" s="28"/>
      <c r="D648" s="28"/>
      <c r="E648" s="64"/>
      <c r="F648" s="67" t="str">
        <f aca="false">IF($A648="","",$A648-WEEKDAY($A648,3))</f>
        <v/>
      </c>
      <c r="G648" s="65" t="str">
        <f aca="false">IF($A648="","",IF($F648=WeekStart,"Yes",""))</f>
        <v/>
      </c>
      <c r="H648" s="65" t="str">
        <f aca="false">IF($G648="Yes",$A648+ROW()/100000,"")</f>
        <v/>
      </c>
      <c r="I648" s="65" t="str">
        <f aca="false">IF(AND($D648&lt;&gt;"",$D648=UCSel),$A648+ROW()/100000,"")</f>
        <v/>
      </c>
    </row>
    <row r="649" customFormat="false" ht="15" hidden="false" customHeight="false" outlineLevel="0" collapsed="false">
      <c r="A649" s="63"/>
      <c r="B649" s="28"/>
      <c r="C649" s="28"/>
      <c r="D649" s="28"/>
      <c r="E649" s="64"/>
      <c r="F649" s="67" t="str">
        <f aca="false">IF($A649="","",$A649-WEEKDAY($A649,3))</f>
        <v/>
      </c>
      <c r="G649" s="65" t="str">
        <f aca="false">IF($A649="","",IF($F649=WeekStart,"Yes",""))</f>
        <v/>
      </c>
      <c r="H649" s="65" t="str">
        <f aca="false">IF($G649="Yes",$A649+ROW()/100000,"")</f>
        <v/>
      </c>
      <c r="I649" s="65" t="str">
        <f aca="false">IF(AND($D649&lt;&gt;"",$D649=UCSel),$A649+ROW()/100000,"")</f>
        <v/>
      </c>
    </row>
    <row r="650" customFormat="false" ht="15" hidden="false" customHeight="false" outlineLevel="0" collapsed="false">
      <c r="A650" s="63"/>
      <c r="B650" s="28"/>
      <c r="C650" s="28"/>
      <c r="D650" s="28"/>
      <c r="E650" s="64"/>
      <c r="F650" s="67" t="str">
        <f aca="false">IF($A650="","",$A650-WEEKDAY($A650,3))</f>
        <v/>
      </c>
      <c r="G650" s="65" t="str">
        <f aca="false">IF($A650="","",IF($F650=WeekStart,"Yes",""))</f>
        <v/>
      </c>
      <c r="H650" s="65" t="str">
        <f aca="false">IF($G650="Yes",$A650+ROW()/100000,"")</f>
        <v/>
      </c>
      <c r="I650" s="65" t="str">
        <f aca="false">IF(AND($D650&lt;&gt;"",$D650=UCSel),$A650+ROW()/100000,"")</f>
        <v/>
      </c>
    </row>
    <row r="651" customFormat="false" ht="15" hidden="false" customHeight="false" outlineLevel="0" collapsed="false">
      <c r="A651" s="63"/>
      <c r="B651" s="28"/>
      <c r="C651" s="28"/>
      <c r="D651" s="28"/>
      <c r="E651" s="64"/>
      <c r="F651" s="67" t="str">
        <f aca="false">IF($A651="","",$A651-WEEKDAY($A651,3))</f>
        <v/>
      </c>
      <c r="G651" s="65" t="str">
        <f aca="false">IF($A651="","",IF($F651=WeekStart,"Yes",""))</f>
        <v/>
      </c>
      <c r="H651" s="65" t="str">
        <f aca="false">IF($G651="Yes",$A651+ROW()/100000,"")</f>
        <v/>
      </c>
      <c r="I651" s="65" t="str">
        <f aca="false">IF(AND($D651&lt;&gt;"",$D651=UCSel),$A651+ROW()/100000,"")</f>
        <v/>
      </c>
    </row>
    <row r="652" customFormat="false" ht="15" hidden="false" customHeight="false" outlineLevel="0" collapsed="false">
      <c r="A652" s="63"/>
      <c r="B652" s="28"/>
      <c r="C652" s="28"/>
      <c r="D652" s="28"/>
      <c r="E652" s="64"/>
      <c r="F652" s="67" t="str">
        <f aca="false">IF($A652="","",$A652-WEEKDAY($A652,3))</f>
        <v/>
      </c>
      <c r="G652" s="65" t="str">
        <f aca="false">IF($A652="","",IF($F652=WeekStart,"Yes",""))</f>
        <v/>
      </c>
      <c r="H652" s="65" t="str">
        <f aca="false">IF($G652="Yes",$A652+ROW()/100000,"")</f>
        <v/>
      </c>
      <c r="I652" s="65" t="str">
        <f aca="false">IF(AND($D652&lt;&gt;"",$D652=UCSel),$A652+ROW()/100000,"")</f>
        <v/>
      </c>
    </row>
    <row r="653" customFormat="false" ht="15" hidden="false" customHeight="false" outlineLevel="0" collapsed="false">
      <c r="A653" s="63"/>
      <c r="B653" s="28"/>
      <c r="C653" s="28"/>
      <c r="D653" s="28"/>
      <c r="E653" s="64"/>
      <c r="F653" s="67" t="str">
        <f aca="false">IF($A653="","",$A653-WEEKDAY($A653,3))</f>
        <v/>
      </c>
      <c r="G653" s="65" t="str">
        <f aca="false">IF($A653="","",IF($F653=WeekStart,"Yes",""))</f>
        <v/>
      </c>
      <c r="H653" s="65" t="str">
        <f aca="false">IF($G653="Yes",$A653+ROW()/100000,"")</f>
        <v/>
      </c>
      <c r="I653" s="65" t="str">
        <f aca="false">IF(AND($D653&lt;&gt;"",$D653=UCSel),$A653+ROW()/100000,"")</f>
        <v/>
      </c>
    </row>
    <row r="654" customFormat="false" ht="15" hidden="false" customHeight="false" outlineLevel="0" collapsed="false">
      <c r="A654" s="63"/>
      <c r="B654" s="28"/>
      <c r="C654" s="28"/>
      <c r="D654" s="28"/>
      <c r="E654" s="64"/>
      <c r="F654" s="67" t="str">
        <f aca="false">IF($A654="","",$A654-WEEKDAY($A654,3))</f>
        <v/>
      </c>
      <c r="G654" s="65" t="str">
        <f aca="false">IF($A654="","",IF($F654=WeekStart,"Yes",""))</f>
        <v/>
      </c>
      <c r="H654" s="65" t="str">
        <f aca="false">IF($G654="Yes",$A654+ROW()/100000,"")</f>
        <v/>
      </c>
      <c r="I654" s="65" t="str">
        <f aca="false">IF(AND($D654&lt;&gt;"",$D654=UCSel),$A654+ROW()/100000,"")</f>
        <v/>
      </c>
    </row>
    <row r="655" customFormat="false" ht="15" hidden="false" customHeight="false" outlineLevel="0" collapsed="false">
      <c r="A655" s="63"/>
      <c r="B655" s="28"/>
      <c r="C655" s="28"/>
      <c r="D655" s="28"/>
      <c r="E655" s="64"/>
      <c r="F655" s="67" t="str">
        <f aca="false">IF($A655="","",$A655-WEEKDAY($A655,3))</f>
        <v/>
      </c>
      <c r="G655" s="65" t="str">
        <f aca="false">IF($A655="","",IF($F655=WeekStart,"Yes",""))</f>
        <v/>
      </c>
      <c r="H655" s="65" t="str">
        <f aca="false">IF($G655="Yes",$A655+ROW()/100000,"")</f>
        <v/>
      </c>
      <c r="I655" s="65" t="str">
        <f aca="false">IF(AND($D655&lt;&gt;"",$D655=UCSel),$A655+ROW()/100000,"")</f>
        <v/>
      </c>
    </row>
    <row r="656" customFormat="false" ht="15" hidden="false" customHeight="false" outlineLevel="0" collapsed="false">
      <c r="A656" s="63"/>
      <c r="B656" s="28"/>
      <c r="C656" s="28"/>
      <c r="D656" s="28"/>
      <c r="E656" s="64"/>
      <c r="F656" s="67" t="str">
        <f aca="false">IF($A656="","",$A656-WEEKDAY($A656,3))</f>
        <v/>
      </c>
      <c r="G656" s="65" t="str">
        <f aca="false">IF($A656="","",IF($F656=WeekStart,"Yes",""))</f>
        <v/>
      </c>
      <c r="H656" s="65" t="str">
        <f aca="false">IF($G656="Yes",$A656+ROW()/100000,"")</f>
        <v/>
      </c>
      <c r="I656" s="65" t="str">
        <f aca="false">IF(AND($D656&lt;&gt;"",$D656=UCSel),$A656+ROW()/100000,"")</f>
        <v/>
      </c>
    </row>
    <row r="657" customFormat="false" ht="15" hidden="false" customHeight="false" outlineLevel="0" collapsed="false">
      <c r="A657" s="63"/>
      <c r="B657" s="28"/>
      <c r="C657" s="28"/>
      <c r="D657" s="28"/>
      <c r="E657" s="64"/>
      <c r="F657" s="67" t="str">
        <f aca="false">IF($A657="","",$A657-WEEKDAY($A657,3))</f>
        <v/>
      </c>
      <c r="G657" s="65" t="str">
        <f aca="false">IF($A657="","",IF($F657=WeekStart,"Yes",""))</f>
        <v/>
      </c>
      <c r="H657" s="65" t="str">
        <f aca="false">IF($G657="Yes",$A657+ROW()/100000,"")</f>
        <v/>
      </c>
      <c r="I657" s="65" t="str">
        <f aca="false">IF(AND($D657&lt;&gt;"",$D657=UCSel),$A657+ROW()/100000,"")</f>
        <v/>
      </c>
    </row>
    <row r="658" customFormat="false" ht="15" hidden="false" customHeight="false" outlineLevel="0" collapsed="false">
      <c r="A658" s="63"/>
      <c r="B658" s="28"/>
      <c r="C658" s="28"/>
      <c r="D658" s="28"/>
      <c r="E658" s="64"/>
      <c r="F658" s="67" t="str">
        <f aca="false">IF($A658="","",$A658-WEEKDAY($A658,3))</f>
        <v/>
      </c>
      <c r="G658" s="65" t="str">
        <f aca="false">IF($A658="","",IF($F658=WeekStart,"Yes",""))</f>
        <v/>
      </c>
      <c r="H658" s="65" t="str">
        <f aca="false">IF($G658="Yes",$A658+ROW()/100000,"")</f>
        <v/>
      </c>
      <c r="I658" s="65" t="str">
        <f aca="false">IF(AND($D658&lt;&gt;"",$D658=UCSel),$A658+ROW()/100000,"")</f>
        <v/>
      </c>
    </row>
    <row r="659" customFormat="false" ht="15" hidden="false" customHeight="false" outlineLevel="0" collapsed="false">
      <c r="A659" s="63"/>
      <c r="B659" s="28"/>
      <c r="C659" s="28"/>
      <c r="D659" s="28"/>
      <c r="E659" s="64"/>
      <c r="F659" s="67" t="str">
        <f aca="false">IF($A659="","",$A659-WEEKDAY($A659,3))</f>
        <v/>
      </c>
      <c r="G659" s="65" t="str">
        <f aca="false">IF($A659="","",IF($F659=WeekStart,"Yes",""))</f>
        <v/>
      </c>
      <c r="H659" s="65" t="str">
        <f aca="false">IF($G659="Yes",$A659+ROW()/100000,"")</f>
        <v/>
      </c>
      <c r="I659" s="65" t="str">
        <f aca="false">IF(AND($D659&lt;&gt;"",$D659=UCSel),$A659+ROW()/100000,"")</f>
        <v/>
      </c>
    </row>
    <row r="660" customFormat="false" ht="15" hidden="false" customHeight="false" outlineLevel="0" collapsed="false">
      <c r="A660" s="63"/>
      <c r="B660" s="28"/>
      <c r="C660" s="28"/>
      <c r="D660" s="28"/>
      <c r="E660" s="64"/>
      <c r="F660" s="67" t="str">
        <f aca="false">IF($A660="","",$A660-WEEKDAY($A660,3))</f>
        <v/>
      </c>
      <c r="G660" s="65" t="str">
        <f aca="false">IF($A660="","",IF($F660=WeekStart,"Yes",""))</f>
        <v/>
      </c>
      <c r="H660" s="65" t="str">
        <f aca="false">IF($G660="Yes",$A660+ROW()/100000,"")</f>
        <v/>
      </c>
      <c r="I660" s="65" t="str">
        <f aca="false">IF(AND($D660&lt;&gt;"",$D660=UCSel),$A660+ROW()/100000,"")</f>
        <v/>
      </c>
    </row>
    <row r="661" customFormat="false" ht="15" hidden="false" customHeight="false" outlineLevel="0" collapsed="false">
      <c r="A661" s="63"/>
      <c r="B661" s="28"/>
      <c r="C661" s="28"/>
      <c r="D661" s="28"/>
      <c r="E661" s="64"/>
      <c r="F661" s="67" t="str">
        <f aca="false">IF($A661="","",$A661-WEEKDAY($A661,3))</f>
        <v/>
      </c>
      <c r="G661" s="65" t="str">
        <f aca="false">IF($A661="","",IF($F661=WeekStart,"Yes",""))</f>
        <v/>
      </c>
      <c r="H661" s="65" t="str">
        <f aca="false">IF($G661="Yes",$A661+ROW()/100000,"")</f>
        <v/>
      </c>
      <c r="I661" s="65" t="str">
        <f aca="false">IF(AND($D661&lt;&gt;"",$D661=UCSel),$A661+ROW()/100000,"")</f>
        <v/>
      </c>
    </row>
    <row r="662" customFormat="false" ht="15" hidden="false" customHeight="false" outlineLevel="0" collapsed="false">
      <c r="A662" s="63"/>
      <c r="B662" s="28"/>
      <c r="C662" s="28"/>
      <c r="D662" s="28"/>
      <c r="E662" s="64"/>
      <c r="F662" s="67" t="str">
        <f aca="false">IF($A662="","",$A662-WEEKDAY($A662,3))</f>
        <v/>
      </c>
      <c r="G662" s="65" t="str">
        <f aca="false">IF($A662="","",IF($F662=WeekStart,"Yes",""))</f>
        <v/>
      </c>
      <c r="H662" s="65" t="str">
        <f aca="false">IF($G662="Yes",$A662+ROW()/100000,"")</f>
        <v/>
      </c>
      <c r="I662" s="65" t="str">
        <f aca="false">IF(AND($D662&lt;&gt;"",$D662=UCSel),$A662+ROW()/100000,"")</f>
        <v/>
      </c>
    </row>
    <row r="663" customFormat="false" ht="15" hidden="false" customHeight="false" outlineLevel="0" collapsed="false">
      <c r="A663" s="63"/>
      <c r="B663" s="28"/>
      <c r="C663" s="28"/>
      <c r="D663" s="28"/>
      <c r="E663" s="64"/>
      <c r="F663" s="67" t="str">
        <f aca="false">IF($A663="","",$A663-WEEKDAY($A663,3))</f>
        <v/>
      </c>
      <c r="G663" s="65" t="str">
        <f aca="false">IF($A663="","",IF($F663=WeekStart,"Yes",""))</f>
        <v/>
      </c>
      <c r="H663" s="65" t="str">
        <f aca="false">IF($G663="Yes",$A663+ROW()/100000,"")</f>
        <v/>
      </c>
      <c r="I663" s="65" t="str">
        <f aca="false">IF(AND($D663&lt;&gt;"",$D663=UCSel),$A663+ROW()/100000,"")</f>
        <v/>
      </c>
    </row>
    <row r="664" customFormat="false" ht="15" hidden="false" customHeight="false" outlineLevel="0" collapsed="false">
      <c r="A664" s="63"/>
      <c r="B664" s="28"/>
      <c r="C664" s="28"/>
      <c r="D664" s="28"/>
      <c r="E664" s="64"/>
      <c r="F664" s="67" t="str">
        <f aca="false">IF($A664="","",$A664-WEEKDAY($A664,3))</f>
        <v/>
      </c>
      <c r="G664" s="65" t="str">
        <f aca="false">IF($A664="","",IF($F664=WeekStart,"Yes",""))</f>
        <v/>
      </c>
      <c r="H664" s="65" t="str">
        <f aca="false">IF($G664="Yes",$A664+ROW()/100000,"")</f>
        <v/>
      </c>
      <c r="I664" s="65" t="str">
        <f aca="false">IF(AND($D664&lt;&gt;"",$D664=UCSel),$A664+ROW()/100000,"")</f>
        <v/>
      </c>
    </row>
    <row r="665" customFormat="false" ht="15" hidden="false" customHeight="false" outlineLevel="0" collapsed="false">
      <c r="A665" s="63"/>
      <c r="B665" s="28"/>
      <c r="C665" s="28"/>
      <c r="D665" s="28"/>
      <c r="E665" s="64"/>
      <c r="F665" s="67" t="str">
        <f aca="false">IF($A665="","",$A665-WEEKDAY($A665,3))</f>
        <v/>
      </c>
      <c r="G665" s="65" t="str">
        <f aca="false">IF($A665="","",IF($F665=WeekStart,"Yes",""))</f>
        <v/>
      </c>
      <c r="H665" s="65" t="str">
        <f aca="false">IF($G665="Yes",$A665+ROW()/100000,"")</f>
        <v/>
      </c>
      <c r="I665" s="65" t="str">
        <f aca="false">IF(AND($D665&lt;&gt;"",$D665=UCSel),$A665+ROW()/100000,"")</f>
        <v/>
      </c>
    </row>
    <row r="666" customFormat="false" ht="15" hidden="false" customHeight="false" outlineLevel="0" collapsed="false">
      <c r="A666" s="63"/>
      <c r="B666" s="28"/>
      <c r="C666" s="28"/>
      <c r="D666" s="28"/>
      <c r="E666" s="64"/>
      <c r="F666" s="67" t="str">
        <f aca="false">IF($A666="","",$A666-WEEKDAY($A666,3))</f>
        <v/>
      </c>
      <c r="G666" s="65" t="str">
        <f aca="false">IF($A666="","",IF($F666=WeekStart,"Yes",""))</f>
        <v/>
      </c>
      <c r="H666" s="65" t="str">
        <f aca="false">IF($G666="Yes",$A666+ROW()/100000,"")</f>
        <v/>
      </c>
      <c r="I666" s="65" t="str">
        <f aca="false">IF(AND($D666&lt;&gt;"",$D666=UCSel),$A666+ROW()/100000,"")</f>
        <v/>
      </c>
    </row>
    <row r="667" customFormat="false" ht="15" hidden="false" customHeight="false" outlineLevel="0" collapsed="false">
      <c r="A667" s="63"/>
      <c r="B667" s="28"/>
      <c r="C667" s="28"/>
      <c r="D667" s="28"/>
      <c r="E667" s="64"/>
      <c r="F667" s="67" t="str">
        <f aca="false">IF($A667="","",$A667-WEEKDAY($A667,3))</f>
        <v/>
      </c>
      <c r="G667" s="65" t="str">
        <f aca="false">IF($A667="","",IF($F667=WeekStart,"Yes",""))</f>
        <v/>
      </c>
      <c r="H667" s="65" t="str">
        <f aca="false">IF($G667="Yes",$A667+ROW()/100000,"")</f>
        <v/>
      </c>
      <c r="I667" s="65" t="str">
        <f aca="false">IF(AND($D667&lt;&gt;"",$D667=UCSel),$A667+ROW()/100000,"")</f>
        <v/>
      </c>
    </row>
    <row r="668" customFormat="false" ht="15" hidden="false" customHeight="false" outlineLevel="0" collapsed="false">
      <c r="A668" s="63"/>
      <c r="B668" s="28"/>
      <c r="C668" s="28"/>
      <c r="D668" s="28"/>
      <c r="E668" s="64"/>
      <c r="F668" s="67" t="str">
        <f aca="false">IF($A668="","",$A668-WEEKDAY($A668,3))</f>
        <v/>
      </c>
      <c r="G668" s="65" t="str">
        <f aca="false">IF($A668="","",IF($F668=WeekStart,"Yes",""))</f>
        <v/>
      </c>
      <c r="H668" s="65" t="str">
        <f aca="false">IF($G668="Yes",$A668+ROW()/100000,"")</f>
        <v/>
      </c>
      <c r="I668" s="65" t="str">
        <f aca="false">IF(AND($D668&lt;&gt;"",$D668=UCSel),$A668+ROW()/100000,"")</f>
        <v/>
      </c>
    </row>
    <row r="669" customFormat="false" ht="15" hidden="false" customHeight="false" outlineLevel="0" collapsed="false">
      <c r="A669" s="63"/>
      <c r="B669" s="28"/>
      <c r="C669" s="28"/>
      <c r="D669" s="28"/>
      <c r="E669" s="64"/>
      <c r="F669" s="67" t="str">
        <f aca="false">IF($A669="","",$A669-WEEKDAY($A669,3))</f>
        <v/>
      </c>
      <c r="G669" s="65" t="str">
        <f aca="false">IF($A669="","",IF($F669=WeekStart,"Yes",""))</f>
        <v/>
      </c>
      <c r="H669" s="65" t="str">
        <f aca="false">IF($G669="Yes",$A669+ROW()/100000,"")</f>
        <v/>
      </c>
      <c r="I669" s="65" t="str">
        <f aca="false">IF(AND($D669&lt;&gt;"",$D669=UCSel),$A669+ROW()/100000,"")</f>
        <v/>
      </c>
    </row>
    <row r="670" customFormat="false" ht="15" hidden="false" customHeight="false" outlineLevel="0" collapsed="false">
      <c r="A670" s="63"/>
      <c r="B670" s="28"/>
      <c r="C670" s="28"/>
      <c r="D670" s="28"/>
      <c r="E670" s="64"/>
      <c r="F670" s="67" t="str">
        <f aca="false">IF($A670="","",$A670-WEEKDAY($A670,3))</f>
        <v/>
      </c>
      <c r="G670" s="65" t="str">
        <f aca="false">IF($A670="","",IF($F670=WeekStart,"Yes",""))</f>
        <v/>
      </c>
      <c r="H670" s="65" t="str">
        <f aca="false">IF($G670="Yes",$A670+ROW()/100000,"")</f>
        <v/>
      </c>
      <c r="I670" s="65" t="str">
        <f aca="false">IF(AND($D670&lt;&gt;"",$D670=UCSel),$A670+ROW()/100000,"")</f>
        <v/>
      </c>
    </row>
    <row r="671" customFormat="false" ht="15" hidden="false" customHeight="false" outlineLevel="0" collapsed="false">
      <c r="A671" s="63"/>
      <c r="B671" s="28"/>
      <c r="C671" s="28"/>
      <c r="D671" s="28"/>
      <c r="E671" s="64"/>
      <c r="F671" s="67" t="str">
        <f aca="false">IF($A671="","",$A671-WEEKDAY($A671,3))</f>
        <v/>
      </c>
      <c r="G671" s="65" t="str">
        <f aca="false">IF($A671="","",IF($F671=WeekStart,"Yes",""))</f>
        <v/>
      </c>
      <c r="H671" s="65" t="str">
        <f aca="false">IF($G671="Yes",$A671+ROW()/100000,"")</f>
        <v/>
      </c>
      <c r="I671" s="65" t="str">
        <f aca="false">IF(AND($D671&lt;&gt;"",$D671=UCSel),$A671+ROW()/100000,"")</f>
        <v/>
      </c>
    </row>
    <row r="672" customFormat="false" ht="15" hidden="false" customHeight="false" outlineLevel="0" collapsed="false">
      <c r="A672" s="63"/>
      <c r="B672" s="28"/>
      <c r="C672" s="28"/>
      <c r="D672" s="28"/>
      <c r="E672" s="64"/>
      <c r="F672" s="67" t="str">
        <f aca="false">IF($A672="","",$A672-WEEKDAY($A672,3))</f>
        <v/>
      </c>
      <c r="G672" s="65" t="str">
        <f aca="false">IF($A672="","",IF($F672=WeekStart,"Yes",""))</f>
        <v/>
      </c>
      <c r="H672" s="65" t="str">
        <f aca="false">IF($G672="Yes",$A672+ROW()/100000,"")</f>
        <v/>
      </c>
      <c r="I672" s="65" t="str">
        <f aca="false">IF(AND($D672&lt;&gt;"",$D672=UCSel),$A672+ROW()/100000,"")</f>
        <v/>
      </c>
    </row>
    <row r="673" customFormat="false" ht="15" hidden="false" customHeight="false" outlineLevel="0" collapsed="false">
      <c r="A673" s="63"/>
      <c r="B673" s="28"/>
      <c r="C673" s="28"/>
      <c r="D673" s="28"/>
      <c r="E673" s="64"/>
      <c r="F673" s="67" t="str">
        <f aca="false">IF($A673="","",$A673-WEEKDAY($A673,3))</f>
        <v/>
      </c>
      <c r="G673" s="65" t="str">
        <f aca="false">IF($A673="","",IF($F673=WeekStart,"Yes",""))</f>
        <v/>
      </c>
      <c r="H673" s="65" t="str">
        <f aca="false">IF($G673="Yes",$A673+ROW()/100000,"")</f>
        <v/>
      </c>
      <c r="I673" s="65" t="str">
        <f aca="false">IF(AND($D673&lt;&gt;"",$D673=UCSel),$A673+ROW()/100000,"")</f>
        <v/>
      </c>
    </row>
    <row r="674" customFormat="false" ht="15" hidden="false" customHeight="false" outlineLevel="0" collapsed="false">
      <c r="A674" s="63"/>
      <c r="B674" s="28"/>
      <c r="C674" s="28"/>
      <c r="D674" s="28"/>
      <c r="E674" s="64"/>
      <c r="F674" s="67" t="str">
        <f aca="false">IF($A674="","",$A674-WEEKDAY($A674,3))</f>
        <v/>
      </c>
      <c r="G674" s="65" t="str">
        <f aca="false">IF($A674="","",IF($F674=WeekStart,"Yes",""))</f>
        <v/>
      </c>
      <c r="H674" s="65" t="str">
        <f aca="false">IF($G674="Yes",$A674+ROW()/100000,"")</f>
        <v/>
      </c>
      <c r="I674" s="65" t="str">
        <f aca="false">IF(AND($D674&lt;&gt;"",$D674=UCSel),$A674+ROW()/100000,"")</f>
        <v/>
      </c>
    </row>
    <row r="675" customFormat="false" ht="15" hidden="false" customHeight="false" outlineLevel="0" collapsed="false">
      <c r="A675" s="63"/>
      <c r="B675" s="28"/>
      <c r="C675" s="28"/>
      <c r="D675" s="28"/>
      <c r="E675" s="64"/>
      <c r="F675" s="67" t="str">
        <f aca="false">IF($A675="","",$A675-WEEKDAY($A675,3))</f>
        <v/>
      </c>
      <c r="G675" s="65" t="str">
        <f aca="false">IF($A675="","",IF($F675=WeekStart,"Yes",""))</f>
        <v/>
      </c>
      <c r="H675" s="65" t="str">
        <f aca="false">IF($G675="Yes",$A675+ROW()/100000,"")</f>
        <v/>
      </c>
      <c r="I675" s="65" t="str">
        <f aca="false">IF(AND($D675&lt;&gt;"",$D675=UCSel),$A675+ROW()/100000,"")</f>
        <v/>
      </c>
    </row>
    <row r="676" customFormat="false" ht="15" hidden="false" customHeight="false" outlineLevel="0" collapsed="false">
      <c r="A676" s="63"/>
      <c r="B676" s="28"/>
      <c r="C676" s="28"/>
      <c r="D676" s="28"/>
      <c r="E676" s="64"/>
      <c r="F676" s="67" t="str">
        <f aca="false">IF($A676="","",$A676-WEEKDAY($A676,3))</f>
        <v/>
      </c>
      <c r="G676" s="65" t="str">
        <f aca="false">IF($A676="","",IF($F676=WeekStart,"Yes",""))</f>
        <v/>
      </c>
      <c r="H676" s="65" t="str">
        <f aca="false">IF($G676="Yes",$A676+ROW()/100000,"")</f>
        <v/>
      </c>
      <c r="I676" s="65" t="str">
        <f aca="false">IF(AND($D676&lt;&gt;"",$D676=UCSel),$A676+ROW()/100000,"")</f>
        <v/>
      </c>
    </row>
    <row r="677" customFormat="false" ht="15" hidden="false" customHeight="false" outlineLevel="0" collapsed="false">
      <c r="A677" s="63"/>
      <c r="B677" s="28"/>
      <c r="C677" s="28"/>
      <c r="D677" s="28"/>
      <c r="E677" s="64"/>
      <c r="F677" s="67" t="str">
        <f aca="false">IF($A677="","",$A677-WEEKDAY($A677,3))</f>
        <v/>
      </c>
      <c r="G677" s="65" t="str">
        <f aca="false">IF($A677="","",IF($F677=WeekStart,"Yes",""))</f>
        <v/>
      </c>
      <c r="H677" s="65" t="str">
        <f aca="false">IF($G677="Yes",$A677+ROW()/100000,"")</f>
        <v/>
      </c>
      <c r="I677" s="65" t="str">
        <f aca="false">IF(AND($D677&lt;&gt;"",$D677=UCSel),$A677+ROW()/100000,"")</f>
        <v/>
      </c>
    </row>
    <row r="678" customFormat="false" ht="15" hidden="false" customHeight="false" outlineLevel="0" collapsed="false">
      <c r="A678" s="63"/>
      <c r="B678" s="28"/>
      <c r="C678" s="28"/>
      <c r="D678" s="28"/>
      <c r="E678" s="64"/>
      <c r="F678" s="67" t="str">
        <f aca="false">IF($A678="","",$A678-WEEKDAY($A678,3))</f>
        <v/>
      </c>
      <c r="G678" s="65" t="str">
        <f aca="false">IF($A678="","",IF($F678=WeekStart,"Yes",""))</f>
        <v/>
      </c>
      <c r="H678" s="65" t="str">
        <f aca="false">IF($G678="Yes",$A678+ROW()/100000,"")</f>
        <v/>
      </c>
      <c r="I678" s="65" t="str">
        <f aca="false">IF(AND($D678&lt;&gt;"",$D678=UCSel),$A678+ROW()/100000,"")</f>
        <v/>
      </c>
    </row>
    <row r="679" customFormat="false" ht="15" hidden="false" customHeight="false" outlineLevel="0" collapsed="false">
      <c r="A679" s="63"/>
      <c r="B679" s="28"/>
      <c r="C679" s="28"/>
      <c r="D679" s="28"/>
      <c r="E679" s="64"/>
      <c r="F679" s="67" t="str">
        <f aca="false">IF($A679="","",$A679-WEEKDAY($A679,3))</f>
        <v/>
      </c>
      <c r="G679" s="65" t="str">
        <f aca="false">IF($A679="","",IF($F679=WeekStart,"Yes",""))</f>
        <v/>
      </c>
      <c r="H679" s="65" t="str">
        <f aca="false">IF($G679="Yes",$A679+ROW()/100000,"")</f>
        <v/>
      </c>
      <c r="I679" s="65" t="str">
        <f aca="false">IF(AND($D679&lt;&gt;"",$D679=UCSel),$A679+ROW()/100000,"")</f>
        <v/>
      </c>
    </row>
    <row r="680" customFormat="false" ht="15" hidden="false" customHeight="false" outlineLevel="0" collapsed="false">
      <c r="A680" s="63"/>
      <c r="B680" s="28"/>
      <c r="C680" s="28"/>
      <c r="D680" s="28"/>
      <c r="E680" s="64"/>
      <c r="F680" s="67" t="str">
        <f aca="false">IF($A680="","",$A680-WEEKDAY($A680,3))</f>
        <v/>
      </c>
      <c r="G680" s="65" t="str">
        <f aca="false">IF($A680="","",IF($F680=WeekStart,"Yes",""))</f>
        <v/>
      </c>
      <c r="H680" s="65" t="str">
        <f aca="false">IF($G680="Yes",$A680+ROW()/100000,"")</f>
        <v/>
      </c>
      <c r="I680" s="65" t="str">
        <f aca="false">IF(AND($D680&lt;&gt;"",$D680=UCSel),$A680+ROW()/100000,"")</f>
        <v/>
      </c>
    </row>
    <row r="681" customFormat="false" ht="15" hidden="false" customHeight="false" outlineLevel="0" collapsed="false">
      <c r="A681" s="63"/>
      <c r="B681" s="28"/>
      <c r="C681" s="28"/>
      <c r="D681" s="28"/>
      <c r="E681" s="64"/>
      <c r="F681" s="67" t="str">
        <f aca="false">IF($A681="","",$A681-WEEKDAY($A681,3))</f>
        <v/>
      </c>
      <c r="G681" s="65" t="str">
        <f aca="false">IF($A681="","",IF($F681=WeekStart,"Yes",""))</f>
        <v/>
      </c>
      <c r="H681" s="65" t="str">
        <f aca="false">IF($G681="Yes",$A681+ROW()/100000,"")</f>
        <v/>
      </c>
      <c r="I681" s="65" t="str">
        <f aca="false">IF(AND($D681&lt;&gt;"",$D681=UCSel),$A681+ROW()/100000,"")</f>
        <v/>
      </c>
    </row>
    <row r="682" customFormat="false" ht="15" hidden="false" customHeight="false" outlineLevel="0" collapsed="false">
      <c r="A682" s="63"/>
      <c r="B682" s="28"/>
      <c r="C682" s="28"/>
      <c r="D682" s="28"/>
      <c r="E682" s="64"/>
      <c r="F682" s="67" t="str">
        <f aca="false">IF($A682="","",$A682-WEEKDAY($A682,3))</f>
        <v/>
      </c>
      <c r="G682" s="65" t="str">
        <f aca="false">IF($A682="","",IF($F682=WeekStart,"Yes",""))</f>
        <v/>
      </c>
      <c r="H682" s="65" t="str">
        <f aca="false">IF($G682="Yes",$A682+ROW()/100000,"")</f>
        <v/>
      </c>
      <c r="I682" s="65" t="str">
        <f aca="false">IF(AND($D682&lt;&gt;"",$D682=UCSel),$A682+ROW()/100000,"")</f>
        <v/>
      </c>
    </row>
    <row r="683" customFormat="false" ht="15" hidden="false" customHeight="false" outlineLevel="0" collapsed="false">
      <c r="A683" s="63"/>
      <c r="B683" s="28"/>
      <c r="C683" s="28"/>
      <c r="D683" s="28"/>
      <c r="E683" s="64"/>
      <c r="F683" s="67" t="str">
        <f aca="false">IF($A683="","",$A683-WEEKDAY($A683,3))</f>
        <v/>
      </c>
      <c r="G683" s="65" t="str">
        <f aca="false">IF($A683="","",IF($F683=WeekStart,"Yes",""))</f>
        <v/>
      </c>
      <c r="H683" s="65" t="str">
        <f aca="false">IF($G683="Yes",$A683+ROW()/100000,"")</f>
        <v/>
      </c>
      <c r="I683" s="65" t="str">
        <f aca="false">IF(AND($D683&lt;&gt;"",$D683=UCSel),$A683+ROW()/100000,"")</f>
        <v/>
      </c>
    </row>
    <row r="684" customFormat="false" ht="15" hidden="false" customHeight="false" outlineLevel="0" collapsed="false">
      <c r="A684" s="63"/>
      <c r="B684" s="28"/>
      <c r="C684" s="28"/>
      <c r="D684" s="28"/>
      <c r="E684" s="64"/>
      <c r="F684" s="67" t="str">
        <f aca="false">IF($A684="","",$A684-WEEKDAY($A684,3))</f>
        <v/>
      </c>
      <c r="G684" s="65" t="str">
        <f aca="false">IF($A684="","",IF($F684=WeekStart,"Yes",""))</f>
        <v/>
      </c>
      <c r="H684" s="65" t="str">
        <f aca="false">IF($G684="Yes",$A684+ROW()/100000,"")</f>
        <v/>
      </c>
      <c r="I684" s="65" t="str">
        <f aca="false">IF(AND($D684&lt;&gt;"",$D684=UCSel),$A684+ROW()/100000,"")</f>
        <v/>
      </c>
    </row>
    <row r="685" customFormat="false" ht="15" hidden="false" customHeight="false" outlineLevel="0" collapsed="false">
      <c r="A685" s="63"/>
      <c r="B685" s="28"/>
      <c r="C685" s="28"/>
      <c r="D685" s="28"/>
      <c r="E685" s="64"/>
      <c r="F685" s="67" t="str">
        <f aca="false">IF($A685="","",$A685-WEEKDAY($A685,3))</f>
        <v/>
      </c>
      <c r="G685" s="65" t="str">
        <f aca="false">IF($A685="","",IF($F685=WeekStart,"Yes",""))</f>
        <v/>
      </c>
      <c r="H685" s="65" t="str">
        <f aca="false">IF($G685="Yes",$A685+ROW()/100000,"")</f>
        <v/>
      </c>
      <c r="I685" s="65" t="str">
        <f aca="false">IF(AND($D685&lt;&gt;"",$D685=UCSel),$A685+ROW()/100000,"")</f>
        <v/>
      </c>
    </row>
    <row r="686" customFormat="false" ht="15" hidden="false" customHeight="false" outlineLevel="0" collapsed="false">
      <c r="A686" s="63"/>
      <c r="B686" s="28"/>
      <c r="C686" s="28"/>
      <c r="D686" s="28"/>
      <c r="E686" s="64"/>
      <c r="F686" s="67" t="str">
        <f aca="false">IF($A686="","",$A686-WEEKDAY($A686,3))</f>
        <v/>
      </c>
      <c r="G686" s="65" t="str">
        <f aca="false">IF($A686="","",IF($F686=WeekStart,"Yes",""))</f>
        <v/>
      </c>
      <c r="H686" s="65" t="str">
        <f aca="false">IF($G686="Yes",$A686+ROW()/100000,"")</f>
        <v/>
      </c>
      <c r="I686" s="65" t="str">
        <f aca="false">IF(AND($D686&lt;&gt;"",$D686=UCSel),$A686+ROW()/100000,"")</f>
        <v/>
      </c>
    </row>
    <row r="687" customFormat="false" ht="15" hidden="false" customHeight="false" outlineLevel="0" collapsed="false">
      <c r="A687" s="63"/>
      <c r="B687" s="28"/>
      <c r="C687" s="28"/>
      <c r="D687" s="28"/>
      <c r="E687" s="64"/>
      <c r="F687" s="67" t="str">
        <f aca="false">IF($A687="","",$A687-WEEKDAY($A687,3))</f>
        <v/>
      </c>
      <c r="G687" s="65" t="str">
        <f aca="false">IF($A687="","",IF($F687=WeekStart,"Yes",""))</f>
        <v/>
      </c>
      <c r="H687" s="65" t="str">
        <f aca="false">IF($G687="Yes",$A687+ROW()/100000,"")</f>
        <v/>
      </c>
      <c r="I687" s="65" t="str">
        <f aca="false">IF(AND($D687&lt;&gt;"",$D687=UCSel),$A687+ROW()/100000,"")</f>
        <v/>
      </c>
    </row>
    <row r="688" customFormat="false" ht="15" hidden="false" customHeight="false" outlineLevel="0" collapsed="false">
      <c r="A688" s="63"/>
      <c r="B688" s="28"/>
      <c r="C688" s="28"/>
      <c r="D688" s="28"/>
      <c r="E688" s="64"/>
      <c r="F688" s="67" t="str">
        <f aca="false">IF($A688="","",$A688-WEEKDAY($A688,3))</f>
        <v/>
      </c>
      <c r="G688" s="65" t="str">
        <f aca="false">IF($A688="","",IF($F688=WeekStart,"Yes",""))</f>
        <v/>
      </c>
      <c r="H688" s="65" t="str">
        <f aca="false">IF($G688="Yes",$A688+ROW()/100000,"")</f>
        <v/>
      </c>
      <c r="I688" s="65" t="str">
        <f aca="false">IF(AND($D688&lt;&gt;"",$D688=UCSel),$A688+ROW()/100000,"")</f>
        <v/>
      </c>
    </row>
    <row r="689" customFormat="false" ht="15" hidden="false" customHeight="false" outlineLevel="0" collapsed="false">
      <c r="A689" s="63"/>
      <c r="B689" s="28"/>
      <c r="C689" s="28"/>
      <c r="D689" s="28"/>
      <c r="E689" s="64"/>
      <c r="F689" s="67" t="str">
        <f aca="false">IF($A689="","",$A689-WEEKDAY($A689,3))</f>
        <v/>
      </c>
      <c r="G689" s="65" t="str">
        <f aca="false">IF($A689="","",IF($F689=WeekStart,"Yes",""))</f>
        <v/>
      </c>
      <c r="H689" s="65" t="str">
        <f aca="false">IF($G689="Yes",$A689+ROW()/100000,"")</f>
        <v/>
      </c>
      <c r="I689" s="65" t="str">
        <f aca="false">IF(AND($D689&lt;&gt;"",$D689=UCSel),$A689+ROW()/100000,"")</f>
        <v/>
      </c>
    </row>
    <row r="690" customFormat="false" ht="15" hidden="false" customHeight="false" outlineLevel="0" collapsed="false">
      <c r="A690" s="63"/>
      <c r="B690" s="28"/>
      <c r="C690" s="28"/>
      <c r="D690" s="28"/>
      <c r="E690" s="64"/>
      <c r="F690" s="67" t="str">
        <f aca="false">IF($A690="","",$A690-WEEKDAY($A690,3))</f>
        <v/>
      </c>
      <c r="G690" s="65" t="str">
        <f aca="false">IF($A690="","",IF($F690=WeekStart,"Yes",""))</f>
        <v/>
      </c>
      <c r="H690" s="65" t="str">
        <f aca="false">IF($G690="Yes",$A690+ROW()/100000,"")</f>
        <v/>
      </c>
      <c r="I690" s="65" t="str">
        <f aca="false">IF(AND($D690&lt;&gt;"",$D690=UCSel),$A690+ROW()/100000,"")</f>
        <v/>
      </c>
    </row>
    <row r="691" customFormat="false" ht="15" hidden="false" customHeight="false" outlineLevel="0" collapsed="false">
      <c r="A691" s="63"/>
      <c r="B691" s="28"/>
      <c r="C691" s="28"/>
      <c r="D691" s="28"/>
      <c r="E691" s="64"/>
      <c r="F691" s="67" t="str">
        <f aca="false">IF($A691="","",$A691-WEEKDAY($A691,3))</f>
        <v/>
      </c>
      <c r="G691" s="65" t="str">
        <f aca="false">IF($A691="","",IF($F691=WeekStart,"Yes",""))</f>
        <v/>
      </c>
      <c r="H691" s="65" t="str">
        <f aca="false">IF($G691="Yes",$A691+ROW()/100000,"")</f>
        <v/>
      </c>
      <c r="I691" s="65" t="str">
        <f aca="false">IF(AND($D691&lt;&gt;"",$D691=UCSel),$A691+ROW()/100000,"")</f>
        <v/>
      </c>
    </row>
    <row r="692" customFormat="false" ht="15" hidden="false" customHeight="false" outlineLevel="0" collapsed="false">
      <c r="A692" s="63"/>
      <c r="B692" s="28"/>
      <c r="C692" s="28"/>
      <c r="D692" s="28"/>
      <c r="E692" s="64"/>
      <c r="F692" s="67" t="str">
        <f aca="false">IF($A692="","",$A692-WEEKDAY($A692,3))</f>
        <v/>
      </c>
      <c r="G692" s="65" t="str">
        <f aca="false">IF($A692="","",IF($F692=WeekStart,"Yes",""))</f>
        <v/>
      </c>
      <c r="H692" s="65" t="str">
        <f aca="false">IF($G692="Yes",$A692+ROW()/100000,"")</f>
        <v/>
      </c>
      <c r="I692" s="65" t="str">
        <f aca="false">IF(AND($D692&lt;&gt;"",$D692=UCSel),$A692+ROW()/100000,"")</f>
        <v/>
      </c>
    </row>
    <row r="693" customFormat="false" ht="15" hidden="false" customHeight="false" outlineLevel="0" collapsed="false">
      <c r="A693" s="63"/>
      <c r="B693" s="28"/>
      <c r="C693" s="28"/>
      <c r="D693" s="28"/>
      <c r="E693" s="64"/>
      <c r="F693" s="67" t="str">
        <f aca="false">IF($A693="","",$A693-WEEKDAY($A693,3))</f>
        <v/>
      </c>
      <c r="G693" s="65" t="str">
        <f aca="false">IF($A693="","",IF($F693=WeekStart,"Yes",""))</f>
        <v/>
      </c>
      <c r="H693" s="65" t="str">
        <f aca="false">IF($G693="Yes",$A693+ROW()/100000,"")</f>
        <v/>
      </c>
      <c r="I693" s="65" t="str">
        <f aca="false">IF(AND($D693&lt;&gt;"",$D693=UCSel),$A693+ROW()/100000,"")</f>
        <v/>
      </c>
    </row>
    <row r="694" customFormat="false" ht="15" hidden="false" customHeight="false" outlineLevel="0" collapsed="false">
      <c r="A694" s="63"/>
      <c r="B694" s="28"/>
      <c r="C694" s="28"/>
      <c r="D694" s="28"/>
      <c r="E694" s="64"/>
      <c r="F694" s="67" t="str">
        <f aca="false">IF($A694="","",$A694-WEEKDAY($A694,3))</f>
        <v/>
      </c>
      <c r="G694" s="65" t="str">
        <f aca="false">IF($A694="","",IF($F694=WeekStart,"Yes",""))</f>
        <v/>
      </c>
      <c r="H694" s="65" t="str">
        <f aca="false">IF($G694="Yes",$A694+ROW()/100000,"")</f>
        <v/>
      </c>
      <c r="I694" s="65" t="str">
        <f aca="false">IF(AND($D694&lt;&gt;"",$D694=UCSel),$A694+ROW()/100000,"")</f>
        <v/>
      </c>
    </row>
    <row r="695" customFormat="false" ht="15" hidden="false" customHeight="false" outlineLevel="0" collapsed="false">
      <c r="A695" s="63"/>
      <c r="B695" s="28"/>
      <c r="C695" s="28"/>
      <c r="D695" s="28"/>
      <c r="E695" s="64"/>
      <c r="F695" s="67" t="str">
        <f aca="false">IF($A695="","",$A695-WEEKDAY($A695,3))</f>
        <v/>
      </c>
      <c r="G695" s="65" t="str">
        <f aca="false">IF($A695="","",IF($F695=WeekStart,"Yes",""))</f>
        <v/>
      </c>
      <c r="H695" s="65" t="str">
        <f aca="false">IF($G695="Yes",$A695+ROW()/100000,"")</f>
        <v/>
      </c>
      <c r="I695" s="65" t="str">
        <f aca="false">IF(AND($D695&lt;&gt;"",$D695=UCSel),$A695+ROW()/100000,"")</f>
        <v/>
      </c>
    </row>
    <row r="696" customFormat="false" ht="15" hidden="false" customHeight="false" outlineLevel="0" collapsed="false">
      <c r="A696" s="63"/>
      <c r="B696" s="28"/>
      <c r="C696" s="28"/>
      <c r="D696" s="28"/>
      <c r="E696" s="64"/>
      <c r="F696" s="67" t="str">
        <f aca="false">IF($A696="","",$A696-WEEKDAY($A696,3))</f>
        <v/>
      </c>
      <c r="G696" s="65" t="str">
        <f aca="false">IF($A696="","",IF($F696=WeekStart,"Yes",""))</f>
        <v/>
      </c>
      <c r="H696" s="65" t="str">
        <f aca="false">IF($G696="Yes",$A696+ROW()/100000,"")</f>
        <v/>
      </c>
      <c r="I696" s="65" t="str">
        <f aca="false">IF(AND($D696&lt;&gt;"",$D696=UCSel),$A696+ROW()/100000,"")</f>
        <v/>
      </c>
    </row>
    <row r="697" customFormat="false" ht="15" hidden="false" customHeight="false" outlineLevel="0" collapsed="false">
      <c r="A697" s="63"/>
      <c r="B697" s="28"/>
      <c r="C697" s="28"/>
      <c r="D697" s="28"/>
      <c r="E697" s="64"/>
      <c r="F697" s="67" t="str">
        <f aca="false">IF($A697="","",$A697-WEEKDAY($A697,3))</f>
        <v/>
      </c>
      <c r="G697" s="65" t="str">
        <f aca="false">IF($A697="","",IF($F697=WeekStart,"Yes",""))</f>
        <v/>
      </c>
      <c r="H697" s="65" t="str">
        <f aca="false">IF($G697="Yes",$A697+ROW()/100000,"")</f>
        <v/>
      </c>
      <c r="I697" s="65" t="str">
        <f aca="false">IF(AND($D697&lt;&gt;"",$D697=UCSel),$A697+ROW()/100000,"")</f>
        <v/>
      </c>
    </row>
    <row r="698" customFormat="false" ht="15" hidden="false" customHeight="false" outlineLevel="0" collapsed="false">
      <c r="A698" s="63"/>
      <c r="B698" s="28"/>
      <c r="C698" s="28"/>
      <c r="D698" s="28"/>
      <c r="E698" s="64"/>
      <c r="F698" s="67" t="str">
        <f aca="false">IF($A698="","",$A698-WEEKDAY($A698,3))</f>
        <v/>
      </c>
      <c r="G698" s="65" t="str">
        <f aca="false">IF($A698="","",IF($F698=WeekStart,"Yes",""))</f>
        <v/>
      </c>
      <c r="H698" s="65" t="str">
        <f aca="false">IF($G698="Yes",$A698+ROW()/100000,"")</f>
        <v/>
      </c>
      <c r="I698" s="65" t="str">
        <f aca="false">IF(AND($D698&lt;&gt;"",$D698=UCSel),$A698+ROW()/100000,"")</f>
        <v/>
      </c>
    </row>
    <row r="699" customFormat="false" ht="15" hidden="false" customHeight="false" outlineLevel="0" collapsed="false">
      <c r="A699" s="63"/>
      <c r="B699" s="28"/>
      <c r="C699" s="28"/>
      <c r="D699" s="28"/>
      <c r="E699" s="64"/>
      <c r="F699" s="67" t="str">
        <f aca="false">IF($A699="","",$A699-WEEKDAY($A699,3))</f>
        <v/>
      </c>
      <c r="G699" s="65" t="str">
        <f aca="false">IF($A699="","",IF($F699=WeekStart,"Yes",""))</f>
        <v/>
      </c>
      <c r="H699" s="65" t="str">
        <f aca="false">IF($G699="Yes",$A699+ROW()/100000,"")</f>
        <v/>
      </c>
      <c r="I699" s="65" t="str">
        <f aca="false">IF(AND($D699&lt;&gt;"",$D699=UCSel),$A699+ROW()/100000,"")</f>
        <v/>
      </c>
    </row>
    <row r="700" customFormat="false" ht="15" hidden="false" customHeight="false" outlineLevel="0" collapsed="false">
      <c r="A700" s="63"/>
      <c r="B700" s="28"/>
      <c r="C700" s="28"/>
      <c r="D700" s="28"/>
      <c r="E700" s="64"/>
      <c r="F700" s="67" t="str">
        <f aca="false">IF($A700="","",$A700-WEEKDAY($A700,3))</f>
        <v/>
      </c>
      <c r="G700" s="65" t="str">
        <f aca="false">IF($A700="","",IF($F700=WeekStart,"Yes",""))</f>
        <v/>
      </c>
      <c r="H700" s="65" t="str">
        <f aca="false">IF($G700="Yes",$A700+ROW()/100000,"")</f>
        <v/>
      </c>
      <c r="I700" s="65" t="str">
        <f aca="false">IF(AND($D700&lt;&gt;"",$D700=UCSel),$A700+ROW()/100000,"")</f>
        <v/>
      </c>
    </row>
    <row r="701" customFormat="false" ht="15" hidden="false" customHeight="false" outlineLevel="0" collapsed="false">
      <c r="A701" s="63"/>
      <c r="B701" s="28"/>
      <c r="C701" s="28"/>
      <c r="D701" s="28"/>
      <c r="E701" s="64"/>
      <c r="F701" s="67" t="str">
        <f aca="false">IF($A701="","",$A701-WEEKDAY($A701,3))</f>
        <v/>
      </c>
      <c r="G701" s="65" t="str">
        <f aca="false">IF($A701="","",IF($F701=WeekStart,"Yes",""))</f>
        <v/>
      </c>
      <c r="H701" s="65" t="str">
        <f aca="false">IF($G701="Yes",$A701+ROW()/100000,"")</f>
        <v/>
      </c>
      <c r="I701" s="65" t="str">
        <f aca="false">IF(AND($D701&lt;&gt;"",$D701=UCSel),$A701+ROW()/100000,"")</f>
        <v/>
      </c>
    </row>
    <row r="702" customFormat="false" ht="15" hidden="false" customHeight="false" outlineLevel="0" collapsed="false">
      <c r="A702" s="63"/>
      <c r="B702" s="28"/>
      <c r="C702" s="28"/>
      <c r="D702" s="28"/>
      <c r="E702" s="64"/>
      <c r="F702" s="67" t="str">
        <f aca="false">IF($A702="","",$A702-WEEKDAY($A702,3))</f>
        <v/>
      </c>
      <c r="G702" s="65" t="str">
        <f aca="false">IF($A702="","",IF($F702=WeekStart,"Yes",""))</f>
        <v/>
      </c>
      <c r="H702" s="65" t="str">
        <f aca="false">IF($G702="Yes",$A702+ROW()/100000,"")</f>
        <v/>
      </c>
      <c r="I702" s="65" t="str">
        <f aca="false">IF(AND($D702&lt;&gt;"",$D702=UCSel),$A702+ROW()/100000,"")</f>
        <v/>
      </c>
    </row>
    <row r="703" customFormat="false" ht="15" hidden="false" customHeight="false" outlineLevel="0" collapsed="false">
      <c r="A703" s="63"/>
      <c r="B703" s="28"/>
      <c r="C703" s="28"/>
      <c r="D703" s="28"/>
      <c r="E703" s="64"/>
      <c r="F703" s="67" t="str">
        <f aca="false">IF($A703="","",$A703-WEEKDAY($A703,3))</f>
        <v/>
      </c>
      <c r="G703" s="65" t="str">
        <f aca="false">IF($A703="","",IF($F703=WeekStart,"Yes",""))</f>
        <v/>
      </c>
      <c r="H703" s="65" t="str">
        <f aca="false">IF($G703="Yes",$A703+ROW()/100000,"")</f>
        <v/>
      </c>
      <c r="I703" s="65" t="str">
        <f aca="false">IF(AND($D703&lt;&gt;"",$D703=UCSel),$A703+ROW()/100000,"")</f>
        <v/>
      </c>
    </row>
    <row r="704" customFormat="false" ht="15" hidden="false" customHeight="false" outlineLevel="0" collapsed="false">
      <c r="A704" s="63"/>
      <c r="B704" s="28"/>
      <c r="C704" s="28"/>
      <c r="D704" s="28"/>
      <c r="E704" s="64"/>
      <c r="F704" s="67" t="str">
        <f aca="false">IF($A704="","",$A704-WEEKDAY($A704,3))</f>
        <v/>
      </c>
      <c r="G704" s="65" t="str">
        <f aca="false">IF($A704="","",IF($F704=WeekStart,"Yes",""))</f>
        <v/>
      </c>
      <c r="H704" s="65" t="str">
        <f aca="false">IF($G704="Yes",$A704+ROW()/100000,"")</f>
        <v/>
      </c>
      <c r="I704" s="65" t="str">
        <f aca="false">IF(AND($D704&lt;&gt;"",$D704=UCSel),$A704+ROW()/100000,"")</f>
        <v/>
      </c>
    </row>
    <row r="705" customFormat="false" ht="15" hidden="false" customHeight="false" outlineLevel="0" collapsed="false">
      <c r="A705" s="63"/>
      <c r="B705" s="28"/>
      <c r="C705" s="28"/>
      <c r="D705" s="28"/>
      <c r="E705" s="64"/>
      <c r="F705" s="67" t="str">
        <f aca="false">IF($A705="","",$A705-WEEKDAY($A705,3))</f>
        <v/>
      </c>
      <c r="G705" s="65" t="str">
        <f aca="false">IF($A705="","",IF($F705=WeekStart,"Yes",""))</f>
        <v/>
      </c>
      <c r="H705" s="65" t="str">
        <f aca="false">IF($G705="Yes",$A705+ROW()/100000,"")</f>
        <v/>
      </c>
      <c r="I705" s="65" t="str">
        <f aca="false">IF(AND($D705&lt;&gt;"",$D705=UCSel),$A705+ROW()/100000,"")</f>
        <v/>
      </c>
    </row>
    <row r="706" customFormat="false" ht="15" hidden="false" customHeight="false" outlineLevel="0" collapsed="false">
      <c r="A706" s="63"/>
      <c r="B706" s="28"/>
      <c r="C706" s="28"/>
      <c r="D706" s="28"/>
      <c r="E706" s="64"/>
      <c r="F706" s="67" t="str">
        <f aca="false">IF($A706="","",$A706-WEEKDAY($A706,3))</f>
        <v/>
      </c>
      <c r="G706" s="65" t="str">
        <f aca="false">IF($A706="","",IF($F706=WeekStart,"Yes",""))</f>
        <v/>
      </c>
      <c r="H706" s="65" t="str">
        <f aca="false">IF($G706="Yes",$A706+ROW()/100000,"")</f>
        <v/>
      </c>
      <c r="I706" s="65" t="str">
        <f aca="false">IF(AND($D706&lt;&gt;"",$D706=UCSel),$A706+ROW()/100000,"")</f>
        <v/>
      </c>
    </row>
    <row r="707" customFormat="false" ht="15" hidden="false" customHeight="false" outlineLevel="0" collapsed="false">
      <c r="A707" s="63"/>
      <c r="B707" s="28"/>
      <c r="C707" s="28"/>
      <c r="D707" s="28"/>
      <c r="E707" s="64"/>
      <c r="F707" s="67" t="str">
        <f aca="false">IF($A707="","",$A707-WEEKDAY($A707,3))</f>
        <v/>
      </c>
      <c r="G707" s="65" t="str">
        <f aca="false">IF($A707="","",IF($F707=WeekStart,"Yes",""))</f>
        <v/>
      </c>
      <c r="H707" s="65" t="str">
        <f aca="false">IF($G707="Yes",$A707+ROW()/100000,"")</f>
        <v/>
      </c>
      <c r="I707" s="65" t="str">
        <f aca="false">IF(AND($D707&lt;&gt;"",$D707=UCSel),$A707+ROW()/100000,"")</f>
        <v/>
      </c>
    </row>
    <row r="708" customFormat="false" ht="15" hidden="false" customHeight="false" outlineLevel="0" collapsed="false">
      <c r="A708" s="63"/>
      <c r="B708" s="28"/>
      <c r="C708" s="28"/>
      <c r="D708" s="28"/>
      <c r="E708" s="64"/>
      <c r="F708" s="67" t="str">
        <f aca="false">IF($A708="","",$A708-WEEKDAY($A708,3))</f>
        <v/>
      </c>
      <c r="G708" s="65" t="str">
        <f aca="false">IF($A708="","",IF($F708=WeekStart,"Yes",""))</f>
        <v/>
      </c>
      <c r="H708" s="65" t="str">
        <f aca="false">IF($G708="Yes",$A708+ROW()/100000,"")</f>
        <v/>
      </c>
      <c r="I708" s="65" t="str">
        <f aca="false">IF(AND($D708&lt;&gt;"",$D708=UCSel),$A708+ROW()/100000,"")</f>
        <v/>
      </c>
    </row>
    <row r="709" customFormat="false" ht="15" hidden="false" customHeight="false" outlineLevel="0" collapsed="false">
      <c r="A709" s="63"/>
      <c r="B709" s="28"/>
      <c r="C709" s="28"/>
      <c r="D709" s="28"/>
      <c r="E709" s="64"/>
      <c r="F709" s="67" t="str">
        <f aca="false">IF($A709="","",$A709-WEEKDAY($A709,3))</f>
        <v/>
      </c>
      <c r="G709" s="65" t="str">
        <f aca="false">IF($A709="","",IF($F709=WeekStart,"Yes",""))</f>
        <v/>
      </c>
      <c r="H709" s="65" t="str">
        <f aca="false">IF($G709="Yes",$A709+ROW()/100000,"")</f>
        <v/>
      </c>
      <c r="I709" s="65" t="str">
        <f aca="false">IF(AND($D709&lt;&gt;"",$D709=UCSel),$A709+ROW()/100000,"")</f>
        <v/>
      </c>
    </row>
    <row r="710" customFormat="false" ht="15" hidden="false" customHeight="false" outlineLevel="0" collapsed="false">
      <c r="A710" s="63"/>
      <c r="B710" s="28"/>
      <c r="C710" s="28"/>
      <c r="D710" s="28"/>
      <c r="E710" s="64"/>
      <c r="F710" s="67" t="str">
        <f aca="false">IF($A710="","",$A710-WEEKDAY($A710,3))</f>
        <v/>
      </c>
      <c r="G710" s="65" t="str">
        <f aca="false">IF($A710="","",IF($F710=WeekStart,"Yes",""))</f>
        <v/>
      </c>
      <c r="H710" s="65" t="str">
        <f aca="false">IF($G710="Yes",$A710+ROW()/100000,"")</f>
        <v/>
      </c>
      <c r="I710" s="65" t="str">
        <f aca="false">IF(AND($D710&lt;&gt;"",$D710=UCSel),$A710+ROW()/100000,"")</f>
        <v/>
      </c>
    </row>
    <row r="711" customFormat="false" ht="15" hidden="false" customHeight="false" outlineLevel="0" collapsed="false">
      <c r="A711" s="63"/>
      <c r="B711" s="28"/>
      <c r="C711" s="28"/>
      <c r="D711" s="28"/>
      <c r="E711" s="64"/>
      <c r="F711" s="67" t="str">
        <f aca="false">IF($A711="","",$A711-WEEKDAY($A711,3))</f>
        <v/>
      </c>
      <c r="G711" s="65" t="str">
        <f aca="false">IF($A711="","",IF($F711=WeekStart,"Yes",""))</f>
        <v/>
      </c>
      <c r="H711" s="65" t="str">
        <f aca="false">IF($G711="Yes",$A711+ROW()/100000,"")</f>
        <v/>
      </c>
      <c r="I711" s="65" t="str">
        <f aca="false">IF(AND($D711&lt;&gt;"",$D711=UCSel),$A711+ROW()/100000,"")</f>
        <v/>
      </c>
    </row>
    <row r="712" customFormat="false" ht="15" hidden="false" customHeight="false" outlineLevel="0" collapsed="false">
      <c r="A712" s="63"/>
      <c r="B712" s="28"/>
      <c r="C712" s="28"/>
      <c r="D712" s="28"/>
      <c r="E712" s="64"/>
      <c r="F712" s="67" t="str">
        <f aca="false">IF($A712="","",$A712-WEEKDAY($A712,3))</f>
        <v/>
      </c>
      <c r="G712" s="65" t="str">
        <f aca="false">IF($A712="","",IF($F712=WeekStart,"Yes",""))</f>
        <v/>
      </c>
      <c r="H712" s="65" t="str">
        <f aca="false">IF($G712="Yes",$A712+ROW()/100000,"")</f>
        <v/>
      </c>
      <c r="I712" s="65" t="str">
        <f aca="false">IF(AND($D712&lt;&gt;"",$D712=UCSel),$A712+ROW()/100000,"")</f>
        <v/>
      </c>
    </row>
    <row r="713" customFormat="false" ht="15" hidden="false" customHeight="false" outlineLevel="0" collapsed="false">
      <c r="A713" s="63"/>
      <c r="B713" s="28"/>
      <c r="C713" s="28"/>
      <c r="D713" s="28"/>
      <c r="E713" s="64"/>
      <c r="F713" s="67" t="str">
        <f aca="false">IF($A713="","",$A713-WEEKDAY($A713,3))</f>
        <v/>
      </c>
      <c r="G713" s="65" t="str">
        <f aca="false">IF($A713="","",IF($F713=WeekStart,"Yes",""))</f>
        <v/>
      </c>
      <c r="H713" s="65" t="str">
        <f aca="false">IF($G713="Yes",$A713+ROW()/100000,"")</f>
        <v/>
      </c>
      <c r="I713" s="65" t="str">
        <f aca="false">IF(AND($D713&lt;&gt;"",$D713=UCSel),$A713+ROW()/100000,"")</f>
        <v/>
      </c>
    </row>
    <row r="714" customFormat="false" ht="15" hidden="false" customHeight="false" outlineLevel="0" collapsed="false">
      <c r="A714" s="63"/>
      <c r="B714" s="28"/>
      <c r="C714" s="28"/>
      <c r="D714" s="28"/>
      <c r="E714" s="64"/>
      <c r="F714" s="67" t="str">
        <f aca="false">IF($A714="","",$A714-WEEKDAY($A714,3))</f>
        <v/>
      </c>
      <c r="G714" s="65" t="str">
        <f aca="false">IF($A714="","",IF($F714=WeekStart,"Yes",""))</f>
        <v/>
      </c>
      <c r="H714" s="65" t="str">
        <f aca="false">IF($G714="Yes",$A714+ROW()/100000,"")</f>
        <v/>
      </c>
      <c r="I714" s="65" t="str">
        <f aca="false">IF(AND($D714&lt;&gt;"",$D714=UCSel),$A714+ROW()/100000,"")</f>
        <v/>
      </c>
    </row>
    <row r="715" customFormat="false" ht="15" hidden="false" customHeight="false" outlineLevel="0" collapsed="false">
      <c r="A715" s="63"/>
      <c r="B715" s="28"/>
      <c r="C715" s="28"/>
      <c r="D715" s="28"/>
      <c r="E715" s="64"/>
      <c r="F715" s="67" t="str">
        <f aca="false">IF($A715="","",$A715-WEEKDAY($A715,3))</f>
        <v/>
      </c>
      <c r="G715" s="65" t="str">
        <f aca="false">IF($A715="","",IF($F715=WeekStart,"Yes",""))</f>
        <v/>
      </c>
      <c r="H715" s="65" t="str">
        <f aca="false">IF($G715="Yes",$A715+ROW()/100000,"")</f>
        <v/>
      </c>
      <c r="I715" s="65" t="str">
        <f aca="false">IF(AND($D715&lt;&gt;"",$D715=UCSel),$A715+ROW()/100000,"")</f>
        <v/>
      </c>
    </row>
    <row r="716" customFormat="false" ht="15" hidden="false" customHeight="false" outlineLevel="0" collapsed="false">
      <c r="A716" s="63"/>
      <c r="B716" s="28"/>
      <c r="C716" s="28"/>
      <c r="D716" s="28"/>
      <c r="E716" s="64"/>
      <c r="F716" s="67" t="str">
        <f aca="false">IF($A716="","",$A716-WEEKDAY($A716,3))</f>
        <v/>
      </c>
      <c r="G716" s="65" t="str">
        <f aca="false">IF($A716="","",IF($F716=WeekStart,"Yes",""))</f>
        <v/>
      </c>
      <c r="H716" s="65" t="str">
        <f aca="false">IF($G716="Yes",$A716+ROW()/100000,"")</f>
        <v/>
      </c>
      <c r="I716" s="65" t="str">
        <f aca="false">IF(AND($D716&lt;&gt;"",$D716=UCSel),$A716+ROW()/100000,"")</f>
        <v/>
      </c>
    </row>
    <row r="717" customFormat="false" ht="15" hidden="false" customHeight="false" outlineLevel="0" collapsed="false">
      <c r="A717" s="63"/>
      <c r="B717" s="28"/>
      <c r="C717" s="28"/>
      <c r="D717" s="28"/>
      <c r="E717" s="64"/>
      <c r="F717" s="67" t="str">
        <f aca="false">IF($A717="","",$A717-WEEKDAY($A717,3))</f>
        <v/>
      </c>
      <c r="G717" s="65" t="str">
        <f aca="false">IF($A717="","",IF($F717=WeekStart,"Yes",""))</f>
        <v/>
      </c>
      <c r="H717" s="65" t="str">
        <f aca="false">IF($G717="Yes",$A717+ROW()/100000,"")</f>
        <v/>
      </c>
      <c r="I717" s="65" t="str">
        <f aca="false">IF(AND($D717&lt;&gt;"",$D717=UCSel),$A717+ROW()/100000,"")</f>
        <v/>
      </c>
    </row>
    <row r="718" customFormat="false" ht="15" hidden="false" customHeight="false" outlineLevel="0" collapsed="false">
      <c r="A718" s="63"/>
      <c r="B718" s="28"/>
      <c r="C718" s="28"/>
      <c r="D718" s="28"/>
      <c r="E718" s="64"/>
      <c r="F718" s="67" t="str">
        <f aca="false">IF($A718="","",$A718-WEEKDAY($A718,3))</f>
        <v/>
      </c>
      <c r="G718" s="65" t="str">
        <f aca="false">IF($A718="","",IF($F718=WeekStart,"Yes",""))</f>
        <v/>
      </c>
      <c r="H718" s="65" t="str">
        <f aca="false">IF($G718="Yes",$A718+ROW()/100000,"")</f>
        <v/>
      </c>
      <c r="I718" s="65" t="str">
        <f aca="false">IF(AND($D718&lt;&gt;"",$D718=UCSel),$A718+ROW()/100000,"")</f>
        <v/>
      </c>
    </row>
    <row r="719" customFormat="false" ht="15" hidden="false" customHeight="false" outlineLevel="0" collapsed="false">
      <c r="A719" s="63"/>
      <c r="B719" s="28"/>
      <c r="C719" s="28"/>
      <c r="D719" s="28"/>
      <c r="E719" s="64"/>
      <c r="F719" s="67" t="str">
        <f aca="false">IF($A719="","",$A719-WEEKDAY($A719,3))</f>
        <v/>
      </c>
      <c r="G719" s="65" t="str">
        <f aca="false">IF($A719="","",IF($F719=WeekStart,"Yes",""))</f>
        <v/>
      </c>
      <c r="H719" s="65" t="str">
        <f aca="false">IF($G719="Yes",$A719+ROW()/100000,"")</f>
        <v/>
      </c>
      <c r="I719" s="65" t="str">
        <f aca="false">IF(AND($D719&lt;&gt;"",$D719=UCSel),$A719+ROW()/100000,"")</f>
        <v/>
      </c>
    </row>
    <row r="720" customFormat="false" ht="15" hidden="false" customHeight="false" outlineLevel="0" collapsed="false">
      <c r="A720" s="63"/>
      <c r="B720" s="28"/>
      <c r="C720" s="28"/>
      <c r="D720" s="28"/>
      <c r="E720" s="64"/>
      <c r="F720" s="67" t="str">
        <f aca="false">IF($A720="","",$A720-WEEKDAY($A720,3))</f>
        <v/>
      </c>
      <c r="G720" s="65" t="str">
        <f aca="false">IF($A720="","",IF($F720=WeekStart,"Yes",""))</f>
        <v/>
      </c>
      <c r="H720" s="65" t="str">
        <f aca="false">IF($G720="Yes",$A720+ROW()/100000,"")</f>
        <v/>
      </c>
      <c r="I720" s="65" t="str">
        <f aca="false">IF(AND($D720&lt;&gt;"",$D720=UCSel),$A720+ROW()/100000,"")</f>
        <v/>
      </c>
    </row>
    <row r="721" customFormat="false" ht="15" hidden="false" customHeight="false" outlineLevel="0" collapsed="false">
      <c r="A721" s="63"/>
      <c r="B721" s="28"/>
      <c r="C721" s="28"/>
      <c r="D721" s="28"/>
      <c r="E721" s="64"/>
      <c r="F721" s="67" t="str">
        <f aca="false">IF($A721="","",$A721-WEEKDAY($A721,3))</f>
        <v/>
      </c>
      <c r="G721" s="65" t="str">
        <f aca="false">IF($A721="","",IF($F721=WeekStart,"Yes",""))</f>
        <v/>
      </c>
      <c r="H721" s="65" t="str">
        <f aca="false">IF($G721="Yes",$A721+ROW()/100000,"")</f>
        <v/>
      </c>
      <c r="I721" s="65" t="str">
        <f aca="false">IF(AND($D721&lt;&gt;"",$D721=UCSel),$A721+ROW()/100000,"")</f>
        <v/>
      </c>
    </row>
    <row r="722" customFormat="false" ht="15" hidden="false" customHeight="false" outlineLevel="0" collapsed="false">
      <c r="A722" s="63"/>
      <c r="B722" s="28"/>
      <c r="C722" s="28"/>
      <c r="D722" s="28"/>
      <c r="E722" s="64"/>
      <c r="F722" s="67" t="str">
        <f aca="false">IF($A722="","",$A722-WEEKDAY($A722,3))</f>
        <v/>
      </c>
      <c r="G722" s="65" t="str">
        <f aca="false">IF($A722="","",IF($F722=WeekStart,"Yes",""))</f>
        <v/>
      </c>
      <c r="H722" s="65" t="str">
        <f aca="false">IF($G722="Yes",$A722+ROW()/100000,"")</f>
        <v/>
      </c>
      <c r="I722" s="65" t="str">
        <f aca="false">IF(AND($D722&lt;&gt;"",$D722=UCSel),$A722+ROW()/100000,"")</f>
        <v/>
      </c>
    </row>
    <row r="723" customFormat="false" ht="15" hidden="false" customHeight="false" outlineLevel="0" collapsed="false">
      <c r="A723" s="63"/>
      <c r="B723" s="28"/>
      <c r="C723" s="28"/>
      <c r="D723" s="28"/>
      <c r="E723" s="64"/>
      <c r="F723" s="67" t="str">
        <f aca="false">IF($A723="","",$A723-WEEKDAY($A723,3))</f>
        <v/>
      </c>
      <c r="G723" s="65" t="str">
        <f aca="false">IF($A723="","",IF($F723=WeekStart,"Yes",""))</f>
        <v/>
      </c>
      <c r="H723" s="65" t="str">
        <f aca="false">IF($G723="Yes",$A723+ROW()/100000,"")</f>
        <v/>
      </c>
      <c r="I723" s="65" t="str">
        <f aca="false">IF(AND($D723&lt;&gt;"",$D723=UCSel),$A723+ROW()/100000,"")</f>
        <v/>
      </c>
    </row>
    <row r="724" customFormat="false" ht="15" hidden="false" customHeight="false" outlineLevel="0" collapsed="false">
      <c r="A724" s="63"/>
      <c r="B724" s="28"/>
      <c r="C724" s="28"/>
      <c r="D724" s="28"/>
      <c r="E724" s="64"/>
      <c r="F724" s="67" t="str">
        <f aca="false">IF($A724="","",$A724-WEEKDAY($A724,3))</f>
        <v/>
      </c>
      <c r="G724" s="65" t="str">
        <f aca="false">IF($A724="","",IF($F724=WeekStart,"Yes",""))</f>
        <v/>
      </c>
      <c r="H724" s="65" t="str">
        <f aca="false">IF($G724="Yes",$A724+ROW()/100000,"")</f>
        <v/>
      </c>
      <c r="I724" s="65" t="str">
        <f aca="false">IF(AND($D724&lt;&gt;"",$D724=UCSel),$A724+ROW()/100000,"")</f>
        <v/>
      </c>
    </row>
    <row r="725" customFormat="false" ht="15" hidden="false" customHeight="false" outlineLevel="0" collapsed="false">
      <c r="A725" s="63"/>
      <c r="B725" s="28"/>
      <c r="C725" s="28"/>
      <c r="D725" s="28"/>
      <c r="E725" s="64"/>
      <c r="F725" s="67" t="str">
        <f aca="false">IF($A725="","",$A725-WEEKDAY($A725,3))</f>
        <v/>
      </c>
      <c r="G725" s="65" t="str">
        <f aca="false">IF($A725="","",IF($F725=WeekStart,"Yes",""))</f>
        <v/>
      </c>
      <c r="H725" s="65" t="str">
        <f aca="false">IF($G725="Yes",$A725+ROW()/100000,"")</f>
        <v/>
      </c>
      <c r="I725" s="65" t="str">
        <f aca="false">IF(AND($D725&lt;&gt;"",$D725=UCSel),$A725+ROW()/100000,"")</f>
        <v/>
      </c>
    </row>
    <row r="726" customFormat="false" ht="15" hidden="false" customHeight="false" outlineLevel="0" collapsed="false">
      <c r="A726" s="63"/>
      <c r="B726" s="28"/>
      <c r="C726" s="28"/>
      <c r="D726" s="28"/>
      <c r="E726" s="64"/>
      <c r="F726" s="67" t="str">
        <f aca="false">IF($A726="","",$A726-WEEKDAY($A726,3))</f>
        <v/>
      </c>
      <c r="G726" s="65" t="str">
        <f aca="false">IF($A726="","",IF($F726=WeekStart,"Yes",""))</f>
        <v/>
      </c>
      <c r="H726" s="65" t="str">
        <f aca="false">IF($G726="Yes",$A726+ROW()/100000,"")</f>
        <v/>
      </c>
      <c r="I726" s="65" t="str">
        <f aca="false">IF(AND($D726&lt;&gt;"",$D726=UCSel),$A726+ROW()/100000,"")</f>
        <v/>
      </c>
    </row>
    <row r="727" customFormat="false" ht="15" hidden="false" customHeight="false" outlineLevel="0" collapsed="false">
      <c r="A727" s="63"/>
      <c r="B727" s="28"/>
      <c r="C727" s="28"/>
      <c r="D727" s="28"/>
      <c r="E727" s="64"/>
      <c r="F727" s="67" t="str">
        <f aca="false">IF($A727="","",$A727-WEEKDAY($A727,3))</f>
        <v/>
      </c>
      <c r="G727" s="65" t="str">
        <f aca="false">IF($A727="","",IF($F727=WeekStart,"Yes",""))</f>
        <v/>
      </c>
      <c r="H727" s="65" t="str">
        <f aca="false">IF($G727="Yes",$A727+ROW()/100000,"")</f>
        <v/>
      </c>
      <c r="I727" s="65" t="str">
        <f aca="false">IF(AND($D727&lt;&gt;"",$D727=UCSel),$A727+ROW()/100000,"")</f>
        <v/>
      </c>
    </row>
    <row r="728" customFormat="false" ht="15" hidden="false" customHeight="false" outlineLevel="0" collapsed="false">
      <c r="A728" s="63"/>
      <c r="B728" s="28"/>
      <c r="C728" s="28"/>
      <c r="D728" s="28"/>
      <c r="E728" s="64"/>
      <c r="F728" s="67" t="str">
        <f aca="false">IF($A728="","",$A728-WEEKDAY($A728,3))</f>
        <v/>
      </c>
      <c r="G728" s="65" t="str">
        <f aca="false">IF($A728="","",IF($F728=WeekStart,"Yes",""))</f>
        <v/>
      </c>
      <c r="H728" s="65" t="str">
        <f aca="false">IF($G728="Yes",$A728+ROW()/100000,"")</f>
        <v/>
      </c>
      <c r="I728" s="65" t="str">
        <f aca="false">IF(AND($D728&lt;&gt;"",$D728=UCSel),$A728+ROW()/100000,"")</f>
        <v/>
      </c>
    </row>
    <row r="729" customFormat="false" ht="15" hidden="false" customHeight="false" outlineLevel="0" collapsed="false">
      <c r="A729" s="63"/>
      <c r="B729" s="28"/>
      <c r="C729" s="28"/>
      <c r="D729" s="28"/>
      <c r="E729" s="64"/>
      <c r="F729" s="67" t="str">
        <f aca="false">IF($A729="","",$A729-WEEKDAY($A729,3))</f>
        <v/>
      </c>
      <c r="G729" s="65" t="str">
        <f aca="false">IF($A729="","",IF($F729=WeekStart,"Yes",""))</f>
        <v/>
      </c>
      <c r="H729" s="65" t="str">
        <f aca="false">IF($G729="Yes",$A729+ROW()/100000,"")</f>
        <v/>
      </c>
      <c r="I729" s="65" t="str">
        <f aca="false">IF(AND($D729&lt;&gt;"",$D729=UCSel),$A729+ROW()/100000,"")</f>
        <v/>
      </c>
    </row>
    <row r="730" customFormat="false" ht="15" hidden="false" customHeight="false" outlineLevel="0" collapsed="false">
      <c r="A730" s="63"/>
      <c r="B730" s="28"/>
      <c r="C730" s="28"/>
      <c r="D730" s="28"/>
      <c r="E730" s="64"/>
      <c r="F730" s="67" t="str">
        <f aca="false">IF($A730="","",$A730-WEEKDAY($A730,3))</f>
        <v/>
      </c>
      <c r="G730" s="65" t="str">
        <f aca="false">IF($A730="","",IF($F730=WeekStart,"Yes",""))</f>
        <v/>
      </c>
      <c r="H730" s="65" t="str">
        <f aca="false">IF($G730="Yes",$A730+ROW()/100000,"")</f>
        <v/>
      </c>
      <c r="I730" s="65" t="str">
        <f aca="false">IF(AND($D730&lt;&gt;"",$D730=UCSel),$A730+ROW()/100000,"")</f>
        <v/>
      </c>
    </row>
    <row r="731" customFormat="false" ht="15" hidden="false" customHeight="false" outlineLevel="0" collapsed="false">
      <c r="A731" s="63"/>
      <c r="B731" s="28"/>
      <c r="C731" s="28"/>
      <c r="D731" s="28"/>
      <c r="E731" s="64"/>
      <c r="F731" s="67" t="str">
        <f aca="false">IF($A731="","",$A731-WEEKDAY($A731,3))</f>
        <v/>
      </c>
      <c r="G731" s="65" t="str">
        <f aca="false">IF($A731="","",IF($F731=WeekStart,"Yes",""))</f>
        <v/>
      </c>
      <c r="H731" s="65" t="str">
        <f aca="false">IF($G731="Yes",$A731+ROW()/100000,"")</f>
        <v/>
      </c>
      <c r="I731" s="65" t="str">
        <f aca="false">IF(AND($D731&lt;&gt;"",$D731=UCSel),$A731+ROW()/100000,"")</f>
        <v/>
      </c>
    </row>
    <row r="732" customFormat="false" ht="15" hidden="false" customHeight="false" outlineLevel="0" collapsed="false">
      <c r="A732" s="63"/>
      <c r="B732" s="28"/>
      <c r="C732" s="28"/>
      <c r="D732" s="28"/>
      <c r="E732" s="64"/>
      <c r="F732" s="67" t="str">
        <f aca="false">IF($A732="","",$A732-WEEKDAY($A732,3))</f>
        <v/>
      </c>
      <c r="G732" s="65" t="str">
        <f aca="false">IF($A732="","",IF($F732=WeekStart,"Yes",""))</f>
        <v/>
      </c>
      <c r="H732" s="65" t="str">
        <f aca="false">IF($G732="Yes",$A732+ROW()/100000,"")</f>
        <v/>
      </c>
      <c r="I732" s="65" t="str">
        <f aca="false">IF(AND($D732&lt;&gt;"",$D732=UCSel),$A732+ROW()/100000,"")</f>
        <v/>
      </c>
    </row>
    <row r="733" customFormat="false" ht="15" hidden="false" customHeight="false" outlineLevel="0" collapsed="false">
      <c r="A733" s="63"/>
      <c r="B733" s="28"/>
      <c r="C733" s="28"/>
      <c r="D733" s="28"/>
      <c r="E733" s="64"/>
      <c r="F733" s="67" t="str">
        <f aca="false">IF($A733="","",$A733-WEEKDAY($A733,3))</f>
        <v/>
      </c>
      <c r="G733" s="65" t="str">
        <f aca="false">IF($A733="","",IF($F733=WeekStart,"Yes",""))</f>
        <v/>
      </c>
      <c r="H733" s="65" t="str">
        <f aca="false">IF($G733="Yes",$A733+ROW()/100000,"")</f>
        <v/>
      </c>
      <c r="I733" s="65" t="str">
        <f aca="false">IF(AND($D733&lt;&gt;"",$D733=UCSel),$A733+ROW()/100000,"")</f>
        <v/>
      </c>
    </row>
    <row r="734" customFormat="false" ht="15" hidden="false" customHeight="false" outlineLevel="0" collapsed="false">
      <c r="A734" s="63"/>
      <c r="B734" s="28"/>
      <c r="C734" s="28"/>
      <c r="D734" s="28"/>
      <c r="E734" s="64"/>
      <c r="F734" s="67" t="str">
        <f aca="false">IF($A734="","",$A734-WEEKDAY($A734,3))</f>
        <v/>
      </c>
      <c r="G734" s="65" t="str">
        <f aca="false">IF($A734="","",IF($F734=WeekStart,"Yes",""))</f>
        <v/>
      </c>
      <c r="H734" s="65" t="str">
        <f aca="false">IF($G734="Yes",$A734+ROW()/100000,"")</f>
        <v/>
      </c>
      <c r="I734" s="65" t="str">
        <f aca="false">IF(AND($D734&lt;&gt;"",$D734=UCSel),$A734+ROW()/100000,"")</f>
        <v/>
      </c>
    </row>
    <row r="735" customFormat="false" ht="15" hidden="false" customHeight="false" outlineLevel="0" collapsed="false">
      <c r="A735" s="63"/>
      <c r="B735" s="28"/>
      <c r="C735" s="28"/>
      <c r="D735" s="28"/>
      <c r="E735" s="64"/>
      <c r="F735" s="67" t="str">
        <f aca="false">IF($A735="","",$A735-WEEKDAY($A735,3))</f>
        <v/>
      </c>
      <c r="G735" s="65" t="str">
        <f aca="false">IF($A735="","",IF($F735=WeekStart,"Yes",""))</f>
        <v/>
      </c>
      <c r="H735" s="65" t="str">
        <f aca="false">IF($G735="Yes",$A735+ROW()/100000,"")</f>
        <v/>
      </c>
      <c r="I735" s="65" t="str">
        <f aca="false">IF(AND($D735&lt;&gt;"",$D735=UCSel),$A735+ROW()/100000,"")</f>
        <v/>
      </c>
    </row>
    <row r="736" customFormat="false" ht="15" hidden="false" customHeight="false" outlineLevel="0" collapsed="false">
      <c r="A736" s="63"/>
      <c r="B736" s="28"/>
      <c r="C736" s="28"/>
      <c r="D736" s="28"/>
      <c r="E736" s="64"/>
      <c r="F736" s="67" t="str">
        <f aca="false">IF($A736="","",$A736-WEEKDAY($A736,3))</f>
        <v/>
      </c>
      <c r="G736" s="65" t="str">
        <f aca="false">IF($A736="","",IF($F736=WeekStart,"Yes",""))</f>
        <v/>
      </c>
      <c r="H736" s="65" t="str">
        <f aca="false">IF($G736="Yes",$A736+ROW()/100000,"")</f>
        <v/>
      </c>
      <c r="I736" s="65" t="str">
        <f aca="false">IF(AND($D736&lt;&gt;"",$D736=UCSel),$A736+ROW()/100000,"")</f>
        <v/>
      </c>
    </row>
    <row r="737" customFormat="false" ht="15" hidden="false" customHeight="false" outlineLevel="0" collapsed="false">
      <c r="A737" s="63"/>
      <c r="B737" s="28"/>
      <c r="C737" s="28"/>
      <c r="D737" s="28"/>
      <c r="E737" s="64"/>
      <c r="F737" s="67" t="str">
        <f aca="false">IF($A737="","",$A737-WEEKDAY($A737,3))</f>
        <v/>
      </c>
      <c r="G737" s="65" t="str">
        <f aca="false">IF($A737="","",IF($F737=WeekStart,"Yes",""))</f>
        <v/>
      </c>
      <c r="H737" s="65" t="str">
        <f aca="false">IF($G737="Yes",$A737+ROW()/100000,"")</f>
        <v/>
      </c>
      <c r="I737" s="65" t="str">
        <f aca="false">IF(AND($D737&lt;&gt;"",$D737=UCSel),$A737+ROW()/100000,"")</f>
        <v/>
      </c>
    </row>
    <row r="738" customFormat="false" ht="15" hidden="false" customHeight="false" outlineLevel="0" collapsed="false">
      <c r="A738" s="63"/>
      <c r="B738" s="28"/>
      <c r="C738" s="28"/>
      <c r="D738" s="28"/>
      <c r="E738" s="64"/>
      <c r="F738" s="67" t="str">
        <f aca="false">IF($A738="","",$A738-WEEKDAY($A738,3))</f>
        <v/>
      </c>
      <c r="G738" s="65" t="str">
        <f aca="false">IF($A738="","",IF($F738=WeekStart,"Yes",""))</f>
        <v/>
      </c>
      <c r="H738" s="65" t="str">
        <f aca="false">IF($G738="Yes",$A738+ROW()/100000,"")</f>
        <v/>
      </c>
      <c r="I738" s="65" t="str">
        <f aca="false">IF(AND($D738&lt;&gt;"",$D738=UCSel),$A738+ROW()/100000,"")</f>
        <v/>
      </c>
    </row>
    <row r="739" customFormat="false" ht="15" hidden="false" customHeight="false" outlineLevel="0" collapsed="false">
      <c r="A739" s="63"/>
      <c r="B739" s="28"/>
      <c r="C739" s="28"/>
      <c r="D739" s="28"/>
      <c r="E739" s="64"/>
      <c r="F739" s="67" t="str">
        <f aca="false">IF($A739="","",$A739-WEEKDAY($A739,3))</f>
        <v/>
      </c>
      <c r="G739" s="65" t="str">
        <f aca="false">IF($A739="","",IF($F739=WeekStart,"Yes",""))</f>
        <v/>
      </c>
      <c r="H739" s="65" t="str">
        <f aca="false">IF($G739="Yes",$A739+ROW()/100000,"")</f>
        <v/>
      </c>
      <c r="I739" s="65" t="str">
        <f aca="false">IF(AND($D739&lt;&gt;"",$D739=UCSel),$A739+ROW()/100000,"")</f>
        <v/>
      </c>
    </row>
    <row r="740" customFormat="false" ht="15" hidden="false" customHeight="false" outlineLevel="0" collapsed="false">
      <c r="A740" s="63"/>
      <c r="B740" s="28"/>
      <c r="C740" s="28"/>
      <c r="D740" s="28"/>
      <c r="E740" s="64"/>
      <c r="F740" s="67" t="str">
        <f aca="false">IF($A740="","",$A740-WEEKDAY($A740,3))</f>
        <v/>
      </c>
      <c r="G740" s="65" t="str">
        <f aca="false">IF($A740="","",IF($F740=WeekStart,"Yes",""))</f>
        <v/>
      </c>
      <c r="H740" s="65" t="str">
        <f aca="false">IF($G740="Yes",$A740+ROW()/100000,"")</f>
        <v/>
      </c>
      <c r="I740" s="65" t="str">
        <f aca="false">IF(AND($D740&lt;&gt;"",$D740=UCSel),$A740+ROW()/100000,"")</f>
        <v/>
      </c>
    </row>
    <row r="741" customFormat="false" ht="15" hidden="false" customHeight="false" outlineLevel="0" collapsed="false">
      <c r="A741" s="63"/>
      <c r="B741" s="28"/>
      <c r="C741" s="28"/>
      <c r="D741" s="28"/>
      <c r="E741" s="64"/>
      <c r="F741" s="67" t="str">
        <f aca="false">IF($A741="","",$A741-WEEKDAY($A741,3))</f>
        <v/>
      </c>
      <c r="G741" s="65" t="str">
        <f aca="false">IF($A741="","",IF($F741=WeekStart,"Yes",""))</f>
        <v/>
      </c>
      <c r="H741" s="65" t="str">
        <f aca="false">IF($G741="Yes",$A741+ROW()/100000,"")</f>
        <v/>
      </c>
      <c r="I741" s="65" t="str">
        <f aca="false">IF(AND($D741&lt;&gt;"",$D741=UCSel),$A741+ROW()/100000,"")</f>
        <v/>
      </c>
    </row>
    <row r="742" customFormat="false" ht="15" hidden="false" customHeight="false" outlineLevel="0" collapsed="false">
      <c r="A742" s="63"/>
      <c r="B742" s="28"/>
      <c r="C742" s="28"/>
      <c r="D742" s="28"/>
      <c r="E742" s="64"/>
      <c r="F742" s="67" t="str">
        <f aca="false">IF($A742="","",$A742-WEEKDAY($A742,3))</f>
        <v/>
      </c>
      <c r="G742" s="65" t="str">
        <f aca="false">IF($A742="","",IF($F742=WeekStart,"Yes",""))</f>
        <v/>
      </c>
      <c r="H742" s="65" t="str">
        <f aca="false">IF($G742="Yes",$A742+ROW()/100000,"")</f>
        <v/>
      </c>
      <c r="I742" s="65" t="str">
        <f aca="false">IF(AND($D742&lt;&gt;"",$D742=UCSel),$A742+ROW()/100000,"")</f>
        <v/>
      </c>
    </row>
    <row r="743" customFormat="false" ht="15" hidden="false" customHeight="false" outlineLevel="0" collapsed="false">
      <c r="A743" s="63"/>
      <c r="B743" s="28"/>
      <c r="C743" s="28"/>
      <c r="D743" s="28"/>
      <c r="E743" s="64"/>
      <c r="F743" s="67" t="str">
        <f aca="false">IF($A743="","",$A743-WEEKDAY($A743,3))</f>
        <v/>
      </c>
      <c r="G743" s="65" t="str">
        <f aca="false">IF($A743="","",IF($F743=WeekStart,"Yes",""))</f>
        <v/>
      </c>
      <c r="H743" s="65" t="str">
        <f aca="false">IF($G743="Yes",$A743+ROW()/100000,"")</f>
        <v/>
      </c>
      <c r="I743" s="65" t="str">
        <f aca="false">IF(AND($D743&lt;&gt;"",$D743=UCSel),$A743+ROW()/100000,"")</f>
        <v/>
      </c>
    </row>
    <row r="744" customFormat="false" ht="15" hidden="false" customHeight="false" outlineLevel="0" collapsed="false">
      <c r="A744" s="63"/>
      <c r="B744" s="28"/>
      <c r="C744" s="28"/>
      <c r="D744" s="28"/>
      <c r="E744" s="64"/>
      <c r="F744" s="67" t="str">
        <f aca="false">IF($A744="","",$A744-WEEKDAY($A744,3))</f>
        <v/>
      </c>
      <c r="G744" s="65" t="str">
        <f aca="false">IF($A744="","",IF($F744=WeekStart,"Yes",""))</f>
        <v/>
      </c>
      <c r="H744" s="65" t="str">
        <f aca="false">IF($G744="Yes",$A744+ROW()/100000,"")</f>
        <v/>
      </c>
      <c r="I744" s="65" t="str">
        <f aca="false">IF(AND($D744&lt;&gt;"",$D744=UCSel),$A744+ROW()/100000,"")</f>
        <v/>
      </c>
    </row>
    <row r="745" customFormat="false" ht="15" hidden="false" customHeight="false" outlineLevel="0" collapsed="false">
      <c r="A745" s="63"/>
      <c r="B745" s="28"/>
      <c r="C745" s="28"/>
      <c r="D745" s="28"/>
      <c r="E745" s="64"/>
      <c r="F745" s="67" t="str">
        <f aca="false">IF($A745="","",$A745-WEEKDAY($A745,3))</f>
        <v/>
      </c>
      <c r="G745" s="65" t="str">
        <f aca="false">IF($A745="","",IF($F745=WeekStart,"Yes",""))</f>
        <v/>
      </c>
      <c r="H745" s="65" t="str">
        <f aca="false">IF($G745="Yes",$A745+ROW()/100000,"")</f>
        <v/>
      </c>
      <c r="I745" s="65" t="str">
        <f aca="false">IF(AND($D745&lt;&gt;"",$D745=UCSel),$A745+ROW()/100000,"")</f>
        <v/>
      </c>
    </row>
    <row r="746" customFormat="false" ht="15" hidden="false" customHeight="false" outlineLevel="0" collapsed="false">
      <c r="A746" s="63"/>
      <c r="B746" s="28"/>
      <c r="C746" s="28"/>
      <c r="D746" s="28"/>
      <c r="E746" s="64"/>
      <c r="F746" s="67" t="str">
        <f aca="false">IF($A746="","",$A746-WEEKDAY($A746,3))</f>
        <v/>
      </c>
      <c r="G746" s="65" t="str">
        <f aca="false">IF($A746="","",IF($F746=WeekStart,"Yes",""))</f>
        <v/>
      </c>
      <c r="H746" s="65" t="str">
        <f aca="false">IF($G746="Yes",$A746+ROW()/100000,"")</f>
        <v/>
      </c>
      <c r="I746" s="65" t="str">
        <f aca="false">IF(AND($D746&lt;&gt;"",$D746=UCSel),$A746+ROW()/100000,"")</f>
        <v/>
      </c>
    </row>
    <row r="747" customFormat="false" ht="15" hidden="false" customHeight="false" outlineLevel="0" collapsed="false">
      <c r="A747" s="63"/>
      <c r="B747" s="28"/>
      <c r="C747" s="28"/>
      <c r="D747" s="28"/>
      <c r="E747" s="64"/>
      <c r="F747" s="67" t="str">
        <f aca="false">IF($A747="","",$A747-WEEKDAY($A747,3))</f>
        <v/>
      </c>
      <c r="G747" s="65" t="str">
        <f aca="false">IF($A747="","",IF($F747=WeekStart,"Yes",""))</f>
        <v/>
      </c>
      <c r="H747" s="65" t="str">
        <f aca="false">IF($G747="Yes",$A747+ROW()/100000,"")</f>
        <v/>
      </c>
      <c r="I747" s="65" t="str">
        <f aca="false">IF(AND($D747&lt;&gt;"",$D747=UCSel),$A747+ROW()/100000,"")</f>
        <v/>
      </c>
    </row>
    <row r="748" customFormat="false" ht="15" hidden="false" customHeight="false" outlineLevel="0" collapsed="false">
      <c r="A748" s="63"/>
      <c r="B748" s="28"/>
      <c r="C748" s="28"/>
      <c r="D748" s="28"/>
      <c r="E748" s="64"/>
      <c r="F748" s="67" t="str">
        <f aca="false">IF($A748="","",$A748-WEEKDAY($A748,3))</f>
        <v/>
      </c>
      <c r="G748" s="65" t="str">
        <f aca="false">IF($A748="","",IF($F748=WeekStart,"Yes",""))</f>
        <v/>
      </c>
      <c r="H748" s="65" t="str">
        <f aca="false">IF($G748="Yes",$A748+ROW()/100000,"")</f>
        <v/>
      </c>
      <c r="I748" s="65" t="str">
        <f aca="false">IF(AND($D748&lt;&gt;"",$D748=UCSel),$A748+ROW()/100000,"")</f>
        <v/>
      </c>
    </row>
    <row r="749" customFormat="false" ht="15" hidden="false" customHeight="false" outlineLevel="0" collapsed="false">
      <c r="A749" s="63"/>
      <c r="B749" s="28"/>
      <c r="C749" s="28"/>
      <c r="D749" s="28"/>
      <c r="E749" s="64"/>
      <c r="F749" s="67" t="str">
        <f aca="false">IF($A749="","",$A749-WEEKDAY($A749,3))</f>
        <v/>
      </c>
      <c r="G749" s="65" t="str">
        <f aca="false">IF($A749="","",IF($F749=WeekStart,"Yes",""))</f>
        <v/>
      </c>
      <c r="H749" s="65" t="str">
        <f aca="false">IF($G749="Yes",$A749+ROW()/100000,"")</f>
        <v/>
      </c>
      <c r="I749" s="65" t="str">
        <f aca="false">IF(AND($D749&lt;&gt;"",$D749=UCSel),$A749+ROW()/100000,"")</f>
        <v/>
      </c>
    </row>
    <row r="750" customFormat="false" ht="15" hidden="false" customHeight="false" outlineLevel="0" collapsed="false">
      <c r="A750" s="63"/>
      <c r="B750" s="28"/>
      <c r="C750" s="28"/>
      <c r="D750" s="28"/>
      <c r="E750" s="64"/>
      <c r="F750" s="67" t="str">
        <f aca="false">IF($A750="","",$A750-WEEKDAY($A750,3))</f>
        <v/>
      </c>
      <c r="G750" s="65" t="str">
        <f aca="false">IF($A750="","",IF($F750=WeekStart,"Yes",""))</f>
        <v/>
      </c>
      <c r="H750" s="65" t="str">
        <f aca="false">IF($G750="Yes",$A750+ROW()/100000,"")</f>
        <v/>
      </c>
      <c r="I750" s="65" t="str">
        <f aca="false">IF(AND($D750&lt;&gt;"",$D750=UCSel),$A750+ROW()/100000,"")</f>
        <v/>
      </c>
    </row>
    <row r="751" customFormat="false" ht="15" hidden="false" customHeight="false" outlineLevel="0" collapsed="false">
      <c r="A751" s="63"/>
      <c r="B751" s="28"/>
      <c r="C751" s="28"/>
      <c r="D751" s="28"/>
      <c r="E751" s="64"/>
      <c r="F751" s="67" t="str">
        <f aca="false">IF($A751="","",$A751-WEEKDAY($A751,3))</f>
        <v/>
      </c>
      <c r="G751" s="65" t="str">
        <f aca="false">IF($A751="","",IF($F751=WeekStart,"Yes",""))</f>
        <v/>
      </c>
      <c r="H751" s="65" t="str">
        <f aca="false">IF($G751="Yes",$A751+ROW()/100000,"")</f>
        <v/>
      </c>
      <c r="I751" s="65" t="str">
        <f aca="false">IF(AND($D751&lt;&gt;"",$D751=UCSel),$A751+ROW()/100000,"")</f>
        <v/>
      </c>
    </row>
    <row r="752" customFormat="false" ht="15" hidden="false" customHeight="false" outlineLevel="0" collapsed="false">
      <c r="A752" s="63"/>
      <c r="B752" s="28"/>
      <c r="C752" s="28"/>
      <c r="D752" s="28"/>
      <c r="E752" s="64"/>
      <c r="F752" s="67" t="str">
        <f aca="false">IF($A752="","",$A752-WEEKDAY($A752,3))</f>
        <v/>
      </c>
      <c r="G752" s="65" t="str">
        <f aca="false">IF($A752="","",IF($F752=WeekStart,"Yes",""))</f>
        <v/>
      </c>
      <c r="H752" s="65" t="str">
        <f aca="false">IF($G752="Yes",$A752+ROW()/100000,"")</f>
        <v/>
      </c>
      <c r="I752" s="65" t="str">
        <f aca="false">IF(AND($D752&lt;&gt;"",$D752=UCSel),$A752+ROW()/100000,"")</f>
        <v/>
      </c>
    </row>
    <row r="753" customFormat="false" ht="15" hidden="false" customHeight="false" outlineLevel="0" collapsed="false">
      <c r="A753" s="63"/>
      <c r="B753" s="28"/>
      <c r="C753" s="28"/>
      <c r="D753" s="28"/>
      <c r="E753" s="64"/>
      <c r="F753" s="67" t="str">
        <f aca="false">IF($A753="","",$A753-WEEKDAY($A753,3))</f>
        <v/>
      </c>
      <c r="G753" s="65" t="str">
        <f aca="false">IF($A753="","",IF($F753=WeekStart,"Yes",""))</f>
        <v/>
      </c>
      <c r="H753" s="65" t="str">
        <f aca="false">IF($G753="Yes",$A753+ROW()/100000,"")</f>
        <v/>
      </c>
      <c r="I753" s="65" t="str">
        <f aca="false">IF(AND($D753&lt;&gt;"",$D753=UCSel),$A753+ROW()/100000,"")</f>
        <v/>
      </c>
    </row>
    <row r="754" customFormat="false" ht="15" hidden="false" customHeight="false" outlineLevel="0" collapsed="false">
      <c r="A754" s="63"/>
      <c r="B754" s="28"/>
      <c r="C754" s="28"/>
      <c r="D754" s="28"/>
      <c r="E754" s="64"/>
      <c r="F754" s="67" t="str">
        <f aca="false">IF($A754="","",$A754-WEEKDAY($A754,3))</f>
        <v/>
      </c>
      <c r="G754" s="65" t="str">
        <f aca="false">IF($A754="","",IF($F754=WeekStart,"Yes",""))</f>
        <v/>
      </c>
      <c r="H754" s="65" t="str">
        <f aca="false">IF($G754="Yes",$A754+ROW()/100000,"")</f>
        <v/>
      </c>
      <c r="I754" s="65" t="str">
        <f aca="false">IF(AND($D754&lt;&gt;"",$D754=UCSel),$A754+ROW()/100000,"")</f>
        <v/>
      </c>
    </row>
    <row r="755" customFormat="false" ht="15" hidden="false" customHeight="false" outlineLevel="0" collapsed="false">
      <c r="A755" s="63"/>
      <c r="B755" s="28"/>
      <c r="C755" s="28"/>
      <c r="D755" s="28"/>
      <c r="E755" s="64"/>
      <c r="F755" s="67" t="str">
        <f aca="false">IF($A755="","",$A755-WEEKDAY($A755,3))</f>
        <v/>
      </c>
      <c r="G755" s="65" t="str">
        <f aca="false">IF($A755="","",IF($F755=WeekStart,"Yes",""))</f>
        <v/>
      </c>
      <c r="H755" s="65" t="str">
        <f aca="false">IF($G755="Yes",$A755+ROW()/100000,"")</f>
        <v/>
      </c>
      <c r="I755" s="65" t="str">
        <f aca="false">IF(AND($D755&lt;&gt;"",$D755=UCSel),$A755+ROW()/100000,"")</f>
        <v/>
      </c>
    </row>
    <row r="756" customFormat="false" ht="15" hidden="false" customHeight="false" outlineLevel="0" collapsed="false">
      <c r="A756" s="63"/>
      <c r="B756" s="28"/>
      <c r="C756" s="28"/>
      <c r="D756" s="28"/>
      <c r="E756" s="64"/>
      <c r="F756" s="67" t="str">
        <f aca="false">IF($A756="","",$A756-WEEKDAY($A756,3))</f>
        <v/>
      </c>
      <c r="G756" s="65" t="str">
        <f aca="false">IF($A756="","",IF($F756=WeekStart,"Yes",""))</f>
        <v/>
      </c>
      <c r="H756" s="65" t="str">
        <f aca="false">IF($G756="Yes",$A756+ROW()/100000,"")</f>
        <v/>
      </c>
      <c r="I756" s="65" t="str">
        <f aca="false">IF(AND($D756&lt;&gt;"",$D756=UCSel),$A756+ROW()/100000,"")</f>
        <v/>
      </c>
    </row>
    <row r="757" customFormat="false" ht="15" hidden="false" customHeight="false" outlineLevel="0" collapsed="false">
      <c r="A757" s="63"/>
      <c r="B757" s="28"/>
      <c r="C757" s="28"/>
      <c r="D757" s="28"/>
      <c r="E757" s="64"/>
      <c r="F757" s="67" t="str">
        <f aca="false">IF($A757="","",$A757-WEEKDAY($A757,3))</f>
        <v/>
      </c>
      <c r="G757" s="65" t="str">
        <f aca="false">IF($A757="","",IF($F757=WeekStart,"Yes",""))</f>
        <v/>
      </c>
      <c r="H757" s="65" t="str">
        <f aca="false">IF($G757="Yes",$A757+ROW()/100000,"")</f>
        <v/>
      </c>
      <c r="I757" s="65" t="str">
        <f aca="false">IF(AND($D757&lt;&gt;"",$D757=UCSel),$A757+ROW()/100000,"")</f>
        <v/>
      </c>
    </row>
    <row r="758" customFormat="false" ht="15" hidden="false" customHeight="false" outlineLevel="0" collapsed="false">
      <c r="A758" s="63"/>
      <c r="B758" s="28"/>
      <c r="C758" s="28"/>
      <c r="D758" s="28"/>
      <c r="E758" s="64"/>
      <c r="F758" s="67" t="str">
        <f aca="false">IF($A758="","",$A758-WEEKDAY($A758,3))</f>
        <v/>
      </c>
      <c r="G758" s="65" t="str">
        <f aca="false">IF($A758="","",IF($F758=WeekStart,"Yes",""))</f>
        <v/>
      </c>
      <c r="H758" s="65" t="str">
        <f aca="false">IF($G758="Yes",$A758+ROW()/100000,"")</f>
        <v/>
      </c>
      <c r="I758" s="65" t="str">
        <f aca="false">IF(AND($D758&lt;&gt;"",$D758=UCSel),$A758+ROW()/100000,"")</f>
        <v/>
      </c>
    </row>
    <row r="759" customFormat="false" ht="15" hidden="false" customHeight="false" outlineLevel="0" collapsed="false">
      <c r="A759" s="63"/>
      <c r="B759" s="28"/>
      <c r="C759" s="28"/>
      <c r="D759" s="28"/>
      <c r="E759" s="64"/>
      <c r="F759" s="67" t="str">
        <f aca="false">IF($A759="","",$A759-WEEKDAY($A759,3))</f>
        <v/>
      </c>
      <c r="G759" s="65" t="str">
        <f aca="false">IF($A759="","",IF($F759=WeekStart,"Yes",""))</f>
        <v/>
      </c>
      <c r="H759" s="65" t="str">
        <f aca="false">IF($G759="Yes",$A759+ROW()/100000,"")</f>
        <v/>
      </c>
      <c r="I759" s="65" t="str">
        <f aca="false">IF(AND($D759&lt;&gt;"",$D759=UCSel),$A759+ROW()/100000,"")</f>
        <v/>
      </c>
    </row>
    <row r="760" customFormat="false" ht="15" hidden="false" customHeight="false" outlineLevel="0" collapsed="false">
      <c r="A760" s="63"/>
      <c r="B760" s="28"/>
      <c r="C760" s="28"/>
      <c r="D760" s="28"/>
      <c r="E760" s="64"/>
      <c r="F760" s="67" t="str">
        <f aca="false">IF($A760="","",$A760-WEEKDAY($A760,3))</f>
        <v/>
      </c>
      <c r="G760" s="65" t="str">
        <f aca="false">IF($A760="","",IF($F760=WeekStart,"Yes",""))</f>
        <v/>
      </c>
      <c r="H760" s="65" t="str">
        <f aca="false">IF($G760="Yes",$A760+ROW()/100000,"")</f>
        <v/>
      </c>
      <c r="I760" s="65" t="str">
        <f aca="false">IF(AND($D760&lt;&gt;"",$D760=UCSel),$A760+ROW()/100000,"")</f>
        <v/>
      </c>
    </row>
    <row r="761" customFormat="false" ht="15" hidden="false" customHeight="false" outlineLevel="0" collapsed="false">
      <c r="A761" s="63"/>
      <c r="B761" s="28"/>
      <c r="C761" s="28"/>
      <c r="D761" s="28"/>
      <c r="E761" s="64"/>
      <c r="F761" s="67" t="str">
        <f aca="false">IF($A761="","",$A761-WEEKDAY($A761,3))</f>
        <v/>
      </c>
      <c r="G761" s="65" t="str">
        <f aca="false">IF($A761="","",IF($F761=WeekStart,"Yes",""))</f>
        <v/>
      </c>
      <c r="H761" s="65" t="str">
        <f aca="false">IF($G761="Yes",$A761+ROW()/100000,"")</f>
        <v/>
      </c>
      <c r="I761" s="65" t="str">
        <f aca="false">IF(AND($D761&lt;&gt;"",$D761=UCSel),$A761+ROW()/100000,"")</f>
        <v/>
      </c>
    </row>
    <row r="762" customFormat="false" ht="15" hidden="false" customHeight="false" outlineLevel="0" collapsed="false">
      <c r="A762" s="63"/>
      <c r="B762" s="28"/>
      <c r="C762" s="28"/>
      <c r="D762" s="28"/>
      <c r="E762" s="64"/>
      <c r="F762" s="67" t="str">
        <f aca="false">IF($A762="","",$A762-WEEKDAY($A762,3))</f>
        <v/>
      </c>
      <c r="G762" s="65" t="str">
        <f aca="false">IF($A762="","",IF($F762=WeekStart,"Yes",""))</f>
        <v/>
      </c>
      <c r="H762" s="65" t="str">
        <f aca="false">IF($G762="Yes",$A762+ROW()/100000,"")</f>
        <v/>
      </c>
      <c r="I762" s="65" t="str">
        <f aca="false">IF(AND($D762&lt;&gt;"",$D762=UCSel),$A762+ROW()/100000,"")</f>
        <v/>
      </c>
    </row>
    <row r="763" customFormat="false" ht="15" hidden="false" customHeight="false" outlineLevel="0" collapsed="false">
      <c r="A763" s="63"/>
      <c r="B763" s="28"/>
      <c r="C763" s="28"/>
      <c r="D763" s="28"/>
      <c r="E763" s="64"/>
      <c r="F763" s="67" t="str">
        <f aca="false">IF($A763="","",$A763-WEEKDAY($A763,3))</f>
        <v/>
      </c>
      <c r="G763" s="65" t="str">
        <f aca="false">IF($A763="","",IF($F763=WeekStart,"Yes",""))</f>
        <v/>
      </c>
      <c r="H763" s="65" t="str">
        <f aca="false">IF($G763="Yes",$A763+ROW()/100000,"")</f>
        <v/>
      </c>
      <c r="I763" s="65" t="str">
        <f aca="false">IF(AND($D763&lt;&gt;"",$D763=UCSel),$A763+ROW()/100000,"")</f>
        <v/>
      </c>
    </row>
    <row r="764" customFormat="false" ht="15" hidden="false" customHeight="false" outlineLevel="0" collapsed="false">
      <c r="A764" s="63"/>
      <c r="B764" s="28"/>
      <c r="C764" s="28"/>
      <c r="D764" s="28"/>
      <c r="E764" s="64"/>
      <c r="F764" s="67" t="str">
        <f aca="false">IF($A764="","",$A764-WEEKDAY($A764,3))</f>
        <v/>
      </c>
      <c r="G764" s="65" t="str">
        <f aca="false">IF($A764="","",IF($F764=WeekStart,"Yes",""))</f>
        <v/>
      </c>
      <c r="H764" s="65" t="str">
        <f aca="false">IF($G764="Yes",$A764+ROW()/100000,"")</f>
        <v/>
      </c>
      <c r="I764" s="65" t="str">
        <f aca="false">IF(AND($D764&lt;&gt;"",$D764=UCSel),$A764+ROW()/100000,"")</f>
        <v/>
      </c>
    </row>
    <row r="765" customFormat="false" ht="15" hidden="false" customHeight="false" outlineLevel="0" collapsed="false">
      <c r="A765" s="63"/>
      <c r="B765" s="28"/>
      <c r="C765" s="28"/>
      <c r="D765" s="28"/>
      <c r="E765" s="64"/>
      <c r="F765" s="67" t="str">
        <f aca="false">IF($A765="","",$A765-WEEKDAY($A765,3))</f>
        <v/>
      </c>
      <c r="G765" s="65" t="str">
        <f aca="false">IF($A765="","",IF($F765=WeekStart,"Yes",""))</f>
        <v/>
      </c>
      <c r="H765" s="65" t="str">
        <f aca="false">IF($G765="Yes",$A765+ROW()/100000,"")</f>
        <v/>
      </c>
      <c r="I765" s="65" t="str">
        <f aca="false">IF(AND($D765&lt;&gt;"",$D765=UCSel),$A765+ROW()/100000,"")</f>
        <v/>
      </c>
    </row>
    <row r="766" customFormat="false" ht="15" hidden="false" customHeight="false" outlineLevel="0" collapsed="false">
      <c r="A766" s="63"/>
      <c r="B766" s="28"/>
      <c r="C766" s="28"/>
      <c r="D766" s="28"/>
      <c r="E766" s="64"/>
      <c r="F766" s="67" t="str">
        <f aca="false">IF($A766="","",$A766-WEEKDAY($A766,3))</f>
        <v/>
      </c>
      <c r="G766" s="65" t="str">
        <f aca="false">IF($A766="","",IF($F766=WeekStart,"Yes",""))</f>
        <v/>
      </c>
      <c r="H766" s="65" t="str">
        <f aca="false">IF($G766="Yes",$A766+ROW()/100000,"")</f>
        <v/>
      </c>
      <c r="I766" s="65" t="str">
        <f aca="false">IF(AND($D766&lt;&gt;"",$D766=UCSel),$A766+ROW()/100000,"")</f>
        <v/>
      </c>
    </row>
    <row r="767" customFormat="false" ht="15" hidden="false" customHeight="false" outlineLevel="0" collapsed="false">
      <c r="A767" s="63"/>
      <c r="B767" s="28"/>
      <c r="C767" s="28"/>
      <c r="D767" s="28"/>
      <c r="E767" s="64"/>
      <c r="F767" s="67" t="str">
        <f aca="false">IF($A767="","",$A767-WEEKDAY($A767,3))</f>
        <v/>
      </c>
      <c r="G767" s="65" t="str">
        <f aca="false">IF($A767="","",IF($F767=WeekStart,"Yes",""))</f>
        <v/>
      </c>
      <c r="H767" s="65" t="str">
        <f aca="false">IF($G767="Yes",$A767+ROW()/100000,"")</f>
        <v/>
      </c>
      <c r="I767" s="65" t="str">
        <f aca="false">IF(AND($D767&lt;&gt;"",$D767=UCSel),$A767+ROW()/100000,"")</f>
        <v/>
      </c>
    </row>
    <row r="768" customFormat="false" ht="15" hidden="false" customHeight="false" outlineLevel="0" collapsed="false">
      <c r="A768" s="63"/>
      <c r="B768" s="28"/>
      <c r="C768" s="28"/>
      <c r="D768" s="28"/>
      <c r="E768" s="64"/>
      <c r="F768" s="67" t="str">
        <f aca="false">IF($A768="","",$A768-WEEKDAY($A768,3))</f>
        <v/>
      </c>
      <c r="G768" s="65" t="str">
        <f aca="false">IF($A768="","",IF($F768=WeekStart,"Yes",""))</f>
        <v/>
      </c>
      <c r="H768" s="65" t="str">
        <f aca="false">IF($G768="Yes",$A768+ROW()/100000,"")</f>
        <v/>
      </c>
      <c r="I768" s="65" t="str">
        <f aca="false">IF(AND($D768&lt;&gt;"",$D768=UCSel),$A768+ROW()/100000,"")</f>
        <v/>
      </c>
    </row>
    <row r="769" customFormat="false" ht="15" hidden="false" customHeight="false" outlineLevel="0" collapsed="false">
      <c r="A769" s="63"/>
      <c r="B769" s="28"/>
      <c r="C769" s="28"/>
      <c r="D769" s="28"/>
      <c r="E769" s="64"/>
      <c r="F769" s="67" t="str">
        <f aca="false">IF($A769="","",$A769-WEEKDAY($A769,3))</f>
        <v/>
      </c>
      <c r="G769" s="65" t="str">
        <f aca="false">IF($A769="","",IF($F769=WeekStart,"Yes",""))</f>
        <v/>
      </c>
      <c r="H769" s="65" t="str">
        <f aca="false">IF($G769="Yes",$A769+ROW()/100000,"")</f>
        <v/>
      </c>
      <c r="I769" s="65" t="str">
        <f aca="false">IF(AND($D769&lt;&gt;"",$D769=UCSel),$A769+ROW()/100000,"")</f>
        <v/>
      </c>
    </row>
    <row r="770" customFormat="false" ht="15" hidden="false" customHeight="false" outlineLevel="0" collapsed="false">
      <c r="A770" s="63"/>
      <c r="B770" s="28"/>
      <c r="C770" s="28"/>
      <c r="D770" s="28"/>
      <c r="E770" s="64"/>
      <c r="F770" s="67" t="str">
        <f aca="false">IF($A770="","",$A770-WEEKDAY($A770,3))</f>
        <v/>
      </c>
      <c r="G770" s="65" t="str">
        <f aca="false">IF($A770="","",IF($F770=WeekStart,"Yes",""))</f>
        <v/>
      </c>
      <c r="H770" s="65" t="str">
        <f aca="false">IF($G770="Yes",$A770+ROW()/100000,"")</f>
        <v/>
      </c>
      <c r="I770" s="65" t="str">
        <f aca="false">IF(AND($D770&lt;&gt;"",$D770=UCSel),$A770+ROW()/100000,"")</f>
        <v/>
      </c>
    </row>
    <row r="771" customFormat="false" ht="15" hidden="false" customHeight="false" outlineLevel="0" collapsed="false">
      <c r="A771" s="63"/>
      <c r="B771" s="28"/>
      <c r="C771" s="28"/>
      <c r="D771" s="28"/>
      <c r="E771" s="64"/>
      <c r="F771" s="67" t="str">
        <f aca="false">IF($A771="","",$A771-WEEKDAY($A771,3))</f>
        <v/>
      </c>
      <c r="G771" s="65" t="str">
        <f aca="false">IF($A771="","",IF($F771=WeekStart,"Yes",""))</f>
        <v/>
      </c>
      <c r="H771" s="65" t="str">
        <f aca="false">IF($G771="Yes",$A771+ROW()/100000,"")</f>
        <v/>
      </c>
      <c r="I771" s="65" t="str">
        <f aca="false">IF(AND($D771&lt;&gt;"",$D771=UCSel),$A771+ROW()/100000,"")</f>
        <v/>
      </c>
    </row>
    <row r="772" customFormat="false" ht="15" hidden="false" customHeight="false" outlineLevel="0" collapsed="false">
      <c r="A772" s="63"/>
      <c r="B772" s="28"/>
      <c r="C772" s="28"/>
      <c r="D772" s="28"/>
      <c r="E772" s="64"/>
      <c r="F772" s="67" t="str">
        <f aca="false">IF($A772="","",$A772-WEEKDAY($A772,3))</f>
        <v/>
      </c>
      <c r="G772" s="65" t="str">
        <f aca="false">IF($A772="","",IF($F772=WeekStart,"Yes",""))</f>
        <v/>
      </c>
      <c r="H772" s="65" t="str">
        <f aca="false">IF($G772="Yes",$A772+ROW()/100000,"")</f>
        <v/>
      </c>
      <c r="I772" s="65" t="str">
        <f aca="false">IF(AND($D772&lt;&gt;"",$D772=UCSel),$A772+ROW()/100000,"")</f>
        <v/>
      </c>
    </row>
    <row r="773" customFormat="false" ht="15" hidden="false" customHeight="false" outlineLevel="0" collapsed="false">
      <c r="A773" s="63"/>
      <c r="B773" s="28"/>
      <c r="C773" s="28"/>
      <c r="D773" s="28"/>
      <c r="E773" s="64"/>
      <c r="F773" s="67" t="str">
        <f aca="false">IF($A773="","",$A773-WEEKDAY($A773,3))</f>
        <v/>
      </c>
      <c r="G773" s="65" t="str">
        <f aca="false">IF($A773="","",IF($F773=WeekStart,"Yes",""))</f>
        <v/>
      </c>
      <c r="H773" s="65" t="str">
        <f aca="false">IF($G773="Yes",$A773+ROW()/100000,"")</f>
        <v/>
      </c>
      <c r="I773" s="65" t="str">
        <f aca="false">IF(AND($D773&lt;&gt;"",$D773=UCSel),$A773+ROW()/100000,"")</f>
        <v/>
      </c>
    </row>
    <row r="774" customFormat="false" ht="15" hidden="false" customHeight="false" outlineLevel="0" collapsed="false">
      <c r="A774" s="63"/>
      <c r="B774" s="28"/>
      <c r="C774" s="28"/>
      <c r="D774" s="28"/>
      <c r="E774" s="64"/>
      <c r="F774" s="67" t="str">
        <f aca="false">IF($A774="","",$A774-WEEKDAY($A774,3))</f>
        <v/>
      </c>
      <c r="G774" s="65" t="str">
        <f aca="false">IF($A774="","",IF($F774=WeekStart,"Yes",""))</f>
        <v/>
      </c>
      <c r="H774" s="65" t="str">
        <f aca="false">IF($G774="Yes",$A774+ROW()/100000,"")</f>
        <v/>
      </c>
      <c r="I774" s="65" t="str">
        <f aca="false">IF(AND($D774&lt;&gt;"",$D774=UCSel),$A774+ROW()/100000,"")</f>
        <v/>
      </c>
    </row>
    <row r="775" customFormat="false" ht="15" hidden="false" customHeight="false" outlineLevel="0" collapsed="false">
      <c r="A775" s="63"/>
      <c r="B775" s="28"/>
      <c r="C775" s="28"/>
      <c r="D775" s="28"/>
      <c r="E775" s="64"/>
      <c r="F775" s="67" t="str">
        <f aca="false">IF($A775="","",$A775-WEEKDAY($A775,3))</f>
        <v/>
      </c>
      <c r="G775" s="65" t="str">
        <f aca="false">IF($A775="","",IF($F775=WeekStart,"Yes",""))</f>
        <v/>
      </c>
      <c r="H775" s="65" t="str">
        <f aca="false">IF($G775="Yes",$A775+ROW()/100000,"")</f>
        <v/>
      </c>
      <c r="I775" s="65" t="str">
        <f aca="false">IF(AND($D775&lt;&gt;"",$D775=UCSel),$A775+ROW()/100000,"")</f>
        <v/>
      </c>
    </row>
    <row r="776" customFormat="false" ht="15" hidden="false" customHeight="false" outlineLevel="0" collapsed="false">
      <c r="A776" s="63"/>
      <c r="B776" s="28"/>
      <c r="C776" s="28"/>
      <c r="D776" s="28"/>
      <c r="E776" s="64"/>
      <c r="F776" s="67" t="str">
        <f aca="false">IF($A776="","",$A776-WEEKDAY($A776,3))</f>
        <v/>
      </c>
      <c r="G776" s="65" t="str">
        <f aca="false">IF($A776="","",IF($F776=WeekStart,"Yes",""))</f>
        <v/>
      </c>
      <c r="H776" s="65" t="str">
        <f aca="false">IF($G776="Yes",$A776+ROW()/100000,"")</f>
        <v/>
      </c>
      <c r="I776" s="65" t="str">
        <f aca="false">IF(AND($D776&lt;&gt;"",$D776=UCSel),$A776+ROW()/100000,"")</f>
        <v/>
      </c>
    </row>
    <row r="777" customFormat="false" ht="15" hidden="false" customHeight="false" outlineLevel="0" collapsed="false">
      <c r="A777" s="63"/>
      <c r="B777" s="28"/>
      <c r="C777" s="28"/>
      <c r="D777" s="28"/>
      <c r="E777" s="64"/>
      <c r="F777" s="67" t="str">
        <f aca="false">IF($A777="","",$A777-WEEKDAY($A777,3))</f>
        <v/>
      </c>
      <c r="G777" s="65" t="str">
        <f aca="false">IF($A777="","",IF($F777=WeekStart,"Yes",""))</f>
        <v/>
      </c>
      <c r="H777" s="65" t="str">
        <f aca="false">IF($G777="Yes",$A777+ROW()/100000,"")</f>
        <v/>
      </c>
      <c r="I777" s="65" t="str">
        <f aca="false">IF(AND($D777&lt;&gt;"",$D777=UCSel),$A777+ROW()/100000,"")</f>
        <v/>
      </c>
    </row>
    <row r="778" customFormat="false" ht="15" hidden="false" customHeight="false" outlineLevel="0" collapsed="false">
      <c r="A778" s="63"/>
      <c r="B778" s="28"/>
      <c r="C778" s="28"/>
      <c r="D778" s="28"/>
      <c r="E778" s="64"/>
      <c r="F778" s="67" t="str">
        <f aca="false">IF($A778="","",$A778-WEEKDAY($A778,3))</f>
        <v/>
      </c>
      <c r="G778" s="65" t="str">
        <f aca="false">IF($A778="","",IF($F778=WeekStart,"Yes",""))</f>
        <v/>
      </c>
      <c r="H778" s="65" t="str">
        <f aca="false">IF($G778="Yes",$A778+ROW()/100000,"")</f>
        <v/>
      </c>
      <c r="I778" s="65" t="str">
        <f aca="false">IF(AND($D778&lt;&gt;"",$D778=UCSel),$A778+ROW()/100000,"")</f>
        <v/>
      </c>
    </row>
    <row r="779" customFormat="false" ht="15" hidden="false" customHeight="false" outlineLevel="0" collapsed="false">
      <c r="A779" s="63"/>
      <c r="B779" s="28"/>
      <c r="C779" s="28"/>
      <c r="D779" s="28"/>
      <c r="E779" s="64"/>
      <c r="F779" s="67" t="str">
        <f aca="false">IF($A779="","",$A779-WEEKDAY($A779,3))</f>
        <v/>
      </c>
      <c r="G779" s="65" t="str">
        <f aca="false">IF($A779="","",IF($F779=WeekStart,"Yes",""))</f>
        <v/>
      </c>
      <c r="H779" s="65" t="str">
        <f aca="false">IF($G779="Yes",$A779+ROW()/100000,"")</f>
        <v/>
      </c>
      <c r="I779" s="65" t="str">
        <f aca="false">IF(AND($D779&lt;&gt;"",$D779=UCSel),$A779+ROW()/100000,"")</f>
        <v/>
      </c>
    </row>
    <row r="780" customFormat="false" ht="15" hidden="false" customHeight="false" outlineLevel="0" collapsed="false">
      <c r="A780" s="63"/>
      <c r="B780" s="28"/>
      <c r="C780" s="28"/>
      <c r="D780" s="28"/>
      <c r="E780" s="64"/>
      <c r="F780" s="67" t="str">
        <f aca="false">IF($A780="","",$A780-WEEKDAY($A780,3))</f>
        <v/>
      </c>
      <c r="G780" s="65" t="str">
        <f aca="false">IF($A780="","",IF($F780=WeekStart,"Yes",""))</f>
        <v/>
      </c>
      <c r="H780" s="65" t="str">
        <f aca="false">IF($G780="Yes",$A780+ROW()/100000,"")</f>
        <v/>
      </c>
      <c r="I780" s="65" t="str">
        <f aca="false">IF(AND($D780&lt;&gt;"",$D780=UCSel),$A780+ROW()/100000,"")</f>
        <v/>
      </c>
    </row>
    <row r="781" customFormat="false" ht="15" hidden="false" customHeight="false" outlineLevel="0" collapsed="false">
      <c r="A781" s="63"/>
      <c r="B781" s="28"/>
      <c r="C781" s="28"/>
      <c r="D781" s="28"/>
      <c r="E781" s="64"/>
      <c r="F781" s="67" t="str">
        <f aca="false">IF($A781="","",$A781-WEEKDAY($A781,3))</f>
        <v/>
      </c>
      <c r="G781" s="65" t="str">
        <f aca="false">IF($A781="","",IF($F781=WeekStart,"Yes",""))</f>
        <v/>
      </c>
      <c r="H781" s="65" t="str">
        <f aca="false">IF($G781="Yes",$A781+ROW()/100000,"")</f>
        <v/>
      </c>
      <c r="I781" s="65" t="str">
        <f aca="false">IF(AND($D781&lt;&gt;"",$D781=UCSel),$A781+ROW()/100000,"")</f>
        <v/>
      </c>
    </row>
    <row r="782" customFormat="false" ht="15" hidden="false" customHeight="false" outlineLevel="0" collapsed="false">
      <c r="A782" s="63"/>
      <c r="B782" s="28"/>
      <c r="C782" s="28"/>
      <c r="D782" s="28"/>
      <c r="E782" s="64"/>
      <c r="F782" s="67" t="str">
        <f aca="false">IF($A782="","",$A782-WEEKDAY($A782,3))</f>
        <v/>
      </c>
      <c r="G782" s="65" t="str">
        <f aca="false">IF($A782="","",IF($F782=WeekStart,"Yes",""))</f>
        <v/>
      </c>
      <c r="H782" s="65" t="str">
        <f aca="false">IF($G782="Yes",$A782+ROW()/100000,"")</f>
        <v/>
      </c>
      <c r="I782" s="65" t="str">
        <f aca="false">IF(AND($D782&lt;&gt;"",$D782=UCSel),$A782+ROW()/100000,"")</f>
        <v/>
      </c>
    </row>
    <row r="783" customFormat="false" ht="15" hidden="false" customHeight="false" outlineLevel="0" collapsed="false">
      <c r="A783" s="63"/>
      <c r="B783" s="28"/>
      <c r="C783" s="28"/>
      <c r="D783" s="28"/>
      <c r="E783" s="64"/>
      <c r="F783" s="67" t="str">
        <f aca="false">IF($A783="","",$A783-WEEKDAY($A783,3))</f>
        <v/>
      </c>
      <c r="G783" s="65" t="str">
        <f aca="false">IF($A783="","",IF($F783=WeekStart,"Yes",""))</f>
        <v/>
      </c>
      <c r="H783" s="65" t="str">
        <f aca="false">IF($G783="Yes",$A783+ROW()/100000,"")</f>
        <v/>
      </c>
      <c r="I783" s="65" t="str">
        <f aca="false">IF(AND($D783&lt;&gt;"",$D783=UCSel),$A783+ROW()/100000,"")</f>
        <v/>
      </c>
    </row>
    <row r="784" customFormat="false" ht="15" hidden="false" customHeight="false" outlineLevel="0" collapsed="false">
      <c r="A784" s="63"/>
      <c r="B784" s="28"/>
      <c r="C784" s="28"/>
      <c r="D784" s="28"/>
      <c r="E784" s="64"/>
      <c r="F784" s="67" t="str">
        <f aca="false">IF($A784="","",$A784-WEEKDAY($A784,3))</f>
        <v/>
      </c>
      <c r="G784" s="65" t="str">
        <f aca="false">IF($A784="","",IF($F784=WeekStart,"Yes",""))</f>
        <v/>
      </c>
      <c r="H784" s="65" t="str">
        <f aca="false">IF($G784="Yes",$A784+ROW()/100000,"")</f>
        <v/>
      </c>
      <c r="I784" s="65" t="str">
        <f aca="false">IF(AND($D784&lt;&gt;"",$D784=UCSel),$A784+ROW()/100000,"")</f>
        <v/>
      </c>
    </row>
    <row r="785" customFormat="false" ht="15" hidden="false" customHeight="false" outlineLevel="0" collapsed="false">
      <c r="A785" s="63"/>
      <c r="B785" s="28"/>
      <c r="C785" s="28"/>
      <c r="D785" s="28"/>
      <c r="E785" s="64"/>
      <c r="F785" s="67" t="str">
        <f aca="false">IF($A785="","",$A785-WEEKDAY($A785,3))</f>
        <v/>
      </c>
      <c r="G785" s="65" t="str">
        <f aca="false">IF($A785="","",IF($F785=WeekStart,"Yes",""))</f>
        <v/>
      </c>
      <c r="H785" s="65" t="str">
        <f aca="false">IF($G785="Yes",$A785+ROW()/100000,"")</f>
        <v/>
      </c>
      <c r="I785" s="65" t="str">
        <f aca="false">IF(AND($D785&lt;&gt;"",$D785=UCSel),$A785+ROW()/100000,"")</f>
        <v/>
      </c>
    </row>
    <row r="786" customFormat="false" ht="15" hidden="false" customHeight="false" outlineLevel="0" collapsed="false">
      <c r="A786" s="63"/>
      <c r="B786" s="28"/>
      <c r="C786" s="28"/>
      <c r="D786" s="28"/>
      <c r="E786" s="64"/>
      <c r="F786" s="67" t="str">
        <f aca="false">IF($A786="","",$A786-WEEKDAY($A786,3))</f>
        <v/>
      </c>
      <c r="G786" s="65" t="str">
        <f aca="false">IF($A786="","",IF($F786=WeekStart,"Yes",""))</f>
        <v/>
      </c>
      <c r="H786" s="65" t="str">
        <f aca="false">IF($G786="Yes",$A786+ROW()/100000,"")</f>
        <v/>
      </c>
      <c r="I786" s="65" t="str">
        <f aca="false">IF(AND($D786&lt;&gt;"",$D786=UCSel),$A786+ROW()/100000,"")</f>
        <v/>
      </c>
    </row>
    <row r="787" customFormat="false" ht="15" hidden="false" customHeight="false" outlineLevel="0" collapsed="false">
      <c r="A787" s="63"/>
      <c r="B787" s="28"/>
      <c r="C787" s="28"/>
      <c r="D787" s="28"/>
      <c r="E787" s="64"/>
      <c r="F787" s="67" t="str">
        <f aca="false">IF($A787="","",$A787-WEEKDAY($A787,3))</f>
        <v/>
      </c>
      <c r="G787" s="65" t="str">
        <f aca="false">IF($A787="","",IF($F787=WeekStart,"Yes",""))</f>
        <v/>
      </c>
      <c r="H787" s="65" t="str">
        <f aca="false">IF($G787="Yes",$A787+ROW()/100000,"")</f>
        <v/>
      </c>
      <c r="I787" s="65" t="str">
        <f aca="false">IF(AND($D787&lt;&gt;"",$D787=UCSel),$A787+ROW()/100000,"")</f>
        <v/>
      </c>
    </row>
    <row r="788" customFormat="false" ht="15" hidden="false" customHeight="false" outlineLevel="0" collapsed="false">
      <c r="A788" s="63"/>
      <c r="B788" s="28"/>
      <c r="C788" s="28"/>
      <c r="D788" s="28"/>
      <c r="E788" s="64"/>
      <c r="F788" s="67" t="str">
        <f aca="false">IF($A788="","",$A788-WEEKDAY($A788,3))</f>
        <v/>
      </c>
      <c r="G788" s="65" t="str">
        <f aca="false">IF($A788="","",IF($F788=WeekStart,"Yes",""))</f>
        <v/>
      </c>
      <c r="H788" s="65" t="str">
        <f aca="false">IF($G788="Yes",$A788+ROW()/100000,"")</f>
        <v/>
      </c>
      <c r="I788" s="65" t="str">
        <f aca="false">IF(AND($D788&lt;&gt;"",$D788=UCSel),$A788+ROW()/100000,"")</f>
        <v/>
      </c>
    </row>
    <row r="789" customFormat="false" ht="15" hidden="false" customHeight="false" outlineLevel="0" collapsed="false">
      <c r="A789" s="63"/>
      <c r="B789" s="28"/>
      <c r="C789" s="28"/>
      <c r="D789" s="28"/>
      <c r="E789" s="64"/>
      <c r="F789" s="67" t="str">
        <f aca="false">IF($A789="","",$A789-WEEKDAY($A789,3))</f>
        <v/>
      </c>
      <c r="G789" s="65" t="str">
        <f aca="false">IF($A789="","",IF($F789=WeekStart,"Yes",""))</f>
        <v/>
      </c>
      <c r="H789" s="65" t="str">
        <f aca="false">IF($G789="Yes",$A789+ROW()/100000,"")</f>
        <v/>
      </c>
      <c r="I789" s="65" t="str">
        <f aca="false">IF(AND($D789&lt;&gt;"",$D789=UCSel),$A789+ROW()/100000,"")</f>
        <v/>
      </c>
    </row>
    <row r="790" customFormat="false" ht="15" hidden="false" customHeight="false" outlineLevel="0" collapsed="false">
      <c r="A790" s="63"/>
      <c r="B790" s="28"/>
      <c r="C790" s="28"/>
      <c r="D790" s="28"/>
      <c r="E790" s="64"/>
      <c r="F790" s="67" t="str">
        <f aca="false">IF($A790="","",$A790-WEEKDAY($A790,3))</f>
        <v/>
      </c>
      <c r="G790" s="65" t="str">
        <f aca="false">IF($A790="","",IF($F790=WeekStart,"Yes",""))</f>
        <v/>
      </c>
      <c r="H790" s="65" t="str">
        <f aca="false">IF($G790="Yes",$A790+ROW()/100000,"")</f>
        <v/>
      </c>
      <c r="I790" s="65" t="str">
        <f aca="false">IF(AND($D790&lt;&gt;"",$D790=UCSel),$A790+ROW()/100000,"")</f>
        <v/>
      </c>
    </row>
    <row r="791" customFormat="false" ht="15" hidden="false" customHeight="false" outlineLevel="0" collapsed="false">
      <c r="A791" s="63"/>
      <c r="B791" s="28"/>
      <c r="C791" s="28"/>
      <c r="D791" s="28"/>
      <c r="E791" s="64"/>
      <c r="F791" s="67" t="str">
        <f aca="false">IF($A791="","",$A791-WEEKDAY($A791,3))</f>
        <v/>
      </c>
      <c r="G791" s="65" t="str">
        <f aca="false">IF($A791="","",IF($F791=WeekStart,"Yes",""))</f>
        <v/>
      </c>
      <c r="H791" s="65" t="str">
        <f aca="false">IF($G791="Yes",$A791+ROW()/100000,"")</f>
        <v/>
      </c>
      <c r="I791" s="65" t="str">
        <f aca="false">IF(AND($D791&lt;&gt;"",$D791=UCSel),$A791+ROW()/100000,"")</f>
        <v/>
      </c>
    </row>
    <row r="792" customFormat="false" ht="15" hidden="false" customHeight="false" outlineLevel="0" collapsed="false">
      <c r="A792" s="63"/>
      <c r="B792" s="28"/>
      <c r="C792" s="28"/>
      <c r="D792" s="28"/>
      <c r="E792" s="64"/>
      <c r="F792" s="67" t="str">
        <f aca="false">IF($A792="","",$A792-WEEKDAY($A792,3))</f>
        <v/>
      </c>
      <c r="G792" s="65" t="str">
        <f aca="false">IF($A792="","",IF($F792=WeekStart,"Yes",""))</f>
        <v/>
      </c>
      <c r="H792" s="65" t="str">
        <f aca="false">IF($G792="Yes",$A792+ROW()/100000,"")</f>
        <v/>
      </c>
      <c r="I792" s="65" t="str">
        <f aca="false">IF(AND($D792&lt;&gt;"",$D792=UCSel),$A792+ROW()/100000,"")</f>
        <v/>
      </c>
    </row>
    <row r="793" customFormat="false" ht="15" hidden="false" customHeight="false" outlineLevel="0" collapsed="false">
      <c r="A793" s="63"/>
      <c r="B793" s="28"/>
      <c r="C793" s="28"/>
      <c r="D793" s="28"/>
      <c r="E793" s="64"/>
      <c r="F793" s="67" t="str">
        <f aca="false">IF($A793="","",$A793-WEEKDAY($A793,3))</f>
        <v/>
      </c>
      <c r="G793" s="65" t="str">
        <f aca="false">IF($A793="","",IF($F793=WeekStart,"Yes",""))</f>
        <v/>
      </c>
      <c r="H793" s="65" t="str">
        <f aca="false">IF($G793="Yes",$A793+ROW()/100000,"")</f>
        <v/>
      </c>
      <c r="I793" s="65" t="str">
        <f aca="false">IF(AND($D793&lt;&gt;"",$D793=UCSel),$A793+ROW()/100000,"")</f>
        <v/>
      </c>
    </row>
    <row r="794" customFormat="false" ht="15" hidden="false" customHeight="false" outlineLevel="0" collapsed="false">
      <c r="A794" s="63"/>
      <c r="B794" s="28"/>
      <c r="C794" s="28"/>
      <c r="D794" s="28"/>
      <c r="E794" s="64"/>
      <c r="F794" s="67" t="str">
        <f aca="false">IF($A794="","",$A794-WEEKDAY($A794,3))</f>
        <v/>
      </c>
      <c r="G794" s="65" t="str">
        <f aca="false">IF($A794="","",IF($F794=WeekStart,"Yes",""))</f>
        <v/>
      </c>
      <c r="H794" s="65" t="str">
        <f aca="false">IF($G794="Yes",$A794+ROW()/100000,"")</f>
        <v/>
      </c>
      <c r="I794" s="65" t="str">
        <f aca="false">IF(AND($D794&lt;&gt;"",$D794=UCSel),$A794+ROW()/100000,"")</f>
        <v/>
      </c>
    </row>
    <row r="795" customFormat="false" ht="15" hidden="false" customHeight="false" outlineLevel="0" collapsed="false">
      <c r="A795" s="63"/>
      <c r="B795" s="28"/>
      <c r="C795" s="28"/>
      <c r="D795" s="28"/>
      <c r="E795" s="64"/>
      <c r="F795" s="67" t="str">
        <f aca="false">IF($A795="","",$A795-WEEKDAY($A795,3))</f>
        <v/>
      </c>
      <c r="G795" s="65" t="str">
        <f aca="false">IF($A795="","",IF($F795=WeekStart,"Yes",""))</f>
        <v/>
      </c>
      <c r="H795" s="65" t="str">
        <f aca="false">IF($G795="Yes",$A795+ROW()/100000,"")</f>
        <v/>
      </c>
      <c r="I795" s="65" t="str">
        <f aca="false">IF(AND($D795&lt;&gt;"",$D795=UCSel),$A795+ROW()/100000,"")</f>
        <v/>
      </c>
    </row>
    <row r="796" customFormat="false" ht="15" hidden="false" customHeight="false" outlineLevel="0" collapsed="false">
      <c r="A796" s="63"/>
      <c r="B796" s="28"/>
      <c r="C796" s="28"/>
      <c r="D796" s="28"/>
      <c r="E796" s="64"/>
      <c r="F796" s="67" t="str">
        <f aca="false">IF($A796="","",$A796-WEEKDAY($A796,3))</f>
        <v/>
      </c>
      <c r="G796" s="65" t="str">
        <f aca="false">IF($A796="","",IF($F796=WeekStart,"Yes",""))</f>
        <v/>
      </c>
      <c r="H796" s="65" t="str">
        <f aca="false">IF($G796="Yes",$A796+ROW()/100000,"")</f>
        <v/>
      </c>
      <c r="I796" s="65" t="str">
        <f aca="false">IF(AND($D796&lt;&gt;"",$D796=UCSel),$A796+ROW()/100000,"")</f>
        <v/>
      </c>
    </row>
    <row r="797" customFormat="false" ht="15" hidden="false" customHeight="false" outlineLevel="0" collapsed="false">
      <c r="A797" s="63"/>
      <c r="B797" s="28"/>
      <c r="C797" s="28"/>
      <c r="D797" s="28"/>
      <c r="E797" s="64"/>
      <c r="F797" s="67" t="str">
        <f aca="false">IF($A797="","",$A797-WEEKDAY($A797,3))</f>
        <v/>
      </c>
      <c r="G797" s="65" t="str">
        <f aca="false">IF($A797="","",IF($F797=WeekStart,"Yes",""))</f>
        <v/>
      </c>
      <c r="H797" s="65" t="str">
        <f aca="false">IF($G797="Yes",$A797+ROW()/100000,"")</f>
        <v/>
      </c>
      <c r="I797" s="65" t="str">
        <f aca="false">IF(AND($D797&lt;&gt;"",$D797=UCSel),$A797+ROW()/100000,"")</f>
        <v/>
      </c>
    </row>
    <row r="798" customFormat="false" ht="15" hidden="false" customHeight="false" outlineLevel="0" collapsed="false">
      <c r="A798" s="63"/>
      <c r="B798" s="28"/>
      <c r="C798" s="28"/>
      <c r="D798" s="28"/>
      <c r="E798" s="64"/>
      <c r="F798" s="67" t="str">
        <f aca="false">IF($A798="","",$A798-WEEKDAY($A798,3))</f>
        <v/>
      </c>
      <c r="G798" s="65" t="str">
        <f aca="false">IF($A798="","",IF($F798=WeekStart,"Yes",""))</f>
        <v/>
      </c>
      <c r="H798" s="65" t="str">
        <f aca="false">IF($G798="Yes",$A798+ROW()/100000,"")</f>
        <v/>
      </c>
      <c r="I798" s="65" t="str">
        <f aca="false">IF(AND($D798&lt;&gt;"",$D798=UCSel),$A798+ROW()/100000,"")</f>
        <v/>
      </c>
    </row>
    <row r="799" customFormat="false" ht="15" hidden="false" customHeight="false" outlineLevel="0" collapsed="false">
      <c r="A799" s="63"/>
      <c r="B799" s="28"/>
      <c r="C799" s="28"/>
      <c r="D799" s="28"/>
      <c r="E799" s="64"/>
      <c r="F799" s="67" t="str">
        <f aca="false">IF($A799="","",$A799-WEEKDAY($A799,3))</f>
        <v/>
      </c>
      <c r="G799" s="65" t="str">
        <f aca="false">IF($A799="","",IF($F799=WeekStart,"Yes",""))</f>
        <v/>
      </c>
      <c r="H799" s="65" t="str">
        <f aca="false">IF($G799="Yes",$A799+ROW()/100000,"")</f>
        <v/>
      </c>
      <c r="I799" s="65" t="str">
        <f aca="false">IF(AND($D799&lt;&gt;"",$D799=UCSel),$A799+ROW()/100000,"")</f>
        <v/>
      </c>
    </row>
    <row r="800" customFormat="false" ht="15" hidden="false" customHeight="false" outlineLevel="0" collapsed="false">
      <c r="A800" s="63"/>
      <c r="B800" s="28"/>
      <c r="C800" s="28"/>
      <c r="D800" s="28"/>
      <c r="E800" s="64"/>
      <c r="F800" s="67" t="str">
        <f aca="false">IF($A800="","",$A800-WEEKDAY($A800,3))</f>
        <v/>
      </c>
      <c r="G800" s="65" t="str">
        <f aca="false">IF($A800="","",IF($F800=WeekStart,"Yes",""))</f>
        <v/>
      </c>
      <c r="H800" s="65" t="str">
        <f aca="false">IF($G800="Yes",$A800+ROW()/100000,"")</f>
        <v/>
      </c>
      <c r="I800" s="65" t="str">
        <f aca="false">IF(AND($D800&lt;&gt;"",$D800=UCSel),$A800+ROW()/100000,"")</f>
        <v/>
      </c>
    </row>
    <row r="801" customFormat="false" ht="15" hidden="false" customHeight="false" outlineLevel="0" collapsed="false">
      <c r="A801" s="63"/>
      <c r="B801" s="28"/>
      <c r="C801" s="28"/>
      <c r="D801" s="28"/>
      <c r="E801" s="64"/>
      <c r="F801" s="67" t="str">
        <f aca="false">IF($A801="","",$A801-WEEKDAY($A801,3))</f>
        <v/>
      </c>
      <c r="G801" s="65" t="str">
        <f aca="false">IF($A801="","",IF($F801=WeekStart,"Yes",""))</f>
        <v/>
      </c>
      <c r="H801" s="65" t="str">
        <f aca="false">IF($G801="Yes",$A801+ROW()/100000,"")</f>
        <v/>
      </c>
      <c r="I801" s="65" t="str">
        <f aca="false">IF(AND($D801&lt;&gt;"",$D801=UCSel),$A801+ROW()/100000,"")</f>
        <v/>
      </c>
    </row>
    <row r="802" customFormat="false" ht="15" hidden="false" customHeight="false" outlineLevel="0" collapsed="false">
      <c r="A802" s="63"/>
      <c r="B802" s="28"/>
      <c r="C802" s="28"/>
      <c r="D802" s="28"/>
      <c r="E802" s="64"/>
      <c r="F802" s="67" t="str">
        <f aca="false">IF($A802="","",$A802-WEEKDAY($A802,3))</f>
        <v/>
      </c>
      <c r="G802" s="65" t="str">
        <f aca="false">IF($A802="","",IF($F802=WeekStart,"Yes",""))</f>
        <v/>
      </c>
      <c r="H802" s="65" t="str">
        <f aca="false">IF($G802="Yes",$A802+ROW()/100000,"")</f>
        <v/>
      </c>
      <c r="I802" s="65" t="str">
        <f aca="false">IF(AND($D802&lt;&gt;"",$D802=UCSel),$A802+ROW()/100000,"")</f>
        <v/>
      </c>
    </row>
    <row r="803" customFormat="false" ht="15" hidden="false" customHeight="false" outlineLevel="0" collapsed="false">
      <c r="A803" s="63"/>
      <c r="B803" s="28"/>
      <c r="C803" s="28"/>
      <c r="D803" s="28"/>
      <c r="E803" s="64"/>
      <c r="F803" s="67" t="str">
        <f aca="false">IF($A803="","",$A803-WEEKDAY($A803,3))</f>
        <v/>
      </c>
      <c r="G803" s="65" t="str">
        <f aca="false">IF($A803="","",IF($F803=WeekStart,"Yes",""))</f>
        <v/>
      </c>
      <c r="H803" s="65" t="str">
        <f aca="false">IF($G803="Yes",$A803+ROW()/100000,"")</f>
        <v/>
      </c>
      <c r="I803" s="65" t="str">
        <f aca="false">IF(AND($D803&lt;&gt;"",$D803=UCSel),$A803+ROW()/100000,"")</f>
        <v/>
      </c>
    </row>
    <row r="804" customFormat="false" ht="15" hidden="false" customHeight="false" outlineLevel="0" collapsed="false">
      <c r="A804" s="63"/>
      <c r="B804" s="28"/>
      <c r="C804" s="28"/>
      <c r="D804" s="28"/>
      <c r="E804" s="64"/>
      <c r="F804" s="67" t="str">
        <f aca="false">IF($A804="","",$A804-WEEKDAY($A804,3))</f>
        <v/>
      </c>
      <c r="G804" s="65" t="str">
        <f aca="false">IF($A804="","",IF($F804=WeekStart,"Yes",""))</f>
        <v/>
      </c>
      <c r="H804" s="65" t="str">
        <f aca="false">IF($G804="Yes",$A804+ROW()/100000,"")</f>
        <v/>
      </c>
      <c r="I804" s="65" t="str">
        <f aca="false">IF(AND($D804&lt;&gt;"",$D804=UCSel),$A804+ROW()/100000,"")</f>
        <v/>
      </c>
    </row>
    <row r="805" customFormat="false" ht="15" hidden="false" customHeight="false" outlineLevel="0" collapsed="false">
      <c r="A805" s="63"/>
      <c r="B805" s="28"/>
      <c r="C805" s="28"/>
      <c r="D805" s="28"/>
      <c r="E805" s="64"/>
      <c r="F805" s="67" t="str">
        <f aca="false">IF($A805="","",$A805-WEEKDAY($A805,3))</f>
        <v/>
      </c>
      <c r="G805" s="65" t="str">
        <f aca="false">IF($A805="","",IF($F805=WeekStart,"Yes",""))</f>
        <v/>
      </c>
      <c r="H805" s="65" t="str">
        <f aca="false">IF($G805="Yes",$A805+ROW()/100000,"")</f>
        <v/>
      </c>
      <c r="I805" s="65" t="str">
        <f aca="false">IF(AND($D805&lt;&gt;"",$D805=UCSel),$A805+ROW()/100000,"")</f>
        <v/>
      </c>
    </row>
    <row r="806" customFormat="false" ht="15" hidden="false" customHeight="false" outlineLevel="0" collapsed="false">
      <c r="A806" s="63"/>
      <c r="B806" s="28"/>
      <c r="C806" s="28"/>
      <c r="D806" s="28"/>
      <c r="E806" s="64"/>
      <c r="F806" s="67" t="str">
        <f aca="false">IF($A806="","",$A806-WEEKDAY($A806,3))</f>
        <v/>
      </c>
      <c r="G806" s="65" t="str">
        <f aca="false">IF($A806="","",IF($F806=WeekStart,"Yes",""))</f>
        <v/>
      </c>
      <c r="H806" s="65" t="str">
        <f aca="false">IF($G806="Yes",$A806+ROW()/100000,"")</f>
        <v/>
      </c>
      <c r="I806" s="65" t="str">
        <f aca="false">IF(AND($D806&lt;&gt;"",$D806=UCSel),$A806+ROW()/100000,"")</f>
        <v/>
      </c>
    </row>
    <row r="807" customFormat="false" ht="15" hidden="false" customHeight="false" outlineLevel="0" collapsed="false">
      <c r="A807" s="63"/>
      <c r="B807" s="28"/>
      <c r="C807" s="28"/>
      <c r="D807" s="28"/>
      <c r="E807" s="64"/>
      <c r="F807" s="67" t="str">
        <f aca="false">IF($A807="","",$A807-WEEKDAY($A807,3))</f>
        <v/>
      </c>
      <c r="G807" s="65" t="str">
        <f aca="false">IF($A807="","",IF($F807=WeekStart,"Yes",""))</f>
        <v/>
      </c>
      <c r="H807" s="65" t="str">
        <f aca="false">IF($G807="Yes",$A807+ROW()/100000,"")</f>
        <v/>
      </c>
      <c r="I807" s="65" t="str">
        <f aca="false">IF(AND($D807&lt;&gt;"",$D807=UCSel),$A807+ROW()/100000,"")</f>
        <v/>
      </c>
    </row>
    <row r="808" customFormat="false" ht="15" hidden="false" customHeight="false" outlineLevel="0" collapsed="false">
      <c r="A808" s="63"/>
      <c r="B808" s="28"/>
      <c r="C808" s="28"/>
      <c r="D808" s="28"/>
      <c r="E808" s="64"/>
      <c r="F808" s="67" t="str">
        <f aca="false">IF($A808="","",$A808-WEEKDAY($A808,3))</f>
        <v/>
      </c>
      <c r="G808" s="65" t="str">
        <f aca="false">IF($A808="","",IF($F808=WeekStart,"Yes",""))</f>
        <v/>
      </c>
      <c r="H808" s="65" t="str">
        <f aca="false">IF($G808="Yes",$A808+ROW()/100000,"")</f>
        <v/>
      </c>
      <c r="I808" s="65" t="str">
        <f aca="false">IF(AND($D808&lt;&gt;"",$D808=UCSel),$A808+ROW()/100000,"")</f>
        <v/>
      </c>
    </row>
    <row r="809" customFormat="false" ht="15" hidden="false" customHeight="false" outlineLevel="0" collapsed="false">
      <c r="A809" s="63"/>
      <c r="B809" s="28"/>
      <c r="C809" s="28"/>
      <c r="D809" s="28"/>
      <c r="E809" s="64"/>
      <c r="F809" s="67" t="str">
        <f aca="false">IF($A809="","",$A809-WEEKDAY($A809,3))</f>
        <v/>
      </c>
      <c r="G809" s="65" t="str">
        <f aca="false">IF($A809="","",IF($F809=WeekStart,"Yes",""))</f>
        <v/>
      </c>
      <c r="H809" s="65" t="str">
        <f aca="false">IF($G809="Yes",$A809+ROW()/100000,"")</f>
        <v/>
      </c>
      <c r="I809" s="65" t="str">
        <f aca="false">IF(AND($D809&lt;&gt;"",$D809=UCSel),$A809+ROW()/100000,"")</f>
        <v/>
      </c>
    </row>
    <row r="810" customFormat="false" ht="15" hidden="false" customHeight="false" outlineLevel="0" collapsed="false">
      <c r="A810" s="63"/>
      <c r="B810" s="28"/>
      <c r="C810" s="28"/>
      <c r="D810" s="28"/>
      <c r="E810" s="64"/>
      <c r="F810" s="67" t="str">
        <f aca="false">IF($A810="","",$A810-WEEKDAY($A810,3))</f>
        <v/>
      </c>
      <c r="G810" s="65" t="str">
        <f aca="false">IF($A810="","",IF($F810=WeekStart,"Yes",""))</f>
        <v/>
      </c>
      <c r="H810" s="65" t="str">
        <f aca="false">IF($G810="Yes",$A810+ROW()/100000,"")</f>
        <v/>
      </c>
      <c r="I810" s="65" t="str">
        <f aca="false">IF(AND($D810&lt;&gt;"",$D810=UCSel),$A810+ROW()/100000,"")</f>
        <v/>
      </c>
    </row>
    <row r="811" customFormat="false" ht="15" hidden="false" customHeight="false" outlineLevel="0" collapsed="false">
      <c r="A811" s="63"/>
      <c r="B811" s="28"/>
      <c r="C811" s="28"/>
      <c r="D811" s="28"/>
      <c r="E811" s="64"/>
      <c r="F811" s="67" t="str">
        <f aca="false">IF($A811="","",$A811-WEEKDAY($A811,3))</f>
        <v/>
      </c>
      <c r="G811" s="65" t="str">
        <f aca="false">IF($A811="","",IF($F811=WeekStart,"Yes",""))</f>
        <v/>
      </c>
      <c r="H811" s="65" t="str">
        <f aca="false">IF($G811="Yes",$A811+ROW()/100000,"")</f>
        <v/>
      </c>
      <c r="I811" s="65" t="str">
        <f aca="false">IF(AND($D811&lt;&gt;"",$D811=UCSel),$A811+ROW()/100000,"")</f>
        <v/>
      </c>
    </row>
    <row r="812" customFormat="false" ht="15" hidden="false" customHeight="false" outlineLevel="0" collapsed="false">
      <c r="A812" s="63"/>
      <c r="B812" s="28"/>
      <c r="C812" s="28"/>
      <c r="D812" s="28"/>
      <c r="E812" s="64"/>
      <c r="F812" s="67" t="str">
        <f aca="false">IF($A812="","",$A812-WEEKDAY($A812,3))</f>
        <v/>
      </c>
      <c r="G812" s="65" t="str">
        <f aca="false">IF($A812="","",IF($F812=WeekStart,"Yes",""))</f>
        <v/>
      </c>
      <c r="H812" s="65" t="str">
        <f aca="false">IF($G812="Yes",$A812+ROW()/100000,"")</f>
        <v/>
      </c>
      <c r="I812" s="65" t="str">
        <f aca="false">IF(AND($D812&lt;&gt;"",$D812=UCSel),$A812+ROW()/100000,"")</f>
        <v/>
      </c>
    </row>
    <row r="813" customFormat="false" ht="15" hidden="false" customHeight="false" outlineLevel="0" collapsed="false">
      <c r="A813" s="63"/>
      <c r="B813" s="28"/>
      <c r="C813" s="28"/>
      <c r="D813" s="28"/>
      <c r="E813" s="64"/>
      <c r="F813" s="67" t="str">
        <f aca="false">IF($A813="","",$A813-WEEKDAY($A813,3))</f>
        <v/>
      </c>
      <c r="G813" s="65" t="str">
        <f aca="false">IF($A813="","",IF($F813=WeekStart,"Yes",""))</f>
        <v/>
      </c>
      <c r="H813" s="65" t="str">
        <f aca="false">IF($G813="Yes",$A813+ROW()/100000,"")</f>
        <v/>
      </c>
      <c r="I813" s="65" t="str">
        <f aca="false">IF(AND($D813&lt;&gt;"",$D813=UCSel),$A813+ROW()/100000,"")</f>
        <v/>
      </c>
    </row>
    <row r="814" customFormat="false" ht="15" hidden="false" customHeight="false" outlineLevel="0" collapsed="false">
      <c r="A814" s="63"/>
      <c r="B814" s="28"/>
      <c r="C814" s="28"/>
      <c r="D814" s="28"/>
      <c r="E814" s="64"/>
      <c r="F814" s="67" t="str">
        <f aca="false">IF($A814="","",$A814-WEEKDAY($A814,3))</f>
        <v/>
      </c>
      <c r="G814" s="65" t="str">
        <f aca="false">IF($A814="","",IF($F814=WeekStart,"Yes",""))</f>
        <v/>
      </c>
      <c r="H814" s="65" t="str">
        <f aca="false">IF($G814="Yes",$A814+ROW()/100000,"")</f>
        <v/>
      </c>
      <c r="I814" s="65" t="str">
        <f aca="false">IF(AND($D814&lt;&gt;"",$D814=UCSel),$A814+ROW()/100000,"")</f>
        <v/>
      </c>
    </row>
    <row r="815" customFormat="false" ht="15" hidden="false" customHeight="false" outlineLevel="0" collapsed="false">
      <c r="A815" s="63"/>
      <c r="B815" s="28"/>
      <c r="C815" s="28"/>
      <c r="D815" s="28"/>
      <c r="E815" s="64"/>
      <c r="F815" s="67" t="str">
        <f aca="false">IF($A815="","",$A815-WEEKDAY($A815,3))</f>
        <v/>
      </c>
      <c r="G815" s="65" t="str">
        <f aca="false">IF($A815="","",IF($F815=WeekStart,"Yes",""))</f>
        <v/>
      </c>
      <c r="H815" s="65" t="str">
        <f aca="false">IF($G815="Yes",$A815+ROW()/100000,"")</f>
        <v/>
      </c>
      <c r="I815" s="65" t="str">
        <f aca="false">IF(AND($D815&lt;&gt;"",$D815=UCSel),$A815+ROW()/100000,"")</f>
        <v/>
      </c>
    </row>
    <row r="816" customFormat="false" ht="15" hidden="false" customHeight="false" outlineLevel="0" collapsed="false">
      <c r="A816" s="63"/>
      <c r="B816" s="28"/>
      <c r="C816" s="28"/>
      <c r="D816" s="28"/>
      <c r="E816" s="64"/>
      <c r="F816" s="67" t="str">
        <f aca="false">IF($A816="","",$A816-WEEKDAY($A816,3))</f>
        <v/>
      </c>
      <c r="G816" s="65" t="str">
        <f aca="false">IF($A816="","",IF($F816=WeekStart,"Yes",""))</f>
        <v/>
      </c>
      <c r="H816" s="65" t="str">
        <f aca="false">IF($G816="Yes",$A816+ROW()/100000,"")</f>
        <v/>
      </c>
      <c r="I816" s="65" t="str">
        <f aca="false">IF(AND($D816&lt;&gt;"",$D816=UCSel),$A816+ROW()/100000,"")</f>
        <v/>
      </c>
    </row>
    <row r="817" customFormat="false" ht="15" hidden="false" customHeight="false" outlineLevel="0" collapsed="false">
      <c r="A817" s="63"/>
      <c r="B817" s="28"/>
      <c r="C817" s="28"/>
      <c r="D817" s="28"/>
      <c r="E817" s="64"/>
      <c r="F817" s="67" t="str">
        <f aca="false">IF($A817="","",$A817-WEEKDAY($A817,3))</f>
        <v/>
      </c>
      <c r="G817" s="65" t="str">
        <f aca="false">IF($A817="","",IF($F817=WeekStart,"Yes",""))</f>
        <v/>
      </c>
      <c r="H817" s="65" t="str">
        <f aca="false">IF($G817="Yes",$A817+ROW()/100000,"")</f>
        <v/>
      </c>
      <c r="I817" s="65" t="str">
        <f aca="false">IF(AND($D817&lt;&gt;"",$D817=UCSel),$A817+ROW()/100000,"")</f>
        <v/>
      </c>
    </row>
    <row r="818" customFormat="false" ht="15" hidden="false" customHeight="false" outlineLevel="0" collapsed="false">
      <c r="A818" s="63"/>
      <c r="B818" s="28"/>
      <c r="C818" s="28"/>
      <c r="D818" s="28"/>
      <c r="E818" s="64"/>
      <c r="F818" s="67" t="str">
        <f aca="false">IF($A818="","",$A818-WEEKDAY($A818,3))</f>
        <v/>
      </c>
      <c r="G818" s="65" t="str">
        <f aca="false">IF($A818="","",IF($F818=WeekStart,"Yes",""))</f>
        <v/>
      </c>
      <c r="H818" s="65" t="str">
        <f aca="false">IF($G818="Yes",$A818+ROW()/100000,"")</f>
        <v/>
      </c>
      <c r="I818" s="65" t="str">
        <f aca="false">IF(AND($D818&lt;&gt;"",$D818=UCSel),$A818+ROW()/100000,"")</f>
        <v/>
      </c>
    </row>
    <row r="819" customFormat="false" ht="15" hidden="false" customHeight="false" outlineLevel="0" collapsed="false">
      <c r="A819" s="63"/>
      <c r="B819" s="28"/>
      <c r="C819" s="28"/>
      <c r="D819" s="28"/>
      <c r="E819" s="64"/>
      <c r="F819" s="67" t="str">
        <f aca="false">IF($A819="","",$A819-WEEKDAY($A819,3))</f>
        <v/>
      </c>
      <c r="G819" s="65" t="str">
        <f aca="false">IF($A819="","",IF($F819=WeekStart,"Yes",""))</f>
        <v/>
      </c>
      <c r="H819" s="65" t="str">
        <f aca="false">IF($G819="Yes",$A819+ROW()/100000,"")</f>
        <v/>
      </c>
      <c r="I819" s="65" t="str">
        <f aca="false">IF(AND($D819&lt;&gt;"",$D819=UCSel),$A819+ROW()/100000,"")</f>
        <v/>
      </c>
    </row>
    <row r="820" customFormat="false" ht="15" hidden="false" customHeight="false" outlineLevel="0" collapsed="false">
      <c r="A820" s="63"/>
      <c r="B820" s="28"/>
      <c r="C820" s="28"/>
      <c r="D820" s="28"/>
      <c r="E820" s="64"/>
      <c r="F820" s="67" t="str">
        <f aca="false">IF($A820="","",$A820-WEEKDAY($A820,3))</f>
        <v/>
      </c>
      <c r="G820" s="65" t="str">
        <f aca="false">IF($A820="","",IF($F820=WeekStart,"Yes",""))</f>
        <v/>
      </c>
      <c r="H820" s="65" t="str">
        <f aca="false">IF($G820="Yes",$A820+ROW()/100000,"")</f>
        <v/>
      </c>
      <c r="I820" s="65" t="str">
        <f aca="false">IF(AND($D820&lt;&gt;"",$D820=UCSel),$A820+ROW()/100000,"")</f>
        <v/>
      </c>
    </row>
    <row r="821" customFormat="false" ht="15" hidden="false" customHeight="false" outlineLevel="0" collapsed="false">
      <c r="A821" s="63"/>
      <c r="B821" s="28"/>
      <c r="C821" s="28"/>
      <c r="D821" s="28"/>
      <c r="E821" s="64"/>
      <c r="F821" s="67" t="str">
        <f aca="false">IF($A821="","",$A821-WEEKDAY($A821,3))</f>
        <v/>
      </c>
      <c r="G821" s="65" t="str">
        <f aca="false">IF($A821="","",IF($F821=WeekStart,"Yes",""))</f>
        <v/>
      </c>
      <c r="H821" s="65" t="str">
        <f aca="false">IF($G821="Yes",$A821+ROW()/100000,"")</f>
        <v/>
      </c>
      <c r="I821" s="65" t="str">
        <f aca="false">IF(AND($D821&lt;&gt;"",$D821=UCSel),$A821+ROW()/100000,"")</f>
        <v/>
      </c>
    </row>
    <row r="822" customFormat="false" ht="15" hidden="false" customHeight="false" outlineLevel="0" collapsed="false">
      <c r="A822" s="63"/>
      <c r="B822" s="28"/>
      <c r="C822" s="28"/>
      <c r="D822" s="28"/>
      <c r="E822" s="64"/>
      <c r="F822" s="67" t="str">
        <f aca="false">IF($A822="","",$A822-WEEKDAY($A822,3))</f>
        <v/>
      </c>
      <c r="G822" s="65" t="str">
        <f aca="false">IF($A822="","",IF($F822=WeekStart,"Yes",""))</f>
        <v/>
      </c>
      <c r="H822" s="65" t="str">
        <f aca="false">IF($G822="Yes",$A822+ROW()/100000,"")</f>
        <v/>
      </c>
      <c r="I822" s="65" t="str">
        <f aca="false">IF(AND($D822&lt;&gt;"",$D822=UCSel),$A822+ROW()/100000,"")</f>
        <v/>
      </c>
    </row>
    <row r="823" customFormat="false" ht="15" hidden="false" customHeight="false" outlineLevel="0" collapsed="false">
      <c r="A823" s="63"/>
      <c r="B823" s="28"/>
      <c r="C823" s="28"/>
      <c r="D823" s="28"/>
      <c r="E823" s="64"/>
      <c r="F823" s="67" t="str">
        <f aca="false">IF($A823="","",$A823-WEEKDAY($A823,3))</f>
        <v/>
      </c>
      <c r="G823" s="65" t="str">
        <f aca="false">IF($A823="","",IF($F823=WeekStart,"Yes",""))</f>
        <v/>
      </c>
      <c r="H823" s="65" t="str">
        <f aca="false">IF($G823="Yes",$A823+ROW()/100000,"")</f>
        <v/>
      </c>
      <c r="I823" s="65" t="str">
        <f aca="false">IF(AND($D823&lt;&gt;"",$D823=UCSel),$A823+ROW()/100000,"")</f>
        <v/>
      </c>
    </row>
    <row r="824" customFormat="false" ht="15" hidden="false" customHeight="false" outlineLevel="0" collapsed="false">
      <c r="A824" s="63"/>
      <c r="B824" s="28"/>
      <c r="C824" s="28"/>
      <c r="D824" s="28"/>
      <c r="E824" s="64"/>
      <c r="F824" s="67" t="str">
        <f aca="false">IF($A824="","",$A824-WEEKDAY($A824,3))</f>
        <v/>
      </c>
      <c r="G824" s="65" t="str">
        <f aca="false">IF($A824="","",IF($F824=WeekStart,"Yes",""))</f>
        <v/>
      </c>
      <c r="H824" s="65" t="str">
        <f aca="false">IF($G824="Yes",$A824+ROW()/100000,"")</f>
        <v/>
      </c>
      <c r="I824" s="65" t="str">
        <f aca="false">IF(AND($D824&lt;&gt;"",$D824=UCSel),$A824+ROW()/100000,"")</f>
        <v/>
      </c>
    </row>
    <row r="825" customFormat="false" ht="15" hidden="false" customHeight="false" outlineLevel="0" collapsed="false">
      <c r="A825" s="63"/>
      <c r="B825" s="28"/>
      <c r="C825" s="28"/>
      <c r="D825" s="28"/>
      <c r="E825" s="64"/>
      <c r="F825" s="67" t="str">
        <f aca="false">IF($A825="","",$A825-WEEKDAY($A825,3))</f>
        <v/>
      </c>
      <c r="G825" s="65" t="str">
        <f aca="false">IF($A825="","",IF($F825=WeekStart,"Yes",""))</f>
        <v/>
      </c>
      <c r="H825" s="65" t="str">
        <f aca="false">IF($G825="Yes",$A825+ROW()/100000,"")</f>
        <v/>
      </c>
      <c r="I825" s="65" t="str">
        <f aca="false">IF(AND($D825&lt;&gt;"",$D825=UCSel),$A825+ROW()/100000,"")</f>
        <v/>
      </c>
    </row>
    <row r="826" customFormat="false" ht="15" hidden="false" customHeight="false" outlineLevel="0" collapsed="false">
      <c r="A826" s="63"/>
      <c r="B826" s="28"/>
      <c r="C826" s="28"/>
      <c r="D826" s="28"/>
      <c r="E826" s="64"/>
      <c r="F826" s="67" t="str">
        <f aca="false">IF($A826="","",$A826-WEEKDAY($A826,3))</f>
        <v/>
      </c>
      <c r="G826" s="65" t="str">
        <f aca="false">IF($A826="","",IF($F826=WeekStart,"Yes",""))</f>
        <v/>
      </c>
      <c r="H826" s="65" t="str">
        <f aca="false">IF($G826="Yes",$A826+ROW()/100000,"")</f>
        <v/>
      </c>
      <c r="I826" s="65" t="str">
        <f aca="false">IF(AND($D826&lt;&gt;"",$D826=UCSel),$A826+ROW()/100000,"")</f>
        <v/>
      </c>
    </row>
    <row r="827" customFormat="false" ht="15" hidden="false" customHeight="false" outlineLevel="0" collapsed="false">
      <c r="A827" s="63"/>
      <c r="B827" s="28"/>
      <c r="C827" s="28"/>
      <c r="D827" s="28"/>
      <c r="E827" s="64"/>
      <c r="F827" s="67" t="str">
        <f aca="false">IF($A827="","",$A827-WEEKDAY($A827,3))</f>
        <v/>
      </c>
      <c r="G827" s="65" t="str">
        <f aca="false">IF($A827="","",IF($F827=WeekStart,"Yes",""))</f>
        <v/>
      </c>
      <c r="H827" s="65" t="str">
        <f aca="false">IF($G827="Yes",$A827+ROW()/100000,"")</f>
        <v/>
      </c>
      <c r="I827" s="65" t="str">
        <f aca="false">IF(AND($D827&lt;&gt;"",$D827=UCSel),$A827+ROW()/100000,"")</f>
        <v/>
      </c>
    </row>
    <row r="828" customFormat="false" ht="15" hidden="false" customHeight="false" outlineLevel="0" collapsed="false">
      <c r="A828" s="63"/>
      <c r="B828" s="28"/>
      <c r="C828" s="28"/>
      <c r="D828" s="28"/>
      <c r="E828" s="64"/>
      <c r="F828" s="67" t="str">
        <f aca="false">IF($A828="","",$A828-WEEKDAY($A828,3))</f>
        <v/>
      </c>
      <c r="G828" s="65" t="str">
        <f aca="false">IF($A828="","",IF($F828=WeekStart,"Yes",""))</f>
        <v/>
      </c>
      <c r="H828" s="65" t="str">
        <f aca="false">IF($G828="Yes",$A828+ROW()/100000,"")</f>
        <v/>
      </c>
      <c r="I828" s="65" t="str">
        <f aca="false">IF(AND($D828&lt;&gt;"",$D828=UCSel),$A828+ROW()/100000,"")</f>
        <v/>
      </c>
    </row>
    <row r="829" customFormat="false" ht="15" hidden="false" customHeight="false" outlineLevel="0" collapsed="false">
      <c r="A829" s="63"/>
      <c r="B829" s="28"/>
      <c r="C829" s="28"/>
      <c r="D829" s="28"/>
      <c r="E829" s="64"/>
      <c r="F829" s="67" t="str">
        <f aca="false">IF($A829="","",$A829-WEEKDAY($A829,3))</f>
        <v/>
      </c>
      <c r="G829" s="65" t="str">
        <f aca="false">IF($A829="","",IF($F829=WeekStart,"Yes",""))</f>
        <v/>
      </c>
      <c r="H829" s="65" t="str">
        <f aca="false">IF($G829="Yes",$A829+ROW()/100000,"")</f>
        <v/>
      </c>
      <c r="I829" s="65" t="str">
        <f aca="false">IF(AND($D829&lt;&gt;"",$D829=UCSel),$A829+ROW()/100000,"")</f>
        <v/>
      </c>
    </row>
    <row r="830" customFormat="false" ht="15" hidden="false" customHeight="false" outlineLevel="0" collapsed="false">
      <c r="A830" s="63"/>
      <c r="B830" s="28"/>
      <c r="C830" s="28"/>
      <c r="D830" s="28"/>
      <c r="E830" s="64"/>
      <c r="F830" s="67" t="str">
        <f aca="false">IF($A830="","",$A830-WEEKDAY($A830,3))</f>
        <v/>
      </c>
      <c r="G830" s="65" t="str">
        <f aca="false">IF($A830="","",IF($F830=WeekStart,"Yes",""))</f>
        <v/>
      </c>
      <c r="H830" s="65" t="str">
        <f aca="false">IF($G830="Yes",$A830+ROW()/100000,"")</f>
        <v/>
      </c>
      <c r="I830" s="65" t="str">
        <f aca="false">IF(AND($D830&lt;&gt;"",$D830=UCSel),$A830+ROW()/100000,"")</f>
        <v/>
      </c>
    </row>
    <row r="831" customFormat="false" ht="15" hidden="false" customHeight="false" outlineLevel="0" collapsed="false">
      <c r="A831" s="63"/>
      <c r="B831" s="28"/>
      <c r="C831" s="28"/>
      <c r="D831" s="28"/>
      <c r="E831" s="64"/>
      <c r="F831" s="67" t="str">
        <f aca="false">IF($A831="","",$A831-WEEKDAY($A831,3))</f>
        <v/>
      </c>
      <c r="G831" s="65" t="str">
        <f aca="false">IF($A831="","",IF($F831=WeekStart,"Yes",""))</f>
        <v/>
      </c>
      <c r="H831" s="65" t="str">
        <f aca="false">IF($G831="Yes",$A831+ROW()/100000,"")</f>
        <v/>
      </c>
      <c r="I831" s="65" t="str">
        <f aca="false">IF(AND($D831&lt;&gt;"",$D831=UCSel),$A831+ROW()/100000,"")</f>
        <v/>
      </c>
    </row>
    <row r="832" customFormat="false" ht="15" hidden="false" customHeight="false" outlineLevel="0" collapsed="false">
      <c r="A832" s="63"/>
      <c r="B832" s="28"/>
      <c r="C832" s="28"/>
      <c r="D832" s="28"/>
      <c r="E832" s="64"/>
      <c r="F832" s="67" t="str">
        <f aca="false">IF($A832="","",$A832-WEEKDAY($A832,3))</f>
        <v/>
      </c>
      <c r="G832" s="65" t="str">
        <f aca="false">IF($A832="","",IF($F832=WeekStart,"Yes",""))</f>
        <v/>
      </c>
      <c r="H832" s="65" t="str">
        <f aca="false">IF($G832="Yes",$A832+ROW()/100000,"")</f>
        <v/>
      </c>
      <c r="I832" s="65" t="str">
        <f aca="false">IF(AND($D832&lt;&gt;"",$D832=UCSel),$A832+ROW()/100000,"")</f>
        <v/>
      </c>
    </row>
    <row r="833" customFormat="false" ht="15" hidden="false" customHeight="false" outlineLevel="0" collapsed="false">
      <c r="A833" s="63"/>
      <c r="B833" s="28"/>
      <c r="C833" s="28"/>
      <c r="D833" s="28"/>
      <c r="E833" s="64"/>
      <c r="F833" s="67" t="str">
        <f aca="false">IF($A833="","",$A833-WEEKDAY($A833,3))</f>
        <v/>
      </c>
      <c r="G833" s="65" t="str">
        <f aca="false">IF($A833="","",IF($F833=WeekStart,"Yes",""))</f>
        <v/>
      </c>
      <c r="H833" s="65" t="str">
        <f aca="false">IF($G833="Yes",$A833+ROW()/100000,"")</f>
        <v/>
      </c>
      <c r="I833" s="65" t="str">
        <f aca="false">IF(AND($D833&lt;&gt;"",$D833=UCSel),$A833+ROW()/100000,"")</f>
        <v/>
      </c>
    </row>
    <row r="834" customFormat="false" ht="15" hidden="false" customHeight="false" outlineLevel="0" collapsed="false">
      <c r="A834" s="63"/>
      <c r="B834" s="28"/>
      <c r="C834" s="28"/>
      <c r="D834" s="28"/>
      <c r="E834" s="64"/>
      <c r="F834" s="67" t="str">
        <f aca="false">IF($A834="","",$A834-WEEKDAY($A834,3))</f>
        <v/>
      </c>
      <c r="G834" s="65" t="str">
        <f aca="false">IF($A834="","",IF($F834=WeekStart,"Yes",""))</f>
        <v/>
      </c>
      <c r="H834" s="65" t="str">
        <f aca="false">IF($G834="Yes",$A834+ROW()/100000,"")</f>
        <v/>
      </c>
      <c r="I834" s="65" t="str">
        <f aca="false">IF(AND($D834&lt;&gt;"",$D834=UCSel),$A834+ROW()/100000,"")</f>
        <v/>
      </c>
    </row>
    <row r="835" customFormat="false" ht="15" hidden="false" customHeight="false" outlineLevel="0" collapsed="false">
      <c r="A835" s="63"/>
      <c r="B835" s="28"/>
      <c r="C835" s="28"/>
      <c r="D835" s="28"/>
      <c r="E835" s="64"/>
      <c r="F835" s="67" t="str">
        <f aca="false">IF($A835="","",$A835-WEEKDAY($A835,3))</f>
        <v/>
      </c>
      <c r="G835" s="65" t="str">
        <f aca="false">IF($A835="","",IF($F835=WeekStart,"Yes",""))</f>
        <v/>
      </c>
      <c r="H835" s="65" t="str">
        <f aca="false">IF($G835="Yes",$A835+ROW()/100000,"")</f>
        <v/>
      </c>
      <c r="I835" s="65" t="str">
        <f aca="false">IF(AND($D835&lt;&gt;"",$D835=UCSel),$A835+ROW()/100000,"")</f>
        <v/>
      </c>
    </row>
    <row r="836" customFormat="false" ht="15" hidden="false" customHeight="false" outlineLevel="0" collapsed="false">
      <c r="A836" s="63"/>
      <c r="B836" s="28"/>
      <c r="C836" s="28"/>
      <c r="D836" s="28"/>
      <c r="E836" s="64"/>
      <c r="F836" s="67" t="str">
        <f aca="false">IF($A836="","",$A836-WEEKDAY($A836,3))</f>
        <v/>
      </c>
      <c r="G836" s="65" t="str">
        <f aca="false">IF($A836="","",IF($F836=WeekStart,"Yes",""))</f>
        <v/>
      </c>
      <c r="H836" s="65" t="str">
        <f aca="false">IF($G836="Yes",$A836+ROW()/100000,"")</f>
        <v/>
      </c>
      <c r="I836" s="65" t="str">
        <f aca="false">IF(AND($D836&lt;&gt;"",$D836=UCSel),$A836+ROW()/100000,"")</f>
        <v/>
      </c>
    </row>
    <row r="837" customFormat="false" ht="15" hidden="false" customHeight="false" outlineLevel="0" collapsed="false">
      <c r="A837" s="63"/>
      <c r="B837" s="28"/>
      <c r="C837" s="28"/>
      <c r="D837" s="28"/>
      <c r="E837" s="64"/>
      <c r="F837" s="67" t="str">
        <f aca="false">IF($A837="","",$A837-WEEKDAY($A837,3))</f>
        <v/>
      </c>
      <c r="G837" s="65" t="str">
        <f aca="false">IF($A837="","",IF($F837=WeekStart,"Yes",""))</f>
        <v/>
      </c>
      <c r="H837" s="65" t="str">
        <f aca="false">IF($G837="Yes",$A837+ROW()/100000,"")</f>
        <v/>
      </c>
      <c r="I837" s="65" t="str">
        <f aca="false">IF(AND($D837&lt;&gt;"",$D837=UCSel),$A837+ROW()/100000,"")</f>
        <v/>
      </c>
    </row>
    <row r="838" customFormat="false" ht="15" hidden="false" customHeight="false" outlineLevel="0" collapsed="false">
      <c r="A838" s="63"/>
      <c r="B838" s="28"/>
      <c r="C838" s="28"/>
      <c r="D838" s="28"/>
      <c r="E838" s="64"/>
      <c r="F838" s="67" t="str">
        <f aca="false">IF($A838="","",$A838-WEEKDAY($A838,3))</f>
        <v/>
      </c>
      <c r="G838" s="65" t="str">
        <f aca="false">IF($A838="","",IF($F838=WeekStart,"Yes",""))</f>
        <v/>
      </c>
      <c r="H838" s="65" t="str">
        <f aca="false">IF($G838="Yes",$A838+ROW()/100000,"")</f>
        <v/>
      </c>
      <c r="I838" s="65" t="str">
        <f aca="false">IF(AND($D838&lt;&gt;"",$D838=UCSel),$A838+ROW()/100000,"")</f>
        <v/>
      </c>
    </row>
    <row r="839" customFormat="false" ht="15" hidden="false" customHeight="false" outlineLevel="0" collapsed="false">
      <c r="A839" s="63"/>
      <c r="B839" s="28"/>
      <c r="C839" s="28"/>
      <c r="D839" s="28"/>
      <c r="E839" s="64"/>
      <c r="F839" s="67" t="str">
        <f aca="false">IF($A839="","",$A839-WEEKDAY($A839,3))</f>
        <v/>
      </c>
      <c r="G839" s="65" t="str">
        <f aca="false">IF($A839="","",IF($F839=WeekStart,"Yes",""))</f>
        <v/>
      </c>
      <c r="H839" s="65" t="str">
        <f aca="false">IF($G839="Yes",$A839+ROW()/100000,"")</f>
        <v/>
      </c>
      <c r="I839" s="65" t="str">
        <f aca="false">IF(AND($D839&lt;&gt;"",$D839=UCSel),$A839+ROW()/100000,"")</f>
        <v/>
      </c>
    </row>
    <row r="840" customFormat="false" ht="15" hidden="false" customHeight="false" outlineLevel="0" collapsed="false">
      <c r="A840" s="63"/>
      <c r="B840" s="28"/>
      <c r="C840" s="28"/>
      <c r="D840" s="28"/>
      <c r="E840" s="64"/>
      <c r="F840" s="67" t="str">
        <f aca="false">IF($A840="","",$A840-WEEKDAY($A840,3))</f>
        <v/>
      </c>
      <c r="G840" s="65" t="str">
        <f aca="false">IF($A840="","",IF($F840=WeekStart,"Yes",""))</f>
        <v/>
      </c>
      <c r="H840" s="65" t="str">
        <f aca="false">IF($G840="Yes",$A840+ROW()/100000,"")</f>
        <v/>
      </c>
      <c r="I840" s="65" t="str">
        <f aca="false">IF(AND($D840&lt;&gt;"",$D840=UCSel),$A840+ROW()/100000,"")</f>
        <v/>
      </c>
    </row>
    <row r="841" customFormat="false" ht="15" hidden="false" customHeight="false" outlineLevel="0" collapsed="false">
      <c r="A841" s="63"/>
      <c r="B841" s="28"/>
      <c r="C841" s="28"/>
      <c r="D841" s="28"/>
      <c r="E841" s="64"/>
      <c r="F841" s="67" t="str">
        <f aca="false">IF($A841="","",$A841-WEEKDAY($A841,3))</f>
        <v/>
      </c>
      <c r="G841" s="65" t="str">
        <f aca="false">IF($A841="","",IF($F841=WeekStart,"Yes",""))</f>
        <v/>
      </c>
      <c r="H841" s="65" t="str">
        <f aca="false">IF($G841="Yes",$A841+ROW()/100000,"")</f>
        <v/>
      </c>
      <c r="I841" s="65" t="str">
        <f aca="false">IF(AND($D841&lt;&gt;"",$D841=UCSel),$A841+ROW()/100000,"")</f>
        <v/>
      </c>
    </row>
    <row r="842" customFormat="false" ht="15" hidden="false" customHeight="false" outlineLevel="0" collapsed="false">
      <c r="A842" s="63"/>
      <c r="B842" s="28"/>
      <c r="C842" s="28"/>
      <c r="D842" s="28"/>
      <c r="E842" s="64"/>
      <c r="F842" s="67" t="str">
        <f aca="false">IF($A842="","",$A842-WEEKDAY($A842,3))</f>
        <v/>
      </c>
      <c r="G842" s="65" t="str">
        <f aca="false">IF($A842="","",IF($F842=WeekStart,"Yes",""))</f>
        <v/>
      </c>
      <c r="H842" s="65" t="str">
        <f aca="false">IF($G842="Yes",$A842+ROW()/100000,"")</f>
        <v/>
      </c>
      <c r="I842" s="65" t="str">
        <f aca="false">IF(AND($D842&lt;&gt;"",$D842=UCSel),$A842+ROW()/100000,"")</f>
        <v/>
      </c>
    </row>
    <row r="843" customFormat="false" ht="15" hidden="false" customHeight="false" outlineLevel="0" collapsed="false">
      <c r="A843" s="63"/>
      <c r="B843" s="28"/>
      <c r="C843" s="28"/>
      <c r="D843" s="28"/>
      <c r="E843" s="64"/>
      <c r="F843" s="67" t="str">
        <f aca="false">IF($A843="","",$A843-WEEKDAY($A843,3))</f>
        <v/>
      </c>
      <c r="G843" s="65" t="str">
        <f aca="false">IF($A843="","",IF($F843=WeekStart,"Yes",""))</f>
        <v/>
      </c>
      <c r="H843" s="65" t="str">
        <f aca="false">IF($G843="Yes",$A843+ROW()/100000,"")</f>
        <v/>
      </c>
      <c r="I843" s="65" t="str">
        <f aca="false">IF(AND($D843&lt;&gt;"",$D843=UCSel),$A843+ROW()/100000,"")</f>
        <v/>
      </c>
    </row>
    <row r="844" customFormat="false" ht="15" hidden="false" customHeight="false" outlineLevel="0" collapsed="false">
      <c r="A844" s="63"/>
      <c r="B844" s="28"/>
      <c r="C844" s="28"/>
      <c r="D844" s="28"/>
      <c r="E844" s="64"/>
      <c r="F844" s="67" t="str">
        <f aca="false">IF($A844="","",$A844-WEEKDAY($A844,3))</f>
        <v/>
      </c>
      <c r="G844" s="65" t="str">
        <f aca="false">IF($A844="","",IF($F844=WeekStart,"Yes",""))</f>
        <v/>
      </c>
      <c r="H844" s="65" t="str">
        <f aca="false">IF($G844="Yes",$A844+ROW()/100000,"")</f>
        <v/>
      </c>
      <c r="I844" s="65" t="str">
        <f aca="false">IF(AND($D844&lt;&gt;"",$D844=UCSel),$A844+ROW()/100000,"")</f>
        <v/>
      </c>
    </row>
    <row r="845" customFormat="false" ht="15" hidden="false" customHeight="false" outlineLevel="0" collapsed="false">
      <c r="A845" s="63"/>
      <c r="B845" s="28"/>
      <c r="C845" s="28"/>
      <c r="D845" s="28"/>
      <c r="E845" s="64"/>
      <c r="F845" s="67" t="str">
        <f aca="false">IF($A845="","",$A845-WEEKDAY($A845,3))</f>
        <v/>
      </c>
      <c r="G845" s="65" t="str">
        <f aca="false">IF($A845="","",IF($F845=WeekStart,"Yes",""))</f>
        <v/>
      </c>
      <c r="H845" s="65" t="str">
        <f aca="false">IF($G845="Yes",$A845+ROW()/100000,"")</f>
        <v/>
      </c>
      <c r="I845" s="65" t="str">
        <f aca="false">IF(AND($D845&lt;&gt;"",$D845=UCSel),$A845+ROW()/100000,"")</f>
        <v/>
      </c>
    </row>
    <row r="846" customFormat="false" ht="15" hidden="false" customHeight="false" outlineLevel="0" collapsed="false">
      <c r="A846" s="63"/>
      <c r="B846" s="28"/>
      <c r="C846" s="28"/>
      <c r="D846" s="28"/>
      <c r="E846" s="64"/>
      <c r="F846" s="67" t="str">
        <f aca="false">IF($A846="","",$A846-WEEKDAY($A846,3))</f>
        <v/>
      </c>
      <c r="G846" s="65" t="str">
        <f aca="false">IF($A846="","",IF($F846=WeekStart,"Yes",""))</f>
        <v/>
      </c>
      <c r="H846" s="65" t="str">
        <f aca="false">IF($G846="Yes",$A846+ROW()/100000,"")</f>
        <v/>
      </c>
      <c r="I846" s="65" t="str">
        <f aca="false">IF(AND($D846&lt;&gt;"",$D846=UCSel),$A846+ROW()/100000,"")</f>
        <v/>
      </c>
    </row>
    <row r="847" customFormat="false" ht="15" hidden="false" customHeight="false" outlineLevel="0" collapsed="false">
      <c r="A847" s="63"/>
      <c r="B847" s="28"/>
      <c r="C847" s="28"/>
      <c r="D847" s="28"/>
      <c r="E847" s="64"/>
      <c r="F847" s="67" t="str">
        <f aca="false">IF($A847="","",$A847-WEEKDAY($A847,3))</f>
        <v/>
      </c>
      <c r="G847" s="65" t="str">
        <f aca="false">IF($A847="","",IF($F847=WeekStart,"Yes",""))</f>
        <v/>
      </c>
      <c r="H847" s="65" t="str">
        <f aca="false">IF($G847="Yes",$A847+ROW()/100000,"")</f>
        <v/>
      </c>
      <c r="I847" s="65" t="str">
        <f aca="false">IF(AND($D847&lt;&gt;"",$D847=UCSel),$A847+ROW()/100000,"")</f>
        <v/>
      </c>
    </row>
    <row r="848" customFormat="false" ht="15" hidden="false" customHeight="false" outlineLevel="0" collapsed="false">
      <c r="A848" s="63"/>
      <c r="B848" s="28"/>
      <c r="C848" s="28"/>
      <c r="D848" s="28"/>
      <c r="E848" s="64"/>
      <c r="F848" s="67" t="str">
        <f aca="false">IF($A848="","",$A848-WEEKDAY($A848,3))</f>
        <v/>
      </c>
      <c r="G848" s="65" t="str">
        <f aca="false">IF($A848="","",IF($F848=WeekStart,"Yes",""))</f>
        <v/>
      </c>
      <c r="H848" s="65" t="str">
        <f aca="false">IF($G848="Yes",$A848+ROW()/100000,"")</f>
        <v/>
      </c>
      <c r="I848" s="65" t="str">
        <f aca="false">IF(AND($D848&lt;&gt;"",$D848=UCSel),$A848+ROW()/100000,"")</f>
        <v/>
      </c>
    </row>
    <row r="849" customFormat="false" ht="15" hidden="false" customHeight="false" outlineLevel="0" collapsed="false">
      <c r="A849" s="63"/>
      <c r="B849" s="28"/>
      <c r="C849" s="28"/>
      <c r="D849" s="28"/>
      <c r="E849" s="64"/>
      <c r="F849" s="67" t="str">
        <f aca="false">IF($A849="","",$A849-WEEKDAY($A849,3))</f>
        <v/>
      </c>
      <c r="G849" s="65" t="str">
        <f aca="false">IF($A849="","",IF($F849=WeekStart,"Yes",""))</f>
        <v/>
      </c>
      <c r="H849" s="65" t="str">
        <f aca="false">IF($G849="Yes",$A849+ROW()/100000,"")</f>
        <v/>
      </c>
      <c r="I849" s="65" t="str">
        <f aca="false">IF(AND($D849&lt;&gt;"",$D849=UCSel),$A849+ROW()/100000,"")</f>
        <v/>
      </c>
    </row>
    <row r="850" customFormat="false" ht="15" hidden="false" customHeight="false" outlineLevel="0" collapsed="false">
      <c r="A850" s="63"/>
      <c r="B850" s="28"/>
      <c r="C850" s="28"/>
      <c r="D850" s="28"/>
      <c r="E850" s="64"/>
      <c r="F850" s="67" t="str">
        <f aca="false">IF($A850="","",$A850-WEEKDAY($A850,3))</f>
        <v/>
      </c>
      <c r="G850" s="65" t="str">
        <f aca="false">IF($A850="","",IF($F850=WeekStart,"Yes",""))</f>
        <v/>
      </c>
      <c r="H850" s="65" t="str">
        <f aca="false">IF($G850="Yes",$A850+ROW()/100000,"")</f>
        <v/>
      </c>
      <c r="I850" s="65" t="str">
        <f aca="false">IF(AND($D850&lt;&gt;"",$D850=UCSel),$A850+ROW()/100000,"")</f>
        <v/>
      </c>
    </row>
    <row r="851" customFormat="false" ht="15" hidden="false" customHeight="false" outlineLevel="0" collapsed="false">
      <c r="A851" s="63"/>
      <c r="B851" s="28"/>
      <c r="C851" s="28"/>
      <c r="D851" s="28"/>
      <c r="E851" s="64"/>
      <c r="F851" s="67" t="str">
        <f aca="false">IF($A851="","",$A851-WEEKDAY($A851,3))</f>
        <v/>
      </c>
      <c r="G851" s="65" t="str">
        <f aca="false">IF($A851="","",IF($F851=WeekStart,"Yes",""))</f>
        <v/>
      </c>
      <c r="H851" s="65" t="str">
        <f aca="false">IF($G851="Yes",$A851+ROW()/100000,"")</f>
        <v/>
      </c>
      <c r="I851" s="65" t="str">
        <f aca="false">IF(AND($D851&lt;&gt;"",$D851=UCSel),$A851+ROW()/100000,"")</f>
        <v/>
      </c>
    </row>
    <row r="852" customFormat="false" ht="15" hidden="false" customHeight="false" outlineLevel="0" collapsed="false">
      <c r="A852" s="63"/>
      <c r="B852" s="28"/>
      <c r="C852" s="28"/>
      <c r="D852" s="28"/>
      <c r="E852" s="64"/>
      <c r="F852" s="67" t="str">
        <f aca="false">IF($A852="","",$A852-WEEKDAY($A852,3))</f>
        <v/>
      </c>
      <c r="G852" s="65" t="str">
        <f aca="false">IF($A852="","",IF($F852=WeekStart,"Yes",""))</f>
        <v/>
      </c>
      <c r="H852" s="65" t="str">
        <f aca="false">IF($G852="Yes",$A852+ROW()/100000,"")</f>
        <v/>
      </c>
      <c r="I852" s="65" t="str">
        <f aca="false">IF(AND($D852&lt;&gt;"",$D852=UCSel),$A852+ROW()/100000,"")</f>
        <v/>
      </c>
    </row>
    <row r="853" customFormat="false" ht="15" hidden="false" customHeight="false" outlineLevel="0" collapsed="false">
      <c r="A853" s="63"/>
      <c r="B853" s="28"/>
      <c r="C853" s="28"/>
      <c r="D853" s="28"/>
      <c r="E853" s="64"/>
      <c r="F853" s="67" t="str">
        <f aca="false">IF($A853="","",$A853-WEEKDAY($A853,3))</f>
        <v/>
      </c>
      <c r="G853" s="65" t="str">
        <f aca="false">IF($A853="","",IF($F853=WeekStart,"Yes",""))</f>
        <v/>
      </c>
      <c r="H853" s="65" t="str">
        <f aca="false">IF($G853="Yes",$A853+ROW()/100000,"")</f>
        <v/>
      </c>
      <c r="I853" s="65" t="str">
        <f aca="false">IF(AND($D853&lt;&gt;"",$D853=UCSel),$A853+ROW()/100000,"")</f>
        <v/>
      </c>
    </row>
    <row r="854" customFormat="false" ht="15" hidden="false" customHeight="false" outlineLevel="0" collapsed="false">
      <c r="A854" s="63"/>
      <c r="B854" s="28"/>
      <c r="C854" s="28"/>
      <c r="D854" s="28"/>
      <c r="E854" s="64"/>
      <c r="F854" s="67" t="str">
        <f aca="false">IF($A854="","",$A854-WEEKDAY($A854,3))</f>
        <v/>
      </c>
      <c r="G854" s="65" t="str">
        <f aca="false">IF($A854="","",IF($F854=WeekStart,"Yes",""))</f>
        <v/>
      </c>
      <c r="H854" s="65" t="str">
        <f aca="false">IF($G854="Yes",$A854+ROW()/100000,"")</f>
        <v/>
      </c>
      <c r="I854" s="65" t="str">
        <f aca="false">IF(AND($D854&lt;&gt;"",$D854=UCSel),$A854+ROW()/100000,"")</f>
        <v/>
      </c>
    </row>
    <row r="855" customFormat="false" ht="15" hidden="false" customHeight="false" outlineLevel="0" collapsed="false">
      <c r="A855" s="63"/>
      <c r="B855" s="28"/>
      <c r="C855" s="28"/>
      <c r="D855" s="28"/>
      <c r="E855" s="64"/>
      <c r="F855" s="67" t="str">
        <f aca="false">IF($A855="","",$A855-WEEKDAY($A855,3))</f>
        <v/>
      </c>
      <c r="G855" s="65" t="str">
        <f aca="false">IF($A855="","",IF($F855=WeekStart,"Yes",""))</f>
        <v/>
      </c>
      <c r="H855" s="65" t="str">
        <f aca="false">IF($G855="Yes",$A855+ROW()/100000,"")</f>
        <v/>
      </c>
      <c r="I855" s="65" t="str">
        <f aca="false">IF(AND($D855&lt;&gt;"",$D855=UCSel),$A855+ROW()/100000,"")</f>
        <v/>
      </c>
    </row>
    <row r="856" customFormat="false" ht="15" hidden="false" customHeight="false" outlineLevel="0" collapsed="false">
      <c r="A856" s="63"/>
      <c r="B856" s="28"/>
      <c r="C856" s="28"/>
      <c r="D856" s="28"/>
      <c r="E856" s="64"/>
      <c r="F856" s="67" t="str">
        <f aca="false">IF($A856="","",$A856-WEEKDAY($A856,3))</f>
        <v/>
      </c>
      <c r="G856" s="65" t="str">
        <f aca="false">IF($A856="","",IF($F856=WeekStart,"Yes",""))</f>
        <v/>
      </c>
      <c r="H856" s="65" t="str">
        <f aca="false">IF($G856="Yes",$A856+ROW()/100000,"")</f>
        <v/>
      </c>
      <c r="I856" s="65" t="str">
        <f aca="false">IF(AND($D856&lt;&gt;"",$D856=UCSel),$A856+ROW()/100000,"")</f>
        <v/>
      </c>
    </row>
    <row r="857" customFormat="false" ht="15" hidden="false" customHeight="false" outlineLevel="0" collapsed="false">
      <c r="A857" s="63"/>
      <c r="B857" s="28"/>
      <c r="C857" s="28"/>
      <c r="D857" s="28"/>
      <c r="E857" s="64"/>
      <c r="F857" s="67" t="str">
        <f aca="false">IF($A857="","",$A857-WEEKDAY($A857,3))</f>
        <v/>
      </c>
      <c r="G857" s="65" t="str">
        <f aca="false">IF($A857="","",IF($F857=WeekStart,"Yes",""))</f>
        <v/>
      </c>
      <c r="H857" s="65" t="str">
        <f aca="false">IF($G857="Yes",$A857+ROW()/100000,"")</f>
        <v/>
      </c>
      <c r="I857" s="65" t="str">
        <f aca="false">IF(AND($D857&lt;&gt;"",$D857=UCSel),$A857+ROW()/100000,"")</f>
        <v/>
      </c>
    </row>
    <row r="858" customFormat="false" ht="15" hidden="false" customHeight="false" outlineLevel="0" collapsed="false">
      <c r="A858" s="63"/>
      <c r="B858" s="28"/>
      <c r="C858" s="28"/>
      <c r="D858" s="28"/>
      <c r="E858" s="64"/>
      <c r="F858" s="67" t="str">
        <f aca="false">IF($A858="","",$A858-WEEKDAY($A858,3))</f>
        <v/>
      </c>
      <c r="G858" s="65" t="str">
        <f aca="false">IF($A858="","",IF($F858=WeekStart,"Yes",""))</f>
        <v/>
      </c>
      <c r="H858" s="65" t="str">
        <f aca="false">IF($G858="Yes",$A858+ROW()/100000,"")</f>
        <v/>
      </c>
      <c r="I858" s="65" t="str">
        <f aca="false">IF(AND($D858&lt;&gt;"",$D858=UCSel),$A858+ROW()/100000,"")</f>
        <v/>
      </c>
    </row>
    <row r="859" customFormat="false" ht="15" hidden="false" customHeight="false" outlineLevel="0" collapsed="false">
      <c r="A859" s="63"/>
      <c r="B859" s="28"/>
      <c r="C859" s="28"/>
      <c r="D859" s="28"/>
      <c r="E859" s="64"/>
      <c r="F859" s="67" t="str">
        <f aca="false">IF($A859="","",$A859-WEEKDAY($A859,3))</f>
        <v/>
      </c>
      <c r="G859" s="65" t="str">
        <f aca="false">IF($A859="","",IF($F859=WeekStart,"Yes",""))</f>
        <v/>
      </c>
      <c r="H859" s="65" t="str">
        <f aca="false">IF($G859="Yes",$A859+ROW()/100000,"")</f>
        <v/>
      </c>
      <c r="I859" s="65" t="str">
        <f aca="false">IF(AND($D859&lt;&gt;"",$D859=UCSel),$A859+ROW()/100000,"")</f>
        <v/>
      </c>
    </row>
    <row r="860" customFormat="false" ht="15" hidden="false" customHeight="false" outlineLevel="0" collapsed="false">
      <c r="A860" s="63"/>
      <c r="B860" s="28"/>
      <c r="C860" s="28"/>
      <c r="D860" s="28"/>
      <c r="E860" s="64"/>
      <c r="F860" s="67" t="str">
        <f aca="false">IF($A860="","",$A860-WEEKDAY($A860,3))</f>
        <v/>
      </c>
      <c r="G860" s="65" t="str">
        <f aca="false">IF($A860="","",IF($F860=WeekStart,"Yes",""))</f>
        <v/>
      </c>
      <c r="H860" s="65" t="str">
        <f aca="false">IF($G860="Yes",$A860+ROW()/100000,"")</f>
        <v/>
      </c>
      <c r="I860" s="65" t="str">
        <f aca="false">IF(AND($D860&lt;&gt;"",$D860=UCSel),$A860+ROW()/100000,"")</f>
        <v/>
      </c>
    </row>
    <row r="861" customFormat="false" ht="15" hidden="false" customHeight="false" outlineLevel="0" collapsed="false">
      <c r="A861" s="63"/>
      <c r="B861" s="28"/>
      <c r="C861" s="28"/>
      <c r="D861" s="28"/>
      <c r="E861" s="64"/>
      <c r="F861" s="67" t="str">
        <f aca="false">IF($A861="","",$A861-WEEKDAY($A861,3))</f>
        <v/>
      </c>
      <c r="G861" s="65" t="str">
        <f aca="false">IF($A861="","",IF($F861=WeekStart,"Yes",""))</f>
        <v/>
      </c>
      <c r="H861" s="65" t="str">
        <f aca="false">IF($G861="Yes",$A861+ROW()/100000,"")</f>
        <v/>
      </c>
      <c r="I861" s="65" t="str">
        <f aca="false">IF(AND($D861&lt;&gt;"",$D861=UCSel),$A861+ROW()/100000,"")</f>
        <v/>
      </c>
    </row>
    <row r="862" customFormat="false" ht="15" hidden="false" customHeight="false" outlineLevel="0" collapsed="false">
      <c r="A862" s="63"/>
      <c r="B862" s="28"/>
      <c r="C862" s="28"/>
      <c r="D862" s="28"/>
      <c r="E862" s="64"/>
      <c r="F862" s="67" t="str">
        <f aca="false">IF($A862="","",$A862-WEEKDAY($A862,3))</f>
        <v/>
      </c>
      <c r="G862" s="65" t="str">
        <f aca="false">IF($A862="","",IF($F862=WeekStart,"Yes",""))</f>
        <v/>
      </c>
      <c r="H862" s="65" t="str">
        <f aca="false">IF($G862="Yes",$A862+ROW()/100000,"")</f>
        <v/>
      </c>
      <c r="I862" s="65" t="str">
        <f aca="false">IF(AND($D862&lt;&gt;"",$D862=UCSel),$A862+ROW()/100000,"")</f>
        <v/>
      </c>
    </row>
    <row r="863" customFormat="false" ht="15" hidden="false" customHeight="false" outlineLevel="0" collapsed="false">
      <c r="A863" s="63"/>
      <c r="B863" s="28"/>
      <c r="C863" s="28"/>
      <c r="D863" s="28"/>
      <c r="E863" s="64"/>
      <c r="F863" s="67" t="str">
        <f aca="false">IF($A863="","",$A863-WEEKDAY($A863,3))</f>
        <v/>
      </c>
      <c r="G863" s="65" t="str">
        <f aca="false">IF($A863="","",IF($F863=WeekStart,"Yes",""))</f>
        <v/>
      </c>
      <c r="H863" s="65" t="str">
        <f aca="false">IF($G863="Yes",$A863+ROW()/100000,"")</f>
        <v/>
      </c>
      <c r="I863" s="65" t="str">
        <f aca="false">IF(AND($D863&lt;&gt;"",$D863=UCSel),$A863+ROW()/100000,"")</f>
        <v/>
      </c>
    </row>
    <row r="864" customFormat="false" ht="15" hidden="false" customHeight="false" outlineLevel="0" collapsed="false">
      <c r="A864" s="63"/>
      <c r="B864" s="28"/>
      <c r="C864" s="28"/>
      <c r="D864" s="28"/>
      <c r="E864" s="64"/>
      <c r="F864" s="67" t="str">
        <f aca="false">IF($A864="","",$A864-WEEKDAY($A864,3))</f>
        <v/>
      </c>
      <c r="G864" s="65" t="str">
        <f aca="false">IF($A864="","",IF($F864=WeekStart,"Yes",""))</f>
        <v/>
      </c>
      <c r="H864" s="65" t="str">
        <f aca="false">IF($G864="Yes",$A864+ROW()/100000,"")</f>
        <v/>
      </c>
      <c r="I864" s="65" t="str">
        <f aca="false">IF(AND($D864&lt;&gt;"",$D864=UCSel),$A864+ROW()/100000,"")</f>
        <v/>
      </c>
    </row>
    <row r="865" customFormat="false" ht="15" hidden="false" customHeight="false" outlineLevel="0" collapsed="false">
      <c r="A865" s="63"/>
      <c r="B865" s="28"/>
      <c r="C865" s="28"/>
      <c r="D865" s="28"/>
      <c r="E865" s="64"/>
      <c r="F865" s="67" t="str">
        <f aca="false">IF($A865="","",$A865-WEEKDAY($A865,3))</f>
        <v/>
      </c>
      <c r="G865" s="65" t="str">
        <f aca="false">IF($A865="","",IF($F865=WeekStart,"Yes",""))</f>
        <v/>
      </c>
      <c r="H865" s="65" t="str">
        <f aca="false">IF($G865="Yes",$A865+ROW()/100000,"")</f>
        <v/>
      </c>
      <c r="I865" s="65" t="str">
        <f aca="false">IF(AND($D865&lt;&gt;"",$D865=UCSel),$A865+ROW()/100000,"")</f>
        <v/>
      </c>
    </row>
    <row r="866" customFormat="false" ht="15" hidden="false" customHeight="false" outlineLevel="0" collapsed="false">
      <c r="A866" s="63"/>
      <c r="B866" s="28"/>
      <c r="C866" s="28"/>
      <c r="D866" s="28"/>
      <c r="E866" s="64"/>
      <c r="F866" s="67" t="str">
        <f aca="false">IF($A866="","",$A866-WEEKDAY($A866,3))</f>
        <v/>
      </c>
      <c r="G866" s="65" t="str">
        <f aca="false">IF($A866="","",IF($F866=WeekStart,"Yes",""))</f>
        <v/>
      </c>
      <c r="H866" s="65" t="str">
        <f aca="false">IF($G866="Yes",$A866+ROW()/100000,"")</f>
        <v/>
      </c>
      <c r="I866" s="65" t="str">
        <f aca="false">IF(AND($D866&lt;&gt;"",$D866=UCSel),$A866+ROW()/100000,"")</f>
        <v/>
      </c>
    </row>
    <row r="867" customFormat="false" ht="15" hidden="false" customHeight="false" outlineLevel="0" collapsed="false">
      <c r="A867" s="63"/>
      <c r="B867" s="28"/>
      <c r="C867" s="28"/>
      <c r="D867" s="28"/>
      <c r="E867" s="64"/>
      <c r="F867" s="67" t="str">
        <f aca="false">IF($A867="","",$A867-WEEKDAY($A867,3))</f>
        <v/>
      </c>
      <c r="G867" s="65" t="str">
        <f aca="false">IF($A867="","",IF($F867=WeekStart,"Yes",""))</f>
        <v/>
      </c>
      <c r="H867" s="65" t="str">
        <f aca="false">IF($G867="Yes",$A867+ROW()/100000,"")</f>
        <v/>
      </c>
      <c r="I867" s="65" t="str">
        <f aca="false">IF(AND($D867&lt;&gt;"",$D867=UCSel),$A867+ROW()/100000,"")</f>
        <v/>
      </c>
    </row>
    <row r="868" customFormat="false" ht="15" hidden="false" customHeight="false" outlineLevel="0" collapsed="false">
      <c r="A868" s="63"/>
      <c r="B868" s="28"/>
      <c r="C868" s="28"/>
      <c r="D868" s="28"/>
      <c r="E868" s="64"/>
      <c r="F868" s="67" t="str">
        <f aca="false">IF($A868="","",$A868-WEEKDAY($A868,3))</f>
        <v/>
      </c>
      <c r="G868" s="65" t="str">
        <f aca="false">IF($A868="","",IF($F868=WeekStart,"Yes",""))</f>
        <v/>
      </c>
      <c r="H868" s="65" t="str">
        <f aca="false">IF($G868="Yes",$A868+ROW()/100000,"")</f>
        <v/>
      </c>
      <c r="I868" s="65" t="str">
        <f aca="false">IF(AND($D868&lt;&gt;"",$D868=UCSel),$A868+ROW()/100000,"")</f>
        <v/>
      </c>
    </row>
    <row r="869" customFormat="false" ht="15" hidden="false" customHeight="false" outlineLevel="0" collapsed="false">
      <c r="A869" s="63"/>
      <c r="B869" s="28"/>
      <c r="C869" s="28"/>
      <c r="D869" s="28"/>
      <c r="E869" s="64"/>
      <c r="F869" s="67" t="str">
        <f aca="false">IF($A869="","",$A869-WEEKDAY($A869,3))</f>
        <v/>
      </c>
      <c r="G869" s="65" t="str">
        <f aca="false">IF($A869="","",IF($F869=WeekStart,"Yes",""))</f>
        <v/>
      </c>
      <c r="H869" s="65" t="str">
        <f aca="false">IF($G869="Yes",$A869+ROW()/100000,"")</f>
        <v/>
      </c>
      <c r="I869" s="65" t="str">
        <f aca="false">IF(AND($D869&lt;&gt;"",$D869=UCSel),$A869+ROW()/100000,"")</f>
        <v/>
      </c>
    </row>
    <row r="870" customFormat="false" ht="15" hidden="false" customHeight="false" outlineLevel="0" collapsed="false">
      <c r="A870" s="63"/>
      <c r="B870" s="28"/>
      <c r="C870" s="28"/>
      <c r="D870" s="28"/>
      <c r="E870" s="64"/>
      <c r="F870" s="67" t="str">
        <f aca="false">IF($A870="","",$A870-WEEKDAY($A870,3))</f>
        <v/>
      </c>
      <c r="G870" s="65" t="str">
        <f aca="false">IF($A870="","",IF($F870=WeekStart,"Yes",""))</f>
        <v/>
      </c>
      <c r="H870" s="65" t="str">
        <f aca="false">IF($G870="Yes",$A870+ROW()/100000,"")</f>
        <v/>
      </c>
      <c r="I870" s="65" t="str">
        <f aca="false">IF(AND($D870&lt;&gt;"",$D870=UCSel),$A870+ROW()/100000,"")</f>
        <v/>
      </c>
    </row>
    <row r="871" customFormat="false" ht="15" hidden="false" customHeight="false" outlineLevel="0" collapsed="false">
      <c r="A871" s="63"/>
      <c r="B871" s="28"/>
      <c r="C871" s="28"/>
      <c r="D871" s="28"/>
      <c r="E871" s="64"/>
      <c r="F871" s="67" t="str">
        <f aca="false">IF($A871="","",$A871-WEEKDAY($A871,3))</f>
        <v/>
      </c>
      <c r="G871" s="65" t="str">
        <f aca="false">IF($A871="","",IF($F871=WeekStart,"Yes",""))</f>
        <v/>
      </c>
      <c r="H871" s="65" t="str">
        <f aca="false">IF($G871="Yes",$A871+ROW()/100000,"")</f>
        <v/>
      </c>
      <c r="I871" s="65" t="str">
        <f aca="false">IF(AND($D871&lt;&gt;"",$D871=UCSel),$A871+ROW()/100000,"")</f>
        <v/>
      </c>
    </row>
    <row r="872" customFormat="false" ht="15" hidden="false" customHeight="false" outlineLevel="0" collapsed="false">
      <c r="A872" s="63"/>
      <c r="B872" s="28"/>
      <c r="C872" s="28"/>
      <c r="D872" s="28"/>
      <c r="E872" s="64"/>
      <c r="F872" s="67" t="str">
        <f aca="false">IF($A872="","",$A872-WEEKDAY($A872,3))</f>
        <v/>
      </c>
      <c r="G872" s="65" t="str">
        <f aca="false">IF($A872="","",IF($F872=WeekStart,"Yes",""))</f>
        <v/>
      </c>
      <c r="H872" s="65" t="str">
        <f aca="false">IF($G872="Yes",$A872+ROW()/100000,"")</f>
        <v/>
      </c>
      <c r="I872" s="65" t="str">
        <f aca="false">IF(AND($D872&lt;&gt;"",$D872=UCSel),$A872+ROW()/100000,"")</f>
        <v/>
      </c>
    </row>
    <row r="873" customFormat="false" ht="15" hidden="false" customHeight="false" outlineLevel="0" collapsed="false">
      <c r="A873" s="63"/>
      <c r="B873" s="28"/>
      <c r="C873" s="28"/>
      <c r="D873" s="28"/>
      <c r="E873" s="64"/>
      <c r="F873" s="67" t="str">
        <f aca="false">IF($A873="","",$A873-WEEKDAY($A873,3))</f>
        <v/>
      </c>
      <c r="G873" s="65" t="str">
        <f aca="false">IF($A873="","",IF($F873=WeekStart,"Yes",""))</f>
        <v/>
      </c>
      <c r="H873" s="65" t="str">
        <f aca="false">IF($G873="Yes",$A873+ROW()/100000,"")</f>
        <v/>
      </c>
      <c r="I873" s="65" t="str">
        <f aca="false">IF(AND($D873&lt;&gt;"",$D873=UCSel),$A873+ROW()/100000,"")</f>
        <v/>
      </c>
    </row>
    <row r="874" customFormat="false" ht="15" hidden="false" customHeight="false" outlineLevel="0" collapsed="false">
      <c r="A874" s="63"/>
      <c r="B874" s="28"/>
      <c r="C874" s="28"/>
      <c r="D874" s="28"/>
      <c r="E874" s="64"/>
      <c r="F874" s="67" t="str">
        <f aca="false">IF($A874="","",$A874-WEEKDAY($A874,3))</f>
        <v/>
      </c>
      <c r="G874" s="65" t="str">
        <f aca="false">IF($A874="","",IF($F874=WeekStart,"Yes",""))</f>
        <v/>
      </c>
      <c r="H874" s="65" t="str">
        <f aca="false">IF($G874="Yes",$A874+ROW()/100000,"")</f>
        <v/>
      </c>
      <c r="I874" s="65" t="str">
        <f aca="false">IF(AND($D874&lt;&gt;"",$D874=UCSel),$A874+ROW()/100000,"")</f>
        <v/>
      </c>
    </row>
    <row r="875" customFormat="false" ht="15" hidden="false" customHeight="false" outlineLevel="0" collapsed="false">
      <c r="A875" s="63"/>
      <c r="B875" s="28"/>
      <c r="C875" s="28"/>
      <c r="D875" s="28"/>
      <c r="E875" s="64"/>
      <c r="F875" s="67" t="str">
        <f aca="false">IF($A875="","",$A875-WEEKDAY($A875,3))</f>
        <v/>
      </c>
      <c r="G875" s="65" t="str">
        <f aca="false">IF($A875="","",IF($F875=WeekStart,"Yes",""))</f>
        <v/>
      </c>
      <c r="H875" s="65" t="str">
        <f aca="false">IF($G875="Yes",$A875+ROW()/100000,"")</f>
        <v/>
      </c>
      <c r="I875" s="65" t="str">
        <f aca="false">IF(AND($D875&lt;&gt;"",$D875=UCSel),$A875+ROW()/100000,"")</f>
        <v/>
      </c>
    </row>
    <row r="876" customFormat="false" ht="15" hidden="false" customHeight="false" outlineLevel="0" collapsed="false">
      <c r="A876" s="63"/>
      <c r="B876" s="28"/>
      <c r="C876" s="28"/>
      <c r="D876" s="28"/>
      <c r="E876" s="64"/>
      <c r="F876" s="67" t="str">
        <f aca="false">IF($A876="","",$A876-WEEKDAY($A876,3))</f>
        <v/>
      </c>
      <c r="G876" s="65" t="str">
        <f aca="false">IF($A876="","",IF($F876=WeekStart,"Yes",""))</f>
        <v/>
      </c>
      <c r="H876" s="65" t="str">
        <f aca="false">IF($G876="Yes",$A876+ROW()/100000,"")</f>
        <v/>
      </c>
      <c r="I876" s="65" t="str">
        <f aca="false">IF(AND($D876&lt;&gt;"",$D876=UCSel),$A876+ROW()/100000,"")</f>
        <v/>
      </c>
    </row>
    <row r="877" customFormat="false" ht="15" hidden="false" customHeight="false" outlineLevel="0" collapsed="false">
      <c r="A877" s="63"/>
      <c r="B877" s="28"/>
      <c r="C877" s="28"/>
      <c r="D877" s="28"/>
      <c r="E877" s="64"/>
      <c r="F877" s="67" t="str">
        <f aca="false">IF($A877="","",$A877-WEEKDAY($A877,3))</f>
        <v/>
      </c>
      <c r="G877" s="65" t="str">
        <f aca="false">IF($A877="","",IF($F877=WeekStart,"Yes",""))</f>
        <v/>
      </c>
      <c r="H877" s="65" t="str">
        <f aca="false">IF($G877="Yes",$A877+ROW()/100000,"")</f>
        <v/>
      </c>
      <c r="I877" s="65" t="str">
        <f aca="false">IF(AND($D877&lt;&gt;"",$D877=UCSel),$A877+ROW()/100000,"")</f>
        <v/>
      </c>
    </row>
    <row r="878" customFormat="false" ht="15" hidden="false" customHeight="false" outlineLevel="0" collapsed="false">
      <c r="A878" s="63"/>
      <c r="B878" s="28"/>
      <c r="C878" s="28"/>
      <c r="D878" s="28"/>
      <c r="E878" s="64"/>
      <c r="F878" s="67" t="str">
        <f aca="false">IF($A878="","",$A878-WEEKDAY($A878,3))</f>
        <v/>
      </c>
      <c r="G878" s="65" t="str">
        <f aca="false">IF($A878="","",IF($F878=WeekStart,"Yes",""))</f>
        <v/>
      </c>
      <c r="H878" s="65" t="str">
        <f aca="false">IF($G878="Yes",$A878+ROW()/100000,"")</f>
        <v/>
      </c>
      <c r="I878" s="65" t="str">
        <f aca="false">IF(AND($D878&lt;&gt;"",$D878=UCSel),$A878+ROW()/100000,"")</f>
        <v/>
      </c>
    </row>
    <row r="879" customFormat="false" ht="15" hidden="false" customHeight="false" outlineLevel="0" collapsed="false">
      <c r="A879" s="63"/>
      <c r="B879" s="28"/>
      <c r="C879" s="28"/>
      <c r="D879" s="28"/>
      <c r="E879" s="64"/>
      <c r="F879" s="67" t="str">
        <f aca="false">IF($A879="","",$A879-WEEKDAY($A879,3))</f>
        <v/>
      </c>
      <c r="G879" s="65" t="str">
        <f aca="false">IF($A879="","",IF($F879=WeekStart,"Yes",""))</f>
        <v/>
      </c>
      <c r="H879" s="65" t="str">
        <f aca="false">IF($G879="Yes",$A879+ROW()/100000,"")</f>
        <v/>
      </c>
      <c r="I879" s="65" t="str">
        <f aca="false">IF(AND($D879&lt;&gt;"",$D879=UCSel),$A879+ROW()/100000,"")</f>
        <v/>
      </c>
    </row>
    <row r="880" customFormat="false" ht="15" hidden="false" customHeight="false" outlineLevel="0" collapsed="false">
      <c r="A880" s="63"/>
      <c r="B880" s="28"/>
      <c r="C880" s="28"/>
      <c r="D880" s="28"/>
      <c r="E880" s="64"/>
      <c r="F880" s="67" t="str">
        <f aca="false">IF($A880="","",$A880-WEEKDAY($A880,3))</f>
        <v/>
      </c>
      <c r="G880" s="65" t="str">
        <f aca="false">IF($A880="","",IF($F880=WeekStart,"Yes",""))</f>
        <v/>
      </c>
      <c r="H880" s="65" t="str">
        <f aca="false">IF($G880="Yes",$A880+ROW()/100000,"")</f>
        <v/>
      </c>
      <c r="I880" s="65" t="str">
        <f aca="false">IF(AND($D880&lt;&gt;"",$D880=UCSel),$A880+ROW()/100000,"")</f>
        <v/>
      </c>
    </row>
    <row r="881" customFormat="false" ht="15" hidden="false" customHeight="false" outlineLevel="0" collapsed="false">
      <c r="A881" s="63"/>
      <c r="B881" s="28"/>
      <c r="C881" s="28"/>
      <c r="D881" s="28"/>
      <c r="E881" s="64"/>
      <c r="F881" s="67" t="str">
        <f aca="false">IF($A881="","",$A881-WEEKDAY($A881,3))</f>
        <v/>
      </c>
      <c r="G881" s="65" t="str">
        <f aca="false">IF($A881="","",IF($F881=WeekStart,"Yes",""))</f>
        <v/>
      </c>
      <c r="H881" s="65" t="str">
        <f aca="false">IF($G881="Yes",$A881+ROW()/100000,"")</f>
        <v/>
      </c>
      <c r="I881" s="65" t="str">
        <f aca="false">IF(AND($D881&lt;&gt;"",$D881=UCSel),$A881+ROW()/100000,"")</f>
        <v/>
      </c>
    </row>
    <row r="882" customFormat="false" ht="15" hidden="false" customHeight="false" outlineLevel="0" collapsed="false">
      <c r="A882" s="63"/>
      <c r="B882" s="28"/>
      <c r="C882" s="28"/>
      <c r="D882" s="28"/>
      <c r="E882" s="64"/>
      <c r="F882" s="67" t="str">
        <f aca="false">IF($A882="","",$A882-WEEKDAY($A882,3))</f>
        <v/>
      </c>
      <c r="G882" s="65" t="str">
        <f aca="false">IF($A882="","",IF($F882=WeekStart,"Yes",""))</f>
        <v/>
      </c>
      <c r="H882" s="65" t="str">
        <f aca="false">IF($G882="Yes",$A882+ROW()/100000,"")</f>
        <v/>
      </c>
      <c r="I882" s="65" t="str">
        <f aca="false">IF(AND($D882&lt;&gt;"",$D882=UCSel),$A882+ROW()/100000,"")</f>
        <v/>
      </c>
    </row>
    <row r="883" customFormat="false" ht="15" hidden="false" customHeight="false" outlineLevel="0" collapsed="false">
      <c r="A883" s="63"/>
      <c r="B883" s="28"/>
      <c r="C883" s="28"/>
      <c r="D883" s="28"/>
      <c r="E883" s="64"/>
      <c r="F883" s="67" t="str">
        <f aca="false">IF($A883="","",$A883-WEEKDAY($A883,3))</f>
        <v/>
      </c>
      <c r="G883" s="65" t="str">
        <f aca="false">IF($A883="","",IF($F883=WeekStart,"Yes",""))</f>
        <v/>
      </c>
      <c r="H883" s="65" t="str">
        <f aca="false">IF($G883="Yes",$A883+ROW()/100000,"")</f>
        <v/>
      </c>
      <c r="I883" s="65" t="str">
        <f aca="false">IF(AND($D883&lt;&gt;"",$D883=UCSel),$A883+ROW()/100000,"")</f>
        <v/>
      </c>
    </row>
    <row r="884" customFormat="false" ht="15" hidden="false" customHeight="false" outlineLevel="0" collapsed="false">
      <c r="A884" s="63"/>
      <c r="B884" s="28"/>
      <c r="C884" s="28"/>
      <c r="D884" s="28"/>
      <c r="E884" s="64"/>
      <c r="F884" s="67" t="str">
        <f aca="false">IF($A884="","",$A884-WEEKDAY($A884,3))</f>
        <v/>
      </c>
      <c r="G884" s="65" t="str">
        <f aca="false">IF($A884="","",IF($F884=WeekStart,"Yes",""))</f>
        <v/>
      </c>
      <c r="H884" s="65" t="str">
        <f aca="false">IF($G884="Yes",$A884+ROW()/100000,"")</f>
        <v/>
      </c>
      <c r="I884" s="65" t="str">
        <f aca="false">IF(AND($D884&lt;&gt;"",$D884=UCSel),$A884+ROW()/100000,"")</f>
        <v/>
      </c>
    </row>
    <row r="885" customFormat="false" ht="15" hidden="false" customHeight="false" outlineLevel="0" collapsed="false">
      <c r="A885" s="63"/>
      <c r="B885" s="28"/>
      <c r="C885" s="28"/>
      <c r="D885" s="28"/>
      <c r="E885" s="64"/>
      <c r="F885" s="67" t="str">
        <f aca="false">IF($A885="","",$A885-WEEKDAY($A885,3))</f>
        <v/>
      </c>
      <c r="G885" s="65" t="str">
        <f aca="false">IF($A885="","",IF($F885=WeekStart,"Yes",""))</f>
        <v/>
      </c>
      <c r="H885" s="65" t="str">
        <f aca="false">IF($G885="Yes",$A885+ROW()/100000,"")</f>
        <v/>
      </c>
      <c r="I885" s="65" t="str">
        <f aca="false">IF(AND($D885&lt;&gt;"",$D885=UCSel),$A885+ROW()/100000,"")</f>
        <v/>
      </c>
    </row>
    <row r="886" customFormat="false" ht="15" hidden="false" customHeight="false" outlineLevel="0" collapsed="false">
      <c r="A886" s="63"/>
      <c r="B886" s="28"/>
      <c r="C886" s="28"/>
      <c r="D886" s="28"/>
      <c r="E886" s="64"/>
      <c r="F886" s="67" t="str">
        <f aca="false">IF($A886="","",$A886-WEEKDAY($A886,3))</f>
        <v/>
      </c>
      <c r="G886" s="65" t="str">
        <f aca="false">IF($A886="","",IF($F886=WeekStart,"Yes",""))</f>
        <v/>
      </c>
      <c r="H886" s="65" t="str">
        <f aca="false">IF($G886="Yes",$A886+ROW()/100000,"")</f>
        <v/>
      </c>
      <c r="I886" s="65" t="str">
        <f aca="false">IF(AND($D886&lt;&gt;"",$D886=UCSel),$A886+ROW()/100000,"")</f>
        <v/>
      </c>
    </row>
    <row r="887" customFormat="false" ht="15" hidden="false" customHeight="false" outlineLevel="0" collapsed="false">
      <c r="A887" s="63"/>
      <c r="B887" s="28"/>
      <c r="C887" s="28"/>
      <c r="D887" s="28"/>
      <c r="E887" s="64"/>
      <c r="F887" s="67" t="str">
        <f aca="false">IF($A887="","",$A887-WEEKDAY($A887,3))</f>
        <v/>
      </c>
      <c r="G887" s="65" t="str">
        <f aca="false">IF($A887="","",IF($F887=WeekStart,"Yes",""))</f>
        <v/>
      </c>
      <c r="H887" s="65" t="str">
        <f aca="false">IF($G887="Yes",$A887+ROW()/100000,"")</f>
        <v/>
      </c>
      <c r="I887" s="65" t="str">
        <f aca="false">IF(AND($D887&lt;&gt;"",$D887=UCSel),$A887+ROW()/100000,"")</f>
        <v/>
      </c>
    </row>
    <row r="888" customFormat="false" ht="15" hidden="false" customHeight="false" outlineLevel="0" collapsed="false">
      <c r="A888" s="63"/>
      <c r="B888" s="28"/>
      <c r="C888" s="28"/>
      <c r="D888" s="28"/>
      <c r="E888" s="64"/>
      <c r="F888" s="67" t="str">
        <f aca="false">IF($A888="","",$A888-WEEKDAY($A888,3))</f>
        <v/>
      </c>
      <c r="G888" s="65" t="str">
        <f aca="false">IF($A888="","",IF($F888=WeekStart,"Yes",""))</f>
        <v/>
      </c>
      <c r="H888" s="65" t="str">
        <f aca="false">IF($G888="Yes",$A888+ROW()/100000,"")</f>
        <v/>
      </c>
      <c r="I888" s="65" t="str">
        <f aca="false">IF(AND($D888&lt;&gt;"",$D888=UCSel),$A888+ROW()/100000,"")</f>
        <v/>
      </c>
    </row>
    <row r="889" customFormat="false" ht="15" hidden="false" customHeight="false" outlineLevel="0" collapsed="false">
      <c r="A889" s="63"/>
      <c r="B889" s="28"/>
      <c r="C889" s="28"/>
      <c r="D889" s="28"/>
      <c r="E889" s="64"/>
      <c r="F889" s="67" t="str">
        <f aca="false">IF($A889="","",$A889-WEEKDAY($A889,3))</f>
        <v/>
      </c>
      <c r="G889" s="65" t="str">
        <f aca="false">IF($A889="","",IF($F889=WeekStart,"Yes",""))</f>
        <v/>
      </c>
      <c r="H889" s="65" t="str">
        <f aca="false">IF($G889="Yes",$A889+ROW()/100000,"")</f>
        <v/>
      </c>
      <c r="I889" s="65" t="str">
        <f aca="false">IF(AND($D889&lt;&gt;"",$D889=UCSel),$A889+ROW()/100000,"")</f>
        <v/>
      </c>
    </row>
    <row r="890" customFormat="false" ht="15" hidden="false" customHeight="false" outlineLevel="0" collapsed="false">
      <c r="A890" s="63"/>
      <c r="B890" s="28"/>
      <c r="C890" s="28"/>
      <c r="D890" s="28"/>
      <c r="E890" s="64"/>
      <c r="F890" s="67" t="str">
        <f aca="false">IF($A890="","",$A890-WEEKDAY($A890,3))</f>
        <v/>
      </c>
      <c r="G890" s="65" t="str">
        <f aca="false">IF($A890="","",IF($F890=WeekStart,"Yes",""))</f>
        <v/>
      </c>
      <c r="H890" s="65" t="str">
        <f aca="false">IF($G890="Yes",$A890+ROW()/100000,"")</f>
        <v/>
      </c>
      <c r="I890" s="65" t="str">
        <f aca="false">IF(AND($D890&lt;&gt;"",$D890=UCSel),$A890+ROW()/100000,"")</f>
        <v/>
      </c>
    </row>
    <row r="891" customFormat="false" ht="15" hidden="false" customHeight="false" outlineLevel="0" collapsed="false">
      <c r="A891" s="63"/>
      <c r="B891" s="28"/>
      <c r="C891" s="28"/>
      <c r="D891" s="28"/>
      <c r="E891" s="64"/>
      <c r="F891" s="67" t="str">
        <f aca="false">IF($A891="","",$A891-WEEKDAY($A891,3))</f>
        <v/>
      </c>
      <c r="G891" s="65" t="str">
        <f aca="false">IF($A891="","",IF($F891=WeekStart,"Yes",""))</f>
        <v/>
      </c>
      <c r="H891" s="65" t="str">
        <f aca="false">IF($G891="Yes",$A891+ROW()/100000,"")</f>
        <v/>
      </c>
      <c r="I891" s="65" t="str">
        <f aca="false">IF(AND($D891&lt;&gt;"",$D891=UCSel),$A891+ROW()/100000,"")</f>
        <v/>
      </c>
    </row>
    <row r="892" customFormat="false" ht="15" hidden="false" customHeight="false" outlineLevel="0" collapsed="false">
      <c r="A892" s="63"/>
      <c r="B892" s="28"/>
      <c r="C892" s="28"/>
      <c r="D892" s="28"/>
      <c r="E892" s="64"/>
      <c r="F892" s="67" t="str">
        <f aca="false">IF($A892="","",$A892-WEEKDAY($A892,3))</f>
        <v/>
      </c>
      <c r="G892" s="65" t="str">
        <f aca="false">IF($A892="","",IF($F892=WeekStart,"Yes",""))</f>
        <v/>
      </c>
      <c r="H892" s="65" t="str">
        <f aca="false">IF($G892="Yes",$A892+ROW()/100000,"")</f>
        <v/>
      </c>
      <c r="I892" s="65" t="str">
        <f aca="false">IF(AND($D892&lt;&gt;"",$D892=UCSel),$A892+ROW()/100000,"")</f>
        <v/>
      </c>
    </row>
    <row r="893" customFormat="false" ht="15" hidden="false" customHeight="false" outlineLevel="0" collapsed="false">
      <c r="A893" s="63"/>
      <c r="B893" s="28"/>
      <c r="C893" s="28"/>
      <c r="D893" s="28"/>
      <c r="E893" s="64"/>
      <c r="F893" s="67" t="str">
        <f aca="false">IF($A893="","",$A893-WEEKDAY($A893,3))</f>
        <v/>
      </c>
      <c r="G893" s="65" t="str">
        <f aca="false">IF($A893="","",IF($F893=WeekStart,"Yes",""))</f>
        <v/>
      </c>
      <c r="H893" s="65" t="str">
        <f aca="false">IF($G893="Yes",$A893+ROW()/100000,"")</f>
        <v/>
      </c>
      <c r="I893" s="65" t="str">
        <f aca="false">IF(AND($D893&lt;&gt;"",$D893=UCSel),$A893+ROW()/100000,"")</f>
        <v/>
      </c>
    </row>
    <row r="894" customFormat="false" ht="15" hidden="false" customHeight="false" outlineLevel="0" collapsed="false">
      <c r="A894" s="63"/>
      <c r="B894" s="28"/>
      <c r="C894" s="28"/>
      <c r="D894" s="28"/>
      <c r="E894" s="64"/>
      <c r="F894" s="67" t="str">
        <f aca="false">IF($A894="","",$A894-WEEKDAY($A894,3))</f>
        <v/>
      </c>
      <c r="G894" s="65" t="str">
        <f aca="false">IF($A894="","",IF($F894=WeekStart,"Yes",""))</f>
        <v/>
      </c>
      <c r="H894" s="65" t="str">
        <f aca="false">IF($G894="Yes",$A894+ROW()/100000,"")</f>
        <v/>
      </c>
      <c r="I894" s="65" t="str">
        <f aca="false">IF(AND($D894&lt;&gt;"",$D894=UCSel),$A894+ROW()/100000,"")</f>
        <v/>
      </c>
    </row>
    <row r="895" customFormat="false" ht="15" hidden="false" customHeight="false" outlineLevel="0" collapsed="false">
      <c r="A895" s="63"/>
      <c r="B895" s="28"/>
      <c r="C895" s="28"/>
      <c r="D895" s="28"/>
      <c r="E895" s="64"/>
      <c r="F895" s="67" t="str">
        <f aca="false">IF($A895="","",$A895-WEEKDAY($A895,3))</f>
        <v/>
      </c>
      <c r="G895" s="65" t="str">
        <f aca="false">IF($A895="","",IF($F895=WeekStart,"Yes",""))</f>
        <v/>
      </c>
      <c r="H895" s="65" t="str">
        <f aca="false">IF($G895="Yes",$A895+ROW()/100000,"")</f>
        <v/>
      </c>
      <c r="I895" s="65" t="str">
        <f aca="false">IF(AND($D895&lt;&gt;"",$D895=UCSel),$A895+ROW()/100000,"")</f>
        <v/>
      </c>
    </row>
    <row r="896" customFormat="false" ht="15" hidden="false" customHeight="false" outlineLevel="0" collapsed="false">
      <c r="A896" s="63"/>
      <c r="B896" s="28"/>
      <c r="C896" s="28"/>
      <c r="D896" s="28"/>
      <c r="E896" s="64"/>
      <c r="F896" s="67" t="str">
        <f aca="false">IF($A896="","",$A896-WEEKDAY($A896,3))</f>
        <v/>
      </c>
      <c r="G896" s="65" t="str">
        <f aca="false">IF($A896="","",IF($F896=WeekStart,"Yes",""))</f>
        <v/>
      </c>
      <c r="H896" s="65" t="str">
        <f aca="false">IF($G896="Yes",$A896+ROW()/100000,"")</f>
        <v/>
      </c>
      <c r="I896" s="65" t="str">
        <f aca="false">IF(AND($D896&lt;&gt;"",$D896=UCSel),$A896+ROW()/100000,"")</f>
        <v/>
      </c>
    </row>
    <row r="897" customFormat="false" ht="15" hidden="false" customHeight="false" outlineLevel="0" collapsed="false">
      <c r="A897" s="63"/>
      <c r="B897" s="28"/>
      <c r="C897" s="28"/>
      <c r="D897" s="28"/>
      <c r="E897" s="64"/>
      <c r="F897" s="67" t="str">
        <f aca="false">IF($A897="","",$A897-WEEKDAY($A897,3))</f>
        <v/>
      </c>
      <c r="G897" s="65" t="str">
        <f aca="false">IF($A897="","",IF($F897=WeekStart,"Yes",""))</f>
        <v/>
      </c>
      <c r="H897" s="65" t="str">
        <f aca="false">IF($G897="Yes",$A897+ROW()/100000,"")</f>
        <v/>
      </c>
      <c r="I897" s="65" t="str">
        <f aca="false">IF(AND($D897&lt;&gt;"",$D897=UCSel),$A897+ROW()/100000,"")</f>
        <v/>
      </c>
    </row>
    <row r="898" customFormat="false" ht="15" hidden="false" customHeight="false" outlineLevel="0" collapsed="false">
      <c r="A898" s="63"/>
      <c r="B898" s="28"/>
      <c r="C898" s="28"/>
      <c r="D898" s="28"/>
      <c r="E898" s="64"/>
      <c r="F898" s="67" t="str">
        <f aca="false">IF($A898="","",$A898-WEEKDAY($A898,3))</f>
        <v/>
      </c>
      <c r="G898" s="65" t="str">
        <f aca="false">IF($A898="","",IF($F898=WeekStart,"Yes",""))</f>
        <v/>
      </c>
      <c r="H898" s="65" t="str">
        <f aca="false">IF($G898="Yes",$A898+ROW()/100000,"")</f>
        <v/>
      </c>
      <c r="I898" s="65" t="str">
        <f aca="false">IF(AND($D898&lt;&gt;"",$D898=UCSel),$A898+ROW()/100000,"")</f>
        <v/>
      </c>
    </row>
    <row r="899" customFormat="false" ht="15" hidden="false" customHeight="false" outlineLevel="0" collapsed="false">
      <c r="A899" s="63"/>
      <c r="B899" s="28"/>
      <c r="C899" s="28"/>
      <c r="D899" s="28"/>
      <c r="E899" s="64"/>
      <c r="F899" s="67" t="str">
        <f aca="false">IF($A899="","",$A899-WEEKDAY($A899,3))</f>
        <v/>
      </c>
      <c r="G899" s="65" t="str">
        <f aca="false">IF($A899="","",IF($F899=WeekStart,"Yes",""))</f>
        <v/>
      </c>
      <c r="H899" s="65" t="str">
        <f aca="false">IF($G899="Yes",$A899+ROW()/100000,"")</f>
        <v/>
      </c>
      <c r="I899" s="65" t="str">
        <f aca="false">IF(AND($D899&lt;&gt;"",$D899=UCSel),$A899+ROW()/100000,"")</f>
        <v/>
      </c>
    </row>
    <row r="900" customFormat="false" ht="15" hidden="false" customHeight="false" outlineLevel="0" collapsed="false">
      <c r="A900" s="63"/>
      <c r="B900" s="28"/>
      <c r="C900" s="28"/>
      <c r="D900" s="28"/>
      <c r="E900" s="64"/>
      <c r="F900" s="67" t="str">
        <f aca="false">IF($A900="","",$A900-WEEKDAY($A900,3))</f>
        <v/>
      </c>
      <c r="G900" s="65" t="str">
        <f aca="false">IF($A900="","",IF($F900=WeekStart,"Yes",""))</f>
        <v/>
      </c>
      <c r="H900" s="65" t="str">
        <f aca="false">IF($G900="Yes",$A900+ROW()/100000,"")</f>
        <v/>
      </c>
      <c r="I900" s="65" t="str">
        <f aca="false">IF(AND($D900&lt;&gt;"",$D900=UCSel),$A900+ROW()/100000,"")</f>
        <v/>
      </c>
    </row>
    <row r="901" customFormat="false" ht="15" hidden="false" customHeight="false" outlineLevel="0" collapsed="false">
      <c r="A901" s="63"/>
      <c r="B901" s="28"/>
      <c r="C901" s="28"/>
      <c r="D901" s="28"/>
      <c r="E901" s="64"/>
      <c r="F901" s="67" t="str">
        <f aca="false">IF($A901="","",$A901-WEEKDAY($A901,3))</f>
        <v/>
      </c>
      <c r="G901" s="65" t="str">
        <f aca="false">IF($A901="","",IF($F901=WeekStart,"Yes",""))</f>
        <v/>
      </c>
      <c r="H901" s="65" t="str">
        <f aca="false">IF($G901="Yes",$A901+ROW()/100000,"")</f>
        <v/>
      </c>
      <c r="I901" s="65" t="str">
        <f aca="false">IF(AND($D901&lt;&gt;"",$D901=UCSel),$A901+ROW()/100000,"")</f>
        <v/>
      </c>
    </row>
    <row r="902" customFormat="false" ht="15" hidden="false" customHeight="false" outlineLevel="0" collapsed="false">
      <c r="A902" s="63"/>
      <c r="B902" s="28"/>
      <c r="C902" s="28"/>
      <c r="D902" s="28"/>
      <c r="E902" s="64"/>
      <c r="F902" s="67" t="str">
        <f aca="false">IF($A902="","",$A902-WEEKDAY($A902,3))</f>
        <v/>
      </c>
      <c r="G902" s="65" t="str">
        <f aca="false">IF($A902="","",IF($F902=WeekStart,"Yes",""))</f>
        <v/>
      </c>
      <c r="H902" s="65" t="str">
        <f aca="false">IF($G902="Yes",$A902+ROW()/100000,"")</f>
        <v/>
      </c>
      <c r="I902" s="65" t="str">
        <f aca="false">IF(AND($D902&lt;&gt;"",$D902=UCSel),$A902+ROW()/100000,"")</f>
        <v/>
      </c>
    </row>
    <row r="903" customFormat="false" ht="15" hidden="false" customHeight="false" outlineLevel="0" collapsed="false">
      <c r="A903" s="63"/>
      <c r="B903" s="28"/>
      <c r="C903" s="28"/>
      <c r="D903" s="28"/>
      <c r="E903" s="64"/>
      <c r="F903" s="67" t="str">
        <f aca="false">IF($A903="","",$A903-WEEKDAY($A903,3))</f>
        <v/>
      </c>
      <c r="G903" s="65" t="str">
        <f aca="false">IF($A903="","",IF($F903=WeekStart,"Yes",""))</f>
        <v/>
      </c>
      <c r="H903" s="65" t="str">
        <f aca="false">IF($G903="Yes",$A903+ROW()/100000,"")</f>
        <v/>
      </c>
      <c r="I903" s="65" t="str">
        <f aca="false">IF(AND($D903&lt;&gt;"",$D903=UCSel),$A903+ROW()/100000,"")</f>
        <v/>
      </c>
    </row>
    <row r="904" customFormat="false" ht="15" hidden="false" customHeight="false" outlineLevel="0" collapsed="false">
      <c r="A904" s="63"/>
      <c r="B904" s="28"/>
      <c r="C904" s="28"/>
      <c r="D904" s="28"/>
      <c r="E904" s="64"/>
      <c r="F904" s="67" t="str">
        <f aca="false">IF($A904="","",$A904-WEEKDAY($A904,3))</f>
        <v/>
      </c>
      <c r="G904" s="65" t="str">
        <f aca="false">IF($A904="","",IF($F904=WeekStart,"Yes",""))</f>
        <v/>
      </c>
      <c r="H904" s="65" t="str">
        <f aca="false">IF($G904="Yes",$A904+ROW()/100000,"")</f>
        <v/>
      </c>
      <c r="I904" s="65" t="str">
        <f aca="false">IF(AND($D904&lt;&gt;"",$D904=UCSel),$A904+ROW()/100000,"")</f>
        <v/>
      </c>
    </row>
    <row r="905" customFormat="false" ht="15" hidden="false" customHeight="false" outlineLevel="0" collapsed="false">
      <c r="A905" s="63"/>
      <c r="B905" s="28"/>
      <c r="C905" s="28"/>
      <c r="D905" s="28"/>
      <c r="E905" s="64"/>
      <c r="F905" s="67" t="str">
        <f aca="false">IF($A905="","",$A905-WEEKDAY($A905,3))</f>
        <v/>
      </c>
      <c r="G905" s="65" t="str">
        <f aca="false">IF($A905="","",IF($F905=WeekStart,"Yes",""))</f>
        <v/>
      </c>
      <c r="H905" s="65" t="str">
        <f aca="false">IF($G905="Yes",$A905+ROW()/100000,"")</f>
        <v/>
      </c>
      <c r="I905" s="65" t="str">
        <f aca="false">IF(AND($D905&lt;&gt;"",$D905=UCSel),$A905+ROW()/100000,"")</f>
        <v/>
      </c>
    </row>
    <row r="906" customFormat="false" ht="15" hidden="false" customHeight="false" outlineLevel="0" collapsed="false">
      <c r="A906" s="63"/>
      <c r="B906" s="28"/>
      <c r="C906" s="28"/>
      <c r="D906" s="28"/>
      <c r="E906" s="64"/>
      <c r="F906" s="67" t="str">
        <f aca="false">IF($A906="","",$A906-WEEKDAY($A906,3))</f>
        <v/>
      </c>
      <c r="G906" s="65" t="str">
        <f aca="false">IF($A906="","",IF($F906=WeekStart,"Yes",""))</f>
        <v/>
      </c>
      <c r="H906" s="65" t="str">
        <f aca="false">IF($G906="Yes",$A906+ROW()/100000,"")</f>
        <v/>
      </c>
      <c r="I906" s="65" t="str">
        <f aca="false">IF(AND($D906&lt;&gt;"",$D906=UCSel),$A906+ROW()/100000,"")</f>
        <v/>
      </c>
    </row>
    <row r="907" customFormat="false" ht="15" hidden="false" customHeight="false" outlineLevel="0" collapsed="false">
      <c r="A907" s="63"/>
      <c r="B907" s="28"/>
      <c r="C907" s="28"/>
      <c r="D907" s="28"/>
      <c r="E907" s="64"/>
      <c r="F907" s="67" t="str">
        <f aca="false">IF($A907="","",$A907-WEEKDAY($A907,3))</f>
        <v/>
      </c>
      <c r="G907" s="65" t="str">
        <f aca="false">IF($A907="","",IF($F907=WeekStart,"Yes",""))</f>
        <v/>
      </c>
      <c r="H907" s="65" t="str">
        <f aca="false">IF($G907="Yes",$A907+ROW()/100000,"")</f>
        <v/>
      </c>
      <c r="I907" s="65" t="str">
        <f aca="false">IF(AND($D907&lt;&gt;"",$D907=UCSel),$A907+ROW()/100000,"")</f>
        <v/>
      </c>
    </row>
    <row r="908" customFormat="false" ht="15" hidden="false" customHeight="false" outlineLevel="0" collapsed="false">
      <c r="A908" s="63"/>
      <c r="B908" s="28"/>
      <c r="C908" s="28"/>
      <c r="D908" s="28"/>
      <c r="E908" s="64"/>
      <c r="F908" s="67" t="str">
        <f aca="false">IF($A908="","",$A908-WEEKDAY($A908,3))</f>
        <v/>
      </c>
      <c r="G908" s="65" t="str">
        <f aca="false">IF($A908="","",IF($F908=WeekStart,"Yes",""))</f>
        <v/>
      </c>
      <c r="H908" s="65" t="str">
        <f aca="false">IF($G908="Yes",$A908+ROW()/100000,"")</f>
        <v/>
      </c>
      <c r="I908" s="65" t="str">
        <f aca="false">IF(AND($D908&lt;&gt;"",$D908=UCSel),$A908+ROW()/100000,"")</f>
        <v/>
      </c>
    </row>
    <row r="909" customFormat="false" ht="15" hidden="false" customHeight="false" outlineLevel="0" collapsed="false">
      <c r="A909" s="63"/>
      <c r="B909" s="28"/>
      <c r="C909" s="28"/>
      <c r="D909" s="28"/>
      <c r="E909" s="64"/>
      <c r="F909" s="67" t="str">
        <f aca="false">IF($A909="","",$A909-WEEKDAY($A909,3))</f>
        <v/>
      </c>
      <c r="G909" s="65" t="str">
        <f aca="false">IF($A909="","",IF($F909=WeekStart,"Yes",""))</f>
        <v/>
      </c>
      <c r="H909" s="65" t="str">
        <f aca="false">IF($G909="Yes",$A909+ROW()/100000,"")</f>
        <v/>
      </c>
      <c r="I909" s="65" t="str">
        <f aca="false">IF(AND($D909&lt;&gt;"",$D909=UCSel),$A909+ROW()/100000,"")</f>
        <v/>
      </c>
    </row>
    <row r="910" customFormat="false" ht="15" hidden="false" customHeight="false" outlineLevel="0" collapsed="false">
      <c r="A910" s="63"/>
      <c r="B910" s="28"/>
      <c r="C910" s="28"/>
      <c r="D910" s="28"/>
      <c r="E910" s="64"/>
      <c r="F910" s="67" t="str">
        <f aca="false">IF($A910="","",$A910-WEEKDAY($A910,3))</f>
        <v/>
      </c>
      <c r="G910" s="65" t="str">
        <f aca="false">IF($A910="","",IF($F910=WeekStart,"Yes",""))</f>
        <v/>
      </c>
      <c r="H910" s="65" t="str">
        <f aca="false">IF($G910="Yes",$A910+ROW()/100000,"")</f>
        <v/>
      </c>
      <c r="I910" s="65" t="str">
        <f aca="false">IF(AND($D910&lt;&gt;"",$D910=UCSel),$A910+ROW()/100000,"")</f>
        <v/>
      </c>
    </row>
    <row r="911" customFormat="false" ht="15" hidden="false" customHeight="false" outlineLevel="0" collapsed="false">
      <c r="A911" s="63"/>
      <c r="B911" s="28"/>
      <c r="C911" s="28"/>
      <c r="D911" s="28"/>
      <c r="E911" s="64"/>
      <c r="F911" s="67" t="str">
        <f aca="false">IF($A911="","",$A911-WEEKDAY($A911,3))</f>
        <v/>
      </c>
      <c r="G911" s="65" t="str">
        <f aca="false">IF($A911="","",IF($F911=WeekStart,"Yes",""))</f>
        <v/>
      </c>
      <c r="H911" s="65" t="str">
        <f aca="false">IF($G911="Yes",$A911+ROW()/100000,"")</f>
        <v/>
      </c>
      <c r="I911" s="65" t="str">
        <f aca="false">IF(AND($D911&lt;&gt;"",$D911=UCSel),$A911+ROW()/100000,"")</f>
        <v/>
      </c>
    </row>
    <row r="912" customFormat="false" ht="15" hidden="false" customHeight="false" outlineLevel="0" collapsed="false">
      <c r="A912" s="63"/>
      <c r="B912" s="28"/>
      <c r="C912" s="28"/>
      <c r="D912" s="28"/>
      <c r="E912" s="64"/>
      <c r="F912" s="67" t="str">
        <f aca="false">IF($A912="","",$A912-WEEKDAY($A912,3))</f>
        <v/>
      </c>
      <c r="G912" s="65" t="str">
        <f aca="false">IF($A912="","",IF($F912=WeekStart,"Yes",""))</f>
        <v/>
      </c>
      <c r="H912" s="65" t="str">
        <f aca="false">IF($G912="Yes",$A912+ROW()/100000,"")</f>
        <v/>
      </c>
      <c r="I912" s="65" t="str">
        <f aca="false">IF(AND($D912&lt;&gt;"",$D912=UCSel),$A912+ROW()/100000,"")</f>
        <v/>
      </c>
    </row>
    <row r="913" customFormat="false" ht="15" hidden="false" customHeight="false" outlineLevel="0" collapsed="false">
      <c r="A913" s="63"/>
      <c r="B913" s="28"/>
      <c r="C913" s="28"/>
      <c r="D913" s="28"/>
      <c r="E913" s="64"/>
      <c r="F913" s="67" t="str">
        <f aca="false">IF($A913="","",$A913-WEEKDAY($A913,3))</f>
        <v/>
      </c>
      <c r="G913" s="65" t="str">
        <f aca="false">IF($A913="","",IF($F913=WeekStart,"Yes",""))</f>
        <v/>
      </c>
      <c r="H913" s="65" t="str">
        <f aca="false">IF($G913="Yes",$A913+ROW()/100000,"")</f>
        <v/>
      </c>
      <c r="I913" s="65" t="str">
        <f aca="false">IF(AND($D913&lt;&gt;"",$D913=UCSel),$A913+ROW()/100000,"")</f>
        <v/>
      </c>
    </row>
    <row r="914" customFormat="false" ht="15" hidden="false" customHeight="false" outlineLevel="0" collapsed="false">
      <c r="A914" s="63"/>
      <c r="B914" s="28"/>
      <c r="C914" s="28"/>
      <c r="D914" s="28"/>
      <c r="E914" s="64"/>
      <c r="F914" s="67" t="str">
        <f aca="false">IF($A914="","",$A914-WEEKDAY($A914,3))</f>
        <v/>
      </c>
      <c r="G914" s="65" t="str">
        <f aca="false">IF($A914="","",IF($F914=WeekStart,"Yes",""))</f>
        <v/>
      </c>
      <c r="H914" s="65" t="str">
        <f aca="false">IF($G914="Yes",$A914+ROW()/100000,"")</f>
        <v/>
      </c>
      <c r="I914" s="65" t="str">
        <f aca="false">IF(AND($D914&lt;&gt;"",$D914=UCSel),$A914+ROW()/100000,"")</f>
        <v/>
      </c>
    </row>
    <row r="915" customFormat="false" ht="15" hidden="false" customHeight="false" outlineLevel="0" collapsed="false">
      <c r="A915" s="63"/>
      <c r="B915" s="28"/>
      <c r="C915" s="28"/>
      <c r="D915" s="28"/>
      <c r="E915" s="64"/>
      <c r="F915" s="67" t="str">
        <f aca="false">IF($A915="","",$A915-WEEKDAY($A915,3))</f>
        <v/>
      </c>
      <c r="G915" s="65" t="str">
        <f aca="false">IF($A915="","",IF($F915=WeekStart,"Yes",""))</f>
        <v/>
      </c>
      <c r="H915" s="65" t="str">
        <f aca="false">IF($G915="Yes",$A915+ROW()/100000,"")</f>
        <v/>
      </c>
      <c r="I915" s="65" t="str">
        <f aca="false">IF(AND($D915&lt;&gt;"",$D915=UCSel),$A915+ROW()/100000,"")</f>
        <v/>
      </c>
    </row>
    <row r="916" customFormat="false" ht="15" hidden="false" customHeight="false" outlineLevel="0" collapsed="false">
      <c r="A916" s="63"/>
      <c r="B916" s="28"/>
      <c r="C916" s="28"/>
      <c r="D916" s="28"/>
      <c r="E916" s="64"/>
      <c r="F916" s="67" t="str">
        <f aca="false">IF($A916="","",$A916-WEEKDAY($A916,3))</f>
        <v/>
      </c>
      <c r="G916" s="65" t="str">
        <f aca="false">IF($A916="","",IF($F916=WeekStart,"Yes",""))</f>
        <v/>
      </c>
      <c r="H916" s="65" t="str">
        <f aca="false">IF($G916="Yes",$A916+ROW()/100000,"")</f>
        <v/>
      </c>
      <c r="I916" s="65" t="str">
        <f aca="false">IF(AND($D916&lt;&gt;"",$D916=UCSel),$A916+ROW()/100000,"")</f>
        <v/>
      </c>
    </row>
    <row r="917" customFormat="false" ht="15" hidden="false" customHeight="false" outlineLevel="0" collapsed="false">
      <c r="A917" s="63"/>
      <c r="B917" s="28"/>
      <c r="C917" s="28"/>
      <c r="D917" s="28"/>
      <c r="E917" s="64"/>
      <c r="F917" s="67" t="str">
        <f aca="false">IF($A917="","",$A917-WEEKDAY($A917,3))</f>
        <v/>
      </c>
      <c r="G917" s="65" t="str">
        <f aca="false">IF($A917="","",IF($F917=WeekStart,"Yes",""))</f>
        <v/>
      </c>
      <c r="H917" s="65" t="str">
        <f aca="false">IF($G917="Yes",$A917+ROW()/100000,"")</f>
        <v/>
      </c>
      <c r="I917" s="65" t="str">
        <f aca="false">IF(AND($D917&lt;&gt;"",$D917=UCSel),$A917+ROW()/100000,"")</f>
        <v/>
      </c>
    </row>
    <row r="918" customFormat="false" ht="15" hidden="false" customHeight="false" outlineLevel="0" collapsed="false">
      <c r="A918" s="63"/>
      <c r="B918" s="28"/>
      <c r="C918" s="28"/>
      <c r="D918" s="28"/>
      <c r="E918" s="64"/>
      <c r="F918" s="67" t="str">
        <f aca="false">IF($A918="","",$A918-WEEKDAY($A918,3))</f>
        <v/>
      </c>
      <c r="G918" s="65" t="str">
        <f aca="false">IF($A918="","",IF($F918=WeekStart,"Yes",""))</f>
        <v/>
      </c>
      <c r="H918" s="65" t="str">
        <f aca="false">IF($G918="Yes",$A918+ROW()/100000,"")</f>
        <v/>
      </c>
      <c r="I918" s="65" t="str">
        <f aca="false">IF(AND($D918&lt;&gt;"",$D918=UCSel),$A918+ROW()/100000,"")</f>
        <v/>
      </c>
    </row>
    <row r="919" customFormat="false" ht="15" hidden="false" customHeight="false" outlineLevel="0" collapsed="false">
      <c r="A919" s="63"/>
      <c r="B919" s="28"/>
      <c r="C919" s="28"/>
      <c r="D919" s="28"/>
      <c r="E919" s="64"/>
      <c r="F919" s="67" t="str">
        <f aca="false">IF($A919="","",$A919-WEEKDAY($A919,3))</f>
        <v/>
      </c>
      <c r="G919" s="65" t="str">
        <f aca="false">IF($A919="","",IF($F919=WeekStart,"Yes",""))</f>
        <v/>
      </c>
      <c r="H919" s="65" t="str">
        <f aca="false">IF($G919="Yes",$A919+ROW()/100000,"")</f>
        <v/>
      </c>
      <c r="I919" s="65" t="str">
        <f aca="false">IF(AND($D919&lt;&gt;"",$D919=UCSel),$A919+ROW()/100000,"")</f>
        <v/>
      </c>
    </row>
    <row r="920" customFormat="false" ht="15" hidden="false" customHeight="false" outlineLevel="0" collapsed="false">
      <c r="A920" s="63"/>
      <c r="B920" s="28"/>
      <c r="C920" s="28"/>
      <c r="D920" s="28"/>
      <c r="E920" s="64"/>
      <c r="F920" s="67" t="str">
        <f aca="false">IF($A920="","",$A920-WEEKDAY($A920,3))</f>
        <v/>
      </c>
      <c r="G920" s="65" t="str">
        <f aca="false">IF($A920="","",IF($F920=WeekStart,"Yes",""))</f>
        <v/>
      </c>
      <c r="H920" s="65" t="str">
        <f aca="false">IF($G920="Yes",$A920+ROW()/100000,"")</f>
        <v/>
      </c>
      <c r="I920" s="65" t="str">
        <f aca="false">IF(AND($D920&lt;&gt;"",$D920=UCSel),$A920+ROW()/100000,"")</f>
        <v/>
      </c>
    </row>
    <row r="921" customFormat="false" ht="15" hidden="false" customHeight="false" outlineLevel="0" collapsed="false">
      <c r="A921" s="63"/>
      <c r="B921" s="28"/>
      <c r="C921" s="28"/>
      <c r="D921" s="28"/>
      <c r="E921" s="64"/>
      <c r="F921" s="67" t="str">
        <f aca="false">IF($A921="","",$A921-WEEKDAY($A921,3))</f>
        <v/>
      </c>
      <c r="G921" s="65" t="str">
        <f aca="false">IF($A921="","",IF($F921=WeekStart,"Yes",""))</f>
        <v/>
      </c>
      <c r="H921" s="65" t="str">
        <f aca="false">IF($G921="Yes",$A921+ROW()/100000,"")</f>
        <v/>
      </c>
      <c r="I921" s="65" t="str">
        <f aca="false">IF(AND($D921&lt;&gt;"",$D921=UCSel),$A921+ROW()/100000,"")</f>
        <v/>
      </c>
    </row>
    <row r="922" customFormat="false" ht="15" hidden="false" customHeight="false" outlineLevel="0" collapsed="false">
      <c r="A922" s="63"/>
      <c r="B922" s="28"/>
      <c r="C922" s="28"/>
      <c r="D922" s="28"/>
      <c r="E922" s="64"/>
      <c r="F922" s="67" t="str">
        <f aca="false">IF($A922="","",$A922-WEEKDAY($A922,3))</f>
        <v/>
      </c>
      <c r="G922" s="65" t="str">
        <f aca="false">IF($A922="","",IF($F922=WeekStart,"Yes",""))</f>
        <v/>
      </c>
      <c r="H922" s="65" t="str">
        <f aca="false">IF($G922="Yes",$A922+ROW()/100000,"")</f>
        <v/>
      </c>
      <c r="I922" s="65" t="str">
        <f aca="false">IF(AND($D922&lt;&gt;"",$D922=UCSel),$A922+ROW()/100000,"")</f>
        <v/>
      </c>
    </row>
    <row r="923" customFormat="false" ht="15" hidden="false" customHeight="false" outlineLevel="0" collapsed="false">
      <c r="A923" s="63"/>
      <c r="B923" s="28"/>
      <c r="C923" s="28"/>
      <c r="D923" s="28"/>
      <c r="E923" s="64"/>
      <c r="F923" s="67" t="str">
        <f aca="false">IF($A923="","",$A923-WEEKDAY($A923,3))</f>
        <v/>
      </c>
      <c r="G923" s="65" t="str">
        <f aca="false">IF($A923="","",IF($F923=WeekStart,"Yes",""))</f>
        <v/>
      </c>
      <c r="H923" s="65" t="str">
        <f aca="false">IF($G923="Yes",$A923+ROW()/100000,"")</f>
        <v/>
      </c>
      <c r="I923" s="65" t="str">
        <f aca="false">IF(AND($D923&lt;&gt;"",$D923=UCSel),$A923+ROW()/100000,"")</f>
        <v/>
      </c>
    </row>
    <row r="924" customFormat="false" ht="15" hidden="false" customHeight="false" outlineLevel="0" collapsed="false">
      <c r="A924" s="63"/>
      <c r="B924" s="28"/>
      <c r="C924" s="28"/>
      <c r="D924" s="28"/>
      <c r="E924" s="64"/>
      <c r="F924" s="67" t="str">
        <f aca="false">IF($A924="","",$A924-WEEKDAY($A924,3))</f>
        <v/>
      </c>
      <c r="G924" s="65" t="str">
        <f aca="false">IF($A924="","",IF($F924=WeekStart,"Yes",""))</f>
        <v/>
      </c>
      <c r="H924" s="65" t="str">
        <f aca="false">IF($G924="Yes",$A924+ROW()/100000,"")</f>
        <v/>
      </c>
      <c r="I924" s="65" t="str">
        <f aca="false">IF(AND($D924&lt;&gt;"",$D924=UCSel),$A924+ROW()/100000,"")</f>
        <v/>
      </c>
    </row>
    <row r="925" customFormat="false" ht="15" hidden="false" customHeight="false" outlineLevel="0" collapsed="false">
      <c r="A925" s="63"/>
      <c r="B925" s="28"/>
      <c r="C925" s="28"/>
      <c r="D925" s="28"/>
      <c r="E925" s="64"/>
      <c r="F925" s="67" t="str">
        <f aca="false">IF($A925="","",$A925-WEEKDAY($A925,3))</f>
        <v/>
      </c>
      <c r="G925" s="65" t="str">
        <f aca="false">IF($A925="","",IF($F925=WeekStart,"Yes",""))</f>
        <v/>
      </c>
      <c r="H925" s="65" t="str">
        <f aca="false">IF($G925="Yes",$A925+ROW()/100000,"")</f>
        <v/>
      </c>
      <c r="I925" s="65" t="str">
        <f aca="false">IF(AND($D925&lt;&gt;"",$D925=UCSel),$A925+ROW()/100000,"")</f>
        <v/>
      </c>
    </row>
    <row r="926" customFormat="false" ht="15" hidden="false" customHeight="false" outlineLevel="0" collapsed="false">
      <c r="A926" s="63"/>
      <c r="B926" s="28"/>
      <c r="C926" s="28"/>
      <c r="D926" s="28"/>
      <c r="E926" s="64"/>
      <c r="F926" s="67" t="str">
        <f aca="false">IF($A926="","",$A926-WEEKDAY($A926,3))</f>
        <v/>
      </c>
      <c r="G926" s="65" t="str">
        <f aca="false">IF($A926="","",IF($F926=WeekStart,"Yes",""))</f>
        <v/>
      </c>
      <c r="H926" s="65" t="str">
        <f aca="false">IF($G926="Yes",$A926+ROW()/100000,"")</f>
        <v/>
      </c>
      <c r="I926" s="65" t="str">
        <f aca="false">IF(AND($D926&lt;&gt;"",$D926=UCSel),$A926+ROW()/100000,"")</f>
        <v/>
      </c>
    </row>
    <row r="927" customFormat="false" ht="15" hidden="false" customHeight="false" outlineLevel="0" collapsed="false">
      <c r="A927" s="63"/>
      <c r="B927" s="28"/>
      <c r="C927" s="28"/>
      <c r="D927" s="28"/>
      <c r="E927" s="64"/>
      <c r="F927" s="67" t="str">
        <f aca="false">IF($A927="","",$A927-WEEKDAY($A927,3))</f>
        <v/>
      </c>
      <c r="G927" s="65" t="str">
        <f aca="false">IF($A927="","",IF($F927=WeekStart,"Yes",""))</f>
        <v/>
      </c>
      <c r="H927" s="65" t="str">
        <f aca="false">IF($G927="Yes",$A927+ROW()/100000,"")</f>
        <v/>
      </c>
      <c r="I927" s="65" t="str">
        <f aca="false">IF(AND($D927&lt;&gt;"",$D927=UCSel),$A927+ROW()/100000,"")</f>
        <v/>
      </c>
    </row>
    <row r="928" customFormat="false" ht="15" hidden="false" customHeight="false" outlineLevel="0" collapsed="false">
      <c r="A928" s="63"/>
      <c r="B928" s="28"/>
      <c r="C928" s="28"/>
      <c r="D928" s="28"/>
      <c r="E928" s="64"/>
      <c r="F928" s="67" t="str">
        <f aca="false">IF($A928="","",$A928-WEEKDAY($A928,3))</f>
        <v/>
      </c>
      <c r="G928" s="65" t="str">
        <f aca="false">IF($A928="","",IF($F928=WeekStart,"Yes",""))</f>
        <v/>
      </c>
      <c r="H928" s="65" t="str">
        <f aca="false">IF($G928="Yes",$A928+ROW()/100000,"")</f>
        <v/>
      </c>
      <c r="I928" s="65" t="str">
        <f aca="false">IF(AND($D928&lt;&gt;"",$D928=UCSel),$A928+ROW()/100000,"")</f>
        <v/>
      </c>
    </row>
    <row r="929" customFormat="false" ht="15" hidden="false" customHeight="false" outlineLevel="0" collapsed="false">
      <c r="A929" s="63"/>
      <c r="B929" s="28"/>
      <c r="C929" s="28"/>
      <c r="D929" s="28"/>
      <c r="E929" s="64"/>
      <c r="F929" s="67" t="str">
        <f aca="false">IF($A929="","",$A929-WEEKDAY($A929,3))</f>
        <v/>
      </c>
      <c r="G929" s="65" t="str">
        <f aca="false">IF($A929="","",IF($F929=WeekStart,"Yes",""))</f>
        <v/>
      </c>
      <c r="H929" s="65" t="str">
        <f aca="false">IF($G929="Yes",$A929+ROW()/100000,"")</f>
        <v/>
      </c>
      <c r="I929" s="65" t="str">
        <f aca="false">IF(AND($D929&lt;&gt;"",$D929=UCSel),$A929+ROW()/100000,"")</f>
        <v/>
      </c>
    </row>
    <row r="930" customFormat="false" ht="15" hidden="false" customHeight="false" outlineLevel="0" collapsed="false">
      <c r="A930" s="63"/>
      <c r="B930" s="28"/>
      <c r="C930" s="28"/>
      <c r="D930" s="28"/>
      <c r="E930" s="64"/>
      <c r="F930" s="67" t="str">
        <f aca="false">IF($A930="","",$A930-WEEKDAY($A930,3))</f>
        <v/>
      </c>
      <c r="G930" s="65" t="str">
        <f aca="false">IF($A930="","",IF($F930=WeekStart,"Yes",""))</f>
        <v/>
      </c>
      <c r="H930" s="65" t="str">
        <f aca="false">IF($G930="Yes",$A930+ROW()/100000,"")</f>
        <v/>
      </c>
      <c r="I930" s="65" t="str">
        <f aca="false">IF(AND($D930&lt;&gt;"",$D930=UCSel),$A930+ROW()/100000,"")</f>
        <v/>
      </c>
    </row>
    <row r="931" customFormat="false" ht="15" hidden="false" customHeight="false" outlineLevel="0" collapsed="false">
      <c r="A931" s="63"/>
      <c r="B931" s="28"/>
      <c r="C931" s="28"/>
      <c r="D931" s="28"/>
      <c r="E931" s="64"/>
      <c r="F931" s="67" t="str">
        <f aca="false">IF($A931="","",$A931-WEEKDAY($A931,3))</f>
        <v/>
      </c>
      <c r="G931" s="65" t="str">
        <f aca="false">IF($A931="","",IF($F931=WeekStart,"Yes",""))</f>
        <v/>
      </c>
      <c r="H931" s="65" t="str">
        <f aca="false">IF($G931="Yes",$A931+ROW()/100000,"")</f>
        <v/>
      </c>
      <c r="I931" s="65" t="str">
        <f aca="false">IF(AND($D931&lt;&gt;"",$D931=UCSel),$A931+ROW()/100000,"")</f>
        <v/>
      </c>
    </row>
    <row r="932" customFormat="false" ht="15" hidden="false" customHeight="false" outlineLevel="0" collapsed="false">
      <c r="A932" s="63"/>
      <c r="B932" s="28"/>
      <c r="C932" s="28"/>
      <c r="D932" s="28"/>
      <c r="E932" s="64"/>
      <c r="F932" s="67" t="str">
        <f aca="false">IF($A932="","",$A932-WEEKDAY($A932,3))</f>
        <v/>
      </c>
      <c r="G932" s="65" t="str">
        <f aca="false">IF($A932="","",IF($F932=WeekStart,"Yes",""))</f>
        <v/>
      </c>
      <c r="H932" s="65" t="str">
        <f aca="false">IF($G932="Yes",$A932+ROW()/100000,"")</f>
        <v/>
      </c>
      <c r="I932" s="65" t="str">
        <f aca="false">IF(AND($D932&lt;&gt;"",$D932=UCSel),$A932+ROW()/100000,"")</f>
        <v/>
      </c>
    </row>
    <row r="933" customFormat="false" ht="15" hidden="false" customHeight="false" outlineLevel="0" collapsed="false">
      <c r="A933" s="63"/>
      <c r="B933" s="28"/>
      <c r="C933" s="28"/>
      <c r="D933" s="28"/>
      <c r="E933" s="64"/>
      <c r="F933" s="67" t="str">
        <f aca="false">IF($A933="","",$A933-WEEKDAY($A933,3))</f>
        <v/>
      </c>
      <c r="G933" s="65" t="str">
        <f aca="false">IF($A933="","",IF($F933=WeekStart,"Yes",""))</f>
        <v/>
      </c>
      <c r="H933" s="65" t="str">
        <f aca="false">IF($G933="Yes",$A933+ROW()/100000,"")</f>
        <v/>
      </c>
      <c r="I933" s="65" t="str">
        <f aca="false">IF(AND($D933&lt;&gt;"",$D933=UCSel),$A933+ROW()/100000,"")</f>
        <v/>
      </c>
    </row>
    <row r="934" customFormat="false" ht="15" hidden="false" customHeight="false" outlineLevel="0" collapsed="false">
      <c r="A934" s="63"/>
      <c r="B934" s="28"/>
      <c r="C934" s="28"/>
      <c r="D934" s="28"/>
      <c r="E934" s="64"/>
      <c r="F934" s="67" t="str">
        <f aca="false">IF($A934="","",$A934-WEEKDAY($A934,3))</f>
        <v/>
      </c>
      <c r="G934" s="65" t="str">
        <f aca="false">IF($A934="","",IF($F934=WeekStart,"Yes",""))</f>
        <v/>
      </c>
      <c r="H934" s="65" t="str">
        <f aca="false">IF($G934="Yes",$A934+ROW()/100000,"")</f>
        <v/>
      </c>
      <c r="I934" s="65" t="str">
        <f aca="false">IF(AND($D934&lt;&gt;"",$D934=UCSel),$A934+ROW()/100000,"")</f>
        <v/>
      </c>
    </row>
    <row r="935" customFormat="false" ht="15" hidden="false" customHeight="false" outlineLevel="0" collapsed="false">
      <c r="A935" s="63"/>
      <c r="B935" s="28"/>
      <c r="C935" s="28"/>
      <c r="D935" s="28"/>
      <c r="E935" s="64"/>
      <c r="F935" s="67" t="str">
        <f aca="false">IF($A935="","",$A935-WEEKDAY($A935,3))</f>
        <v/>
      </c>
      <c r="G935" s="65" t="str">
        <f aca="false">IF($A935="","",IF($F935=WeekStart,"Yes",""))</f>
        <v/>
      </c>
      <c r="H935" s="65" t="str">
        <f aca="false">IF($G935="Yes",$A935+ROW()/100000,"")</f>
        <v/>
      </c>
      <c r="I935" s="65" t="str">
        <f aca="false">IF(AND($D935&lt;&gt;"",$D935=UCSel),$A935+ROW()/100000,"")</f>
        <v/>
      </c>
    </row>
    <row r="936" customFormat="false" ht="15" hidden="false" customHeight="false" outlineLevel="0" collapsed="false">
      <c r="A936" s="63"/>
      <c r="B936" s="28"/>
      <c r="C936" s="28"/>
      <c r="D936" s="28"/>
      <c r="E936" s="64"/>
      <c r="F936" s="67" t="str">
        <f aca="false">IF($A936="","",$A936-WEEKDAY($A936,3))</f>
        <v/>
      </c>
      <c r="G936" s="65" t="str">
        <f aca="false">IF($A936="","",IF($F936=WeekStart,"Yes",""))</f>
        <v/>
      </c>
      <c r="H936" s="65" t="str">
        <f aca="false">IF($G936="Yes",$A936+ROW()/100000,"")</f>
        <v/>
      </c>
      <c r="I936" s="65" t="str">
        <f aca="false">IF(AND($D936&lt;&gt;"",$D936=UCSel),$A936+ROW()/100000,"")</f>
        <v/>
      </c>
    </row>
    <row r="937" customFormat="false" ht="15" hidden="false" customHeight="false" outlineLevel="0" collapsed="false">
      <c r="A937" s="63"/>
      <c r="B937" s="28"/>
      <c r="C937" s="28"/>
      <c r="D937" s="28"/>
      <c r="E937" s="64"/>
      <c r="F937" s="67" t="str">
        <f aca="false">IF($A937="","",$A937-WEEKDAY($A937,3))</f>
        <v/>
      </c>
      <c r="G937" s="65" t="str">
        <f aca="false">IF($A937="","",IF($F937=WeekStart,"Yes",""))</f>
        <v/>
      </c>
      <c r="H937" s="65" t="str">
        <f aca="false">IF($G937="Yes",$A937+ROW()/100000,"")</f>
        <v/>
      </c>
      <c r="I937" s="65" t="str">
        <f aca="false">IF(AND($D937&lt;&gt;"",$D937=UCSel),$A937+ROW()/100000,"")</f>
        <v/>
      </c>
    </row>
    <row r="938" customFormat="false" ht="15" hidden="false" customHeight="false" outlineLevel="0" collapsed="false">
      <c r="A938" s="63"/>
      <c r="B938" s="28"/>
      <c r="C938" s="28"/>
      <c r="D938" s="28"/>
      <c r="E938" s="64"/>
      <c r="F938" s="67" t="str">
        <f aca="false">IF($A938="","",$A938-WEEKDAY($A938,3))</f>
        <v/>
      </c>
      <c r="G938" s="65" t="str">
        <f aca="false">IF($A938="","",IF($F938=WeekStart,"Yes",""))</f>
        <v/>
      </c>
      <c r="H938" s="65" t="str">
        <f aca="false">IF($G938="Yes",$A938+ROW()/100000,"")</f>
        <v/>
      </c>
      <c r="I938" s="65" t="str">
        <f aca="false">IF(AND($D938&lt;&gt;"",$D938=UCSel),$A938+ROW()/100000,"")</f>
        <v/>
      </c>
    </row>
    <row r="939" customFormat="false" ht="15" hidden="false" customHeight="false" outlineLevel="0" collapsed="false">
      <c r="A939" s="63"/>
      <c r="B939" s="28"/>
      <c r="C939" s="28"/>
      <c r="D939" s="28"/>
      <c r="E939" s="64"/>
      <c r="F939" s="67" t="str">
        <f aca="false">IF($A939="","",$A939-WEEKDAY($A939,3))</f>
        <v/>
      </c>
      <c r="G939" s="65" t="str">
        <f aca="false">IF($A939="","",IF($F939=WeekStart,"Yes",""))</f>
        <v/>
      </c>
      <c r="H939" s="65" t="str">
        <f aca="false">IF($G939="Yes",$A939+ROW()/100000,"")</f>
        <v/>
      </c>
      <c r="I939" s="65" t="str">
        <f aca="false">IF(AND($D939&lt;&gt;"",$D939=UCSel),$A939+ROW()/100000,"")</f>
        <v/>
      </c>
    </row>
    <row r="940" customFormat="false" ht="15" hidden="false" customHeight="false" outlineLevel="0" collapsed="false">
      <c r="A940" s="63"/>
      <c r="B940" s="28"/>
      <c r="C940" s="28"/>
      <c r="D940" s="28"/>
      <c r="E940" s="64"/>
      <c r="F940" s="67" t="str">
        <f aca="false">IF($A940="","",$A940-WEEKDAY($A940,3))</f>
        <v/>
      </c>
      <c r="G940" s="65" t="str">
        <f aca="false">IF($A940="","",IF($F940=WeekStart,"Yes",""))</f>
        <v/>
      </c>
      <c r="H940" s="65" t="str">
        <f aca="false">IF($G940="Yes",$A940+ROW()/100000,"")</f>
        <v/>
      </c>
      <c r="I940" s="65" t="str">
        <f aca="false">IF(AND($D940&lt;&gt;"",$D940=UCSel),$A940+ROW()/100000,"")</f>
        <v/>
      </c>
    </row>
    <row r="941" customFormat="false" ht="15" hidden="false" customHeight="false" outlineLevel="0" collapsed="false">
      <c r="A941" s="63"/>
      <c r="B941" s="28"/>
      <c r="C941" s="28"/>
      <c r="D941" s="28"/>
      <c r="E941" s="64"/>
      <c r="F941" s="67" t="str">
        <f aca="false">IF($A941="","",$A941-WEEKDAY($A941,3))</f>
        <v/>
      </c>
      <c r="G941" s="65" t="str">
        <f aca="false">IF($A941="","",IF($F941=WeekStart,"Yes",""))</f>
        <v/>
      </c>
      <c r="H941" s="65" t="str">
        <f aca="false">IF($G941="Yes",$A941+ROW()/100000,"")</f>
        <v/>
      </c>
      <c r="I941" s="65" t="str">
        <f aca="false">IF(AND($D941&lt;&gt;"",$D941=UCSel),$A941+ROW()/100000,"")</f>
        <v/>
      </c>
    </row>
    <row r="942" customFormat="false" ht="15" hidden="false" customHeight="false" outlineLevel="0" collapsed="false">
      <c r="A942" s="63"/>
      <c r="B942" s="28"/>
      <c r="C942" s="28"/>
      <c r="D942" s="28"/>
      <c r="E942" s="64"/>
      <c r="F942" s="67" t="str">
        <f aca="false">IF($A942="","",$A942-WEEKDAY($A942,3))</f>
        <v/>
      </c>
      <c r="G942" s="65" t="str">
        <f aca="false">IF($A942="","",IF($F942=WeekStart,"Yes",""))</f>
        <v/>
      </c>
      <c r="H942" s="65" t="str">
        <f aca="false">IF($G942="Yes",$A942+ROW()/100000,"")</f>
        <v/>
      </c>
      <c r="I942" s="65" t="str">
        <f aca="false">IF(AND($D942&lt;&gt;"",$D942=UCSel),$A942+ROW()/100000,"")</f>
        <v/>
      </c>
    </row>
    <row r="943" customFormat="false" ht="15" hidden="false" customHeight="false" outlineLevel="0" collapsed="false">
      <c r="A943" s="63"/>
      <c r="B943" s="28"/>
      <c r="C943" s="28"/>
      <c r="D943" s="28"/>
      <c r="E943" s="64"/>
      <c r="F943" s="67" t="str">
        <f aca="false">IF($A943="","",$A943-WEEKDAY($A943,3))</f>
        <v/>
      </c>
      <c r="G943" s="65" t="str">
        <f aca="false">IF($A943="","",IF($F943=WeekStart,"Yes",""))</f>
        <v/>
      </c>
      <c r="H943" s="65" t="str">
        <f aca="false">IF($G943="Yes",$A943+ROW()/100000,"")</f>
        <v/>
      </c>
      <c r="I943" s="65" t="str">
        <f aca="false">IF(AND($D943&lt;&gt;"",$D943=UCSel),$A943+ROW()/100000,"")</f>
        <v/>
      </c>
    </row>
    <row r="944" customFormat="false" ht="15" hidden="false" customHeight="false" outlineLevel="0" collapsed="false">
      <c r="A944" s="63"/>
      <c r="B944" s="28"/>
      <c r="C944" s="28"/>
      <c r="D944" s="28"/>
      <c r="E944" s="64"/>
      <c r="F944" s="67" t="str">
        <f aca="false">IF($A944="","",$A944-WEEKDAY($A944,3))</f>
        <v/>
      </c>
      <c r="G944" s="65" t="str">
        <f aca="false">IF($A944="","",IF($F944=WeekStart,"Yes",""))</f>
        <v/>
      </c>
      <c r="H944" s="65" t="str">
        <f aca="false">IF($G944="Yes",$A944+ROW()/100000,"")</f>
        <v/>
      </c>
      <c r="I944" s="65" t="str">
        <f aca="false">IF(AND($D944&lt;&gt;"",$D944=UCSel),$A944+ROW()/100000,"")</f>
        <v/>
      </c>
    </row>
    <row r="945" customFormat="false" ht="15" hidden="false" customHeight="false" outlineLevel="0" collapsed="false">
      <c r="A945" s="63"/>
      <c r="B945" s="28"/>
      <c r="C945" s="28"/>
      <c r="D945" s="28"/>
      <c r="E945" s="64"/>
      <c r="F945" s="67" t="str">
        <f aca="false">IF($A945="","",$A945-WEEKDAY($A945,3))</f>
        <v/>
      </c>
      <c r="G945" s="65" t="str">
        <f aca="false">IF($A945="","",IF($F945=WeekStart,"Yes",""))</f>
        <v/>
      </c>
      <c r="H945" s="65" t="str">
        <f aca="false">IF($G945="Yes",$A945+ROW()/100000,"")</f>
        <v/>
      </c>
      <c r="I945" s="65" t="str">
        <f aca="false">IF(AND($D945&lt;&gt;"",$D945=UCSel),$A945+ROW()/100000,"")</f>
        <v/>
      </c>
    </row>
    <row r="946" customFormat="false" ht="15" hidden="false" customHeight="false" outlineLevel="0" collapsed="false">
      <c r="A946" s="63"/>
      <c r="B946" s="28"/>
      <c r="C946" s="28"/>
      <c r="D946" s="28"/>
      <c r="E946" s="64"/>
      <c r="F946" s="67" t="str">
        <f aca="false">IF($A946="","",$A946-WEEKDAY($A946,3))</f>
        <v/>
      </c>
      <c r="G946" s="65" t="str">
        <f aca="false">IF($A946="","",IF($F946=WeekStart,"Yes",""))</f>
        <v/>
      </c>
      <c r="H946" s="65" t="str">
        <f aca="false">IF($G946="Yes",$A946+ROW()/100000,"")</f>
        <v/>
      </c>
      <c r="I946" s="65" t="str">
        <f aca="false">IF(AND($D946&lt;&gt;"",$D946=UCSel),$A946+ROW()/100000,"")</f>
        <v/>
      </c>
    </row>
    <row r="947" customFormat="false" ht="15" hidden="false" customHeight="false" outlineLevel="0" collapsed="false">
      <c r="A947" s="63"/>
      <c r="B947" s="28"/>
      <c r="C947" s="28"/>
      <c r="D947" s="28"/>
      <c r="E947" s="64"/>
      <c r="F947" s="67" t="str">
        <f aca="false">IF($A947="","",$A947-WEEKDAY($A947,3))</f>
        <v/>
      </c>
      <c r="G947" s="65" t="str">
        <f aca="false">IF($A947="","",IF($F947=WeekStart,"Yes",""))</f>
        <v/>
      </c>
      <c r="H947" s="65" t="str">
        <f aca="false">IF($G947="Yes",$A947+ROW()/100000,"")</f>
        <v/>
      </c>
      <c r="I947" s="65" t="str">
        <f aca="false">IF(AND($D947&lt;&gt;"",$D947=UCSel),$A947+ROW()/100000,"")</f>
        <v/>
      </c>
    </row>
    <row r="948" customFormat="false" ht="15" hidden="false" customHeight="false" outlineLevel="0" collapsed="false">
      <c r="A948" s="63"/>
      <c r="B948" s="28"/>
      <c r="C948" s="28"/>
      <c r="D948" s="28"/>
      <c r="E948" s="64"/>
      <c r="F948" s="67" t="str">
        <f aca="false">IF($A948="","",$A948-WEEKDAY($A948,3))</f>
        <v/>
      </c>
      <c r="G948" s="65" t="str">
        <f aca="false">IF($A948="","",IF($F948=WeekStart,"Yes",""))</f>
        <v/>
      </c>
      <c r="H948" s="65" t="str">
        <f aca="false">IF($G948="Yes",$A948+ROW()/100000,"")</f>
        <v/>
      </c>
      <c r="I948" s="65" t="str">
        <f aca="false">IF(AND($D948&lt;&gt;"",$D948=UCSel),$A948+ROW()/100000,"")</f>
        <v/>
      </c>
    </row>
    <row r="949" customFormat="false" ht="15" hidden="false" customHeight="false" outlineLevel="0" collapsed="false">
      <c r="A949" s="63"/>
      <c r="B949" s="28"/>
      <c r="C949" s="28"/>
      <c r="D949" s="28"/>
      <c r="E949" s="64"/>
      <c r="F949" s="67" t="str">
        <f aca="false">IF($A949="","",$A949-WEEKDAY($A949,3))</f>
        <v/>
      </c>
      <c r="G949" s="65" t="str">
        <f aca="false">IF($A949="","",IF($F949=WeekStart,"Yes",""))</f>
        <v/>
      </c>
      <c r="H949" s="65" t="str">
        <f aca="false">IF($G949="Yes",$A949+ROW()/100000,"")</f>
        <v/>
      </c>
      <c r="I949" s="65" t="str">
        <f aca="false">IF(AND($D949&lt;&gt;"",$D949=UCSel),$A949+ROW()/100000,"")</f>
        <v/>
      </c>
    </row>
    <row r="950" customFormat="false" ht="15" hidden="false" customHeight="false" outlineLevel="0" collapsed="false">
      <c r="A950" s="63"/>
      <c r="B950" s="28"/>
      <c r="C950" s="28"/>
      <c r="D950" s="28"/>
      <c r="E950" s="64"/>
      <c r="F950" s="67" t="str">
        <f aca="false">IF($A950="","",$A950-WEEKDAY($A950,3))</f>
        <v/>
      </c>
      <c r="G950" s="65" t="str">
        <f aca="false">IF($A950="","",IF($F950=WeekStart,"Yes",""))</f>
        <v/>
      </c>
      <c r="H950" s="65" t="str">
        <f aca="false">IF($G950="Yes",$A950+ROW()/100000,"")</f>
        <v/>
      </c>
      <c r="I950" s="65" t="str">
        <f aca="false">IF(AND($D950&lt;&gt;"",$D950=UCSel),$A950+ROW()/100000,"")</f>
        <v/>
      </c>
    </row>
    <row r="951" customFormat="false" ht="15" hidden="false" customHeight="false" outlineLevel="0" collapsed="false">
      <c r="A951" s="63"/>
      <c r="B951" s="28"/>
      <c r="C951" s="28"/>
      <c r="D951" s="28"/>
      <c r="E951" s="64"/>
      <c r="F951" s="67" t="str">
        <f aca="false">IF($A951="","",$A951-WEEKDAY($A951,3))</f>
        <v/>
      </c>
      <c r="G951" s="65" t="str">
        <f aca="false">IF($A951="","",IF($F951=WeekStart,"Yes",""))</f>
        <v/>
      </c>
      <c r="H951" s="65" t="str">
        <f aca="false">IF($G951="Yes",$A951+ROW()/100000,"")</f>
        <v/>
      </c>
      <c r="I951" s="65" t="str">
        <f aca="false">IF(AND($D951&lt;&gt;"",$D951=UCSel),$A951+ROW()/100000,"")</f>
        <v/>
      </c>
    </row>
    <row r="952" customFormat="false" ht="15" hidden="false" customHeight="false" outlineLevel="0" collapsed="false">
      <c r="A952" s="63"/>
      <c r="B952" s="28"/>
      <c r="C952" s="28"/>
      <c r="D952" s="28"/>
      <c r="E952" s="64"/>
      <c r="F952" s="67" t="str">
        <f aca="false">IF($A952="","",$A952-WEEKDAY($A952,3))</f>
        <v/>
      </c>
      <c r="G952" s="65" t="str">
        <f aca="false">IF($A952="","",IF($F952=WeekStart,"Yes",""))</f>
        <v/>
      </c>
      <c r="H952" s="65" t="str">
        <f aca="false">IF($G952="Yes",$A952+ROW()/100000,"")</f>
        <v/>
      </c>
      <c r="I952" s="65" t="str">
        <f aca="false">IF(AND($D952&lt;&gt;"",$D952=UCSel),$A952+ROW()/100000,"")</f>
        <v/>
      </c>
    </row>
    <row r="953" customFormat="false" ht="15" hidden="false" customHeight="false" outlineLevel="0" collapsed="false">
      <c r="A953" s="63"/>
      <c r="B953" s="28"/>
      <c r="C953" s="28"/>
      <c r="D953" s="28"/>
      <c r="E953" s="64"/>
      <c r="F953" s="67" t="str">
        <f aca="false">IF($A953="","",$A953-WEEKDAY($A953,3))</f>
        <v/>
      </c>
      <c r="G953" s="65" t="str">
        <f aca="false">IF($A953="","",IF($F953=WeekStart,"Yes",""))</f>
        <v/>
      </c>
      <c r="H953" s="65" t="str">
        <f aca="false">IF($G953="Yes",$A953+ROW()/100000,"")</f>
        <v/>
      </c>
      <c r="I953" s="65" t="str">
        <f aca="false">IF(AND($D953&lt;&gt;"",$D953=UCSel),$A953+ROW()/100000,"")</f>
        <v/>
      </c>
    </row>
    <row r="954" customFormat="false" ht="15" hidden="false" customHeight="false" outlineLevel="0" collapsed="false">
      <c r="A954" s="63"/>
      <c r="B954" s="28"/>
      <c r="C954" s="28"/>
      <c r="D954" s="28"/>
      <c r="E954" s="64"/>
      <c r="F954" s="67" t="str">
        <f aca="false">IF($A954="","",$A954-WEEKDAY($A954,3))</f>
        <v/>
      </c>
      <c r="G954" s="65" t="str">
        <f aca="false">IF($A954="","",IF($F954=WeekStart,"Yes",""))</f>
        <v/>
      </c>
      <c r="H954" s="65" t="str">
        <f aca="false">IF($G954="Yes",$A954+ROW()/100000,"")</f>
        <v/>
      </c>
      <c r="I954" s="65" t="str">
        <f aca="false">IF(AND($D954&lt;&gt;"",$D954=UCSel),$A954+ROW()/100000,"")</f>
        <v/>
      </c>
    </row>
    <row r="955" customFormat="false" ht="15" hidden="false" customHeight="false" outlineLevel="0" collapsed="false">
      <c r="A955" s="63"/>
      <c r="B955" s="28"/>
      <c r="C955" s="28"/>
      <c r="D955" s="28"/>
      <c r="E955" s="64"/>
      <c r="F955" s="67" t="str">
        <f aca="false">IF($A955="","",$A955-WEEKDAY($A955,3))</f>
        <v/>
      </c>
      <c r="G955" s="65" t="str">
        <f aca="false">IF($A955="","",IF($F955=WeekStart,"Yes",""))</f>
        <v/>
      </c>
      <c r="H955" s="65" t="str">
        <f aca="false">IF($G955="Yes",$A955+ROW()/100000,"")</f>
        <v/>
      </c>
      <c r="I955" s="65" t="str">
        <f aca="false">IF(AND($D955&lt;&gt;"",$D955=UCSel),$A955+ROW()/100000,"")</f>
        <v/>
      </c>
    </row>
    <row r="956" customFormat="false" ht="15" hidden="false" customHeight="false" outlineLevel="0" collapsed="false">
      <c r="A956" s="63"/>
      <c r="B956" s="28"/>
      <c r="C956" s="28"/>
      <c r="D956" s="28"/>
      <c r="E956" s="64"/>
      <c r="F956" s="67" t="str">
        <f aca="false">IF($A956="","",$A956-WEEKDAY($A956,3))</f>
        <v/>
      </c>
      <c r="G956" s="65" t="str">
        <f aca="false">IF($A956="","",IF($F956=WeekStart,"Yes",""))</f>
        <v/>
      </c>
      <c r="H956" s="65" t="str">
        <f aca="false">IF($G956="Yes",$A956+ROW()/100000,"")</f>
        <v/>
      </c>
      <c r="I956" s="65" t="str">
        <f aca="false">IF(AND($D956&lt;&gt;"",$D956=UCSel),$A956+ROW()/100000,"")</f>
        <v/>
      </c>
    </row>
    <row r="957" customFormat="false" ht="15" hidden="false" customHeight="false" outlineLevel="0" collapsed="false">
      <c r="A957" s="63"/>
      <c r="B957" s="28"/>
      <c r="C957" s="28"/>
      <c r="D957" s="28"/>
      <c r="E957" s="64"/>
      <c r="F957" s="67" t="str">
        <f aca="false">IF($A957="","",$A957-WEEKDAY($A957,3))</f>
        <v/>
      </c>
      <c r="G957" s="65" t="str">
        <f aca="false">IF($A957="","",IF($F957=WeekStart,"Yes",""))</f>
        <v/>
      </c>
      <c r="H957" s="65" t="str">
        <f aca="false">IF($G957="Yes",$A957+ROW()/100000,"")</f>
        <v/>
      </c>
      <c r="I957" s="65" t="str">
        <f aca="false">IF(AND($D957&lt;&gt;"",$D957=UCSel),$A957+ROW()/100000,"")</f>
        <v/>
      </c>
    </row>
    <row r="958" customFormat="false" ht="15" hidden="false" customHeight="false" outlineLevel="0" collapsed="false">
      <c r="A958" s="63"/>
      <c r="B958" s="28"/>
      <c r="C958" s="28"/>
      <c r="D958" s="28"/>
      <c r="E958" s="64"/>
      <c r="F958" s="67" t="str">
        <f aca="false">IF($A958="","",$A958-WEEKDAY($A958,3))</f>
        <v/>
      </c>
      <c r="G958" s="65" t="str">
        <f aca="false">IF($A958="","",IF($F958=WeekStart,"Yes",""))</f>
        <v/>
      </c>
      <c r="H958" s="65" t="str">
        <f aca="false">IF($G958="Yes",$A958+ROW()/100000,"")</f>
        <v/>
      </c>
      <c r="I958" s="65" t="str">
        <f aca="false">IF(AND($D958&lt;&gt;"",$D958=UCSel),$A958+ROW()/100000,"")</f>
        <v/>
      </c>
    </row>
    <row r="959" customFormat="false" ht="15" hidden="false" customHeight="false" outlineLevel="0" collapsed="false">
      <c r="A959" s="63"/>
      <c r="B959" s="28"/>
      <c r="C959" s="28"/>
      <c r="D959" s="28"/>
      <c r="E959" s="64"/>
      <c r="F959" s="67" t="str">
        <f aca="false">IF($A959="","",$A959-WEEKDAY($A959,3))</f>
        <v/>
      </c>
      <c r="G959" s="65" t="str">
        <f aca="false">IF($A959="","",IF($F959=WeekStart,"Yes",""))</f>
        <v/>
      </c>
      <c r="H959" s="65" t="str">
        <f aca="false">IF($G959="Yes",$A959+ROW()/100000,"")</f>
        <v/>
      </c>
      <c r="I959" s="65" t="str">
        <f aca="false">IF(AND($D959&lt;&gt;"",$D959=UCSel),$A959+ROW()/100000,"")</f>
        <v/>
      </c>
    </row>
    <row r="960" customFormat="false" ht="15" hidden="false" customHeight="false" outlineLevel="0" collapsed="false">
      <c r="A960" s="63"/>
      <c r="B960" s="28"/>
      <c r="C960" s="28"/>
      <c r="D960" s="28"/>
      <c r="E960" s="64"/>
      <c r="F960" s="67" t="str">
        <f aca="false">IF($A960="","",$A960-WEEKDAY($A960,3))</f>
        <v/>
      </c>
      <c r="G960" s="65" t="str">
        <f aca="false">IF($A960="","",IF($F960=WeekStart,"Yes",""))</f>
        <v/>
      </c>
      <c r="H960" s="65" t="str">
        <f aca="false">IF($G960="Yes",$A960+ROW()/100000,"")</f>
        <v/>
      </c>
      <c r="I960" s="65" t="str">
        <f aca="false">IF(AND($D960&lt;&gt;"",$D960=UCSel),$A960+ROW()/100000,"")</f>
        <v/>
      </c>
    </row>
    <row r="961" customFormat="false" ht="15" hidden="false" customHeight="false" outlineLevel="0" collapsed="false">
      <c r="A961" s="63"/>
      <c r="B961" s="28"/>
      <c r="C961" s="28"/>
      <c r="D961" s="28"/>
      <c r="E961" s="64"/>
      <c r="F961" s="67" t="str">
        <f aca="false">IF($A961="","",$A961-WEEKDAY($A961,3))</f>
        <v/>
      </c>
      <c r="G961" s="65" t="str">
        <f aca="false">IF($A961="","",IF($F961=WeekStart,"Yes",""))</f>
        <v/>
      </c>
      <c r="H961" s="65" t="str">
        <f aca="false">IF($G961="Yes",$A961+ROW()/100000,"")</f>
        <v/>
      </c>
      <c r="I961" s="65" t="str">
        <f aca="false">IF(AND($D961&lt;&gt;"",$D961=UCSel),$A961+ROW()/100000,"")</f>
        <v/>
      </c>
    </row>
    <row r="962" customFormat="false" ht="15" hidden="false" customHeight="false" outlineLevel="0" collapsed="false">
      <c r="A962" s="63"/>
      <c r="B962" s="28"/>
      <c r="C962" s="28"/>
      <c r="D962" s="28"/>
      <c r="E962" s="64"/>
      <c r="F962" s="67" t="str">
        <f aca="false">IF($A962="","",$A962-WEEKDAY($A962,3))</f>
        <v/>
      </c>
      <c r="G962" s="65" t="str">
        <f aca="false">IF($A962="","",IF($F962=WeekStart,"Yes",""))</f>
        <v/>
      </c>
      <c r="H962" s="65" t="str">
        <f aca="false">IF($G962="Yes",$A962+ROW()/100000,"")</f>
        <v/>
      </c>
      <c r="I962" s="65" t="str">
        <f aca="false">IF(AND($D962&lt;&gt;"",$D962=UCSel),$A962+ROW()/100000,"")</f>
        <v/>
      </c>
    </row>
    <row r="963" customFormat="false" ht="15" hidden="false" customHeight="false" outlineLevel="0" collapsed="false">
      <c r="A963" s="63"/>
      <c r="B963" s="28"/>
      <c r="C963" s="28"/>
      <c r="D963" s="28"/>
      <c r="E963" s="64"/>
      <c r="F963" s="67" t="str">
        <f aca="false">IF($A963="","",$A963-WEEKDAY($A963,3))</f>
        <v/>
      </c>
      <c r="G963" s="65" t="str">
        <f aca="false">IF($A963="","",IF($F963=WeekStart,"Yes",""))</f>
        <v/>
      </c>
      <c r="H963" s="65" t="str">
        <f aca="false">IF($G963="Yes",$A963+ROW()/100000,"")</f>
        <v/>
      </c>
      <c r="I963" s="65" t="str">
        <f aca="false">IF(AND($D963&lt;&gt;"",$D963=UCSel),$A963+ROW()/100000,"")</f>
        <v/>
      </c>
    </row>
    <row r="964" customFormat="false" ht="15" hidden="false" customHeight="false" outlineLevel="0" collapsed="false">
      <c r="A964" s="63"/>
      <c r="B964" s="28"/>
      <c r="C964" s="28"/>
      <c r="D964" s="28"/>
      <c r="E964" s="64"/>
      <c r="F964" s="67" t="str">
        <f aca="false">IF($A964="","",$A964-WEEKDAY($A964,3))</f>
        <v/>
      </c>
      <c r="G964" s="65" t="str">
        <f aca="false">IF($A964="","",IF($F964=WeekStart,"Yes",""))</f>
        <v/>
      </c>
      <c r="H964" s="65" t="str">
        <f aca="false">IF($G964="Yes",$A964+ROW()/100000,"")</f>
        <v/>
      </c>
      <c r="I964" s="65" t="str">
        <f aca="false">IF(AND($D964&lt;&gt;"",$D964=UCSel),$A964+ROW()/100000,"")</f>
        <v/>
      </c>
    </row>
    <row r="965" customFormat="false" ht="15" hidden="false" customHeight="false" outlineLevel="0" collapsed="false">
      <c r="A965" s="63"/>
      <c r="B965" s="28"/>
      <c r="C965" s="28"/>
      <c r="D965" s="28"/>
      <c r="E965" s="64"/>
      <c r="F965" s="67" t="str">
        <f aca="false">IF($A965="","",$A965-WEEKDAY($A965,3))</f>
        <v/>
      </c>
      <c r="G965" s="65" t="str">
        <f aca="false">IF($A965="","",IF($F965=WeekStart,"Yes",""))</f>
        <v/>
      </c>
      <c r="H965" s="65" t="str">
        <f aca="false">IF($G965="Yes",$A965+ROW()/100000,"")</f>
        <v/>
      </c>
      <c r="I965" s="65" t="str">
        <f aca="false">IF(AND($D965&lt;&gt;"",$D965=UCSel),$A965+ROW()/100000,"")</f>
        <v/>
      </c>
    </row>
    <row r="966" customFormat="false" ht="15" hidden="false" customHeight="false" outlineLevel="0" collapsed="false">
      <c r="A966" s="63"/>
      <c r="B966" s="28"/>
      <c r="C966" s="28"/>
      <c r="D966" s="28"/>
      <c r="E966" s="64"/>
      <c r="F966" s="67" t="str">
        <f aca="false">IF($A966="","",$A966-WEEKDAY($A966,3))</f>
        <v/>
      </c>
      <c r="G966" s="65" t="str">
        <f aca="false">IF($A966="","",IF($F966=WeekStart,"Yes",""))</f>
        <v/>
      </c>
      <c r="H966" s="65" t="str">
        <f aca="false">IF($G966="Yes",$A966+ROW()/100000,"")</f>
        <v/>
      </c>
      <c r="I966" s="65" t="str">
        <f aca="false">IF(AND($D966&lt;&gt;"",$D966=UCSel),$A966+ROW()/100000,"")</f>
        <v/>
      </c>
    </row>
    <row r="967" customFormat="false" ht="15" hidden="false" customHeight="false" outlineLevel="0" collapsed="false">
      <c r="A967" s="63"/>
      <c r="B967" s="28"/>
      <c r="C967" s="28"/>
      <c r="D967" s="28"/>
      <c r="E967" s="64"/>
      <c r="F967" s="67" t="str">
        <f aca="false">IF($A967="","",$A967-WEEKDAY($A967,3))</f>
        <v/>
      </c>
      <c r="G967" s="65" t="str">
        <f aca="false">IF($A967="","",IF($F967=WeekStart,"Yes",""))</f>
        <v/>
      </c>
      <c r="H967" s="65" t="str">
        <f aca="false">IF($G967="Yes",$A967+ROW()/100000,"")</f>
        <v/>
      </c>
      <c r="I967" s="65" t="str">
        <f aca="false">IF(AND($D967&lt;&gt;"",$D967=UCSel),$A967+ROW()/100000,"")</f>
        <v/>
      </c>
    </row>
    <row r="968" customFormat="false" ht="15" hidden="false" customHeight="false" outlineLevel="0" collapsed="false">
      <c r="A968" s="63"/>
      <c r="B968" s="28"/>
      <c r="C968" s="28"/>
      <c r="D968" s="28"/>
      <c r="E968" s="64"/>
      <c r="F968" s="67" t="str">
        <f aca="false">IF($A968="","",$A968-WEEKDAY($A968,3))</f>
        <v/>
      </c>
      <c r="G968" s="65" t="str">
        <f aca="false">IF($A968="","",IF($F968=WeekStart,"Yes",""))</f>
        <v/>
      </c>
      <c r="H968" s="65" t="str">
        <f aca="false">IF($G968="Yes",$A968+ROW()/100000,"")</f>
        <v/>
      </c>
      <c r="I968" s="65" t="str">
        <f aca="false">IF(AND($D968&lt;&gt;"",$D968=UCSel),$A968+ROW()/100000,"")</f>
        <v/>
      </c>
    </row>
    <row r="969" customFormat="false" ht="15" hidden="false" customHeight="false" outlineLevel="0" collapsed="false">
      <c r="A969" s="63"/>
      <c r="B969" s="28"/>
      <c r="C969" s="28"/>
      <c r="D969" s="28"/>
      <c r="E969" s="64"/>
      <c r="F969" s="67" t="str">
        <f aca="false">IF($A969="","",$A969-WEEKDAY($A969,3))</f>
        <v/>
      </c>
      <c r="G969" s="65" t="str">
        <f aca="false">IF($A969="","",IF($F969=WeekStart,"Yes",""))</f>
        <v/>
      </c>
      <c r="H969" s="65" t="str">
        <f aca="false">IF($G969="Yes",$A969+ROW()/100000,"")</f>
        <v/>
      </c>
      <c r="I969" s="65" t="str">
        <f aca="false">IF(AND($D969&lt;&gt;"",$D969=UCSel),$A969+ROW()/100000,"")</f>
        <v/>
      </c>
    </row>
    <row r="970" customFormat="false" ht="15" hidden="false" customHeight="false" outlineLevel="0" collapsed="false">
      <c r="A970" s="63"/>
      <c r="B970" s="28"/>
      <c r="C970" s="28"/>
      <c r="D970" s="28"/>
      <c r="E970" s="64"/>
      <c r="F970" s="67" t="str">
        <f aca="false">IF($A970="","",$A970-WEEKDAY($A970,3))</f>
        <v/>
      </c>
      <c r="G970" s="65" t="str">
        <f aca="false">IF($A970="","",IF($F970=WeekStart,"Yes",""))</f>
        <v/>
      </c>
      <c r="H970" s="65" t="str">
        <f aca="false">IF($G970="Yes",$A970+ROW()/100000,"")</f>
        <v/>
      </c>
      <c r="I970" s="65" t="str">
        <f aca="false">IF(AND($D970&lt;&gt;"",$D970=UCSel),$A970+ROW()/100000,"")</f>
        <v/>
      </c>
    </row>
    <row r="971" customFormat="false" ht="15" hidden="false" customHeight="false" outlineLevel="0" collapsed="false">
      <c r="A971" s="63"/>
      <c r="B971" s="28"/>
      <c r="C971" s="28"/>
      <c r="D971" s="28"/>
      <c r="E971" s="64"/>
      <c r="F971" s="67" t="str">
        <f aca="false">IF($A971="","",$A971-WEEKDAY($A971,3))</f>
        <v/>
      </c>
      <c r="G971" s="65" t="str">
        <f aca="false">IF($A971="","",IF($F971=WeekStart,"Yes",""))</f>
        <v/>
      </c>
      <c r="H971" s="65" t="str">
        <f aca="false">IF($G971="Yes",$A971+ROW()/100000,"")</f>
        <v/>
      </c>
      <c r="I971" s="65" t="str">
        <f aca="false">IF(AND($D971&lt;&gt;"",$D971=UCSel),$A971+ROW()/100000,"")</f>
        <v/>
      </c>
    </row>
    <row r="972" customFormat="false" ht="15" hidden="false" customHeight="false" outlineLevel="0" collapsed="false">
      <c r="A972" s="63"/>
      <c r="B972" s="28"/>
      <c r="C972" s="28"/>
      <c r="D972" s="28"/>
      <c r="E972" s="64"/>
      <c r="F972" s="67" t="str">
        <f aca="false">IF($A972="","",$A972-WEEKDAY($A972,3))</f>
        <v/>
      </c>
      <c r="G972" s="65" t="str">
        <f aca="false">IF($A972="","",IF($F972=WeekStart,"Yes",""))</f>
        <v/>
      </c>
      <c r="H972" s="65" t="str">
        <f aca="false">IF($G972="Yes",$A972+ROW()/100000,"")</f>
        <v/>
      </c>
      <c r="I972" s="65" t="str">
        <f aca="false">IF(AND($D972&lt;&gt;"",$D972=UCSel),$A972+ROW()/100000,"")</f>
        <v/>
      </c>
    </row>
    <row r="973" customFormat="false" ht="15" hidden="false" customHeight="false" outlineLevel="0" collapsed="false">
      <c r="A973" s="63"/>
      <c r="B973" s="28"/>
      <c r="C973" s="28"/>
      <c r="D973" s="28"/>
      <c r="E973" s="64"/>
      <c r="F973" s="67" t="str">
        <f aca="false">IF($A973="","",$A973-WEEKDAY($A973,3))</f>
        <v/>
      </c>
      <c r="G973" s="65" t="str">
        <f aca="false">IF($A973="","",IF($F973=WeekStart,"Yes",""))</f>
        <v/>
      </c>
      <c r="H973" s="65" t="str">
        <f aca="false">IF($G973="Yes",$A973+ROW()/100000,"")</f>
        <v/>
      </c>
      <c r="I973" s="65" t="str">
        <f aca="false">IF(AND($D973&lt;&gt;"",$D973=UCSel),$A973+ROW()/100000,"")</f>
        <v/>
      </c>
    </row>
    <row r="974" customFormat="false" ht="15" hidden="false" customHeight="false" outlineLevel="0" collapsed="false">
      <c r="A974" s="63"/>
      <c r="B974" s="28"/>
      <c r="C974" s="28"/>
      <c r="D974" s="28"/>
      <c r="E974" s="64"/>
      <c r="F974" s="67" t="str">
        <f aca="false">IF($A974="","",$A974-WEEKDAY($A974,3))</f>
        <v/>
      </c>
      <c r="G974" s="65" t="str">
        <f aca="false">IF($A974="","",IF($F974=WeekStart,"Yes",""))</f>
        <v/>
      </c>
      <c r="H974" s="65" t="str">
        <f aca="false">IF($G974="Yes",$A974+ROW()/100000,"")</f>
        <v/>
      </c>
      <c r="I974" s="65" t="str">
        <f aca="false">IF(AND($D974&lt;&gt;"",$D974=UCSel),$A974+ROW()/100000,"")</f>
        <v/>
      </c>
    </row>
    <row r="975" customFormat="false" ht="15" hidden="false" customHeight="false" outlineLevel="0" collapsed="false">
      <c r="A975" s="63"/>
      <c r="B975" s="28"/>
      <c r="C975" s="28"/>
      <c r="D975" s="28"/>
      <c r="E975" s="64"/>
      <c r="F975" s="67" t="str">
        <f aca="false">IF($A975="","",$A975-WEEKDAY($A975,3))</f>
        <v/>
      </c>
      <c r="G975" s="65" t="str">
        <f aca="false">IF($A975="","",IF($F975=WeekStart,"Yes",""))</f>
        <v/>
      </c>
      <c r="H975" s="65" t="str">
        <f aca="false">IF($G975="Yes",$A975+ROW()/100000,"")</f>
        <v/>
      </c>
      <c r="I975" s="65" t="str">
        <f aca="false">IF(AND($D975&lt;&gt;"",$D975=UCSel),$A975+ROW()/100000,"")</f>
        <v/>
      </c>
    </row>
    <row r="976" customFormat="false" ht="15" hidden="false" customHeight="false" outlineLevel="0" collapsed="false">
      <c r="A976" s="63"/>
      <c r="B976" s="28"/>
      <c r="C976" s="28"/>
      <c r="D976" s="28"/>
      <c r="E976" s="64"/>
      <c r="F976" s="67" t="str">
        <f aca="false">IF($A976="","",$A976-WEEKDAY($A976,3))</f>
        <v/>
      </c>
      <c r="G976" s="65" t="str">
        <f aca="false">IF($A976="","",IF($F976=WeekStart,"Yes",""))</f>
        <v/>
      </c>
      <c r="H976" s="65" t="str">
        <f aca="false">IF($G976="Yes",$A976+ROW()/100000,"")</f>
        <v/>
      </c>
      <c r="I976" s="65" t="str">
        <f aca="false">IF(AND($D976&lt;&gt;"",$D976=UCSel),$A976+ROW()/100000,"")</f>
        <v/>
      </c>
    </row>
    <row r="977" customFormat="false" ht="15" hidden="false" customHeight="false" outlineLevel="0" collapsed="false">
      <c r="A977" s="63"/>
      <c r="B977" s="28"/>
      <c r="C977" s="28"/>
      <c r="D977" s="28"/>
      <c r="E977" s="64"/>
      <c r="F977" s="67" t="str">
        <f aca="false">IF($A977="","",$A977-WEEKDAY($A977,3))</f>
        <v/>
      </c>
      <c r="G977" s="65" t="str">
        <f aca="false">IF($A977="","",IF($F977=WeekStart,"Yes",""))</f>
        <v/>
      </c>
      <c r="H977" s="65" t="str">
        <f aca="false">IF($G977="Yes",$A977+ROW()/100000,"")</f>
        <v/>
      </c>
      <c r="I977" s="65" t="str">
        <f aca="false">IF(AND($D977&lt;&gt;"",$D977=UCSel),$A977+ROW()/100000,"")</f>
        <v/>
      </c>
    </row>
    <row r="978" customFormat="false" ht="15" hidden="false" customHeight="false" outlineLevel="0" collapsed="false">
      <c r="A978" s="63"/>
      <c r="B978" s="28"/>
      <c r="C978" s="28"/>
      <c r="D978" s="28"/>
      <c r="E978" s="64"/>
      <c r="F978" s="67" t="str">
        <f aca="false">IF($A978="","",$A978-WEEKDAY($A978,3))</f>
        <v/>
      </c>
      <c r="G978" s="65" t="str">
        <f aca="false">IF($A978="","",IF($F978=WeekStart,"Yes",""))</f>
        <v/>
      </c>
      <c r="H978" s="65" t="str">
        <f aca="false">IF($G978="Yes",$A978+ROW()/100000,"")</f>
        <v/>
      </c>
      <c r="I978" s="65" t="str">
        <f aca="false">IF(AND($D978&lt;&gt;"",$D978=UCSel),$A978+ROW()/100000,"")</f>
        <v/>
      </c>
    </row>
    <row r="979" customFormat="false" ht="15" hidden="false" customHeight="false" outlineLevel="0" collapsed="false">
      <c r="A979" s="63"/>
      <c r="B979" s="28"/>
      <c r="C979" s="28"/>
      <c r="D979" s="28"/>
      <c r="E979" s="64"/>
      <c r="F979" s="67" t="str">
        <f aca="false">IF($A979="","",$A979-WEEKDAY($A979,3))</f>
        <v/>
      </c>
      <c r="G979" s="65" t="str">
        <f aca="false">IF($A979="","",IF($F979=WeekStart,"Yes",""))</f>
        <v/>
      </c>
      <c r="H979" s="65" t="str">
        <f aca="false">IF($G979="Yes",$A979+ROW()/100000,"")</f>
        <v/>
      </c>
      <c r="I979" s="65" t="str">
        <f aca="false">IF(AND($D979&lt;&gt;"",$D979=UCSel),$A979+ROW()/100000,"")</f>
        <v/>
      </c>
    </row>
    <row r="980" customFormat="false" ht="15" hidden="false" customHeight="false" outlineLevel="0" collapsed="false">
      <c r="A980" s="63"/>
      <c r="B980" s="28"/>
      <c r="C980" s="28"/>
      <c r="D980" s="28"/>
      <c r="E980" s="64"/>
      <c r="F980" s="67" t="str">
        <f aca="false">IF($A980="","",$A980-WEEKDAY($A980,3))</f>
        <v/>
      </c>
      <c r="G980" s="65" t="str">
        <f aca="false">IF($A980="","",IF($F980=WeekStart,"Yes",""))</f>
        <v/>
      </c>
      <c r="H980" s="65" t="str">
        <f aca="false">IF($G980="Yes",$A980+ROW()/100000,"")</f>
        <v/>
      </c>
      <c r="I980" s="65" t="str">
        <f aca="false">IF(AND($D980&lt;&gt;"",$D980=UCSel),$A980+ROW()/100000,"")</f>
        <v/>
      </c>
    </row>
    <row r="981" customFormat="false" ht="15" hidden="false" customHeight="false" outlineLevel="0" collapsed="false">
      <c r="A981" s="63"/>
      <c r="B981" s="28"/>
      <c r="C981" s="28"/>
      <c r="D981" s="28"/>
      <c r="E981" s="64"/>
      <c r="F981" s="67" t="str">
        <f aca="false">IF($A981="","",$A981-WEEKDAY($A981,3))</f>
        <v/>
      </c>
      <c r="G981" s="65" t="str">
        <f aca="false">IF($A981="","",IF($F981=WeekStart,"Yes",""))</f>
        <v/>
      </c>
      <c r="H981" s="65" t="str">
        <f aca="false">IF($G981="Yes",$A981+ROW()/100000,"")</f>
        <v/>
      </c>
      <c r="I981" s="65" t="str">
        <f aca="false">IF(AND($D981&lt;&gt;"",$D981=UCSel),$A981+ROW()/100000,"")</f>
        <v/>
      </c>
    </row>
    <row r="982" customFormat="false" ht="15" hidden="false" customHeight="false" outlineLevel="0" collapsed="false">
      <c r="A982" s="63"/>
      <c r="B982" s="28"/>
      <c r="C982" s="28"/>
      <c r="D982" s="28"/>
      <c r="E982" s="64"/>
      <c r="F982" s="67" t="str">
        <f aca="false">IF($A982="","",$A982-WEEKDAY($A982,3))</f>
        <v/>
      </c>
      <c r="G982" s="65" t="str">
        <f aca="false">IF($A982="","",IF($F982=WeekStart,"Yes",""))</f>
        <v/>
      </c>
      <c r="H982" s="65" t="str">
        <f aca="false">IF($G982="Yes",$A982+ROW()/100000,"")</f>
        <v/>
      </c>
      <c r="I982" s="65" t="str">
        <f aca="false">IF(AND($D982&lt;&gt;"",$D982=UCSel),$A982+ROW()/100000,"")</f>
        <v/>
      </c>
    </row>
    <row r="983" customFormat="false" ht="15" hidden="false" customHeight="false" outlineLevel="0" collapsed="false">
      <c r="A983" s="63"/>
      <c r="B983" s="28"/>
      <c r="C983" s="28"/>
      <c r="D983" s="28"/>
      <c r="E983" s="64"/>
      <c r="F983" s="67" t="str">
        <f aca="false">IF($A983="","",$A983-WEEKDAY($A983,3))</f>
        <v/>
      </c>
      <c r="G983" s="65" t="str">
        <f aca="false">IF($A983="","",IF($F983=WeekStart,"Yes",""))</f>
        <v/>
      </c>
      <c r="H983" s="65" t="str">
        <f aca="false">IF($G983="Yes",$A983+ROW()/100000,"")</f>
        <v/>
      </c>
      <c r="I983" s="65" t="str">
        <f aca="false">IF(AND($D983&lt;&gt;"",$D983=UCSel),$A983+ROW()/100000,"")</f>
        <v/>
      </c>
    </row>
    <row r="984" customFormat="false" ht="15" hidden="false" customHeight="false" outlineLevel="0" collapsed="false">
      <c r="A984" s="63"/>
      <c r="B984" s="28"/>
      <c r="C984" s="28"/>
      <c r="D984" s="28"/>
      <c r="E984" s="64"/>
      <c r="F984" s="67" t="str">
        <f aca="false">IF($A984="","",$A984-WEEKDAY($A984,3))</f>
        <v/>
      </c>
      <c r="G984" s="65" t="str">
        <f aca="false">IF($A984="","",IF($F984=WeekStart,"Yes",""))</f>
        <v/>
      </c>
      <c r="H984" s="65" t="str">
        <f aca="false">IF($G984="Yes",$A984+ROW()/100000,"")</f>
        <v/>
      </c>
      <c r="I984" s="65" t="str">
        <f aca="false">IF(AND($D984&lt;&gt;"",$D984=UCSel),$A984+ROW()/100000,"")</f>
        <v/>
      </c>
    </row>
    <row r="985" customFormat="false" ht="15" hidden="false" customHeight="false" outlineLevel="0" collapsed="false">
      <c r="A985" s="63"/>
      <c r="B985" s="28"/>
      <c r="C985" s="28"/>
      <c r="D985" s="28"/>
      <c r="E985" s="64"/>
      <c r="F985" s="67" t="str">
        <f aca="false">IF($A985="","",$A985-WEEKDAY($A985,3))</f>
        <v/>
      </c>
      <c r="G985" s="65" t="str">
        <f aca="false">IF($A985="","",IF($F985=WeekStart,"Yes",""))</f>
        <v/>
      </c>
      <c r="H985" s="65" t="str">
        <f aca="false">IF($G985="Yes",$A985+ROW()/100000,"")</f>
        <v/>
      </c>
      <c r="I985" s="65" t="str">
        <f aca="false">IF(AND($D985&lt;&gt;"",$D985=UCSel),$A985+ROW()/100000,"")</f>
        <v/>
      </c>
    </row>
    <row r="986" customFormat="false" ht="15" hidden="false" customHeight="false" outlineLevel="0" collapsed="false">
      <c r="A986" s="63"/>
      <c r="B986" s="28"/>
      <c r="C986" s="28"/>
      <c r="D986" s="28"/>
      <c r="E986" s="64"/>
      <c r="F986" s="67" t="str">
        <f aca="false">IF($A986="","",$A986-WEEKDAY($A986,3))</f>
        <v/>
      </c>
      <c r="G986" s="65" t="str">
        <f aca="false">IF($A986="","",IF($F986=WeekStart,"Yes",""))</f>
        <v/>
      </c>
      <c r="H986" s="65" t="str">
        <f aca="false">IF($G986="Yes",$A986+ROW()/100000,"")</f>
        <v/>
      </c>
      <c r="I986" s="65" t="str">
        <f aca="false">IF(AND($D986&lt;&gt;"",$D986=UCSel),$A986+ROW()/100000,"")</f>
        <v/>
      </c>
    </row>
    <row r="987" customFormat="false" ht="15" hidden="false" customHeight="false" outlineLevel="0" collapsed="false">
      <c r="A987" s="63"/>
      <c r="B987" s="28"/>
      <c r="C987" s="28"/>
      <c r="D987" s="28"/>
      <c r="E987" s="64"/>
      <c r="F987" s="67" t="str">
        <f aca="false">IF($A987="","",$A987-WEEKDAY($A987,3))</f>
        <v/>
      </c>
      <c r="G987" s="65" t="str">
        <f aca="false">IF($A987="","",IF($F987=WeekStart,"Yes",""))</f>
        <v/>
      </c>
      <c r="H987" s="65" t="str">
        <f aca="false">IF($G987="Yes",$A987+ROW()/100000,"")</f>
        <v/>
      </c>
      <c r="I987" s="65" t="str">
        <f aca="false">IF(AND($D987&lt;&gt;"",$D987=UCSel),$A987+ROW()/100000,"")</f>
        <v/>
      </c>
    </row>
    <row r="988" customFormat="false" ht="15" hidden="false" customHeight="false" outlineLevel="0" collapsed="false">
      <c r="A988" s="63"/>
      <c r="B988" s="28"/>
      <c r="C988" s="28"/>
      <c r="D988" s="28"/>
      <c r="E988" s="64"/>
      <c r="F988" s="67" t="str">
        <f aca="false">IF($A988="","",$A988-WEEKDAY($A988,3))</f>
        <v/>
      </c>
      <c r="G988" s="65" t="str">
        <f aca="false">IF($A988="","",IF($F988=WeekStart,"Yes",""))</f>
        <v/>
      </c>
      <c r="H988" s="65" t="str">
        <f aca="false">IF($G988="Yes",$A988+ROW()/100000,"")</f>
        <v/>
      </c>
      <c r="I988" s="65" t="str">
        <f aca="false">IF(AND($D988&lt;&gt;"",$D988=UCSel),$A988+ROW()/100000,"")</f>
        <v/>
      </c>
    </row>
    <row r="989" customFormat="false" ht="15" hidden="false" customHeight="false" outlineLevel="0" collapsed="false">
      <c r="A989" s="63"/>
      <c r="B989" s="28"/>
      <c r="C989" s="28"/>
      <c r="D989" s="28"/>
      <c r="E989" s="64"/>
      <c r="F989" s="67" t="str">
        <f aca="false">IF($A989="","",$A989-WEEKDAY($A989,3))</f>
        <v/>
      </c>
      <c r="G989" s="65" t="str">
        <f aca="false">IF($A989="","",IF($F989=WeekStart,"Yes",""))</f>
        <v/>
      </c>
      <c r="H989" s="65" t="str">
        <f aca="false">IF($G989="Yes",$A989+ROW()/100000,"")</f>
        <v/>
      </c>
      <c r="I989" s="65" t="str">
        <f aca="false">IF(AND($D989&lt;&gt;"",$D989=UCSel),$A989+ROW()/100000,"")</f>
        <v/>
      </c>
    </row>
    <row r="990" customFormat="false" ht="15" hidden="false" customHeight="false" outlineLevel="0" collapsed="false">
      <c r="A990" s="63"/>
      <c r="B990" s="28"/>
      <c r="C990" s="28"/>
      <c r="D990" s="28"/>
      <c r="E990" s="64"/>
      <c r="F990" s="67" t="str">
        <f aca="false">IF($A990="","",$A990-WEEKDAY($A990,3))</f>
        <v/>
      </c>
      <c r="G990" s="65" t="str">
        <f aca="false">IF($A990="","",IF($F990=WeekStart,"Yes",""))</f>
        <v/>
      </c>
      <c r="H990" s="65" t="str">
        <f aca="false">IF($G990="Yes",$A990+ROW()/100000,"")</f>
        <v/>
      </c>
      <c r="I990" s="65" t="str">
        <f aca="false">IF(AND($D990&lt;&gt;"",$D990=UCSel),$A990+ROW()/100000,"")</f>
        <v/>
      </c>
    </row>
    <row r="991" customFormat="false" ht="15" hidden="false" customHeight="false" outlineLevel="0" collapsed="false">
      <c r="A991" s="63"/>
      <c r="B991" s="28"/>
      <c r="C991" s="28"/>
      <c r="D991" s="28"/>
      <c r="E991" s="64"/>
      <c r="F991" s="67" t="str">
        <f aca="false">IF($A991="","",$A991-WEEKDAY($A991,3))</f>
        <v/>
      </c>
      <c r="G991" s="65" t="str">
        <f aca="false">IF($A991="","",IF($F991=WeekStart,"Yes",""))</f>
        <v/>
      </c>
      <c r="H991" s="65" t="str">
        <f aca="false">IF($G991="Yes",$A991+ROW()/100000,"")</f>
        <v/>
      </c>
      <c r="I991" s="65" t="str">
        <f aca="false">IF(AND($D991&lt;&gt;"",$D991=UCSel),$A991+ROW()/100000,"")</f>
        <v/>
      </c>
    </row>
    <row r="992" customFormat="false" ht="15" hidden="false" customHeight="false" outlineLevel="0" collapsed="false">
      <c r="A992" s="63"/>
      <c r="B992" s="28"/>
      <c r="C992" s="28"/>
      <c r="D992" s="28"/>
      <c r="E992" s="64"/>
      <c r="F992" s="67" t="str">
        <f aca="false">IF($A992="","",$A992-WEEKDAY($A992,3))</f>
        <v/>
      </c>
      <c r="G992" s="65" t="str">
        <f aca="false">IF($A992="","",IF($F992=WeekStart,"Yes",""))</f>
        <v/>
      </c>
      <c r="H992" s="65" t="str">
        <f aca="false">IF($G992="Yes",$A992+ROW()/100000,"")</f>
        <v/>
      </c>
      <c r="I992" s="65" t="str">
        <f aca="false">IF(AND($D992&lt;&gt;"",$D992=UCSel),$A992+ROW()/100000,"")</f>
        <v/>
      </c>
    </row>
    <row r="993" customFormat="false" ht="15" hidden="false" customHeight="false" outlineLevel="0" collapsed="false">
      <c r="A993" s="63"/>
      <c r="B993" s="28"/>
      <c r="C993" s="28"/>
      <c r="D993" s="28"/>
      <c r="E993" s="64"/>
      <c r="F993" s="67" t="str">
        <f aca="false">IF($A993="","",$A993-WEEKDAY($A993,3))</f>
        <v/>
      </c>
      <c r="G993" s="65" t="str">
        <f aca="false">IF($A993="","",IF($F993=WeekStart,"Yes",""))</f>
        <v/>
      </c>
      <c r="H993" s="65" t="str">
        <f aca="false">IF($G993="Yes",$A993+ROW()/100000,"")</f>
        <v/>
      </c>
      <c r="I993" s="65" t="str">
        <f aca="false">IF(AND($D993&lt;&gt;"",$D993=UCSel),$A993+ROW()/100000,"")</f>
        <v/>
      </c>
    </row>
    <row r="994" customFormat="false" ht="15" hidden="false" customHeight="false" outlineLevel="0" collapsed="false">
      <c r="A994" s="63"/>
      <c r="B994" s="28"/>
      <c r="C994" s="28"/>
      <c r="D994" s="28"/>
      <c r="E994" s="64"/>
      <c r="F994" s="67" t="str">
        <f aca="false">IF($A994="","",$A994-WEEKDAY($A994,3))</f>
        <v/>
      </c>
      <c r="G994" s="65" t="str">
        <f aca="false">IF($A994="","",IF($F994=WeekStart,"Yes",""))</f>
        <v/>
      </c>
      <c r="H994" s="65" t="str">
        <f aca="false">IF($G994="Yes",$A994+ROW()/100000,"")</f>
        <v/>
      </c>
      <c r="I994" s="65" t="str">
        <f aca="false">IF(AND($D994&lt;&gt;"",$D994=UCSel),$A994+ROW()/100000,"")</f>
        <v/>
      </c>
    </row>
    <row r="995" customFormat="false" ht="15" hidden="false" customHeight="false" outlineLevel="0" collapsed="false">
      <c r="A995" s="63"/>
      <c r="B995" s="28"/>
      <c r="C995" s="28"/>
      <c r="D995" s="28"/>
      <c r="E995" s="64"/>
      <c r="F995" s="67" t="str">
        <f aca="false">IF($A995="","",$A995-WEEKDAY($A995,3))</f>
        <v/>
      </c>
      <c r="G995" s="65" t="str">
        <f aca="false">IF($A995="","",IF($F995=WeekStart,"Yes",""))</f>
        <v/>
      </c>
      <c r="H995" s="65" t="str">
        <f aca="false">IF($G995="Yes",$A995+ROW()/100000,"")</f>
        <v/>
      </c>
      <c r="I995" s="65" t="str">
        <f aca="false">IF(AND($D995&lt;&gt;"",$D995=UCSel),$A995+ROW()/100000,"")</f>
        <v/>
      </c>
    </row>
    <row r="996" customFormat="false" ht="15" hidden="false" customHeight="false" outlineLevel="0" collapsed="false">
      <c r="A996" s="63"/>
      <c r="B996" s="28"/>
      <c r="C996" s="28"/>
      <c r="D996" s="28"/>
      <c r="E996" s="64"/>
      <c r="F996" s="67" t="str">
        <f aca="false">IF($A996="","",$A996-WEEKDAY($A996,3))</f>
        <v/>
      </c>
      <c r="G996" s="65" t="str">
        <f aca="false">IF($A996="","",IF($F996=WeekStart,"Yes",""))</f>
        <v/>
      </c>
      <c r="H996" s="65" t="str">
        <f aca="false">IF($G996="Yes",$A996+ROW()/100000,"")</f>
        <v/>
      </c>
      <c r="I996" s="65" t="str">
        <f aca="false">IF(AND($D996&lt;&gt;"",$D996=UCSel),$A996+ROW()/100000,"")</f>
        <v/>
      </c>
    </row>
    <row r="997" customFormat="false" ht="15" hidden="false" customHeight="false" outlineLevel="0" collapsed="false">
      <c r="A997" s="63"/>
      <c r="B997" s="28"/>
      <c r="C997" s="28"/>
      <c r="D997" s="28"/>
      <c r="E997" s="64"/>
      <c r="F997" s="67" t="str">
        <f aca="false">IF($A997="","",$A997-WEEKDAY($A997,3))</f>
        <v/>
      </c>
      <c r="G997" s="65" t="str">
        <f aca="false">IF($A997="","",IF($F997=WeekStart,"Yes",""))</f>
        <v/>
      </c>
      <c r="H997" s="65" t="str">
        <f aca="false">IF($G997="Yes",$A997+ROW()/100000,"")</f>
        <v/>
      </c>
      <c r="I997" s="65" t="str">
        <f aca="false">IF(AND($D997&lt;&gt;"",$D997=UCSel),$A997+ROW()/100000,"")</f>
        <v/>
      </c>
    </row>
    <row r="998" customFormat="false" ht="15" hidden="false" customHeight="false" outlineLevel="0" collapsed="false">
      <c r="A998" s="63"/>
      <c r="B998" s="28"/>
      <c r="C998" s="28"/>
      <c r="D998" s="28"/>
      <c r="E998" s="64"/>
      <c r="F998" s="67" t="str">
        <f aca="false">IF($A998="","",$A998-WEEKDAY($A998,3))</f>
        <v/>
      </c>
      <c r="G998" s="65" t="str">
        <f aca="false">IF($A998="","",IF($F998=WeekStart,"Yes",""))</f>
        <v/>
      </c>
      <c r="H998" s="65" t="str">
        <f aca="false">IF($G998="Yes",$A998+ROW()/100000,"")</f>
        <v/>
      </c>
      <c r="I998" s="65" t="str">
        <f aca="false">IF(AND($D998&lt;&gt;"",$D998=UCSel),$A998+ROW()/100000,"")</f>
        <v/>
      </c>
    </row>
    <row r="999" customFormat="false" ht="15" hidden="false" customHeight="false" outlineLevel="0" collapsed="false">
      <c r="A999" s="63"/>
      <c r="B999" s="28"/>
      <c r="C999" s="28"/>
      <c r="D999" s="28"/>
      <c r="E999" s="64"/>
      <c r="F999" s="67" t="str">
        <f aca="false">IF($A999="","",$A999-WEEKDAY($A999,3))</f>
        <v/>
      </c>
      <c r="G999" s="65" t="str">
        <f aca="false">IF($A999="","",IF($F999=WeekStart,"Yes",""))</f>
        <v/>
      </c>
      <c r="H999" s="65" t="str">
        <f aca="false">IF($G999="Yes",$A999+ROW()/100000,"")</f>
        <v/>
      </c>
      <c r="I999" s="65" t="str">
        <f aca="false">IF(AND($D999&lt;&gt;"",$D999=UCSel),$A999+ROW()/100000,"")</f>
        <v/>
      </c>
    </row>
    <row r="1000" customFormat="false" ht="15" hidden="false" customHeight="false" outlineLevel="0" collapsed="false">
      <c r="A1000" s="63"/>
      <c r="B1000" s="28"/>
      <c r="C1000" s="28"/>
      <c r="D1000" s="28"/>
      <c r="E1000" s="64"/>
      <c r="F1000" s="67" t="str">
        <f aca="false">IF($A1000="","",$A1000-WEEKDAY($A1000,3))</f>
        <v/>
      </c>
      <c r="G1000" s="65" t="str">
        <f aca="false">IF($A1000="","",IF($F1000=WeekStart,"Yes",""))</f>
        <v/>
      </c>
      <c r="H1000" s="65" t="str">
        <f aca="false">IF($G1000="Yes",$A1000+ROW()/100000,"")</f>
        <v/>
      </c>
      <c r="I1000" s="65" t="str">
        <f aca="false">IF(AND($D1000&lt;&gt;"",$D1000=UCSel),$A1000+ROW()/100000,"")</f>
        <v/>
      </c>
    </row>
    <row r="1001" customFormat="false" ht="15" hidden="false" customHeight="false" outlineLevel="0" collapsed="false">
      <c r="A1001" s="63"/>
      <c r="B1001" s="28"/>
      <c r="C1001" s="28"/>
      <c r="D1001" s="28"/>
      <c r="E1001" s="64"/>
      <c r="F1001" s="67" t="str">
        <f aca="false">IF($A1001="","",$A1001-WEEKDAY($A1001,3))</f>
        <v/>
      </c>
      <c r="G1001" s="65" t="str">
        <f aca="false">IF($A1001="","",IF($F1001=WeekStart,"Yes",""))</f>
        <v/>
      </c>
      <c r="H1001" s="65" t="str">
        <f aca="false">IF($G1001="Yes",$A1001+ROW()/100000,"")</f>
        <v/>
      </c>
      <c r="I1001" s="65" t="str">
        <f aca="false">IF(AND($D1001&lt;&gt;"",$D1001=UCSel),$A1001+ROW()/100000,"")</f>
        <v/>
      </c>
    </row>
  </sheetData>
  <autoFilter ref="A1:I1001"/>
  <dataValidations count="1">
    <dataValidation allowBlank="true" error="Pick one of: Session, Email, Teams, Calendar" errorStyle="stop" errorTitle="Not on the list" operator="between" showDropDown="false" showErrorMessage="true" showInputMessage="false" sqref="E2:E1001" type="list">
      <formula1>"Session,Email,Teams,Calendar"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0"/>
  </cols>
  <sheetData>
    <row r="1" customFormat="false" ht="30" hidden="false" customHeight="true" outlineLevel="0" collapsed="false">
      <c r="A1" s="61" t="s">
        <v>67</v>
      </c>
      <c r="B1" s="61" t="s">
        <v>364</v>
      </c>
      <c r="C1" s="61" t="s">
        <v>365</v>
      </c>
      <c r="D1" s="61" t="s">
        <v>366</v>
      </c>
      <c r="E1" s="62" t="s">
        <v>70</v>
      </c>
    </row>
    <row r="2" customFormat="false" ht="15" hidden="false" customHeight="false" outlineLevel="0" collapsed="false">
      <c r="A2" s="28" t="s">
        <v>367</v>
      </c>
      <c r="B2" s="28" t="n">
        <v>1800</v>
      </c>
      <c r="C2" s="28" t="n">
        <v>1650</v>
      </c>
      <c r="D2" s="28" t="s">
        <v>188</v>
      </c>
      <c r="E2" s="68" t="n">
        <f aca="false">IF(OR($A2="",$B2=0),"",$C2/$B2)</f>
        <v>0.916666666666667</v>
      </c>
    </row>
    <row r="3" customFormat="false" ht="15" hidden="false" customHeight="false" outlineLevel="0" collapsed="false">
      <c r="A3" s="28" t="s">
        <v>368</v>
      </c>
      <c r="B3" s="28" t="n">
        <v>2600</v>
      </c>
      <c r="C3" s="28" t="n">
        <v>2400</v>
      </c>
      <c r="D3" s="28" t="s">
        <v>188</v>
      </c>
      <c r="E3" s="68" t="n">
        <f aca="false">IF(OR($A3="",$B3=0),"",$C3/$B3)</f>
        <v>0.923076923076923</v>
      </c>
    </row>
    <row r="4" customFormat="false" ht="15" hidden="false" customHeight="false" outlineLevel="0" collapsed="false">
      <c r="A4" s="28" t="s">
        <v>369</v>
      </c>
      <c r="B4" s="28" t="n">
        <v>4200</v>
      </c>
      <c r="C4" s="28" t="n">
        <v>3900</v>
      </c>
      <c r="D4" s="28" t="s">
        <v>188</v>
      </c>
      <c r="E4" s="68" t="n">
        <f aca="false">IF(OR($A4="",$B4=0),"",$C4/$B4)</f>
        <v>0.928571428571429</v>
      </c>
    </row>
    <row r="5" customFormat="false" ht="15" hidden="false" customHeight="false" outlineLevel="0" collapsed="false">
      <c r="A5" s="28" t="s">
        <v>370</v>
      </c>
      <c r="B5" s="28" t="n">
        <v>5700</v>
      </c>
      <c r="C5" s="28" t="n">
        <v>3600</v>
      </c>
      <c r="D5" s="28"/>
      <c r="E5" s="68" t="n">
        <f aca="false">IF(OR($A5="",$B5=0),"",$C5/$B5)</f>
        <v>0.631578947368421</v>
      </c>
    </row>
    <row r="6" customFormat="false" ht="15" hidden="false" customHeight="false" outlineLevel="0" collapsed="false">
      <c r="A6" s="28"/>
      <c r="B6" s="28"/>
      <c r="C6" s="28"/>
      <c r="D6" s="28"/>
      <c r="E6" s="68" t="str">
        <f aca="false">IF(OR($A6="",$B6=0),"",$C6/$B6)</f>
        <v/>
      </c>
    </row>
    <row r="7" customFormat="false" ht="15" hidden="false" customHeight="false" outlineLevel="0" collapsed="false">
      <c r="A7" s="28"/>
      <c r="B7" s="28"/>
      <c r="C7" s="28"/>
      <c r="D7" s="28"/>
      <c r="E7" s="68" t="str">
        <f aca="false">IF(OR($A7="",$B7=0),"",$C7/$B7)</f>
        <v/>
      </c>
    </row>
    <row r="8" customFormat="false" ht="15" hidden="false" customHeight="false" outlineLevel="0" collapsed="false">
      <c r="A8" s="28"/>
      <c r="B8" s="28"/>
      <c r="C8" s="28"/>
      <c r="D8" s="28"/>
      <c r="E8" s="68" t="str">
        <f aca="false">IF(OR($A8="",$B8=0),"",$C8/$B8)</f>
        <v/>
      </c>
    </row>
    <row r="9" customFormat="false" ht="15" hidden="false" customHeight="false" outlineLevel="0" collapsed="false">
      <c r="A9" s="28"/>
      <c r="B9" s="28"/>
      <c r="C9" s="28"/>
      <c r="D9" s="28"/>
      <c r="E9" s="68" t="str">
        <f aca="false">IF(OR($A9="",$B9=0),"",$C9/$B9)</f>
        <v/>
      </c>
    </row>
    <row r="10" customFormat="false" ht="15" hidden="false" customHeight="false" outlineLevel="0" collapsed="false">
      <c r="A10" s="28"/>
      <c r="B10" s="28"/>
      <c r="C10" s="28"/>
      <c r="D10" s="28"/>
      <c r="E10" s="68" t="str">
        <f aca="false">IF(OR($A10="",$B10=0),"",$C10/$B10)</f>
        <v/>
      </c>
    </row>
    <row r="11" customFormat="false" ht="15" hidden="false" customHeight="false" outlineLevel="0" collapsed="false">
      <c r="A11" s="28"/>
      <c r="B11" s="28"/>
      <c r="C11" s="28"/>
      <c r="D11" s="28"/>
      <c r="E11" s="68" t="str">
        <f aca="false">IF(OR($A11="",$B11=0),"",$C11/$B11)</f>
        <v/>
      </c>
    </row>
    <row r="12" customFormat="false" ht="15" hidden="false" customHeight="false" outlineLevel="0" collapsed="false">
      <c r="A12" s="28"/>
      <c r="B12" s="28"/>
      <c r="C12" s="28"/>
      <c r="D12" s="28"/>
      <c r="E12" s="68" t="str">
        <f aca="false">IF(OR($A12="",$B12=0),"",$C12/$B12)</f>
        <v/>
      </c>
    </row>
    <row r="13" customFormat="false" ht="15" hidden="false" customHeight="false" outlineLevel="0" collapsed="false">
      <c r="A13" s="28"/>
      <c r="B13" s="28"/>
      <c r="C13" s="28"/>
      <c r="D13" s="28"/>
      <c r="E13" s="68" t="str">
        <f aca="false">IF(OR($A13="",$B13=0),"",$C13/$B13)</f>
        <v/>
      </c>
    </row>
    <row r="14" customFormat="false" ht="15" hidden="false" customHeight="false" outlineLevel="0" collapsed="false">
      <c r="A14" s="28"/>
      <c r="B14" s="28"/>
      <c r="C14" s="28"/>
      <c r="D14" s="28"/>
      <c r="E14" s="68" t="str">
        <f aca="false">IF(OR($A14="",$B14=0),"",$C14/$B14)</f>
        <v/>
      </c>
    </row>
    <row r="15" customFormat="false" ht="15" hidden="false" customHeight="false" outlineLevel="0" collapsed="false">
      <c r="A15" s="28"/>
      <c r="B15" s="28"/>
      <c r="C15" s="28"/>
      <c r="D15" s="28"/>
      <c r="E15" s="68" t="str">
        <f aca="false">IF(OR($A15="",$B15=0),"",$C15/$B15)</f>
        <v/>
      </c>
    </row>
    <row r="16" customFormat="false" ht="15" hidden="false" customHeight="false" outlineLevel="0" collapsed="false">
      <c r="A16" s="28"/>
      <c r="B16" s="28"/>
      <c r="C16" s="28"/>
      <c r="D16" s="28"/>
      <c r="E16" s="68" t="str">
        <f aca="false">IF(OR($A16="",$B16=0),"",$C16/$B16)</f>
        <v/>
      </c>
    </row>
    <row r="17" customFormat="false" ht="15" hidden="false" customHeight="false" outlineLevel="0" collapsed="false">
      <c r="A17" s="28"/>
      <c r="B17" s="28"/>
      <c r="C17" s="28"/>
      <c r="D17" s="28"/>
      <c r="E17" s="68" t="str">
        <f aca="false">IF(OR($A17="",$B17=0),"",$C17/$B17)</f>
        <v/>
      </c>
    </row>
    <row r="18" customFormat="false" ht="15" hidden="false" customHeight="false" outlineLevel="0" collapsed="false">
      <c r="A18" s="28"/>
      <c r="B18" s="28"/>
      <c r="C18" s="28"/>
      <c r="D18" s="28"/>
      <c r="E18" s="68" t="str">
        <f aca="false">IF(OR($A18="",$B18=0),"",$C18/$B18)</f>
        <v/>
      </c>
    </row>
    <row r="19" customFormat="false" ht="15" hidden="false" customHeight="false" outlineLevel="0" collapsed="false">
      <c r="A19" s="28"/>
      <c r="B19" s="28"/>
      <c r="C19" s="28"/>
      <c r="D19" s="28"/>
      <c r="E19" s="68" t="str">
        <f aca="false">IF(OR($A19="",$B19=0),"",$C19/$B19)</f>
        <v/>
      </c>
    </row>
    <row r="20" customFormat="false" ht="15" hidden="false" customHeight="false" outlineLevel="0" collapsed="false">
      <c r="A20" s="28"/>
      <c r="B20" s="28"/>
      <c r="C20" s="28"/>
      <c r="D20" s="28"/>
      <c r="E20" s="68" t="str">
        <f aca="false">IF(OR($A20="",$B20=0),"",$C20/$B20)</f>
        <v/>
      </c>
    </row>
    <row r="21" customFormat="false" ht="15" hidden="false" customHeight="false" outlineLevel="0" collapsed="false">
      <c r="A21" s="28"/>
      <c r="B21" s="28"/>
      <c r="C21" s="28"/>
      <c r="D21" s="28"/>
      <c r="E21" s="68" t="str">
        <f aca="false">IF(OR($A21="",$B21=0),"",$C21/$B21)</f>
        <v/>
      </c>
    </row>
    <row r="22" customFormat="false" ht="15" hidden="false" customHeight="false" outlineLevel="0" collapsed="false">
      <c r="A22" s="28"/>
      <c r="B22" s="28"/>
      <c r="C22" s="28"/>
      <c r="D22" s="28"/>
      <c r="E22" s="68" t="str">
        <f aca="false">IF(OR($A22="",$B22=0),"",$C22/$B22)</f>
        <v/>
      </c>
    </row>
    <row r="23" customFormat="false" ht="15" hidden="false" customHeight="false" outlineLevel="0" collapsed="false">
      <c r="A23" s="28"/>
      <c r="B23" s="28"/>
      <c r="C23" s="28"/>
      <c r="D23" s="28"/>
      <c r="E23" s="68" t="str">
        <f aca="false">IF(OR($A23="",$B23=0),"",$C23/$B23)</f>
        <v/>
      </c>
    </row>
    <row r="24" customFormat="false" ht="15" hidden="false" customHeight="false" outlineLevel="0" collapsed="false">
      <c r="A24" s="28"/>
      <c r="B24" s="28"/>
      <c r="C24" s="28"/>
      <c r="D24" s="28"/>
      <c r="E24" s="68" t="str">
        <f aca="false">IF(OR($A24="",$B24=0),"",$C24/$B24)</f>
        <v/>
      </c>
    </row>
    <row r="25" customFormat="false" ht="15" hidden="false" customHeight="false" outlineLevel="0" collapsed="false">
      <c r="A25" s="28"/>
      <c r="B25" s="28"/>
      <c r="C25" s="28"/>
      <c r="D25" s="28"/>
      <c r="E25" s="68" t="str">
        <f aca="false">IF(OR($A25="",$B25=0),"",$C25/$B25)</f>
        <v/>
      </c>
    </row>
    <row r="26" customFormat="false" ht="15" hidden="false" customHeight="false" outlineLevel="0" collapsed="false">
      <c r="A26" s="28"/>
      <c r="B26" s="28"/>
      <c r="C26" s="28"/>
      <c r="D26" s="28"/>
      <c r="E26" s="68" t="str">
        <f aca="false">IF(OR($A26="",$B26=0),"",$C26/$B26)</f>
        <v/>
      </c>
    </row>
    <row r="27" customFormat="false" ht="15" hidden="false" customHeight="false" outlineLevel="0" collapsed="false">
      <c r="A27" s="28"/>
      <c r="B27" s="28"/>
      <c r="C27" s="28"/>
      <c r="D27" s="28"/>
      <c r="E27" s="68" t="str">
        <f aca="false">IF(OR($A27="",$B27=0),"",$C27/$B27)</f>
        <v/>
      </c>
    </row>
    <row r="28" customFormat="false" ht="15" hidden="false" customHeight="false" outlineLevel="0" collapsed="false">
      <c r="A28" s="28"/>
      <c r="B28" s="28"/>
      <c r="C28" s="28"/>
      <c r="D28" s="28"/>
      <c r="E28" s="68" t="str">
        <f aca="false">IF(OR($A28="",$B28=0),"",$C28/$B28)</f>
        <v/>
      </c>
    </row>
    <row r="29" customFormat="false" ht="15" hidden="false" customHeight="false" outlineLevel="0" collapsed="false">
      <c r="A29" s="28"/>
      <c r="B29" s="28"/>
      <c r="C29" s="28"/>
      <c r="D29" s="28"/>
      <c r="E29" s="68" t="str">
        <f aca="false">IF(OR($A29="",$B29=0),"",$C29/$B29)</f>
        <v/>
      </c>
    </row>
    <row r="30" customFormat="false" ht="15" hidden="false" customHeight="false" outlineLevel="0" collapsed="false">
      <c r="A30" s="28"/>
      <c r="B30" s="28"/>
      <c r="C30" s="28"/>
      <c r="D30" s="28"/>
      <c r="E30" s="68" t="str">
        <f aca="false">IF(OR($A30="",$B30=0),"",$C30/$B30)</f>
        <v/>
      </c>
    </row>
    <row r="31" customFormat="false" ht="15" hidden="false" customHeight="false" outlineLevel="0" collapsed="false">
      <c r="A31" s="28"/>
      <c r="B31" s="28"/>
      <c r="C31" s="28"/>
      <c r="D31" s="28"/>
      <c r="E31" s="68" t="str">
        <f aca="false">IF(OR($A31="",$B31=0),"",$C31/$B31)</f>
        <v/>
      </c>
    </row>
    <row r="32" customFormat="false" ht="15" hidden="false" customHeight="false" outlineLevel="0" collapsed="false">
      <c r="A32" s="28"/>
      <c r="B32" s="28"/>
      <c r="C32" s="28"/>
      <c r="D32" s="28"/>
      <c r="E32" s="68" t="str">
        <f aca="false">IF(OR($A32="",$B32=0),"",$C32/$B32)</f>
        <v/>
      </c>
    </row>
    <row r="33" customFormat="false" ht="15" hidden="false" customHeight="false" outlineLevel="0" collapsed="false">
      <c r="A33" s="28"/>
      <c r="B33" s="28"/>
      <c r="C33" s="28"/>
      <c r="D33" s="28"/>
      <c r="E33" s="68" t="str">
        <f aca="false">IF(OR($A33="",$B33=0),"",$C33/$B33)</f>
        <v/>
      </c>
    </row>
    <row r="34" customFormat="false" ht="15" hidden="false" customHeight="false" outlineLevel="0" collapsed="false">
      <c r="A34" s="28"/>
      <c r="B34" s="28"/>
      <c r="C34" s="28"/>
      <c r="D34" s="28"/>
      <c r="E34" s="68" t="str">
        <f aca="false">IF(OR($A34="",$B34=0),"",$C34/$B34)</f>
        <v/>
      </c>
    </row>
    <row r="35" customFormat="false" ht="15" hidden="false" customHeight="false" outlineLevel="0" collapsed="false">
      <c r="A35" s="28"/>
      <c r="B35" s="28"/>
      <c r="C35" s="28"/>
      <c r="D35" s="28"/>
      <c r="E35" s="68" t="str">
        <f aca="false">IF(OR($A35="",$B35=0),"",$C35/$B35)</f>
        <v/>
      </c>
    </row>
    <row r="36" customFormat="false" ht="15" hidden="false" customHeight="false" outlineLevel="0" collapsed="false">
      <c r="A36" s="28"/>
      <c r="B36" s="28"/>
      <c r="C36" s="28"/>
      <c r="D36" s="28"/>
      <c r="E36" s="68" t="str">
        <f aca="false">IF(OR($A36="",$B36=0),"",$C36/$B36)</f>
        <v/>
      </c>
    </row>
    <row r="37" customFormat="false" ht="15" hidden="false" customHeight="false" outlineLevel="0" collapsed="false">
      <c r="A37" s="28"/>
      <c r="B37" s="28"/>
      <c r="C37" s="28"/>
      <c r="D37" s="28"/>
      <c r="E37" s="68" t="str">
        <f aca="false">IF(OR($A37="",$B37=0),"",$C37/$B37)</f>
        <v/>
      </c>
    </row>
    <row r="38" customFormat="false" ht="15" hidden="false" customHeight="false" outlineLevel="0" collapsed="false">
      <c r="A38" s="28"/>
      <c r="B38" s="28"/>
      <c r="C38" s="28"/>
      <c r="D38" s="28"/>
      <c r="E38" s="68" t="str">
        <f aca="false">IF(OR($A38="",$B38=0),"",$C38/$B38)</f>
        <v/>
      </c>
    </row>
    <row r="39" customFormat="false" ht="15" hidden="false" customHeight="false" outlineLevel="0" collapsed="false">
      <c r="A39" s="28"/>
      <c r="B39" s="28"/>
      <c r="C39" s="28"/>
      <c r="D39" s="28"/>
      <c r="E39" s="68" t="str">
        <f aca="false">IF(OR($A39="",$B39=0),"",$C39/$B39)</f>
        <v/>
      </c>
    </row>
    <row r="40" customFormat="false" ht="15" hidden="false" customHeight="false" outlineLevel="0" collapsed="false">
      <c r="A40" s="28"/>
      <c r="B40" s="28"/>
      <c r="C40" s="28"/>
      <c r="D40" s="28"/>
      <c r="E40" s="68" t="str">
        <f aca="false">IF(OR($A40="",$B40=0),"",$C40/$B40)</f>
        <v/>
      </c>
    </row>
    <row r="41" customFormat="false" ht="15" hidden="false" customHeight="false" outlineLevel="0" collapsed="false">
      <c r="A41" s="28"/>
      <c r="B41" s="28"/>
      <c r="C41" s="28"/>
      <c r="D41" s="28"/>
      <c r="E41" s="68" t="str">
        <f aca="false">IF(OR($A41="",$B41=0),"",$C41/$B41)</f>
        <v/>
      </c>
    </row>
  </sheetData>
  <autoFilter ref="A1:E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8"/>
    <col collapsed="false" customWidth="true" hidden="false" outlineLevel="0" max="5" min="5" style="0" width="46"/>
    <col collapsed="false" customWidth="true" hidden="false" outlineLevel="0" max="6" min="6" style="0" width="28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9"/>
  </cols>
  <sheetData>
    <row r="1" customFormat="false" ht="30" hidden="false" customHeight="true" outlineLevel="0" collapsed="false">
      <c r="A1" s="61" t="s">
        <v>7</v>
      </c>
      <c r="B1" s="61" t="s">
        <v>27</v>
      </c>
      <c r="C1" s="61" t="s">
        <v>371</v>
      </c>
      <c r="D1" s="61" t="s">
        <v>372</v>
      </c>
      <c r="E1" s="61" t="s">
        <v>373</v>
      </c>
      <c r="F1" s="61" t="s">
        <v>340</v>
      </c>
      <c r="G1" s="61" t="s">
        <v>374</v>
      </c>
      <c r="H1" s="61" t="s">
        <v>280</v>
      </c>
      <c r="I1" s="62" t="s">
        <v>375</v>
      </c>
    </row>
    <row r="2" customFormat="false" ht="15" hidden="false" customHeight="false" outlineLevel="0" collapsed="false">
      <c r="A2" s="28" t="s">
        <v>376</v>
      </c>
      <c r="B2" s="63" t="n">
        <v>46267</v>
      </c>
      <c r="C2" s="28" t="s">
        <v>377</v>
      </c>
      <c r="D2" s="64" t="s">
        <v>378</v>
      </c>
      <c r="E2" s="28" t="s">
        <v>379</v>
      </c>
      <c r="F2" s="28" t="s">
        <v>380</v>
      </c>
      <c r="G2" s="28" t="s">
        <v>381</v>
      </c>
      <c r="H2" s="28"/>
      <c r="I2" s="65" t="n">
        <f aca="false">IF($A2="","",COUNTIFS($H$2:$H$1001,$A2,$D$2:$D$1001,"Reuse"))</f>
        <v>1</v>
      </c>
    </row>
    <row r="3" customFormat="false" ht="15" hidden="false" customHeight="false" outlineLevel="0" collapsed="false">
      <c r="A3" s="28" t="s">
        <v>382</v>
      </c>
      <c r="B3" s="63" t="n">
        <v>46271</v>
      </c>
      <c r="C3" s="28" t="s">
        <v>383</v>
      </c>
      <c r="D3" s="64" t="s">
        <v>384</v>
      </c>
      <c r="E3" s="28" t="s">
        <v>385</v>
      </c>
      <c r="F3" s="28" t="s">
        <v>306</v>
      </c>
      <c r="G3" s="28" t="s">
        <v>219</v>
      </c>
      <c r="H3" s="28"/>
      <c r="I3" s="65" t="n">
        <f aca="false">IF($A3="","",COUNTIFS($H$2:$H$1001,$A3,$D$2:$D$1001,"Reuse"))</f>
        <v>0</v>
      </c>
    </row>
    <row r="4" customFormat="false" ht="15" hidden="false" customHeight="false" outlineLevel="0" collapsed="false">
      <c r="A4" s="28" t="s">
        <v>386</v>
      </c>
      <c r="B4" s="63" t="n">
        <v>46276</v>
      </c>
      <c r="C4" s="28" t="s">
        <v>387</v>
      </c>
      <c r="D4" s="64" t="s">
        <v>378</v>
      </c>
      <c r="E4" s="28" t="s">
        <v>388</v>
      </c>
      <c r="F4" s="28" t="s">
        <v>389</v>
      </c>
      <c r="G4" s="28" t="s">
        <v>201</v>
      </c>
      <c r="H4" s="28"/>
      <c r="I4" s="65" t="n">
        <f aca="false">IF($A4="","",COUNTIFS($H$2:$H$1001,$A4,$D$2:$D$1001,"Reuse"))</f>
        <v>1</v>
      </c>
    </row>
    <row r="5" customFormat="false" ht="15" hidden="false" customHeight="false" outlineLevel="0" collapsed="false">
      <c r="A5" s="28" t="s">
        <v>390</v>
      </c>
      <c r="B5" s="63" t="n">
        <v>46282</v>
      </c>
      <c r="C5" s="28" t="s">
        <v>377</v>
      </c>
      <c r="D5" s="64" t="s">
        <v>391</v>
      </c>
      <c r="E5" s="28" t="s">
        <v>392</v>
      </c>
      <c r="F5" s="28" t="s">
        <v>376</v>
      </c>
      <c r="G5" s="28" t="s">
        <v>209</v>
      </c>
      <c r="H5" s="28" t="s">
        <v>376</v>
      </c>
      <c r="I5" s="65" t="n">
        <f aca="false">IF($A5="","",COUNTIFS($H$2:$H$1001,$A5,$D$2:$D$1001,"Reuse"))</f>
        <v>0</v>
      </c>
    </row>
    <row r="6" customFormat="false" ht="15" hidden="false" customHeight="false" outlineLevel="0" collapsed="false">
      <c r="A6" s="28" t="s">
        <v>393</v>
      </c>
      <c r="B6" s="63" t="n">
        <v>46285</v>
      </c>
      <c r="C6" s="28" t="s">
        <v>394</v>
      </c>
      <c r="D6" s="64" t="s">
        <v>378</v>
      </c>
      <c r="E6" s="28" t="s">
        <v>395</v>
      </c>
      <c r="F6" s="28" t="s">
        <v>396</v>
      </c>
      <c r="G6" s="28" t="s">
        <v>194</v>
      </c>
      <c r="H6" s="28"/>
      <c r="I6" s="65" t="n">
        <f aca="false">IF($A6="","",COUNTIFS($H$2:$H$1001,$A6,$D$2:$D$1001,"Reuse"))</f>
        <v>0</v>
      </c>
    </row>
    <row r="7" customFormat="false" ht="15" hidden="false" customHeight="false" outlineLevel="0" collapsed="false">
      <c r="A7" s="28" t="s">
        <v>397</v>
      </c>
      <c r="B7" s="63" t="n">
        <v>46289</v>
      </c>
      <c r="C7" s="28" t="s">
        <v>398</v>
      </c>
      <c r="D7" s="64" t="s">
        <v>378</v>
      </c>
      <c r="E7" s="28" t="s">
        <v>399</v>
      </c>
      <c r="F7" s="28" t="s">
        <v>400</v>
      </c>
      <c r="G7" s="28" t="s">
        <v>401</v>
      </c>
      <c r="H7" s="28"/>
      <c r="I7" s="65" t="n">
        <f aca="false">IF($A7="","",COUNTIFS($H$2:$H$1001,$A7,$D$2:$D$1001,"Reuse"))</f>
        <v>0</v>
      </c>
    </row>
    <row r="8" customFormat="false" ht="15" hidden="false" customHeight="false" outlineLevel="0" collapsed="false">
      <c r="A8" s="28" t="s">
        <v>402</v>
      </c>
      <c r="B8" s="63" t="n">
        <v>46292</v>
      </c>
      <c r="C8" s="28" t="s">
        <v>387</v>
      </c>
      <c r="D8" s="64" t="s">
        <v>391</v>
      </c>
      <c r="E8" s="28" t="s">
        <v>403</v>
      </c>
      <c r="F8" s="28" t="s">
        <v>386</v>
      </c>
      <c r="G8" s="28" t="s">
        <v>226</v>
      </c>
      <c r="H8" s="28" t="s">
        <v>386</v>
      </c>
      <c r="I8" s="65" t="n">
        <f aca="false">IF($A8="","",COUNTIFS($H$2:$H$1001,$A8,$D$2:$D$1001,"Reuse"))</f>
        <v>0</v>
      </c>
    </row>
    <row r="9" customFormat="false" ht="15" hidden="false" customHeight="false" outlineLevel="0" collapsed="false">
      <c r="A9" s="28" t="s">
        <v>404</v>
      </c>
      <c r="B9" s="63" t="n">
        <v>46296</v>
      </c>
      <c r="C9" s="28" t="s">
        <v>405</v>
      </c>
      <c r="D9" s="64" t="s">
        <v>384</v>
      </c>
      <c r="E9" s="28" t="s">
        <v>406</v>
      </c>
      <c r="F9" s="28" t="s">
        <v>407</v>
      </c>
      <c r="G9" s="28" t="s">
        <v>209</v>
      </c>
      <c r="H9" s="28"/>
      <c r="I9" s="65" t="n">
        <f aca="false">IF($A9="","",COUNTIFS($H$2:$H$1001,$A9,$D$2:$D$1001,"Reuse"))</f>
        <v>0</v>
      </c>
    </row>
    <row r="10" customFormat="false" ht="15" hidden="false" customHeight="false" outlineLevel="0" collapsed="false">
      <c r="A10" s="28"/>
      <c r="B10" s="63"/>
      <c r="C10" s="28"/>
      <c r="D10" s="64"/>
      <c r="E10" s="28"/>
      <c r="F10" s="28"/>
      <c r="G10" s="28"/>
      <c r="H10" s="28"/>
      <c r="I10" s="65" t="str">
        <f aca="false">IF($A10="","",COUNTIFS($H$2:$H$1001,$A10,$D$2:$D$1001,"Reuse"))</f>
        <v/>
      </c>
    </row>
    <row r="11" customFormat="false" ht="15" hidden="false" customHeight="false" outlineLevel="0" collapsed="false">
      <c r="A11" s="28"/>
      <c r="B11" s="63"/>
      <c r="C11" s="28"/>
      <c r="D11" s="64"/>
      <c r="E11" s="28"/>
      <c r="F11" s="28"/>
      <c r="G11" s="28"/>
      <c r="H11" s="28"/>
      <c r="I11" s="65" t="str">
        <f aca="false">IF($A11="","",COUNTIFS($H$2:$H$1001,$A11,$D$2:$D$1001,"Reuse"))</f>
        <v/>
      </c>
    </row>
    <row r="12" customFormat="false" ht="15" hidden="false" customHeight="false" outlineLevel="0" collapsed="false">
      <c r="A12" s="28"/>
      <c r="B12" s="63"/>
      <c r="C12" s="28"/>
      <c r="D12" s="64"/>
      <c r="E12" s="28"/>
      <c r="F12" s="28"/>
      <c r="G12" s="28"/>
      <c r="H12" s="28"/>
      <c r="I12" s="65" t="str">
        <f aca="false">IF($A12="","",COUNTIFS($H$2:$H$1001,$A12,$D$2:$D$1001,"Reuse"))</f>
        <v/>
      </c>
    </row>
    <row r="13" customFormat="false" ht="15" hidden="false" customHeight="false" outlineLevel="0" collapsed="false">
      <c r="A13" s="28"/>
      <c r="B13" s="63"/>
      <c r="C13" s="28"/>
      <c r="D13" s="64"/>
      <c r="E13" s="28"/>
      <c r="F13" s="28"/>
      <c r="G13" s="28"/>
      <c r="H13" s="28"/>
      <c r="I13" s="65" t="str">
        <f aca="false">IF($A13="","",COUNTIFS($H$2:$H$1001,$A13,$D$2:$D$1001,"Reuse"))</f>
        <v/>
      </c>
    </row>
    <row r="14" customFormat="false" ht="15" hidden="false" customHeight="false" outlineLevel="0" collapsed="false">
      <c r="A14" s="28"/>
      <c r="B14" s="63"/>
      <c r="C14" s="28"/>
      <c r="D14" s="64"/>
      <c r="E14" s="28"/>
      <c r="F14" s="28"/>
      <c r="G14" s="28"/>
      <c r="H14" s="28"/>
      <c r="I14" s="65" t="str">
        <f aca="false">IF($A14="","",COUNTIFS($H$2:$H$1001,$A14,$D$2:$D$1001,"Reuse"))</f>
        <v/>
      </c>
    </row>
    <row r="15" customFormat="false" ht="15" hidden="false" customHeight="false" outlineLevel="0" collapsed="false">
      <c r="A15" s="28"/>
      <c r="B15" s="63"/>
      <c r="C15" s="28"/>
      <c r="D15" s="64"/>
      <c r="E15" s="28"/>
      <c r="F15" s="28"/>
      <c r="G15" s="28"/>
      <c r="H15" s="28"/>
      <c r="I15" s="65" t="str">
        <f aca="false">IF($A15="","",COUNTIFS($H$2:$H$1001,$A15,$D$2:$D$1001,"Reuse"))</f>
        <v/>
      </c>
    </row>
    <row r="16" customFormat="false" ht="15" hidden="false" customHeight="false" outlineLevel="0" collapsed="false">
      <c r="A16" s="28"/>
      <c r="B16" s="63"/>
      <c r="C16" s="28"/>
      <c r="D16" s="64"/>
      <c r="E16" s="28"/>
      <c r="F16" s="28"/>
      <c r="G16" s="28"/>
      <c r="H16" s="28"/>
      <c r="I16" s="65" t="str">
        <f aca="false">IF($A16="","",COUNTIFS($H$2:$H$1001,$A16,$D$2:$D$1001,"Reuse"))</f>
        <v/>
      </c>
    </row>
    <row r="17" customFormat="false" ht="15" hidden="false" customHeight="false" outlineLevel="0" collapsed="false">
      <c r="A17" s="28"/>
      <c r="B17" s="63"/>
      <c r="C17" s="28"/>
      <c r="D17" s="64"/>
      <c r="E17" s="28"/>
      <c r="F17" s="28"/>
      <c r="G17" s="28"/>
      <c r="H17" s="28"/>
      <c r="I17" s="65" t="str">
        <f aca="false">IF($A17="","",COUNTIFS($H$2:$H$1001,$A17,$D$2:$D$1001,"Reuse"))</f>
        <v/>
      </c>
    </row>
    <row r="18" customFormat="false" ht="15" hidden="false" customHeight="false" outlineLevel="0" collapsed="false">
      <c r="A18" s="28"/>
      <c r="B18" s="63"/>
      <c r="C18" s="28"/>
      <c r="D18" s="64"/>
      <c r="E18" s="28"/>
      <c r="F18" s="28"/>
      <c r="G18" s="28"/>
      <c r="H18" s="28"/>
      <c r="I18" s="65" t="str">
        <f aca="false">IF($A18="","",COUNTIFS($H$2:$H$1001,$A18,$D$2:$D$1001,"Reuse"))</f>
        <v/>
      </c>
    </row>
    <row r="19" customFormat="false" ht="15" hidden="false" customHeight="false" outlineLevel="0" collapsed="false">
      <c r="A19" s="28"/>
      <c r="B19" s="63"/>
      <c r="C19" s="28"/>
      <c r="D19" s="64"/>
      <c r="E19" s="28"/>
      <c r="F19" s="28"/>
      <c r="G19" s="28"/>
      <c r="H19" s="28"/>
      <c r="I19" s="65" t="str">
        <f aca="false">IF($A19="","",COUNTIFS($H$2:$H$1001,$A19,$D$2:$D$1001,"Reuse"))</f>
        <v/>
      </c>
    </row>
    <row r="20" customFormat="false" ht="15" hidden="false" customHeight="false" outlineLevel="0" collapsed="false">
      <c r="A20" s="28"/>
      <c r="B20" s="63"/>
      <c r="C20" s="28"/>
      <c r="D20" s="64"/>
      <c r="E20" s="28"/>
      <c r="F20" s="28"/>
      <c r="G20" s="28"/>
      <c r="H20" s="28"/>
      <c r="I20" s="65" t="str">
        <f aca="false">IF($A20="","",COUNTIFS($H$2:$H$1001,$A20,$D$2:$D$1001,"Reuse"))</f>
        <v/>
      </c>
    </row>
    <row r="21" customFormat="false" ht="15" hidden="false" customHeight="false" outlineLevel="0" collapsed="false">
      <c r="A21" s="28"/>
      <c r="B21" s="63"/>
      <c r="C21" s="28"/>
      <c r="D21" s="64"/>
      <c r="E21" s="28"/>
      <c r="F21" s="28"/>
      <c r="G21" s="28"/>
      <c r="H21" s="28"/>
      <c r="I21" s="65" t="str">
        <f aca="false">IF($A21="","",COUNTIFS($H$2:$H$1001,$A21,$D$2:$D$1001,"Reuse"))</f>
        <v/>
      </c>
    </row>
    <row r="22" customFormat="false" ht="15" hidden="false" customHeight="false" outlineLevel="0" collapsed="false">
      <c r="A22" s="28"/>
      <c r="B22" s="63"/>
      <c r="C22" s="28"/>
      <c r="D22" s="64"/>
      <c r="E22" s="28"/>
      <c r="F22" s="28"/>
      <c r="G22" s="28"/>
      <c r="H22" s="28"/>
      <c r="I22" s="65" t="str">
        <f aca="false">IF($A22="","",COUNTIFS($H$2:$H$1001,$A22,$D$2:$D$1001,"Reuse"))</f>
        <v/>
      </c>
    </row>
    <row r="23" customFormat="false" ht="15" hidden="false" customHeight="false" outlineLevel="0" collapsed="false">
      <c r="A23" s="28"/>
      <c r="B23" s="63"/>
      <c r="C23" s="28"/>
      <c r="D23" s="64"/>
      <c r="E23" s="28"/>
      <c r="F23" s="28"/>
      <c r="G23" s="28"/>
      <c r="H23" s="28"/>
      <c r="I23" s="65" t="str">
        <f aca="false">IF($A23="","",COUNTIFS($H$2:$H$1001,$A23,$D$2:$D$1001,"Reuse"))</f>
        <v/>
      </c>
    </row>
    <row r="24" customFormat="false" ht="15" hidden="false" customHeight="false" outlineLevel="0" collapsed="false">
      <c r="A24" s="28"/>
      <c r="B24" s="63"/>
      <c r="C24" s="28"/>
      <c r="D24" s="64"/>
      <c r="E24" s="28"/>
      <c r="F24" s="28"/>
      <c r="G24" s="28"/>
      <c r="H24" s="28"/>
      <c r="I24" s="65" t="str">
        <f aca="false">IF($A24="","",COUNTIFS($H$2:$H$1001,$A24,$D$2:$D$1001,"Reuse"))</f>
        <v/>
      </c>
    </row>
    <row r="25" customFormat="false" ht="15" hidden="false" customHeight="false" outlineLevel="0" collapsed="false">
      <c r="A25" s="28"/>
      <c r="B25" s="63"/>
      <c r="C25" s="28"/>
      <c r="D25" s="64"/>
      <c r="E25" s="28"/>
      <c r="F25" s="28"/>
      <c r="G25" s="28"/>
      <c r="H25" s="28"/>
      <c r="I25" s="65" t="str">
        <f aca="false">IF($A25="","",COUNTIFS($H$2:$H$1001,$A25,$D$2:$D$1001,"Reuse"))</f>
        <v/>
      </c>
    </row>
    <row r="26" customFormat="false" ht="15" hidden="false" customHeight="false" outlineLevel="0" collapsed="false">
      <c r="A26" s="28"/>
      <c r="B26" s="63"/>
      <c r="C26" s="28"/>
      <c r="D26" s="64"/>
      <c r="E26" s="28"/>
      <c r="F26" s="28"/>
      <c r="G26" s="28"/>
      <c r="H26" s="28"/>
      <c r="I26" s="65" t="str">
        <f aca="false">IF($A26="","",COUNTIFS($H$2:$H$1001,$A26,$D$2:$D$1001,"Reuse"))</f>
        <v/>
      </c>
    </row>
    <row r="27" customFormat="false" ht="15" hidden="false" customHeight="false" outlineLevel="0" collapsed="false">
      <c r="A27" s="28"/>
      <c r="B27" s="63"/>
      <c r="C27" s="28"/>
      <c r="D27" s="64"/>
      <c r="E27" s="28"/>
      <c r="F27" s="28"/>
      <c r="G27" s="28"/>
      <c r="H27" s="28"/>
      <c r="I27" s="65" t="str">
        <f aca="false">IF($A27="","",COUNTIFS($H$2:$H$1001,$A27,$D$2:$D$1001,"Reuse"))</f>
        <v/>
      </c>
    </row>
    <row r="28" customFormat="false" ht="15" hidden="false" customHeight="false" outlineLevel="0" collapsed="false">
      <c r="A28" s="28"/>
      <c r="B28" s="63"/>
      <c r="C28" s="28"/>
      <c r="D28" s="64"/>
      <c r="E28" s="28"/>
      <c r="F28" s="28"/>
      <c r="G28" s="28"/>
      <c r="H28" s="28"/>
      <c r="I28" s="65" t="str">
        <f aca="false">IF($A28="","",COUNTIFS($H$2:$H$1001,$A28,$D$2:$D$1001,"Reuse"))</f>
        <v/>
      </c>
    </row>
    <row r="29" customFormat="false" ht="15" hidden="false" customHeight="false" outlineLevel="0" collapsed="false">
      <c r="A29" s="28"/>
      <c r="B29" s="63"/>
      <c r="C29" s="28"/>
      <c r="D29" s="64"/>
      <c r="E29" s="28"/>
      <c r="F29" s="28"/>
      <c r="G29" s="28"/>
      <c r="H29" s="28"/>
      <c r="I29" s="65" t="str">
        <f aca="false">IF($A29="","",COUNTIFS($H$2:$H$1001,$A29,$D$2:$D$1001,"Reuse"))</f>
        <v/>
      </c>
    </row>
    <row r="30" customFormat="false" ht="15" hidden="false" customHeight="false" outlineLevel="0" collapsed="false">
      <c r="A30" s="28"/>
      <c r="B30" s="63"/>
      <c r="C30" s="28"/>
      <c r="D30" s="64"/>
      <c r="E30" s="28"/>
      <c r="F30" s="28"/>
      <c r="G30" s="28"/>
      <c r="H30" s="28"/>
      <c r="I30" s="65" t="str">
        <f aca="false">IF($A30="","",COUNTIFS($H$2:$H$1001,$A30,$D$2:$D$1001,"Reuse"))</f>
        <v/>
      </c>
    </row>
    <row r="31" customFormat="false" ht="15" hidden="false" customHeight="false" outlineLevel="0" collapsed="false">
      <c r="A31" s="28"/>
      <c r="B31" s="63"/>
      <c r="C31" s="28"/>
      <c r="D31" s="64"/>
      <c r="E31" s="28"/>
      <c r="F31" s="28"/>
      <c r="G31" s="28"/>
      <c r="H31" s="28"/>
      <c r="I31" s="65" t="str">
        <f aca="false">IF($A31="","",COUNTIFS($H$2:$H$1001,$A31,$D$2:$D$1001,"Reuse"))</f>
        <v/>
      </c>
    </row>
    <row r="32" customFormat="false" ht="15" hidden="false" customHeight="false" outlineLevel="0" collapsed="false">
      <c r="A32" s="28"/>
      <c r="B32" s="63"/>
      <c r="C32" s="28"/>
      <c r="D32" s="64"/>
      <c r="E32" s="28"/>
      <c r="F32" s="28"/>
      <c r="G32" s="28"/>
      <c r="H32" s="28"/>
      <c r="I32" s="65" t="str">
        <f aca="false">IF($A32="","",COUNTIFS($H$2:$H$1001,$A32,$D$2:$D$1001,"Reuse"))</f>
        <v/>
      </c>
    </row>
    <row r="33" customFormat="false" ht="15" hidden="false" customHeight="false" outlineLevel="0" collapsed="false">
      <c r="A33" s="28"/>
      <c r="B33" s="63"/>
      <c r="C33" s="28"/>
      <c r="D33" s="64"/>
      <c r="E33" s="28"/>
      <c r="F33" s="28"/>
      <c r="G33" s="28"/>
      <c r="H33" s="28"/>
      <c r="I33" s="65" t="str">
        <f aca="false">IF($A33="","",COUNTIFS($H$2:$H$1001,$A33,$D$2:$D$1001,"Reuse"))</f>
        <v/>
      </c>
    </row>
    <row r="34" customFormat="false" ht="15" hidden="false" customHeight="false" outlineLevel="0" collapsed="false">
      <c r="A34" s="28"/>
      <c r="B34" s="63"/>
      <c r="C34" s="28"/>
      <c r="D34" s="64"/>
      <c r="E34" s="28"/>
      <c r="F34" s="28"/>
      <c r="G34" s="28"/>
      <c r="H34" s="28"/>
      <c r="I34" s="65" t="str">
        <f aca="false">IF($A34="","",COUNTIFS($H$2:$H$1001,$A34,$D$2:$D$1001,"Reuse"))</f>
        <v/>
      </c>
    </row>
    <row r="35" customFormat="false" ht="15" hidden="false" customHeight="false" outlineLevel="0" collapsed="false">
      <c r="A35" s="28"/>
      <c r="B35" s="63"/>
      <c r="C35" s="28"/>
      <c r="D35" s="64"/>
      <c r="E35" s="28"/>
      <c r="F35" s="28"/>
      <c r="G35" s="28"/>
      <c r="H35" s="28"/>
      <c r="I35" s="65" t="str">
        <f aca="false">IF($A35="","",COUNTIFS($H$2:$H$1001,$A35,$D$2:$D$1001,"Reuse"))</f>
        <v/>
      </c>
    </row>
    <row r="36" customFormat="false" ht="15" hidden="false" customHeight="false" outlineLevel="0" collapsed="false">
      <c r="A36" s="28"/>
      <c r="B36" s="63"/>
      <c r="C36" s="28"/>
      <c r="D36" s="64"/>
      <c r="E36" s="28"/>
      <c r="F36" s="28"/>
      <c r="G36" s="28"/>
      <c r="H36" s="28"/>
      <c r="I36" s="65" t="str">
        <f aca="false">IF($A36="","",COUNTIFS($H$2:$H$1001,$A36,$D$2:$D$1001,"Reuse"))</f>
        <v/>
      </c>
    </row>
    <row r="37" customFormat="false" ht="15" hidden="false" customHeight="false" outlineLevel="0" collapsed="false">
      <c r="A37" s="28"/>
      <c r="B37" s="63"/>
      <c r="C37" s="28"/>
      <c r="D37" s="64"/>
      <c r="E37" s="28"/>
      <c r="F37" s="28"/>
      <c r="G37" s="28"/>
      <c r="H37" s="28"/>
      <c r="I37" s="65" t="str">
        <f aca="false">IF($A37="","",COUNTIFS($H$2:$H$1001,$A37,$D$2:$D$1001,"Reuse"))</f>
        <v/>
      </c>
    </row>
    <row r="38" customFormat="false" ht="15" hidden="false" customHeight="false" outlineLevel="0" collapsed="false">
      <c r="A38" s="28"/>
      <c r="B38" s="63"/>
      <c r="C38" s="28"/>
      <c r="D38" s="64"/>
      <c r="E38" s="28"/>
      <c r="F38" s="28"/>
      <c r="G38" s="28"/>
      <c r="H38" s="28"/>
      <c r="I38" s="65" t="str">
        <f aca="false">IF($A38="","",COUNTIFS($H$2:$H$1001,$A38,$D$2:$D$1001,"Reuse"))</f>
        <v/>
      </c>
    </row>
    <row r="39" customFormat="false" ht="15" hidden="false" customHeight="false" outlineLevel="0" collapsed="false">
      <c r="A39" s="28"/>
      <c r="B39" s="63"/>
      <c r="C39" s="28"/>
      <c r="D39" s="64"/>
      <c r="E39" s="28"/>
      <c r="F39" s="28"/>
      <c r="G39" s="28"/>
      <c r="H39" s="28"/>
      <c r="I39" s="65" t="str">
        <f aca="false">IF($A39="","",COUNTIFS($H$2:$H$1001,$A39,$D$2:$D$1001,"Reuse"))</f>
        <v/>
      </c>
    </row>
    <row r="40" customFormat="false" ht="15" hidden="false" customHeight="false" outlineLevel="0" collapsed="false">
      <c r="A40" s="28"/>
      <c r="B40" s="63"/>
      <c r="C40" s="28"/>
      <c r="D40" s="64"/>
      <c r="E40" s="28"/>
      <c r="F40" s="28"/>
      <c r="G40" s="28"/>
      <c r="H40" s="28"/>
      <c r="I40" s="65" t="str">
        <f aca="false">IF($A40="","",COUNTIFS($H$2:$H$1001,$A40,$D$2:$D$1001,"Reuse"))</f>
        <v/>
      </c>
    </row>
    <row r="41" customFormat="false" ht="15" hidden="false" customHeight="false" outlineLevel="0" collapsed="false">
      <c r="A41" s="28"/>
      <c r="B41" s="63"/>
      <c r="C41" s="28"/>
      <c r="D41" s="64"/>
      <c r="E41" s="28"/>
      <c r="F41" s="28"/>
      <c r="G41" s="28"/>
      <c r="H41" s="28"/>
      <c r="I41" s="65" t="str">
        <f aca="false">IF($A41="","",COUNTIFS($H$2:$H$1001,$A41,$D$2:$D$1001,"Reuse"))</f>
        <v/>
      </c>
    </row>
    <row r="42" customFormat="false" ht="15" hidden="false" customHeight="false" outlineLevel="0" collapsed="false">
      <c r="A42" s="28"/>
      <c r="B42" s="63"/>
      <c r="C42" s="28"/>
      <c r="D42" s="64"/>
      <c r="E42" s="28"/>
      <c r="F42" s="28"/>
      <c r="G42" s="28"/>
      <c r="H42" s="28"/>
      <c r="I42" s="65" t="str">
        <f aca="false">IF($A42="","",COUNTIFS($H$2:$H$1001,$A42,$D$2:$D$1001,"Reuse"))</f>
        <v/>
      </c>
    </row>
    <row r="43" customFormat="false" ht="15" hidden="false" customHeight="false" outlineLevel="0" collapsed="false">
      <c r="A43" s="28"/>
      <c r="B43" s="63"/>
      <c r="C43" s="28"/>
      <c r="D43" s="64"/>
      <c r="E43" s="28"/>
      <c r="F43" s="28"/>
      <c r="G43" s="28"/>
      <c r="H43" s="28"/>
      <c r="I43" s="65" t="str">
        <f aca="false">IF($A43="","",COUNTIFS($H$2:$H$1001,$A43,$D$2:$D$1001,"Reuse"))</f>
        <v/>
      </c>
    </row>
    <row r="44" customFormat="false" ht="15" hidden="false" customHeight="false" outlineLevel="0" collapsed="false">
      <c r="A44" s="28"/>
      <c r="B44" s="63"/>
      <c r="C44" s="28"/>
      <c r="D44" s="64"/>
      <c r="E44" s="28"/>
      <c r="F44" s="28"/>
      <c r="G44" s="28"/>
      <c r="H44" s="28"/>
      <c r="I44" s="65" t="str">
        <f aca="false">IF($A44="","",COUNTIFS($H$2:$H$1001,$A44,$D$2:$D$1001,"Reuse"))</f>
        <v/>
      </c>
    </row>
    <row r="45" customFormat="false" ht="15" hidden="false" customHeight="false" outlineLevel="0" collapsed="false">
      <c r="A45" s="28"/>
      <c r="B45" s="63"/>
      <c r="C45" s="28"/>
      <c r="D45" s="64"/>
      <c r="E45" s="28"/>
      <c r="F45" s="28"/>
      <c r="G45" s="28"/>
      <c r="H45" s="28"/>
      <c r="I45" s="65" t="str">
        <f aca="false">IF($A45="","",COUNTIFS($H$2:$H$1001,$A45,$D$2:$D$1001,"Reuse"))</f>
        <v/>
      </c>
    </row>
    <row r="46" customFormat="false" ht="15" hidden="false" customHeight="false" outlineLevel="0" collapsed="false">
      <c r="A46" s="28"/>
      <c r="B46" s="63"/>
      <c r="C46" s="28"/>
      <c r="D46" s="64"/>
      <c r="E46" s="28"/>
      <c r="F46" s="28"/>
      <c r="G46" s="28"/>
      <c r="H46" s="28"/>
      <c r="I46" s="65" t="str">
        <f aca="false">IF($A46="","",COUNTIFS($H$2:$H$1001,$A46,$D$2:$D$1001,"Reuse"))</f>
        <v/>
      </c>
    </row>
    <row r="47" customFormat="false" ht="15" hidden="false" customHeight="false" outlineLevel="0" collapsed="false">
      <c r="A47" s="28"/>
      <c r="B47" s="63"/>
      <c r="C47" s="28"/>
      <c r="D47" s="64"/>
      <c r="E47" s="28"/>
      <c r="F47" s="28"/>
      <c r="G47" s="28"/>
      <c r="H47" s="28"/>
      <c r="I47" s="65" t="str">
        <f aca="false">IF($A47="","",COUNTIFS($H$2:$H$1001,$A47,$D$2:$D$1001,"Reuse"))</f>
        <v/>
      </c>
    </row>
    <row r="48" customFormat="false" ht="15" hidden="false" customHeight="false" outlineLevel="0" collapsed="false">
      <c r="A48" s="28"/>
      <c r="B48" s="63"/>
      <c r="C48" s="28"/>
      <c r="D48" s="64"/>
      <c r="E48" s="28"/>
      <c r="F48" s="28"/>
      <c r="G48" s="28"/>
      <c r="H48" s="28"/>
      <c r="I48" s="65" t="str">
        <f aca="false">IF($A48="","",COUNTIFS($H$2:$H$1001,$A48,$D$2:$D$1001,"Reuse"))</f>
        <v/>
      </c>
    </row>
    <row r="49" customFormat="false" ht="15" hidden="false" customHeight="false" outlineLevel="0" collapsed="false">
      <c r="A49" s="28"/>
      <c r="B49" s="63"/>
      <c r="C49" s="28"/>
      <c r="D49" s="64"/>
      <c r="E49" s="28"/>
      <c r="F49" s="28"/>
      <c r="G49" s="28"/>
      <c r="H49" s="28"/>
      <c r="I49" s="65" t="str">
        <f aca="false">IF($A49="","",COUNTIFS($H$2:$H$1001,$A49,$D$2:$D$1001,"Reuse"))</f>
        <v/>
      </c>
    </row>
    <row r="50" customFormat="false" ht="15" hidden="false" customHeight="false" outlineLevel="0" collapsed="false">
      <c r="A50" s="28"/>
      <c r="B50" s="63"/>
      <c r="C50" s="28"/>
      <c r="D50" s="64"/>
      <c r="E50" s="28"/>
      <c r="F50" s="28"/>
      <c r="G50" s="28"/>
      <c r="H50" s="28"/>
      <c r="I50" s="65" t="str">
        <f aca="false">IF($A50="","",COUNTIFS($H$2:$H$1001,$A50,$D$2:$D$1001,"Reuse"))</f>
        <v/>
      </c>
    </row>
    <row r="51" customFormat="false" ht="15" hidden="false" customHeight="false" outlineLevel="0" collapsed="false">
      <c r="A51" s="28"/>
      <c r="B51" s="63"/>
      <c r="C51" s="28"/>
      <c r="D51" s="64"/>
      <c r="E51" s="28"/>
      <c r="F51" s="28"/>
      <c r="G51" s="28"/>
      <c r="H51" s="28"/>
      <c r="I51" s="65" t="str">
        <f aca="false">IF($A51="","",COUNTIFS($H$2:$H$1001,$A51,$D$2:$D$1001,"Reuse"))</f>
        <v/>
      </c>
    </row>
    <row r="52" customFormat="false" ht="15" hidden="false" customHeight="false" outlineLevel="0" collapsed="false">
      <c r="A52" s="28"/>
      <c r="B52" s="63"/>
      <c r="C52" s="28"/>
      <c r="D52" s="64"/>
      <c r="E52" s="28"/>
      <c r="F52" s="28"/>
      <c r="G52" s="28"/>
      <c r="H52" s="28"/>
      <c r="I52" s="65" t="str">
        <f aca="false">IF($A52="","",COUNTIFS($H$2:$H$1001,$A52,$D$2:$D$1001,"Reuse"))</f>
        <v/>
      </c>
    </row>
    <row r="53" customFormat="false" ht="15" hidden="false" customHeight="false" outlineLevel="0" collapsed="false">
      <c r="A53" s="28"/>
      <c r="B53" s="63"/>
      <c r="C53" s="28"/>
      <c r="D53" s="64"/>
      <c r="E53" s="28"/>
      <c r="F53" s="28"/>
      <c r="G53" s="28"/>
      <c r="H53" s="28"/>
      <c r="I53" s="65" t="str">
        <f aca="false">IF($A53="","",COUNTIFS($H$2:$H$1001,$A53,$D$2:$D$1001,"Reuse"))</f>
        <v/>
      </c>
    </row>
    <row r="54" customFormat="false" ht="15" hidden="false" customHeight="false" outlineLevel="0" collapsed="false">
      <c r="A54" s="28"/>
      <c r="B54" s="63"/>
      <c r="C54" s="28"/>
      <c r="D54" s="64"/>
      <c r="E54" s="28"/>
      <c r="F54" s="28"/>
      <c r="G54" s="28"/>
      <c r="H54" s="28"/>
      <c r="I54" s="65" t="str">
        <f aca="false">IF($A54="","",COUNTIFS($H$2:$H$1001,$A54,$D$2:$D$1001,"Reuse"))</f>
        <v/>
      </c>
    </row>
    <row r="55" customFormat="false" ht="15" hidden="false" customHeight="false" outlineLevel="0" collapsed="false">
      <c r="A55" s="28"/>
      <c r="B55" s="63"/>
      <c r="C55" s="28"/>
      <c r="D55" s="64"/>
      <c r="E55" s="28"/>
      <c r="F55" s="28"/>
      <c r="G55" s="28"/>
      <c r="H55" s="28"/>
      <c r="I55" s="65" t="str">
        <f aca="false">IF($A55="","",COUNTIFS($H$2:$H$1001,$A55,$D$2:$D$1001,"Reuse"))</f>
        <v/>
      </c>
    </row>
    <row r="56" customFormat="false" ht="15" hidden="false" customHeight="false" outlineLevel="0" collapsed="false">
      <c r="A56" s="28"/>
      <c r="B56" s="63"/>
      <c r="C56" s="28"/>
      <c r="D56" s="64"/>
      <c r="E56" s="28"/>
      <c r="F56" s="28"/>
      <c r="G56" s="28"/>
      <c r="H56" s="28"/>
      <c r="I56" s="65" t="str">
        <f aca="false">IF($A56="","",COUNTIFS($H$2:$H$1001,$A56,$D$2:$D$1001,"Reuse"))</f>
        <v/>
      </c>
    </row>
    <row r="57" customFormat="false" ht="15" hidden="false" customHeight="false" outlineLevel="0" collapsed="false">
      <c r="A57" s="28"/>
      <c r="B57" s="63"/>
      <c r="C57" s="28"/>
      <c r="D57" s="64"/>
      <c r="E57" s="28"/>
      <c r="F57" s="28"/>
      <c r="G57" s="28"/>
      <c r="H57" s="28"/>
      <c r="I57" s="65" t="str">
        <f aca="false">IF($A57="","",COUNTIFS($H$2:$H$1001,$A57,$D$2:$D$1001,"Reuse"))</f>
        <v/>
      </c>
    </row>
    <row r="58" customFormat="false" ht="15" hidden="false" customHeight="false" outlineLevel="0" collapsed="false">
      <c r="A58" s="28"/>
      <c r="B58" s="63"/>
      <c r="C58" s="28"/>
      <c r="D58" s="64"/>
      <c r="E58" s="28"/>
      <c r="F58" s="28"/>
      <c r="G58" s="28"/>
      <c r="H58" s="28"/>
      <c r="I58" s="65" t="str">
        <f aca="false">IF($A58="","",COUNTIFS($H$2:$H$1001,$A58,$D$2:$D$1001,"Reuse"))</f>
        <v/>
      </c>
    </row>
    <row r="59" customFormat="false" ht="15" hidden="false" customHeight="false" outlineLevel="0" collapsed="false">
      <c r="A59" s="28"/>
      <c r="B59" s="63"/>
      <c r="C59" s="28"/>
      <c r="D59" s="64"/>
      <c r="E59" s="28"/>
      <c r="F59" s="28"/>
      <c r="G59" s="28"/>
      <c r="H59" s="28"/>
      <c r="I59" s="65" t="str">
        <f aca="false">IF($A59="","",COUNTIFS($H$2:$H$1001,$A59,$D$2:$D$1001,"Reuse"))</f>
        <v/>
      </c>
    </row>
    <row r="60" customFormat="false" ht="15" hidden="false" customHeight="false" outlineLevel="0" collapsed="false">
      <c r="A60" s="28"/>
      <c r="B60" s="63"/>
      <c r="C60" s="28"/>
      <c r="D60" s="64"/>
      <c r="E60" s="28"/>
      <c r="F60" s="28"/>
      <c r="G60" s="28"/>
      <c r="H60" s="28"/>
      <c r="I60" s="65" t="str">
        <f aca="false">IF($A60="","",COUNTIFS($H$2:$H$1001,$A60,$D$2:$D$1001,"Reuse"))</f>
        <v/>
      </c>
    </row>
    <row r="61" customFormat="false" ht="15" hidden="false" customHeight="false" outlineLevel="0" collapsed="false">
      <c r="A61" s="28"/>
      <c r="B61" s="63"/>
      <c r="C61" s="28"/>
      <c r="D61" s="64"/>
      <c r="E61" s="28"/>
      <c r="F61" s="28"/>
      <c r="G61" s="28"/>
      <c r="H61" s="28"/>
      <c r="I61" s="65" t="str">
        <f aca="false">IF($A61="","",COUNTIFS($H$2:$H$1001,$A61,$D$2:$D$1001,"Reuse"))</f>
        <v/>
      </c>
    </row>
    <row r="62" customFormat="false" ht="15" hidden="false" customHeight="false" outlineLevel="0" collapsed="false">
      <c r="A62" s="28"/>
      <c r="B62" s="63"/>
      <c r="C62" s="28"/>
      <c r="D62" s="64"/>
      <c r="E62" s="28"/>
      <c r="F62" s="28"/>
      <c r="G62" s="28"/>
      <c r="H62" s="28"/>
      <c r="I62" s="65" t="str">
        <f aca="false">IF($A62="","",COUNTIFS($H$2:$H$1001,$A62,$D$2:$D$1001,"Reuse"))</f>
        <v/>
      </c>
    </row>
    <row r="63" customFormat="false" ht="15" hidden="false" customHeight="false" outlineLevel="0" collapsed="false">
      <c r="A63" s="28"/>
      <c r="B63" s="63"/>
      <c r="C63" s="28"/>
      <c r="D63" s="64"/>
      <c r="E63" s="28"/>
      <c r="F63" s="28"/>
      <c r="G63" s="28"/>
      <c r="H63" s="28"/>
      <c r="I63" s="65" t="str">
        <f aca="false">IF($A63="","",COUNTIFS($H$2:$H$1001,$A63,$D$2:$D$1001,"Reuse"))</f>
        <v/>
      </c>
    </row>
    <row r="64" customFormat="false" ht="15" hidden="false" customHeight="false" outlineLevel="0" collapsed="false">
      <c r="A64" s="28"/>
      <c r="B64" s="63"/>
      <c r="C64" s="28"/>
      <c r="D64" s="64"/>
      <c r="E64" s="28"/>
      <c r="F64" s="28"/>
      <c r="G64" s="28"/>
      <c r="H64" s="28"/>
      <c r="I64" s="65" t="str">
        <f aca="false">IF($A64="","",COUNTIFS($H$2:$H$1001,$A64,$D$2:$D$1001,"Reuse"))</f>
        <v/>
      </c>
    </row>
    <row r="65" customFormat="false" ht="15" hidden="false" customHeight="false" outlineLevel="0" collapsed="false">
      <c r="A65" s="28"/>
      <c r="B65" s="63"/>
      <c r="C65" s="28"/>
      <c r="D65" s="64"/>
      <c r="E65" s="28"/>
      <c r="F65" s="28"/>
      <c r="G65" s="28"/>
      <c r="H65" s="28"/>
      <c r="I65" s="65" t="str">
        <f aca="false">IF($A65="","",COUNTIFS($H$2:$H$1001,$A65,$D$2:$D$1001,"Reuse"))</f>
        <v/>
      </c>
    </row>
    <row r="66" customFormat="false" ht="15" hidden="false" customHeight="false" outlineLevel="0" collapsed="false">
      <c r="A66" s="28"/>
      <c r="B66" s="63"/>
      <c r="C66" s="28"/>
      <c r="D66" s="64"/>
      <c r="E66" s="28"/>
      <c r="F66" s="28"/>
      <c r="G66" s="28"/>
      <c r="H66" s="28"/>
      <c r="I66" s="65" t="str">
        <f aca="false">IF($A66="","",COUNTIFS($H$2:$H$1001,$A66,$D$2:$D$1001,"Reuse"))</f>
        <v/>
      </c>
    </row>
    <row r="67" customFormat="false" ht="15" hidden="false" customHeight="false" outlineLevel="0" collapsed="false">
      <c r="A67" s="28"/>
      <c r="B67" s="63"/>
      <c r="C67" s="28"/>
      <c r="D67" s="64"/>
      <c r="E67" s="28"/>
      <c r="F67" s="28"/>
      <c r="G67" s="28"/>
      <c r="H67" s="28"/>
      <c r="I67" s="65" t="str">
        <f aca="false">IF($A67="","",COUNTIFS($H$2:$H$1001,$A67,$D$2:$D$1001,"Reuse"))</f>
        <v/>
      </c>
    </row>
    <row r="68" customFormat="false" ht="15" hidden="false" customHeight="false" outlineLevel="0" collapsed="false">
      <c r="A68" s="28"/>
      <c r="B68" s="63"/>
      <c r="C68" s="28"/>
      <c r="D68" s="64"/>
      <c r="E68" s="28"/>
      <c r="F68" s="28"/>
      <c r="G68" s="28"/>
      <c r="H68" s="28"/>
      <c r="I68" s="65" t="str">
        <f aca="false">IF($A68="","",COUNTIFS($H$2:$H$1001,$A68,$D$2:$D$1001,"Reuse"))</f>
        <v/>
      </c>
    </row>
    <row r="69" customFormat="false" ht="15" hidden="false" customHeight="false" outlineLevel="0" collapsed="false">
      <c r="A69" s="28"/>
      <c r="B69" s="63"/>
      <c r="C69" s="28"/>
      <c r="D69" s="64"/>
      <c r="E69" s="28"/>
      <c r="F69" s="28"/>
      <c r="G69" s="28"/>
      <c r="H69" s="28"/>
      <c r="I69" s="65" t="str">
        <f aca="false">IF($A69="","",COUNTIFS($H$2:$H$1001,$A69,$D$2:$D$1001,"Reuse"))</f>
        <v/>
      </c>
    </row>
    <row r="70" customFormat="false" ht="15" hidden="false" customHeight="false" outlineLevel="0" collapsed="false">
      <c r="A70" s="28"/>
      <c r="B70" s="63"/>
      <c r="C70" s="28"/>
      <c r="D70" s="64"/>
      <c r="E70" s="28"/>
      <c r="F70" s="28"/>
      <c r="G70" s="28"/>
      <c r="H70" s="28"/>
      <c r="I70" s="65" t="str">
        <f aca="false">IF($A70="","",COUNTIFS($H$2:$H$1001,$A70,$D$2:$D$1001,"Reuse"))</f>
        <v/>
      </c>
    </row>
    <row r="71" customFormat="false" ht="15" hidden="false" customHeight="false" outlineLevel="0" collapsed="false">
      <c r="A71" s="28"/>
      <c r="B71" s="63"/>
      <c r="C71" s="28"/>
      <c r="D71" s="64"/>
      <c r="E71" s="28"/>
      <c r="F71" s="28"/>
      <c r="G71" s="28"/>
      <c r="H71" s="28"/>
      <c r="I71" s="65" t="str">
        <f aca="false">IF($A71="","",COUNTIFS($H$2:$H$1001,$A71,$D$2:$D$1001,"Reuse"))</f>
        <v/>
      </c>
    </row>
    <row r="72" customFormat="false" ht="15" hidden="false" customHeight="false" outlineLevel="0" collapsed="false">
      <c r="A72" s="28"/>
      <c r="B72" s="63"/>
      <c r="C72" s="28"/>
      <c r="D72" s="64"/>
      <c r="E72" s="28"/>
      <c r="F72" s="28"/>
      <c r="G72" s="28"/>
      <c r="H72" s="28"/>
      <c r="I72" s="65" t="str">
        <f aca="false">IF($A72="","",COUNTIFS($H$2:$H$1001,$A72,$D$2:$D$1001,"Reuse"))</f>
        <v/>
      </c>
    </row>
    <row r="73" customFormat="false" ht="15" hidden="false" customHeight="false" outlineLevel="0" collapsed="false">
      <c r="A73" s="28"/>
      <c r="B73" s="63"/>
      <c r="C73" s="28"/>
      <c r="D73" s="64"/>
      <c r="E73" s="28"/>
      <c r="F73" s="28"/>
      <c r="G73" s="28"/>
      <c r="H73" s="28"/>
      <c r="I73" s="65" t="str">
        <f aca="false">IF($A73="","",COUNTIFS($H$2:$H$1001,$A73,$D$2:$D$1001,"Reuse"))</f>
        <v/>
      </c>
    </row>
    <row r="74" customFormat="false" ht="15" hidden="false" customHeight="false" outlineLevel="0" collapsed="false">
      <c r="A74" s="28"/>
      <c r="B74" s="63"/>
      <c r="C74" s="28"/>
      <c r="D74" s="64"/>
      <c r="E74" s="28"/>
      <c r="F74" s="28"/>
      <c r="G74" s="28"/>
      <c r="H74" s="28"/>
      <c r="I74" s="65" t="str">
        <f aca="false">IF($A74="","",COUNTIFS($H$2:$H$1001,$A74,$D$2:$D$1001,"Reuse"))</f>
        <v/>
      </c>
    </row>
    <row r="75" customFormat="false" ht="15" hidden="false" customHeight="false" outlineLevel="0" collapsed="false">
      <c r="A75" s="28"/>
      <c r="B75" s="63"/>
      <c r="C75" s="28"/>
      <c r="D75" s="64"/>
      <c r="E75" s="28"/>
      <c r="F75" s="28"/>
      <c r="G75" s="28"/>
      <c r="H75" s="28"/>
      <c r="I75" s="65" t="str">
        <f aca="false">IF($A75="","",COUNTIFS($H$2:$H$1001,$A75,$D$2:$D$1001,"Reuse"))</f>
        <v/>
      </c>
    </row>
    <row r="76" customFormat="false" ht="15" hidden="false" customHeight="false" outlineLevel="0" collapsed="false">
      <c r="A76" s="28"/>
      <c r="B76" s="63"/>
      <c r="C76" s="28"/>
      <c r="D76" s="64"/>
      <c r="E76" s="28"/>
      <c r="F76" s="28"/>
      <c r="G76" s="28"/>
      <c r="H76" s="28"/>
      <c r="I76" s="65" t="str">
        <f aca="false">IF($A76="","",COUNTIFS($H$2:$H$1001,$A76,$D$2:$D$1001,"Reuse"))</f>
        <v/>
      </c>
    </row>
    <row r="77" customFormat="false" ht="15" hidden="false" customHeight="false" outlineLevel="0" collapsed="false">
      <c r="A77" s="28"/>
      <c r="B77" s="63"/>
      <c r="C77" s="28"/>
      <c r="D77" s="64"/>
      <c r="E77" s="28"/>
      <c r="F77" s="28"/>
      <c r="G77" s="28"/>
      <c r="H77" s="28"/>
      <c r="I77" s="65" t="str">
        <f aca="false">IF($A77="","",COUNTIFS($H$2:$H$1001,$A77,$D$2:$D$1001,"Reuse"))</f>
        <v/>
      </c>
    </row>
    <row r="78" customFormat="false" ht="15" hidden="false" customHeight="false" outlineLevel="0" collapsed="false">
      <c r="A78" s="28"/>
      <c r="B78" s="63"/>
      <c r="C78" s="28"/>
      <c r="D78" s="64"/>
      <c r="E78" s="28"/>
      <c r="F78" s="28"/>
      <c r="G78" s="28"/>
      <c r="H78" s="28"/>
      <c r="I78" s="65" t="str">
        <f aca="false">IF($A78="","",COUNTIFS($H$2:$H$1001,$A78,$D$2:$D$1001,"Reuse"))</f>
        <v/>
      </c>
    </row>
    <row r="79" customFormat="false" ht="15" hidden="false" customHeight="false" outlineLevel="0" collapsed="false">
      <c r="A79" s="28"/>
      <c r="B79" s="63"/>
      <c r="C79" s="28"/>
      <c r="D79" s="64"/>
      <c r="E79" s="28"/>
      <c r="F79" s="28"/>
      <c r="G79" s="28"/>
      <c r="H79" s="28"/>
      <c r="I79" s="65" t="str">
        <f aca="false">IF($A79="","",COUNTIFS($H$2:$H$1001,$A79,$D$2:$D$1001,"Reuse"))</f>
        <v/>
      </c>
    </row>
    <row r="80" customFormat="false" ht="15" hidden="false" customHeight="false" outlineLevel="0" collapsed="false">
      <c r="A80" s="28"/>
      <c r="B80" s="63"/>
      <c r="C80" s="28"/>
      <c r="D80" s="64"/>
      <c r="E80" s="28"/>
      <c r="F80" s="28"/>
      <c r="G80" s="28"/>
      <c r="H80" s="28"/>
      <c r="I80" s="65" t="str">
        <f aca="false">IF($A80="","",COUNTIFS($H$2:$H$1001,$A80,$D$2:$D$1001,"Reuse"))</f>
        <v/>
      </c>
    </row>
    <row r="81" customFormat="false" ht="15" hidden="false" customHeight="false" outlineLevel="0" collapsed="false">
      <c r="A81" s="28"/>
      <c r="B81" s="63"/>
      <c r="C81" s="28"/>
      <c r="D81" s="64"/>
      <c r="E81" s="28"/>
      <c r="F81" s="28"/>
      <c r="G81" s="28"/>
      <c r="H81" s="28"/>
      <c r="I81" s="65" t="str">
        <f aca="false">IF($A81="","",COUNTIFS($H$2:$H$1001,$A81,$D$2:$D$1001,"Reuse"))</f>
        <v/>
      </c>
    </row>
    <row r="82" customFormat="false" ht="15" hidden="false" customHeight="false" outlineLevel="0" collapsed="false">
      <c r="A82" s="28"/>
      <c r="B82" s="63"/>
      <c r="C82" s="28"/>
      <c r="D82" s="64"/>
      <c r="E82" s="28"/>
      <c r="F82" s="28"/>
      <c r="G82" s="28"/>
      <c r="H82" s="28"/>
      <c r="I82" s="65" t="str">
        <f aca="false">IF($A82="","",COUNTIFS($H$2:$H$1001,$A82,$D$2:$D$1001,"Reuse"))</f>
        <v/>
      </c>
    </row>
    <row r="83" customFormat="false" ht="15" hidden="false" customHeight="false" outlineLevel="0" collapsed="false">
      <c r="A83" s="28"/>
      <c r="B83" s="63"/>
      <c r="C83" s="28"/>
      <c r="D83" s="64"/>
      <c r="E83" s="28"/>
      <c r="F83" s="28"/>
      <c r="G83" s="28"/>
      <c r="H83" s="28"/>
      <c r="I83" s="65" t="str">
        <f aca="false">IF($A83="","",COUNTIFS($H$2:$H$1001,$A83,$D$2:$D$1001,"Reuse"))</f>
        <v/>
      </c>
    </row>
    <row r="84" customFormat="false" ht="15" hidden="false" customHeight="false" outlineLevel="0" collapsed="false">
      <c r="A84" s="28"/>
      <c r="B84" s="63"/>
      <c r="C84" s="28"/>
      <c r="D84" s="64"/>
      <c r="E84" s="28"/>
      <c r="F84" s="28"/>
      <c r="G84" s="28"/>
      <c r="H84" s="28"/>
      <c r="I84" s="65" t="str">
        <f aca="false">IF($A84="","",COUNTIFS($H$2:$H$1001,$A84,$D$2:$D$1001,"Reuse"))</f>
        <v/>
      </c>
    </row>
    <row r="85" customFormat="false" ht="15" hidden="false" customHeight="false" outlineLevel="0" collapsed="false">
      <c r="A85" s="28"/>
      <c r="B85" s="63"/>
      <c r="C85" s="28"/>
      <c r="D85" s="64"/>
      <c r="E85" s="28"/>
      <c r="F85" s="28"/>
      <c r="G85" s="28"/>
      <c r="H85" s="28"/>
      <c r="I85" s="65" t="str">
        <f aca="false">IF($A85="","",COUNTIFS($H$2:$H$1001,$A85,$D$2:$D$1001,"Reuse"))</f>
        <v/>
      </c>
    </row>
    <row r="86" customFormat="false" ht="15" hidden="false" customHeight="false" outlineLevel="0" collapsed="false">
      <c r="A86" s="28"/>
      <c r="B86" s="63"/>
      <c r="C86" s="28"/>
      <c r="D86" s="64"/>
      <c r="E86" s="28"/>
      <c r="F86" s="28"/>
      <c r="G86" s="28"/>
      <c r="H86" s="28"/>
      <c r="I86" s="65" t="str">
        <f aca="false">IF($A86="","",COUNTIFS($H$2:$H$1001,$A86,$D$2:$D$1001,"Reuse"))</f>
        <v/>
      </c>
    </row>
    <row r="87" customFormat="false" ht="15" hidden="false" customHeight="false" outlineLevel="0" collapsed="false">
      <c r="A87" s="28"/>
      <c r="B87" s="63"/>
      <c r="C87" s="28"/>
      <c r="D87" s="64"/>
      <c r="E87" s="28"/>
      <c r="F87" s="28"/>
      <c r="G87" s="28"/>
      <c r="H87" s="28"/>
      <c r="I87" s="65" t="str">
        <f aca="false">IF($A87="","",COUNTIFS($H$2:$H$1001,$A87,$D$2:$D$1001,"Reuse"))</f>
        <v/>
      </c>
    </row>
    <row r="88" customFormat="false" ht="15" hidden="false" customHeight="false" outlineLevel="0" collapsed="false">
      <c r="A88" s="28"/>
      <c r="B88" s="63"/>
      <c r="C88" s="28"/>
      <c r="D88" s="64"/>
      <c r="E88" s="28"/>
      <c r="F88" s="28"/>
      <c r="G88" s="28"/>
      <c r="H88" s="28"/>
      <c r="I88" s="65" t="str">
        <f aca="false">IF($A88="","",COUNTIFS($H$2:$H$1001,$A88,$D$2:$D$1001,"Reuse"))</f>
        <v/>
      </c>
    </row>
    <row r="89" customFormat="false" ht="15" hidden="false" customHeight="false" outlineLevel="0" collapsed="false">
      <c r="A89" s="28"/>
      <c r="B89" s="63"/>
      <c r="C89" s="28"/>
      <c r="D89" s="64"/>
      <c r="E89" s="28"/>
      <c r="F89" s="28"/>
      <c r="G89" s="28"/>
      <c r="H89" s="28"/>
      <c r="I89" s="65" t="str">
        <f aca="false">IF($A89="","",COUNTIFS($H$2:$H$1001,$A89,$D$2:$D$1001,"Reuse"))</f>
        <v/>
      </c>
    </row>
    <row r="90" customFormat="false" ht="15" hidden="false" customHeight="false" outlineLevel="0" collapsed="false">
      <c r="A90" s="28"/>
      <c r="B90" s="63"/>
      <c r="C90" s="28"/>
      <c r="D90" s="64"/>
      <c r="E90" s="28"/>
      <c r="F90" s="28"/>
      <c r="G90" s="28"/>
      <c r="H90" s="28"/>
      <c r="I90" s="65" t="str">
        <f aca="false">IF($A90="","",COUNTIFS($H$2:$H$1001,$A90,$D$2:$D$1001,"Reuse"))</f>
        <v/>
      </c>
    </row>
    <row r="91" customFormat="false" ht="15" hidden="false" customHeight="false" outlineLevel="0" collapsed="false">
      <c r="A91" s="28"/>
      <c r="B91" s="63"/>
      <c r="C91" s="28"/>
      <c r="D91" s="64"/>
      <c r="E91" s="28"/>
      <c r="F91" s="28"/>
      <c r="G91" s="28"/>
      <c r="H91" s="28"/>
      <c r="I91" s="65" t="str">
        <f aca="false">IF($A91="","",COUNTIFS($H$2:$H$1001,$A91,$D$2:$D$1001,"Reuse"))</f>
        <v/>
      </c>
    </row>
    <row r="92" customFormat="false" ht="15" hidden="false" customHeight="false" outlineLevel="0" collapsed="false">
      <c r="A92" s="28"/>
      <c r="B92" s="63"/>
      <c r="C92" s="28"/>
      <c r="D92" s="64"/>
      <c r="E92" s="28"/>
      <c r="F92" s="28"/>
      <c r="G92" s="28"/>
      <c r="H92" s="28"/>
      <c r="I92" s="65" t="str">
        <f aca="false">IF($A92="","",COUNTIFS($H$2:$H$1001,$A92,$D$2:$D$1001,"Reuse"))</f>
        <v/>
      </c>
    </row>
    <row r="93" customFormat="false" ht="15" hidden="false" customHeight="false" outlineLevel="0" collapsed="false">
      <c r="A93" s="28"/>
      <c r="B93" s="63"/>
      <c r="C93" s="28"/>
      <c r="D93" s="64"/>
      <c r="E93" s="28"/>
      <c r="F93" s="28"/>
      <c r="G93" s="28"/>
      <c r="H93" s="28"/>
      <c r="I93" s="65" t="str">
        <f aca="false">IF($A93="","",COUNTIFS($H$2:$H$1001,$A93,$D$2:$D$1001,"Reuse"))</f>
        <v/>
      </c>
    </row>
    <row r="94" customFormat="false" ht="15" hidden="false" customHeight="false" outlineLevel="0" collapsed="false">
      <c r="A94" s="28"/>
      <c r="B94" s="63"/>
      <c r="C94" s="28"/>
      <c r="D94" s="64"/>
      <c r="E94" s="28"/>
      <c r="F94" s="28"/>
      <c r="G94" s="28"/>
      <c r="H94" s="28"/>
      <c r="I94" s="65" t="str">
        <f aca="false">IF($A94="","",COUNTIFS($H$2:$H$1001,$A94,$D$2:$D$1001,"Reuse"))</f>
        <v/>
      </c>
    </row>
    <row r="95" customFormat="false" ht="15" hidden="false" customHeight="false" outlineLevel="0" collapsed="false">
      <c r="A95" s="28"/>
      <c r="B95" s="63"/>
      <c r="C95" s="28"/>
      <c r="D95" s="64"/>
      <c r="E95" s="28"/>
      <c r="F95" s="28"/>
      <c r="G95" s="28"/>
      <c r="H95" s="28"/>
      <c r="I95" s="65" t="str">
        <f aca="false">IF($A95="","",COUNTIFS($H$2:$H$1001,$A95,$D$2:$D$1001,"Reuse"))</f>
        <v/>
      </c>
    </row>
    <row r="96" customFormat="false" ht="15" hidden="false" customHeight="false" outlineLevel="0" collapsed="false">
      <c r="A96" s="28"/>
      <c r="B96" s="63"/>
      <c r="C96" s="28"/>
      <c r="D96" s="64"/>
      <c r="E96" s="28"/>
      <c r="F96" s="28"/>
      <c r="G96" s="28"/>
      <c r="H96" s="28"/>
      <c r="I96" s="65" t="str">
        <f aca="false">IF($A96="","",COUNTIFS($H$2:$H$1001,$A96,$D$2:$D$1001,"Reuse"))</f>
        <v/>
      </c>
    </row>
    <row r="97" customFormat="false" ht="15" hidden="false" customHeight="false" outlineLevel="0" collapsed="false">
      <c r="A97" s="28"/>
      <c r="B97" s="63"/>
      <c r="C97" s="28"/>
      <c r="D97" s="64"/>
      <c r="E97" s="28"/>
      <c r="F97" s="28"/>
      <c r="G97" s="28"/>
      <c r="H97" s="28"/>
      <c r="I97" s="65" t="str">
        <f aca="false">IF($A97="","",COUNTIFS($H$2:$H$1001,$A97,$D$2:$D$1001,"Reuse"))</f>
        <v/>
      </c>
    </row>
    <row r="98" customFormat="false" ht="15" hidden="false" customHeight="false" outlineLevel="0" collapsed="false">
      <c r="A98" s="28"/>
      <c r="B98" s="63"/>
      <c r="C98" s="28"/>
      <c r="D98" s="64"/>
      <c r="E98" s="28"/>
      <c r="F98" s="28"/>
      <c r="G98" s="28"/>
      <c r="H98" s="28"/>
      <c r="I98" s="65" t="str">
        <f aca="false">IF($A98="","",COUNTIFS($H$2:$H$1001,$A98,$D$2:$D$1001,"Reuse"))</f>
        <v/>
      </c>
    </row>
    <row r="99" customFormat="false" ht="15" hidden="false" customHeight="false" outlineLevel="0" collapsed="false">
      <c r="A99" s="28"/>
      <c r="B99" s="63"/>
      <c r="C99" s="28"/>
      <c r="D99" s="64"/>
      <c r="E99" s="28"/>
      <c r="F99" s="28"/>
      <c r="G99" s="28"/>
      <c r="H99" s="28"/>
      <c r="I99" s="65" t="str">
        <f aca="false">IF($A99="","",COUNTIFS($H$2:$H$1001,$A99,$D$2:$D$1001,"Reuse"))</f>
        <v/>
      </c>
    </row>
    <row r="100" customFormat="false" ht="15" hidden="false" customHeight="false" outlineLevel="0" collapsed="false">
      <c r="A100" s="28"/>
      <c r="B100" s="63"/>
      <c r="C100" s="28"/>
      <c r="D100" s="64"/>
      <c r="E100" s="28"/>
      <c r="F100" s="28"/>
      <c r="G100" s="28"/>
      <c r="H100" s="28"/>
      <c r="I100" s="65" t="str">
        <f aca="false">IF($A100="","",COUNTIFS($H$2:$H$1001,$A100,$D$2:$D$1001,"Reuse"))</f>
        <v/>
      </c>
    </row>
    <row r="101" customFormat="false" ht="15" hidden="false" customHeight="false" outlineLevel="0" collapsed="false">
      <c r="A101" s="28"/>
      <c r="B101" s="63"/>
      <c r="C101" s="28"/>
      <c r="D101" s="64"/>
      <c r="E101" s="28"/>
      <c r="F101" s="28"/>
      <c r="G101" s="28"/>
      <c r="H101" s="28"/>
      <c r="I101" s="65" t="str">
        <f aca="false">IF($A101="","",COUNTIFS($H$2:$H$1001,$A101,$D$2:$D$1001,"Reuse"))</f>
        <v/>
      </c>
    </row>
    <row r="102" customFormat="false" ht="15" hidden="false" customHeight="false" outlineLevel="0" collapsed="false">
      <c r="A102" s="28"/>
      <c r="B102" s="63"/>
      <c r="C102" s="28"/>
      <c r="D102" s="64"/>
      <c r="E102" s="28"/>
      <c r="F102" s="28"/>
      <c r="G102" s="28"/>
      <c r="H102" s="28"/>
      <c r="I102" s="65" t="str">
        <f aca="false">IF($A102="","",COUNTIFS($H$2:$H$1001,$A102,$D$2:$D$1001,"Reuse"))</f>
        <v/>
      </c>
    </row>
    <row r="103" customFormat="false" ht="15" hidden="false" customHeight="false" outlineLevel="0" collapsed="false">
      <c r="A103" s="28"/>
      <c r="B103" s="63"/>
      <c r="C103" s="28"/>
      <c r="D103" s="64"/>
      <c r="E103" s="28"/>
      <c r="F103" s="28"/>
      <c r="G103" s="28"/>
      <c r="H103" s="28"/>
      <c r="I103" s="65" t="str">
        <f aca="false">IF($A103="","",COUNTIFS($H$2:$H$1001,$A103,$D$2:$D$1001,"Reuse"))</f>
        <v/>
      </c>
    </row>
    <row r="104" customFormat="false" ht="15" hidden="false" customHeight="false" outlineLevel="0" collapsed="false">
      <c r="A104" s="28"/>
      <c r="B104" s="63"/>
      <c r="C104" s="28"/>
      <c r="D104" s="64"/>
      <c r="E104" s="28"/>
      <c r="F104" s="28"/>
      <c r="G104" s="28"/>
      <c r="H104" s="28"/>
      <c r="I104" s="65" t="str">
        <f aca="false">IF($A104="","",COUNTIFS($H$2:$H$1001,$A104,$D$2:$D$1001,"Reuse"))</f>
        <v/>
      </c>
    </row>
    <row r="105" customFormat="false" ht="15" hidden="false" customHeight="false" outlineLevel="0" collapsed="false">
      <c r="A105" s="28"/>
      <c r="B105" s="63"/>
      <c r="C105" s="28"/>
      <c r="D105" s="64"/>
      <c r="E105" s="28"/>
      <c r="F105" s="28"/>
      <c r="G105" s="28"/>
      <c r="H105" s="28"/>
      <c r="I105" s="65" t="str">
        <f aca="false">IF($A105="","",COUNTIFS($H$2:$H$1001,$A105,$D$2:$D$1001,"Reuse"))</f>
        <v/>
      </c>
    </row>
    <row r="106" customFormat="false" ht="15" hidden="false" customHeight="false" outlineLevel="0" collapsed="false">
      <c r="A106" s="28"/>
      <c r="B106" s="63"/>
      <c r="C106" s="28"/>
      <c r="D106" s="64"/>
      <c r="E106" s="28"/>
      <c r="F106" s="28"/>
      <c r="G106" s="28"/>
      <c r="H106" s="28"/>
      <c r="I106" s="65" t="str">
        <f aca="false">IF($A106="","",COUNTIFS($H$2:$H$1001,$A106,$D$2:$D$1001,"Reuse"))</f>
        <v/>
      </c>
    </row>
    <row r="107" customFormat="false" ht="15" hidden="false" customHeight="false" outlineLevel="0" collapsed="false">
      <c r="A107" s="28"/>
      <c r="B107" s="63"/>
      <c r="C107" s="28"/>
      <c r="D107" s="64"/>
      <c r="E107" s="28"/>
      <c r="F107" s="28"/>
      <c r="G107" s="28"/>
      <c r="H107" s="28"/>
      <c r="I107" s="65" t="str">
        <f aca="false">IF($A107="","",COUNTIFS($H$2:$H$1001,$A107,$D$2:$D$1001,"Reuse"))</f>
        <v/>
      </c>
    </row>
    <row r="108" customFormat="false" ht="15" hidden="false" customHeight="false" outlineLevel="0" collapsed="false">
      <c r="A108" s="28"/>
      <c r="B108" s="63"/>
      <c r="C108" s="28"/>
      <c r="D108" s="64"/>
      <c r="E108" s="28"/>
      <c r="F108" s="28"/>
      <c r="G108" s="28"/>
      <c r="H108" s="28"/>
      <c r="I108" s="65" t="str">
        <f aca="false">IF($A108="","",COUNTIFS($H$2:$H$1001,$A108,$D$2:$D$1001,"Reuse"))</f>
        <v/>
      </c>
    </row>
    <row r="109" customFormat="false" ht="15" hidden="false" customHeight="false" outlineLevel="0" collapsed="false">
      <c r="A109" s="28"/>
      <c r="B109" s="63"/>
      <c r="C109" s="28"/>
      <c r="D109" s="64"/>
      <c r="E109" s="28"/>
      <c r="F109" s="28"/>
      <c r="G109" s="28"/>
      <c r="H109" s="28"/>
      <c r="I109" s="65" t="str">
        <f aca="false">IF($A109="","",COUNTIFS($H$2:$H$1001,$A109,$D$2:$D$1001,"Reuse"))</f>
        <v/>
      </c>
    </row>
    <row r="110" customFormat="false" ht="15" hidden="false" customHeight="false" outlineLevel="0" collapsed="false">
      <c r="A110" s="28"/>
      <c r="B110" s="63"/>
      <c r="C110" s="28"/>
      <c r="D110" s="64"/>
      <c r="E110" s="28"/>
      <c r="F110" s="28"/>
      <c r="G110" s="28"/>
      <c r="H110" s="28"/>
      <c r="I110" s="65" t="str">
        <f aca="false">IF($A110="","",COUNTIFS($H$2:$H$1001,$A110,$D$2:$D$1001,"Reuse"))</f>
        <v/>
      </c>
    </row>
    <row r="111" customFormat="false" ht="15" hidden="false" customHeight="false" outlineLevel="0" collapsed="false">
      <c r="A111" s="28"/>
      <c r="B111" s="63"/>
      <c r="C111" s="28"/>
      <c r="D111" s="64"/>
      <c r="E111" s="28"/>
      <c r="F111" s="28"/>
      <c r="G111" s="28"/>
      <c r="H111" s="28"/>
      <c r="I111" s="65" t="str">
        <f aca="false">IF($A111="","",COUNTIFS($H$2:$H$1001,$A111,$D$2:$D$1001,"Reuse"))</f>
        <v/>
      </c>
    </row>
    <row r="112" customFormat="false" ht="15" hidden="false" customHeight="false" outlineLevel="0" collapsed="false">
      <c r="A112" s="28"/>
      <c r="B112" s="63"/>
      <c r="C112" s="28"/>
      <c r="D112" s="64"/>
      <c r="E112" s="28"/>
      <c r="F112" s="28"/>
      <c r="G112" s="28"/>
      <c r="H112" s="28"/>
      <c r="I112" s="65" t="str">
        <f aca="false">IF($A112="","",COUNTIFS($H$2:$H$1001,$A112,$D$2:$D$1001,"Reuse"))</f>
        <v/>
      </c>
    </row>
    <row r="113" customFormat="false" ht="15" hidden="false" customHeight="false" outlineLevel="0" collapsed="false">
      <c r="A113" s="28"/>
      <c r="B113" s="63"/>
      <c r="C113" s="28"/>
      <c r="D113" s="64"/>
      <c r="E113" s="28"/>
      <c r="F113" s="28"/>
      <c r="G113" s="28"/>
      <c r="H113" s="28"/>
      <c r="I113" s="65" t="str">
        <f aca="false">IF($A113="","",COUNTIFS($H$2:$H$1001,$A113,$D$2:$D$1001,"Reuse"))</f>
        <v/>
      </c>
    </row>
    <row r="114" customFormat="false" ht="15" hidden="false" customHeight="false" outlineLevel="0" collapsed="false">
      <c r="A114" s="28"/>
      <c r="B114" s="63"/>
      <c r="C114" s="28"/>
      <c r="D114" s="64"/>
      <c r="E114" s="28"/>
      <c r="F114" s="28"/>
      <c r="G114" s="28"/>
      <c r="H114" s="28"/>
      <c r="I114" s="65" t="str">
        <f aca="false">IF($A114="","",COUNTIFS($H$2:$H$1001,$A114,$D$2:$D$1001,"Reuse"))</f>
        <v/>
      </c>
    </row>
    <row r="115" customFormat="false" ht="15" hidden="false" customHeight="false" outlineLevel="0" collapsed="false">
      <c r="A115" s="28"/>
      <c r="B115" s="63"/>
      <c r="C115" s="28"/>
      <c r="D115" s="64"/>
      <c r="E115" s="28"/>
      <c r="F115" s="28"/>
      <c r="G115" s="28"/>
      <c r="H115" s="28"/>
      <c r="I115" s="65" t="str">
        <f aca="false">IF($A115="","",COUNTIFS($H$2:$H$1001,$A115,$D$2:$D$1001,"Reuse"))</f>
        <v/>
      </c>
    </row>
    <row r="116" customFormat="false" ht="15" hidden="false" customHeight="false" outlineLevel="0" collapsed="false">
      <c r="A116" s="28"/>
      <c r="B116" s="63"/>
      <c r="C116" s="28"/>
      <c r="D116" s="64"/>
      <c r="E116" s="28"/>
      <c r="F116" s="28"/>
      <c r="G116" s="28"/>
      <c r="H116" s="28"/>
      <c r="I116" s="65" t="str">
        <f aca="false">IF($A116="","",COUNTIFS($H$2:$H$1001,$A116,$D$2:$D$1001,"Reuse"))</f>
        <v/>
      </c>
    </row>
    <row r="117" customFormat="false" ht="15" hidden="false" customHeight="false" outlineLevel="0" collapsed="false">
      <c r="A117" s="28"/>
      <c r="B117" s="63"/>
      <c r="C117" s="28"/>
      <c r="D117" s="64"/>
      <c r="E117" s="28"/>
      <c r="F117" s="28"/>
      <c r="G117" s="28"/>
      <c r="H117" s="28"/>
      <c r="I117" s="65" t="str">
        <f aca="false">IF($A117="","",COUNTIFS($H$2:$H$1001,$A117,$D$2:$D$1001,"Reuse"))</f>
        <v/>
      </c>
    </row>
    <row r="118" customFormat="false" ht="15" hidden="false" customHeight="false" outlineLevel="0" collapsed="false">
      <c r="A118" s="28"/>
      <c r="B118" s="63"/>
      <c r="C118" s="28"/>
      <c r="D118" s="64"/>
      <c r="E118" s="28"/>
      <c r="F118" s="28"/>
      <c r="G118" s="28"/>
      <c r="H118" s="28"/>
      <c r="I118" s="65" t="str">
        <f aca="false">IF($A118="","",COUNTIFS($H$2:$H$1001,$A118,$D$2:$D$1001,"Reuse"))</f>
        <v/>
      </c>
    </row>
    <row r="119" customFormat="false" ht="15" hidden="false" customHeight="false" outlineLevel="0" collapsed="false">
      <c r="A119" s="28"/>
      <c r="B119" s="63"/>
      <c r="C119" s="28"/>
      <c r="D119" s="64"/>
      <c r="E119" s="28"/>
      <c r="F119" s="28"/>
      <c r="G119" s="28"/>
      <c r="H119" s="28"/>
      <c r="I119" s="65" t="str">
        <f aca="false">IF($A119="","",COUNTIFS($H$2:$H$1001,$A119,$D$2:$D$1001,"Reuse"))</f>
        <v/>
      </c>
    </row>
    <row r="120" customFormat="false" ht="15" hidden="false" customHeight="false" outlineLevel="0" collapsed="false">
      <c r="A120" s="28"/>
      <c r="B120" s="63"/>
      <c r="C120" s="28"/>
      <c r="D120" s="64"/>
      <c r="E120" s="28"/>
      <c r="F120" s="28"/>
      <c r="G120" s="28"/>
      <c r="H120" s="28"/>
      <c r="I120" s="65" t="str">
        <f aca="false">IF($A120="","",COUNTIFS($H$2:$H$1001,$A120,$D$2:$D$1001,"Reuse"))</f>
        <v/>
      </c>
    </row>
    <row r="121" customFormat="false" ht="15" hidden="false" customHeight="false" outlineLevel="0" collapsed="false">
      <c r="A121" s="28"/>
      <c r="B121" s="63"/>
      <c r="C121" s="28"/>
      <c r="D121" s="64"/>
      <c r="E121" s="28"/>
      <c r="F121" s="28"/>
      <c r="G121" s="28"/>
      <c r="H121" s="28"/>
      <c r="I121" s="65" t="str">
        <f aca="false">IF($A121="","",COUNTIFS($H$2:$H$1001,$A121,$D$2:$D$1001,"Reuse"))</f>
        <v/>
      </c>
    </row>
    <row r="122" customFormat="false" ht="15" hidden="false" customHeight="false" outlineLevel="0" collapsed="false">
      <c r="A122" s="28"/>
      <c r="B122" s="63"/>
      <c r="C122" s="28"/>
      <c r="D122" s="64"/>
      <c r="E122" s="28"/>
      <c r="F122" s="28"/>
      <c r="G122" s="28"/>
      <c r="H122" s="28"/>
      <c r="I122" s="65" t="str">
        <f aca="false">IF($A122="","",COUNTIFS($H$2:$H$1001,$A122,$D$2:$D$1001,"Reuse"))</f>
        <v/>
      </c>
    </row>
    <row r="123" customFormat="false" ht="15" hidden="false" customHeight="false" outlineLevel="0" collapsed="false">
      <c r="A123" s="28"/>
      <c r="B123" s="63"/>
      <c r="C123" s="28"/>
      <c r="D123" s="64"/>
      <c r="E123" s="28"/>
      <c r="F123" s="28"/>
      <c r="G123" s="28"/>
      <c r="H123" s="28"/>
      <c r="I123" s="65" t="str">
        <f aca="false">IF($A123="","",COUNTIFS($H$2:$H$1001,$A123,$D$2:$D$1001,"Reuse"))</f>
        <v/>
      </c>
    </row>
    <row r="124" customFormat="false" ht="15" hidden="false" customHeight="false" outlineLevel="0" collapsed="false">
      <c r="A124" s="28"/>
      <c r="B124" s="63"/>
      <c r="C124" s="28"/>
      <c r="D124" s="64"/>
      <c r="E124" s="28"/>
      <c r="F124" s="28"/>
      <c r="G124" s="28"/>
      <c r="H124" s="28"/>
      <c r="I124" s="65" t="str">
        <f aca="false">IF($A124="","",COUNTIFS($H$2:$H$1001,$A124,$D$2:$D$1001,"Reuse"))</f>
        <v/>
      </c>
    </row>
    <row r="125" customFormat="false" ht="15" hidden="false" customHeight="false" outlineLevel="0" collapsed="false">
      <c r="A125" s="28"/>
      <c r="B125" s="63"/>
      <c r="C125" s="28"/>
      <c r="D125" s="64"/>
      <c r="E125" s="28"/>
      <c r="F125" s="28"/>
      <c r="G125" s="28"/>
      <c r="H125" s="28"/>
      <c r="I125" s="65" t="str">
        <f aca="false">IF($A125="","",COUNTIFS($H$2:$H$1001,$A125,$D$2:$D$1001,"Reuse"))</f>
        <v/>
      </c>
    </row>
    <row r="126" customFormat="false" ht="15" hidden="false" customHeight="false" outlineLevel="0" collapsed="false">
      <c r="A126" s="28"/>
      <c r="B126" s="63"/>
      <c r="C126" s="28"/>
      <c r="D126" s="64"/>
      <c r="E126" s="28"/>
      <c r="F126" s="28"/>
      <c r="G126" s="28"/>
      <c r="H126" s="28"/>
      <c r="I126" s="65" t="str">
        <f aca="false">IF($A126="","",COUNTIFS($H$2:$H$1001,$A126,$D$2:$D$1001,"Reuse"))</f>
        <v/>
      </c>
    </row>
    <row r="127" customFormat="false" ht="15" hidden="false" customHeight="false" outlineLevel="0" collapsed="false">
      <c r="A127" s="28"/>
      <c r="B127" s="63"/>
      <c r="C127" s="28"/>
      <c r="D127" s="64"/>
      <c r="E127" s="28"/>
      <c r="F127" s="28"/>
      <c r="G127" s="28"/>
      <c r="H127" s="28"/>
      <c r="I127" s="65" t="str">
        <f aca="false">IF($A127="","",COUNTIFS($H$2:$H$1001,$A127,$D$2:$D$1001,"Reuse"))</f>
        <v/>
      </c>
    </row>
    <row r="128" customFormat="false" ht="15" hidden="false" customHeight="false" outlineLevel="0" collapsed="false">
      <c r="A128" s="28"/>
      <c r="B128" s="63"/>
      <c r="C128" s="28"/>
      <c r="D128" s="64"/>
      <c r="E128" s="28"/>
      <c r="F128" s="28"/>
      <c r="G128" s="28"/>
      <c r="H128" s="28"/>
      <c r="I128" s="65" t="str">
        <f aca="false">IF($A128="","",COUNTIFS($H$2:$H$1001,$A128,$D$2:$D$1001,"Reuse"))</f>
        <v/>
      </c>
    </row>
    <row r="129" customFormat="false" ht="15" hidden="false" customHeight="false" outlineLevel="0" collapsed="false">
      <c r="A129" s="28"/>
      <c r="B129" s="63"/>
      <c r="C129" s="28"/>
      <c r="D129" s="64"/>
      <c r="E129" s="28"/>
      <c r="F129" s="28"/>
      <c r="G129" s="28"/>
      <c r="H129" s="28"/>
      <c r="I129" s="65" t="str">
        <f aca="false">IF($A129="","",COUNTIFS($H$2:$H$1001,$A129,$D$2:$D$1001,"Reuse"))</f>
        <v/>
      </c>
    </row>
    <row r="130" customFormat="false" ht="15" hidden="false" customHeight="false" outlineLevel="0" collapsed="false">
      <c r="A130" s="28"/>
      <c r="B130" s="63"/>
      <c r="C130" s="28"/>
      <c r="D130" s="64"/>
      <c r="E130" s="28"/>
      <c r="F130" s="28"/>
      <c r="G130" s="28"/>
      <c r="H130" s="28"/>
      <c r="I130" s="65" t="str">
        <f aca="false">IF($A130="","",COUNTIFS($H$2:$H$1001,$A130,$D$2:$D$1001,"Reuse"))</f>
        <v/>
      </c>
    </row>
    <row r="131" customFormat="false" ht="15" hidden="false" customHeight="false" outlineLevel="0" collapsed="false">
      <c r="A131" s="28"/>
      <c r="B131" s="63"/>
      <c r="C131" s="28"/>
      <c r="D131" s="64"/>
      <c r="E131" s="28"/>
      <c r="F131" s="28"/>
      <c r="G131" s="28"/>
      <c r="H131" s="28"/>
      <c r="I131" s="65" t="str">
        <f aca="false">IF($A131="","",COUNTIFS($H$2:$H$1001,$A131,$D$2:$D$1001,"Reuse"))</f>
        <v/>
      </c>
    </row>
    <row r="132" customFormat="false" ht="15" hidden="false" customHeight="false" outlineLevel="0" collapsed="false">
      <c r="A132" s="28"/>
      <c r="B132" s="63"/>
      <c r="C132" s="28"/>
      <c r="D132" s="64"/>
      <c r="E132" s="28"/>
      <c r="F132" s="28"/>
      <c r="G132" s="28"/>
      <c r="H132" s="28"/>
      <c r="I132" s="65" t="str">
        <f aca="false">IF($A132="","",COUNTIFS($H$2:$H$1001,$A132,$D$2:$D$1001,"Reuse"))</f>
        <v/>
      </c>
    </row>
    <row r="133" customFormat="false" ht="15" hidden="false" customHeight="false" outlineLevel="0" collapsed="false">
      <c r="A133" s="28"/>
      <c r="B133" s="63"/>
      <c r="C133" s="28"/>
      <c r="D133" s="64"/>
      <c r="E133" s="28"/>
      <c r="F133" s="28"/>
      <c r="G133" s="28"/>
      <c r="H133" s="28"/>
      <c r="I133" s="65" t="str">
        <f aca="false">IF($A133="","",COUNTIFS($H$2:$H$1001,$A133,$D$2:$D$1001,"Reuse"))</f>
        <v/>
      </c>
    </row>
    <row r="134" customFormat="false" ht="15" hidden="false" customHeight="false" outlineLevel="0" collapsed="false">
      <c r="A134" s="28"/>
      <c r="B134" s="63"/>
      <c r="C134" s="28"/>
      <c r="D134" s="64"/>
      <c r="E134" s="28"/>
      <c r="F134" s="28"/>
      <c r="G134" s="28"/>
      <c r="H134" s="28"/>
      <c r="I134" s="65" t="str">
        <f aca="false">IF($A134="","",COUNTIFS($H$2:$H$1001,$A134,$D$2:$D$1001,"Reuse"))</f>
        <v/>
      </c>
    </row>
    <row r="135" customFormat="false" ht="15" hidden="false" customHeight="false" outlineLevel="0" collapsed="false">
      <c r="A135" s="28"/>
      <c r="B135" s="63"/>
      <c r="C135" s="28"/>
      <c r="D135" s="64"/>
      <c r="E135" s="28"/>
      <c r="F135" s="28"/>
      <c r="G135" s="28"/>
      <c r="H135" s="28"/>
      <c r="I135" s="65" t="str">
        <f aca="false">IF($A135="","",COUNTIFS($H$2:$H$1001,$A135,$D$2:$D$1001,"Reuse"))</f>
        <v/>
      </c>
    </row>
    <row r="136" customFormat="false" ht="15" hidden="false" customHeight="false" outlineLevel="0" collapsed="false">
      <c r="A136" s="28"/>
      <c r="B136" s="63"/>
      <c r="C136" s="28"/>
      <c r="D136" s="64"/>
      <c r="E136" s="28"/>
      <c r="F136" s="28"/>
      <c r="G136" s="28"/>
      <c r="H136" s="28"/>
      <c r="I136" s="65" t="str">
        <f aca="false">IF($A136="","",COUNTIFS($H$2:$H$1001,$A136,$D$2:$D$1001,"Reuse"))</f>
        <v/>
      </c>
    </row>
    <row r="137" customFormat="false" ht="15" hidden="false" customHeight="false" outlineLevel="0" collapsed="false">
      <c r="A137" s="28"/>
      <c r="B137" s="63"/>
      <c r="C137" s="28"/>
      <c r="D137" s="64"/>
      <c r="E137" s="28"/>
      <c r="F137" s="28"/>
      <c r="G137" s="28"/>
      <c r="H137" s="28"/>
      <c r="I137" s="65" t="str">
        <f aca="false">IF($A137="","",COUNTIFS($H$2:$H$1001,$A137,$D$2:$D$1001,"Reuse"))</f>
        <v/>
      </c>
    </row>
    <row r="138" customFormat="false" ht="15" hidden="false" customHeight="false" outlineLevel="0" collapsed="false">
      <c r="A138" s="28"/>
      <c r="B138" s="63"/>
      <c r="C138" s="28"/>
      <c r="D138" s="64"/>
      <c r="E138" s="28"/>
      <c r="F138" s="28"/>
      <c r="G138" s="28"/>
      <c r="H138" s="28"/>
      <c r="I138" s="65" t="str">
        <f aca="false">IF($A138="","",COUNTIFS($H$2:$H$1001,$A138,$D$2:$D$1001,"Reuse"))</f>
        <v/>
      </c>
    </row>
    <row r="139" customFormat="false" ht="15" hidden="false" customHeight="false" outlineLevel="0" collapsed="false">
      <c r="A139" s="28"/>
      <c r="B139" s="63"/>
      <c r="C139" s="28"/>
      <c r="D139" s="64"/>
      <c r="E139" s="28"/>
      <c r="F139" s="28"/>
      <c r="G139" s="28"/>
      <c r="H139" s="28"/>
      <c r="I139" s="65" t="str">
        <f aca="false">IF($A139="","",COUNTIFS($H$2:$H$1001,$A139,$D$2:$D$1001,"Reuse"))</f>
        <v/>
      </c>
    </row>
    <row r="140" customFormat="false" ht="15" hidden="false" customHeight="false" outlineLevel="0" collapsed="false">
      <c r="A140" s="28"/>
      <c r="B140" s="63"/>
      <c r="C140" s="28"/>
      <c r="D140" s="64"/>
      <c r="E140" s="28"/>
      <c r="F140" s="28"/>
      <c r="G140" s="28"/>
      <c r="H140" s="28"/>
      <c r="I140" s="65" t="str">
        <f aca="false">IF($A140="","",COUNTIFS($H$2:$H$1001,$A140,$D$2:$D$1001,"Reuse"))</f>
        <v/>
      </c>
    </row>
    <row r="141" customFormat="false" ht="15" hidden="false" customHeight="false" outlineLevel="0" collapsed="false">
      <c r="A141" s="28"/>
      <c r="B141" s="63"/>
      <c r="C141" s="28"/>
      <c r="D141" s="64"/>
      <c r="E141" s="28"/>
      <c r="F141" s="28"/>
      <c r="G141" s="28"/>
      <c r="H141" s="28"/>
      <c r="I141" s="65" t="str">
        <f aca="false">IF($A141="","",COUNTIFS($H$2:$H$1001,$A141,$D$2:$D$1001,"Reuse"))</f>
        <v/>
      </c>
    </row>
    <row r="142" customFormat="false" ht="15" hidden="false" customHeight="false" outlineLevel="0" collapsed="false">
      <c r="A142" s="28"/>
      <c r="B142" s="63"/>
      <c r="C142" s="28"/>
      <c r="D142" s="64"/>
      <c r="E142" s="28"/>
      <c r="F142" s="28"/>
      <c r="G142" s="28"/>
      <c r="H142" s="28"/>
      <c r="I142" s="65" t="str">
        <f aca="false">IF($A142="","",COUNTIFS($H$2:$H$1001,$A142,$D$2:$D$1001,"Reuse"))</f>
        <v/>
      </c>
    </row>
    <row r="143" customFormat="false" ht="15" hidden="false" customHeight="false" outlineLevel="0" collapsed="false">
      <c r="A143" s="28"/>
      <c r="B143" s="63"/>
      <c r="C143" s="28"/>
      <c r="D143" s="64"/>
      <c r="E143" s="28"/>
      <c r="F143" s="28"/>
      <c r="G143" s="28"/>
      <c r="H143" s="28"/>
      <c r="I143" s="65" t="str">
        <f aca="false">IF($A143="","",COUNTIFS($H$2:$H$1001,$A143,$D$2:$D$1001,"Reuse"))</f>
        <v/>
      </c>
    </row>
    <row r="144" customFormat="false" ht="15" hidden="false" customHeight="false" outlineLevel="0" collapsed="false">
      <c r="A144" s="28"/>
      <c r="B144" s="63"/>
      <c r="C144" s="28"/>
      <c r="D144" s="64"/>
      <c r="E144" s="28"/>
      <c r="F144" s="28"/>
      <c r="G144" s="28"/>
      <c r="H144" s="28"/>
      <c r="I144" s="65" t="str">
        <f aca="false">IF($A144="","",COUNTIFS($H$2:$H$1001,$A144,$D$2:$D$1001,"Reuse"))</f>
        <v/>
      </c>
    </row>
    <row r="145" customFormat="false" ht="15" hidden="false" customHeight="false" outlineLevel="0" collapsed="false">
      <c r="A145" s="28"/>
      <c r="B145" s="63"/>
      <c r="C145" s="28"/>
      <c r="D145" s="64"/>
      <c r="E145" s="28"/>
      <c r="F145" s="28"/>
      <c r="G145" s="28"/>
      <c r="H145" s="28"/>
      <c r="I145" s="65" t="str">
        <f aca="false">IF($A145="","",COUNTIFS($H$2:$H$1001,$A145,$D$2:$D$1001,"Reuse"))</f>
        <v/>
      </c>
    </row>
    <row r="146" customFormat="false" ht="15" hidden="false" customHeight="false" outlineLevel="0" collapsed="false">
      <c r="A146" s="28"/>
      <c r="B146" s="63"/>
      <c r="C146" s="28"/>
      <c r="D146" s="64"/>
      <c r="E146" s="28"/>
      <c r="F146" s="28"/>
      <c r="G146" s="28"/>
      <c r="H146" s="28"/>
      <c r="I146" s="65" t="str">
        <f aca="false">IF($A146="","",COUNTIFS($H$2:$H$1001,$A146,$D$2:$D$1001,"Reuse"))</f>
        <v/>
      </c>
    </row>
    <row r="147" customFormat="false" ht="15" hidden="false" customHeight="false" outlineLevel="0" collapsed="false">
      <c r="A147" s="28"/>
      <c r="B147" s="63"/>
      <c r="C147" s="28"/>
      <c r="D147" s="64"/>
      <c r="E147" s="28"/>
      <c r="F147" s="28"/>
      <c r="G147" s="28"/>
      <c r="H147" s="28"/>
      <c r="I147" s="65" t="str">
        <f aca="false">IF($A147="","",COUNTIFS($H$2:$H$1001,$A147,$D$2:$D$1001,"Reuse"))</f>
        <v/>
      </c>
    </row>
    <row r="148" customFormat="false" ht="15" hidden="false" customHeight="false" outlineLevel="0" collapsed="false">
      <c r="A148" s="28"/>
      <c r="B148" s="63"/>
      <c r="C148" s="28"/>
      <c r="D148" s="64"/>
      <c r="E148" s="28"/>
      <c r="F148" s="28"/>
      <c r="G148" s="28"/>
      <c r="H148" s="28"/>
      <c r="I148" s="65" t="str">
        <f aca="false">IF($A148="","",COUNTIFS($H$2:$H$1001,$A148,$D$2:$D$1001,"Reuse"))</f>
        <v/>
      </c>
    </row>
    <row r="149" customFormat="false" ht="15" hidden="false" customHeight="false" outlineLevel="0" collapsed="false">
      <c r="A149" s="28"/>
      <c r="B149" s="63"/>
      <c r="C149" s="28"/>
      <c r="D149" s="64"/>
      <c r="E149" s="28"/>
      <c r="F149" s="28"/>
      <c r="G149" s="28"/>
      <c r="H149" s="28"/>
      <c r="I149" s="65" t="str">
        <f aca="false">IF($A149="","",COUNTIFS($H$2:$H$1001,$A149,$D$2:$D$1001,"Reuse"))</f>
        <v/>
      </c>
    </row>
    <row r="150" customFormat="false" ht="15" hidden="false" customHeight="false" outlineLevel="0" collapsed="false">
      <c r="A150" s="28"/>
      <c r="B150" s="63"/>
      <c r="C150" s="28"/>
      <c r="D150" s="64"/>
      <c r="E150" s="28"/>
      <c r="F150" s="28"/>
      <c r="G150" s="28"/>
      <c r="H150" s="28"/>
      <c r="I150" s="65" t="str">
        <f aca="false">IF($A150="","",COUNTIFS($H$2:$H$1001,$A150,$D$2:$D$1001,"Reuse"))</f>
        <v/>
      </c>
    </row>
    <row r="151" customFormat="false" ht="15" hidden="false" customHeight="false" outlineLevel="0" collapsed="false">
      <c r="A151" s="28"/>
      <c r="B151" s="63"/>
      <c r="C151" s="28"/>
      <c r="D151" s="64"/>
      <c r="E151" s="28"/>
      <c r="F151" s="28"/>
      <c r="G151" s="28"/>
      <c r="H151" s="28"/>
      <c r="I151" s="65" t="str">
        <f aca="false">IF($A151="","",COUNTIFS($H$2:$H$1001,$A151,$D$2:$D$1001,"Reuse"))</f>
        <v/>
      </c>
    </row>
    <row r="152" customFormat="false" ht="15" hidden="false" customHeight="false" outlineLevel="0" collapsed="false">
      <c r="A152" s="28"/>
      <c r="B152" s="63"/>
      <c r="C152" s="28"/>
      <c r="D152" s="64"/>
      <c r="E152" s="28"/>
      <c r="F152" s="28"/>
      <c r="G152" s="28"/>
      <c r="H152" s="28"/>
      <c r="I152" s="65" t="str">
        <f aca="false">IF($A152="","",COUNTIFS($H$2:$H$1001,$A152,$D$2:$D$1001,"Reuse"))</f>
        <v/>
      </c>
    </row>
    <row r="153" customFormat="false" ht="15" hidden="false" customHeight="false" outlineLevel="0" collapsed="false">
      <c r="A153" s="28"/>
      <c r="B153" s="63"/>
      <c r="C153" s="28"/>
      <c r="D153" s="64"/>
      <c r="E153" s="28"/>
      <c r="F153" s="28"/>
      <c r="G153" s="28"/>
      <c r="H153" s="28"/>
      <c r="I153" s="65" t="str">
        <f aca="false">IF($A153="","",COUNTIFS($H$2:$H$1001,$A153,$D$2:$D$1001,"Reuse"))</f>
        <v/>
      </c>
    </row>
    <row r="154" customFormat="false" ht="15" hidden="false" customHeight="false" outlineLevel="0" collapsed="false">
      <c r="A154" s="28"/>
      <c r="B154" s="63"/>
      <c r="C154" s="28"/>
      <c r="D154" s="64"/>
      <c r="E154" s="28"/>
      <c r="F154" s="28"/>
      <c r="G154" s="28"/>
      <c r="H154" s="28"/>
      <c r="I154" s="65" t="str">
        <f aca="false">IF($A154="","",COUNTIFS($H$2:$H$1001,$A154,$D$2:$D$1001,"Reuse"))</f>
        <v/>
      </c>
    </row>
    <row r="155" customFormat="false" ht="15" hidden="false" customHeight="false" outlineLevel="0" collapsed="false">
      <c r="A155" s="28"/>
      <c r="B155" s="63"/>
      <c r="C155" s="28"/>
      <c r="D155" s="64"/>
      <c r="E155" s="28"/>
      <c r="F155" s="28"/>
      <c r="G155" s="28"/>
      <c r="H155" s="28"/>
      <c r="I155" s="65" t="str">
        <f aca="false">IF($A155="","",COUNTIFS($H$2:$H$1001,$A155,$D$2:$D$1001,"Reuse"))</f>
        <v/>
      </c>
    </row>
    <row r="156" customFormat="false" ht="15" hidden="false" customHeight="false" outlineLevel="0" collapsed="false">
      <c r="A156" s="28"/>
      <c r="B156" s="63"/>
      <c r="C156" s="28"/>
      <c r="D156" s="64"/>
      <c r="E156" s="28"/>
      <c r="F156" s="28"/>
      <c r="G156" s="28"/>
      <c r="H156" s="28"/>
      <c r="I156" s="65" t="str">
        <f aca="false">IF($A156="","",COUNTIFS($H$2:$H$1001,$A156,$D$2:$D$1001,"Reuse"))</f>
        <v/>
      </c>
    </row>
    <row r="157" customFormat="false" ht="15" hidden="false" customHeight="false" outlineLevel="0" collapsed="false">
      <c r="A157" s="28"/>
      <c r="B157" s="63"/>
      <c r="C157" s="28"/>
      <c r="D157" s="64"/>
      <c r="E157" s="28"/>
      <c r="F157" s="28"/>
      <c r="G157" s="28"/>
      <c r="H157" s="28"/>
      <c r="I157" s="65" t="str">
        <f aca="false">IF($A157="","",COUNTIFS($H$2:$H$1001,$A157,$D$2:$D$1001,"Reuse"))</f>
        <v/>
      </c>
    </row>
    <row r="158" customFormat="false" ht="15" hidden="false" customHeight="false" outlineLevel="0" collapsed="false">
      <c r="A158" s="28"/>
      <c r="B158" s="63"/>
      <c r="C158" s="28"/>
      <c r="D158" s="64"/>
      <c r="E158" s="28"/>
      <c r="F158" s="28"/>
      <c r="G158" s="28"/>
      <c r="H158" s="28"/>
      <c r="I158" s="65" t="str">
        <f aca="false">IF($A158="","",COUNTIFS($H$2:$H$1001,$A158,$D$2:$D$1001,"Reuse"))</f>
        <v/>
      </c>
    </row>
    <row r="159" customFormat="false" ht="15" hidden="false" customHeight="false" outlineLevel="0" collapsed="false">
      <c r="A159" s="28"/>
      <c r="B159" s="63"/>
      <c r="C159" s="28"/>
      <c r="D159" s="64"/>
      <c r="E159" s="28"/>
      <c r="F159" s="28"/>
      <c r="G159" s="28"/>
      <c r="H159" s="28"/>
      <c r="I159" s="65" t="str">
        <f aca="false">IF($A159="","",COUNTIFS($H$2:$H$1001,$A159,$D$2:$D$1001,"Reuse"))</f>
        <v/>
      </c>
    </row>
    <row r="160" customFormat="false" ht="15" hidden="false" customHeight="false" outlineLevel="0" collapsed="false">
      <c r="A160" s="28"/>
      <c r="B160" s="63"/>
      <c r="C160" s="28"/>
      <c r="D160" s="64"/>
      <c r="E160" s="28"/>
      <c r="F160" s="28"/>
      <c r="G160" s="28"/>
      <c r="H160" s="28"/>
      <c r="I160" s="65" t="str">
        <f aca="false">IF($A160="","",COUNTIFS($H$2:$H$1001,$A160,$D$2:$D$1001,"Reuse"))</f>
        <v/>
      </c>
    </row>
    <row r="161" customFormat="false" ht="15" hidden="false" customHeight="false" outlineLevel="0" collapsed="false">
      <c r="A161" s="28"/>
      <c r="B161" s="63"/>
      <c r="C161" s="28"/>
      <c r="D161" s="64"/>
      <c r="E161" s="28"/>
      <c r="F161" s="28"/>
      <c r="G161" s="28"/>
      <c r="H161" s="28"/>
      <c r="I161" s="65" t="str">
        <f aca="false">IF($A161="","",COUNTIFS($H$2:$H$1001,$A161,$D$2:$D$1001,"Reuse"))</f>
        <v/>
      </c>
    </row>
    <row r="162" customFormat="false" ht="15" hidden="false" customHeight="false" outlineLevel="0" collapsed="false">
      <c r="A162" s="28"/>
      <c r="B162" s="63"/>
      <c r="C162" s="28"/>
      <c r="D162" s="64"/>
      <c r="E162" s="28"/>
      <c r="F162" s="28"/>
      <c r="G162" s="28"/>
      <c r="H162" s="28"/>
      <c r="I162" s="65" t="str">
        <f aca="false">IF($A162="","",COUNTIFS($H$2:$H$1001,$A162,$D$2:$D$1001,"Reuse"))</f>
        <v/>
      </c>
    </row>
    <row r="163" customFormat="false" ht="15" hidden="false" customHeight="false" outlineLevel="0" collapsed="false">
      <c r="A163" s="28"/>
      <c r="B163" s="63"/>
      <c r="C163" s="28"/>
      <c r="D163" s="64"/>
      <c r="E163" s="28"/>
      <c r="F163" s="28"/>
      <c r="G163" s="28"/>
      <c r="H163" s="28"/>
      <c r="I163" s="65" t="str">
        <f aca="false">IF($A163="","",COUNTIFS($H$2:$H$1001,$A163,$D$2:$D$1001,"Reuse"))</f>
        <v/>
      </c>
    </row>
    <row r="164" customFormat="false" ht="15" hidden="false" customHeight="false" outlineLevel="0" collapsed="false">
      <c r="A164" s="28"/>
      <c r="B164" s="63"/>
      <c r="C164" s="28"/>
      <c r="D164" s="64"/>
      <c r="E164" s="28"/>
      <c r="F164" s="28"/>
      <c r="G164" s="28"/>
      <c r="H164" s="28"/>
      <c r="I164" s="65" t="str">
        <f aca="false">IF($A164="","",COUNTIFS($H$2:$H$1001,$A164,$D$2:$D$1001,"Reuse"))</f>
        <v/>
      </c>
    </row>
    <row r="165" customFormat="false" ht="15" hidden="false" customHeight="false" outlineLevel="0" collapsed="false">
      <c r="A165" s="28"/>
      <c r="B165" s="63"/>
      <c r="C165" s="28"/>
      <c r="D165" s="64"/>
      <c r="E165" s="28"/>
      <c r="F165" s="28"/>
      <c r="G165" s="28"/>
      <c r="H165" s="28"/>
      <c r="I165" s="65" t="str">
        <f aca="false">IF($A165="","",COUNTIFS($H$2:$H$1001,$A165,$D$2:$D$1001,"Reuse"))</f>
        <v/>
      </c>
    </row>
    <row r="166" customFormat="false" ht="15" hidden="false" customHeight="false" outlineLevel="0" collapsed="false">
      <c r="A166" s="28"/>
      <c r="B166" s="63"/>
      <c r="C166" s="28"/>
      <c r="D166" s="64"/>
      <c r="E166" s="28"/>
      <c r="F166" s="28"/>
      <c r="G166" s="28"/>
      <c r="H166" s="28"/>
      <c r="I166" s="65" t="str">
        <f aca="false">IF($A166="","",COUNTIFS($H$2:$H$1001,$A166,$D$2:$D$1001,"Reuse"))</f>
        <v/>
      </c>
    </row>
    <row r="167" customFormat="false" ht="15" hidden="false" customHeight="false" outlineLevel="0" collapsed="false">
      <c r="A167" s="28"/>
      <c r="B167" s="63"/>
      <c r="C167" s="28"/>
      <c r="D167" s="64"/>
      <c r="E167" s="28"/>
      <c r="F167" s="28"/>
      <c r="G167" s="28"/>
      <c r="H167" s="28"/>
      <c r="I167" s="65" t="str">
        <f aca="false">IF($A167="","",COUNTIFS($H$2:$H$1001,$A167,$D$2:$D$1001,"Reuse"))</f>
        <v/>
      </c>
    </row>
    <row r="168" customFormat="false" ht="15" hidden="false" customHeight="false" outlineLevel="0" collapsed="false">
      <c r="A168" s="28"/>
      <c r="B168" s="63"/>
      <c r="C168" s="28"/>
      <c r="D168" s="64"/>
      <c r="E168" s="28"/>
      <c r="F168" s="28"/>
      <c r="G168" s="28"/>
      <c r="H168" s="28"/>
      <c r="I168" s="65" t="str">
        <f aca="false">IF($A168="","",COUNTIFS($H$2:$H$1001,$A168,$D$2:$D$1001,"Reuse"))</f>
        <v/>
      </c>
    </row>
    <row r="169" customFormat="false" ht="15" hidden="false" customHeight="false" outlineLevel="0" collapsed="false">
      <c r="A169" s="28"/>
      <c r="B169" s="63"/>
      <c r="C169" s="28"/>
      <c r="D169" s="64"/>
      <c r="E169" s="28"/>
      <c r="F169" s="28"/>
      <c r="G169" s="28"/>
      <c r="H169" s="28"/>
      <c r="I169" s="65" t="str">
        <f aca="false">IF($A169="","",COUNTIFS($H$2:$H$1001,$A169,$D$2:$D$1001,"Reuse"))</f>
        <v/>
      </c>
    </row>
    <row r="170" customFormat="false" ht="15" hidden="false" customHeight="false" outlineLevel="0" collapsed="false">
      <c r="A170" s="28"/>
      <c r="B170" s="63"/>
      <c r="C170" s="28"/>
      <c r="D170" s="64"/>
      <c r="E170" s="28"/>
      <c r="F170" s="28"/>
      <c r="G170" s="28"/>
      <c r="H170" s="28"/>
      <c r="I170" s="65" t="str">
        <f aca="false">IF($A170="","",COUNTIFS($H$2:$H$1001,$A170,$D$2:$D$1001,"Reuse"))</f>
        <v/>
      </c>
    </row>
    <row r="171" customFormat="false" ht="15" hidden="false" customHeight="false" outlineLevel="0" collapsed="false">
      <c r="A171" s="28"/>
      <c r="B171" s="63"/>
      <c r="C171" s="28"/>
      <c r="D171" s="64"/>
      <c r="E171" s="28"/>
      <c r="F171" s="28"/>
      <c r="G171" s="28"/>
      <c r="H171" s="28"/>
      <c r="I171" s="65" t="str">
        <f aca="false">IF($A171="","",COUNTIFS($H$2:$H$1001,$A171,$D$2:$D$1001,"Reuse"))</f>
        <v/>
      </c>
    </row>
    <row r="172" customFormat="false" ht="15" hidden="false" customHeight="false" outlineLevel="0" collapsed="false">
      <c r="A172" s="28"/>
      <c r="B172" s="63"/>
      <c r="C172" s="28"/>
      <c r="D172" s="64"/>
      <c r="E172" s="28"/>
      <c r="F172" s="28"/>
      <c r="G172" s="28"/>
      <c r="H172" s="28"/>
      <c r="I172" s="65" t="str">
        <f aca="false">IF($A172="","",COUNTIFS($H$2:$H$1001,$A172,$D$2:$D$1001,"Reuse"))</f>
        <v/>
      </c>
    </row>
    <row r="173" customFormat="false" ht="15" hidden="false" customHeight="false" outlineLevel="0" collapsed="false">
      <c r="A173" s="28"/>
      <c r="B173" s="63"/>
      <c r="C173" s="28"/>
      <c r="D173" s="64"/>
      <c r="E173" s="28"/>
      <c r="F173" s="28"/>
      <c r="G173" s="28"/>
      <c r="H173" s="28"/>
      <c r="I173" s="65" t="str">
        <f aca="false">IF($A173="","",COUNTIFS($H$2:$H$1001,$A173,$D$2:$D$1001,"Reuse"))</f>
        <v/>
      </c>
    </row>
    <row r="174" customFormat="false" ht="15" hidden="false" customHeight="false" outlineLevel="0" collapsed="false">
      <c r="A174" s="28"/>
      <c r="B174" s="63"/>
      <c r="C174" s="28"/>
      <c r="D174" s="64"/>
      <c r="E174" s="28"/>
      <c r="F174" s="28"/>
      <c r="G174" s="28"/>
      <c r="H174" s="28"/>
      <c r="I174" s="65" t="str">
        <f aca="false">IF($A174="","",COUNTIFS($H$2:$H$1001,$A174,$D$2:$D$1001,"Reuse"))</f>
        <v/>
      </c>
    </row>
    <row r="175" customFormat="false" ht="15" hidden="false" customHeight="false" outlineLevel="0" collapsed="false">
      <c r="A175" s="28"/>
      <c r="B175" s="63"/>
      <c r="C175" s="28"/>
      <c r="D175" s="64"/>
      <c r="E175" s="28"/>
      <c r="F175" s="28"/>
      <c r="G175" s="28"/>
      <c r="H175" s="28"/>
      <c r="I175" s="65" t="str">
        <f aca="false">IF($A175="","",COUNTIFS($H$2:$H$1001,$A175,$D$2:$D$1001,"Reuse"))</f>
        <v/>
      </c>
    </row>
    <row r="176" customFormat="false" ht="15" hidden="false" customHeight="false" outlineLevel="0" collapsed="false">
      <c r="A176" s="28"/>
      <c r="B176" s="63"/>
      <c r="C176" s="28"/>
      <c r="D176" s="64"/>
      <c r="E176" s="28"/>
      <c r="F176" s="28"/>
      <c r="G176" s="28"/>
      <c r="H176" s="28"/>
      <c r="I176" s="65" t="str">
        <f aca="false">IF($A176="","",COUNTIFS($H$2:$H$1001,$A176,$D$2:$D$1001,"Reuse"))</f>
        <v/>
      </c>
    </row>
    <row r="177" customFormat="false" ht="15" hidden="false" customHeight="false" outlineLevel="0" collapsed="false">
      <c r="A177" s="28"/>
      <c r="B177" s="63"/>
      <c r="C177" s="28"/>
      <c r="D177" s="64"/>
      <c r="E177" s="28"/>
      <c r="F177" s="28"/>
      <c r="G177" s="28"/>
      <c r="H177" s="28"/>
      <c r="I177" s="65" t="str">
        <f aca="false">IF($A177="","",COUNTIFS($H$2:$H$1001,$A177,$D$2:$D$1001,"Reuse"))</f>
        <v/>
      </c>
    </row>
    <row r="178" customFormat="false" ht="15" hidden="false" customHeight="false" outlineLevel="0" collapsed="false">
      <c r="A178" s="28"/>
      <c r="B178" s="63"/>
      <c r="C178" s="28"/>
      <c r="D178" s="64"/>
      <c r="E178" s="28"/>
      <c r="F178" s="28"/>
      <c r="G178" s="28"/>
      <c r="H178" s="28"/>
      <c r="I178" s="65" t="str">
        <f aca="false">IF($A178="","",COUNTIFS($H$2:$H$1001,$A178,$D$2:$D$1001,"Reuse"))</f>
        <v/>
      </c>
    </row>
    <row r="179" customFormat="false" ht="15" hidden="false" customHeight="false" outlineLevel="0" collapsed="false">
      <c r="A179" s="28"/>
      <c r="B179" s="63"/>
      <c r="C179" s="28"/>
      <c r="D179" s="64"/>
      <c r="E179" s="28"/>
      <c r="F179" s="28"/>
      <c r="G179" s="28"/>
      <c r="H179" s="28"/>
      <c r="I179" s="65" t="str">
        <f aca="false">IF($A179="","",COUNTIFS($H$2:$H$1001,$A179,$D$2:$D$1001,"Reuse"))</f>
        <v/>
      </c>
    </row>
    <row r="180" customFormat="false" ht="15" hidden="false" customHeight="false" outlineLevel="0" collapsed="false">
      <c r="A180" s="28"/>
      <c r="B180" s="63"/>
      <c r="C180" s="28"/>
      <c r="D180" s="64"/>
      <c r="E180" s="28"/>
      <c r="F180" s="28"/>
      <c r="G180" s="28"/>
      <c r="H180" s="28"/>
      <c r="I180" s="65" t="str">
        <f aca="false">IF($A180="","",COUNTIFS($H$2:$H$1001,$A180,$D$2:$D$1001,"Reuse"))</f>
        <v/>
      </c>
    </row>
    <row r="181" customFormat="false" ht="15" hidden="false" customHeight="false" outlineLevel="0" collapsed="false">
      <c r="A181" s="28"/>
      <c r="B181" s="63"/>
      <c r="C181" s="28"/>
      <c r="D181" s="64"/>
      <c r="E181" s="28"/>
      <c r="F181" s="28"/>
      <c r="G181" s="28"/>
      <c r="H181" s="28"/>
      <c r="I181" s="65" t="str">
        <f aca="false">IF($A181="","",COUNTIFS($H$2:$H$1001,$A181,$D$2:$D$1001,"Reuse"))</f>
        <v/>
      </c>
    </row>
    <row r="182" customFormat="false" ht="15" hidden="false" customHeight="false" outlineLevel="0" collapsed="false">
      <c r="A182" s="28"/>
      <c r="B182" s="63"/>
      <c r="C182" s="28"/>
      <c r="D182" s="64"/>
      <c r="E182" s="28"/>
      <c r="F182" s="28"/>
      <c r="G182" s="28"/>
      <c r="H182" s="28"/>
      <c r="I182" s="65" t="str">
        <f aca="false">IF($A182="","",COUNTIFS($H$2:$H$1001,$A182,$D$2:$D$1001,"Reuse"))</f>
        <v/>
      </c>
    </row>
    <row r="183" customFormat="false" ht="15" hidden="false" customHeight="false" outlineLevel="0" collapsed="false">
      <c r="A183" s="28"/>
      <c r="B183" s="63"/>
      <c r="C183" s="28"/>
      <c r="D183" s="64"/>
      <c r="E183" s="28"/>
      <c r="F183" s="28"/>
      <c r="G183" s="28"/>
      <c r="H183" s="28"/>
      <c r="I183" s="65" t="str">
        <f aca="false">IF($A183="","",COUNTIFS($H$2:$H$1001,$A183,$D$2:$D$1001,"Reuse"))</f>
        <v/>
      </c>
    </row>
    <row r="184" customFormat="false" ht="15" hidden="false" customHeight="false" outlineLevel="0" collapsed="false">
      <c r="A184" s="28"/>
      <c r="B184" s="63"/>
      <c r="C184" s="28"/>
      <c r="D184" s="64"/>
      <c r="E184" s="28"/>
      <c r="F184" s="28"/>
      <c r="G184" s="28"/>
      <c r="H184" s="28"/>
      <c r="I184" s="65" t="str">
        <f aca="false">IF($A184="","",COUNTIFS($H$2:$H$1001,$A184,$D$2:$D$1001,"Reuse"))</f>
        <v/>
      </c>
    </row>
    <row r="185" customFormat="false" ht="15" hidden="false" customHeight="false" outlineLevel="0" collapsed="false">
      <c r="A185" s="28"/>
      <c r="B185" s="63"/>
      <c r="C185" s="28"/>
      <c r="D185" s="64"/>
      <c r="E185" s="28"/>
      <c r="F185" s="28"/>
      <c r="G185" s="28"/>
      <c r="H185" s="28"/>
      <c r="I185" s="65" t="str">
        <f aca="false">IF($A185="","",COUNTIFS($H$2:$H$1001,$A185,$D$2:$D$1001,"Reuse"))</f>
        <v/>
      </c>
    </row>
    <row r="186" customFormat="false" ht="15" hidden="false" customHeight="false" outlineLevel="0" collapsed="false">
      <c r="A186" s="28"/>
      <c r="B186" s="63"/>
      <c r="C186" s="28"/>
      <c r="D186" s="64"/>
      <c r="E186" s="28"/>
      <c r="F186" s="28"/>
      <c r="G186" s="28"/>
      <c r="H186" s="28"/>
      <c r="I186" s="65" t="str">
        <f aca="false">IF($A186="","",COUNTIFS($H$2:$H$1001,$A186,$D$2:$D$1001,"Reuse"))</f>
        <v/>
      </c>
    </row>
    <row r="187" customFormat="false" ht="15" hidden="false" customHeight="false" outlineLevel="0" collapsed="false">
      <c r="A187" s="28"/>
      <c r="B187" s="63"/>
      <c r="C187" s="28"/>
      <c r="D187" s="64"/>
      <c r="E187" s="28"/>
      <c r="F187" s="28"/>
      <c r="G187" s="28"/>
      <c r="H187" s="28"/>
      <c r="I187" s="65" t="str">
        <f aca="false">IF($A187="","",COUNTIFS($H$2:$H$1001,$A187,$D$2:$D$1001,"Reuse"))</f>
        <v/>
      </c>
    </row>
    <row r="188" customFormat="false" ht="15" hidden="false" customHeight="false" outlineLevel="0" collapsed="false">
      <c r="A188" s="28"/>
      <c r="B188" s="63"/>
      <c r="C188" s="28"/>
      <c r="D188" s="64"/>
      <c r="E188" s="28"/>
      <c r="F188" s="28"/>
      <c r="G188" s="28"/>
      <c r="H188" s="28"/>
      <c r="I188" s="65" t="str">
        <f aca="false">IF($A188="","",COUNTIFS($H$2:$H$1001,$A188,$D$2:$D$1001,"Reuse"))</f>
        <v/>
      </c>
    </row>
    <row r="189" customFormat="false" ht="15" hidden="false" customHeight="false" outlineLevel="0" collapsed="false">
      <c r="A189" s="28"/>
      <c r="B189" s="63"/>
      <c r="C189" s="28"/>
      <c r="D189" s="64"/>
      <c r="E189" s="28"/>
      <c r="F189" s="28"/>
      <c r="G189" s="28"/>
      <c r="H189" s="28"/>
      <c r="I189" s="65" t="str">
        <f aca="false">IF($A189="","",COUNTIFS($H$2:$H$1001,$A189,$D$2:$D$1001,"Reuse"))</f>
        <v/>
      </c>
    </row>
    <row r="190" customFormat="false" ht="15" hidden="false" customHeight="false" outlineLevel="0" collapsed="false">
      <c r="A190" s="28"/>
      <c r="B190" s="63"/>
      <c r="C190" s="28"/>
      <c r="D190" s="64"/>
      <c r="E190" s="28"/>
      <c r="F190" s="28"/>
      <c r="G190" s="28"/>
      <c r="H190" s="28"/>
      <c r="I190" s="65" t="str">
        <f aca="false">IF($A190="","",COUNTIFS($H$2:$H$1001,$A190,$D$2:$D$1001,"Reuse"))</f>
        <v/>
      </c>
    </row>
    <row r="191" customFormat="false" ht="15" hidden="false" customHeight="false" outlineLevel="0" collapsed="false">
      <c r="A191" s="28"/>
      <c r="B191" s="63"/>
      <c r="C191" s="28"/>
      <c r="D191" s="64"/>
      <c r="E191" s="28"/>
      <c r="F191" s="28"/>
      <c r="G191" s="28"/>
      <c r="H191" s="28"/>
      <c r="I191" s="65" t="str">
        <f aca="false">IF($A191="","",COUNTIFS($H$2:$H$1001,$A191,$D$2:$D$1001,"Reuse"))</f>
        <v/>
      </c>
    </row>
    <row r="192" customFormat="false" ht="15" hidden="false" customHeight="false" outlineLevel="0" collapsed="false">
      <c r="A192" s="28"/>
      <c r="B192" s="63"/>
      <c r="C192" s="28"/>
      <c r="D192" s="64"/>
      <c r="E192" s="28"/>
      <c r="F192" s="28"/>
      <c r="G192" s="28"/>
      <c r="H192" s="28"/>
      <c r="I192" s="65" t="str">
        <f aca="false">IF($A192="","",COUNTIFS($H$2:$H$1001,$A192,$D$2:$D$1001,"Reuse"))</f>
        <v/>
      </c>
    </row>
    <row r="193" customFormat="false" ht="15" hidden="false" customHeight="false" outlineLevel="0" collapsed="false">
      <c r="A193" s="28"/>
      <c r="B193" s="63"/>
      <c r="C193" s="28"/>
      <c r="D193" s="64"/>
      <c r="E193" s="28"/>
      <c r="F193" s="28"/>
      <c r="G193" s="28"/>
      <c r="H193" s="28"/>
      <c r="I193" s="65" t="str">
        <f aca="false">IF($A193="","",COUNTIFS($H$2:$H$1001,$A193,$D$2:$D$1001,"Reuse"))</f>
        <v/>
      </c>
    </row>
    <row r="194" customFormat="false" ht="15" hidden="false" customHeight="false" outlineLevel="0" collapsed="false">
      <c r="A194" s="28"/>
      <c r="B194" s="63"/>
      <c r="C194" s="28"/>
      <c r="D194" s="64"/>
      <c r="E194" s="28"/>
      <c r="F194" s="28"/>
      <c r="G194" s="28"/>
      <c r="H194" s="28"/>
      <c r="I194" s="65" t="str">
        <f aca="false">IF($A194="","",COUNTIFS($H$2:$H$1001,$A194,$D$2:$D$1001,"Reuse"))</f>
        <v/>
      </c>
    </row>
    <row r="195" customFormat="false" ht="15" hidden="false" customHeight="false" outlineLevel="0" collapsed="false">
      <c r="A195" s="28"/>
      <c r="B195" s="63"/>
      <c r="C195" s="28"/>
      <c r="D195" s="64"/>
      <c r="E195" s="28"/>
      <c r="F195" s="28"/>
      <c r="G195" s="28"/>
      <c r="H195" s="28"/>
      <c r="I195" s="65" t="str">
        <f aca="false">IF($A195="","",COUNTIFS($H$2:$H$1001,$A195,$D$2:$D$1001,"Reuse"))</f>
        <v/>
      </c>
    </row>
    <row r="196" customFormat="false" ht="15" hidden="false" customHeight="false" outlineLevel="0" collapsed="false">
      <c r="A196" s="28"/>
      <c r="B196" s="63"/>
      <c r="C196" s="28"/>
      <c r="D196" s="64"/>
      <c r="E196" s="28"/>
      <c r="F196" s="28"/>
      <c r="G196" s="28"/>
      <c r="H196" s="28"/>
      <c r="I196" s="65" t="str">
        <f aca="false">IF($A196="","",COUNTIFS($H$2:$H$1001,$A196,$D$2:$D$1001,"Reuse"))</f>
        <v/>
      </c>
    </row>
    <row r="197" customFormat="false" ht="15" hidden="false" customHeight="false" outlineLevel="0" collapsed="false">
      <c r="A197" s="28"/>
      <c r="B197" s="63"/>
      <c r="C197" s="28"/>
      <c r="D197" s="64"/>
      <c r="E197" s="28"/>
      <c r="F197" s="28"/>
      <c r="G197" s="28"/>
      <c r="H197" s="28"/>
      <c r="I197" s="65" t="str">
        <f aca="false">IF($A197="","",COUNTIFS($H$2:$H$1001,$A197,$D$2:$D$1001,"Reuse"))</f>
        <v/>
      </c>
    </row>
    <row r="198" customFormat="false" ht="15" hidden="false" customHeight="false" outlineLevel="0" collapsed="false">
      <c r="A198" s="28"/>
      <c r="B198" s="63"/>
      <c r="C198" s="28"/>
      <c r="D198" s="64"/>
      <c r="E198" s="28"/>
      <c r="F198" s="28"/>
      <c r="G198" s="28"/>
      <c r="H198" s="28"/>
      <c r="I198" s="65" t="str">
        <f aca="false">IF($A198="","",COUNTIFS($H$2:$H$1001,$A198,$D$2:$D$1001,"Reuse"))</f>
        <v/>
      </c>
    </row>
    <row r="199" customFormat="false" ht="15" hidden="false" customHeight="false" outlineLevel="0" collapsed="false">
      <c r="A199" s="28"/>
      <c r="B199" s="63"/>
      <c r="C199" s="28"/>
      <c r="D199" s="64"/>
      <c r="E199" s="28"/>
      <c r="F199" s="28"/>
      <c r="G199" s="28"/>
      <c r="H199" s="28"/>
      <c r="I199" s="65" t="str">
        <f aca="false">IF($A199="","",COUNTIFS($H$2:$H$1001,$A199,$D$2:$D$1001,"Reuse"))</f>
        <v/>
      </c>
    </row>
    <row r="200" customFormat="false" ht="15" hidden="false" customHeight="false" outlineLevel="0" collapsed="false">
      <c r="A200" s="28"/>
      <c r="B200" s="63"/>
      <c r="C200" s="28"/>
      <c r="D200" s="64"/>
      <c r="E200" s="28"/>
      <c r="F200" s="28"/>
      <c r="G200" s="28"/>
      <c r="H200" s="28"/>
      <c r="I200" s="65" t="str">
        <f aca="false">IF($A200="","",COUNTIFS($H$2:$H$1001,$A200,$D$2:$D$1001,"Reuse"))</f>
        <v/>
      </c>
    </row>
    <row r="201" customFormat="false" ht="15" hidden="false" customHeight="false" outlineLevel="0" collapsed="false">
      <c r="A201" s="28"/>
      <c r="B201" s="63"/>
      <c r="C201" s="28"/>
      <c r="D201" s="64"/>
      <c r="E201" s="28"/>
      <c r="F201" s="28"/>
      <c r="G201" s="28"/>
      <c r="H201" s="28"/>
      <c r="I201" s="65" t="str">
        <f aca="false">IF($A201="","",COUNTIFS($H$2:$H$1001,$A201,$D$2:$D$1001,"Reuse"))</f>
        <v/>
      </c>
    </row>
    <row r="202" customFormat="false" ht="15" hidden="false" customHeight="false" outlineLevel="0" collapsed="false">
      <c r="A202" s="28"/>
      <c r="B202" s="63"/>
      <c r="C202" s="28"/>
      <c r="D202" s="64"/>
      <c r="E202" s="28"/>
      <c r="F202" s="28"/>
      <c r="G202" s="28"/>
      <c r="H202" s="28"/>
      <c r="I202" s="65" t="str">
        <f aca="false">IF($A202="","",COUNTIFS($H$2:$H$1001,$A202,$D$2:$D$1001,"Reuse"))</f>
        <v/>
      </c>
    </row>
    <row r="203" customFormat="false" ht="15" hidden="false" customHeight="false" outlineLevel="0" collapsed="false">
      <c r="A203" s="28"/>
      <c r="B203" s="63"/>
      <c r="C203" s="28"/>
      <c r="D203" s="64"/>
      <c r="E203" s="28"/>
      <c r="F203" s="28"/>
      <c r="G203" s="28"/>
      <c r="H203" s="28"/>
      <c r="I203" s="65" t="str">
        <f aca="false">IF($A203="","",COUNTIFS($H$2:$H$1001,$A203,$D$2:$D$1001,"Reuse"))</f>
        <v/>
      </c>
    </row>
    <row r="204" customFormat="false" ht="15" hidden="false" customHeight="false" outlineLevel="0" collapsed="false">
      <c r="A204" s="28"/>
      <c r="B204" s="63"/>
      <c r="C204" s="28"/>
      <c r="D204" s="64"/>
      <c r="E204" s="28"/>
      <c r="F204" s="28"/>
      <c r="G204" s="28"/>
      <c r="H204" s="28"/>
      <c r="I204" s="65" t="str">
        <f aca="false">IF($A204="","",COUNTIFS($H$2:$H$1001,$A204,$D$2:$D$1001,"Reuse"))</f>
        <v/>
      </c>
    </row>
    <row r="205" customFormat="false" ht="15" hidden="false" customHeight="false" outlineLevel="0" collapsed="false">
      <c r="A205" s="28"/>
      <c r="B205" s="63"/>
      <c r="C205" s="28"/>
      <c r="D205" s="64"/>
      <c r="E205" s="28"/>
      <c r="F205" s="28"/>
      <c r="G205" s="28"/>
      <c r="H205" s="28"/>
      <c r="I205" s="65" t="str">
        <f aca="false">IF($A205="","",COUNTIFS($H$2:$H$1001,$A205,$D$2:$D$1001,"Reuse"))</f>
        <v/>
      </c>
    </row>
    <row r="206" customFormat="false" ht="15" hidden="false" customHeight="false" outlineLevel="0" collapsed="false">
      <c r="A206" s="28"/>
      <c r="B206" s="63"/>
      <c r="C206" s="28"/>
      <c r="D206" s="64"/>
      <c r="E206" s="28"/>
      <c r="F206" s="28"/>
      <c r="G206" s="28"/>
      <c r="H206" s="28"/>
      <c r="I206" s="65" t="str">
        <f aca="false">IF($A206="","",COUNTIFS($H$2:$H$1001,$A206,$D$2:$D$1001,"Reuse"))</f>
        <v/>
      </c>
    </row>
    <row r="207" customFormat="false" ht="15" hidden="false" customHeight="false" outlineLevel="0" collapsed="false">
      <c r="A207" s="28"/>
      <c r="B207" s="63"/>
      <c r="C207" s="28"/>
      <c r="D207" s="64"/>
      <c r="E207" s="28"/>
      <c r="F207" s="28"/>
      <c r="G207" s="28"/>
      <c r="H207" s="28"/>
      <c r="I207" s="65" t="str">
        <f aca="false">IF($A207="","",COUNTIFS($H$2:$H$1001,$A207,$D$2:$D$1001,"Reuse"))</f>
        <v/>
      </c>
    </row>
    <row r="208" customFormat="false" ht="15" hidden="false" customHeight="false" outlineLevel="0" collapsed="false">
      <c r="A208" s="28"/>
      <c r="B208" s="63"/>
      <c r="C208" s="28"/>
      <c r="D208" s="64"/>
      <c r="E208" s="28"/>
      <c r="F208" s="28"/>
      <c r="G208" s="28"/>
      <c r="H208" s="28"/>
      <c r="I208" s="65" t="str">
        <f aca="false">IF($A208="","",COUNTIFS($H$2:$H$1001,$A208,$D$2:$D$1001,"Reuse"))</f>
        <v/>
      </c>
    </row>
    <row r="209" customFormat="false" ht="15" hidden="false" customHeight="false" outlineLevel="0" collapsed="false">
      <c r="A209" s="28"/>
      <c r="B209" s="63"/>
      <c r="C209" s="28"/>
      <c r="D209" s="64"/>
      <c r="E209" s="28"/>
      <c r="F209" s="28"/>
      <c r="G209" s="28"/>
      <c r="H209" s="28"/>
      <c r="I209" s="65" t="str">
        <f aca="false">IF($A209="","",COUNTIFS($H$2:$H$1001,$A209,$D$2:$D$1001,"Reuse"))</f>
        <v/>
      </c>
    </row>
    <row r="210" customFormat="false" ht="15" hidden="false" customHeight="false" outlineLevel="0" collapsed="false">
      <c r="A210" s="28"/>
      <c r="B210" s="63"/>
      <c r="C210" s="28"/>
      <c r="D210" s="64"/>
      <c r="E210" s="28"/>
      <c r="F210" s="28"/>
      <c r="G210" s="28"/>
      <c r="H210" s="28"/>
      <c r="I210" s="65" t="str">
        <f aca="false">IF($A210="","",COUNTIFS($H$2:$H$1001,$A210,$D$2:$D$1001,"Reuse"))</f>
        <v/>
      </c>
    </row>
    <row r="211" customFormat="false" ht="15" hidden="false" customHeight="false" outlineLevel="0" collapsed="false">
      <c r="A211" s="28"/>
      <c r="B211" s="63"/>
      <c r="C211" s="28"/>
      <c r="D211" s="64"/>
      <c r="E211" s="28"/>
      <c r="F211" s="28"/>
      <c r="G211" s="28"/>
      <c r="H211" s="28"/>
      <c r="I211" s="65" t="str">
        <f aca="false">IF($A211="","",COUNTIFS($H$2:$H$1001,$A211,$D$2:$D$1001,"Reuse"))</f>
        <v/>
      </c>
    </row>
    <row r="212" customFormat="false" ht="15" hidden="false" customHeight="false" outlineLevel="0" collapsed="false">
      <c r="A212" s="28"/>
      <c r="B212" s="63"/>
      <c r="C212" s="28"/>
      <c r="D212" s="64"/>
      <c r="E212" s="28"/>
      <c r="F212" s="28"/>
      <c r="G212" s="28"/>
      <c r="H212" s="28"/>
      <c r="I212" s="65" t="str">
        <f aca="false">IF($A212="","",COUNTIFS($H$2:$H$1001,$A212,$D$2:$D$1001,"Reuse"))</f>
        <v/>
      </c>
    </row>
    <row r="213" customFormat="false" ht="15" hidden="false" customHeight="false" outlineLevel="0" collapsed="false">
      <c r="A213" s="28"/>
      <c r="B213" s="63"/>
      <c r="C213" s="28"/>
      <c r="D213" s="64"/>
      <c r="E213" s="28"/>
      <c r="F213" s="28"/>
      <c r="G213" s="28"/>
      <c r="H213" s="28"/>
      <c r="I213" s="65" t="str">
        <f aca="false">IF($A213="","",COUNTIFS($H$2:$H$1001,$A213,$D$2:$D$1001,"Reuse"))</f>
        <v/>
      </c>
    </row>
    <row r="214" customFormat="false" ht="15" hidden="false" customHeight="false" outlineLevel="0" collapsed="false">
      <c r="A214" s="28"/>
      <c r="B214" s="63"/>
      <c r="C214" s="28"/>
      <c r="D214" s="64"/>
      <c r="E214" s="28"/>
      <c r="F214" s="28"/>
      <c r="G214" s="28"/>
      <c r="H214" s="28"/>
      <c r="I214" s="65" t="str">
        <f aca="false">IF($A214="","",COUNTIFS($H$2:$H$1001,$A214,$D$2:$D$1001,"Reuse"))</f>
        <v/>
      </c>
    </row>
    <row r="215" customFormat="false" ht="15" hidden="false" customHeight="false" outlineLevel="0" collapsed="false">
      <c r="A215" s="28"/>
      <c r="B215" s="63"/>
      <c r="C215" s="28"/>
      <c r="D215" s="64"/>
      <c r="E215" s="28"/>
      <c r="F215" s="28"/>
      <c r="G215" s="28"/>
      <c r="H215" s="28"/>
      <c r="I215" s="65" t="str">
        <f aca="false">IF($A215="","",COUNTIFS($H$2:$H$1001,$A215,$D$2:$D$1001,"Reuse"))</f>
        <v/>
      </c>
    </row>
    <row r="216" customFormat="false" ht="15" hidden="false" customHeight="false" outlineLevel="0" collapsed="false">
      <c r="A216" s="28"/>
      <c r="B216" s="63"/>
      <c r="C216" s="28"/>
      <c r="D216" s="64"/>
      <c r="E216" s="28"/>
      <c r="F216" s="28"/>
      <c r="G216" s="28"/>
      <c r="H216" s="28"/>
      <c r="I216" s="65" t="str">
        <f aca="false">IF($A216="","",COUNTIFS($H$2:$H$1001,$A216,$D$2:$D$1001,"Reuse"))</f>
        <v/>
      </c>
    </row>
    <row r="217" customFormat="false" ht="15" hidden="false" customHeight="false" outlineLevel="0" collapsed="false">
      <c r="A217" s="28"/>
      <c r="B217" s="63"/>
      <c r="C217" s="28"/>
      <c r="D217" s="64"/>
      <c r="E217" s="28"/>
      <c r="F217" s="28"/>
      <c r="G217" s="28"/>
      <c r="H217" s="28"/>
      <c r="I217" s="65" t="str">
        <f aca="false">IF($A217="","",COUNTIFS($H$2:$H$1001,$A217,$D$2:$D$1001,"Reuse"))</f>
        <v/>
      </c>
    </row>
    <row r="218" customFormat="false" ht="15" hidden="false" customHeight="false" outlineLevel="0" collapsed="false">
      <c r="A218" s="28"/>
      <c r="B218" s="63"/>
      <c r="C218" s="28"/>
      <c r="D218" s="64"/>
      <c r="E218" s="28"/>
      <c r="F218" s="28"/>
      <c r="G218" s="28"/>
      <c r="H218" s="28"/>
      <c r="I218" s="65" t="str">
        <f aca="false">IF($A218="","",COUNTIFS($H$2:$H$1001,$A218,$D$2:$D$1001,"Reuse"))</f>
        <v/>
      </c>
    </row>
    <row r="219" customFormat="false" ht="15" hidden="false" customHeight="false" outlineLevel="0" collapsed="false">
      <c r="A219" s="28"/>
      <c r="B219" s="63"/>
      <c r="C219" s="28"/>
      <c r="D219" s="64"/>
      <c r="E219" s="28"/>
      <c r="F219" s="28"/>
      <c r="G219" s="28"/>
      <c r="H219" s="28"/>
      <c r="I219" s="65" t="str">
        <f aca="false">IF($A219="","",COUNTIFS($H$2:$H$1001,$A219,$D$2:$D$1001,"Reuse"))</f>
        <v/>
      </c>
    </row>
    <row r="220" customFormat="false" ht="15" hidden="false" customHeight="false" outlineLevel="0" collapsed="false">
      <c r="A220" s="28"/>
      <c r="B220" s="63"/>
      <c r="C220" s="28"/>
      <c r="D220" s="64"/>
      <c r="E220" s="28"/>
      <c r="F220" s="28"/>
      <c r="G220" s="28"/>
      <c r="H220" s="28"/>
      <c r="I220" s="65" t="str">
        <f aca="false">IF($A220="","",COUNTIFS($H$2:$H$1001,$A220,$D$2:$D$1001,"Reuse"))</f>
        <v/>
      </c>
    </row>
    <row r="221" customFormat="false" ht="15" hidden="false" customHeight="false" outlineLevel="0" collapsed="false">
      <c r="A221" s="28"/>
      <c r="B221" s="63"/>
      <c r="C221" s="28"/>
      <c r="D221" s="64"/>
      <c r="E221" s="28"/>
      <c r="F221" s="28"/>
      <c r="G221" s="28"/>
      <c r="H221" s="28"/>
      <c r="I221" s="65" t="str">
        <f aca="false">IF($A221="","",COUNTIFS($H$2:$H$1001,$A221,$D$2:$D$1001,"Reuse"))</f>
        <v/>
      </c>
    </row>
    <row r="222" customFormat="false" ht="15" hidden="false" customHeight="false" outlineLevel="0" collapsed="false">
      <c r="A222" s="28"/>
      <c r="B222" s="63"/>
      <c r="C222" s="28"/>
      <c r="D222" s="64"/>
      <c r="E222" s="28"/>
      <c r="F222" s="28"/>
      <c r="G222" s="28"/>
      <c r="H222" s="28"/>
      <c r="I222" s="65" t="str">
        <f aca="false">IF($A222="","",COUNTIFS($H$2:$H$1001,$A222,$D$2:$D$1001,"Reuse"))</f>
        <v/>
      </c>
    </row>
    <row r="223" customFormat="false" ht="15" hidden="false" customHeight="false" outlineLevel="0" collapsed="false">
      <c r="A223" s="28"/>
      <c r="B223" s="63"/>
      <c r="C223" s="28"/>
      <c r="D223" s="64"/>
      <c r="E223" s="28"/>
      <c r="F223" s="28"/>
      <c r="G223" s="28"/>
      <c r="H223" s="28"/>
      <c r="I223" s="65" t="str">
        <f aca="false">IF($A223="","",COUNTIFS($H$2:$H$1001,$A223,$D$2:$D$1001,"Reuse"))</f>
        <v/>
      </c>
    </row>
    <row r="224" customFormat="false" ht="15" hidden="false" customHeight="false" outlineLevel="0" collapsed="false">
      <c r="A224" s="28"/>
      <c r="B224" s="63"/>
      <c r="C224" s="28"/>
      <c r="D224" s="64"/>
      <c r="E224" s="28"/>
      <c r="F224" s="28"/>
      <c r="G224" s="28"/>
      <c r="H224" s="28"/>
      <c r="I224" s="65" t="str">
        <f aca="false">IF($A224="","",COUNTIFS($H$2:$H$1001,$A224,$D$2:$D$1001,"Reuse"))</f>
        <v/>
      </c>
    </row>
    <row r="225" customFormat="false" ht="15" hidden="false" customHeight="false" outlineLevel="0" collapsed="false">
      <c r="A225" s="28"/>
      <c r="B225" s="63"/>
      <c r="C225" s="28"/>
      <c r="D225" s="64"/>
      <c r="E225" s="28"/>
      <c r="F225" s="28"/>
      <c r="G225" s="28"/>
      <c r="H225" s="28"/>
      <c r="I225" s="65" t="str">
        <f aca="false">IF($A225="","",COUNTIFS($H$2:$H$1001,$A225,$D$2:$D$1001,"Reuse"))</f>
        <v/>
      </c>
    </row>
    <row r="226" customFormat="false" ht="15" hidden="false" customHeight="false" outlineLevel="0" collapsed="false">
      <c r="A226" s="28"/>
      <c r="B226" s="63"/>
      <c r="C226" s="28"/>
      <c r="D226" s="64"/>
      <c r="E226" s="28"/>
      <c r="F226" s="28"/>
      <c r="G226" s="28"/>
      <c r="H226" s="28"/>
      <c r="I226" s="65" t="str">
        <f aca="false">IF($A226="","",COUNTIFS($H$2:$H$1001,$A226,$D$2:$D$1001,"Reuse"))</f>
        <v/>
      </c>
    </row>
    <row r="227" customFormat="false" ht="15" hidden="false" customHeight="false" outlineLevel="0" collapsed="false">
      <c r="A227" s="28"/>
      <c r="B227" s="63"/>
      <c r="C227" s="28"/>
      <c r="D227" s="64"/>
      <c r="E227" s="28"/>
      <c r="F227" s="28"/>
      <c r="G227" s="28"/>
      <c r="H227" s="28"/>
      <c r="I227" s="65" t="str">
        <f aca="false">IF($A227="","",COUNTIFS($H$2:$H$1001,$A227,$D$2:$D$1001,"Reuse"))</f>
        <v/>
      </c>
    </row>
    <row r="228" customFormat="false" ht="15" hidden="false" customHeight="false" outlineLevel="0" collapsed="false">
      <c r="A228" s="28"/>
      <c r="B228" s="63"/>
      <c r="C228" s="28"/>
      <c r="D228" s="64"/>
      <c r="E228" s="28"/>
      <c r="F228" s="28"/>
      <c r="G228" s="28"/>
      <c r="H228" s="28"/>
      <c r="I228" s="65" t="str">
        <f aca="false">IF($A228="","",COUNTIFS($H$2:$H$1001,$A228,$D$2:$D$1001,"Reuse"))</f>
        <v/>
      </c>
    </row>
    <row r="229" customFormat="false" ht="15" hidden="false" customHeight="false" outlineLevel="0" collapsed="false">
      <c r="A229" s="28"/>
      <c r="B229" s="63"/>
      <c r="C229" s="28"/>
      <c r="D229" s="64"/>
      <c r="E229" s="28"/>
      <c r="F229" s="28"/>
      <c r="G229" s="28"/>
      <c r="H229" s="28"/>
      <c r="I229" s="65" t="str">
        <f aca="false">IF($A229="","",COUNTIFS($H$2:$H$1001,$A229,$D$2:$D$1001,"Reuse"))</f>
        <v/>
      </c>
    </row>
    <row r="230" customFormat="false" ht="15" hidden="false" customHeight="false" outlineLevel="0" collapsed="false">
      <c r="A230" s="28"/>
      <c r="B230" s="63"/>
      <c r="C230" s="28"/>
      <c r="D230" s="64"/>
      <c r="E230" s="28"/>
      <c r="F230" s="28"/>
      <c r="G230" s="28"/>
      <c r="H230" s="28"/>
      <c r="I230" s="65" t="str">
        <f aca="false">IF($A230="","",COUNTIFS($H$2:$H$1001,$A230,$D$2:$D$1001,"Reuse"))</f>
        <v/>
      </c>
    </row>
    <row r="231" customFormat="false" ht="15" hidden="false" customHeight="false" outlineLevel="0" collapsed="false">
      <c r="A231" s="28"/>
      <c r="B231" s="63"/>
      <c r="C231" s="28"/>
      <c r="D231" s="64"/>
      <c r="E231" s="28"/>
      <c r="F231" s="28"/>
      <c r="G231" s="28"/>
      <c r="H231" s="28"/>
      <c r="I231" s="65" t="str">
        <f aca="false">IF($A231="","",COUNTIFS($H$2:$H$1001,$A231,$D$2:$D$1001,"Reuse"))</f>
        <v/>
      </c>
    </row>
    <row r="232" customFormat="false" ht="15" hidden="false" customHeight="false" outlineLevel="0" collapsed="false">
      <c r="A232" s="28"/>
      <c r="B232" s="63"/>
      <c r="C232" s="28"/>
      <c r="D232" s="64"/>
      <c r="E232" s="28"/>
      <c r="F232" s="28"/>
      <c r="G232" s="28"/>
      <c r="H232" s="28"/>
      <c r="I232" s="65" t="str">
        <f aca="false">IF($A232="","",COUNTIFS($H$2:$H$1001,$A232,$D$2:$D$1001,"Reuse"))</f>
        <v/>
      </c>
    </row>
    <row r="233" customFormat="false" ht="15" hidden="false" customHeight="false" outlineLevel="0" collapsed="false">
      <c r="A233" s="28"/>
      <c r="B233" s="63"/>
      <c r="C233" s="28"/>
      <c r="D233" s="64"/>
      <c r="E233" s="28"/>
      <c r="F233" s="28"/>
      <c r="G233" s="28"/>
      <c r="H233" s="28"/>
      <c r="I233" s="65" t="str">
        <f aca="false">IF($A233="","",COUNTIFS($H$2:$H$1001,$A233,$D$2:$D$1001,"Reuse"))</f>
        <v/>
      </c>
    </row>
    <row r="234" customFormat="false" ht="15" hidden="false" customHeight="false" outlineLevel="0" collapsed="false">
      <c r="A234" s="28"/>
      <c r="B234" s="63"/>
      <c r="C234" s="28"/>
      <c r="D234" s="64"/>
      <c r="E234" s="28"/>
      <c r="F234" s="28"/>
      <c r="G234" s="28"/>
      <c r="H234" s="28"/>
      <c r="I234" s="65" t="str">
        <f aca="false">IF($A234="","",COUNTIFS($H$2:$H$1001,$A234,$D$2:$D$1001,"Reuse"))</f>
        <v/>
      </c>
    </row>
    <row r="235" customFormat="false" ht="15" hidden="false" customHeight="false" outlineLevel="0" collapsed="false">
      <c r="A235" s="28"/>
      <c r="B235" s="63"/>
      <c r="C235" s="28"/>
      <c r="D235" s="64"/>
      <c r="E235" s="28"/>
      <c r="F235" s="28"/>
      <c r="G235" s="28"/>
      <c r="H235" s="28"/>
      <c r="I235" s="65" t="str">
        <f aca="false">IF($A235="","",COUNTIFS($H$2:$H$1001,$A235,$D$2:$D$1001,"Reuse"))</f>
        <v/>
      </c>
    </row>
    <row r="236" customFormat="false" ht="15" hidden="false" customHeight="false" outlineLevel="0" collapsed="false">
      <c r="A236" s="28"/>
      <c r="B236" s="63"/>
      <c r="C236" s="28"/>
      <c r="D236" s="64"/>
      <c r="E236" s="28"/>
      <c r="F236" s="28"/>
      <c r="G236" s="28"/>
      <c r="H236" s="28"/>
      <c r="I236" s="65" t="str">
        <f aca="false">IF($A236="","",COUNTIFS($H$2:$H$1001,$A236,$D$2:$D$1001,"Reuse"))</f>
        <v/>
      </c>
    </row>
    <row r="237" customFormat="false" ht="15" hidden="false" customHeight="false" outlineLevel="0" collapsed="false">
      <c r="A237" s="28"/>
      <c r="B237" s="63"/>
      <c r="C237" s="28"/>
      <c r="D237" s="64"/>
      <c r="E237" s="28"/>
      <c r="F237" s="28"/>
      <c r="G237" s="28"/>
      <c r="H237" s="28"/>
      <c r="I237" s="65" t="str">
        <f aca="false">IF($A237="","",COUNTIFS($H$2:$H$1001,$A237,$D$2:$D$1001,"Reuse"))</f>
        <v/>
      </c>
    </row>
    <row r="238" customFormat="false" ht="15" hidden="false" customHeight="false" outlineLevel="0" collapsed="false">
      <c r="A238" s="28"/>
      <c r="B238" s="63"/>
      <c r="C238" s="28"/>
      <c r="D238" s="64"/>
      <c r="E238" s="28"/>
      <c r="F238" s="28"/>
      <c r="G238" s="28"/>
      <c r="H238" s="28"/>
      <c r="I238" s="65" t="str">
        <f aca="false">IF($A238="","",COUNTIFS($H$2:$H$1001,$A238,$D$2:$D$1001,"Reuse"))</f>
        <v/>
      </c>
    </row>
    <row r="239" customFormat="false" ht="15" hidden="false" customHeight="false" outlineLevel="0" collapsed="false">
      <c r="A239" s="28"/>
      <c r="B239" s="63"/>
      <c r="C239" s="28"/>
      <c r="D239" s="64"/>
      <c r="E239" s="28"/>
      <c r="F239" s="28"/>
      <c r="G239" s="28"/>
      <c r="H239" s="28"/>
      <c r="I239" s="65" t="str">
        <f aca="false">IF($A239="","",COUNTIFS($H$2:$H$1001,$A239,$D$2:$D$1001,"Reuse"))</f>
        <v/>
      </c>
    </row>
    <row r="240" customFormat="false" ht="15" hidden="false" customHeight="false" outlineLevel="0" collapsed="false">
      <c r="A240" s="28"/>
      <c r="B240" s="63"/>
      <c r="C240" s="28"/>
      <c r="D240" s="64"/>
      <c r="E240" s="28"/>
      <c r="F240" s="28"/>
      <c r="G240" s="28"/>
      <c r="H240" s="28"/>
      <c r="I240" s="65" t="str">
        <f aca="false">IF($A240="","",COUNTIFS($H$2:$H$1001,$A240,$D$2:$D$1001,"Reuse"))</f>
        <v/>
      </c>
    </row>
    <row r="241" customFormat="false" ht="15" hidden="false" customHeight="false" outlineLevel="0" collapsed="false">
      <c r="A241" s="28"/>
      <c r="B241" s="63"/>
      <c r="C241" s="28"/>
      <c r="D241" s="64"/>
      <c r="E241" s="28"/>
      <c r="F241" s="28"/>
      <c r="G241" s="28"/>
      <c r="H241" s="28"/>
      <c r="I241" s="65" t="str">
        <f aca="false">IF($A241="","",COUNTIFS($H$2:$H$1001,$A241,$D$2:$D$1001,"Reuse"))</f>
        <v/>
      </c>
    </row>
    <row r="242" customFormat="false" ht="15" hidden="false" customHeight="false" outlineLevel="0" collapsed="false">
      <c r="A242" s="28"/>
      <c r="B242" s="63"/>
      <c r="C242" s="28"/>
      <c r="D242" s="64"/>
      <c r="E242" s="28"/>
      <c r="F242" s="28"/>
      <c r="G242" s="28"/>
      <c r="H242" s="28"/>
      <c r="I242" s="65" t="str">
        <f aca="false">IF($A242="","",COUNTIFS($H$2:$H$1001,$A242,$D$2:$D$1001,"Reuse"))</f>
        <v/>
      </c>
    </row>
    <row r="243" customFormat="false" ht="15" hidden="false" customHeight="false" outlineLevel="0" collapsed="false">
      <c r="A243" s="28"/>
      <c r="B243" s="63"/>
      <c r="C243" s="28"/>
      <c r="D243" s="64"/>
      <c r="E243" s="28"/>
      <c r="F243" s="28"/>
      <c r="G243" s="28"/>
      <c r="H243" s="28"/>
      <c r="I243" s="65" t="str">
        <f aca="false">IF($A243="","",COUNTIFS($H$2:$H$1001,$A243,$D$2:$D$1001,"Reuse"))</f>
        <v/>
      </c>
    </row>
    <row r="244" customFormat="false" ht="15" hidden="false" customHeight="false" outlineLevel="0" collapsed="false">
      <c r="A244" s="28"/>
      <c r="B244" s="63"/>
      <c r="C244" s="28"/>
      <c r="D244" s="64"/>
      <c r="E244" s="28"/>
      <c r="F244" s="28"/>
      <c r="G244" s="28"/>
      <c r="H244" s="28"/>
      <c r="I244" s="65" t="str">
        <f aca="false">IF($A244="","",COUNTIFS($H$2:$H$1001,$A244,$D$2:$D$1001,"Reuse"))</f>
        <v/>
      </c>
    </row>
    <row r="245" customFormat="false" ht="15" hidden="false" customHeight="false" outlineLevel="0" collapsed="false">
      <c r="A245" s="28"/>
      <c r="B245" s="63"/>
      <c r="C245" s="28"/>
      <c r="D245" s="64"/>
      <c r="E245" s="28"/>
      <c r="F245" s="28"/>
      <c r="G245" s="28"/>
      <c r="H245" s="28"/>
      <c r="I245" s="65" t="str">
        <f aca="false">IF($A245="","",COUNTIFS($H$2:$H$1001,$A245,$D$2:$D$1001,"Reuse"))</f>
        <v/>
      </c>
    </row>
    <row r="246" customFormat="false" ht="15" hidden="false" customHeight="false" outlineLevel="0" collapsed="false">
      <c r="A246" s="28"/>
      <c r="B246" s="63"/>
      <c r="C246" s="28"/>
      <c r="D246" s="64"/>
      <c r="E246" s="28"/>
      <c r="F246" s="28"/>
      <c r="G246" s="28"/>
      <c r="H246" s="28"/>
      <c r="I246" s="65" t="str">
        <f aca="false">IF($A246="","",COUNTIFS($H$2:$H$1001,$A246,$D$2:$D$1001,"Reuse"))</f>
        <v/>
      </c>
    </row>
    <row r="247" customFormat="false" ht="15" hidden="false" customHeight="false" outlineLevel="0" collapsed="false">
      <c r="A247" s="28"/>
      <c r="B247" s="63"/>
      <c r="C247" s="28"/>
      <c r="D247" s="64"/>
      <c r="E247" s="28"/>
      <c r="F247" s="28"/>
      <c r="G247" s="28"/>
      <c r="H247" s="28"/>
      <c r="I247" s="65" t="str">
        <f aca="false">IF($A247="","",COUNTIFS($H$2:$H$1001,$A247,$D$2:$D$1001,"Reuse"))</f>
        <v/>
      </c>
    </row>
    <row r="248" customFormat="false" ht="15" hidden="false" customHeight="false" outlineLevel="0" collapsed="false">
      <c r="A248" s="28"/>
      <c r="B248" s="63"/>
      <c r="C248" s="28"/>
      <c r="D248" s="64"/>
      <c r="E248" s="28"/>
      <c r="F248" s="28"/>
      <c r="G248" s="28"/>
      <c r="H248" s="28"/>
      <c r="I248" s="65" t="str">
        <f aca="false">IF($A248="","",COUNTIFS($H$2:$H$1001,$A248,$D$2:$D$1001,"Reuse"))</f>
        <v/>
      </c>
    </row>
    <row r="249" customFormat="false" ht="15" hidden="false" customHeight="false" outlineLevel="0" collapsed="false">
      <c r="A249" s="28"/>
      <c r="B249" s="63"/>
      <c r="C249" s="28"/>
      <c r="D249" s="64"/>
      <c r="E249" s="28"/>
      <c r="F249" s="28"/>
      <c r="G249" s="28"/>
      <c r="H249" s="28"/>
      <c r="I249" s="65" t="str">
        <f aca="false">IF($A249="","",COUNTIFS($H$2:$H$1001,$A249,$D$2:$D$1001,"Reuse"))</f>
        <v/>
      </c>
    </row>
    <row r="250" customFormat="false" ht="15" hidden="false" customHeight="false" outlineLevel="0" collapsed="false">
      <c r="A250" s="28"/>
      <c r="B250" s="63"/>
      <c r="C250" s="28"/>
      <c r="D250" s="64"/>
      <c r="E250" s="28"/>
      <c r="F250" s="28"/>
      <c r="G250" s="28"/>
      <c r="H250" s="28"/>
      <c r="I250" s="65" t="str">
        <f aca="false">IF($A250="","",COUNTIFS($H$2:$H$1001,$A250,$D$2:$D$1001,"Reuse"))</f>
        <v/>
      </c>
    </row>
    <row r="251" customFormat="false" ht="15" hidden="false" customHeight="false" outlineLevel="0" collapsed="false">
      <c r="A251" s="28"/>
      <c r="B251" s="63"/>
      <c r="C251" s="28"/>
      <c r="D251" s="64"/>
      <c r="E251" s="28"/>
      <c r="F251" s="28"/>
      <c r="G251" s="28"/>
      <c r="H251" s="28"/>
      <c r="I251" s="65" t="str">
        <f aca="false">IF($A251="","",COUNTIFS($H$2:$H$1001,$A251,$D$2:$D$1001,"Reuse"))</f>
        <v/>
      </c>
    </row>
    <row r="252" customFormat="false" ht="15" hidden="false" customHeight="false" outlineLevel="0" collapsed="false">
      <c r="A252" s="28"/>
      <c r="B252" s="63"/>
      <c r="C252" s="28"/>
      <c r="D252" s="64"/>
      <c r="E252" s="28"/>
      <c r="F252" s="28"/>
      <c r="G252" s="28"/>
      <c r="H252" s="28"/>
      <c r="I252" s="65" t="str">
        <f aca="false">IF($A252="","",COUNTIFS($H$2:$H$1001,$A252,$D$2:$D$1001,"Reuse"))</f>
        <v/>
      </c>
    </row>
    <row r="253" customFormat="false" ht="15" hidden="false" customHeight="false" outlineLevel="0" collapsed="false">
      <c r="A253" s="28"/>
      <c r="B253" s="63"/>
      <c r="C253" s="28"/>
      <c r="D253" s="64"/>
      <c r="E253" s="28"/>
      <c r="F253" s="28"/>
      <c r="G253" s="28"/>
      <c r="H253" s="28"/>
      <c r="I253" s="65" t="str">
        <f aca="false">IF($A253="","",COUNTIFS($H$2:$H$1001,$A253,$D$2:$D$1001,"Reuse"))</f>
        <v/>
      </c>
    </row>
    <row r="254" customFormat="false" ht="15" hidden="false" customHeight="false" outlineLevel="0" collapsed="false">
      <c r="A254" s="28"/>
      <c r="B254" s="63"/>
      <c r="C254" s="28"/>
      <c r="D254" s="64"/>
      <c r="E254" s="28"/>
      <c r="F254" s="28"/>
      <c r="G254" s="28"/>
      <c r="H254" s="28"/>
      <c r="I254" s="65" t="str">
        <f aca="false">IF($A254="","",COUNTIFS($H$2:$H$1001,$A254,$D$2:$D$1001,"Reuse"))</f>
        <v/>
      </c>
    </row>
    <row r="255" customFormat="false" ht="15" hidden="false" customHeight="false" outlineLevel="0" collapsed="false">
      <c r="A255" s="28"/>
      <c r="B255" s="63"/>
      <c r="C255" s="28"/>
      <c r="D255" s="64"/>
      <c r="E255" s="28"/>
      <c r="F255" s="28"/>
      <c r="G255" s="28"/>
      <c r="H255" s="28"/>
      <c r="I255" s="65" t="str">
        <f aca="false">IF($A255="","",COUNTIFS($H$2:$H$1001,$A255,$D$2:$D$1001,"Reuse"))</f>
        <v/>
      </c>
    </row>
    <row r="256" customFormat="false" ht="15" hidden="false" customHeight="false" outlineLevel="0" collapsed="false">
      <c r="A256" s="28"/>
      <c r="B256" s="63"/>
      <c r="C256" s="28"/>
      <c r="D256" s="64"/>
      <c r="E256" s="28"/>
      <c r="F256" s="28"/>
      <c r="G256" s="28"/>
      <c r="H256" s="28"/>
      <c r="I256" s="65" t="str">
        <f aca="false">IF($A256="","",COUNTIFS($H$2:$H$1001,$A256,$D$2:$D$1001,"Reuse"))</f>
        <v/>
      </c>
    </row>
    <row r="257" customFormat="false" ht="15" hidden="false" customHeight="false" outlineLevel="0" collapsed="false">
      <c r="A257" s="28"/>
      <c r="B257" s="63"/>
      <c r="C257" s="28"/>
      <c r="D257" s="64"/>
      <c r="E257" s="28"/>
      <c r="F257" s="28"/>
      <c r="G257" s="28"/>
      <c r="H257" s="28"/>
      <c r="I257" s="65" t="str">
        <f aca="false">IF($A257="","",COUNTIFS($H$2:$H$1001,$A257,$D$2:$D$1001,"Reuse"))</f>
        <v/>
      </c>
    </row>
    <row r="258" customFormat="false" ht="15" hidden="false" customHeight="false" outlineLevel="0" collapsed="false">
      <c r="A258" s="28"/>
      <c r="B258" s="63"/>
      <c r="C258" s="28"/>
      <c r="D258" s="64"/>
      <c r="E258" s="28"/>
      <c r="F258" s="28"/>
      <c r="G258" s="28"/>
      <c r="H258" s="28"/>
      <c r="I258" s="65" t="str">
        <f aca="false">IF($A258="","",COUNTIFS($H$2:$H$1001,$A258,$D$2:$D$1001,"Reuse"))</f>
        <v/>
      </c>
    </row>
    <row r="259" customFormat="false" ht="15" hidden="false" customHeight="false" outlineLevel="0" collapsed="false">
      <c r="A259" s="28"/>
      <c r="B259" s="63"/>
      <c r="C259" s="28"/>
      <c r="D259" s="64"/>
      <c r="E259" s="28"/>
      <c r="F259" s="28"/>
      <c r="G259" s="28"/>
      <c r="H259" s="28"/>
      <c r="I259" s="65" t="str">
        <f aca="false">IF($A259="","",COUNTIFS($H$2:$H$1001,$A259,$D$2:$D$1001,"Reuse"))</f>
        <v/>
      </c>
    </row>
    <row r="260" customFormat="false" ht="15" hidden="false" customHeight="false" outlineLevel="0" collapsed="false">
      <c r="A260" s="28"/>
      <c r="B260" s="63"/>
      <c r="C260" s="28"/>
      <c r="D260" s="64"/>
      <c r="E260" s="28"/>
      <c r="F260" s="28"/>
      <c r="G260" s="28"/>
      <c r="H260" s="28"/>
      <c r="I260" s="65" t="str">
        <f aca="false">IF($A260="","",COUNTIFS($H$2:$H$1001,$A260,$D$2:$D$1001,"Reuse"))</f>
        <v/>
      </c>
    </row>
    <row r="261" customFormat="false" ht="15" hidden="false" customHeight="false" outlineLevel="0" collapsed="false">
      <c r="A261" s="28"/>
      <c r="B261" s="63"/>
      <c r="C261" s="28"/>
      <c r="D261" s="64"/>
      <c r="E261" s="28"/>
      <c r="F261" s="28"/>
      <c r="G261" s="28"/>
      <c r="H261" s="28"/>
      <c r="I261" s="65" t="str">
        <f aca="false">IF($A261="","",COUNTIFS($H$2:$H$1001,$A261,$D$2:$D$1001,"Reuse"))</f>
        <v/>
      </c>
    </row>
    <row r="262" customFormat="false" ht="15" hidden="false" customHeight="false" outlineLevel="0" collapsed="false">
      <c r="A262" s="28"/>
      <c r="B262" s="63"/>
      <c r="C262" s="28"/>
      <c r="D262" s="64"/>
      <c r="E262" s="28"/>
      <c r="F262" s="28"/>
      <c r="G262" s="28"/>
      <c r="H262" s="28"/>
      <c r="I262" s="65" t="str">
        <f aca="false">IF($A262="","",COUNTIFS($H$2:$H$1001,$A262,$D$2:$D$1001,"Reuse"))</f>
        <v/>
      </c>
    </row>
    <row r="263" customFormat="false" ht="15" hidden="false" customHeight="false" outlineLevel="0" collapsed="false">
      <c r="A263" s="28"/>
      <c r="B263" s="63"/>
      <c r="C263" s="28"/>
      <c r="D263" s="64"/>
      <c r="E263" s="28"/>
      <c r="F263" s="28"/>
      <c r="G263" s="28"/>
      <c r="H263" s="28"/>
      <c r="I263" s="65" t="str">
        <f aca="false">IF($A263="","",COUNTIFS($H$2:$H$1001,$A263,$D$2:$D$1001,"Reuse"))</f>
        <v/>
      </c>
    </row>
    <row r="264" customFormat="false" ht="15" hidden="false" customHeight="false" outlineLevel="0" collapsed="false">
      <c r="A264" s="28"/>
      <c r="B264" s="63"/>
      <c r="C264" s="28"/>
      <c r="D264" s="64"/>
      <c r="E264" s="28"/>
      <c r="F264" s="28"/>
      <c r="G264" s="28"/>
      <c r="H264" s="28"/>
      <c r="I264" s="65" t="str">
        <f aca="false">IF($A264="","",COUNTIFS($H$2:$H$1001,$A264,$D$2:$D$1001,"Reuse"))</f>
        <v/>
      </c>
    </row>
    <row r="265" customFormat="false" ht="15" hidden="false" customHeight="false" outlineLevel="0" collapsed="false">
      <c r="A265" s="28"/>
      <c r="B265" s="63"/>
      <c r="C265" s="28"/>
      <c r="D265" s="64"/>
      <c r="E265" s="28"/>
      <c r="F265" s="28"/>
      <c r="G265" s="28"/>
      <c r="H265" s="28"/>
      <c r="I265" s="65" t="str">
        <f aca="false">IF($A265="","",COUNTIFS($H$2:$H$1001,$A265,$D$2:$D$1001,"Reuse"))</f>
        <v/>
      </c>
    </row>
    <row r="266" customFormat="false" ht="15" hidden="false" customHeight="false" outlineLevel="0" collapsed="false">
      <c r="A266" s="28"/>
      <c r="B266" s="63"/>
      <c r="C266" s="28"/>
      <c r="D266" s="64"/>
      <c r="E266" s="28"/>
      <c r="F266" s="28"/>
      <c r="G266" s="28"/>
      <c r="H266" s="28"/>
      <c r="I266" s="65" t="str">
        <f aca="false">IF($A266="","",COUNTIFS($H$2:$H$1001,$A266,$D$2:$D$1001,"Reuse"))</f>
        <v/>
      </c>
    </row>
    <row r="267" customFormat="false" ht="15" hidden="false" customHeight="false" outlineLevel="0" collapsed="false">
      <c r="A267" s="28"/>
      <c r="B267" s="63"/>
      <c r="C267" s="28"/>
      <c r="D267" s="64"/>
      <c r="E267" s="28"/>
      <c r="F267" s="28"/>
      <c r="G267" s="28"/>
      <c r="H267" s="28"/>
      <c r="I267" s="65" t="str">
        <f aca="false">IF($A267="","",COUNTIFS($H$2:$H$1001,$A267,$D$2:$D$1001,"Reuse"))</f>
        <v/>
      </c>
    </row>
    <row r="268" customFormat="false" ht="15" hidden="false" customHeight="false" outlineLevel="0" collapsed="false">
      <c r="A268" s="28"/>
      <c r="B268" s="63"/>
      <c r="C268" s="28"/>
      <c r="D268" s="64"/>
      <c r="E268" s="28"/>
      <c r="F268" s="28"/>
      <c r="G268" s="28"/>
      <c r="H268" s="28"/>
      <c r="I268" s="65" t="str">
        <f aca="false">IF($A268="","",COUNTIFS($H$2:$H$1001,$A268,$D$2:$D$1001,"Reuse"))</f>
        <v/>
      </c>
    </row>
    <row r="269" customFormat="false" ht="15" hidden="false" customHeight="false" outlineLevel="0" collapsed="false">
      <c r="A269" s="28"/>
      <c r="B269" s="63"/>
      <c r="C269" s="28"/>
      <c r="D269" s="64"/>
      <c r="E269" s="28"/>
      <c r="F269" s="28"/>
      <c r="G269" s="28"/>
      <c r="H269" s="28"/>
      <c r="I269" s="65" t="str">
        <f aca="false">IF($A269="","",COUNTIFS($H$2:$H$1001,$A269,$D$2:$D$1001,"Reuse"))</f>
        <v/>
      </c>
    </row>
    <row r="270" customFormat="false" ht="15" hidden="false" customHeight="false" outlineLevel="0" collapsed="false">
      <c r="A270" s="28"/>
      <c r="B270" s="63"/>
      <c r="C270" s="28"/>
      <c r="D270" s="64"/>
      <c r="E270" s="28"/>
      <c r="F270" s="28"/>
      <c r="G270" s="28"/>
      <c r="H270" s="28"/>
      <c r="I270" s="65" t="str">
        <f aca="false">IF($A270="","",COUNTIFS($H$2:$H$1001,$A270,$D$2:$D$1001,"Reuse"))</f>
        <v/>
      </c>
    </row>
    <row r="271" customFormat="false" ht="15" hidden="false" customHeight="false" outlineLevel="0" collapsed="false">
      <c r="A271" s="28"/>
      <c r="B271" s="63"/>
      <c r="C271" s="28"/>
      <c r="D271" s="64"/>
      <c r="E271" s="28"/>
      <c r="F271" s="28"/>
      <c r="G271" s="28"/>
      <c r="H271" s="28"/>
      <c r="I271" s="65" t="str">
        <f aca="false">IF($A271="","",COUNTIFS($H$2:$H$1001,$A271,$D$2:$D$1001,"Reuse"))</f>
        <v/>
      </c>
    </row>
    <row r="272" customFormat="false" ht="15" hidden="false" customHeight="false" outlineLevel="0" collapsed="false">
      <c r="A272" s="28"/>
      <c r="B272" s="63"/>
      <c r="C272" s="28"/>
      <c r="D272" s="64"/>
      <c r="E272" s="28"/>
      <c r="F272" s="28"/>
      <c r="G272" s="28"/>
      <c r="H272" s="28"/>
      <c r="I272" s="65" t="str">
        <f aca="false">IF($A272="","",COUNTIFS($H$2:$H$1001,$A272,$D$2:$D$1001,"Reuse"))</f>
        <v/>
      </c>
    </row>
    <row r="273" customFormat="false" ht="15" hidden="false" customHeight="false" outlineLevel="0" collapsed="false">
      <c r="A273" s="28"/>
      <c r="B273" s="63"/>
      <c r="C273" s="28"/>
      <c r="D273" s="64"/>
      <c r="E273" s="28"/>
      <c r="F273" s="28"/>
      <c r="G273" s="28"/>
      <c r="H273" s="28"/>
      <c r="I273" s="65" t="str">
        <f aca="false">IF($A273="","",COUNTIFS($H$2:$H$1001,$A273,$D$2:$D$1001,"Reuse"))</f>
        <v/>
      </c>
    </row>
    <row r="274" customFormat="false" ht="15" hidden="false" customHeight="false" outlineLevel="0" collapsed="false">
      <c r="A274" s="28"/>
      <c r="B274" s="63"/>
      <c r="C274" s="28"/>
      <c r="D274" s="64"/>
      <c r="E274" s="28"/>
      <c r="F274" s="28"/>
      <c r="G274" s="28"/>
      <c r="H274" s="28"/>
      <c r="I274" s="65" t="str">
        <f aca="false">IF($A274="","",COUNTIFS($H$2:$H$1001,$A274,$D$2:$D$1001,"Reuse"))</f>
        <v/>
      </c>
    </row>
    <row r="275" customFormat="false" ht="15" hidden="false" customHeight="false" outlineLevel="0" collapsed="false">
      <c r="A275" s="28"/>
      <c r="B275" s="63"/>
      <c r="C275" s="28"/>
      <c r="D275" s="64"/>
      <c r="E275" s="28"/>
      <c r="F275" s="28"/>
      <c r="G275" s="28"/>
      <c r="H275" s="28"/>
      <c r="I275" s="65" t="str">
        <f aca="false">IF($A275="","",COUNTIFS($H$2:$H$1001,$A275,$D$2:$D$1001,"Reuse"))</f>
        <v/>
      </c>
    </row>
    <row r="276" customFormat="false" ht="15" hidden="false" customHeight="false" outlineLevel="0" collapsed="false">
      <c r="A276" s="28"/>
      <c r="B276" s="63"/>
      <c r="C276" s="28"/>
      <c r="D276" s="64"/>
      <c r="E276" s="28"/>
      <c r="F276" s="28"/>
      <c r="G276" s="28"/>
      <c r="H276" s="28"/>
      <c r="I276" s="65" t="str">
        <f aca="false">IF($A276="","",COUNTIFS($H$2:$H$1001,$A276,$D$2:$D$1001,"Reuse"))</f>
        <v/>
      </c>
    </row>
    <row r="277" customFormat="false" ht="15" hidden="false" customHeight="false" outlineLevel="0" collapsed="false">
      <c r="A277" s="28"/>
      <c r="B277" s="63"/>
      <c r="C277" s="28"/>
      <c r="D277" s="64"/>
      <c r="E277" s="28"/>
      <c r="F277" s="28"/>
      <c r="G277" s="28"/>
      <c r="H277" s="28"/>
      <c r="I277" s="65" t="str">
        <f aca="false">IF($A277="","",COUNTIFS($H$2:$H$1001,$A277,$D$2:$D$1001,"Reuse"))</f>
        <v/>
      </c>
    </row>
    <row r="278" customFormat="false" ht="15" hidden="false" customHeight="false" outlineLevel="0" collapsed="false">
      <c r="A278" s="28"/>
      <c r="B278" s="63"/>
      <c r="C278" s="28"/>
      <c r="D278" s="64"/>
      <c r="E278" s="28"/>
      <c r="F278" s="28"/>
      <c r="G278" s="28"/>
      <c r="H278" s="28"/>
      <c r="I278" s="65" t="str">
        <f aca="false">IF($A278="","",COUNTIFS($H$2:$H$1001,$A278,$D$2:$D$1001,"Reuse"))</f>
        <v/>
      </c>
    </row>
    <row r="279" customFormat="false" ht="15" hidden="false" customHeight="false" outlineLevel="0" collapsed="false">
      <c r="A279" s="28"/>
      <c r="B279" s="63"/>
      <c r="C279" s="28"/>
      <c r="D279" s="64"/>
      <c r="E279" s="28"/>
      <c r="F279" s="28"/>
      <c r="G279" s="28"/>
      <c r="H279" s="28"/>
      <c r="I279" s="65" t="str">
        <f aca="false">IF($A279="","",COUNTIFS($H$2:$H$1001,$A279,$D$2:$D$1001,"Reuse"))</f>
        <v/>
      </c>
    </row>
    <row r="280" customFormat="false" ht="15" hidden="false" customHeight="false" outlineLevel="0" collapsed="false">
      <c r="A280" s="28"/>
      <c r="B280" s="63"/>
      <c r="C280" s="28"/>
      <c r="D280" s="64"/>
      <c r="E280" s="28"/>
      <c r="F280" s="28"/>
      <c r="G280" s="28"/>
      <c r="H280" s="28"/>
      <c r="I280" s="65" t="str">
        <f aca="false">IF($A280="","",COUNTIFS($H$2:$H$1001,$A280,$D$2:$D$1001,"Reuse"))</f>
        <v/>
      </c>
    </row>
    <row r="281" customFormat="false" ht="15" hidden="false" customHeight="false" outlineLevel="0" collapsed="false">
      <c r="A281" s="28"/>
      <c r="B281" s="63"/>
      <c r="C281" s="28"/>
      <c r="D281" s="64"/>
      <c r="E281" s="28"/>
      <c r="F281" s="28"/>
      <c r="G281" s="28"/>
      <c r="H281" s="28"/>
      <c r="I281" s="65" t="str">
        <f aca="false">IF($A281="","",COUNTIFS($H$2:$H$1001,$A281,$D$2:$D$1001,"Reuse"))</f>
        <v/>
      </c>
    </row>
    <row r="282" customFormat="false" ht="15" hidden="false" customHeight="false" outlineLevel="0" collapsed="false">
      <c r="A282" s="28"/>
      <c r="B282" s="63"/>
      <c r="C282" s="28"/>
      <c r="D282" s="64"/>
      <c r="E282" s="28"/>
      <c r="F282" s="28"/>
      <c r="G282" s="28"/>
      <c r="H282" s="28"/>
      <c r="I282" s="65" t="str">
        <f aca="false">IF($A282="","",COUNTIFS($H$2:$H$1001,$A282,$D$2:$D$1001,"Reuse"))</f>
        <v/>
      </c>
    </row>
    <row r="283" customFormat="false" ht="15" hidden="false" customHeight="false" outlineLevel="0" collapsed="false">
      <c r="A283" s="28"/>
      <c r="B283" s="63"/>
      <c r="C283" s="28"/>
      <c r="D283" s="64"/>
      <c r="E283" s="28"/>
      <c r="F283" s="28"/>
      <c r="G283" s="28"/>
      <c r="H283" s="28"/>
      <c r="I283" s="65" t="str">
        <f aca="false">IF($A283="","",COUNTIFS($H$2:$H$1001,$A283,$D$2:$D$1001,"Reuse"))</f>
        <v/>
      </c>
    </row>
    <row r="284" customFormat="false" ht="15" hidden="false" customHeight="false" outlineLevel="0" collapsed="false">
      <c r="A284" s="28"/>
      <c r="B284" s="63"/>
      <c r="C284" s="28"/>
      <c r="D284" s="64"/>
      <c r="E284" s="28"/>
      <c r="F284" s="28"/>
      <c r="G284" s="28"/>
      <c r="H284" s="28"/>
      <c r="I284" s="65" t="str">
        <f aca="false">IF($A284="","",COUNTIFS($H$2:$H$1001,$A284,$D$2:$D$1001,"Reuse"))</f>
        <v/>
      </c>
    </row>
    <row r="285" customFormat="false" ht="15" hidden="false" customHeight="false" outlineLevel="0" collapsed="false">
      <c r="A285" s="28"/>
      <c r="B285" s="63"/>
      <c r="C285" s="28"/>
      <c r="D285" s="64"/>
      <c r="E285" s="28"/>
      <c r="F285" s="28"/>
      <c r="G285" s="28"/>
      <c r="H285" s="28"/>
      <c r="I285" s="65" t="str">
        <f aca="false">IF($A285="","",COUNTIFS($H$2:$H$1001,$A285,$D$2:$D$1001,"Reuse"))</f>
        <v/>
      </c>
    </row>
    <row r="286" customFormat="false" ht="15" hidden="false" customHeight="false" outlineLevel="0" collapsed="false">
      <c r="A286" s="28"/>
      <c r="B286" s="63"/>
      <c r="C286" s="28"/>
      <c r="D286" s="64"/>
      <c r="E286" s="28"/>
      <c r="F286" s="28"/>
      <c r="G286" s="28"/>
      <c r="H286" s="28"/>
      <c r="I286" s="65" t="str">
        <f aca="false">IF($A286="","",COUNTIFS($H$2:$H$1001,$A286,$D$2:$D$1001,"Reuse"))</f>
        <v/>
      </c>
    </row>
    <row r="287" customFormat="false" ht="15" hidden="false" customHeight="false" outlineLevel="0" collapsed="false">
      <c r="A287" s="28"/>
      <c r="B287" s="63"/>
      <c r="C287" s="28"/>
      <c r="D287" s="64"/>
      <c r="E287" s="28"/>
      <c r="F287" s="28"/>
      <c r="G287" s="28"/>
      <c r="H287" s="28"/>
      <c r="I287" s="65" t="str">
        <f aca="false">IF($A287="","",COUNTIFS($H$2:$H$1001,$A287,$D$2:$D$1001,"Reuse"))</f>
        <v/>
      </c>
    </row>
    <row r="288" customFormat="false" ht="15" hidden="false" customHeight="false" outlineLevel="0" collapsed="false">
      <c r="A288" s="28"/>
      <c r="B288" s="63"/>
      <c r="C288" s="28"/>
      <c r="D288" s="64"/>
      <c r="E288" s="28"/>
      <c r="F288" s="28"/>
      <c r="G288" s="28"/>
      <c r="H288" s="28"/>
      <c r="I288" s="65" t="str">
        <f aca="false">IF($A288="","",COUNTIFS($H$2:$H$1001,$A288,$D$2:$D$1001,"Reuse"))</f>
        <v/>
      </c>
    </row>
    <row r="289" customFormat="false" ht="15" hidden="false" customHeight="false" outlineLevel="0" collapsed="false">
      <c r="A289" s="28"/>
      <c r="B289" s="63"/>
      <c r="C289" s="28"/>
      <c r="D289" s="64"/>
      <c r="E289" s="28"/>
      <c r="F289" s="28"/>
      <c r="G289" s="28"/>
      <c r="H289" s="28"/>
      <c r="I289" s="65" t="str">
        <f aca="false">IF($A289="","",COUNTIFS($H$2:$H$1001,$A289,$D$2:$D$1001,"Reuse"))</f>
        <v/>
      </c>
    </row>
    <row r="290" customFormat="false" ht="15" hidden="false" customHeight="false" outlineLevel="0" collapsed="false">
      <c r="A290" s="28"/>
      <c r="B290" s="63"/>
      <c r="C290" s="28"/>
      <c r="D290" s="64"/>
      <c r="E290" s="28"/>
      <c r="F290" s="28"/>
      <c r="G290" s="28"/>
      <c r="H290" s="28"/>
      <c r="I290" s="65" t="str">
        <f aca="false">IF($A290="","",COUNTIFS($H$2:$H$1001,$A290,$D$2:$D$1001,"Reuse"))</f>
        <v/>
      </c>
    </row>
    <row r="291" customFormat="false" ht="15" hidden="false" customHeight="false" outlineLevel="0" collapsed="false">
      <c r="A291" s="28"/>
      <c r="B291" s="63"/>
      <c r="C291" s="28"/>
      <c r="D291" s="64"/>
      <c r="E291" s="28"/>
      <c r="F291" s="28"/>
      <c r="G291" s="28"/>
      <c r="H291" s="28"/>
      <c r="I291" s="65" t="str">
        <f aca="false">IF($A291="","",COUNTIFS($H$2:$H$1001,$A291,$D$2:$D$1001,"Reuse"))</f>
        <v/>
      </c>
    </row>
    <row r="292" customFormat="false" ht="15" hidden="false" customHeight="false" outlineLevel="0" collapsed="false">
      <c r="A292" s="28"/>
      <c r="B292" s="63"/>
      <c r="C292" s="28"/>
      <c r="D292" s="64"/>
      <c r="E292" s="28"/>
      <c r="F292" s="28"/>
      <c r="G292" s="28"/>
      <c r="H292" s="28"/>
      <c r="I292" s="65" t="str">
        <f aca="false">IF($A292="","",COUNTIFS($H$2:$H$1001,$A292,$D$2:$D$1001,"Reuse"))</f>
        <v/>
      </c>
    </row>
    <row r="293" customFormat="false" ht="15" hidden="false" customHeight="false" outlineLevel="0" collapsed="false">
      <c r="A293" s="28"/>
      <c r="B293" s="63"/>
      <c r="C293" s="28"/>
      <c r="D293" s="64"/>
      <c r="E293" s="28"/>
      <c r="F293" s="28"/>
      <c r="G293" s="28"/>
      <c r="H293" s="28"/>
      <c r="I293" s="65" t="str">
        <f aca="false">IF($A293="","",COUNTIFS($H$2:$H$1001,$A293,$D$2:$D$1001,"Reuse"))</f>
        <v/>
      </c>
    </row>
    <row r="294" customFormat="false" ht="15" hidden="false" customHeight="false" outlineLevel="0" collapsed="false">
      <c r="A294" s="28"/>
      <c r="B294" s="63"/>
      <c r="C294" s="28"/>
      <c r="D294" s="64"/>
      <c r="E294" s="28"/>
      <c r="F294" s="28"/>
      <c r="G294" s="28"/>
      <c r="H294" s="28"/>
      <c r="I294" s="65" t="str">
        <f aca="false">IF($A294="","",COUNTIFS($H$2:$H$1001,$A294,$D$2:$D$1001,"Reuse"))</f>
        <v/>
      </c>
    </row>
    <row r="295" customFormat="false" ht="15" hidden="false" customHeight="false" outlineLevel="0" collapsed="false">
      <c r="A295" s="28"/>
      <c r="B295" s="63"/>
      <c r="C295" s="28"/>
      <c r="D295" s="64"/>
      <c r="E295" s="28"/>
      <c r="F295" s="28"/>
      <c r="G295" s="28"/>
      <c r="H295" s="28"/>
      <c r="I295" s="65" t="str">
        <f aca="false">IF($A295="","",COUNTIFS($H$2:$H$1001,$A295,$D$2:$D$1001,"Reuse"))</f>
        <v/>
      </c>
    </row>
    <row r="296" customFormat="false" ht="15" hidden="false" customHeight="false" outlineLevel="0" collapsed="false">
      <c r="A296" s="28"/>
      <c r="B296" s="63"/>
      <c r="C296" s="28"/>
      <c r="D296" s="64"/>
      <c r="E296" s="28"/>
      <c r="F296" s="28"/>
      <c r="G296" s="28"/>
      <c r="H296" s="28"/>
      <c r="I296" s="65" t="str">
        <f aca="false">IF($A296="","",COUNTIFS($H$2:$H$1001,$A296,$D$2:$D$1001,"Reuse"))</f>
        <v/>
      </c>
    </row>
    <row r="297" customFormat="false" ht="15" hidden="false" customHeight="false" outlineLevel="0" collapsed="false">
      <c r="A297" s="28"/>
      <c r="B297" s="63"/>
      <c r="C297" s="28"/>
      <c r="D297" s="64"/>
      <c r="E297" s="28"/>
      <c r="F297" s="28"/>
      <c r="G297" s="28"/>
      <c r="H297" s="28"/>
      <c r="I297" s="65" t="str">
        <f aca="false">IF($A297="","",COUNTIFS($H$2:$H$1001,$A297,$D$2:$D$1001,"Reuse"))</f>
        <v/>
      </c>
    </row>
    <row r="298" customFormat="false" ht="15" hidden="false" customHeight="false" outlineLevel="0" collapsed="false">
      <c r="A298" s="28"/>
      <c r="B298" s="63"/>
      <c r="C298" s="28"/>
      <c r="D298" s="64"/>
      <c r="E298" s="28"/>
      <c r="F298" s="28"/>
      <c r="G298" s="28"/>
      <c r="H298" s="28"/>
      <c r="I298" s="65" t="str">
        <f aca="false">IF($A298="","",COUNTIFS($H$2:$H$1001,$A298,$D$2:$D$1001,"Reuse"))</f>
        <v/>
      </c>
    </row>
    <row r="299" customFormat="false" ht="15" hidden="false" customHeight="false" outlineLevel="0" collapsed="false">
      <c r="A299" s="28"/>
      <c r="B299" s="63"/>
      <c r="C299" s="28"/>
      <c r="D299" s="64"/>
      <c r="E299" s="28"/>
      <c r="F299" s="28"/>
      <c r="G299" s="28"/>
      <c r="H299" s="28"/>
      <c r="I299" s="65" t="str">
        <f aca="false">IF($A299="","",COUNTIFS($H$2:$H$1001,$A299,$D$2:$D$1001,"Reuse"))</f>
        <v/>
      </c>
    </row>
    <row r="300" customFormat="false" ht="15" hidden="false" customHeight="false" outlineLevel="0" collapsed="false">
      <c r="A300" s="28"/>
      <c r="B300" s="63"/>
      <c r="C300" s="28"/>
      <c r="D300" s="64"/>
      <c r="E300" s="28"/>
      <c r="F300" s="28"/>
      <c r="G300" s="28"/>
      <c r="H300" s="28"/>
      <c r="I300" s="65" t="str">
        <f aca="false">IF($A300="","",COUNTIFS($H$2:$H$1001,$A300,$D$2:$D$1001,"Reuse"))</f>
        <v/>
      </c>
    </row>
    <row r="301" customFormat="false" ht="15" hidden="false" customHeight="false" outlineLevel="0" collapsed="false">
      <c r="A301" s="28"/>
      <c r="B301" s="63"/>
      <c r="C301" s="28"/>
      <c r="D301" s="64"/>
      <c r="E301" s="28"/>
      <c r="F301" s="28"/>
      <c r="G301" s="28"/>
      <c r="H301" s="28"/>
      <c r="I301" s="65" t="str">
        <f aca="false">IF($A301="","",COUNTIFS($H$2:$H$1001,$A301,$D$2:$D$1001,"Reuse"))</f>
        <v/>
      </c>
    </row>
    <row r="302" customFormat="false" ht="15" hidden="false" customHeight="false" outlineLevel="0" collapsed="false">
      <c r="A302" s="28"/>
      <c r="B302" s="63"/>
      <c r="C302" s="28"/>
      <c r="D302" s="64"/>
      <c r="E302" s="28"/>
      <c r="F302" s="28"/>
      <c r="G302" s="28"/>
      <c r="H302" s="28"/>
      <c r="I302" s="65" t="str">
        <f aca="false">IF($A302="","",COUNTIFS($H$2:$H$1001,$A302,$D$2:$D$1001,"Reuse"))</f>
        <v/>
      </c>
    </row>
    <row r="303" customFormat="false" ht="15" hidden="false" customHeight="false" outlineLevel="0" collapsed="false">
      <c r="A303" s="28"/>
      <c r="B303" s="63"/>
      <c r="C303" s="28"/>
      <c r="D303" s="64"/>
      <c r="E303" s="28"/>
      <c r="F303" s="28"/>
      <c r="G303" s="28"/>
      <c r="H303" s="28"/>
      <c r="I303" s="65" t="str">
        <f aca="false">IF($A303="","",COUNTIFS($H$2:$H$1001,$A303,$D$2:$D$1001,"Reuse"))</f>
        <v/>
      </c>
    </row>
    <row r="304" customFormat="false" ht="15" hidden="false" customHeight="false" outlineLevel="0" collapsed="false">
      <c r="A304" s="28"/>
      <c r="B304" s="63"/>
      <c r="C304" s="28"/>
      <c r="D304" s="64"/>
      <c r="E304" s="28"/>
      <c r="F304" s="28"/>
      <c r="G304" s="28"/>
      <c r="H304" s="28"/>
      <c r="I304" s="65" t="str">
        <f aca="false">IF($A304="","",COUNTIFS($H$2:$H$1001,$A304,$D$2:$D$1001,"Reuse"))</f>
        <v/>
      </c>
    </row>
    <row r="305" customFormat="false" ht="15" hidden="false" customHeight="false" outlineLevel="0" collapsed="false">
      <c r="A305" s="28"/>
      <c r="B305" s="63"/>
      <c r="C305" s="28"/>
      <c r="D305" s="64"/>
      <c r="E305" s="28"/>
      <c r="F305" s="28"/>
      <c r="G305" s="28"/>
      <c r="H305" s="28"/>
      <c r="I305" s="65" t="str">
        <f aca="false">IF($A305="","",COUNTIFS($H$2:$H$1001,$A305,$D$2:$D$1001,"Reuse"))</f>
        <v/>
      </c>
    </row>
    <row r="306" customFormat="false" ht="15" hidden="false" customHeight="false" outlineLevel="0" collapsed="false">
      <c r="A306" s="28"/>
      <c r="B306" s="63"/>
      <c r="C306" s="28"/>
      <c r="D306" s="64"/>
      <c r="E306" s="28"/>
      <c r="F306" s="28"/>
      <c r="G306" s="28"/>
      <c r="H306" s="28"/>
      <c r="I306" s="65" t="str">
        <f aca="false">IF($A306="","",COUNTIFS($H$2:$H$1001,$A306,$D$2:$D$1001,"Reuse"))</f>
        <v/>
      </c>
    </row>
    <row r="307" customFormat="false" ht="15" hidden="false" customHeight="false" outlineLevel="0" collapsed="false">
      <c r="A307" s="28"/>
      <c r="B307" s="63"/>
      <c r="C307" s="28"/>
      <c r="D307" s="64"/>
      <c r="E307" s="28"/>
      <c r="F307" s="28"/>
      <c r="G307" s="28"/>
      <c r="H307" s="28"/>
      <c r="I307" s="65" t="str">
        <f aca="false">IF($A307="","",COUNTIFS($H$2:$H$1001,$A307,$D$2:$D$1001,"Reuse"))</f>
        <v/>
      </c>
    </row>
    <row r="308" customFormat="false" ht="15" hidden="false" customHeight="false" outlineLevel="0" collapsed="false">
      <c r="A308" s="28"/>
      <c r="B308" s="63"/>
      <c r="C308" s="28"/>
      <c r="D308" s="64"/>
      <c r="E308" s="28"/>
      <c r="F308" s="28"/>
      <c r="G308" s="28"/>
      <c r="H308" s="28"/>
      <c r="I308" s="65" t="str">
        <f aca="false">IF($A308="","",COUNTIFS($H$2:$H$1001,$A308,$D$2:$D$1001,"Reuse"))</f>
        <v/>
      </c>
    </row>
    <row r="309" customFormat="false" ht="15" hidden="false" customHeight="false" outlineLevel="0" collapsed="false">
      <c r="A309" s="28"/>
      <c r="B309" s="63"/>
      <c r="C309" s="28"/>
      <c r="D309" s="64"/>
      <c r="E309" s="28"/>
      <c r="F309" s="28"/>
      <c r="G309" s="28"/>
      <c r="H309" s="28"/>
      <c r="I309" s="65" t="str">
        <f aca="false">IF($A309="","",COUNTIFS($H$2:$H$1001,$A309,$D$2:$D$1001,"Reuse"))</f>
        <v/>
      </c>
    </row>
    <row r="310" customFormat="false" ht="15" hidden="false" customHeight="false" outlineLevel="0" collapsed="false">
      <c r="A310" s="28"/>
      <c r="B310" s="63"/>
      <c r="C310" s="28"/>
      <c r="D310" s="64"/>
      <c r="E310" s="28"/>
      <c r="F310" s="28"/>
      <c r="G310" s="28"/>
      <c r="H310" s="28"/>
      <c r="I310" s="65" t="str">
        <f aca="false">IF($A310="","",COUNTIFS($H$2:$H$1001,$A310,$D$2:$D$1001,"Reuse"))</f>
        <v/>
      </c>
    </row>
    <row r="311" customFormat="false" ht="15" hidden="false" customHeight="false" outlineLevel="0" collapsed="false">
      <c r="A311" s="28"/>
      <c r="B311" s="63"/>
      <c r="C311" s="28"/>
      <c r="D311" s="64"/>
      <c r="E311" s="28"/>
      <c r="F311" s="28"/>
      <c r="G311" s="28"/>
      <c r="H311" s="28"/>
      <c r="I311" s="65" t="str">
        <f aca="false">IF($A311="","",COUNTIFS($H$2:$H$1001,$A311,$D$2:$D$1001,"Reuse"))</f>
        <v/>
      </c>
    </row>
    <row r="312" customFormat="false" ht="15" hidden="false" customHeight="false" outlineLevel="0" collapsed="false">
      <c r="A312" s="28"/>
      <c r="B312" s="63"/>
      <c r="C312" s="28"/>
      <c r="D312" s="64"/>
      <c r="E312" s="28"/>
      <c r="F312" s="28"/>
      <c r="G312" s="28"/>
      <c r="H312" s="28"/>
      <c r="I312" s="65" t="str">
        <f aca="false">IF($A312="","",COUNTIFS($H$2:$H$1001,$A312,$D$2:$D$1001,"Reuse"))</f>
        <v/>
      </c>
    </row>
    <row r="313" customFormat="false" ht="15" hidden="false" customHeight="false" outlineLevel="0" collapsed="false">
      <c r="A313" s="28"/>
      <c r="B313" s="63"/>
      <c r="C313" s="28"/>
      <c r="D313" s="64"/>
      <c r="E313" s="28"/>
      <c r="F313" s="28"/>
      <c r="G313" s="28"/>
      <c r="H313" s="28"/>
      <c r="I313" s="65" t="str">
        <f aca="false">IF($A313="","",COUNTIFS($H$2:$H$1001,$A313,$D$2:$D$1001,"Reuse"))</f>
        <v/>
      </c>
    </row>
    <row r="314" customFormat="false" ht="15" hidden="false" customHeight="false" outlineLevel="0" collapsed="false">
      <c r="A314" s="28"/>
      <c r="B314" s="63"/>
      <c r="C314" s="28"/>
      <c r="D314" s="64"/>
      <c r="E314" s="28"/>
      <c r="F314" s="28"/>
      <c r="G314" s="28"/>
      <c r="H314" s="28"/>
      <c r="I314" s="65" t="str">
        <f aca="false">IF($A314="","",COUNTIFS($H$2:$H$1001,$A314,$D$2:$D$1001,"Reuse"))</f>
        <v/>
      </c>
    </row>
    <row r="315" customFormat="false" ht="15" hidden="false" customHeight="false" outlineLevel="0" collapsed="false">
      <c r="A315" s="28"/>
      <c r="B315" s="63"/>
      <c r="C315" s="28"/>
      <c r="D315" s="64"/>
      <c r="E315" s="28"/>
      <c r="F315" s="28"/>
      <c r="G315" s="28"/>
      <c r="H315" s="28"/>
      <c r="I315" s="65" t="str">
        <f aca="false">IF($A315="","",COUNTIFS($H$2:$H$1001,$A315,$D$2:$D$1001,"Reuse"))</f>
        <v/>
      </c>
    </row>
    <row r="316" customFormat="false" ht="15" hidden="false" customHeight="false" outlineLevel="0" collapsed="false">
      <c r="A316" s="28"/>
      <c r="B316" s="63"/>
      <c r="C316" s="28"/>
      <c r="D316" s="64"/>
      <c r="E316" s="28"/>
      <c r="F316" s="28"/>
      <c r="G316" s="28"/>
      <c r="H316" s="28"/>
      <c r="I316" s="65" t="str">
        <f aca="false">IF($A316="","",COUNTIFS($H$2:$H$1001,$A316,$D$2:$D$1001,"Reuse"))</f>
        <v/>
      </c>
    </row>
    <row r="317" customFormat="false" ht="15" hidden="false" customHeight="false" outlineLevel="0" collapsed="false">
      <c r="A317" s="28"/>
      <c r="B317" s="63"/>
      <c r="C317" s="28"/>
      <c r="D317" s="64"/>
      <c r="E317" s="28"/>
      <c r="F317" s="28"/>
      <c r="G317" s="28"/>
      <c r="H317" s="28"/>
      <c r="I317" s="65" t="str">
        <f aca="false">IF($A317="","",COUNTIFS($H$2:$H$1001,$A317,$D$2:$D$1001,"Reuse"))</f>
        <v/>
      </c>
    </row>
    <row r="318" customFormat="false" ht="15" hidden="false" customHeight="false" outlineLevel="0" collapsed="false">
      <c r="A318" s="28"/>
      <c r="B318" s="63"/>
      <c r="C318" s="28"/>
      <c r="D318" s="64"/>
      <c r="E318" s="28"/>
      <c r="F318" s="28"/>
      <c r="G318" s="28"/>
      <c r="H318" s="28"/>
      <c r="I318" s="65" t="str">
        <f aca="false">IF($A318="","",COUNTIFS($H$2:$H$1001,$A318,$D$2:$D$1001,"Reuse"))</f>
        <v/>
      </c>
    </row>
    <row r="319" customFormat="false" ht="15" hidden="false" customHeight="false" outlineLevel="0" collapsed="false">
      <c r="A319" s="28"/>
      <c r="B319" s="63"/>
      <c r="C319" s="28"/>
      <c r="D319" s="64"/>
      <c r="E319" s="28"/>
      <c r="F319" s="28"/>
      <c r="G319" s="28"/>
      <c r="H319" s="28"/>
      <c r="I319" s="65" t="str">
        <f aca="false">IF($A319="","",COUNTIFS($H$2:$H$1001,$A319,$D$2:$D$1001,"Reuse"))</f>
        <v/>
      </c>
    </row>
    <row r="320" customFormat="false" ht="15" hidden="false" customHeight="false" outlineLevel="0" collapsed="false">
      <c r="A320" s="28"/>
      <c r="B320" s="63"/>
      <c r="C320" s="28"/>
      <c r="D320" s="64"/>
      <c r="E320" s="28"/>
      <c r="F320" s="28"/>
      <c r="G320" s="28"/>
      <c r="H320" s="28"/>
      <c r="I320" s="65" t="str">
        <f aca="false">IF($A320="","",COUNTIFS($H$2:$H$1001,$A320,$D$2:$D$1001,"Reuse"))</f>
        <v/>
      </c>
    </row>
    <row r="321" customFormat="false" ht="15" hidden="false" customHeight="false" outlineLevel="0" collapsed="false">
      <c r="A321" s="28"/>
      <c r="B321" s="63"/>
      <c r="C321" s="28"/>
      <c r="D321" s="64"/>
      <c r="E321" s="28"/>
      <c r="F321" s="28"/>
      <c r="G321" s="28"/>
      <c r="H321" s="28"/>
      <c r="I321" s="65" t="str">
        <f aca="false">IF($A321="","",COUNTIFS($H$2:$H$1001,$A321,$D$2:$D$1001,"Reuse"))</f>
        <v/>
      </c>
    </row>
    <row r="322" customFormat="false" ht="15" hidden="false" customHeight="false" outlineLevel="0" collapsed="false">
      <c r="A322" s="28"/>
      <c r="B322" s="63"/>
      <c r="C322" s="28"/>
      <c r="D322" s="64"/>
      <c r="E322" s="28"/>
      <c r="F322" s="28"/>
      <c r="G322" s="28"/>
      <c r="H322" s="28"/>
      <c r="I322" s="65" t="str">
        <f aca="false">IF($A322="","",COUNTIFS($H$2:$H$1001,$A322,$D$2:$D$1001,"Reuse"))</f>
        <v/>
      </c>
    </row>
    <row r="323" customFormat="false" ht="15" hidden="false" customHeight="false" outlineLevel="0" collapsed="false">
      <c r="A323" s="28"/>
      <c r="B323" s="63"/>
      <c r="C323" s="28"/>
      <c r="D323" s="64"/>
      <c r="E323" s="28"/>
      <c r="F323" s="28"/>
      <c r="G323" s="28"/>
      <c r="H323" s="28"/>
      <c r="I323" s="65" t="str">
        <f aca="false">IF($A323="","",COUNTIFS($H$2:$H$1001,$A323,$D$2:$D$1001,"Reuse"))</f>
        <v/>
      </c>
    </row>
    <row r="324" customFormat="false" ht="15" hidden="false" customHeight="false" outlineLevel="0" collapsed="false">
      <c r="A324" s="28"/>
      <c r="B324" s="63"/>
      <c r="C324" s="28"/>
      <c r="D324" s="64"/>
      <c r="E324" s="28"/>
      <c r="F324" s="28"/>
      <c r="G324" s="28"/>
      <c r="H324" s="28"/>
      <c r="I324" s="65" t="str">
        <f aca="false">IF($A324="","",COUNTIFS($H$2:$H$1001,$A324,$D$2:$D$1001,"Reuse"))</f>
        <v/>
      </c>
    </row>
    <row r="325" customFormat="false" ht="15" hidden="false" customHeight="false" outlineLevel="0" collapsed="false">
      <c r="A325" s="28"/>
      <c r="B325" s="63"/>
      <c r="C325" s="28"/>
      <c r="D325" s="64"/>
      <c r="E325" s="28"/>
      <c r="F325" s="28"/>
      <c r="G325" s="28"/>
      <c r="H325" s="28"/>
      <c r="I325" s="65" t="str">
        <f aca="false">IF($A325="","",COUNTIFS($H$2:$H$1001,$A325,$D$2:$D$1001,"Reuse"))</f>
        <v/>
      </c>
    </row>
    <row r="326" customFormat="false" ht="15" hidden="false" customHeight="false" outlineLevel="0" collapsed="false">
      <c r="A326" s="28"/>
      <c r="B326" s="63"/>
      <c r="C326" s="28"/>
      <c r="D326" s="64"/>
      <c r="E326" s="28"/>
      <c r="F326" s="28"/>
      <c r="G326" s="28"/>
      <c r="H326" s="28"/>
      <c r="I326" s="65" t="str">
        <f aca="false">IF($A326="","",COUNTIFS($H$2:$H$1001,$A326,$D$2:$D$1001,"Reuse"))</f>
        <v/>
      </c>
    </row>
    <row r="327" customFormat="false" ht="15" hidden="false" customHeight="false" outlineLevel="0" collapsed="false">
      <c r="A327" s="28"/>
      <c r="B327" s="63"/>
      <c r="C327" s="28"/>
      <c r="D327" s="64"/>
      <c r="E327" s="28"/>
      <c r="F327" s="28"/>
      <c r="G327" s="28"/>
      <c r="H327" s="28"/>
      <c r="I327" s="65" t="str">
        <f aca="false">IF($A327="","",COUNTIFS($H$2:$H$1001,$A327,$D$2:$D$1001,"Reuse"))</f>
        <v/>
      </c>
    </row>
    <row r="328" customFormat="false" ht="15" hidden="false" customHeight="false" outlineLevel="0" collapsed="false">
      <c r="A328" s="28"/>
      <c r="B328" s="63"/>
      <c r="C328" s="28"/>
      <c r="D328" s="64"/>
      <c r="E328" s="28"/>
      <c r="F328" s="28"/>
      <c r="G328" s="28"/>
      <c r="H328" s="28"/>
      <c r="I328" s="65" t="str">
        <f aca="false">IF($A328="","",COUNTIFS($H$2:$H$1001,$A328,$D$2:$D$1001,"Reuse"))</f>
        <v/>
      </c>
    </row>
    <row r="329" customFormat="false" ht="15" hidden="false" customHeight="false" outlineLevel="0" collapsed="false">
      <c r="A329" s="28"/>
      <c r="B329" s="63"/>
      <c r="C329" s="28"/>
      <c r="D329" s="64"/>
      <c r="E329" s="28"/>
      <c r="F329" s="28"/>
      <c r="G329" s="28"/>
      <c r="H329" s="28"/>
      <c r="I329" s="65" t="str">
        <f aca="false">IF($A329="","",COUNTIFS($H$2:$H$1001,$A329,$D$2:$D$1001,"Reuse"))</f>
        <v/>
      </c>
    </row>
    <row r="330" customFormat="false" ht="15" hidden="false" customHeight="false" outlineLevel="0" collapsed="false">
      <c r="A330" s="28"/>
      <c r="B330" s="63"/>
      <c r="C330" s="28"/>
      <c r="D330" s="64"/>
      <c r="E330" s="28"/>
      <c r="F330" s="28"/>
      <c r="G330" s="28"/>
      <c r="H330" s="28"/>
      <c r="I330" s="65" t="str">
        <f aca="false">IF($A330="","",COUNTIFS($H$2:$H$1001,$A330,$D$2:$D$1001,"Reuse"))</f>
        <v/>
      </c>
    </row>
    <row r="331" customFormat="false" ht="15" hidden="false" customHeight="false" outlineLevel="0" collapsed="false">
      <c r="A331" s="28"/>
      <c r="B331" s="63"/>
      <c r="C331" s="28"/>
      <c r="D331" s="64"/>
      <c r="E331" s="28"/>
      <c r="F331" s="28"/>
      <c r="G331" s="28"/>
      <c r="H331" s="28"/>
      <c r="I331" s="65" t="str">
        <f aca="false">IF($A331="","",COUNTIFS($H$2:$H$1001,$A331,$D$2:$D$1001,"Reuse"))</f>
        <v/>
      </c>
    </row>
    <row r="332" customFormat="false" ht="15" hidden="false" customHeight="false" outlineLevel="0" collapsed="false">
      <c r="A332" s="28"/>
      <c r="B332" s="63"/>
      <c r="C332" s="28"/>
      <c r="D332" s="64"/>
      <c r="E332" s="28"/>
      <c r="F332" s="28"/>
      <c r="G332" s="28"/>
      <c r="H332" s="28"/>
      <c r="I332" s="65" t="str">
        <f aca="false">IF($A332="","",COUNTIFS($H$2:$H$1001,$A332,$D$2:$D$1001,"Reuse"))</f>
        <v/>
      </c>
    </row>
    <row r="333" customFormat="false" ht="15" hidden="false" customHeight="false" outlineLevel="0" collapsed="false">
      <c r="A333" s="28"/>
      <c r="B333" s="63"/>
      <c r="C333" s="28"/>
      <c r="D333" s="64"/>
      <c r="E333" s="28"/>
      <c r="F333" s="28"/>
      <c r="G333" s="28"/>
      <c r="H333" s="28"/>
      <c r="I333" s="65" t="str">
        <f aca="false">IF($A333="","",COUNTIFS($H$2:$H$1001,$A333,$D$2:$D$1001,"Reuse"))</f>
        <v/>
      </c>
    </row>
    <row r="334" customFormat="false" ht="15" hidden="false" customHeight="false" outlineLevel="0" collapsed="false">
      <c r="A334" s="28"/>
      <c r="B334" s="63"/>
      <c r="C334" s="28"/>
      <c r="D334" s="64"/>
      <c r="E334" s="28"/>
      <c r="F334" s="28"/>
      <c r="G334" s="28"/>
      <c r="H334" s="28"/>
      <c r="I334" s="65" t="str">
        <f aca="false">IF($A334="","",COUNTIFS($H$2:$H$1001,$A334,$D$2:$D$1001,"Reuse"))</f>
        <v/>
      </c>
    </row>
    <row r="335" customFormat="false" ht="15" hidden="false" customHeight="false" outlineLevel="0" collapsed="false">
      <c r="A335" s="28"/>
      <c r="B335" s="63"/>
      <c r="C335" s="28"/>
      <c r="D335" s="64"/>
      <c r="E335" s="28"/>
      <c r="F335" s="28"/>
      <c r="G335" s="28"/>
      <c r="H335" s="28"/>
      <c r="I335" s="65" t="str">
        <f aca="false">IF($A335="","",COUNTIFS($H$2:$H$1001,$A335,$D$2:$D$1001,"Reuse"))</f>
        <v/>
      </c>
    </row>
    <row r="336" customFormat="false" ht="15" hidden="false" customHeight="false" outlineLevel="0" collapsed="false">
      <c r="A336" s="28"/>
      <c r="B336" s="63"/>
      <c r="C336" s="28"/>
      <c r="D336" s="64"/>
      <c r="E336" s="28"/>
      <c r="F336" s="28"/>
      <c r="G336" s="28"/>
      <c r="H336" s="28"/>
      <c r="I336" s="65" t="str">
        <f aca="false">IF($A336="","",COUNTIFS($H$2:$H$1001,$A336,$D$2:$D$1001,"Reuse"))</f>
        <v/>
      </c>
    </row>
    <row r="337" customFormat="false" ht="15" hidden="false" customHeight="false" outlineLevel="0" collapsed="false">
      <c r="A337" s="28"/>
      <c r="B337" s="63"/>
      <c r="C337" s="28"/>
      <c r="D337" s="64"/>
      <c r="E337" s="28"/>
      <c r="F337" s="28"/>
      <c r="G337" s="28"/>
      <c r="H337" s="28"/>
      <c r="I337" s="65" t="str">
        <f aca="false">IF($A337="","",COUNTIFS($H$2:$H$1001,$A337,$D$2:$D$1001,"Reuse"))</f>
        <v/>
      </c>
    </row>
    <row r="338" customFormat="false" ht="15" hidden="false" customHeight="false" outlineLevel="0" collapsed="false">
      <c r="A338" s="28"/>
      <c r="B338" s="63"/>
      <c r="C338" s="28"/>
      <c r="D338" s="64"/>
      <c r="E338" s="28"/>
      <c r="F338" s="28"/>
      <c r="G338" s="28"/>
      <c r="H338" s="28"/>
      <c r="I338" s="65" t="str">
        <f aca="false">IF($A338="","",COUNTIFS($H$2:$H$1001,$A338,$D$2:$D$1001,"Reuse"))</f>
        <v/>
      </c>
    </row>
    <row r="339" customFormat="false" ht="15" hidden="false" customHeight="false" outlineLevel="0" collapsed="false">
      <c r="A339" s="28"/>
      <c r="B339" s="63"/>
      <c r="C339" s="28"/>
      <c r="D339" s="64"/>
      <c r="E339" s="28"/>
      <c r="F339" s="28"/>
      <c r="G339" s="28"/>
      <c r="H339" s="28"/>
      <c r="I339" s="65" t="str">
        <f aca="false">IF($A339="","",COUNTIFS($H$2:$H$1001,$A339,$D$2:$D$1001,"Reuse"))</f>
        <v/>
      </c>
    </row>
    <row r="340" customFormat="false" ht="15" hidden="false" customHeight="false" outlineLevel="0" collapsed="false">
      <c r="A340" s="28"/>
      <c r="B340" s="63"/>
      <c r="C340" s="28"/>
      <c r="D340" s="64"/>
      <c r="E340" s="28"/>
      <c r="F340" s="28"/>
      <c r="G340" s="28"/>
      <c r="H340" s="28"/>
      <c r="I340" s="65" t="str">
        <f aca="false">IF($A340="","",COUNTIFS($H$2:$H$1001,$A340,$D$2:$D$1001,"Reuse"))</f>
        <v/>
      </c>
    </row>
    <row r="341" customFormat="false" ht="15" hidden="false" customHeight="false" outlineLevel="0" collapsed="false">
      <c r="A341" s="28"/>
      <c r="B341" s="63"/>
      <c r="C341" s="28"/>
      <c r="D341" s="64"/>
      <c r="E341" s="28"/>
      <c r="F341" s="28"/>
      <c r="G341" s="28"/>
      <c r="H341" s="28"/>
      <c r="I341" s="65" t="str">
        <f aca="false">IF($A341="","",COUNTIFS($H$2:$H$1001,$A341,$D$2:$D$1001,"Reuse"))</f>
        <v/>
      </c>
    </row>
    <row r="342" customFormat="false" ht="15" hidden="false" customHeight="false" outlineLevel="0" collapsed="false">
      <c r="A342" s="28"/>
      <c r="B342" s="63"/>
      <c r="C342" s="28"/>
      <c r="D342" s="64"/>
      <c r="E342" s="28"/>
      <c r="F342" s="28"/>
      <c r="G342" s="28"/>
      <c r="H342" s="28"/>
      <c r="I342" s="65" t="str">
        <f aca="false">IF($A342="","",COUNTIFS($H$2:$H$1001,$A342,$D$2:$D$1001,"Reuse"))</f>
        <v/>
      </c>
    </row>
    <row r="343" customFormat="false" ht="15" hidden="false" customHeight="false" outlineLevel="0" collapsed="false">
      <c r="A343" s="28"/>
      <c r="B343" s="63"/>
      <c r="C343" s="28"/>
      <c r="D343" s="64"/>
      <c r="E343" s="28"/>
      <c r="F343" s="28"/>
      <c r="G343" s="28"/>
      <c r="H343" s="28"/>
      <c r="I343" s="65" t="str">
        <f aca="false">IF($A343="","",COUNTIFS($H$2:$H$1001,$A343,$D$2:$D$1001,"Reuse"))</f>
        <v/>
      </c>
    </row>
    <row r="344" customFormat="false" ht="15" hidden="false" customHeight="false" outlineLevel="0" collapsed="false">
      <c r="A344" s="28"/>
      <c r="B344" s="63"/>
      <c r="C344" s="28"/>
      <c r="D344" s="64"/>
      <c r="E344" s="28"/>
      <c r="F344" s="28"/>
      <c r="G344" s="28"/>
      <c r="H344" s="28"/>
      <c r="I344" s="65" t="str">
        <f aca="false">IF($A344="","",COUNTIFS($H$2:$H$1001,$A344,$D$2:$D$1001,"Reuse"))</f>
        <v/>
      </c>
    </row>
    <row r="345" customFormat="false" ht="15" hidden="false" customHeight="false" outlineLevel="0" collapsed="false">
      <c r="A345" s="28"/>
      <c r="B345" s="63"/>
      <c r="C345" s="28"/>
      <c r="D345" s="64"/>
      <c r="E345" s="28"/>
      <c r="F345" s="28"/>
      <c r="G345" s="28"/>
      <c r="H345" s="28"/>
      <c r="I345" s="65" t="str">
        <f aca="false">IF($A345="","",COUNTIFS($H$2:$H$1001,$A345,$D$2:$D$1001,"Reuse"))</f>
        <v/>
      </c>
    </row>
    <row r="346" customFormat="false" ht="15" hidden="false" customHeight="false" outlineLevel="0" collapsed="false">
      <c r="A346" s="28"/>
      <c r="B346" s="63"/>
      <c r="C346" s="28"/>
      <c r="D346" s="64"/>
      <c r="E346" s="28"/>
      <c r="F346" s="28"/>
      <c r="G346" s="28"/>
      <c r="H346" s="28"/>
      <c r="I346" s="65" t="str">
        <f aca="false">IF($A346="","",COUNTIFS($H$2:$H$1001,$A346,$D$2:$D$1001,"Reuse"))</f>
        <v/>
      </c>
    </row>
    <row r="347" customFormat="false" ht="15" hidden="false" customHeight="false" outlineLevel="0" collapsed="false">
      <c r="A347" s="28"/>
      <c r="B347" s="63"/>
      <c r="C347" s="28"/>
      <c r="D347" s="64"/>
      <c r="E347" s="28"/>
      <c r="F347" s="28"/>
      <c r="G347" s="28"/>
      <c r="H347" s="28"/>
      <c r="I347" s="65" t="str">
        <f aca="false">IF($A347="","",COUNTIFS($H$2:$H$1001,$A347,$D$2:$D$1001,"Reuse"))</f>
        <v/>
      </c>
    </row>
    <row r="348" customFormat="false" ht="15" hidden="false" customHeight="false" outlineLevel="0" collapsed="false">
      <c r="A348" s="28"/>
      <c r="B348" s="63"/>
      <c r="C348" s="28"/>
      <c r="D348" s="64"/>
      <c r="E348" s="28"/>
      <c r="F348" s="28"/>
      <c r="G348" s="28"/>
      <c r="H348" s="28"/>
      <c r="I348" s="65" t="str">
        <f aca="false">IF($A348="","",COUNTIFS($H$2:$H$1001,$A348,$D$2:$D$1001,"Reuse"))</f>
        <v/>
      </c>
    </row>
    <row r="349" customFormat="false" ht="15" hidden="false" customHeight="false" outlineLevel="0" collapsed="false">
      <c r="A349" s="28"/>
      <c r="B349" s="63"/>
      <c r="C349" s="28"/>
      <c r="D349" s="64"/>
      <c r="E349" s="28"/>
      <c r="F349" s="28"/>
      <c r="G349" s="28"/>
      <c r="H349" s="28"/>
      <c r="I349" s="65" t="str">
        <f aca="false">IF($A349="","",COUNTIFS($H$2:$H$1001,$A349,$D$2:$D$1001,"Reuse"))</f>
        <v/>
      </c>
    </row>
    <row r="350" customFormat="false" ht="15" hidden="false" customHeight="false" outlineLevel="0" collapsed="false">
      <c r="A350" s="28"/>
      <c r="B350" s="63"/>
      <c r="C350" s="28"/>
      <c r="D350" s="64"/>
      <c r="E350" s="28"/>
      <c r="F350" s="28"/>
      <c r="G350" s="28"/>
      <c r="H350" s="28"/>
      <c r="I350" s="65" t="str">
        <f aca="false">IF($A350="","",COUNTIFS($H$2:$H$1001,$A350,$D$2:$D$1001,"Reuse"))</f>
        <v/>
      </c>
    </row>
    <row r="351" customFormat="false" ht="15" hidden="false" customHeight="false" outlineLevel="0" collapsed="false">
      <c r="A351" s="28"/>
      <c r="B351" s="63"/>
      <c r="C351" s="28"/>
      <c r="D351" s="64"/>
      <c r="E351" s="28"/>
      <c r="F351" s="28"/>
      <c r="G351" s="28"/>
      <c r="H351" s="28"/>
      <c r="I351" s="65" t="str">
        <f aca="false">IF($A351="","",COUNTIFS($H$2:$H$1001,$A351,$D$2:$D$1001,"Reuse"))</f>
        <v/>
      </c>
    </row>
    <row r="352" customFormat="false" ht="15" hidden="false" customHeight="false" outlineLevel="0" collapsed="false">
      <c r="A352" s="28"/>
      <c r="B352" s="63"/>
      <c r="C352" s="28"/>
      <c r="D352" s="64"/>
      <c r="E352" s="28"/>
      <c r="F352" s="28"/>
      <c r="G352" s="28"/>
      <c r="H352" s="28"/>
      <c r="I352" s="65" t="str">
        <f aca="false">IF($A352="","",COUNTIFS($H$2:$H$1001,$A352,$D$2:$D$1001,"Reuse"))</f>
        <v/>
      </c>
    </row>
    <row r="353" customFormat="false" ht="15" hidden="false" customHeight="false" outlineLevel="0" collapsed="false">
      <c r="A353" s="28"/>
      <c r="B353" s="63"/>
      <c r="C353" s="28"/>
      <c r="D353" s="64"/>
      <c r="E353" s="28"/>
      <c r="F353" s="28"/>
      <c r="G353" s="28"/>
      <c r="H353" s="28"/>
      <c r="I353" s="65" t="str">
        <f aca="false">IF($A353="","",COUNTIFS($H$2:$H$1001,$A353,$D$2:$D$1001,"Reuse"))</f>
        <v/>
      </c>
    </row>
    <row r="354" customFormat="false" ht="15" hidden="false" customHeight="false" outlineLevel="0" collapsed="false">
      <c r="A354" s="28"/>
      <c r="B354" s="63"/>
      <c r="C354" s="28"/>
      <c r="D354" s="64"/>
      <c r="E354" s="28"/>
      <c r="F354" s="28"/>
      <c r="G354" s="28"/>
      <c r="H354" s="28"/>
      <c r="I354" s="65" t="str">
        <f aca="false">IF($A354="","",COUNTIFS($H$2:$H$1001,$A354,$D$2:$D$1001,"Reuse"))</f>
        <v/>
      </c>
    </row>
    <row r="355" customFormat="false" ht="15" hidden="false" customHeight="false" outlineLevel="0" collapsed="false">
      <c r="A355" s="28"/>
      <c r="B355" s="63"/>
      <c r="C355" s="28"/>
      <c r="D355" s="64"/>
      <c r="E355" s="28"/>
      <c r="F355" s="28"/>
      <c r="G355" s="28"/>
      <c r="H355" s="28"/>
      <c r="I355" s="65" t="str">
        <f aca="false">IF($A355="","",COUNTIFS($H$2:$H$1001,$A355,$D$2:$D$1001,"Reuse"))</f>
        <v/>
      </c>
    </row>
    <row r="356" customFormat="false" ht="15" hidden="false" customHeight="false" outlineLevel="0" collapsed="false">
      <c r="A356" s="28"/>
      <c r="B356" s="63"/>
      <c r="C356" s="28"/>
      <c r="D356" s="64"/>
      <c r="E356" s="28"/>
      <c r="F356" s="28"/>
      <c r="G356" s="28"/>
      <c r="H356" s="28"/>
      <c r="I356" s="65" t="str">
        <f aca="false">IF($A356="","",COUNTIFS($H$2:$H$1001,$A356,$D$2:$D$1001,"Reuse"))</f>
        <v/>
      </c>
    </row>
    <row r="357" customFormat="false" ht="15" hidden="false" customHeight="false" outlineLevel="0" collapsed="false">
      <c r="A357" s="28"/>
      <c r="B357" s="63"/>
      <c r="C357" s="28"/>
      <c r="D357" s="64"/>
      <c r="E357" s="28"/>
      <c r="F357" s="28"/>
      <c r="G357" s="28"/>
      <c r="H357" s="28"/>
      <c r="I357" s="65" t="str">
        <f aca="false">IF($A357="","",COUNTIFS($H$2:$H$1001,$A357,$D$2:$D$1001,"Reuse"))</f>
        <v/>
      </c>
    </row>
    <row r="358" customFormat="false" ht="15" hidden="false" customHeight="false" outlineLevel="0" collapsed="false">
      <c r="A358" s="28"/>
      <c r="B358" s="63"/>
      <c r="C358" s="28"/>
      <c r="D358" s="64"/>
      <c r="E358" s="28"/>
      <c r="F358" s="28"/>
      <c r="G358" s="28"/>
      <c r="H358" s="28"/>
      <c r="I358" s="65" t="str">
        <f aca="false">IF($A358="","",COUNTIFS($H$2:$H$1001,$A358,$D$2:$D$1001,"Reuse"))</f>
        <v/>
      </c>
    </row>
    <row r="359" customFormat="false" ht="15" hidden="false" customHeight="false" outlineLevel="0" collapsed="false">
      <c r="A359" s="28"/>
      <c r="B359" s="63"/>
      <c r="C359" s="28"/>
      <c r="D359" s="64"/>
      <c r="E359" s="28"/>
      <c r="F359" s="28"/>
      <c r="G359" s="28"/>
      <c r="H359" s="28"/>
      <c r="I359" s="65" t="str">
        <f aca="false">IF($A359="","",COUNTIFS($H$2:$H$1001,$A359,$D$2:$D$1001,"Reuse"))</f>
        <v/>
      </c>
    </row>
    <row r="360" customFormat="false" ht="15" hidden="false" customHeight="false" outlineLevel="0" collapsed="false">
      <c r="A360" s="28"/>
      <c r="B360" s="63"/>
      <c r="C360" s="28"/>
      <c r="D360" s="64"/>
      <c r="E360" s="28"/>
      <c r="F360" s="28"/>
      <c r="G360" s="28"/>
      <c r="H360" s="28"/>
      <c r="I360" s="65" t="str">
        <f aca="false">IF($A360="","",COUNTIFS($H$2:$H$1001,$A360,$D$2:$D$1001,"Reuse"))</f>
        <v/>
      </c>
    </row>
    <row r="361" customFormat="false" ht="15" hidden="false" customHeight="false" outlineLevel="0" collapsed="false">
      <c r="A361" s="28"/>
      <c r="B361" s="63"/>
      <c r="C361" s="28"/>
      <c r="D361" s="64"/>
      <c r="E361" s="28"/>
      <c r="F361" s="28"/>
      <c r="G361" s="28"/>
      <c r="H361" s="28"/>
      <c r="I361" s="65" t="str">
        <f aca="false">IF($A361="","",COUNTIFS($H$2:$H$1001,$A361,$D$2:$D$1001,"Reuse"))</f>
        <v/>
      </c>
    </row>
    <row r="362" customFormat="false" ht="15" hidden="false" customHeight="false" outlineLevel="0" collapsed="false">
      <c r="A362" s="28"/>
      <c r="B362" s="63"/>
      <c r="C362" s="28"/>
      <c r="D362" s="64"/>
      <c r="E362" s="28"/>
      <c r="F362" s="28"/>
      <c r="G362" s="28"/>
      <c r="H362" s="28"/>
      <c r="I362" s="65" t="str">
        <f aca="false">IF($A362="","",COUNTIFS($H$2:$H$1001,$A362,$D$2:$D$1001,"Reuse"))</f>
        <v/>
      </c>
    </row>
    <row r="363" customFormat="false" ht="15" hidden="false" customHeight="false" outlineLevel="0" collapsed="false">
      <c r="A363" s="28"/>
      <c r="B363" s="63"/>
      <c r="C363" s="28"/>
      <c r="D363" s="64"/>
      <c r="E363" s="28"/>
      <c r="F363" s="28"/>
      <c r="G363" s="28"/>
      <c r="H363" s="28"/>
      <c r="I363" s="65" t="str">
        <f aca="false">IF($A363="","",COUNTIFS($H$2:$H$1001,$A363,$D$2:$D$1001,"Reuse"))</f>
        <v/>
      </c>
    </row>
    <row r="364" customFormat="false" ht="15" hidden="false" customHeight="false" outlineLevel="0" collapsed="false">
      <c r="A364" s="28"/>
      <c r="B364" s="63"/>
      <c r="C364" s="28"/>
      <c r="D364" s="64"/>
      <c r="E364" s="28"/>
      <c r="F364" s="28"/>
      <c r="G364" s="28"/>
      <c r="H364" s="28"/>
      <c r="I364" s="65" t="str">
        <f aca="false">IF($A364="","",COUNTIFS($H$2:$H$1001,$A364,$D$2:$D$1001,"Reuse"))</f>
        <v/>
      </c>
    </row>
    <row r="365" customFormat="false" ht="15" hidden="false" customHeight="false" outlineLevel="0" collapsed="false">
      <c r="A365" s="28"/>
      <c r="B365" s="63"/>
      <c r="C365" s="28"/>
      <c r="D365" s="64"/>
      <c r="E365" s="28"/>
      <c r="F365" s="28"/>
      <c r="G365" s="28"/>
      <c r="H365" s="28"/>
      <c r="I365" s="65" t="str">
        <f aca="false">IF($A365="","",COUNTIFS($H$2:$H$1001,$A365,$D$2:$D$1001,"Reuse"))</f>
        <v/>
      </c>
    </row>
    <row r="366" customFormat="false" ht="15" hidden="false" customHeight="false" outlineLevel="0" collapsed="false">
      <c r="A366" s="28"/>
      <c r="B366" s="63"/>
      <c r="C366" s="28"/>
      <c r="D366" s="64"/>
      <c r="E366" s="28"/>
      <c r="F366" s="28"/>
      <c r="G366" s="28"/>
      <c r="H366" s="28"/>
      <c r="I366" s="65" t="str">
        <f aca="false">IF($A366="","",COUNTIFS($H$2:$H$1001,$A366,$D$2:$D$1001,"Reuse"))</f>
        <v/>
      </c>
    </row>
    <row r="367" customFormat="false" ht="15" hidden="false" customHeight="false" outlineLevel="0" collapsed="false">
      <c r="A367" s="28"/>
      <c r="B367" s="63"/>
      <c r="C367" s="28"/>
      <c r="D367" s="64"/>
      <c r="E367" s="28"/>
      <c r="F367" s="28"/>
      <c r="G367" s="28"/>
      <c r="H367" s="28"/>
      <c r="I367" s="65" t="str">
        <f aca="false">IF($A367="","",COUNTIFS($H$2:$H$1001,$A367,$D$2:$D$1001,"Reuse"))</f>
        <v/>
      </c>
    </row>
    <row r="368" customFormat="false" ht="15" hidden="false" customHeight="false" outlineLevel="0" collapsed="false">
      <c r="A368" s="28"/>
      <c r="B368" s="63"/>
      <c r="C368" s="28"/>
      <c r="D368" s="64"/>
      <c r="E368" s="28"/>
      <c r="F368" s="28"/>
      <c r="G368" s="28"/>
      <c r="H368" s="28"/>
      <c r="I368" s="65" t="str">
        <f aca="false">IF($A368="","",COUNTIFS($H$2:$H$1001,$A368,$D$2:$D$1001,"Reuse"))</f>
        <v/>
      </c>
    </row>
    <row r="369" customFormat="false" ht="15" hidden="false" customHeight="false" outlineLevel="0" collapsed="false">
      <c r="A369" s="28"/>
      <c r="B369" s="63"/>
      <c r="C369" s="28"/>
      <c r="D369" s="64"/>
      <c r="E369" s="28"/>
      <c r="F369" s="28"/>
      <c r="G369" s="28"/>
      <c r="H369" s="28"/>
      <c r="I369" s="65" t="str">
        <f aca="false">IF($A369="","",COUNTIFS($H$2:$H$1001,$A369,$D$2:$D$1001,"Reuse"))</f>
        <v/>
      </c>
    </row>
    <row r="370" customFormat="false" ht="15" hidden="false" customHeight="false" outlineLevel="0" collapsed="false">
      <c r="A370" s="28"/>
      <c r="B370" s="63"/>
      <c r="C370" s="28"/>
      <c r="D370" s="64"/>
      <c r="E370" s="28"/>
      <c r="F370" s="28"/>
      <c r="G370" s="28"/>
      <c r="H370" s="28"/>
      <c r="I370" s="65" t="str">
        <f aca="false">IF($A370="","",COUNTIFS($H$2:$H$1001,$A370,$D$2:$D$1001,"Reuse"))</f>
        <v/>
      </c>
    </row>
    <row r="371" customFormat="false" ht="15" hidden="false" customHeight="false" outlineLevel="0" collapsed="false">
      <c r="A371" s="28"/>
      <c r="B371" s="63"/>
      <c r="C371" s="28"/>
      <c r="D371" s="64"/>
      <c r="E371" s="28"/>
      <c r="F371" s="28"/>
      <c r="G371" s="28"/>
      <c r="H371" s="28"/>
      <c r="I371" s="65" t="str">
        <f aca="false">IF($A371="","",COUNTIFS($H$2:$H$1001,$A371,$D$2:$D$1001,"Reuse"))</f>
        <v/>
      </c>
    </row>
    <row r="372" customFormat="false" ht="15" hidden="false" customHeight="false" outlineLevel="0" collapsed="false">
      <c r="A372" s="28"/>
      <c r="B372" s="63"/>
      <c r="C372" s="28"/>
      <c r="D372" s="64"/>
      <c r="E372" s="28"/>
      <c r="F372" s="28"/>
      <c r="G372" s="28"/>
      <c r="H372" s="28"/>
      <c r="I372" s="65" t="str">
        <f aca="false">IF($A372="","",COUNTIFS($H$2:$H$1001,$A372,$D$2:$D$1001,"Reuse"))</f>
        <v/>
      </c>
    </row>
    <row r="373" customFormat="false" ht="15" hidden="false" customHeight="false" outlineLevel="0" collapsed="false">
      <c r="A373" s="28"/>
      <c r="B373" s="63"/>
      <c r="C373" s="28"/>
      <c r="D373" s="64"/>
      <c r="E373" s="28"/>
      <c r="F373" s="28"/>
      <c r="G373" s="28"/>
      <c r="H373" s="28"/>
      <c r="I373" s="65" t="str">
        <f aca="false">IF($A373="","",COUNTIFS($H$2:$H$1001,$A373,$D$2:$D$1001,"Reuse"))</f>
        <v/>
      </c>
    </row>
    <row r="374" customFormat="false" ht="15" hidden="false" customHeight="false" outlineLevel="0" collapsed="false">
      <c r="A374" s="28"/>
      <c r="B374" s="63"/>
      <c r="C374" s="28"/>
      <c r="D374" s="64"/>
      <c r="E374" s="28"/>
      <c r="F374" s="28"/>
      <c r="G374" s="28"/>
      <c r="H374" s="28"/>
      <c r="I374" s="65" t="str">
        <f aca="false">IF($A374="","",COUNTIFS($H$2:$H$1001,$A374,$D$2:$D$1001,"Reuse"))</f>
        <v/>
      </c>
    </row>
    <row r="375" customFormat="false" ht="15" hidden="false" customHeight="false" outlineLevel="0" collapsed="false">
      <c r="A375" s="28"/>
      <c r="B375" s="63"/>
      <c r="C375" s="28"/>
      <c r="D375" s="64"/>
      <c r="E375" s="28"/>
      <c r="F375" s="28"/>
      <c r="G375" s="28"/>
      <c r="H375" s="28"/>
      <c r="I375" s="65" t="str">
        <f aca="false">IF($A375="","",COUNTIFS($H$2:$H$1001,$A375,$D$2:$D$1001,"Reuse"))</f>
        <v/>
      </c>
    </row>
    <row r="376" customFormat="false" ht="15" hidden="false" customHeight="false" outlineLevel="0" collapsed="false">
      <c r="A376" s="28"/>
      <c r="B376" s="63"/>
      <c r="C376" s="28"/>
      <c r="D376" s="64"/>
      <c r="E376" s="28"/>
      <c r="F376" s="28"/>
      <c r="G376" s="28"/>
      <c r="H376" s="28"/>
      <c r="I376" s="65" t="str">
        <f aca="false">IF($A376="","",COUNTIFS($H$2:$H$1001,$A376,$D$2:$D$1001,"Reuse"))</f>
        <v/>
      </c>
    </row>
    <row r="377" customFormat="false" ht="15" hidden="false" customHeight="false" outlineLevel="0" collapsed="false">
      <c r="A377" s="28"/>
      <c r="B377" s="63"/>
      <c r="C377" s="28"/>
      <c r="D377" s="64"/>
      <c r="E377" s="28"/>
      <c r="F377" s="28"/>
      <c r="G377" s="28"/>
      <c r="H377" s="28"/>
      <c r="I377" s="65" t="str">
        <f aca="false">IF($A377="","",COUNTIFS($H$2:$H$1001,$A377,$D$2:$D$1001,"Reuse"))</f>
        <v/>
      </c>
    </row>
    <row r="378" customFormat="false" ht="15" hidden="false" customHeight="false" outlineLevel="0" collapsed="false">
      <c r="A378" s="28"/>
      <c r="B378" s="63"/>
      <c r="C378" s="28"/>
      <c r="D378" s="64"/>
      <c r="E378" s="28"/>
      <c r="F378" s="28"/>
      <c r="G378" s="28"/>
      <c r="H378" s="28"/>
      <c r="I378" s="65" t="str">
        <f aca="false">IF($A378="","",COUNTIFS($H$2:$H$1001,$A378,$D$2:$D$1001,"Reuse"))</f>
        <v/>
      </c>
    </row>
    <row r="379" customFormat="false" ht="15" hidden="false" customHeight="false" outlineLevel="0" collapsed="false">
      <c r="A379" s="28"/>
      <c r="B379" s="63"/>
      <c r="C379" s="28"/>
      <c r="D379" s="64"/>
      <c r="E379" s="28"/>
      <c r="F379" s="28"/>
      <c r="G379" s="28"/>
      <c r="H379" s="28"/>
      <c r="I379" s="65" t="str">
        <f aca="false">IF($A379="","",COUNTIFS($H$2:$H$1001,$A379,$D$2:$D$1001,"Reuse"))</f>
        <v/>
      </c>
    </row>
    <row r="380" customFormat="false" ht="15" hidden="false" customHeight="false" outlineLevel="0" collapsed="false">
      <c r="A380" s="28"/>
      <c r="B380" s="63"/>
      <c r="C380" s="28"/>
      <c r="D380" s="64"/>
      <c r="E380" s="28"/>
      <c r="F380" s="28"/>
      <c r="G380" s="28"/>
      <c r="H380" s="28"/>
      <c r="I380" s="65" t="str">
        <f aca="false">IF($A380="","",COUNTIFS($H$2:$H$1001,$A380,$D$2:$D$1001,"Reuse"))</f>
        <v/>
      </c>
    </row>
    <row r="381" customFormat="false" ht="15" hidden="false" customHeight="false" outlineLevel="0" collapsed="false">
      <c r="A381" s="28"/>
      <c r="B381" s="63"/>
      <c r="C381" s="28"/>
      <c r="D381" s="64"/>
      <c r="E381" s="28"/>
      <c r="F381" s="28"/>
      <c r="G381" s="28"/>
      <c r="H381" s="28"/>
      <c r="I381" s="65" t="str">
        <f aca="false">IF($A381="","",COUNTIFS($H$2:$H$1001,$A381,$D$2:$D$1001,"Reuse"))</f>
        <v/>
      </c>
    </row>
    <row r="382" customFormat="false" ht="15" hidden="false" customHeight="false" outlineLevel="0" collapsed="false">
      <c r="A382" s="28"/>
      <c r="B382" s="63"/>
      <c r="C382" s="28"/>
      <c r="D382" s="64"/>
      <c r="E382" s="28"/>
      <c r="F382" s="28"/>
      <c r="G382" s="28"/>
      <c r="H382" s="28"/>
      <c r="I382" s="65" t="str">
        <f aca="false">IF($A382="","",COUNTIFS($H$2:$H$1001,$A382,$D$2:$D$1001,"Reuse"))</f>
        <v/>
      </c>
    </row>
    <row r="383" customFormat="false" ht="15" hidden="false" customHeight="false" outlineLevel="0" collapsed="false">
      <c r="A383" s="28"/>
      <c r="B383" s="63"/>
      <c r="C383" s="28"/>
      <c r="D383" s="64"/>
      <c r="E383" s="28"/>
      <c r="F383" s="28"/>
      <c r="G383" s="28"/>
      <c r="H383" s="28"/>
      <c r="I383" s="65" t="str">
        <f aca="false">IF($A383="","",COUNTIFS($H$2:$H$1001,$A383,$D$2:$D$1001,"Reuse"))</f>
        <v/>
      </c>
    </row>
    <row r="384" customFormat="false" ht="15" hidden="false" customHeight="false" outlineLevel="0" collapsed="false">
      <c r="A384" s="28"/>
      <c r="B384" s="63"/>
      <c r="C384" s="28"/>
      <c r="D384" s="64"/>
      <c r="E384" s="28"/>
      <c r="F384" s="28"/>
      <c r="G384" s="28"/>
      <c r="H384" s="28"/>
      <c r="I384" s="65" t="str">
        <f aca="false">IF($A384="","",COUNTIFS($H$2:$H$1001,$A384,$D$2:$D$1001,"Reuse"))</f>
        <v/>
      </c>
    </row>
    <row r="385" customFormat="false" ht="15" hidden="false" customHeight="false" outlineLevel="0" collapsed="false">
      <c r="A385" s="28"/>
      <c r="B385" s="63"/>
      <c r="C385" s="28"/>
      <c r="D385" s="64"/>
      <c r="E385" s="28"/>
      <c r="F385" s="28"/>
      <c r="G385" s="28"/>
      <c r="H385" s="28"/>
      <c r="I385" s="65" t="str">
        <f aca="false">IF($A385="","",COUNTIFS($H$2:$H$1001,$A385,$D$2:$D$1001,"Reuse"))</f>
        <v/>
      </c>
    </row>
    <row r="386" customFormat="false" ht="15" hidden="false" customHeight="false" outlineLevel="0" collapsed="false">
      <c r="A386" s="28"/>
      <c r="B386" s="63"/>
      <c r="C386" s="28"/>
      <c r="D386" s="64"/>
      <c r="E386" s="28"/>
      <c r="F386" s="28"/>
      <c r="G386" s="28"/>
      <c r="H386" s="28"/>
      <c r="I386" s="65" t="str">
        <f aca="false">IF($A386="","",COUNTIFS($H$2:$H$1001,$A386,$D$2:$D$1001,"Reuse"))</f>
        <v/>
      </c>
    </row>
    <row r="387" customFormat="false" ht="15" hidden="false" customHeight="false" outlineLevel="0" collapsed="false">
      <c r="A387" s="28"/>
      <c r="B387" s="63"/>
      <c r="C387" s="28"/>
      <c r="D387" s="64"/>
      <c r="E387" s="28"/>
      <c r="F387" s="28"/>
      <c r="G387" s="28"/>
      <c r="H387" s="28"/>
      <c r="I387" s="65" t="str">
        <f aca="false">IF($A387="","",COUNTIFS($H$2:$H$1001,$A387,$D$2:$D$1001,"Reuse"))</f>
        <v/>
      </c>
    </row>
    <row r="388" customFormat="false" ht="15" hidden="false" customHeight="false" outlineLevel="0" collapsed="false">
      <c r="A388" s="28"/>
      <c r="B388" s="63"/>
      <c r="C388" s="28"/>
      <c r="D388" s="64"/>
      <c r="E388" s="28"/>
      <c r="F388" s="28"/>
      <c r="G388" s="28"/>
      <c r="H388" s="28"/>
      <c r="I388" s="65" t="str">
        <f aca="false">IF($A388="","",COUNTIFS($H$2:$H$1001,$A388,$D$2:$D$1001,"Reuse"))</f>
        <v/>
      </c>
    </row>
    <row r="389" customFormat="false" ht="15" hidden="false" customHeight="false" outlineLevel="0" collapsed="false">
      <c r="A389" s="28"/>
      <c r="B389" s="63"/>
      <c r="C389" s="28"/>
      <c r="D389" s="64"/>
      <c r="E389" s="28"/>
      <c r="F389" s="28"/>
      <c r="G389" s="28"/>
      <c r="H389" s="28"/>
      <c r="I389" s="65" t="str">
        <f aca="false">IF($A389="","",COUNTIFS($H$2:$H$1001,$A389,$D$2:$D$1001,"Reuse"))</f>
        <v/>
      </c>
    </row>
    <row r="390" customFormat="false" ht="15" hidden="false" customHeight="false" outlineLevel="0" collapsed="false">
      <c r="A390" s="28"/>
      <c r="B390" s="63"/>
      <c r="C390" s="28"/>
      <c r="D390" s="64"/>
      <c r="E390" s="28"/>
      <c r="F390" s="28"/>
      <c r="G390" s="28"/>
      <c r="H390" s="28"/>
      <c r="I390" s="65" t="str">
        <f aca="false">IF($A390="","",COUNTIFS($H$2:$H$1001,$A390,$D$2:$D$1001,"Reuse"))</f>
        <v/>
      </c>
    </row>
    <row r="391" customFormat="false" ht="15" hidden="false" customHeight="false" outlineLevel="0" collapsed="false">
      <c r="A391" s="28"/>
      <c r="B391" s="63"/>
      <c r="C391" s="28"/>
      <c r="D391" s="64"/>
      <c r="E391" s="28"/>
      <c r="F391" s="28"/>
      <c r="G391" s="28"/>
      <c r="H391" s="28"/>
      <c r="I391" s="65" t="str">
        <f aca="false">IF($A391="","",COUNTIFS($H$2:$H$1001,$A391,$D$2:$D$1001,"Reuse"))</f>
        <v/>
      </c>
    </row>
    <row r="392" customFormat="false" ht="15" hidden="false" customHeight="false" outlineLevel="0" collapsed="false">
      <c r="A392" s="28"/>
      <c r="B392" s="63"/>
      <c r="C392" s="28"/>
      <c r="D392" s="64"/>
      <c r="E392" s="28"/>
      <c r="F392" s="28"/>
      <c r="G392" s="28"/>
      <c r="H392" s="28"/>
      <c r="I392" s="65" t="str">
        <f aca="false">IF($A392="","",COUNTIFS($H$2:$H$1001,$A392,$D$2:$D$1001,"Reuse"))</f>
        <v/>
      </c>
    </row>
    <row r="393" customFormat="false" ht="15" hidden="false" customHeight="false" outlineLevel="0" collapsed="false">
      <c r="A393" s="28"/>
      <c r="B393" s="63"/>
      <c r="C393" s="28"/>
      <c r="D393" s="64"/>
      <c r="E393" s="28"/>
      <c r="F393" s="28"/>
      <c r="G393" s="28"/>
      <c r="H393" s="28"/>
      <c r="I393" s="65" t="str">
        <f aca="false">IF($A393="","",COUNTIFS($H$2:$H$1001,$A393,$D$2:$D$1001,"Reuse"))</f>
        <v/>
      </c>
    </row>
    <row r="394" customFormat="false" ht="15" hidden="false" customHeight="false" outlineLevel="0" collapsed="false">
      <c r="A394" s="28"/>
      <c r="B394" s="63"/>
      <c r="C394" s="28"/>
      <c r="D394" s="64"/>
      <c r="E394" s="28"/>
      <c r="F394" s="28"/>
      <c r="G394" s="28"/>
      <c r="H394" s="28"/>
      <c r="I394" s="65" t="str">
        <f aca="false">IF($A394="","",COUNTIFS($H$2:$H$1001,$A394,$D$2:$D$1001,"Reuse"))</f>
        <v/>
      </c>
    </row>
    <row r="395" customFormat="false" ht="15" hidden="false" customHeight="false" outlineLevel="0" collapsed="false">
      <c r="A395" s="28"/>
      <c r="B395" s="63"/>
      <c r="C395" s="28"/>
      <c r="D395" s="64"/>
      <c r="E395" s="28"/>
      <c r="F395" s="28"/>
      <c r="G395" s="28"/>
      <c r="H395" s="28"/>
      <c r="I395" s="65" t="str">
        <f aca="false">IF($A395="","",COUNTIFS($H$2:$H$1001,$A395,$D$2:$D$1001,"Reuse"))</f>
        <v/>
      </c>
    </row>
    <row r="396" customFormat="false" ht="15" hidden="false" customHeight="false" outlineLevel="0" collapsed="false">
      <c r="A396" s="28"/>
      <c r="B396" s="63"/>
      <c r="C396" s="28"/>
      <c r="D396" s="64"/>
      <c r="E396" s="28"/>
      <c r="F396" s="28"/>
      <c r="G396" s="28"/>
      <c r="H396" s="28"/>
      <c r="I396" s="65" t="str">
        <f aca="false">IF($A396="","",COUNTIFS($H$2:$H$1001,$A396,$D$2:$D$1001,"Reuse"))</f>
        <v/>
      </c>
    </row>
    <row r="397" customFormat="false" ht="15" hidden="false" customHeight="false" outlineLevel="0" collapsed="false">
      <c r="A397" s="28"/>
      <c r="B397" s="63"/>
      <c r="C397" s="28"/>
      <c r="D397" s="64"/>
      <c r="E397" s="28"/>
      <c r="F397" s="28"/>
      <c r="G397" s="28"/>
      <c r="H397" s="28"/>
      <c r="I397" s="65" t="str">
        <f aca="false">IF($A397="","",COUNTIFS($H$2:$H$1001,$A397,$D$2:$D$1001,"Reuse"))</f>
        <v/>
      </c>
    </row>
    <row r="398" customFormat="false" ht="15" hidden="false" customHeight="false" outlineLevel="0" collapsed="false">
      <c r="A398" s="28"/>
      <c r="B398" s="63"/>
      <c r="C398" s="28"/>
      <c r="D398" s="64"/>
      <c r="E398" s="28"/>
      <c r="F398" s="28"/>
      <c r="G398" s="28"/>
      <c r="H398" s="28"/>
      <c r="I398" s="65" t="str">
        <f aca="false">IF($A398="","",COUNTIFS($H$2:$H$1001,$A398,$D$2:$D$1001,"Reuse"))</f>
        <v/>
      </c>
    </row>
    <row r="399" customFormat="false" ht="15" hidden="false" customHeight="false" outlineLevel="0" collapsed="false">
      <c r="A399" s="28"/>
      <c r="B399" s="63"/>
      <c r="C399" s="28"/>
      <c r="D399" s="64"/>
      <c r="E399" s="28"/>
      <c r="F399" s="28"/>
      <c r="G399" s="28"/>
      <c r="H399" s="28"/>
      <c r="I399" s="65" t="str">
        <f aca="false">IF($A399="","",COUNTIFS($H$2:$H$1001,$A399,$D$2:$D$1001,"Reuse"))</f>
        <v/>
      </c>
    </row>
    <row r="400" customFormat="false" ht="15" hidden="false" customHeight="false" outlineLevel="0" collapsed="false">
      <c r="A400" s="28"/>
      <c r="B400" s="63"/>
      <c r="C400" s="28"/>
      <c r="D400" s="64"/>
      <c r="E400" s="28"/>
      <c r="F400" s="28"/>
      <c r="G400" s="28"/>
      <c r="H400" s="28"/>
      <c r="I400" s="65" t="str">
        <f aca="false">IF($A400="","",COUNTIFS($H$2:$H$1001,$A400,$D$2:$D$1001,"Reuse"))</f>
        <v/>
      </c>
    </row>
    <row r="401" customFormat="false" ht="15" hidden="false" customHeight="false" outlineLevel="0" collapsed="false">
      <c r="A401" s="28"/>
      <c r="B401" s="63"/>
      <c r="C401" s="28"/>
      <c r="D401" s="64"/>
      <c r="E401" s="28"/>
      <c r="F401" s="28"/>
      <c r="G401" s="28"/>
      <c r="H401" s="28"/>
      <c r="I401" s="65" t="str">
        <f aca="false">IF($A401="","",COUNTIFS($H$2:$H$1001,$A401,$D$2:$D$1001,"Reuse"))</f>
        <v/>
      </c>
    </row>
    <row r="402" customFormat="false" ht="15" hidden="false" customHeight="false" outlineLevel="0" collapsed="false">
      <c r="A402" s="28"/>
      <c r="B402" s="63"/>
      <c r="C402" s="28"/>
      <c r="D402" s="64"/>
      <c r="E402" s="28"/>
      <c r="F402" s="28"/>
      <c r="G402" s="28"/>
      <c r="H402" s="28"/>
      <c r="I402" s="65" t="str">
        <f aca="false">IF($A402="","",COUNTIFS($H$2:$H$1001,$A402,$D$2:$D$1001,"Reuse"))</f>
        <v/>
      </c>
    </row>
    <row r="403" customFormat="false" ht="15" hidden="false" customHeight="false" outlineLevel="0" collapsed="false">
      <c r="A403" s="28"/>
      <c r="B403" s="63"/>
      <c r="C403" s="28"/>
      <c r="D403" s="64"/>
      <c r="E403" s="28"/>
      <c r="F403" s="28"/>
      <c r="G403" s="28"/>
      <c r="H403" s="28"/>
      <c r="I403" s="65" t="str">
        <f aca="false">IF($A403="","",COUNTIFS($H$2:$H$1001,$A403,$D$2:$D$1001,"Reuse"))</f>
        <v/>
      </c>
    </row>
    <row r="404" customFormat="false" ht="15" hidden="false" customHeight="false" outlineLevel="0" collapsed="false">
      <c r="A404" s="28"/>
      <c r="B404" s="63"/>
      <c r="C404" s="28"/>
      <c r="D404" s="64"/>
      <c r="E404" s="28"/>
      <c r="F404" s="28"/>
      <c r="G404" s="28"/>
      <c r="H404" s="28"/>
      <c r="I404" s="65" t="str">
        <f aca="false">IF($A404="","",COUNTIFS($H$2:$H$1001,$A404,$D$2:$D$1001,"Reuse"))</f>
        <v/>
      </c>
    </row>
    <row r="405" customFormat="false" ht="15" hidden="false" customHeight="false" outlineLevel="0" collapsed="false">
      <c r="A405" s="28"/>
      <c r="B405" s="63"/>
      <c r="C405" s="28"/>
      <c r="D405" s="64"/>
      <c r="E405" s="28"/>
      <c r="F405" s="28"/>
      <c r="G405" s="28"/>
      <c r="H405" s="28"/>
      <c r="I405" s="65" t="str">
        <f aca="false">IF($A405="","",COUNTIFS($H$2:$H$1001,$A405,$D$2:$D$1001,"Reuse"))</f>
        <v/>
      </c>
    </row>
    <row r="406" customFormat="false" ht="15" hidden="false" customHeight="false" outlineLevel="0" collapsed="false">
      <c r="A406" s="28"/>
      <c r="B406" s="63"/>
      <c r="C406" s="28"/>
      <c r="D406" s="64"/>
      <c r="E406" s="28"/>
      <c r="F406" s="28"/>
      <c r="G406" s="28"/>
      <c r="H406" s="28"/>
      <c r="I406" s="65" t="str">
        <f aca="false">IF($A406="","",COUNTIFS($H$2:$H$1001,$A406,$D$2:$D$1001,"Reuse"))</f>
        <v/>
      </c>
    </row>
    <row r="407" customFormat="false" ht="15" hidden="false" customHeight="false" outlineLevel="0" collapsed="false">
      <c r="A407" s="28"/>
      <c r="B407" s="63"/>
      <c r="C407" s="28"/>
      <c r="D407" s="64"/>
      <c r="E407" s="28"/>
      <c r="F407" s="28"/>
      <c r="G407" s="28"/>
      <c r="H407" s="28"/>
      <c r="I407" s="65" t="str">
        <f aca="false">IF($A407="","",COUNTIFS($H$2:$H$1001,$A407,$D$2:$D$1001,"Reuse"))</f>
        <v/>
      </c>
    </row>
    <row r="408" customFormat="false" ht="15" hidden="false" customHeight="false" outlineLevel="0" collapsed="false">
      <c r="A408" s="28"/>
      <c r="B408" s="63"/>
      <c r="C408" s="28"/>
      <c r="D408" s="64"/>
      <c r="E408" s="28"/>
      <c r="F408" s="28"/>
      <c r="G408" s="28"/>
      <c r="H408" s="28"/>
      <c r="I408" s="65" t="str">
        <f aca="false">IF($A408="","",COUNTIFS($H$2:$H$1001,$A408,$D$2:$D$1001,"Reuse"))</f>
        <v/>
      </c>
    </row>
    <row r="409" customFormat="false" ht="15" hidden="false" customHeight="false" outlineLevel="0" collapsed="false">
      <c r="A409" s="28"/>
      <c r="B409" s="63"/>
      <c r="C409" s="28"/>
      <c r="D409" s="64"/>
      <c r="E409" s="28"/>
      <c r="F409" s="28"/>
      <c r="G409" s="28"/>
      <c r="H409" s="28"/>
      <c r="I409" s="65" t="str">
        <f aca="false">IF($A409="","",COUNTIFS($H$2:$H$1001,$A409,$D$2:$D$1001,"Reuse"))</f>
        <v/>
      </c>
    </row>
    <row r="410" customFormat="false" ht="15" hidden="false" customHeight="false" outlineLevel="0" collapsed="false">
      <c r="A410" s="28"/>
      <c r="B410" s="63"/>
      <c r="C410" s="28"/>
      <c r="D410" s="64"/>
      <c r="E410" s="28"/>
      <c r="F410" s="28"/>
      <c r="G410" s="28"/>
      <c r="H410" s="28"/>
      <c r="I410" s="65" t="str">
        <f aca="false">IF($A410="","",COUNTIFS($H$2:$H$1001,$A410,$D$2:$D$1001,"Reuse"))</f>
        <v/>
      </c>
    </row>
    <row r="411" customFormat="false" ht="15" hidden="false" customHeight="false" outlineLevel="0" collapsed="false">
      <c r="A411" s="28"/>
      <c r="B411" s="63"/>
      <c r="C411" s="28"/>
      <c r="D411" s="64"/>
      <c r="E411" s="28"/>
      <c r="F411" s="28"/>
      <c r="G411" s="28"/>
      <c r="H411" s="28"/>
      <c r="I411" s="65" t="str">
        <f aca="false">IF($A411="","",COUNTIFS($H$2:$H$1001,$A411,$D$2:$D$1001,"Reuse"))</f>
        <v/>
      </c>
    </row>
    <row r="412" customFormat="false" ht="15" hidden="false" customHeight="false" outlineLevel="0" collapsed="false">
      <c r="A412" s="28"/>
      <c r="B412" s="63"/>
      <c r="C412" s="28"/>
      <c r="D412" s="64"/>
      <c r="E412" s="28"/>
      <c r="F412" s="28"/>
      <c r="G412" s="28"/>
      <c r="H412" s="28"/>
      <c r="I412" s="65" t="str">
        <f aca="false">IF($A412="","",COUNTIFS($H$2:$H$1001,$A412,$D$2:$D$1001,"Reuse"))</f>
        <v/>
      </c>
    </row>
    <row r="413" customFormat="false" ht="15" hidden="false" customHeight="false" outlineLevel="0" collapsed="false">
      <c r="A413" s="28"/>
      <c r="B413" s="63"/>
      <c r="C413" s="28"/>
      <c r="D413" s="64"/>
      <c r="E413" s="28"/>
      <c r="F413" s="28"/>
      <c r="G413" s="28"/>
      <c r="H413" s="28"/>
      <c r="I413" s="65" t="str">
        <f aca="false">IF($A413="","",COUNTIFS($H$2:$H$1001,$A413,$D$2:$D$1001,"Reuse"))</f>
        <v/>
      </c>
    </row>
    <row r="414" customFormat="false" ht="15" hidden="false" customHeight="false" outlineLevel="0" collapsed="false">
      <c r="A414" s="28"/>
      <c r="B414" s="63"/>
      <c r="C414" s="28"/>
      <c r="D414" s="64"/>
      <c r="E414" s="28"/>
      <c r="F414" s="28"/>
      <c r="G414" s="28"/>
      <c r="H414" s="28"/>
      <c r="I414" s="65" t="str">
        <f aca="false">IF($A414="","",COUNTIFS($H$2:$H$1001,$A414,$D$2:$D$1001,"Reuse"))</f>
        <v/>
      </c>
    </row>
    <row r="415" customFormat="false" ht="15" hidden="false" customHeight="false" outlineLevel="0" collapsed="false">
      <c r="A415" s="28"/>
      <c r="B415" s="63"/>
      <c r="C415" s="28"/>
      <c r="D415" s="64"/>
      <c r="E415" s="28"/>
      <c r="F415" s="28"/>
      <c r="G415" s="28"/>
      <c r="H415" s="28"/>
      <c r="I415" s="65" t="str">
        <f aca="false">IF($A415="","",COUNTIFS($H$2:$H$1001,$A415,$D$2:$D$1001,"Reuse"))</f>
        <v/>
      </c>
    </row>
    <row r="416" customFormat="false" ht="15" hidden="false" customHeight="false" outlineLevel="0" collapsed="false">
      <c r="A416" s="28"/>
      <c r="B416" s="63"/>
      <c r="C416" s="28"/>
      <c r="D416" s="64"/>
      <c r="E416" s="28"/>
      <c r="F416" s="28"/>
      <c r="G416" s="28"/>
      <c r="H416" s="28"/>
      <c r="I416" s="65" t="str">
        <f aca="false">IF($A416="","",COUNTIFS($H$2:$H$1001,$A416,$D$2:$D$1001,"Reuse"))</f>
        <v/>
      </c>
    </row>
    <row r="417" customFormat="false" ht="15" hidden="false" customHeight="false" outlineLevel="0" collapsed="false">
      <c r="A417" s="28"/>
      <c r="B417" s="63"/>
      <c r="C417" s="28"/>
      <c r="D417" s="64"/>
      <c r="E417" s="28"/>
      <c r="F417" s="28"/>
      <c r="G417" s="28"/>
      <c r="H417" s="28"/>
      <c r="I417" s="65" t="str">
        <f aca="false">IF($A417="","",COUNTIFS($H$2:$H$1001,$A417,$D$2:$D$1001,"Reuse"))</f>
        <v/>
      </c>
    </row>
    <row r="418" customFormat="false" ht="15" hidden="false" customHeight="false" outlineLevel="0" collapsed="false">
      <c r="A418" s="28"/>
      <c r="B418" s="63"/>
      <c r="C418" s="28"/>
      <c r="D418" s="64"/>
      <c r="E418" s="28"/>
      <c r="F418" s="28"/>
      <c r="G418" s="28"/>
      <c r="H418" s="28"/>
      <c r="I418" s="65" t="str">
        <f aca="false">IF($A418="","",COUNTIFS($H$2:$H$1001,$A418,$D$2:$D$1001,"Reuse"))</f>
        <v/>
      </c>
    </row>
    <row r="419" customFormat="false" ht="15" hidden="false" customHeight="false" outlineLevel="0" collapsed="false">
      <c r="A419" s="28"/>
      <c r="B419" s="63"/>
      <c r="C419" s="28"/>
      <c r="D419" s="64"/>
      <c r="E419" s="28"/>
      <c r="F419" s="28"/>
      <c r="G419" s="28"/>
      <c r="H419" s="28"/>
      <c r="I419" s="65" t="str">
        <f aca="false">IF($A419="","",COUNTIFS($H$2:$H$1001,$A419,$D$2:$D$1001,"Reuse"))</f>
        <v/>
      </c>
    </row>
    <row r="420" customFormat="false" ht="15" hidden="false" customHeight="false" outlineLevel="0" collapsed="false">
      <c r="A420" s="28"/>
      <c r="B420" s="63"/>
      <c r="C420" s="28"/>
      <c r="D420" s="64"/>
      <c r="E420" s="28"/>
      <c r="F420" s="28"/>
      <c r="G420" s="28"/>
      <c r="H420" s="28"/>
      <c r="I420" s="65" t="str">
        <f aca="false">IF($A420="","",COUNTIFS($H$2:$H$1001,$A420,$D$2:$D$1001,"Reuse"))</f>
        <v/>
      </c>
    </row>
    <row r="421" customFormat="false" ht="15" hidden="false" customHeight="false" outlineLevel="0" collapsed="false">
      <c r="A421" s="28"/>
      <c r="B421" s="63"/>
      <c r="C421" s="28"/>
      <c r="D421" s="64"/>
      <c r="E421" s="28"/>
      <c r="F421" s="28"/>
      <c r="G421" s="28"/>
      <c r="H421" s="28"/>
      <c r="I421" s="65" t="str">
        <f aca="false">IF($A421="","",COUNTIFS($H$2:$H$1001,$A421,$D$2:$D$1001,"Reuse"))</f>
        <v/>
      </c>
    </row>
    <row r="422" customFormat="false" ht="15" hidden="false" customHeight="false" outlineLevel="0" collapsed="false">
      <c r="A422" s="28"/>
      <c r="B422" s="63"/>
      <c r="C422" s="28"/>
      <c r="D422" s="64"/>
      <c r="E422" s="28"/>
      <c r="F422" s="28"/>
      <c r="G422" s="28"/>
      <c r="H422" s="28"/>
      <c r="I422" s="65" t="str">
        <f aca="false">IF($A422="","",COUNTIFS($H$2:$H$1001,$A422,$D$2:$D$1001,"Reuse"))</f>
        <v/>
      </c>
    </row>
    <row r="423" customFormat="false" ht="15" hidden="false" customHeight="false" outlineLevel="0" collapsed="false">
      <c r="A423" s="28"/>
      <c r="B423" s="63"/>
      <c r="C423" s="28"/>
      <c r="D423" s="64"/>
      <c r="E423" s="28"/>
      <c r="F423" s="28"/>
      <c r="G423" s="28"/>
      <c r="H423" s="28"/>
      <c r="I423" s="65" t="str">
        <f aca="false">IF($A423="","",COUNTIFS($H$2:$H$1001,$A423,$D$2:$D$1001,"Reuse"))</f>
        <v/>
      </c>
    </row>
    <row r="424" customFormat="false" ht="15" hidden="false" customHeight="false" outlineLevel="0" collapsed="false">
      <c r="A424" s="28"/>
      <c r="B424" s="63"/>
      <c r="C424" s="28"/>
      <c r="D424" s="64"/>
      <c r="E424" s="28"/>
      <c r="F424" s="28"/>
      <c r="G424" s="28"/>
      <c r="H424" s="28"/>
      <c r="I424" s="65" t="str">
        <f aca="false">IF($A424="","",COUNTIFS($H$2:$H$1001,$A424,$D$2:$D$1001,"Reuse"))</f>
        <v/>
      </c>
    </row>
    <row r="425" customFormat="false" ht="15" hidden="false" customHeight="false" outlineLevel="0" collapsed="false">
      <c r="A425" s="28"/>
      <c r="B425" s="63"/>
      <c r="C425" s="28"/>
      <c r="D425" s="64"/>
      <c r="E425" s="28"/>
      <c r="F425" s="28"/>
      <c r="G425" s="28"/>
      <c r="H425" s="28"/>
      <c r="I425" s="65" t="str">
        <f aca="false">IF($A425="","",COUNTIFS($H$2:$H$1001,$A425,$D$2:$D$1001,"Reuse"))</f>
        <v/>
      </c>
    </row>
    <row r="426" customFormat="false" ht="15" hidden="false" customHeight="false" outlineLevel="0" collapsed="false">
      <c r="A426" s="28"/>
      <c r="B426" s="63"/>
      <c r="C426" s="28"/>
      <c r="D426" s="64"/>
      <c r="E426" s="28"/>
      <c r="F426" s="28"/>
      <c r="G426" s="28"/>
      <c r="H426" s="28"/>
      <c r="I426" s="65" t="str">
        <f aca="false">IF($A426="","",COUNTIFS($H$2:$H$1001,$A426,$D$2:$D$1001,"Reuse"))</f>
        <v/>
      </c>
    </row>
    <row r="427" customFormat="false" ht="15" hidden="false" customHeight="false" outlineLevel="0" collapsed="false">
      <c r="A427" s="28"/>
      <c r="B427" s="63"/>
      <c r="C427" s="28"/>
      <c r="D427" s="64"/>
      <c r="E427" s="28"/>
      <c r="F427" s="28"/>
      <c r="G427" s="28"/>
      <c r="H427" s="28"/>
      <c r="I427" s="65" t="str">
        <f aca="false">IF($A427="","",COUNTIFS($H$2:$H$1001,$A427,$D$2:$D$1001,"Reuse"))</f>
        <v/>
      </c>
    </row>
    <row r="428" customFormat="false" ht="15" hidden="false" customHeight="false" outlineLevel="0" collapsed="false">
      <c r="A428" s="28"/>
      <c r="B428" s="63"/>
      <c r="C428" s="28"/>
      <c r="D428" s="64"/>
      <c r="E428" s="28"/>
      <c r="F428" s="28"/>
      <c r="G428" s="28"/>
      <c r="H428" s="28"/>
      <c r="I428" s="65" t="str">
        <f aca="false">IF($A428="","",COUNTIFS($H$2:$H$1001,$A428,$D$2:$D$1001,"Reuse"))</f>
        <v/>
      </c>
    </row>
    <row r="429" customFormat="false" ht="15" hidden="false" customHeight="false" outlineLevel="0" collapsed="false">
      <c r="A429" s="28"/>
      <c r="B429" s="63"/>
      <c r="C429" s="28"/>
      <c r="D429" s="64"/>
      <c r="E429" s="28"/>
      <c r="F429" s="28"/>
      <c r="G429" s="28"/>
      <c r="H429" s="28"/>
      <c r="I429" s="65" t="str">
        <f aca="false">IF($A429="","",COUNTIFS($H$2:$H$1001,$A429,$D$2:$D$1001,"Reuse"))</f>
        <v/>
      </c>
    </row>
    <row r="430" customFormat="false" ht="15" hidden="false" customHeight="false" outlineLevel="0" collapsed="false">
      <c r="A430" s="28"/>
      <c r="B430" s="63"/>
      <c r="C430" s="28"/>
      <c r="D430" s="64"/>
      <c r="E430" s="28"/>
      <c r="F430" s="28"/>
      <c r="G430" s="28"/>
      <c r="H430" s="28"/>
      <c r="I430" s="65" t="str">
        <f aca="false">IF($A430="","",COUNTIFS($H$2:$H$1001,$A430,$D$2:$D$1001,"Reuse"))</f>
        <v/>
      </c>
    </row>
    <row r="431" customFormat="false" ht="15" hidden="false" customHeight="false" outlineLevel="0" collapsed="false">
      <c r="A431" s="28"/>
      <c r="B431" s="63"/>
      <c r="C431" s="28"/>
      <c r="D431" s="64"/>
      <c r="E431" s="28"/>
      <c r="F431" s="28"/>
      <c r="G431" s="28"/>
      <c r="H431" s="28"/>
      <c r="I431" s="65" t="str">
        <f aca="false">IF($A431="","",COUNTIFS($H$2:$H$1001,$A431,$D$2:$D$1001,"Reuse"))</f>
        <v/>
      </c>
    </row>
    <row r="432" customFormat="false" ht="15" hidden="false" customHeight="false" outlineLevel="0" collapsed="false">
      <c r="A432" s="28"/>
      <c r="B432" s="63"/>
      <c r="C432" s="28"/>
      <c r="D432" s="64"/>
      <c r="E432" s="28"/>
      <c r="F432" s="28"/>
      <c r="G432" s="28"/>
      <c r="H432" s="28"/>
      <c r="I432" s="65" t="str">
        <f aca="false">IF($A432="","",COUNTIFS($H$2:$H$1001,$A432,$D$2:$D$1001,"Reuse"))</f>
        <v/>
      </c>
    </row>
    <row r="433" customFormat="false" ht="15" hidden="false" customHeight="false" outlineLevel="0" collapsed="false">
      <c r="A433" s="28"/>
      <c r="B433" s="63"/>
      <c r="C433" s="28"/>
      <c r="D433" s="64"/>
      <c r="E433" s="28"/>
      <c r="F433" s="28"/>
      <c r="G433" s="28"/>
      <c r="H433" s="28"/>
      <c r="I433" s="65" t="str">
        <f aca="false">IF($A433="","",COUNTIFS($H$2:$H$1001,$A433,$D$2:$D$1001,"Reuse"))</f>
        <v/>
      </c>
    </row>
    <row r="434" customFormat="false" ht="15" hidden="false" customHeight="false" outlineLevel="0" collapsed="false">
      <c r="A434" s="28"/>
      <c r="B434" s="63"/>
      <c r="C434" s="28"/>
      <c r="D434" s="64"/>
      <c r="E434" s="28"/>
      <c r="F434" s="28"/>
      <c r="G434" s="28"/>
      <c r="H434" s="28"/>
      <c r="I434" s="65" t="str">
        <f aca="false">IF($A434="","",COUNTIFS($H$2:$H$1001,$A434,$D$2:$D$1001,"Reuse"))</f>
        <v/>
      </c>
    </row>
    <row r="435" customFormat="false" ht="15" hidden="false" customHeight="false" outlineLevel="0" collapsed="false">
      <c r="A435" s="28"/>
      <c r="B435" s="63"/>
      <c r="C435" s="28"/>
      <c r="D435" s="64"/>
      <c r="E435" s="28"/>
      <c r="F435" s="28"/>
      <c r="G435" s="28"/>
      <c r="H435" s="28"/>
      <c r="I435" s="65" t="str">
        <f aca="false">IF($A435="","",COUNTIFS($H$2:$H$1001,$A435,$D$2:$D$1001,"Reuse"))</f>
        <v/>
      </c>
    </row>
    <row r="436" customFormat="false" ht="15" hidden="false" customHeight="false" outlineLevel="0" collapsed="false">
      <c r="A436" s="28"/>
      <c r="B436" s="63"/>
      <c r="C436" s="28"/>
      <c r="D436" s="64"/>
      <c r="E436" s="28"/>
      <c r="F436" s="28"/>
      <c r="G436" s="28"/>
      <c r="H436" s="28"/>
      <c r="I436" s="65" t="str">
        <f aca="false">IF($A436="","",COUNTIFS($H$2:$H$1001,$A436,$D$2:$D$1001,"Reuse"))</f>
        <v/>
      </c>
    </row>
    <row r="437" customFormat="false" ht="15" hidden="false" customHeight="false" outlineLevel="0" collapsed="false">
      <c r="A437" s="28"/>
      <c r="B437" s="63"/>
      <c r="C437" s="28"/>
      <c r="D437" s="64"/>
      <c r="E437" s="28"/>
      <c r="F437" s="28"/>
      <c r="G437" s="28"/>
      <c r="H437" s="28"/>
      <c r="I437" s="65" t="str">
        <f aca="false">IF($A437="","",COUNTIFS($H$2:$H$1001,$A437,$D$2:$D$1001,"Reuse"))</f>
        <v/>
      </c>
    </row>
    <row r="438" customFormat="false" ht="15" hidden="false" customHeight="false" outlineLevel="0" collapsed="false">
      <c r="A438" s="28"/>
      <c r="B438" s="63"/>
      <c r="C438" s="28"/>
      <c r="D438" s="64"/>
      <c r="E438" s="28"/>
      <c r="F438" s="28"/>
      <c r="G438" s="28"/>
      <c r="H438" s="28"/>
      <c r="I438" s="65" t="str">
        <f aca="false">IF($A438="","",COUNTIFS($H$2:$H$1001,$A438,$D$2:$D$1001,"Reuse"))</f>
        <v/>
      </c>
    </row>
    <row r="439" customFormat="false" ht="15" hidden="false" customHeight="false" outlineLevel="0" collapsed="false">
      <c r="A439" s="28"/>
      <c r="B439" s="63"/>
      <c r="C439" s="28"/>
      <c r="D439" s="64"/>
      <c r="E439" s="28"/>
      <c r="F439" s="28"/>
      <c r="G439" s="28"/>
      <c r="H439" s="28"/>
      <c r="I439" s="65" t="str">
        <f aca="false">IF($A439="","",COUNTIFS($H$2:$H$1001,$A439,$D$2:$D$1001,"Reuse"))</f>
        <v/>
      </c>
    </row>
    <row r="440" customFormat="false" ht="15" hidden="false" customHeight="false" outlineLevel="0" collapsed="false">
      <c r="A440" s="28"/>
      <c r="B440" s="63"/>
      <c r="C440" s="28"/>
      <c r="D440" s="64"/>
      <c r="E440" s="28"/>
      <c r="F440" s="28"/>
      <c r="G440" s="28"/>
      <c r="H440" s="28"/>
      <c r="I440" s="65" t="str">
        <f aca="false">IF($A440="","",COUNTIFS($H$2:$H$1001,$A440,$D$2:$D$1001,"Reuse"))</f>
        <v/>
      </c>
    </row>
    <row r="441" customFormat="false" ht="15" hidden="false" customHeight="false" outlineLevel="0" collapsed="false">
      <c r="A441" s="28"/>
      <c r="B441" s="63"/>
      <c r="C441" s="28"/>
      <c r="D441" s="64"/>
      <c r="E441" s="28"/>
      <c r="F441" s="28"/>
      <c r="G441" s="28"/>
      <c r="H441" s="28"/>
      <c r="I441" s="65" t="str">
        <f aca="false">IF($A441="","",COUNTIFS($H$2:$H$1001,$A441,$D$2:$D$1001,"Reuse"))</f>
        <v/>
      </c>
    </row>
    <row r="442" customFormat="false" ht="15" hidden="false" customHeight="false" outlineLevel="0" collapsed="false">
      <c r="A442" s="28"/>
      <c r="B442" s="63"/>
      <c r="C442" s="28"/>
      <c r="D442" s="64"/>
      <c r="E442" s="28"/>
      <c r="F442" s="28"/>
      <c r="G442" s="28"/>
      <c r="H442" s="28"/>
      <c r="I442" s="65" t="str">
        <f aca="false">IF($A442="","",COUNTIFS($H$2:$H$1001,$A442,$D$2:$D$1001,"Reuse"))</f>
        <v/>
      </c>
    </row>
    <row r="443" customFormat="false" ht="15" hidden="false" customHeight="false" outlineLevel="0" collapsed="false">
      <c r="A443" s="28"/>
      <c r="B443" s="63"/>
      <c r="C443" s="28"/>
      <c r="D443" s="64"/>
      <c r="E443" s="28"/>
      <c r="F443" s="28"/>
      <c r="G443" s="28"/>
      <c r="H443" s="28"/>
      <c r="I443" s="65" t="str">
        <f aca="false">IF($A443="","",COUNTIFS($H$2:$H$1001,$A443,$D$2:$D$1001,"Reuse"))</f>
        <v/>
      </c>
    </row>
    <row r="444" customFormat="false" ht="15" hidden="false" customHeight="false" outlineLevel="0" collapsed="false">
      <c r="A444" s="28"/>
      <c r="B444" s="63"/>
      <c r="C444" s="28"/>
      <c r="D444" s="64"/>
      <c r="E444" s="28"/>
      <c r="F444" s="28"/>
      <c r="G444" s="28"/>
      <c r="H444" s="28"/>
      <c r="I444" s="65" t="str">
        <f aca="false">IF($A444="","",COUNTIFS($H$2:$H$1001,$A444,$D$2:$D$1001,"Reuse"))</f>
        <v/>
      </c>
    </row>
    <row r="445" customFormat="false" ht="15" hidden="false" customHeight="false" outlineLevel="0" collapsed="false">
      <c r="A445" s="28"/>
      <c r="B445" s="63"/>
      <c r="C445" s="28"/>
      <c r="D445" s="64"/>
      <c r="E445" s="28"/>
      <c r="F445" s="28"/>
      <c r="G445" s="28"/>
      <c r="H445" s="28"/>
      <c r="I445" s="65" t="str">
        <f aca="false">IF($A445="","",COUNTIFS($H$2:$H$1001,$A445,$D$2:$D$1001,"Reuse"))</f>
        <v/>
      </c>
    </row>
    <row r="446" customFormat="false" ht="15" hidden="false" customHeight="false" outlineLevel="0" collapsed="false">
      <c r="A446" s="28"/>
      <c r="B446" s="63"/>
      <c r="C446" s="28"/>
      <c r="D446" s="64"/>
      <c r="E446" s="28"/>
      <c r="F446" s="28"/>
      <c r="G446" s="28"/>
      <c r="H446" s="28"/>
      <c r="I446" s="65" t="str">
        <f aca="false">IF($A446="","",COUNTIFS($H$2:$H$1001,$A446,$D$2:$D$1001,"Reuse"))</f>
        <v/>
      </c>
    </row>
    <row r="447" customFormat="false" ht="15" hidden="false" customHeight="false" outlineLevel="0" collapsed="false">
      <c r="A447" s="28"/>
      <c r="B447" s="63"/>
      <c r="C447" s="28"/>
      <c r="D447" s="64"/>
      <c r="E447" s="28"/>
      <c r="F447" s="28"/>
      <c r="G447" s="28"/>
      <c r="H447" s="28"/>
      <c r="I447" s="65" t="str">
        <f aca="false">IF($A447="","",COUNTIFS($H$2:$H$1001,$A447,$D$2:$D$1001,"Reuse"))</f>
        <v/>
      </c>
    </row>
    <row r="448" customFormat="false" ht="15" hidden="false" customHeight="false" outlineLevel="0" collapsed="false">
      <c r="A448" s="28"/>
      <c r="B448" s="63"/>
      <c r="C448" s="28"/>
      <c r="D448" s="64"/>
      <c r="E448" s="28"/>
      <c r="F448" s="28"/>
      <c r="G448" s="28"/>
      <c r="H448" s="28"/>
      <c r="I448" s="65" t="str">
        <f aca="false">IF($A448="","",COUNTIFS($H$2:$H$1001,$A448,$D$2:$D$1001,"Reuse"))</f>
        <v/>
      </c>
    </row>
    <row r="449" customFormat="false" ht="15" hidden="false" customHeight="false" outlineLevel="0" collapsed="false">
      <c r="A449" s="28"/>
      <c r="B449" s="63"/>
      <c r="C449" s="28"/>
      <c r="D449" s="64"/>
      <c r="E449" s="28"/>
      <c r="F449" s="28"/>
      <c r="G449" s="28"/>
      <c r="H449" s="28"/>
      <c r="I449" s="65" t="str">
        <f aca="false">IF($A449="","",COUNTIFS($H$2:$H$1001,$A449,$D$2:$D$1001,"Reuse"))</f>
        <v/>
      </c>
    </row>
    <row r="450" customFormat="false" ht="15" hidden="false" customHeight="false" outlineLevel="0" collapsed="false">
      <c r="A450" s="28"/>
      <c r="B450" s="63"/>
      <c r="C450" s="28"/>
      <c r="D450" s="64"/>
      <c r="E450" s="28"/>
      <c r="F450" s="28"/>
      <c r="G450" s="28"/>
      <c r="H450" s="28"/>
      <c r="I450" s="65" t="str">
        <f aca="false">IF($A450="","",COUNTIFS($H$2:$H$1001,$A450,$D$2:$D$1001,"Reuse"))</f>
        <v/>
      </c>
    </row>
    <row r="451" customFormat="false" ht="15" hidden="false" customHeight="false" outlineLevel="0" collapsed="false">
      <c r="A451" s="28"/>
      <c r="B451" s="63"/>
      <c r="C451" s="28"/>
      <c r="D451" s="64"/>
      <c r="E451" s="28"/>
      <c r="F451" s="28"/>
      <c r="G451" s="28"/>
      <c r="H451" s="28"/>
      <c r="I451" s="65" t="str">
        <f aca="false">IF($A451="","",COUNTIFS($H$2:$H$1001,$A451,$D$2:$D$1001,"Reuse"))</f>
        <v/>
      </c>
    </row>
    <row r="452" customFormat="false" ht="15" hidden="false" customHeight="false" outlineLevel="0" collapsed="false">
      <c r="A452" s="28"/>
      <c r="B452" s="63"/>
      <c r="C452" s="28"/>
      <c r="D452" s="64"/>
      <c r="E452" s="28"/>
      <c r="F452" s="28"/>
      <c r="G452" s="28"/>
      <c r="H452" s="28"/>
      <c r="I452" s="65" t="str">
        <f aca="false">IF($A452="","",COUNTIFS($H$2:$H$1001,$A452,$D$2:$D$1001,"Reuse"))</f>
        <v/>
      </c>
    </row>
    <row r="453" customFormat="false" ht="15" hidden="false" customHeight="false" outlineLevel="0" collapsed="false">
      <c r="A453" s="28"/>
      <c r="B453" s="63"/>
      <c r="C453" s="28"/>
      <c r="D453" s="64"/>
      <c r="E453" s="28"/>
      <c r="F453" s="28"/>
      <c r="G453" s="28"/>
      <c r="H453" s="28"/>
      <c r="I453" s="65" t="str">
        <f aca="false">IF($A453="","",COUNTIFS($H$2:$H$1001,$A453,$D$2:$D$1001,"Reuse"))</f>
        <v/>
      </c>
    </row>
    <row r="454" customFormat="false" ht="15" hidden="false" customHeight="false" outlineLevel="0" collapsed="false">
      <c r="A454" s="28"/>
      <c r="B454" s="63"/>
      <c r="C454" s="28"/>
      <c r="D454" s="64"/>
      <c r="E454" s="28"/>
      <c r="F454" s="28"/>
      <c r="G454" s="28"/>
      <c r="H454" s="28"/>
      <c r="I454" s="65" t="str">
        <f aca="false">IF($A454="","",COUNTIFS($H$2:$H$1001,$A454,$D$2:$D$1001,"Reuse"))</f>
        <v/>
      </c>
    </row>
    <row r="455" customFormat="false" ht="15" hidden="false" customHeight="false" outlineLevel="0" collapsed="false">
      <c r="A455" s="28"/>
      <c r="B455" s="63"/>
      <c r="C455" s="28"/>
      <c r="D455" s="64"/>
      <c r="E455" s="28"/>
      <c r="F455" s="28"/>
      <c r="G455" s="28"/>
      <c r="H455" s="28"/>
      <c r="I455" s="65" t="str">
        <f aca="false">IF($A455="","",COUNTIFS($H$2:$H$1001,$A455,$D$2:$D$1001,"Reuse"))</f>
        <v/>
      </c>
    </row>
    <row r="456" customFormat="false" ht="15" hidden="false" customHeight="false" outlineLevel="0" collapsed="false">
      <c r="A456" s="28"/>
      <c r="B456" s="63"/>
      <c r="C456" s="28"/>
      <c r="D456" s="64"/>
      <c r="E456" s="28"/>
      <c r="F456" s="28"/>
      <c r="G456" s="28"/>
      <c r="H456" s="28"/>
      <c r="I456" s="65" t="str">
        <f aca="false">IF($A456="","",COUNTIFS($H$2:$H$1001,$A456,$D$2:$D$1001,"Reuse"))</f>
        <v/>
      </c>
    </row>
    <row r="457" customFormat="false" ht="15" hidden="false" customHeight="false" outlineLevel="0" collapsed="false">
      <c r="A457" s="28"/>
      <c r="B457" s="63"/>
      <c r="C457" s="28"/>
      <c r="D457" s="64"/>
      <c r="E457" s="28"/>
      <c r="F457" s="28"/>
      <c r="G457" s="28"/>
      <c r="H457" s="28"/>
      <c r="I457" s="65" t="str">
        <f aca="false">IF($A457="","",COUNTIFS($H$2:$H$1001,$A457,$D$2:$D$1001,"Reuse"))</f>
        <v/>
      </c>
    </row>
    <row r="458" customFormat="false" ht="15" hidden="false" customHeight="false" outlineLevel="0" collapsed="false">
      <c r="A458" s="28"/>
      <c r="B458" s="63"/>
      <c r="C458" s="28"/>
      <c r="D458" s="64"/>
      <c r="E458" s="28"/>
      <c r="F458" s="28"/>
      <c r="G458" s="28"/>
      <c r="H458" s="28"/>
      <c r="I458" s="65" t="str">
        <f aca="false">IF($A458="","",COUNTIFS($H$2:$H$1001,$A458,$D$2:$D$1001,"Reuse"))</f>
        <v/>
      </c>
    </row>
    <row r="459" customFormat="false" ht="15" hidden="false" customHeight="false" outlineLevel="0" collapsed="false">
      <c r="A459" s="28"/>
      <c r="B459" s="63"/>
      <c r="C459" s="28"/>
      <c r="D459" s="64"/>
      <c r="E459" s="28"/>
      <c r="F459" s="28"/>
      <c r="G459" s="28"/>
      <c r="H459" s="28"/>
      <c r="I459" s="65" t="str">
        <f aca="false">IF($A459="","",COUNTIFS($H$2:$H$1001,$A459,$D$2:$D$1001,"Reuse"))</f>
        <v/>
      </c>
    </row>
    <row r="460" customFormat="false" ht="15" hidden="false" customHeight="false" outlineLevel="0" collapsed="false">
      <c r="A460" s="28"/>
      <c r="B460" s="63"/>
      <c r="C460" s="28"/>
      <c r="D460" s="64"/>
      <c r="E460" s="28"/>
      <c r="F460" s="28"/>
      <c r="G460" s="28"/>
      <c r="H460" s="28"/>
      <c r="I460" s="65" t="str">
        <f aca="false">IF($A460="","",COUNTIFS($H$2:$H$1001,$A460,$D$2:$D$1001,"Reuse"))</f>
        <v/>
      </c>
    </row>
    <row r="461" customFormat="false" ht="15" hidden="false" customHeight="false" outlineLevel="0" collapsed="false">
      <c r="A461" s="28"/>
      <c r="B461" s="63"/>
      <c r="C461" s="28"/>
      <c r="D461" s="64"/>
      <c r="E461" s="28"/>
      <c r="F461" s="28"/>
      <c r="G461" s="28"/>
      <c r="H461" s="28"/>
      <c r="I461" s="65" t="str">
        <f aca="false">IF($A461="","",COUNTIFS($H$2:$H$1001,$A461,$D$2:$D$1001,"Reuse"))</f>
        <v/>
      </c>
    </row>
    <row r="462" customFormat="false" ht="15" hidden="false" customHeight="false" outlineLevel="0" collapsed="false">
      <c r="A462" s="28"/>
      <c r="B462" s="63"/>
      <c r="C462" s="28"/>
      <c r="D462" s="64"/>
      <c r="E462" s="28"/>
      <c r="F462" s="28"/>
      <c r="G462" s="28"/>
      <c r="H462" s="28"/>
      <c r="I462" s="65" t="str">
        <f aca="false">IF($A462="","",COUNTIFS($H$2:$H$1001,$A462,$D$2:$D$1001,"Reuse"))</f>
        <v/>
      </c>
    </row>
    <row r="463" customFormat="false" ht="15" hidden="false" customHeight="false" outlineLevel="0" collapsed="false">
      <c r="A463" s="28"/>
      <c r="B463" s="63"/>
      <c r="C463" s="28"/>
      <c r="D463" s="64"/>
      <c r="E463" s="28"/>
      <c r="F463" s="28"/>
      <c r="G463" s="28"/>
      <c r="H463" s="28"/>
      <c r="I463" s="65" t="str">
        <f aca="false">IF($A463="","",COUNTIFS($H$2:$H$1001,$A463,$D$2:$D$1001,"Reuse"))</f>
        <v/>
      </c>
    </row>
    <row r="464" customFormat="false" ht="15" hidden="false" customHeight="false" outlineLevel="0" collapsed="false">
      <c r="A464" s="28"/>
      <c r="B464" s="63"/>
      <c r="C464" s="28"/>
      <c r="D464" s="64"/>
      <c r="E464" s="28"/>
      <c r="F464" s="28"/>
      <c r="G464" s="28"/>
      <c r="H464" s="28"/>
      <c r="I464" s="65" t="str">
        <f aca="false">IF($A464="","",COUNTIFS($H$2:$H$1001,$A464,$D$2:$D$1001,"Reuse"))</f>
        <v/>
      </c>
    </row>
    <row r="465" customFormat="false" ht="15" hidden="false" customHeight="false" outlineLevel="0" collapsed="false">
      <c r="A465" s="28"/>
      <c r="B465" s="63"/>
      <c r="C465" s="28"/>
      <c r="D465" s="64"/>
      <c r="E465" s="28"/>
      <c r="F465" s="28"/>
      <c r="G465" s="28"/>
      <c r="H465" s="28"/>
      <c r="I465" s="65" t="str">
        <f aca="false">IF($A465="","",COUNTIFS($H$2:$H$1001,$A465,$D$2:$D$1001,"Reuse"))</f>
        <v/>
      </c>
    </row>
    <row r="466" customFormat="false" ht="15" hidden="false" customHeight="false" outlineLevel="0" collapsed="false">
      <c r="A466" s="28"/>
      <c r="B466" s="63"/>
      <c r="C466" s="28"/>
      <c r="D466" s="64"/>
      <c r="E466" s="28"/>
      <c r="F466" s="28"/>
      <c r="G466" s="28"/>
      <c r="H466" s="28"/>
      <c r="I466" s="65" t="str">
        <f aca="false">IF($A466="","",COUNTIFS($H$2:$H$1001,$A466,$D$2:$D$1001,"Reuse"))</f>
        <v/>
      </c>
    </row>
    <row r="467" customFormat="false" ht="15" hidden="false" customHeight="false" outlineLevel="0" collapsed="false">
      <c r="A467" s="28"/>
      <c r="B467" s="63"/>
      <c r="C467" s="28"/>
      <c r="D467" s="64"/>
      <c r="E467" s="28"/>
      <c r="F467" s="28"/>
      <c r="G467" s="28"/>
      <c r="H467" s="28"/>
      <c r="I467" s="65" t="str">
        <f aca="false">IF($A467="","",COUNTIFS($H$2:$H$1001,$A467,$D$2:$D$1001,"Reuse"))</f>
        <v/>
      </c>
    </row>
    <row r="468" customFormat="false" ht="15" hidden="false" customHeight="false" outlineLevel="0" collapsed="false">
      <c r="A468" s="28"/>
      <c r="B468" s="63"/>
      <c r="C468" s="28"/>
      <c r="D468" s="64"/>
      <c r="E468" s="28"/>
      <c r="F468" s="28"/>
      <c r="G468" s="28"/>
      <c r="H468" s="28"/>
      <c r="I468" s="65" t="str">
        <f aca="false">IF($A468="","",COUNTIFS($H$2:$H$1001,$A468,$D$2:$D$1001,"Reuse"))</f>
        <v/>
      </c>
    </row>
    <row r="469" customFormat="false" ht="15" hidden="false" customHeight="false" outlineLevel="0" collapsed="false">
      <c r="A469" s="28"/>
      <c r="B469" s="63"/>
      <c r="C469" s="28"/>
      <c r="D469" s="64"/>
      <c r="E469" s="28"/>
      <c r="F469" s="28"/>
      <c r="G469" s="28"/>
      <c r="H469" s="28"/>
      <c r="I469" s="65" t="str">
        <f aca="false">IF($A469="","",COUNTIFS($H$2:$H$1001,$A469,$D$2:$D$1001,"Reuse"))</f>
        <v/>
      </c>
    </row>
    <row r="470" customFormat="false" ht="15" hidden="false" customHeight="false" outlineLevel="0" collapsed="false">
      <c r="A470" s="28"/>
      <c r="B470" s="63"/>
      <c r="C470" s="28"/>
      <c r="D470" s="64"/>
      <c r="E470" s="28"/>
      <c r="F470" s="28"/>
      <c r="G470" s="28"/>
      <c r="H470" s="28"/>
      <c r="I470" s="65" t="str">
        <f aca="false">IF($A470="","",COUNTIFS($H$2:$H$1001,$A470,$D$2:$D$1001,"Reuse"))</f>
        <v/>
      </c>
    </row>
    <row r="471" customFormat="false" ht="15" hidden="false" customHeight="false" outlineLevel="0" collapsed="false">
      <c r="A471" s="28"/>
      <c r="B471" s="63"/>
      <c r="C471" s="28"/>
      <c r="D471" s="64"/>
      <c r="E471" s="28"/>
      <c r="F471" s="28"/>
      <c r="G471" s="28"/>
      <c r="H471" s="28"/>
      <c r="I471" s="65" t="str">
        <f aca="false">IF($A471="","",COUNTIFS($H$2:$H$1001,$A471,$D$2:$D$1001,"Reuse"))</f>
        <v/>
      </c>
    </row>
    <row r="472" customFormat="false" ht="15" hidden="false" customHeight="false" outlineLevel="0" collapsed="false">
      <c r="A472" s="28"/>
      <c r="B472" s="63"/>
      <c r="C472" s="28"/>
      <c r="D472" s="64"/>
      <c r="E472" s="28"/>
      <c r="F472" s="28"/>
      <c r="G472" s="28"/>
      <c r="H472" s="28"/>
      <c r="I472" s="65" t="str">
        <f aca="false">IF($A472="","",COUNTIFS($H$2:$H$1001,$A472,$D$2:$D$1001,"Reuse"))</f>
        <v/>
      </c>
    </row>
    <row r="473" customFormat="false" ht="15" hidden="false" customHeight="false" outlineLevel="0" collapsed="false">
      <c r="A473" s="28"/>
      <c r="B473" s="63"/>
      <c r="C473" s="28"/>
      <c r="D473" s="64"/>
      <c r="E473" s="28"/>
      <c r="F473" s="28"/>
      <c r="G473" s="28"/>
      <c r="H473" s="28"/>
      <c r="I473" s="65" t="str">
        <f aca="false">IF($A473="","",COUNTIFS($H$2:$H$1001,$A473,$D$2:$D$1001,"Reuse"))</f>
        <v/>
      </c>
    </row>
    <row r="474" customFormat="false" ht="15" hidden="false" customHeight="false" outlineLevel="0" collapsed="false">
      <c r="A474" s="28"/>
      <c r="B474" s="63"/>
      <c r="C474" s="28"/>
      <c r="D474" s="64"/>
      <c r="E474" s="28"/>
      <c r="F474" s="28"/>
      <c r="G474" s="28"/>
      <c r="H474" s="28"/>
      <c r="I474" s="65" t="str">
        <f aca="false">IF($A474="","",COUNTIFS($H$2:$H$1001,$A474,$D$2:$D$1001,"Reuse"))</f>
        <v/>
      </c>
    </row>
    <row r="475" customFormat="false" ht="15" hidden="false" customHeight="false" outlineLevel="0" collapsed="false">
      <c r="A475" s="28"/>
      <c r="B475" s="63"/>
      <c r="C475" s="28"/>
      <c r="D475" s="64"/>
      <c r="E475" s="28"/>
      <c r="F475" s="28"/>
      <c r="G475" s="28"/>
      <c r="H475" s="28"/>
      <c r="I475" s="65" t="str">
        <f aca="false">IF($A475="","",COUNTIFS($H$2:$H$1001,$A475,$D$2:$D$1001,"Reuse"))</f>
        <v/>
      </c>
    </row>
    <row r="476" customFormat="false" ht="15" hidden="false" customHeight="false" outlineLevel="0" collapsed="false">
      <c r="A476" s="28"/>
      <c r="B476" s="63"/>
      <c r="C476" s="28"/>
      <c r="D476" s="64"/>
      <c r="E476" s="28"/>
      <c r="F476" s="28"/>
      <c r="G476" s="28"/>
      <c r="H476" s="28"/>
      <c r="I476" s="65" t="str">
        <f aca="false">IF($A476="","",COUNTIFS($H$2:$H$1001,$A476,$D$2:$D$1001,"Reuse"))</f>
        <v/>
      </c>
    </row>
    <row r="477" customFormat="false" ht="15" hidden="false" customHeight="false" outlineLevel="0" collapsed="false">
      <c r="A477" s="28"/>
      <c r="B477" s="63"/>
      <c r="C477" s="28"/>
      <c r="D477" s="64"/>
      <c r="E477" s="28"/>
      <c r="F477" s="28"/>
      <c r="G477" s="28"/>
      <c r="H477" s="28"/>
      <c r="I477" s="65" t="str">
        <f aca="false">IF($A477="","",COUNTIFS($H$2:$H$1001,$A477,$D$2:$D$1001,"Reuse"))</f>
        <v/>
      </c>
    </row>
    <row r="478" customFormat="false" ht="15" hidden="false" customHeight="false" outlineLevel="0" collapsed="false">
      <c r="A478" s="28"/>
      <c r="B478" s="63"/>
      <c r="C478" s="28"/>
      <c r="D478" s="64"/>
      <c r="E478" s="28"/>
      <c r="F478" s="28"/>
      <c r="G478" s="28"/>
      <c r="H478" s="28"/>
      <c r="I478" s="65" t="str">
        <f aca="false">IF($A478="","",COUNTIFS($H$2:$H$1001,$A478,$D$2:$D$1001,"Reuse"))</f>
        <v/>
      </c>
    </row>
    <row r="479" customFormat="false" ht="15" hidden="false" customHeight="false" outlineLevel="0" collapsed="false">
      <c r="A479" s="28"/>
      <c r="B479" s="63"/>
      <c r="C479" s="28"/>
      <c r="D479" s="64"/>
      <c r="E479" s="28"/>
      <c r="F479" s="28"/>
      <c r="G479" s="28"/>
      <c r="H479" s="28"/>
      <c r="I479" s="65" t="str">
        <f aca="false">IF($A479="","",COUNTIFS($H$2:$H$1001,$A479,$D$2:$D$1001,"Reuse"))</f>
        <v/>
      </c>
    </row>
    <row r="480" customFormat="false" ht="15" hidden="false" customHeight="false" outlineLevel="0" collapsed="false">
      <c r="A480" s="28"/>
      <c r="B480" s="63"/>
      <c r="C480" s="28"/>
      <c r="D480" s="64"/>
      <c r="E480" s="28"/>
      <c r="F480" s="28"/>
      <c r="G480" s="28"/>
      <c r="H480" s="28"/>
      <c r="I480" s="65" t="str">
        <f aca="false">IF($A480="","",COUNTIFS($H$2:$H$1001,$A480,$D$2:$D$1001,"Reuse"))</f>
        <v/>
      </c>
    </row>
    <row r="481" customFormat="false" ht="15" hidden="false" customHeight="false" outlineLevel="0" collapsed="false">
      <c r="A481" s="28"/>
      <c r="B481" s="63"/>
      <c r="C481" s="28"/>
      <c r="D481" s="64"/>
      <c r="E481" s="28"/>
      <c r="F481" s="28"/>
      <c r="G481" s="28"/>
      <c r="H481" s="28"/>
      <c r="I481" s="65" t="str">
        <f aca="false">IF($A481="","",COUNTIFS($H$2:$H$1001,$A481,$D$2:$D$1001,"Reuse"))</f>
        <v/>
      </c>
    </row>
    <row r="482" customFormat="false" ht="15" hidden="false" customHeight="false" outlineLevel="0" collapsed="false">
      <c r="A482" s="28"/>
      <c r="B482" s="63"/>
      <c r="C482" s="28"/>
      <c r="D482" s="64"/>
      <c r="E482" s="28"/>
      <c r="F482" s="28"/>
      <c r="G482" s="28"/>
      <c r="H482" s="28"/>
      <c r="I482" s="65" t="str">
        <f aca="false">IF($A482="","",COUNTIFS($H$2:$H$1001,$A482,$D$2:$D$1001,"Reuse"))</f>
        <v/>
      </c>
    </row>
    <row r="483" customFormat="false" ht="15" hidden="false" customHeight="false" outlineLevel="0" collapsed="false">
      <c r="A483" s="28"/>
      <c r="B483" s="63"/>
      <c r="C483" s="28"/>
      <c r="D483" s="64"/>
      <c r="E483" s="28"/>
      <c r="F483" s="28"/>
      <c r="G483" s="28"/>
      <c r="H483" s="28"/>
      <c r="I483" s="65" t="str">
        <f aca="false">IF($A483="","",COUNTIFS($H$2:$H$1001,$A483,$D$2:$D$1001,"Reuse"))</f>
        <v/>
      </c>
    </row>
    <row r="484" customFormat="false" ht="15" hidden="false" customHeight="false" outlineLevel="0" collapsed="false">
      <c r="A484" s="28"/>
      <c r="B484" s="63"/>
      <c r="C484" s="28"/>
      <c r="D484" s="64"/>
      <c r="E484" s="28"/>
      <c r="F484" s="28"/>
      <c r="G484" s="28"/>
      <c r="H484" s="28"/>
      <c r="I484" s="65" t="str">
        <f aca="false">IF($A484="","",COUNTIFS($H$2:$H$1001,$A484,$D$2:$D$1001,"Reuse"))</f>
        <v/>
      </c>
    </row>
    <row r="485" customFormat="false" ht="15" hidden="false" customHeight="false" outlineLevel="0" collapsed="false">
      <c r="A485" s="28"/>
      <c r="B485" s="63"/>
      <c r="C485" s="28"/>
      <c r="D485" s="64"/>
      <c r="E485" s="28"/>
      <c r="F485" s="28"/>
      <c r="G485" s="28"/>
      <c r="H485" s="28"/>
      <c r="I485" s="65" t="str">
        <f aca="false">IF($A485="","",COUNTIFS($H$2:$H$1001,$A485,$D$2:$D$1001,"Reuse"))</f>
        <v/>
      </c>
    </row>
    <row r="486" customFormat="false" ht="15" hidden="false" customHeight="false" outlineLevel="0" collapsed="false">
      <c r="A486" s="28"/>
      <c r="B486" s="63"/>
      <c r="C486" s="28"/>
      <c r="D486" s="64"/>
      <c r="E486" s="28"/>
      <c r="F486" s="28"/>
      <c r="G486" s="28"/>
      <c r="H486" s="28"/>
      <c r="I486" s="65" t="str">
        <f aca="false">IF($A486="","",COUNTIFS($H$2:$H$1001,$A486,$D$2:$D$1001,"Reuse"))</f>
        <v/>
      </c>
    </row>
    <row r="487" customFormat="false" ht="15" hidden="false" customHeight="false" outlineLevel="0" collapsed="false">
      <c r="A487" s="28"/>
      <c r="B487" s="63"/>
      <c r="C487" s="28"/>
      <c r="D487" s="64"/>
      <c r="E487" s="28"/>
      <c r="F487" s="28"/>
      <c r="G487" s="28"/>
      <c r="H487" s="28"/>
      <c r="I487" s="65" t="str">
        <f aca="false">IF($A487="","",COUNTIFS($H$2:$H$1001,$A487,$D$2:$D$1001,"Reuse"))</f>
        <v/>
      </c>
    </row>
    <row r="488" customFormat="false" ht="15" hidden="false" customHeight="false" outlineLevel="0" collapsed="false">
      <c r="A488" s="28"/>
      <c r="B488" s="63"/>
      <c r="C488" s="28"/>
      <c r="D488" s="64"/>
      <c r="E488" s="28"/>
      <c r="F488" s="28"/>
      <c r="G488" s="28"/>
      <c r="H488" s="28"/>
      <c r="I488" s="65" t="str">
        <f aca="false">IF($A488="","",COUNTIFS($H$2:$H$1001,$A488,$D$2:$D$1001,"Reuse"))</f>
        <v/>
      </c>
    </row>
    <row r="489" customFormat="false" ht="15" hidden="false" customHeight="false" outlineLevel="0" collapsed="false">
      <c r="A489" s="28"/>
      <c r="B489" s="63"/>
      <c r="C489" s="28"/>
      <c r="D489" s="64"/>
      <c r="E489" s="28"/>
      <c r="F489" s="28"/>
      <c r="G489" s="28"/>
      <c r="H489" s="28"/>
      <c r="I489" s="65" t="str">
        <f aca="false">IF($A489="","",COUNTIFS($H$2:$H$1001,$A489,$D$2:$D$1001,"Reuse"))</f>
        <v/>
      </c>
    </row>
    <row r="490" customFormat="false" ht="15" hidden="false" customHeight="false" outlineLevel="0" collapsed="false">
      <c r="A490" s="28"/>
      <c r="B490" s="63"/>
      <c r="C490" s="28"/>
      <c r="D490" s="64"/>
      <c r="E490" s="28"/>
      <c r="F490" s="28"/>
      <c r="G490" s="28"/>
      <c r="H490" s="28"/>
      <c r="I490" s="65" t="str">
        <f aca="false">IF($A490="","",COUNTIFS($H$2:$H$1001,$A490,$D$2:$D$1001,"Reuse"))</f>
        <v/>
      </c>
    </row>
    <row r="491" customFormat="false" ht="15" hidden="false" customHeight="false" outlineLevel="0" collapsed="false">
      <c r="A491" s="28"/>
      <c r="B491" s="63"/>
      <c r="C491" s="28"/>
      <c r="D491" s="64"/>
      <c r="E491" s="28"/>
      <c r="F491" s="28"/>
      <c r="G491" s="28"/>
      <c r="H491" s="28"/>
      <c r="I491" s="65" t="str">
        <f aca="false">IF($A491="","",COUNTIFS($H$2:$H$1001,$A491,$D$2:$D$1001,"Reuse"))</f>
        <v/>
      </c>
    </row>
    <row r="492" customFormat="false" ht="15" hidden="false" customHeight="false" outlineLevel="0" collapsed="false">
      <c r="A492" s="28"/>
      <c r="B492" s="63"/>
      <c r="C492" s="28"/>
      <c r="D492" s="64"/>
      <c r="E492" s="28"/>
      <c r="F492" s="28"/>
      <c r="G492" s="28"/>
      <c r="H492" s="28"/>
      <c r="I492" s="65" t="str">
        <f aca="false">IF($A492="","",COUNTIFS($H$2:$H$1001,$A492,$D$2:$D$1001,"Reuse"))</f>
        <v/>
      </c>
    </row>
    <row r="493" customFormat="false" ht="15" hidden="false" customHeight="false" outlineLevel="0" collapsed="false">
      <c r="A493" s="28"/>
      <c r="B493" s="63"/>
      <c r="C493" s="28"/>
      <c r="D493" s="64"/>
      <c r="E493" s="28"/>
      <c r="F493" s="28"/>
      <c r="G493" s="28"/>
      <c r="H493" s="28"/>
      <c r="I493" s="65" t="str">
        <f aca="false">IF($A493="","",COUNTIFS($H$2:$H$1001,$A493,$D$2:$D$1001,"Reuse"))</f>
        <v/>
      </c>
    </row>
    <row r="494" customFormat="false" ht="15" hidden="false" customHeight="false" outlineLevel="0" collapsed="false">
      <c r="A494" s="28"/>
      <c r="B494" s="63"/>
      <c r="C494" s="28"/>
      <c r="D494" s="64"/>
      <c r="E494" s="28"/>
      <c r="F494" s="28"/>
      <c r="G494" s="28"/>
      <c r="H494" s="28"/>
      <c r="I494" s="65" t="str">
        <f aca="false">IF($A494="","",COUNTIFS($H$2:$H$1001,$A494,$D$2:$D$1001,"Reuse"))</f>
        <v/>
      </c>
    </row>
    <row r="495" customFormat="false" ht="15" hidden="false" customHeight="false" outlineLevel="0" collapsed="false">
      <c r="A495" s="28"/>
      <c r="B495" s="63"/>
      <c r="C495" s="28"/>
      <c r="D495" s="64"/>
      <c r="E495" s="28"/>
      <c r="F495" s="28"/>
      <c r="G495" s="28"/>
      <c r="H495" s="28"/>
      <c r="I495" s="65" t="str">
        <f aca="false">IF($A495="","",COUNTIFS($H$2:$H$1001,$A495,$D$2:$D$1001,"Reuse"))</f>
        <v/>
      </c>
    </row>
    <row r="496" customFormat="false" ht="15" hidden="false" customHeight="false" outlineLevel="0" collapsed="false">
      <c r="A496" s="28"/>
      <c r="B496" s="63"/>
      <c r="C496" s="28"/>
      <c r="D496" s="64"/>
      <c r="E496" s="28"/>
      <c r="F496" s="28"/>
      <c r="G496" s="28"/>
      <c r="H496" s="28"/>
      <c r="I496" s="65" t="str">
        <f aca="false">IF($A496="","",COUNTIFS($H$2:$H$1001,$A496,$D$2:$D$1001,"Reuse"))</f>
        <v/>
      </c>
    </row>
    <row r="497" customFormat="false" ht="15" hidden="false" customHeight="false" outlineLevel="0" collapsed="false">
      <c r="A497" s="28"/>
      <c r="B497" s="63"/>
      <c r="C497" s="28"/>
      <c r="D497" s="64"/>
      <c r="E497" s="28"/>
      <c r="F497" s="28"/>
      <c r="G497" s="28"/>
      <c r="H497" s="28"/>
      <c r="I497" s="65" t="str">
        <f aca="false">IF($A497="","",COUNTIFS($H$2:$H$1001,$A497,$D$2:$D$1001,"Reuse"))</f>
        <v/>
      </c>
    </row>
    <row r="498" customFormat="false" ht="15" hidden="false" customHeight="false" outlineLevel="0" collapsed="false">
      <c r="A498" s="28"/>
      <c r="B498" s="63"/>
      <c r="C498" s="28"/>
      <c r="D498" s="64"/>
      <c r="E498" s="28"/>
      <c r="F498" s="28"/>
      <c r="G498" s="28"/>
      <c r="H498" s="28"/>
      <c r="I498" s="65" t="str">
        <f aca="false">IF($A498="","",COUNTIFS($H$2:$H$1001,$A498,$D$2:$D$1001,"Reuse"))</f>
        <v/>
      </c>
    </row>
    <row r="499" customFormat="false" ht="15" hidden="false" customHeight="false" outlineLevel="0" collapsed="false">
      <c r="A499" s="28"/>
      <c r="B499" s="63"/>
      <c r="C499" s="28"/>
      <c r="D499" s="64"/>
      <c r="E499" s="28"/>
      <c r="F499" s="28"/>
      <c r="G499" s="28"/>
      <c r="H499" s="28"/>
      <c r="I499" s="65" t="str">
        <f aca="false">IF($A499="","",COUNTIFS($H$2:$H$1001,$A499,$D$2:$D$1001,"Reuse"))</f>
        <v/>
      </c>
    </row>
    <row r="500" customFormat="false" ht="15" hidden="false" customHeight="false" outlineLevel="0" collapsed="false">
      <c r="A500" s="28"/>
      <c r="B500" s="63"/>
      <c r="C500" s="28"/>
      <c r="D500" s="64"/>
      <c r="E500" s="28"/>
      <c r="F500" s="28"/>
      <c r="G500" s="28"/>
      <c r="H500" s="28"/>
      <c r="I500" s="65" t="str">
        <f aca="false">IF($A500="","",COUNTIFS($H$2:$H$1001,$A500,$D$2:$D$1001,"Reuse"))</f>
        <v/>
      </c>
    </row>
    <row r="501" customFormat="false" ht="15" hidden="false" customHeight="false" outlineLevel="0" collapsed="false">
      <c r="A501" s="28"/>
      <c r="B501" s="63"/>
      <c r="C501" s="28"/>
      <c r="D501" s="64"/>
      <c r="E501" s="28"/>
      <c r="F501" s="28"/>
      <c r="G501" s="28"/>
      <c r="H501" s="28"/>
      <c r="I501" s="65" t="str">
        <f aca="false">IF($A501="","",COUNTIFS($H$2:$H$1001,$A501,$D$2:$D$1001,"Reuse"))</f>
        <v/>
      </c>
    </row>
    <row r="502" customFormat="false" ht="15" hidden="false" customHeight="false" outlineLevel="0" collapsed="false">
      <c r="A502" s="28"/>
      <c r="B502" s="63"/>
      <c r="C502" s="28"/>
      <c r="D502" s="64"/>
      <c r="E502" s="28"/>
      <c r="F502" s="28"/>
      <c r="G502" s="28"/>
      <c r="H502" s="28"/>
      <c r="I502" s="65" t="str">
        <f aca="false">IF($A502="","",COUNTIFS($H$2:$H$1001,$A502,$D$2:$D$1001,"Reuse"))</f>
        <v/>
      </c>
    </row>
    <row r="503" customFormat="false" ht="15" hidden="false" customHeight="false" outlineLevel="0" collapsed="false">
      <c r="A503" s="28"/>
      <c r="B503" s="63"/>
      <c r="C503" s="28"/>
      <c r="D503" s="64"/>
      <c r="E503" s="28"/>
      <c r="F503" s="28"/>
      <c r="G503" s="28"/>
      <c r="H503" s="28"/>
      <c r="I503" s="65" t="str">
        <f aca="false">IF($A503="","",COUNTIFS($H$2:$H$1001,$A503,$D$2:$D$1001,"Reuse"))</f>
        <v/>
      </c>
    </row>
    <row r="504" customFormat="false" ht="15" hidden="false" customHeight="false" outlineLevel="0" collapsed="false">
      <c r="A504" s="28"/>
      <c r="B504" s="63"/>
      <c r="C504" s="28"/>
      <c r="D504" s="64"/>
      <c r="E504" s="28"/>
      <c r="F504" s="28"/>
      <c r="G504" s="28"/>
      <c r="H504" s="28"/>
      <c r="I504" s="65" t="str">
        <f aca="false">IF($A504="","",COUNTIFS($H$2:$H$1001,$A504,$D$2:$D$1001,"Reuse"))</f>
        <v/>
      </c>
    </row>
    <row r="505" customFormat="false" ht="15" hidden="false" customHeight="false" outlineLevel="0" collapsed="false">
      <c r="A505" s="28"/>
      <c r="B505" s="63"/>
      <c r="C505" s="28"/>
      <c r="D505" s="64"/>
      <c r="E505" s="28"/>
      <c r="F505" s="28"/>
      <c r="G505" s="28"/>
      <c r="H505" s="28"/>
      <c r="I505" s="65" t="str">
        <f aca="false">IF($A505="","",COUNTIFS($H$2:$H$1001,$A505,$D$2:$D$1001,"Reuse"))</f>
        <v/>
      </c>
    </row>
    <row r="506" customFormat="false" ht="15" hidden="false" customHeight="false" outlineLevel="0" collapsed="false">
      <c r="A506" s="28"/>
      <c r="B506" s="63"/>
      <c r="C506" s="28"/>
      <c r="D506" s="64"/>
      <c r="E506" s="28"/>
      <c r="F506" s="28"/>
      <c r="G506" s="28"/>
      <c r="H506" s="28"/>
      <c r="I506" s="65" t="str">
        <f aca="false">IF($A506="","",COUNTIFS($H$2:$H$1001,$A506,$D$2:$D$1001,"Reuse"))</f>
        <v/>
      </c>
    </row>
    <row r="507" customFormat="false" ht="15" hidden="false" customHeight="false" outlineLevel="0" collapsed="false">
      <c r="A507" s="28"/>
      <c r="B507" s="63"/>
      <c r="C507" s="28"/>
      <c r="D507" s="64"/>
      <c r="E507" s="28"/>
      <c r="F507" s="28"/>
      <c r="G507" s="28"/>
      <c r="H507" s="28"/>
      <c r="I507" s="65" t="str">
        <f aca="false">IF($A507="","",COUNTIFS($H$2:$H$1001,$A507,$D$2:$D$1001,"Reuse"))</f>
        <v/>
      </c>
    </row>
    <row r="508" customFormat="false" ht="15" hidden="false" customHeight="false" outlineLevel="0" collapsed="false">
      <c r="A508" s="28"/>
      <c r="B508" s="63"/>
      <c r="C508" s="28"/>
      <c r="D508" s="64"/>
      <c r="E508" s="28"/>
      <c r="F508" s="28"/>
      <c r="G508" s="28"/>
      <c r="H508" s="28"/>
      <c r="I508" s="65" t="str">
        <f aca="false">IF($A508="","",COUNTIFS($H$2:$H$1001,$A508,$D$2:$D$1001,"Reuse"))</f>
        <v/>
      </c>
    </row>
    <row r="509" customFormat="false" ht="15" hidden="false" customHeight="false" outlineLevel="0" collapsed="false">
      <c r="A509" s="28"/>
      <c r="B509" s="63"/>
      <c r="C509" s="28"/>
      <c r="D509" s="64"/>
      <c r="E509" s="28"/>
      <c r="F509" s="28"/>
      <c r="G509" s="28"/>
      <c r="H509" s="28"/>
      <c r="I509" s="65" t="str">
        <f aca="false">IF($A509="","",COUNTIFS($H$2:$H$1001,$A509,$D$2:$D$1001,"Reuse"))</f>
        <v/>
      </c>
    </row>
    <row r="510" customFormat="false" ht="15" hidden="false" customHeight="false" outlineLevel="0" collapsed="false">
      <c r="A510" s="28"/>
      <c r="B510" s="63"/>
      <c r="C510" s="28"/>
      <c r="D510" s="64"/>
      <c r="E510" s="28"/>
      <c r="F510" s="28"/>
      <c r="G510" s="28"/>
      <c r="H510" s="28"/>
      <c r="I510" s="65" t="str">
        <f aca="false">IF($A510="","",COUNTIFS($H$2:$H$1001,$A510,$D$2:$D$1001,"Reuse"))</f>
        <v/>
      </c>
    </row>
    <row r="511" customFormat="false" ht="15" hidden="false" customHeight="false" outlineLevel="0" collapsed="false">
      <c r="A511" s="28"/>
      <c r="B511" s="63"/>
      <c r="C511" s="28"/>
      <c r="D511" s="64"/>
      <c r="E511" s="28"/>
      <c r="F511" s="28"/>
      <c r="G511" s="28"/>
      <c r="H511" s="28"/>
      <c r="I511" s="65" t="str">
        <f aca="false">IF($A511="","",COUNTIFS($H$2:$H$1001,$A511,$D$2:$D$1001,"Reuse"))</f>
        <v/>
      </c>
    </row>
    <row r="512" customFormat="false" ht="15" hidden="false" customHeight="false" outlineLevel="0" collapsed="false">
      <c r="A512" s="28"/>
      <c r="B512" s="63"/>
      <c r="C512" s="28"/>
      <c r="D512" s="64"/>
      <c r="E512" s="28"/>
      <c r="F512" s="28"/>
      <c r="G512" s="28"/>
      <c r="H512" s="28"/>
      <c r="I512" s="65" t="str">
        <f aca="false">IF($A512="","",COUNTIFS($H$2:$H$1001,$A512,$D$2:$D$1001,"Reuse"))</f>
        <v/>
      </c>
    </row>
    <row r="513" customFormat="false" ht="15" hidden="false" customHeight="false" outlineLevel="0" collapsed="false">
      <c r="A513" s="28"/>
      <c r="B513" s="63"/>
      <c r="C513" s="28"/>
      <c r="D513" s="64"/>
      <c r="E513" s="28"/>
      <c r="F513" s="28"/>
      <c r="G513" s="28"/>
      <c r="H513" s="28"/>
      <c r="I513" s="65" t="str">
        <f aca="false">IF($A513="","",COUNTIFS($H$2:$H$1001,$A513,$D$2:$D$1001,"Reuse"))</f>
        <v/>
      </c>
    </row>
    <row r="514" customFormat="false" ht="15" hidden="false" customHeight="false" outlineLevel="0" collapsed="false">
      <c r="A514" s="28"/>
      <c r="B514" s="63"/>
      <c r="C514" s="28"/>
      <c r="D514" s="64"/>
      <c r="E514" s="28"/>
      <c r="F514" s="28"/>
      <c r="G514" s="28"/>
      <c r="H514" s="28"/>
      <c r="I514" s="65" t="str">
        <f aca="false">IF($A514="","",COUNTIFS($H$2:$H$1001,$A514,$D$2:$D$1001,"Reuse"))</f>
        <v/>
      </c>
    </row>
    <row r="515" customFormat="false" ht="15" hidden="false" customHeight="false" outlineLevel="0" collapsed="false">
      <c r="A515" s="28"/>
      <c r="B515" s="63"/>
      <c r="C515" s="28"/>
      <c r="D515" s="64"/>
      <c r="E515" s="28"/>
      <c r="F515" s="28"/>
      <c r="G515" s="28"/>
      <c r="H515" s="28"/>
      <c r="I515" s="65" t="str">
        <f aca="false">IF($A515="","",COUNTIFS($H$2:$H$1001,$A515,$D$2:$D$1001,"Reuse"))</f>
        <v/>
      </c>
    </row>
    <row r="516" customFormat="false" ht="15" hidden="false" customHeight="false" outlineLevel="0" collapsed="false">
      <c r="A516" s="28"/>
      <c r="B516" s="63"/>
      <c r="C516" s="28"/>
      <c r="D516" s="64"/>
      <c r="E516" s="28"/>
      <c r="F516" s="28"/>
      <c r="G516" s="28"/>
      <c r="H516" s="28"/>
      <c r="I516" s="65" t="str">
        <f aca="false">IF($A516="","",COUNTIFS($H$2:$H$1001,$A516,$D$2:$D$1001,"Reuse"))</f>
        <v/>
      </c>
    </row>
    <row r="517" customFormat="false" ht="15" hidden="false" customHeight="false" outlineLevel="0" collapsed="false">
      <c r="A517" s="28"/>
      <c r="B517" s="63"/>
      <c r="C517" s="28"/>
      <c r="D517" s="64"/>
      <c r="E517" s="28"/>
      <c r="F517" s="28"/>
      <c r="G517" s="28"/>
      <c r="H517" s="28"/>
      <c r="I517" s="65" t="str">
        <f aca="false">IF($A517="","",COUNTIFS($H$2:$H$1001,$A517,$D$2:$D$1001,"Reuse"))</f>
        <v/>
      </c>
    </row>
    <row r="518" customFormat="false" ht="15" hidden="false" customHeight="false" outlineLevel="0" collapsed="false">
      <c r="A518" s="28"/>
      <c r="B518" s="63"/>
      <c r="C518" s="28"/>
      <c r="D518" s="64"/>
      <c r="E518" s="28"/>
      <c r="F518" s="28"/>
      <c r="G518" s="28"/>
      <c r="H518" s="28"/>
      <c r="I518" s="65" t="str">
        <f aca="false">IF($A518="","",COUNTIFS($H$2:$H$1001,$A518,$D$2:$D$1001,"Reuse"))</f>
        <v/>
      </c>
    </row>
    <row r="519" customFormat="false" ht="15" hidden="false" customHeight="false" outlineLevel="0" collapsed="false">
      <c r="A519" s="28"/>
      <c r="B519" s="63"/>
      <c r="C519" s="28"/>
      <c r="D519" s="64"/>
      <c r="E519" s="28"/>
      <c r="F519" s="28"/>
      <c r="G519" s="28"/>
      <c r="H519" s="28"/>
      <c r="I519" s="65" t="str">
        <f aca="false">IF($A519="","",COUNTIFS($H$2:$H$1001,$A519,$D$2:$D$1001,"Reuse"))</f>
        <v/>
      </c>
    </row>
    <row r="520" customFormat="false" ht="15" hidden="false" customHeight="false" outlineLevel="0" collapsed="false">
      <c r="A520" s="28"/>
      <c r="B520" s="63"/>
      <c r="C520" s="28"/>
      <c r="D520" s="64"/>
      <c r="E520" s="28"/>
      <c r="F520" s="28"/>
      <c r="G520" s="28"/>
      <c r="H520" s="28"/>
      <c r="I520" s="65" t="str">
        <f aca="false">IF($A520="","",COUNTIFS($H$2:$H$1001,$A520,$D$2:$D$1001,"Reuse"))</f>
        <v/>
      </c>
    </row>
    <row r="521" customFormat="false" ht="15" hidden="false" customHeight="false" outlineLevel="0" collapsed="false">
      <c r="A521" s="28"/>
      <c r="B521" s="63"/>
      <c r="C521" s="28"/>
      <c r="D521" s="64"/>
      <c r="E521" s="28"/>
      <c r="F521" s="28"/>
      <c r="G521" s="28"/>
      <c r="H521" s="28"/>
      <c r="I521" s="65" t="str">
        <f aca="false">IF($A521="","",COUNTIFS($H$2:$H$1001,$A521,$D$2:$D$1001,"Reuse"))</f>
        <v/>
      </c>
    </row>
    <row r="522" customFormat="false" ht="15" hidden="false" customHeight="false" outlineLevel="0" collapsed="false">
      <c r="A522" s="28"/>
      <c r="B522" s="63"/>
      <c r="C522" s="28"/>
      <c r="D522" s="64"/>
      <c r="E522" s="28"/>
      <c r="F522" s="28"/>
      <c r="G522" s="28"/>
      <c r="H522" s="28"/>
      <c r="I522" s="65" t="str">
        <f aca="false">IF($A522="","",COUNTIFS($H$2:$H$1001,$A522,$D$2:$D$1001,"Reuse"))</f>
        <v/>
      </c>
    </row>
    <row r="523" customFormat="false" ht="15" hidden="false" customHeight="false" outlineLevel="0" collapsed="false">
      <c r="A523" s="28"/>
      <c r="B523" s="63"/>
      <c r="C523" s="28"/>
      <c r="D523" s="64"/>
      <c r="E523" s="28"/>
      <c r="F523" s="28"/>
      <c r="G523" s="28"/>
      <c r="H523" s="28"/>
      <c r="I523" s="65" t="str">
        <f aca="false">IF($A523="","",COUNTIFS($H$2:$H$1001,$A523,$D$2:$D$1001,"Reuse"))</f>
        <v/>
      </c>
    </row>
    <row r="524" customFormat="false" ht="15" hidden="false" customHeight="false" outlineLevel="0" collapsed="false">
      <c r="A524" s="28"/>
      <c r="B524" s="63"/>
      <c r="C524" s="28"/>
      <c r="D524" s="64"/>
      <c r="E524" s="28"/>
      <c r="F524" s="28"/>
      <c r="G524" s="28"/>
      <c r="H524" s="28"/>
      <c r="I524" s="65" t="str">
        <f aca="false">IF($A524="","",COUNTIFS($H$2:$H$1001,$A524,$D$2:$D$1001,"Reuse"))</f>
        <v/>
      </c>
    </row>
    <row r="525" customFormat="false" ht="15" hidden="false" customHeight="false" outlineLevel="0" collapsed="false">
      <c r="A525" s="28"/>
      <c r="B525" s="63"/>
      <c r="C525" s="28"/>
      <c r="D525" s="64"/>
      <c r="E525" s="28"/>
      <c r="F525" s="28"/>
      <c r="G525" s="28"/>
      <c r="H525" s="28"/>
      <c r="I525" s="65" t="str">
        <f aca="false">IF($A525="","",COUNTIFS($H$2:$H$1001,$A525,$D$2:$D$1001,"Reuse"))</f>
        <v/>
      </c>
    </row>
    <row r="526" customFormat="false" ht="15" hidden="false" customHeight="false" outlineLevel="0" collapsed="false">
      <c r="A526" s="28"/>
      <c r="B526" s="63"/>
      <c r="C526" s="28"/>
      <c r="D526" s="64"/>
      <c r="E526" s="28"/>
      <c r="F526" s="28"/>
      <c r="G526" s="28"/>
      <c r="H526" s="28"/>
      <c r="I526" s="65" t="str">
        <f aca="false">IF($A526="","",COUNTIFS($H$2:$H$1001,$A526,$D$2:$D$1001,"Reuse"))</f>
        <v/>
      </c>
    </row>
    <row r="527" customFormat="false" ht="15" hidden="false" customHeight="false" outlineLevel="0" collapsed="false">
      <c r="A527" s="28"/>
      <c r="B527" s="63"/>
      <c r="C527" s="28"/>
      <c r="D527" s="64"/>
      <c r="E527" s="28"/>
      <c r="F527" s="28"/>
      <c r="G527" s="28"/>
      <c r="H527" s="28"/>
      <c r="I527" s="65" t="str">
        <f aca="false">IF($A527="","",COUNTIFS($H$2:$H$1001,$A527,$D$2:$D$1001,"Reuse"))</f>
        <v/>
      </c>
    </row>
    <row r="528" customFormat="false" ht="15" hidden="false" customHeight="false" outlineLevel="0" collapsed="false">
      <c r="A528" s="28"/>
      <c r="B528" s="63"/>
      <c r="C528" s="28"/>
      <c r="D528" s="64"/>
      <c r="E528" s="28"/>
      <c r="F528" s="28"/>
      <c r="G528" s="28"/>
      <c r="H528" s="28"/>
      <c r="I528" s="65" t="str">
        <f aca="false">IF($A528="","",COUNTIFS($H$2:$H$1001,$A528,$D$2:$D$1001,"Reuse"))</f>
        <v/>
      </c>
    </row>
    <row r="529" customFormat="false" ht="15" hidden="false" customHeight="false" outlineLevel="0" collapsed="false">
      <c r="A529" s="28"/>
      <c r="B529" s="63"/>
      <c r="C529" s="28"/>
      <c r="D529" s="64"/>
      <c r="E529" s="28"/>
      <c r="F529" s="28"/>
      <c r="G529" s="28"/>
      <c r="H529" s="28"/>
      <c r="I529" s="65" t="str">
        <f aca="false">IF($A529="","",COUNTIFS($H$2:$H$1001,$A529,$D$2:$D$1001,"Reuse"))</f>
        <v/>
      </c>
    </row>
    <row r="530" customFormat="false" ht="15" hidden="false" customHeight="false" outlineLevel="0" collapsed="false">
      <c r="A530" s="28"/>
      <c r="B530" s="63"/>
      <c r="C530" s="28"/>
      <c r="D530" s="64"/>
      <c r="E530" s="28"/>
      <c r="F530" s="28"/>
      <c r="G530" s="28"/>
      <c r="H530" s="28"/>
      <c r="I530" s="65" t="str">
        <f aca="false">IF($A530="","",COUNTIFS($H$2:$H$1001,$A530,$D$2:$D$1001,"Reuse"))</f>
        <v/>
      </c>
    </row>
    <row r="531" customFormat="false" ht="15" hidden="false" customHeight="false" outlineLevel="0" collapsed="false">
      <c r="A531" s="28"/>
      <c r="B531" s="63"/>
      <c r="C531" s="28"/>
      <c r="D531" s="64"/>
      <c r="E531" s="28"/>
      <c r="F531" s="28"/>
      <c r="G531" s="28"/>
      <c r="H531" s="28"/>
      <c r="I531" s="65" t="str">
        <f aca="false">IF($A531="","",COUNTIFS($H$2:$H$1001,$A531,$D$2:$D$1001,"Reuse"))</f>
        <v/>
      </c>
    </row>
    <row r="532" customFormat="false" ht="15" hidden="false" customHeight="false" outlineLevel="0" collapsed="false">
      <c r="A532" s="28"/>
      <c r="B532" s="63"/>
      <c r="C532" s="28"/>
      <c r="D532" s="64"/>
      <c r="E532" s="28"/>
      <c r="F532" s="28"/>
      <c r="G532" s="28"/>
      <c r="H532" s="28"/>
      <c r="I532" s="65" t="str">
        <f aca="false">IF($A532="","",COUNTIFS($H$2:$H$1001,$A532,$D$2:$D$1001,"Reuse"))</f>
        <v/>
      </c>
    </row>
    <row r="533" customFormat="false" ht="15" hidden="false" customHeight="false" outlineLevel="0" collapsed="false">
      <c r="A533" s="28"/>
      <c r="B533" s="63"/>
      <c r="C533" s="28"/>
      <c r="D533" s="64"/>
      <c r="E533" s="28"/>
      <c r="F533" s="28"/>
      <c r="G533" s="28"/>
      <c r="H533" s="28"/>
      <c r="I533" s="65" t="str">
        <f aca="false">IF($A533="","",COUNTIFS($H$2:$H$1001,$A533,$D$2:$D$1001,"Reuse"))</f>
        <v/>
      </c>
    </row>
    <row r="534" customFormat="false" ht="15" hidden="false" customHeight="false" outlineLevel="0" collapsed="false">
      <c r="A534" s="28"/>
      <c r="B534" s="63"/>
      <c r="C534" s="28"/>
      <c r="D534" s="64"/>
      <c r="E534" s="28"/>
      <c r="F534" s="28"/>
      <c r="G534" s="28"/>
      <c r="H534" s="28"/>
      <c r="I534" s="65" t="str">
        <f aca="false">IF($A534="","",COUNTIFS($H$2:$H$1001,$A534,$D$2:$D$1001,"Reuse"))</f>
        <v/>
      </c>
    </row>
    <row r="535" customFormat="false" ht="15" hidden="false" customHeight="false" outlineLevel="0" collapsed="false">
      <c r="A535" s="28"/>
      <c r="B535" s="63"/>
      <c r="C535" s="28"/>
      <c r="D535" s="64"/>
      <c r="E535" s="28"/>
      <c r="F535" s="28"/>
      <c r="G535" s="28"/>
      <c r="H535" s="28"/>
      <c r="I535" s="65" t="str">
        <f aca="false">IF($A535="","",COUNTIFS($H$2:$H$1001,$A535,$D$2:$D$1001,"Reuse"))</f>
        <v/>
      </c>
    </row>
    <row r="536" customFormat="false" ht="15" hidden="false" customHeight="false" outlineLevel="0" collapsed="false">
      <c r="A536" s="28"/>
      <c r="B536" s="63"/>
      <c r="C536" s="28"/>
      <c r="D536" s="64"/>
      <c r="E536" s="28"/>
      <c r="F536" s="28"/>
      <c r="G536" s="28"/>
      <c r="H536" s="28"/>
      <c r="I536" s="65" t="str">
        <f aca="false">IF($A536="","",COUNTIFS($H$2:$H$1001,$A536,$D$2:$D$1001,"Reuse"))</f>
        <v/>
      </c>
    </row>
    <row r="537" customFormat="false" ht="15" hidden="false" customHeight="false" outlineLevel="0" collapsed="false">
      <c r="A537" s="28"/>
      <c r="B537" s="63"/>
      <c r="C537" s="28"/>
      <c r="D537" s="64"/>
      <c r="E537" s="28"/>
      <c r="F537" s="28"/>
      <c r="G537" s="28"/>
      <c r="H537" s="28"/>
      <c r="I537" s="65" t="str">
        <f aca="false">IF($A537="","",COUNTIFS($H$2:$H$1001,$A537,$D$2:$D$1001,"Reuse"))</f>
        <v/>
      </c>
    </row>
    <row r="538" customFormat="false" ht="15" hidden="false" customHeight="false" outlineLevel="0" collapsed="false">
      <c r="A538" s="28"/>
      <c r="B538" s="63"/>
      <c r="C538" s="28"/>
      <c r="D538" s="64"/>
      <c r="E538" s="28"/>
      <c r="F538" s="28"/>
      <c r="G538" s="28"/>
      <c r="H538" s="28"/>
      <c r="I538" s="65" t="str">
        <f aca="false">IF($A538="","",COUNTIFS($H$2:$H$1001,$A538,$D$2:$D$1001,"Reuse"))</f>
        <v/>
      </c>
    </row>
    <row r="539" customFormat="false" ht="15" hidden="false" customHeight="false" outlineLevel="0" collapsed="false">
      <c r="A539" s="28"/>
      <c r="B539" s="63"/>
      <c r="C539" s="28"/>
      <c r="D539" s="64"/>
      <c r="E539" s="28"/>
      <c r="F539" s="28"/>
      <c r="G539" s="28"/>
      <c r="H539" s="28"/>
      <c r="I539" s="65" t="str">
        <f aca="false">IF($A539="","",COUNTIFS($H$2:$H$1001,$A539,$D$2:$D$1001,"Reuse"))</f>
        <v/>
      </c>
    </row>
    <row r="540" customFormat="false" ht="15" hidden="false" customHeight="false" outlineLevel="0" collapsed="false">
      <c r="A540" s="28"/>
      <c r="B540" s="63"/>
      <c r="C540" s="28"/>
      <c r="D540" s="64"/>
      <c r="E540" s="28"/>
      <c r="F540" s="28"/>
      <c r="G540" s="28"/>
      <c r="H540" s="28"/>
      <c r="I540" s="65" t="str">
        <f aca="false">IF($A540="","",COUNTIFS($H$2:$H$1001,$A540,$D$2:$D$1001,"Reuse"))</f>
        <v/>
      </c>
    </row>
    <row r="541" customFormat="false" ht="15" hidden="false" customHeight="false" outlineLevel="0" collapsed="false">
      <c r="A541" s="28"/>
      <c r="B541" s="63"/>
      <c r="C541" s="28"/>
      <c r="D541" s="64"/>
      <c r="E541" s="28"/>
      <c r="F541" s="28"/>
      <c r="G541" s="28"/>
      <c r="H541" s="28"/>
      <c r="I541" s="65" t="str">
        <f aca="false">IF($A541="","",COUNTIFS($H$2:$H$1001,$A541,$D$2:$D$1001,"Reuse"))</f>
        <v/>
      </c>
    </row>
    <row r="542" customFormat="false" ht="15" hidden="false" customHeight="false" outlineLevel="0" collapsed="false">
      <c r="A542" s="28"/>
      <c r="B542" s="63"/>
      <c r="C542" s="28"/>
      <c r="D542" s="64"/>
      <c r="E542" s="28"/>
      <c r="F542" s="28"/>
      <c r="G542" s="28"/>
      <c r="H542" s="28"/>
      <c r="I542" s="65" t="str">
        <f aca="false">IF($A542="","",COUNTIFS($H$2:$H$1001,$A542,$D$2:$D$1001,"Reuse"))</f>
        <v/>
      </c>
    </row>
    <row r="543" customFormat="false" ht="15" hidden="false" customHeight="false" outlineLevel="0" collapsed="false">
      <c r="A543" s="28"/>
      <c r="B543" s="63"/>
      <c r="C543" s="28"/>
      <c r="D543" s="64"/>
      <c r="E543" s="28"/>
      <c r="F543" s="28"/>
      <c r="G543" s="28"/>
      <c r="H543" s="28"/>
      <c r="I543" s="65" t="str">
        <f aca="false">IF($A543="","",COUNTIFS($H$2:$H$1001,$A543,$D$2:$D$1001,"Reuse"))</f>
        <v/>
      </c>
    </row>
    <row r="544" customFormat="false" ht="15" hidden="false" customHeight="false" outlineLevel="0" collapsed="false">
      <c r="A544" s="28"/>
      <c r="B544" s="63"/>
      <c r="C544" s="28"/>
      <c r="D544" s="64"/>
      <c r="E544" s="28"/>
      <c r="F544" s="28"/>
      <c r="G544" s="28"/>
      <c r="H544" s="28"/>
      <c r="I544" s="65" t="str">
        <f aca="false">IF($A544="","",COUNTIFS($H$2:$H$1001,$A544,$D$2:$D$1001,"Reuse"))</f>
        <v/>
      </c>
    </row>
    <row r="545" customFormat="false" ht="15" hidden="false" customHeight="false" outlineLevel="0" collapsed="false">
      <c r="A545" s="28"/>
      <c r="B545" s="63"/>
      <c r="C545" s="28"/>
      <c r="D545" s="64"/>
      <c r="E545" s="28"/>
      <c r="F545" s="28"/>
      <c r="G545" s="28"/>
      <c r="H545" s="28"/>
      <c r="I545" s="65" t="str">
        <f aca="false">IF($A545="","",COUNTIFS($H$2:$H$1001,$A545,$D$2:$D$1001,"Reuse"))</f>
        <v/>
      </c>
    </row>
    <row r="546" customFormat="false" ht="15" hidden="false" customHeight="false" outlineLevel="0" collapsed="false">
      <c r="A546" s="28"/>
      <c r="B546" s="63"/>
      <c r="C546" s="28"/>
      <c r="D546" s="64"/>
      <c r="E546" s="28"/>
      <c r="F546" s="28"/>
      <c r="G546" s="28"/>
      <c r="H546" s="28"/>
      <c r="I546" s="65" t="str">
        <f aca="false">IF($A546="","",COUNTIFS($H$2:$H$1001,$A546,$D$2:$D$1001,"Reuse"))</f>
        <v/>
      </c>
    </row>
    <row r="547" customFormat="false" ht="15" hidden="false" customHeight="false" outlineLevel="0" collapsed="false">
      <c r="A547" s="28"/>
      <c r="B547" s="63"/>
      <c r="C547" s="28"/>
      <c r="D547" s="64"/>
      <c r="E547" s="28"/>
      <c r="F547" s="28"/>
      <c r="G547" s="28"/>
      <c r="H547" s="28"/>
      <c r="I547" s="65" t="str">
        <f aca="false">IF($A547="","",COUNTIFS($H$2:$H$1001,$A547,$D$2:$D$1001,"Reuse"))</f>
        <v/>
      </c>
    </row>
    <row r="548" customFormat="false" ht="15" hidden="false" customHeight="false" outlineLevel="0" collapsed="false">
      <c r="A548" s="28"/>
      <c r="B548" s="63"/>
      <c r="C548" s="28"/>
      <c r="D548" s="64"/>
      <c r="E548" s="28"/>
      <c r="F548" s="28"/>
      <c r="G548" s="28"/>
      <c r="H548" s="28"/>
      <c r="I548" s="65" t="str">
        <f aca="false">IF($A548="","",COUNTIFS($H$2:$H$1001,$A548,$D$2:$D$1001,"Reuse"))</f>
        <v/>
      </c>
    </row>
    <row r="549" customFormat="false" ht="15" hidden="false" customHeight="false" outlineLevel="0" collapsed="false">
      <c r="A549" s="28"/>
      <c r="B549" s="63"/>
      <c r="C549" s="28"/>
      <c r="D549" s="64"/>
      <c r="E549" s="28"/>
      <c r="F549" s="28"/>
      <c r="G549" s="28"/>
      <c r="H549" s="28"/>
      <c r="I549" s="65" t="str">
        <f aca="false">IF($A549="","",COUNTIFS($H$2:$H$1001,$A549,$D$2:$D$1001,"Reuse"))</f>
        <v/>
      </c>
    </row>
    <row r="550" customFormat="false" ht="15" hidden="false" customHeight="false" outlineLevel="0" collapsed="false">
      <c r="A550" s="28"/>
      <c r="B550" s="63"/>
      <c r="C550" s="28"/>
      <c r="D550" s="64"/>
      <c r="E550" s="28"/>
      <c r="F550" s="28"/>
      <c r="G550" s="28"/>
      <c r="H550" s="28"/>
      <c r="I550" s="65" t="str">
        <f aca="false">IF($A550="","",COUNTIFS($H$2:$H$1001,$A550,$D$2:$D$1001,"Reuse"))</f>
        <v/>
      </c>
    </row>
    <row r="551" customFormat="false" ht="15" hidden="false" customHeight="false" outlineLevel="0" collapsed="false">
      <c r="A551" s="28"/>
      <c r="B551" s="63"/>
      <c r="C551" s="28"/>
      <c r="D551" s="64"/>
      <c r="E551" s="28"/>
      <c r="F551" s="28"/>
      <c r="G551" s="28"/>
      <c r="H551" s="28"/>
      <c r="I551" s="65" t="str">
        <f aca="false">IF($A551="","",COUNTIFS($H$2:$H$1001,$A551,$D$2:$D$1001,"Reuse"))</f>
        <v/>
      </c>
    </row>
    <row r="552" customFormat="false" ht="15" hidden="false" customHeight="false" outlineLevel="0" collapsed="false">
      <c r="A552" s="28"/>
      <c r="B552" s="63"/>
      <c r="C552" s="28"/>
      <c r="D552" s="64"/>
      <c r="E552" s="28"/>
      <c r="F552" s="28"/>
      <c r="G552" s="28"/>
      <c r="H552" s="28"/>
      <c r="I552" s="65" t="str">
        <f aca="false">IF($A552="","",COUNTIFS($H$2:$H$1001,$A552,$D$2:$D$1001,"Reuse"))</f>
        <v/>
      </c>
    </row>
    <row r="553" customFormat="false" ht="15" hidden="false" customHeight="false" outlineLevel="0" collapsed="false">
      <c r="A553" s="28"/>
      <c r="B553" s="63"/>
      <c r="C553" s="28"/>
      <c r="D553" s="64"/>
      <c r="E553" s="28"/>
      <c r="F553" s="28"/>
      <c r="G553" s="28"/>
      <c r="H553" s="28"/>
      <c r="I553" s="65" t="str">
        <f aca="false">IF($A553="","",COUNTIFS($H$2:$H$1001,$A553,$D$2:$D$1001,"Reuse"))</f>
        <v/>
      </c>
    </row>
    <row r="554" customFormat="false" ht="15" hidden="false" customHeight="false" outlineLevel="0" collapsed="false">
      <c r="A554" s="28"/>
      <c r="B554" s="63"/>
      <c r="C554" s="28"/>
      <c r="D554" s="64"/>
      <c r="E554" s="28"/>
      <c r="F554" s="28"/>
      <c r="G554" s="28"/>
      <c r="H554" s="28"/>
      <c r="I554" s="65" t="str">
        <f aca="false">IF($A554="","",COUNTIFS($H$2:$H$1001,$A554,$D$2:$D$1001,"Reuse"))</f>
        <v/>
      </c>
    </row>
    <row r="555" customFormat="false" ht="15" hidden="false" customHeight="false" outlineLevel="0" collapsed="false">
      <c r="A555" s="28"/>
      <c r="B555" s="63"/>
      <c r="C555" s="28"/>
      <c r="D555" s="64"/>
      <c r="E555" s="28"/>
      <c r="F555" s="28"/>
      <c r="G555" s="28"/>
      <c r="H555" s="28"/>
      <c r="I555" s="65" t="str">
        <f aca="false">IF($A555="","",COUNTIFS($H$2:$H$1001,$A555,$D$2:$D$1001,"Reuse"))</f>
        <v/>
      </c>
    </row>
    <row r="556" customFormat="false" ht="15" hidden="false" customHeight="false" outlineLevel="0" collapsed="false">
      <c r="A556" s="28"/>
      <c r="B556" s="63"/>
      <c r="C556" s="28"/>
      <c r="D556" s="64"/>
      <c r="E556" s="28"/>
      <c r="F556" s="28"/>
      <c r="G556" s="28"/>
      <c r="H556" s="28"/>
      <c r="I556" s="65" t="str">
        <f aca="false">IF($A556="","",COUNTIFS($H$2:$H$1001,$A556,$D$2:$D$1001,"Reuse"))</f>
        <v/>
      </c>
    </row>
    <row r="557" customFormat="false" ht="15" hidden="false" customHeight="false" outlineLevel="0" collapsed="false">
      <c r="A557" s="28"/>
      <c r="B557" s="63"/>
      <c r="C557" s="28"/>
      <c r="D557" s="64"/>
      <c r="E557" s="28"/>
      <c r="F557" s="28"/>
      <c r="G557" s="28"/>
      <c r="H557" s="28"/>
      <c r="I557" s="65" t="str">
        <f aca="false">IF($A557="","",COUNTIFS($H$2:$H$1001,$A557,$D$2:$D$1001,"Reuse"))</f>
        <v/>
      </c>
    </row>
    <row r="558" customFormat="false" ht="15" hidden="false" customHeight="false" outlineLevel="0" collapsed="false">
      <c r="A558" s="28"/>
      <c r="B558" s="63"/>
      <c r="C558" s="28"/>
      <c r="D558" s="64"/>
      <c r="E558" s="28"/>
      <c r="F558" s="28"/>
      <c r="G558" s="28"/>
      <c r="H558" s="28"/>
      <c r="I558" s="65" t="str">
        <f aca="false">IF($A558="","",COUNTIFS($H$2:$H$1001,$A558,$D$2:$D$1001,"Reuse"))</f>
        <v/>
      </c>
    </row>
    <row r="559" customFormat="false" ht="15" hidden="false" customHeight="false" outlineLevel="0" collapsed="false">
      <c r="A559" s="28"/>
      <c r="B559" s="63"/>
      <c r="C559" s="28"/>
      <c r="D559" s="64"/>
      <c r="E559" s="28"/>
      <c r="F559" s="28"/>
      <c r="G559" s="28"/>
      <c r="H559" s="28"/>
      <c r="I559" s="65" t="str">
        <f aca="false">IF($A559="","",COUNTIFS($H$2:$H$1001,$A559,$D$2:$D$1001,"Reuse"))</f>
        <v/>
      </c>
    </row>
    <row r="560" customFormat="false" ht="15" hidden="false" customHeight="false" outlineLevel="0" collapsed="false">
      <c r="A560" s="28"/>
      <c r="B560" s="63"/>
      <c r="C560" s="28"/>
      <c r="D560" s="64"/>
      <c r="E560" s="28"/>
      <c r="F560" s="28"/>
      <c r="G560" s="28"/>
      <c r="H560" s="28"/>
      <c r="I560" s="65" t="str">
        <f aca="false">IF($A560="","",COUNTIFS($H$2:$H$1001,$A560,$D$2:$D$1001,"Reuse"))</f>
        <v/>
      </c>
    </row>
    <row r="561" customFormat="false" ht="15" hidden="false" customHeight="false" outlineLevel="0" collapsed="false">
      <c r="A561" s="28"/>
      <c r="B561" s="63"/>
      <c r="C561" s="28"/>
      <c r="D561" s="64"/>
      <c r="E561" s="28"/>
      <c r="F561" s="28"/>
      <c r="G561" s="28"/>
      <c r="H561" s="28"/>
      <c r="I561" s="65" t="str">
        <f aca="false">IF($A561="","",COUNTIFS($H$2:$H$1001,$A561,$D$2:$D$1001,"Reuse"))</f>
        <v/>
      </c>
    </row>
    <row r="562" customFormat="false" ht="15" hidden="false" customHeight="false" outlineLevel="0" collapsed="false">
      <c r="A562" s="28"/>
      <c r="B562" s="63"/>
      <c r="C562" s="28"/>
      <c r="D562" s="64"/>
      <c r="E562" s="28"/>
      <c r="F562" s="28"/>
      <c r="G562" s="28"/>
      <c r="H562" s="28"/>
      <c r="I562" s="65" t="str">
        <f aca="false">IF($A562="","",COUNTIFS($H$2:$H$1001,$A562,$D$2:$D$1001,"Reuse"))</f>
        <v/>
      </c>
    </row>
    <row r="563" customFormat="false" ht="15" hidden="false" customHeight="false" outlineLevel="0" collapsed="false">
      <c r="A563" s="28"/>
      <c r="B563" s="63"/>
      <c r="C563" s="28"/>
      <c r="D563" s="64"/>
      <c r="E563" s="28"/>
      <c r="F563" s="28"/>
      <c r="G563" s="28"/>
      <c r="H563" s="28"/>
      <c r="I563" s="65" t="str">
        <f aca="false">IF($A563="","",COUNTIFS($H$2:$H$1001,$A563,$D$2:$D$1001,"Reuse"))</f>
        <v/>
      </c>
    </row>
    <row r="564" customFormat="false" ht="15" hidden="false" customHeight="false" outlineLevel="0" collapsed="false">
      <c r="A564" s="28"/>
      <c r="B564" s="63"/>
      <c r="C564" s="28"/>
      <c r="D564" s="64"/>
      <c r="E564" s="28"/>
      <c r="F564" s="28"/>
      <c r="G564" s="28"/>
      <c r="H564" s="28"/>
      <c r="I564" s="65" t="str">
        <f aca="false">IF($A564="","",COUNTIFS($H$2:$H$1001,$A564,$D$2:$D$1001,"Reuse"))</f>
        <v/>
      </c>
    </row>
    <row r="565" customFormat="false" ht="15" hidden="false" customHeight="false" outlineLevel="0" collapsed="false">
      <c r="A565" s="28"/>
      <c r="B565" s="63"/>
      <c r="C565" s="28"/>
      <c r="D565" s="64"/>
      <c r="E565" s="28"/>
      <c r="F565" s="28"/>
      <c r="G565" s="28"/>
      <c r="H565" s="28"/>
      <c r="I565" s="65" t="str">
        <f aca="false">IF($A565="","",COUNTIFS($H$2:$H$1001,$A565,$D$2:$D$1001,"Reuse"))</f>
        <v/>
      </c>
    </row>
    <row r="566" customFormat="false" ht="15" hidden="false" customHeight="false" outlineLevel="0" collapsed="false">
      <c r="A566" s="28"/>
      <c r="B566" s="63"/>
      <c r="C566" s="28"/>
      <c r="D566" s="64"/>
      <c r="E566" s="28"/>
      <c r="F566" s="28"/>
      <c r="G566" s="28"/>
      <c r="H566" s="28"/>
      <c r="I566" s="65" t="str">
        <f aca="false">IF($A566="","",COUNTIFS($H$2:$H$1001,$A566,$D$2:$D$1001,"Reuse"))</f>
        <v/>
      </c>
    </row>
    <row r="567" customFormat="false" ht="15" hidden="false" customHeight="false" outlineLevel="0" collapsed="false">
      <c r="A567" s="28"/>
      <c r="B567" s="63"/>
      <c r="C567" s="28"/>
      <c r="D567" s="64"/>
      <c r="E567" s="28"/>
      <c r="F567" s="28"/>
      <c r="G567" s="28"/>
      <c r="H567" s="28"/>
      <c r="I567" s="65" t="str">
        <f aca="false">IF($A567="","",COUNTIFS($H$2:$H$1001,$A567,$D$2:$D$1001,"Reuse"))</f>
        <v/>
      </c>
    </row>
    <row r="568" customFormat="false" ht="15" hidden="false" customHeight="false" outlineLevel="0" collapsed="false">
      <c r="A568" s="28"/>
      <c r="B568" s="63"/>
      <c r="C568" s="28"/>
      <c r="D568" s="64"/>
      <c r="E568" s="28"/>
      <c r="F568" s="28"/>
      <c r="G568" s="28"/>
      <c r="H568" s="28"/>
      <c r="I568" s="65" t="str">
        <f aca="false">IF($A568="","",COUNTIFS($H$2:$H$1001,$A568,$D$2:$D$1001,"Reuse"))</f>
        <v/>
      </c>
    </row>
    <row r="569" customFormat="false" ht="15" hidden="false" customHeight="false" outlineLevel="0" collapsed="false">
      <c r="A569" s="28"/>
      <c r="B569" s="63"/>
      <c r="C569" s="28"/>
      <c r="D569" s="64"/>
      <c r="E569" s="28"/>
      <c r="F569" s="28"/>
      <c r="G569" s="28"/>
      <c r="H569" s="28"/>
      <c r="I569" s="65" t="str">
        <f aca="false">IF($A569="","",COUNTIFS($H$2:$H$1001,$A569,$D$2:$D$1001,"Reuse"))</f>
        <v/>
      </c>
    </row>
    <row r="570" customFormat="false" ht="15" hidden="false" customHeight="false" outlineLevel="0" collapsed="false">
      <c r="A570" s="28"/>
      <c r="B570" s="63"/>
      <c r="C570" s="28"/>
      <c r="D570" s="64"/>
      <c r="E570" s="28"/>
      <c r="F570" s="28"/>
      <c r="G570" s="28"/>
      <c r="H570" s="28"/>
      <c r="I570" s="65" t="str">
        <f aca="false">IF($A570="","",COUNTIFS($H$2:$H$1001,$A570,$D$2:$D$1001,"Reuse"))</f>
        <v/>
      </c>
    </row>
    <row r="571" customFormat="false" ht="15" hidden="false" customHeight="false" outlineLevel="0" collapsed="false">
      <c r="A571" s="28"/>
      <c r="B571" s="63"/>
      <c r="C571" s="28"/>
      <c r="D571" s="64"/>
      <c r="E571" s="28"/>
      <c r="F571" s="28"/>
      <c r="G571" s="28"/>
      <c r="H571" s="28"/>
      <c r="I571" s="65" t="str">
        <f aca="false">IF($A571="","",COUNTIFS($H$2:$H$1001,$A571,$D$2:$D$1001,"Reuse"))</f>
        <v/>
      </c>
    </row>
    <row r="572" customFormat="false" ht="15" hidden="false" customHeight="false" outlineLevel="0" collapsed="false">
      <c r="A572" s="28"/>
      <c r="B572" s="63"/>
      <c r="C572" s="28"/>
      <c r="D572" s="64"/>
      <c r="E572" s="28"/>
      <c r="F572" s="28"/>
      <c r="G572" s="28"/>
      <c r="H572" s="28"/>
      <c r="I572" s="65" t="str">
        <f aca="false">IF($A572="","",COUNTIFS($H$2:$H$1001,$A572,$D$2:$D$1001,"Reuse"))</f>
        <v/>
      </c>
    </row>
    <row r="573" customFormat="false" ht="15" hidden="false" customHeight="false" outlineLevel="0" collapsed="false">
      <c r="A573" s="28"/>
      <c r="B573" s="63"/>
      <c r="C573" s="28"/>
      <c r="D573" s="64"/>
      <c r="E573" s="28"/>
      <c r="F573" s="28"/>
      <c r="G573" s="28"/>
      <c r="H573" s="28"/>
      <c r="I573" s="65" t="str">
        <f aca="false">IF($A573="","",COUNTIFS($H$2:$H$1001,$A573,$D$2:$D$1001,"Reuse"))</f>
        <v/>
      </c>
    </row>
    <row r="574" customFormat="false" ht="15" hidden="false" customHeight="false" outlineLevel="0" collapsed="false">
      <c r="A574" s="28"/>
      <c r="B574" s="63"/>
      <c r="C574" s="28"/>
      <c r="D574" s="64"/>
      <c r="E574" s="28"/>
      <c r="F574" s="28"/>
      <c r="G574" s="28"/>
      <c r="H574" s="28"/>
      <c r="I574" s="65" t="str">
        <f aca="false">IF($A574="","",COUNTIFS($H$2:$H$1001,$A574,$D$2:$D$1001,"Reuse"))</f>
        <v/>
      </c>
    </row>
    <row r="575" customFormat="false" ht="15" hidden="false" customHeight="false" outlineLevel="0" collapsed="false">
      <c r="A575" s="28"/>
      <c r="B575" s="63"/>
      <c r="C575" s="28"/>
      <c r="D575" s="64"/>
      <c r="E575" s="28"/>
      <c r="F575" s="28"/>
      <c r="G575" s="28"/>
      <c r="H575" s="28"/>
      <c r="I575" s="65" t="str">
        <f aca="false">IF($A575="","",COUNTIFS($H$2:$H$1001,$A575,$D$2:$D$1001,"Reuse"))</f>
        <v/>
      </c>
    </row>
    <row r="576" customFormat="false" ht="15" hidden="false" customHeight="false" outlineLevel="0" collapsed="false">
      <c r="A576" s="28"/>
      <c r="B576" s="63"/>
      <c r="C576" s="28"/>
      <c r="D576" s="64"/>
      <c r="E576" s="28"/>
      <c r="F576" s="28"/>
      <c r="G576" s="28"/>
      <c r="H576" s="28"/>
      <c r="I576" s="65" t="str">
        <f aca="false">IF($A576="","",COUNTIFS($H$2:$H$1001,$A576,$D$2:$D$1001,"Reuse"))</f>
        <v/>
      </c>
    </row>
    <row r="577" customFormat="false" ht="15" hidden="false" customHeight="false" outlineLevel="0" collapsed="false">
      <c r="A577" s="28"/>
      <c r="B577" s="63"/>
      <c r="C577" s="28"/>
      <c r="D577" s="64"/>
      <c r="E577" s="28"/>
      <c r="F577" s="28"/>
      <c r="G577" s="28"/>
      <c r="H577" s="28"/>
      <c r="I577" s="65" t="str">
        <f aca="false">IF($A577="","",COUNTIFS($H$2:$H$1001,$A577,$D$2:$D$1001,"Reuse"))</f>
        <v/>
      </c>
    </row>
    <row r="578" customFormat="false" ht="15" hidden="false" customHeight="false" outlineLevel="0" collapsed="false">
      <c r="A578" s="28"/>
      <c r="B578" s="63"/>
      <c r="C578" s="28"/>
      <c r="D578" s="64"/>
      <c r="E578" s="28"/>
      <c r="F578" s="28"/>
      <c r="G578" s="28"/>
      <c r="H578" s="28"/>
      <c r="I578" s="65" t="str">
        <f aca="false">IF($A578="","",COUNTIFS($H$2:$H$1001,$A578,$D$2:$D$1001,"Reuse"))</f>
        <v/>
      </c>
    </row>
    <row r="579" customFormat="false" ht="15" hidden="false" customHeight="false" outlineLevel="0" collapsed="false">
      <c r="A579" s="28"/>
      <c r="B579" s="63"/>
      <c r="C579" s="28"/>
      <c r="D579" s="64"/>
      <c r="E579" s="28"/>
      <c r="F579" s="28"/>
      <c r="G579" s="28"/>
      <c r="H579" s="28"/>
      <c r="I579" s="65" t="str">
        <f aca="false">IF($A579="","",COUNTIFS($H$2:$H$1001,$A579,$D$2:$D$1001,"Reuse"))</f>
        <v/>
      </c>
    </row>
    <row r="580" customFormat="false" ht="15" hidden="false" customHeight="false" outlineLevel="0" collapsed="false">
      <c r="A580" s="28"/>
      <c r="B580" s="63"/>
      <c r="C580" s="28"/>
      <c r="D580" s="64"/>
      <c r="E580" s="28"/>
      <c r="F580" s="28"/>
      <c r="G580" s="28"/>
      <c r="H580" s="28"/>
      <c r="I580" s="65" t="str">
        <f aca="false">IF($A580="","",COUNTIFS($H$2:$H$1001,$A580,$D$2:$D$1001,"Reuse"))</f>
        <v/>
      </c>
    </row>
    <row r="581" customFormat="false" ht="15" hidden="false" customHeight="false" outlineLevel="0" collapsed="false">
      <c r="A581" s="28"/>
      <c r="B581" s="63"/>
      <c r="C581" s="28"/>
      <c r="D581" s="64"/>
      <c r="E581" s="28"/>
      <c r="F581" s="28"/>
      <c r="G581" s="28"/>
      <c r="H581" s="28"/>
      <c r="I581" s="65" t="str">
        <f aca="false">IF($A581="","",COUNTIFS($H$2:$H$1001,$A581,$D$2:$D$1001,"Reuse"))</f>
        <v/>
      </c>
    </row>
    <row r="582" customFormat="false" ht="15" hidden="false" customHeight="false" outlineLevel="0" collapsed="false">
      <c r="A582" s="28"/>
      <c r="B582" s="63"/>
      <c r="C582" s="28"/>
      <c r="D582" s="64"/>
      <c r="E582" s="28"/>
      <c r="F582" s="28"/>
      <c r="G582" s="28"/>
      <c r="H582" s="28"/>
      <c r="I582" s="65" t="str">
        <f aca="false">IF($A582="","",COUNTIFS($H$2:$H$1001,$A582,$D$2:$D$1001,"Reuse"))</f>
        <v/>
      </c>
    </row>
    <row r="583" customFormat="false" ht="15" hidden="false" customHeight="false" outlineLevel="0" collapsed="false">
      <c r="A583" s="28"/>
      <c r="B583" s="63"/>
      <c r="C583" s="28"/>
      <c r="D583" s="64"/>
      <c r="E583" s="28"/>
      <c r="F583" s="28"/>
      <c r="G583" s="28"/>
      <c r="H583" s="28"/>
      <c r="I583" s="65" t="str">
        <f aca="false">IF($A583="","",COUNTIFS($H$2:$H$1001,$A583,$D$2:$D$1001,"Reuse"))</f>
        <v/>
      </c>
    </row>
    <row r="584" customFormat="false" ht="15" hidden="false" customHeight="false" outlineLevel="0" collapsed="false">
      <c r="A584" s="28"/>
      <c r="B584" s="63"/>
      <c r="C584" s="28"/>
      <c r="D584" s="64"/>
      <c r="E584" s="28"/>
      <c r="F584" s="28"/>
      <c r="G584" s="28"/>
      <c r="H584" s="28"/>
      <c r="I584" s="65" t="str">
        <f aca="false">IF($A584="","",COUNTIFS($H$2:$H$1001,$A584,$D$2:$D$1001,"Reuse"))</f>
        <v/>
      </c>
    </row>
    <row r="585" customFormat="false" ht="15" hidden="false" customHeight="false" outlineLevel="0" collapsed="false">
      <c r="A585" s="28"/>
      <c r="B585" s="63"/>
      <c r="C585" s="28"/>
      <c r="D585" s="64"/>
      <c r="E585" s="28"/>
      <c r="F585" s="28"/>
      <c r="G585" s="28"/>
      <c r="H585" s="28"/>
      <c r="I585" s="65" t="str">
        <f aca="false">IF($A585="","",COUNTIFS($H$2:$H$1001,$A585,$D$2:$D$1001,"Reuse"))</f>
        <v/>
      </c>
    </row>
    <row r="586" customFormat="false" ht="15" hidden="false" customHeight="false" outlineLevel="0" collapsed="false">
      <c r="A586" s="28"/>
      <c r="B586" s="63"/>
      <c r="C586" s="28"/>
      <c r="D586" s="64"/>
      <c r="E586" s="28"/>
      <c r="F586" s="28"/>
      <c r="G586" s="28"/>
      <c r="H586" s="28"/>
      <c r="I586" s="65" t="str">
        <f aca="false">IF($A586="","",COUNTIFS($H$2:$H$1001,$A586,$D$2:$D$1001,"Reuse"))</f>
        <v/>
      </c>
    </row>
    <row r="587" customFormat="false" ht="15" hidden="false" customHeight="false" outlineLevel="0" collapsed="false">
      <c r="A587" s="28"/>
      <c r="B587" s="63"/>
      <c r="C587" s="28"/>
      <c r="D587" s="64"/>
      <c r="E587" s="28"/>
      <c r="F587" s="28"/>
      <c r="G587" s="28"/>
      <c r="H587" s="28"/>
      <c r="I587" s="65" t="str">
        <f aca="false">IF($A587="","",COUNTIFS($H$2:$H$1001,$A587,$D$2:$D$1001,"Reuse"))</f>
        <v/>
      </c>
    </row>
    <row r="588" customFormat="false" ht="15" hidden="false" customHeight="false" outlineLevel="0" collapsed="false">
      <c r="A588" s="28"/>
      <c r="B588" s="63"/>
      <c r="C588" s="28"/>
      <c r="D588" s="64"/>
      <c r="E588" s="28"/>
      <c r="F588" s="28"/>
      <c r="G588" s="28"/>
      <c r="H588" s="28"/>
      <c r="I588" s="65" t="str">
        <f aca="false">IF($A588="","",COUNTIFS($H$2:$H$1001,$A588,$D$2:$D$1001,"Reuse"))</f>
        <v/>
      </c>
    </row>
    <row r="589" customFormat="false" ht="15" hidden="false" customHeight="false" outlineLevel="0" collapsed="false">
      <c r="A589" s="28"/>
      <c r="B589" s="63"/>
      <c r="C589" s="28"/>
      <c r="D589" s="64"/>
      <c r="E589" s="28"/>
      <c r="F589" s="28"/>
      <c r="G589" s="28"/>
      <c r="H589" s="28"/>
      <c r="I589" s="65" t="str">
        <f aca="false">IF($A589="","",COUNTIFS($H$2:$H$1001,$A589,$D$2:$D$1001,"Reuse"))</f>
        <v/>
      </c>
    </row>
    <row r="590" customFormat="false" ht="15" hidden="false" customHeight="false" outlineLevel="0" collapsed="false">
      <c r="A590" s="28"/>
      <c r="B590" s="63"/>
      <c r="C590" s="28"/>
      <c r="D590" s="64"/>
      <c r="E590" s="28"/>
      <c r="F590" s="28"/>
      <c r="G590" s="28"/>
      <c r="H590" s="28"/>
      <c r="I590" s="65" t="str">
        <f aca="false">IF($A590="","",COUNTIFS($H$2:$H$1001,$A590,$D$2:$D$1001,"Reuse"))</f>
        <v/>
      </c>
    </row>
    <row r="591" customFormat="false" ht="15" hidden="false" customHeight="false" outlineLevel="0" collapsed="false">
      <c r="A591" s="28"/>
      <c r="B591" s="63"/>
      <c r="C591" s="28"/>
      <c r="D591" s="64"/>
      <c r="E591" s="28"/>
      <c r="F591" s="28"/>
      <c r="G591" s="28"/>
      <c r="H591" s="28"/>
      <c r="I591" s="65" t="str">
        <f aca="false">IF($A591="","",COUNTIFS($H$2:$H$1001,$A591,$D$2:$D$1001,"Reuse"))</f>
        <v/>
      </c>
    </row>
    <row r="592" customFormat="false" ht="15" hidden="false" customHeight="false" outlineLevel="0" collapsed="false">
      <c r="A592" s="28"/>
      <c r="B592" s="63"/>
      <c r="C592" s="28"/>
      <c r="D592" s="64"/>
      <c r="E592" s="28"/>
      <c r="F592" s="28"/>
      <c r="G592" s="28"/>
      <c r="H592" s="28"/>
      <c r="I592" s="65" t="str">
        <f aca="false">IF($A592="","",COUNTIFS($H$2:$H$1001,$A592,$D$2:$D$1001,"Reuse"))</f>
        <v/>
      </c>
    </row>
    <row r="593" customFormat="false" ht="15" hidden="false" customHeight="false" outlineLevel="0" collapsed="false">
      <c r="A593" s="28"/>
      <c r="B593" s="63"/>
      <c r="C593" s="28"/>
      <c r="D593" s="64"/>
      <c r="E593" s="28"/>
      <c r="F593" s="28"/>
      <c r="G593" s="28"/>
      <c r="H593" s="28"/>
      <c r="I593" s="65" t="str">
        <f aca="false">IF($A593="","",COUNTIFS($H$2:$H$1001,$A593,$D$2:$D$1001,"Reuse"))</f>
        <v/>
      </c>
    </row>
    <row r="594" customFormat="false" ht="15" hidden="false" customHeight="false" outlineLevel="0" collapsed="false">
      <c r="A594" s="28"/>
      <c r="B594" s="63"/>
      <c r="C594" s="28"/>
      <c r="D594" s="64"/>
      <c r="E594" s="28"/>
      <c r="F594" s="28"/>
      <c r="G594" s="28"/>
      <c r="H594" s="28"/>
      <c r="I594" s="65" t="str">
        <f aca="false">IF($A594="","",COUNTIFS($H$2:$H$1001,$A594,$D$2:$D$1001,"Reuse"))</f>
        <v/>
      </c>
    </row>
    <row r="595" customFormat="false" ht="15" hidden="false" customHeight="false" outlineLevel="0" collapsed="false">
      <c r="A595" s="28"/>
      <c r="B595" s="63"/>
      <c r="C595" s="28"/>
      <c r="D595" s="64"/>
      <c r="E595" s="28"/>
      <c r="F595" s="28"/>
      <c r="G595" s="28"/>
      <c r="H595" s="28"/>
      <c r="I595" s="65" t="str">
        <f aca="false">IF($A595="","",COUNTIFS($H$2:$H$1001,$A595,$D$2:$D$1001,"Reuse"))</f>
        <v/>
      </c>
    </row>
    <row r="596" customFormat="false" ht="15" hidden="false" customHeight="false" outlineLevel="0" collapsed="false">
      <c r="A596" s="28"/>
      <c r="B596" s="63"/>
      <c r="C596" s="28"/>
      <c r="D596" s="64"/>
      <c r="E596" s="28"/>
      <c r="F596" s="28"/>
      <c r="G596" s="28"/>
      <c r="H596" s="28"/>
      <c r="I596" s="65" t="str">
        <f aca="false">IF($A596="","",COUNTIFS($H$2:$H$1001,$A596,$D$2:$D$1001,"Reuse"))</f>
        <v/>
      </c>
    </row>
    <row r="597" customFormat="false" ht="15" hidden="false" customHeight="false" outlineLevel="0" collapsed="false">
      <c r="A597" s="28"/>
      <c r="B597" s="63"/>
      <c r="C597" s="28"/>
      <c r="D597" s="64"/>
      <c r="E597" s="28"/>
      <c r="F597" s="28"/>
      <c r="G597" s="28"/>
      <c r="H597" s="28"/>
      <c r="I597" s="65" t="str">
        <f aca="false">IF($A597="","",COUNTIFS($H$2:$H$1001,$A597,$D$2:$D$1001,"Reuse"))</f>
        <v/>
      </c>
    </row>
    <row r="598" customFormat="false" ht="15" hidden="false" customHeight="false" outlineLevel="0" collapsed="false">
      <c r="A598" s="28"/>
      <c r="B598" s="63"/>
      <c r="C598" s="28"/>
      <c r="D598" s="64"/>
      <c r="E598" s="28"/>
      <c r="F598" s="28"/>
      <c r="G598" s="28"/>
      <c r="H598" s="28"/>
      <c r="I598" s="65" t="str">
        <f aca="false">IF($A598="","",COUNTIFS($H$2:$H$1001,$A598,$D$2:$D$1001,"Reuse"))</f>
        <v/>
      </c>
    </row>
    <row r="599" customFormat="false" ht="15" hidden="false" customHeight="false" outlineLevel="0" collapsed="false">
      <c r="A599" s="28"/>
      <c r="B599" s="63"/>
      <c r="C599" s="28"/>
      <c r="D599" s="64"/>
      <c r="E599" s="28"/>
      <c r="F599" s="28"/>
      <c r="G599" s="28"/>
      <c r="H599" s="28"/>
      <c r="I599" s="65" t="str">
        <f aca="false">IF($A599="","",COUNTIFS($H$2:$H$1001,$A599,$D$2:$D$1001,"Reuse"))</f>
        <v/>
      </c>
    </row>
    <row r="600" customFormat="false" ht="15" hidden="false" customHeight="false" outlineLevel="0" collapsed="false">
      <c r="A600" s="28"/>
      <c r="B600" s="63"/>
      <c r="C600" s="28"/>
      <c r="D600" s="64"/>
      <c r="E600" s="28"/>
      <c r="F600" s="28"/>
      <c r="G600" s="28"/>
      <c r="H600" s="28"/>
      <c r="I600" s="65" t="str">
        <f aca="false">IF($A600="","",COUNTIFS($H$2:$H$1001,$A600,$D$2:$D$1001,"Reuse"))</f>
        <v/>
      </c>
    </row>
    <row r="601" customFormat="false" ht="15" hidden="false" customHeight="false" outlineLevel="0" collapsed="false">
      <c r="A601" s="28"/>
      <c r="B601" s="63"/>
      <c r="C601" s="28"/>
      <c r="D601" s="64"/>
      <c r="E601" s="28"/>
      <c r="F601" s="28"/>
      <c r="G601" s="28"/>
      <c r="H601" s="28"/>
      <c r="I601" s="65" t="str">
        <f aca="false">IF($A601="","",COUNTIFS($H$2:$H$1001,$A601,$D$2:$D$1001,"Reuse"))</f>
        <v/>
      </c>
    </row>
    <row r="602" customFormat="false" ht="15" hidden="false" customHeight="false" outlineLevel="0" collapsed="false">
      <c r="A602" s="28"/>
      <c r="B602" s="63"/>
      <c r="C602" s="28"/>
      <c r="D602" s="64"/>
      <c r="E602" s="28"/>
      <c r="F602" s="28"/>
      <c r="G602" s="28"/>
      <c r="H602" s="28"/>
      <c r="I602" s="65" t="str">
        <f aca="false">IF($A602="","",COUNTIFS($H$2:$H$1001,$A602,$D$2:$D$1001,"Reuse"))</f>
        <v/>
      </c>
    </row>
    <row r="603" customFormat="false" ht="15" hidden="false" customHeight="false" outlineLevel="0" collapsed="false">
      <c r="A603" s="28"/>
      <c r="B603" s="63"/>
      <c r="C603" s="28"/>
      <c r="D603" s="64"/>
      <c r="E603" s="28"/>
      <c r="F603" s="28"/>
      <c r="G603" s="28"/>
      <c r="H603" s="28"/>
      <c r="I603" s="65" t="str">
        <f aca="false">IF($A603="","",COUNTIFS($H$2:$H$1001,$A603,$D$2:$D$1001,"Reuse"))</f>
        <v/>
      </c>
    </row>
    <row r="604" customFormat="false" ht="15" hidden="false" customHeight="false" outlineLevel="0" collapsed="false">
      <c r="A604" s="28"/>
      <c r="B604" s="63"/>
      <c r="C604" s="28"/>
      <c r="D604" s="64"/>
      <c r="E604" s="28"/>
      <c r="F604" s="28"/>
      <c r="G604" s="28"/>
      <c r="H604" s="28"/>
      <c r="I604" s="65" t="str">
        <f aca="false">IF($A604="","",COUNTIFS($H$2:$H$1001,$A604,$D$2:$D$1001,"Reuse"))</f>
        <v/>
      </c>
    </row>
    <row r="605" customFormat="false" ht="15" hidden="false" customHeight="false" outlineLevel="0" collapsed="false">
      <c r="A605" s="28"/>
      <c r="B605" s="63"/>
      <c r="C605" s="28"/>
      <c r="D605" s="64"/>
      <c r="E605" s="28"/>
      <c r="F605" s="28"/>
      <c r="G605" s="28"/>
      <c r="H605" s="28"/>
      <c r="I605" s="65" t="str">
        <f aca="false">IF($A605="","",COUNTIFS($H$2:$H$1001,$A605,$D$2:$D$1001,"Reuse"))</f>
        <v/>
      </c>
    </row>
    <row r="606" customFormat="false" ht="15" hidden="false" customHeight="false" outlineLevel="0" collapsed="false">
      <c r="A606" s="28"/>
      <c r="B606" s="63"/>
      <c r="C606" s="28"/>
      <c r="D606" s="64"/>
      <c r="E606" s="28"/>
      <c r="F606" s="28"/>
      <c r="G606" s="28"/>
      <c r="H606" s="28"/>
      <c r="I606" s="65" t="str">
        <f aca="false">IF($A606="","",COUNTIFS($H$2:$H$1001,$A606,$D$2:$D$1001,"Reuse"))</f>
        <v/>
      </c>
    </row>
    <row r="607" customFormat="false" ht="15" hidden="false" customHeight="false" outlineLevel="0" collapsed="false">
      <c r="A607" s="28"/>
      <c r="B607" s="63"/>
      <c r="C607" s="28"/>
      <c r="D607" s="64"/>
      <c r="E607" s="28"/>
      <c r="F607" s="28"/>
      <c r="G607" s="28"/>
      <c r="H607" s="28"/>
      <c r="I607" s="65" t="str">
        <f aca="false">IF($A607="","",COUNTIFS($H$2:$H$1001,$A607,$D$2:$D$1001,"Reuse"))</f>
        <v/>
      </c>
    </row>
    <row r="608" customFormat="false" ht="15" hidden="false" customHeight="false" outlineLevel="0" collapsed="false">
      <c r="A608" s="28"/>
      <c r="B608" s="63"/>
      <c r="C608" s="28"/>
      <c r="D608" s="64"/>
      <c r="E608" s="28"/>
      <c r="F608" s="28"/>
      <c r="G608" s="28"/>
      <c r="H608" s="28"/>
      <c r="I608" s="65" t="str">
        <f aca="false">IF($A608="","",COUNTIFS($H$2:$H$1001,$A608,$D$2:$D$1001,"Reuse"))</f>
        <v/>
      </c>
    </row>
    <row r="609" customFormat="false" ht="15" hidden="false" customHeight="false" outlineLevel="0" collapsed="false">
      <c r="A609" s="28"/>
      <c r="B609" s="63"/>
      <c r="C609" s="28"/>
      <c r="D609" s="64"/>
      <c r="E609" s="28"/>
      <c r="F609" s="28"/>
      <c r="G609" s="28"/>
      <c r="H609" s="28"/>
      <c r="I609" s="65" t="str">
        <f aca="false">IF($A609="","",COUNTIFS($H$2:$H$1001,$A609,$D$2:$D$1001,"Reuse"))</f>
        <v/>
      </c>
    </row>
    <row r="610" customFormat="false" ht="15" hidden="false" customHeight="false" outlineLevel="0" collapsed="false">
      <c r="A610" s="28"/>
      <c r="B610" s="63"/>
      <c r="C610" s="28"/>
      <c r="D610" s="64"/>
      <c r="E610" s="28"/>
      <c r="F610" s="28"/>
      <c r="G610" s="28"/>
      <c r="H610" s="28"/>
      <c r="I610" s="65" t="str">
        <f aca="false">IF($A610="","",COUNTIFS($H$2:$H$1001,$A610,$D$2:$D$1001,"Reuse"))</f>
        <v/>
      </c>
    </row>
    <row r="611" customFormat="false" ht="15" hidden="false" customHeight="false" outlineLevel="0" collapsed="false">
      <c r="A611" s="28"/>
      <c r="B611" s="63"/>
      <c r="C611" s="28"/>
      <c r="D611" s="64"/>
      <c r="E611" s="28"/>
      <c r="F611" s="28"/>
      <c r="G611" s="28"/>
      <c r="H611" s="28"/>
      <c r="I611" s="65" t="str">
        <f aca="false">IF($A611="","",COUNTIFS($H$2:$H$1001,$A611,$D$2:$D$1001,"Reuse"))</f>
        <v/>
      </c>
    </row>
    <row r="612" customFormat="false" ht="15" hidden="false" customHeight="false" outlineLevel="0" collapsed="false">
      <c r="A612" s="28"/>
      <c r="B612" s="63"/>
      <c r="C612" s="28"/>
      <c r="D612" s="64"/>
      <c r="E612" s="28"/>
      <c r="F612" s="28"/>
      <c r="G612" s="28"/>
      <c r="H612" s="28"/>
      <c r="I612" s="65" t="str">
        <f aca="false">IF($A612="","",COUNTIFS($H$2:$H$1001,$A612,$D$2:$D$1001,"Reuse"))</f>
        <v/>
      </c>
    </row>
    <row r="613" customFormat="false" ht="15" hidden="false" customHeight="false" outlineLevel="0" collapsed="false">
      <c r="A613" s="28"/>
      <c r="B613" s="63"/>
      <c r="C613" s="28"/>
      <c r="D613" s="64"/>
      <c r="E613" s="28"/>
      <c r="F613" s="28"/>
      <c r="G613" s="28"/>
      <c r="H613" s="28"/>
      <c r="I613" s="65" t="str">
        <f aca="false">IF($A613="","",COUNTIFS($H$2:$H$1001,$A613,$D$2:$D$1001,"Reuse"))</f>
        <v/>
      </c>
    </row>
    <row r="614" customFormat="false" ht="15" hidden="false" customHeight="false" outlineLevel="0" collapsed="false">
      <c r="A614" s="28"/>
      <c r="B614" s="63"/>
      <c r="C614" s="28"/>
      <c r="D614" s="64"/>
      <c r="E614" s="28"/>
      <c r="F614" s="28"/>
      <c r="G614" s="28"/>
      <c r="H614" s="28"/>
      <c r="I614" s="65" t="str">
        <f aca="false">IF($A614="","",COUNTIFS($H$2:$H$1001,$A614,$D$2:$D$1001,"Reuse"))</f>
        <v/>
      </c>
    </row>
    <row r="615" customFormat="false" ht="15" hidden="false" customHeight="false" outlineLevel="0" collapsed="false">
      <c r="A615" s="28"/>
      <c r="B615" s="63"/>
      <c r="C615" s="28"/>
      <c r="D615" s="64"/>
      <c r="E615" s="28"/>
      <c r="F615" s="28"/>
      <c r="G615" s="28"/>
      <c r="H615" s="28"/>
      <c r="I615" s="65" t="str">
        <f aca="false">IF($A615="","",COUNTIFS($H$2:$H$1001,$A615,$D$2:$D$1001,"Reuse"))</f>
        <v/>
      </c>
    </row>
    <row r="616" customFormat="false" ht="15" hidden="false" customHeight="false" outlineLevel="0" collapsed="false">
      <c r="A616" s="28"/>
      <c r="B616" s="63"/>
      <c r="C616" s="28"/>
      <c r="D616" s="64"/>
      <c r="E616" s="28"/>
      <c r="F616" s="28"/>
      <c r="G616" s="28"/>
      <c r="H616" s="28"/>
      <c r="I616" s="65" t="str">
        <f aca="false">IF($A616="","",COUNTIFS($H$2:$H$1001,$A616,$D$2:$D$1001,"Reuse"))</f>
        <v/>
      </c>
    </row>
    <row r="617" customFormat="false" ht="15" hidden="false" customHeight="false" outlineLevel="0" collapsed="false">
      <c r="A617" s="28"/>
      <c r="B617" s="63"/>
      <c r="C617" s="28"/>
      <c r="D617" s="64"/>
      <c r="E617" s="28"/>
      <c r="F617" s="28"/>
      <c r="G617" s="28"/>
      <c r="H617" s="28"/>
      <c r="I617" s="65" t="str">
        <f aca="false">IF($A617="","",COUNTIFS($H$2:$H$1001,$A617,$D$2:$D$1001,"Reuse"))</f>
        <v/>
      </c>
    </row>
    <row r="618" customFormat="false" ht="15" hidden="false" customHeight="false" outlineLevel="0" collapsed="false">
      <c r="A618" s="28"/>
      <c r="B618" s="63"/>
      <c r="C618" s="28"/>
      <c r="D618" s="64"/>
      <c r="E618" s="28"/>
      <c r="F618" s="28"/>
      <c r="G618" s="28"/>
      <c r="H618" s="28"/>
      <c r="I618" s="65" t="str">
        <f aca="false">IF($A618="","",COUNTIFS($H$2:$H$1001,$A618,$D$2:$D$1001,"Reuse"))</f>
        <v/>
      </c>
    </row>
    <row r="619" customFormat="false" ht="15" hidden="false" customHeight="false" outlineLevel="0" collapsed="false">
      <c r="A619" s="28"/>
      <c r="B619" s="63"/>
      <c r="C619" s="28"/>
      <c r="D619" s="64"/>
      <c r="E619" s="28"/>
      <c r="F619" s="28"/>
      <c r="G619" s="28"/>
      <c r="H619" s="28"/>
      <c r="I619" s="65" t="str">
        <f aca="false">IF($A619="","",COUNTIFS($H$2:$H$1001,$A619,$D$2:$D$1001,"Reuse"))</f>
        <v/>
      </c>
    </row>
    <row r="620" customFormat="false" ht="15" hidden="false" customHeight="false" outlineLevel="0" collapsed="false">
      <c r="A620" s="28"/>
      <c r="B620" s="63"/>
      <c r="C620" s="28"/>
      <c r="D620" s="64"/>
      <c r="E620" s="28"/>
      <c r="F620" s="28"/>
      <c r="G620" s="28"/>
      <c r="H620" s="28"/>
      <c r="I620" s="65" t="str">
        <f aca="false">IF($A620="","",COUNTIFS($H$2:$H$1001,$A620,$D$2:$D$1001,"Reuse"))</f>
        <v/>
      </c>
    </row>
    <row r="621" customFormat="false" ht="15" hidden="false" customHeight="false" outlineLevel="0" collapsed="false">
      <c r="A621" s="28"/>
      <c r="B621" s="63"/>
      <c r="C621" s="28"/>
      <c r="D621" s="64"/>
      <c r="E621" s="28"/>
      <c r="F621" s="28"/>
      <c r="G621" s="28"/>
      <c r="H621" s="28"/>
      <c r="I621" s="65" t="str">
        <f aca="false">IF($A621="","",COUNTIFS($H$2:$H$1001,$A621,$D$2:$D$1001,"Reuse"))</f>
        <v/>
      </c>
    </row>
    <row r="622" customFormat="false" ht="15" hidden="false" customHeight="false" outlineLevel="0" collapsed="false">
      <c r="A622" s="28"/>
      <c r="B622" s="63"/>
      <c r="C622" s="28"/>
      <c r="D622" s="64"/>
      <c r="E622" s="28"/>
      <c r="F622" s="28"/>
      <c r="G622" s="28"/>
      <c r="H622" s="28"/>
      <c r="I622" s="65" t="str">
        <f aca="false">IF($A622="","",COUNTIFS($H$2:$H$1001,$A622,$D$2:$D$1001,"Reuse"))</f>
        <v/>
      </c>
    </row>
    <row r="623" customFormat="false" ht="15" hidden="false" customHeight="false" outlineLevel="0" collapsed="false">
      <c r="A623" s="28"/>
      <c r="B623" s="63"/>
      <c r="C623" s="28"/>
      <c r="D623" s="64"/>
      <c r="E623" s="28"/>
      <c r="F623" s="28"/>
      <c r="G623" s="28"/>
      <c r="H623" s="28"/>
      <c r="I623" s="65" t="str">
        <f aca="false">IF($A623="","",COUNTIFS($H$2:$H$1001,$A623,$D$2:$D$1001,"Reuse"))</f>
        <v/>
      </c>
    </row>
    <row r="624" customFormat="false" ht="15" hidden="false" customHeight="false" outlineLevel="0" collapsed="false">
      <c r="A624" s="28"/>
      <c r="B624" s="63"/>
      <c r="C624" s="28"/>
      <c r="D624" s="64"/>
      <c r="E624" s="28"/>
      <c r="F624" s="28"/>
      <c r="G624" s="28"/>
      <c r="H624" s="28"/>
      <c r="I624" s="65" t="str">
        <f aca="false">IF($A624="","",COUNTIFS($H$2:$H$1001,$A624,$D$2:$D$1001,"Reuse"))</f>
        <v/>
      </c>
    </row>
    <row r="625" customFormat="false" ht="15" hidden="false" customHeight="false" outlineLevel="0" collapsed="false">
      <c r="A625" s="28"/>
      <c r="B625" s="63"/>
      <c r="C625" s="28"/>
      <c r="D625" s="64"/>
      <c r="E625" s="28"/>
      <c r="F625" s="28"/>
      <c r="G625" s="28"/>
      <c r="H625" s="28"/>
      <c r="I625" s="65" t="str">
        <f aca="false">IF($A625="","",COUNTIFS($H$2:$H$1001,$A625,$D$2:$D$1001,"Reuse"))</f>
        <v/>
      </c>
    </row>
    <row r="626" customFormat="false" ht="15" hidden="false" customHeight="false" outlineLevel="0" collapsed="false">
      <c r="A626" s="28"/>
      <c r="B626" s="63"/>
      <c r="C626" s="28"/>
      <c r="D626" s="64"/>
      <c r="E626" s="28"/>
      <c r="F626" s="28"/>
      <c r="G626" s="28"/>
      <c r="H626" s="28"/>
      <c r="I626" s="65" t="str">
        <f aca="false">IF($A626="","",COUNTIFS($H$2:$H$1001,$A626,$D$2:$D$1001,"Reuse"))</f>
        <v/>
      </c>
    </row>
    <row r="627" customFormat="false" ht="15" hidden="false" customHeight="false" outlineLevel="0" collapsed="false">
      <c r="A627" s="28"/>
      <c r="B627" s="63"/>
      <c r="C627" s="28"/>
      <c r="D627" s="64"/>
      <c r="E627" s="28"/>
      <c r="F627" s="28"/>
      <c r="G627" s="28"/>
      <c r="H627" s="28"/>
      <c r="I627" s="65" t="str">
        <f aca="false">IF($A627="","",COUNTIFS($H$2:$H$1001,$A627,$D$2:$D$1001,"Reuse"))</f>
        <v/>
      </c>
    </row>
    <row r="628" customFormat="false" ht="15" hidden="false" customHeight="false" outlineLevel="0" collapsed="false">
      <c r="A628" s="28"/>
      <c r="B628" s="63"/>
      <c r="C628" s="28"/>
      <c r="D628" s="64"/>
      <c r="E628" s="28"/>
      <c r="F628" s="28"/>
      <c r="G628" s="28"/>
      <c r="H628" s="28"/>
      <c r="I628" s="65" t="str">
        <f aca="false">IF($A628="","",COUNTIFS($H$2:$H$1001,$A628,$D$2:$D$1001,"Reuse"))</f>
        <v/>
      </c>
    </row>
    <row r="629" customFormat="false" ht="15" hidden="false" customHeight="false" outlineLevel="0" collapsed="false">
      <c r="A629" s="28"/>
      <c r="B629" s="63"/>
      <c r="C629" s="28"/>
      <c r="D629" s="64"/>
      <c r="E629" s="28"/>
      <c r="F629" s="28"/>
      <c r="G629" s="28"/>
      <c r="H629" s="28"/>
      <c r="I629" s="65" t="str">
        <f aca="false">IF($A629="","",COUNTIFS($H$2:$H$1001,$A629,$D$2:$D$1001,"Reuse"))</f>
        <v/>
      </c>
    </row>
    <row r="630" customFormat="false" ht="15" hidden="false" customHeight="false" outlineLevel="0" collapsed="false">
      <c r="A630" s="28"/>
      <c r="B630" s="63"/>
      <c r="C630" s="28"/>
      <c r="D630" s="64"/>
      <c r="E630" s="28"/>
      <c r="F630" s="28"/>
      <c r="G630" s="28"/>
      <c r="H630" s="28"/>
      <c r="I630" s="65" t="str">
        <f aca="false">IF($A630="","",COUNTIFS($H$2:$H$1001,$A630,$D$2:$D$1001,"Reuse"))</f>
        <v/>
      </c>
    </row>
    <row r="631" customFormat="false" ht="15" hidden="false" customHeight="false" outlineLevel="0" collapsed="false">
      <c r="A631" s="28"/>
      <c r="B631" s="63"/>
      <c r="C631" s="28"/>
      <c r="D631" s="64"/>
      <c r="E631" s="28"/>
      <c r="F631" s="28"/>
      <c r="G631" s="28"/>
      <c r="H631" s="28"/>
      <c r="I631" s="65" t="str">
        <f aca="false">IF($A631="","",COUNTIFS($H$2:$H$1001,$A631,$D$2:$D$1001,"Reuse"))</f>
        <v/>
      </c>
    </row>
    <row r="632" customFormat="false" ht="15" hidden="false" customHeight="false" outlineLevel="0" collapsed="false">
      <c r="A632" s="28"/>
      <c r="B632" s="63"/>
      <c r="C632" s="28"/>
      <c r="D632" s="64"/>
      <c r="E632" s="28"/>
      <c r="F632" s="28"/>
      <c r="G632" s="28"/>
      <c r="H632" s="28"/>
      <c r="I632" s="65" t="str">
        <f aca="false">IF($A632="","",COUNTIFS($H$2:$H$1001,$A632,$D$2:$D$1001,"Reuse"))</f>
        <v/>
      </c>
    </row>
    <row r="633" customFormat="false" ht="15" hidden="false" customHeight="false" outlineLevel="0" collapsed="false">
      <c r="A633" s="28"/>
      <c r="B633" s="63"/>
      <c r="C633" s="28"/>
      <c r="D633" s="64"/>
      <c r="E633" s="28"/>
      <c r="F633" s="28"/>
      <c r="G633" s="28"/>
      <c r="H633" s="28"/>
      <c r="I633" s="65" t="str">
        <f aca="false">IF($A633="","",COUNTIFS($H$2:$H$1001,$A633,$D$2:$D$1001,"Reuse"))</f>
        <v/>
      </c>
    </row>
    <row r="634" customFormat="false" ht="15" hidden="false" customHeight="false" outlineLevel="0" collapsed="false">
      <c r="A634" s="28"/>
      <c r="B634" s="63"/>
      <c r="C634" s="28"/>
      <c r="D634" s="64"/>
      <c r="E634" s="28"/>
      <c r="F634" s="28"/>
      <c r="G634" s="28"/>
      <c r="H634" s="28"/>
      <c r="I634" s="65" t="str">
        <f aca="false">IF($A634="","",COUNTIFS($H$2:$H$1001,$A634,$D$2:$D$1001,"Reuse"))</f>
        <v/>
      </c>
    </row>
    <row r="635" customFormat="false" ht="15" hidden="false" customHeight="false" outlineLevel="0" collapsed="false">
      <c r="A635" s="28"/>
      <c r="B635" s="63"/>
      <c r="C635" s="28"/>
      <c r="D635" s="64"/>
      <c r="E635" s="28"/>
      <c r="F635" s="28"/>
      <c r="G635" s="28"/>
      <c r="H635" s="28"/>
      <c r="I635" s="65" t="str">
        <f aca="false">IF($A635="","",COUNTIFS($H$2:$H$1001,$A635,$D$2:$D$1001,"Reuse"))</f>
        <v/>
      </c>
    </row>
    <row r="636" customFormat="false" ht="15" hidden="false" customHeight="false" outlineLevel="0" collapsed="false">
      <c r="A636" s="28"/>
      <c r="B636" s="63"/>
      <c r="C636" s="28"/>
      <c r="D636" s="64"/>
      <c r="E636" s="28"/>
      <c r="F636" s="28"/>
      <c r="G636" s="28"/>
      <c r="H636" s="28"/>
      <c r="I636" s="65" t="str">
        <f aca="false">IF($A636="","",COUNTIFS($H$2:$H$1001,$A636,$D$2:$D$1001,"Reuse"))</f>
        <v/>
      </c>
    </row>
    <row r="637" customFormat="false" ht="15" hidden="false" customHeight="false" outlineLevel="0" collapsed="false">
      <c r="A637" s="28"/>
      <c r="B637" s="63"/>
      <c r="C637" s="28"/>
      <c r="D637" s="64"/>
      <c r="E637" s="28"/>
      <c r="F637" s="28"/>
      <c r="G637" s="28"/>
      <c r="H637" s="28"/>
      <c r="I637" s="65" t="str">
        <f aca="false">IF($A637="","",COUNTIFS($H$2:$H$1001,$A637,$D$2:$D$1001,"Reuse"))</f>
        <v/>
      </c>
    </row>
    <row r="638" customFormat="false" ht="15" hidden="false" customHeight="false" outlineLevel="0" collapsed="false">
      <c r="A638" s="28"/>
      <c r="B638" s="63"/>
      <c r="C638" s="28"/>
      <c r="D638" s="64"/>
      <c r="E638" s="28"/>
      <c r="F638" s="28"/>
      <c r="G638" s="28"/>
      <c r="H638" s="28"/>
      <c r="I638" s="65" t="str">
        <f aca="false">IF($A638="","",COUNTIFS($H$2:$H$1001,$A638,$D$2:$D$1001,"Reuse"))</f>
        <v/>
      </c>
    </row>
    <row r="639" customFormat="false" ht="15" hidden="false" customHeight="false" outlineLevel="0" collapsed="false">
      <c r="A639" s="28"/>
      <c r="B639" s="63"/>
      <c r="C639" s="28"/>
      <c r="D639" s="64"/>
      <c r="E639" s="28"/>
      <c r="F639" s="28"/>
      <c r="G639" s="28"/>
      <c r="H639" s="28"/>
      <c r="I639" s="65" t="str">
        <f aca="false">IF($A639="","",COUNTIFS($H$2:$H$1001,$A639,$D$2:$D$1001,"Reuse"))</f>
        <v/>
      </c>
    </row>
    <row r="640" customFormat="false" ht="15" hidden="false" customHeight="false" outlineLevel="0" collapsed="false">
      <c r="A640" s="28"/>
      <c r="B640" s="63"/>
      <c r="C640" s="28"/>
      <c r="D640" s="64"/>
      <c r="E640" s="28"/>
      <c r="F640" s="28"/>
      <c r="G640" s="28"/>
      <c r="H640" s="28"/>
      <c r="I640" s="65" t="str">
        <f aca="false">IF($A640="","",COUNTIFS($H$2:$H$1001,$A640,$D$2:$D$1001,"Reuse"))</f>
        <v/>
      </c>
    </row>
    <row r="641" customFormat="false" ht="15" hidden="false" customHeight="false" outlineLevel="0" collapsed="false">
      <c r="A641" s="28"/>
      <c r="B641" s="63"/>
      <c r="C641" s="28"/>
      <c r="D641" s="64"/>
      <c r="E641" s="28"/>
      <c r="F641" s="28"/>
      <c r="G641" s="28"/>
      <c r="H641" s="28"/>
      <c r="I641" s="65" t="str">
        <f aca="false">IF($A641="","",COUNTIFS($H$2:$H$1001,$A641,$D$2:$D$1001,"Reuse"))</f>
        <v/>
      </c>
    </row>
    <row r="642" customFormat="false" ht="15" hidden="false" customHeight="false" outlineLevel="0" collapsed="false">
      <c r="A642" s="28"/>
      <c r="B642" s="63"/>
      <c r="C642" s="28"/>
      <c r="D642" s="64"/>
      <c r="E642" s="28"/>
      <c r="F642" s="28"/>
      <c r="G642" s="28"/>
      <c r="H642" s="28"/>
      <c r="I642" s="65" t="str">
        <f aca="false">IF($A642="","",COUNTIFS($H$2:$H$1001,$A642,$D$2:$D$1001,"Reuse"))</f>
        <v/>
      </c>
    </row>
    <row r="643" customFormat="false" ht="15" hidden="false" customHeight="false" outlineLevel="0" collapsed="false">
      <c r="A643" s="28"/>
      <c r="B643" s="63"/>
      <c r="C643" s="28"/>
      <c r="D643" s="64"/>
      <c r="E643" s="28"/>
      <c r="F643" s="28"/>
      <c r="G643" s="28"/>
      <c r="H643" s="28"/>
      <c r="I643" s="65" t="str">
        <f aca="false">IF($A643="","",COUNTIFS($H$2:$H$1001,$A643,$D$2:$D$1001,"Reuse"))</f>
        <v/>
      </c>
    </row>
    <row r="644" customFormat="false" ht="15" hidden="false" customHeight="false" outlineLevel="0" collapsed="false">
      <c r="A644" s="28"/>
      <c r="B644" s="63"/>
      <c r="C644" s="28"/>
      <c r="D644" s="64"/>
      <c r="E644" s="28"/>
      <c r="F644" s="28"/>
      <c r="G644" s="28"/>
      <c r="H644" s="28"/>
      <c r="I644" s="65" t="str">
        <f aca="false">IF($A644="","",COUNTIFS($H$2:$H$1001,$A644,$D$2:$D$1001,"Reuse"))</f>
        <v/>
      </c>
    </row>
    <row r="645" customFormat="false" ht="15" hidden="false" customHeight="false" outlineLevel="0" collapsed="false">
      <c r="A645" s="28"/>
      <c r="B645" s="63"/>
      <c r="C645" s="28"/>
      <c r="D645" s="64"/>
      <c r="E645" s="28"/>
      <c r="F645" s="28"/>
      <c r="G645" s="28"/>
      <c r="H645" s="28"/>
      <c r="I645" s="65" t="str">
        <f aca="false">IF($A645="","",COUNTIFS($H$2:$H$1001,$A645,$D$2:$D$1001,"Reuse"))</f>
        <v/>
      </c>
    </row>
    <row r="646" customFormat="false" ht="15" hidden="false" customHeight="false" outlineLevel="0" collapsed="false">
      <c r="A646" s="28"/>
      <c r="B646" s="63"/>
      <c r="C646" s="28"/>
      <c r="D646" s="64"/>
      <c r="E646" s="28"/>
      <c r="F646" s="28"/>
      <c r="G646" s="28"/>
      <c r="H646" s="28"/>
      <c r="I646" s="65" t="str">
        <f aca="false">IF($A646="","",COUNTIFS($H$2:$H$1001,$A646,$D$2:$D$1001,"Reuse"))</f>
        <v/>
      </c>
    </row>
    <row r="647" customFormat="false" ht="15" hidden="false" customHeight="false" outlineLevel="0" collapsed="false">
      <c r="A647" s="28"/>
      <c r="B647" s="63"/>
      <c r="C647" s="28"/>
      <c r="D647" s="64"/>
      <c r="E647" s="28"/>
      <c r="F647" s="28"/>
      <c r="G647" s="28"/>
      <c r="H647" s="28"/>
      <c r="I647" s="65" t="str">
        <f aca="false">IF($A647="","",COUNTIFS($H$2:$H$1001,$A647,$D$2:$D$1001,"Reuse"))</f>
        <v/>
      </c>
    </row>
    <row r="648" customFormat="false" ht="15" hidden="false" customHeight="false" outlineLevel="0" collapsed="false">
      <c r="A648" s="28"/>
      <c r="B648" s="63"/>
      <c r="C648" s="28"/>
      <c r="D648" s="64"/>
      <c r="E648" s="28"/>
      <c r="F648" s="28"/>
      <c r="G648" s="28"/>
      <c r="H648" s="28"/>
      <c r="I648" s="65" t="str">
        <f aca="false">IF($A648="","",COUNTIFS($H$2:$H$1001,$A648,$D$2:$D$1001,"Reuse"))</f>
        <v/>
      </c>
    </row>
    <row r="649" customFormat="false" ht="15" hidden="false" customHeight="false" outlineLevel="0" collapsed="false">
      <c r="A649" s="28"/>
      <c r="B649" s="63"/>
      <c r="C649" s="28"/>
      <c r="D649" s="64"/>
      <c r="E649" s="28"/>
      <c r="F649" s="28"/>
      <c r="G649" s="28"/>
      <c r="H649" s="28"/>
      <c r="I649" s="65" t="str">
        <f aca="false">IF($A649="","",COUNTIFS($H$2:$H$1001,$A649,$D$2:$D$1001,"Reuse"))</f>
        <v/>
      </c>
    </row>
    <row r="650" customFormat="false" ht="15" hidden="false" customHeight="false" outlineLevel="0" collapsed="false">
      <c r="A650" s="28"/>
      <c r="B650" s="63"/>
      <c r="C650" s="28"/>
      <c r="D650" s="64"/>
      <c r="E650" s="28"/>
      <c r="F650" s="28"/>
      <c r="G650" s="28"/>
      <c r="H650" s="28"/>
      <c r="I650" s="65" t="str">
        <f aca="false">IF($A650="","",COUNTIFS($H$2:$H$1001,$A650,$D$2:$D$1001,"Reuse"))</f>
        <v/>
      </c>
    </row>
    <row r="651" customFormat="false" ht="15" hidden="false" customHeight="false" outlineLevel="0" collapsed="false">
      <c r="A651" s="28"/>
      <c r="B651" s="63"/>
      <c r="C651" s="28"/>
      <c r="D651" s="64"/>
      <c r="E651" s="28"/>
      <c r="F651" s="28"/>
      <c r="G651" s="28"/>
      <c r="H651" s="28"/>
      <c r="I651" s="65" t="str">
        <f aca="false">IF($A651="","",COUNTIFS($H$2:$H$1001,$A651,$D$2:$D$1001,"Reuse"))</f>
        <v/>
      </c>
    </row>
    <row r="652" customFormat="false" ht="15" hidden="false" customHeight="false" outlineLevel="0" collapsed="false">
      <c r="A652" s="28"/>
      <c r="B652" s="63"/>
      <c r="C652" s="28"/>
      <c r="D652" s="64"/>
      <c r="E652" s="28"/>
      <c r="F652" s="28"/>
      <c r="G652" s="28"/>
      <c r="H652" s="28"/>
      <c r="I652" s="65" t="str">
        <f aca="false">IF($A652="","",COUNTIFS($H$2:$H$1001,$A652,$D$2:$D$1001,"Reuse"))</f>
        <v/>
      </c>
    </row>
    <row r="653" customFormat="false" ht="15" hidden="false" customHeight="false" outlineLevel="0" collapsed="false">
      <c r="A653" s="28"/>
      <c r="B653" s="63"/>
      <c r="C653" s="28"/>
      <c r="D653" s="64"/>
      <c r="E653" s="28"/>
      <c r="F653" s="28"/>
      <c r="G653" s="28"/>
      <c r="H653" s="28"/>
      <c r="I653" s="65" t="str">
        <f aca="false">IF($A653="","",COUNTIFS($H$2:$H$1001,$A653,$D$2:$D$1001,"Reuse"))</f>
        <v/>
      </c>
    </row>
    <row r="654" customFormat="false" ht="15" hidden="false" customHeight="false" outlineLevel="0" collapsed="false">
      <c r="A654" s="28"/>
      <c r="B654" s="63"/>
      <c r="C654" s="28"/>
      <c r="D654" s="64"/>
      <c r="E654" s="28"/>
      <c r="F654" s="28"/>
      <c r="G654" s="28"/>
      <c r="H654" s="28"/>
      <c r="I654" s="65" t="str">
        <f aca="false">IF($A654="","",COUNTIFS($H$2:$H$1001,$A654,$D$2:$D$1001,"Reuse"))</f>
        <v/>
      </c>
    </row>
    <row r="655" customFormat="false" ht="15" hidden="false" customHeight="false" outlineLevel="0" collapsed="false">
      <c r="A655" s="28"/>
      <c r="B655" s="63"/>
      <c r="C655" s="28"/>
      <c r="D655" s="64"/>
      <c r="E655" s="28"/>
      <c r="F655" s="28"/>
      <c r="G655" s="28"/>
      <c r="H655" s="28"/>
      <c r="I655" s="65" t="str">
        <f aca="false">IF($A655="","",COUNTIFS($H$2:$H$1001,$A655,$D$2:$D$1001,"Reuse"))</f>
        <v/>
      </c>
    </row>
    <row r="656" customFormat="false" ht="15" hidden="false" customHeight="false" outlineLevel="0" collapsed="false">
      <c r="A656" s="28"/>
      <c r="B656" s="63"/>
      <c r="C656" s="28"/>
      <c r="D656" s="64"/>
      <c r="E656" s="28"/>
      <c r="F656" s="28"/>
      <c r="G656" s="28"/>
      <c r="H656" s="28"/>
      <c r="I656" s="65" t="str">
        <f aca="false">IF($A656="","",COUNTIFS($H$2:$H$1001,$A656,$D$2:$D$1001,"Reuse"))</f>
        <v/>
      </c>
    </row>
    <row r="657" customFormat="false" ht="15" hidden="false" customHeight="false" outlineLevel="0" collapsed="false">
      <c r="A657" s="28"/>
      <c r="B657" s="63"/>
      <c r="C657" s="28"/>
      <c r="D657" s="64"/>
      <c r="E657" s="28"/>
      <c r="F657" s="28"/>
      <c r="G657" s="28"/>
      <c r="H657" s="28"/>
      <c r="I657" s="65" t="str">
        <f aca="false">IF($A657="","",COUNTIFS($H$2:$H$1001,$A657,$D$2:$D$1001,"Reuse"))</f>
        <v/>
      </c>
    </row>
    <row r="658" customFormat="false" ht="15" hidden="false" customHeight="false" outlineLevel="0" collapsed="false">
      <c r="A658" s="28"/>
      <c r="B658" s="63"/>
      <c r="C658" s="28"/>
      <c r="D658" s="64"/>
      <c r="E658" s="28"/>
      <c r="F658" s="28"/>
      <c r="G658" s="28"/>
      <c r="H658" s="28"/>
      <c r="I658" s="65" t="str">
        <f aca="false">IF($A658="","",COUNTIFS($H$2:$H$1001,$A658,$D$2:$D$1001,"Reuse"))</f>
        <v/>
      </c>
    </row>
    <row r="659" customFormat="false" ht="15" hidden="false" customHeight="false" outlineLevel="0" collapsed="false">
      <c r="A659" s="28"/>
      <c r="B659" s="63"/>
      <c r="C659" s="28"/>
      <c r="D659" s="64"/>
      <c r="E659" s="28"/>
      <c r="F659" s="28"/>
      <c r="G659" s="28"/>
      <c r="H659" s="28"/>
      <c r="I659" s="65" t="str">
        <f aca="false">IF($A659="","",COUNTIFS($H$2:$H$1001,$A659,$D$2:$D$1001,"Reuse"))</f>
        <v/>
      </c>
    </row>
    <row r="660" customFormat="false" ht="15" hidden="false" customHeight="false" outlineLevel="0" collapsed="false">
      <c r="A660" s="28"/>
      <c r="B660" s="63"/>
      <c r="C660" s="28"/>
      <c r="D660" s="64"/>
      <c r="E660" s="28"/>
      <c r="F660" s="28"/>
      <c r="G660" s="28"/>
      <c r="H660" s="28"/>
      <c r="I660" s="65" t="str">
        <f aca="false">IF($A660="","",COUNTIFS($H$2:$H$1001,$A660,$D$2:$D$1001,"Reuse"))</f>
        <v/>
      </c>
    </row>
    <row r="661" customFormat="false" ht="15" hidden="false" customHeight="false" outlineLevel="0" collapsed="false">
      <c r="A661" s="28"/>
      <c r="B661" s="63"/>
      <c r="C661" s="28"/>
      <c r="D661" s="64"/>
      <c r="E661" s="28"/>
      <c r="F661" s="28"/>
      <c r="G661" s="28"/>
      <c r="H661" s="28"/>
      <c r="I661" s="65" t="str">
        <f aca="false">IF($A661="","",COUNTIFS($H$2:$H$1001,$A661,$D$2:$D$1001,"Reuse"))</f>
        <v/>
      </c>
    </row>
    <row r="662" customFormat="false" ht="15" hidden="false" customHeight="false" outlineLevel="0" collapsed="false">
      <c r="A662" s="28"/>
      <c r="B662" s="63"/>
      <c r="C662" s="28"/>
      <c r="D662" s="64"/>
      <c r="E662" s="28"/>
      <c r="F662" s="28"/>
      <c r="G662" s="28"/>
      <c r="H662" s="28"/>
      <c r="I662" s="65" t="str">
        <f aca="false">IF($A662="","",COUNTIFS($H$2:$H$1001,$A662,$D$2:$D$1001,"Reuse"))</f>
        <v/>
      </c>
    </row>
    <row r="663" customFormat="false" ht="15" hidden="false" customHeight="false" outlineLevel="0" collapsed="false">
      <c r="A663" s="28"/>
      <c r="B663" s="63"/>
      <c r="C663" s="28"/>
      <c r="D663" s="64"/>
      <c r="E663" s="28"/>
      <c r="F663" s="28"/>
      <c r="G663" s="28"/>
      <c r="H663" s="28"/>
      <c r="I663" s="65" t="str">
        <f aca="false">IF($A663="","",COUNTIFS($H$2:$H$1001,$A663,$D$2:$D$1001,"Reuse"))</f>
        <v/>
      </c>
    </row>
    <row r="664" customFormat="false" ht="15" hidden="false" customHeight="false" outlineLevel="0" collapsed="false">
      <c r="A664" s="28"/>
      <c r="B664" s="63"/>
      <c r="C664" s="28"/>
      <c r="D664" s="64"/>
      <c r="E664" s="28"/>
      <c r="F664" s="28"/>
      <c r="G664" s="28"/>
      <c r="H664" s="28"/>
      <c r="I664" s="65" t="str">
        <f aca="false">IF($A664="","",COUNTIFS($H$2:$H$1001,$A664,$D$2:$D$1001,"Reuse"))</f>
        <v/>
      </c>
    </row>
    <row r="665" customFormat="false" ht="15" hidden="false" customHeight="false" outlineLevel="0" collapsed="false">
      <c r="A665" s="28"/>
      <c r="B665" s="63"/>
      <c r="C665" s="28"/>
      <c r="D665" s="64"/>
      <c r="E665" s="28"/>
      <c r="F665" s="28"/>
      <c r="G665" s="28"/>
      <c r="H665" s="28"/>
      <c r="I665" s="65" t="str">
        <f aca="false">IF($A665="","",COUNTIFS($H$2:$H$1001,$A665,$D$2:$D$1001,"Reuse"))</f>
        <v/>
      </c>
    </row>
    <row r="666" customFormat="false" ht="15" hidden="false" customHeight="false" outlineLevel="0" collapsed="false">
      <c r="A666" s="28"/>
      <c r="B666" s="63"/>
      <c r="C666" s="28"/>
      <c r="D666" s="64"/>
      <c r="E666" s="28"/>
      <c r="F666" s="28"/>
      <c r="G666" s="28"/>
      <c r="H666" s="28"/>
      <c r="I666" s="65" t="str">
        <f aca="false">IF($A666="","",COUNTIFS($H$2:$H$1001,$A666,$D$2:$D$1001,"Reuse"))</f>
        <v/>
      </c>
    </row>
    <row r="667" customFormat="false" ht="15" hidden="false" customHeight="false" outlineLevel="0" collapsed="false">
      <c r="A667" s="28"/>
      <c r="B667" s="63"/>
      <c r="C667" s="28"/>
      <c r="D667" s="64"/>
      <c r="E667" s="28"/>
      <c r="F667" s="28"/>
      <c r="G667" s="28"/>
      <c r="H667" s="28"/>
      <c r="I667" s="65" t="str">
        <f aca="false">IF($A667="","",COUNTIFS($H$2:$H$1001,$A667,$D$2:$D$1001,"Reuse"))</f>
        <v/>
      </c>
    </row>
    <row r="668" customFormat="false" ht="15" hidden="false" customHeight="false" outlineLevel="0" collapsed="false">
      <c r="A668" s="28"/>
      <c r="B668" s="63"/>
      <c r="C668" s="28"/>
      <c r="D668" s="64"/>
      <c r="E668" s="28"/>
      <c r="F668" s="28"/>
      <c r="G668" s="28"/>
      <c r="H668" s="28"/>
      <c r="I668" s="65" t="str">
        <f aca="false">IF($A668="","",COUNTIFS($H$2:$H$1001,$A668,$D$2:$D$1001,"Reuse"))</f>
        <v/>
      </c>
    </row>
    <row r="669" customFormat="false" ht="15" hidden="false" customHeight="false" outlineLevel="0" collapsed="false">
      <c r="A669" s="28"/>
      <c r="B669" s="63"/>
      <c r="C669" s="28"/>
      <c r="D669" s="64"/>
      <c r="E669" s="28"/>
      <c r="F669" s="28"/>
      <c r="G669" s="28"/>
      <c r="H669" s="28"/>
      <c r="I669" s="65" t="str">
        <f aca="false">IF($A669="","",COUNTIFS($H$2:$H$1001,$A669,$D$2:$D$1001,"Reuse"))</f>
        <v/>
      </c>
    </row>
    <row r="670" customFormat="false" ht="15" hidden="false" customHeight="false" outlineLevel="0" collapsed="false">
      <c r="A670" s="28"/>
      <c r="B670" s="63"/>
      <c r="C670" s="28"/>
      <c r="D670" s="64"/>
      <c r="E670" s="28"/>
      <c r="F670" s="28"/>
      <c r="G670" s="28"/>
      <c r="H670" s="28"/>
      <c r="I670" s="65" t="str">
        <f aca="false">IF($A670="","",COUNTIFS($H$2:$H$1001,$A670,$D$2:$D$1001,"Reuse"))</f>
        <v/>
      </c>
    </row>
    <row r="671" customFormat="false" ht="15" hidden="false" customHeight="false" outlineLevel="0" collapsed="false">
      <c r="A671" s="28"/>
      <c r="B671" s="63"/>
      <c r="C671" s="28"/>
      <c r="D671" s="64"/>
      <c r="E671" s="28"/>
      <c r="F671" s="28"/>
      <c r="G671" s="28"/>
      <c r="H671" s="28"/>
      <c r="I671" s="65" t="str">
        <f aca="false">IF($A671="","",COUNTIFS($H$2:$H$1001,$A671,$D$2:$D$1001,"Reuse"))</f>
        <v/>
      </c>
    </row>
    <row r="672" customFormat="false" ht="15" hidden="false" customHeight="false" outlineLevel="0" collapsed="false">
      <c r="A672" s="28"/>
      <c r="B672" s="63"/>
      <c r="C672" s="28"/>
      <c r="D672" s="64"/>
      <c r="E672" s="28"/>
      <c r="F672" s="28"/>
      <c r="G672" s="28"/>
      <c r="H672" s="28"/>
      <c r="I672" s="65" t="str">
        <f aca="false">IF($A672="","",COUNTIFS($H$2:$H$1001,$A672,$D$2:$D$1001,"Reuse"))</f>
        <v/>
      </c>
    </row>
    <row r="673" customFormat="false" ht="15" hidden="false" customHeight="false" outlineLevel="0" collapsed="false">
      <c r="A673" s="28"/>
      <c r="B673" s="63"/>
      <c r="C673" s="28"/>
      <c r="D673" s="64"/>
      <c r="E673" s="28"/>
      <c r="F673" s="28"/>
      <c r="G673" s="28"/>
      <c r="H673" s="28"/>
      <c r="I673" s="65" t="str">
        <f aca="false">IF($A673="","",COUNTIFS($H$2:$H$1001,$A673,$D$2:$D$1001,"Reuse"))</f>
        <v/>
      </c>
    </row>
    <row r="674" customFormat="false" ht="15" hidden="false" customHeight="false" outlineLevel="0" collapsed="false">
      <c r="A674" s="28"/>
      <c r="B674" s="63"/>
      <c r="C674" s="28"/>
      <c r="D674" s="64"/>
      <c r="E674" s="28"/>
      <c r="F674" s="28"/>
      <c r="G674" s="28"/>
      <c r="H674" s="28"/>
      <c r="I674" s="65" t="str">
        <f aca="false">IF($A674="","",COUNTIFS($H$2:$H$1001,$A674,$D$2:$D$1001,"Reuse"))</f>
        <v/>
      </c>
    </row>
    <row r="675" customFormat="false" ht="15" hidden="false" customHeight="false" outlineLevel="0" collapsed="false">
      <c r="A675" s="28"/>
      <c r="B675" s="63"/>
      <c r="C675" s="28"/>
      <c r="D675" s="64"/>
      <c r="E675" s="28"/>
      <c r="F675" s="28"/>
      <c r="G675" s="28"/>
      <c r="H675" s="28"/>
      <c r="I675" s="65" t="str">
        <f aca="false">IF($A675="","",COUNTIFS($H$2:$H$1001,$A675,$D$2:$D$1001,"Reuse"))</f>
        <v/>
      </c>
    </row>
    <row r="676" customFormat="false" ht="15" hidden="false" customHeight="false" outlineLevel="0" collapsed="false">
      <c r="A676" s="28"/>
      <c r="B676" s="63"/>
      <c r="C676" s="28"/>
      <c r="D676" s="64"/>
      <c r="E676" s="28"/>
      <c r="F676" s="28"/>
      <c r="G676" s="28"/>
      <c r="H676" s="28"/>
      <c r="I676" s="65" t="str">
        <f aca="false">IF($A676="","",COUNTIFS($H$2:$H$1001,$A676,$D$2:$D$1001,"Reuse"))</f>
        <v/>
      </c>
    </row>
    <row r="677" customFormat="false" ht="15" hidden="false" customHeight="false" outlineLevel="0" collapsed="false">
      <c r="A677" s="28"/>
      <c r="B677" s="63"/>
      <c r="C677" s="28"/>
      <c r="D677" s="64"/>
      <c r="E677" s="28"/>
      <c r="F677" s="28"/>
      <c r="G677" s="28"/>
      <c r="H677" s="28"/>
      <c r="I677" s="65" t="str">
        <f aca="false">IF($A677="","",COUNTIFS($H$2:$H$1001,$A677,$D$2:$D$1001,"Reuse"))</f>
        <v/>
      </c>
    </row>
    <row r="678" customFormat="false" ht="15" hidden="false" customHeight="false" outlineLevel="0" collapsed="false">
      <c r="A678" s="28"/>
      <c r="B678" s="63"/>
      <c r="C678" s="28"/>
      <c r="D678" s="64"/>
      <c r="E678" s="28"/>
      <c r="F678" s="28"/>
      <c r="G678" s="28"/>
      <c r="H678" s="28"/>
      <c r="I678" s="65" t="str">
        <f aca="false">IF($A678="","",COUNTIFS($H$2:$H$1001,$A678,$D$2:$D$1001,"Reuse"))</f>
        <v/>
      </c>
    </row>
    <row r="679" customFormat="false" ht="15" hidden="false" customHeight="false" outlineLevel="0" collapsed="false">
      <c r="A679" s="28"/>
      <c r="B679" s="63"/>
      <c r="C679" s="28"/>
      <c r="D679" s="64"/>
      <c r="E679" s="28"/>
      <c r="F679" s="28"/>
      <c r="G679" s="28"/>
      <c r="H679" s="28"/>
      <c r="I679" s="65" t="str">
        <f aca="false">IF($A679="","",COUNTIFS($H$2:$H$1001,$A679,$D$2:$D$1001,"Reuse"))</f>
        <v/>
      </c>
    </row>
    <row r="680" customFormat="false" ht="15" hidden="false" customHeight="false" outlineLevel="0" collapsed="false">
      <c r="A680" s="28"/>
      <c r="B680" s="63"/>
      <c r="C680" s="28"/>
      <c r="D680" s="64"/>
      <c r="E680" s="28"/>
      <c r="F680" s="28"/>
      <c r="G680" s="28"/>
      <c r="H680" s="28"/>
      <c r="I680" s="65" t="str">
        <f aca="false">IF($A680="","",COUNTIFS($H$2:$H$1001,$A680,$D$2:$D$1001,"Reuse"))</f>
        <v/>
      </c>
    </row>
    <row r="681" customFormat="false" ht="15" hidden="false" customHeight="false" outlineLevel="0" collapsed="false">
      <c r="A681" s="28"/>
      <c r="B681" s="63"/>
      <c r="C681" s="28"/>
      <c r="D681" s="64"/>
      <c r="E681" s="28"/>
      <c r="F681" s="28"/>
      <c r="G681" s="28"/>
      <c r="H681" s="28"/>
      <c r="I681" s="65" t="str">
        <f aca="false">IF($A681="","",COUNTIFS($H$2:$H$1001,$A681,$D$2:$D$1001,"Reuse"))</f>
        <v/>
      </c>
    </row>
    <row r="682" customFormat="false" ht="15" hidden="false" customHeight="false" outlineLevel="0" collapsed="false">
      <c r="A682" s="28"/>
      <c r="B682" s="63"/>
      <c r="C682" s="28"/>
      <c r="D682" s="64"/>
      <c r="E682" s="28"/>
      <c r="F682" s="28"/>
      <c r="G682" s="28"/>
      <c r="H682" s="28"/>
      <c r="I682" s="65" t="str">
        <f aca="false">IF($A682="","",COUNTIFS($H$2:$H$1001,$A682,$D$2:$D$1001,"Reuse"))</f>
        <v/>
      </c>
    </row>
    <row r="683" customFormat="false" ht="15" hidden="false" customHeight="false" outlineLevel="0" collapsed="false">
      <c r="A683" s="28"/>
      <c r="B683" s="63"/>
      <c r="C683" s="28"/>
      <c r="D683" s="64"/>
      <c r="E683" s="28"/>
      <c r="F683" s="28"/>
      <c r="G683" s="28"/>
      <c r="H683" s="28"/>
      <c r="I683" s="65" t="str">
        <f aca="false">IF($A683="","",COUNTIFS($H$2:$H$1001,$A683,$D$2:$D$1001,"Reuse"))</f>
        <v/>
      </c>
    </row>
    <row r="684" customFormat="false" ht="15" hidden="false" customHeight="false" outlineLevel="0" collapsed="false">
      <c r="A684" s="28"/>
      <c r="B684" s="63"/>
      <c r="C684" s="28"/>
      <c r="D684" s="64"/>
      <c r="E684" s="28"/>
      <c r="F684" s="28"/>
      <c r="G684" s="28"/>
      <c r="H684" s="28"/>
      <c r="I684" s="65" t="str">
        <f aca="false">IF($A684="","",COUNTIFS($H$2:$H$1001,$A684,$D$2:$D$1001,"Reuse"))</f>
        <v/>
      </c>
    </row>
    <row r="685" customFormat="false" ht="15" hidden="false" customHeight="false" outlineLevel="0" collapsed="false">
      <c r="A685" s="28"/>
      <c r="B685" s="63"/>
      <c r="C685" s="28"/>
      <c r="D685" s="64"/>
      <c r="E685" s="28"/>
      <c r="F685" s="28"/>
      <c r="G685" s="28"/>
      <c r="H685" s="28"/>
      <c r="I685" s="65" t="str">
        <f aca="false">IF($A685="","",COUNTIFS($H$2:$H$1001,$A685,$D$2:$D$1001,"Reuse"))</f>
        <v/>
      </c>
    </row>
    <row r="686" customFormat="false" ht="15" hidden="false" customHeight="false" outlineLevel="0" collapsed="false">
      <c r="A686" s="28"/>
      <c r="B686" s="63"/>
      <c r="C686" s="28"/>
      <c r="D686" s="64"/>
      <c r="E686" s="28"/>
      <c r="F686" s="28"/>
      <c r="G686" s="28"/>
      <c r="H686" s="28"/>
      <c r="I686" s="65" t="str">
        <f aca="false">IF($A686="","",COUNTIFS($H$2:$H$1001,$A686,$D$2:$D$1001,"Reuse"))</f>
        <v/>
      </c>
    </row>
    <row r="687" customFormat="false" ht="15" hidden="false" customHeight="false" outlineLevel="0" collapsed="false">
      <c r="A687" s="28"/>
      <c r="B687" s="63"/>
      <c r="C687" s="28"/>
      <c r="D687" s="64"/>
      <c r="E687" s="28"/>
      <c r="F687" s="28"/>
      <c r="G687" s="28"/>
      <c r="H687" s="28"/>
      <c r="I687" s="65" t="str">
        <f aca="false">IF($A687="","",COUNTIFS($H$2:$H$1001,$A687,$D$2:$D$1001,"Reuse"))</f>
        <v/>
      </c>
    </row>
    <row r="688" customFormat="false" ht="15" hidden="false" customHeight="false" outlineLevel="0" collapsed="false">
      <c r="A688" s="28"/>
      <c r="B688" s="63"/>
      <c r="C688" s="28"/>
      <c r="D688" s="64"/>
      <c r="E688" s="28"/>
      <c r="F688" s="28"/>
      <c r="G688" s="28"/>
      <c r="H688" s="28"/>
      <c r="I688" s="65" t="str">
        <f aca="false">IF($A688="","",COUNTIFS($H$2:$H$1001,$A688,$D$2:$D$1001,"Reuse"))</f>
        <v/>
      </c>
    </row>
    <row r="689" customFormat="false" ht="15" hidden="false" customHeight="false" outlineLevel="0" collapsed="false">
      <c r="A689" s="28"/>
      <c r="B689" s="63"/>
      <c r="C689" s="28"/>
      <c r="D689" s="64"/>
      <c r="E689" s="28"/>
      <c r="F689" s="28"/>
      <c r="G689" s="28"/>
      <c r="H689" s="28"/>
      <c r="I689" s="65" t="str">
        <f aca="false">IF($A689="","",COUNTIFS($H$2:$H$1001,$A689,$D$2:$D$1001,"Reuse"))</f>
        <v/>
      </c>
    </row>
    <row r="690" customFormat="false" ht="15" hidden="false" customHeight="false" outlineLevel="0" collapsed="false">
      <c r="A690" s="28"/>
      <c r="B690" s="63"/>
      <c r="C690" s="28"/>
      <c r="D690" s="64"/>
      <c r="E690" s="28"/>
      <c r="F690" s="28"/>
      <c r="G690" s="28"/>
      <c r="H690" s="28"/>
      <c r="I690" s="65" t="str">
        <f aca="false">IF($A690="","",COUNTIFS($H$2:$H$1001,$A690,$D$2:$D$1001,"Reuse"))</f>
        <v/>
      </c>
    </row>
    <row r="691" customFormat="false" ht="15" hidden="false" customHeight="false" outlineLevel="0" collapsed="false">
      <c r="A691" s="28"/>
      <c r="B691" s="63"/>
      <c r="C691" s="28"/>
      <c r="D691" s="64"/>
      <c r="E691" s="28"/>
      <c r="F691" s="28"/>
      <c r="G691" s="28"/>
      <c r="H691" s="28"/>
      <c r="I691" s="65" t="str">
        <f aca="false">IF($A691="","",COUNTIFS($H$2:$H$1001,$A691,$D$2:$D$1001,"Reuse"))</f>
        <v/>
      </c>
    </row>
    <row r="692" customFormat="false" ht="15" hidden="false" customHeight="false" outlineLevel="0" collapsed="false">
      <c r="A692" s="28"/>
      <c r="B692" s="63"/>
      <c r="C692" s="28"/>
      <c r="D692" s="64"/>
      <c r="E692" s="28"/>
      <c r="F692" s="28"/>
      <c r="G692" s="28"/>
      <c r="H692" s="28"/>
      <c r="I692" s="65" t="str">
        <f aca="false">IF($A692="","",COUNTIFS($H$2:$H$1001,$A692,$D$2:$D$1001,"Reuse"))</f>
        <v/>
      </c>
    </row>
    <row r="693" customFormat="false" ht="15" hidden="false" customHeight="false" outlineLevel="0" collapsed="false">
      <c r="A693" s="28"/>
      <c r="B693" s="63"/>
      <c r="C693" s="28"/>
      <c r="D693" s="64"/>
      <c r="E693" s="28"/>
      <c r="F693" s="28"/>
      <c r="G693" s="28"/>
      <c r="H693" s="28"/>
      <c r="I693" s="65" t="str">
        <f aca="false">IF($A693="","",COUNTIFS($H$2:$H$1001,$A693,$D$2:$D$1001,"Reuse"))</f>
        <v/>
      </c>
    </row>
    <row r="694" customFormat="false" ht="15" hidden="false" customHeight="false" outlineLevel="0" collapsed="false">
      <c r="A694" s="28"/>
      <c r="B694" s="63"/>
      <c r="C694" s="28"/>
      <c r="D694" s="64"/>
      <c r="E694" s="28"/>
      <c r="F694" s="28"/>
      <c r="G694" s="28"/>
      <c r="H694" s="28"/>
      <c r="I694" s="65" t="str">
        <f aca="false">IF($A694="","",COUNTIFS($H$2:$H$1001,$A694,$D$2:$D$1001,"Reuse"))</f>
        <v/>
      </c>
    </row>
    <row r="695" customFormat="false" ht="15" hidden="false" customHeight="false" outlineLevel="0" collapsed="false">
      <c r="A695" s="28"/>
      <c r="B695" s="63"/>
      <c r="C695" s="28"/>
      <c r="D695" s="64"/>
      <c r="E695" s="28"/>
      <c r="F695" s="28"/>
      <c r="G695" s="28"/>
      <c r="H695" s="28"/>
      <c r="I695" s="65" t="str">
        <f aca="false">IF($A695="","",COUNTIFS($H$2:$H$1001,$A695,$D$2:$D$1001,"Reuse"))</f>
        <v/>
      </c>
    </row>
    <row r="696" customFormat="false" ht="15" hidden="false" customHeight="false" outlineLevel="0" collapsed="false">
      <c r="A696" s="28"/>
      <c r="B696" s="63"/>
      <c r="C696" s="28"/>
      <c r="D696" s="64"/>
      <c r="E696" s="28"/>
      <c r="F696" s="28"/>
      <c r="G696" s="28"/>
      <c r="H696" s="28"/>
      <c r="I696" s="65" t="str">
        <f aca="false">IF($A696="","",COUNTIFS($H$2:$H$1001,$A696,$D$2:$D$1001,"Reuse"))</f>
        <v/>
      </c>
    </row>
    <row r="697" customFormat="false" ht="15" hidden="false" customHeight="false" outlineLevel="0" collapsed="false">
      <c r="A697" s="28"/>
      <c r="B697" s="63"/>
      <c r="C697" s="28"/>
      <c r="D697" s="64"/>
      <c r="E697" s="28"/>
      <c r="F697" s="28"/>
      <c r="G697" s="28"/>
      <c r="H697" s="28"/>
      <c r="I697" s="65" t="str">
        <f aca="false">IF($A697="","",COUNTIFS($H$2:$H$1001,$A697,$D$2:$D$1001,"Reuse"))</f>
        <v/>
      </c>
    </row>
    <row r="698" customFormat="false" ht="15" hidden="false" customHeight="false" outlineLevel="0" collapsed="false">
      <c r="A698" s="28"/>
      <c r="B698" s="63"/>
      <c r="C698" s="28"/>
      <c r="D698" s="64"/>
      <c r="E698" s="28"/>
      <c r="F698" s="28"/>
      <c r="G698" s="28"/>
      <c r="H698" s="28"/>
      <c r="I698" s="65" t="str">
        <f aca="false">IF($A698="","",COUNTIFS($H$2:$H$1001,$A698,$D$2:$D$1001,"Reuse"))</f>
        <v/>
      </c>
    </row>
    <row r="699" customFormat="false" ht="15" hidden="false" customHeight="false" outlineLevel="0" collapsed="false">
      <c r="A699" s="28"/>
      <c r="B699" s="63"/>
      <c r="C699" s="28"/>
      <c r="D699" s="64"/>
      <c r="E699" s="28"/>
      <c r="F699" s="28"/>
      <c r="G699" s="28"/>
      <c r="H699" s="28"/>
      <c r="I699" s="65" t="str">
        <f aca="false">IF($A699="","",COUNTIFS($H$2:$H$1001,$A699,$D$2:$D$1001,"Reuse"))</f>
        <v/>
      </c>
    </row>
    <row r="700" customFormat="false" ht="15" hidden="false" customHeight="false" outlineLevel="0" collapsed="false">
      <c r="A700" s="28"/>
      <c r="B700" s="63"/>
      <c r="C700" s="28"/>
      <c r="D700" s="64"/>
      <c r="E700" s="28"/>
      <c r="F700" s="28"/>
      <c r="G700" s="28"/>
      <c r="H700" s="28"/>
      <c r="I700" s="65" t="str">
        <f aca="false">IF($A700="","",COUNTIFS($H$2:$H$1001,$A700,$D$2:$D$1001,"Reuse"))</f>
        <v/>
      </c>
    </row>
    <row r="701" customFormat="false" ht="15" hidden="false" customHeight="false" outlineLevel="0" collapsed="false">
      <c r="A701" s="28"/>
      <c r="B701" s="63"/>
      <c r="C701" s="28"/>
      <c r="D701" s="64"/>
      <c r="E701" s="28"/>
      <c r="F701" s="28"/>
      <c r="G701" s="28"/>
      <c r="H701" s="28"/>
      <c r="I701" s="65" t="str">
        <f aca="false">IF($A701="","",COUNTIFS($H$2:$H$1001,$A701,$D$2:$D$1001,"Reuse"))</f>
        <v/>
      </c>
    </row>
    <row r="702" customFormat="false" ht="15" hidden="false" customHeight="false" outlineLevel="0" collapsed="false">
      <c r="A702" s="28"/>
      <c r="B702" s="63"/>
      <c r="C702" s="28"/>
      <c r="D702" s="64"/>
      <c r="E702" s="28"/>
      <c r="F702" s="28"/>
      <c r="G702" s="28"/>
      <c r="H702" s="28"/>
      <c r="I702" s="65" t="str">
        <f aca="false">IF($A702="","",COUNTIFS($H$2:$H$1001,$A702,$D$2:$D$1001,"Reuse"))</f>
        <v/>
      </c>
    </row>
    <row r="703" customFormat="false" ht="15" hidden="false" customHeight="false" outlineLevel="0" collapsed="false">
      <c r="A703" s="28"/>
      <c r="B703" s="63"/>
      <c r="C703" s="28"/>
      <c r="D703" s="64"/>
      <c r="E703" s="28"/>
      <c r="F703" s="28"/>
      <c r="G703" s="28"/>
      <c r="H703" s="28"/>
      <c r="I703" s="65" t="str">
        <f aca="false">IF($A703="","",COUNTIFS($H$2:$H$1001,$A703,$D$2:$D$1001,"Reuse"))</f>
        <v/>
      </c>
    </row>
    <row r="704" customFormat="false" ht="15" hidden="false" customHeight="false" outlineLevel="0" collapsed="false">
      <c r="A704" s="28"/>
      <c r="B704" s="63"/>
      <c r="C704" s="28"/>
      <c r="D704" s="64"/>
      <c r="E704" s="28"/>
      <c r="F704" s="28"/>
      <c r="G704" s="28"/>
      <c r="H704" s="28"/>
      <c r="I704" s="65" t="str">
        <f aca="false">IF($A704="","",COUNTIFS($H$2:$H$1001,$A704,$D$2:$D$1001,"Reuse"))</f>
        <v/>
      </c>
    </row>
    <row r="705" customFormat="false" ht="15" hidden="false" customHeight="false" outlineLevel="0" collapsed="false">
      <c r="A705" s="28"/>
      <c r="B705" s="63"/>
      <c r="C705" s="28"/>
      <c r="D705" s="64"/>
      <c r="E705" s="28"/>
      <c r="F705" s="28"/>
      <c r="G705" s="28"/>
      <c r="H705" s="28"/>
      <c r="I705" s="65" t="str">
        <f aca="false">IF($A705="","",COUNTIFS($H$2:$H$1001,$A705,$D$2:$D$1001,"Reuse"))</f>
        <v/>
      </c>
    </row>
    <row r="706" customFormat="false" ht="15" hidden="false" customHeight="false" outlineLevel="0" collapsed="false">
      <c r="A706" s="28"/>
      <c r="B706" s="63"/>
      <c r="C706" s="28"/>
      <c r="D706" s="64"/>
      <c r="E706" s="28"/>
      <c r="F706" s="28"/>
      <c r="G706" s="28"/>
      <c r="H706" s="28"/>
      <c r="I706" s="65" t="str">
        <f aca="false">IF($A706="","",COUNTIFS($H$2:$H$1001,$A706,$D$2:$D$1001,"Reuse"))</f>
        <v/>
      </c>
    </row>
    <row r="707" customFormat="false" ht="15" hidden="false" customHeight="false" outlineLevel="0" collapsed="false">
      <c r="A707" s="28"/>
      <c r="B707" s="63"/>
      <c r="C707" s="28"/>
      <c r="D707" s="64"/>
      <c r="E707" s="28"/>
      <c r="F707" s="28"/>
      <c r="G707" s="28"/>
      <c r="H707" s="28"/>
      <c r="I707" s="65" t="str">
        <f aca="false">IF($A707="","",COUNTIFS($H$2:$H$1001,$A707,$D$2:$D$1001,"Reuse"))</f>
        <v/>
      </c>
    </row>
    <row r="708" customFormat="false" ht="15" hidden="false" customHeight="false" outlineLevel="0" collapsed="false">
      <c r="A708" s="28"/>
      <c r="B708" s="63"/>
      <c r="C708" s="28"/>
      <c r="D708" s="64"/>
      <c r="E708" s="28"/>
      <c r="F708" s="28"/>
      <c r="G708" s="28"/>
      <c r="H708" s="28"/>
      <c r="I708" s="65" t="str">
        <f aca="false">IF($A708="","",COUNTIFS($H$2:$H$1001,$A708,$D$2:$D$1001,"Reuse"))</f>
        <v/>
      </c>
    </row>
    <row r="709" customFormat="false" ht="15" hidden="false" customHeight="false" outlineLevel="0" collapsed="false">
      <c r="A709" s="28"/>
      <c r="B709" s="63"/>
      <c r="C709" s="28"/>
      <c r="D709" s="64"/>
      <c r="E709" s="28"/>
      <c r="F709" s="28"/>
      <c r="G709" s="28"/>
      <c r="H709" s="28"/>
      <c r="I709" s="65" t="str">
        <f aca="false">IF($A709="","",COUNTIFS($H$2:$H$1001,$A709,$D$2:$D$1001,"Reuse"))</f>
        <v/>
      </c>
    </row>
    <row r="710" customFormat="false" ht="15" hidden="false" customHeight="false" outlineLevel="0" collapsed="false">
      <c r="A710" s="28"/>
      <c r="B710" s="63"/>
      <c r="C710" s="28"/>
      <c r="D710" s="64"/>
      <c r="E710" s="28"/>
      <c r="F710" s="28"/>
      <c r="G710" s="28"/>
      <c r="H710" s="28"/>
      <c r="I710" s="65" t="str">
        <f aca="false">IF($A710="","",COUNTIFS($H$2:$H$1001,$A710,$D$2:$D$1001,"Reuse"))</f>
        <v/>
      </c>
    </row>
    <row r="711" customFormat="false" ht="15" hidden="false" customHeight="false" outlineLevel="0" collapsed="false">
      <c r="A711" s="28"/>
      <c r="B711" s="63"/>
      <c r="C711" s="28"/>
      <c r="D711" s="64"/>
      <c r="E711" s="28"/>
      <c r="F711" s="28"/>
      <c r="G711" s="28"/>
      <c r="H711" s="28"/>
      <c r="I711" s="65" t="str">
        <f aca="false">IF($A711="","",COUNTIFS($H$2:$H$1001,$A711,$D$2:$D$1001,"Reuse"))</f>
        <v/>
      </c>
    </row>
    <row r="712" customFormat="false" ht="15" hidden="false" customHeight="false" outlineLevel="0" collapsed="false">
      <c r="A712" s="28"/>
      <c r="B712" s="63"/>
      <c r="C712" s="28"/>
      <c r="D712" s="64"/>
      <c r="E712" s="28"/>
      <c r="F712" s="28"/>
      <c r="G712" s="28"/>
      <c r="H712" s="28"/>
      <c r="I712" s="65" t="str">
        <f aca="false">IF($A712="","",COUNTIFS($H$2:$H$1001,$A712,$D$2:$D$1001,"Reuse"))</f>
        <v/>
      </c>
    </row>
    <row r="713" customFormat="false" ht="15" hidden="false" customHeight="false" outlineLevel="0" collapsed="false">
      <c r="A713" s="28"/>
      <c r="B713" s="63"/>
      <c r="C713" s="28"/>
      <c r="D713" s="64"/>
      <c r="E713" s="28"/>
      <c r="F713" s="28"/>
      <c r="G713" s="28"/>
      <c r="H713" s="28"/>
      <c r="I713" s="65" t="str">
        <f aca="false">IF($A713="","",COUNTIFS($H$2:$H$1001,$A713,$D$2:$D$1001,"Reuse"))</f>
        <v/>
      </c>
    </row>
    <row r="714" customFormat="false" ht="15" hidden="false" customHeight="false" outlineLevel="0" collapsed="false">
      <c r="A714" s="28"/>
      <c r="B714" s="63"/>
      <c r="C714" s="28"/>
      <c r="D714" s="64"/>
      <c r="E714" s="28"/>
      <c r="F714" s="28"/>
      <c r="G714" s="28"/>
      <c r="H714" s="28"/>
      <c r="I714" s="65" t="str">
        <f aca="false">IF($A714="","",COUNTIFS($H$2:$H$1001,$A714,$D$2:$D$1001,"Reuse"))</f>
        <v/>
      </c>
    </row>
    <row r="715" customFormat="false" ht="15" hidden="false" customHeight="false" outlineLevel="0" collapsed="false">
      <c r="A715" s="28"/>
      <c r="B715" s="63"/>
      <c r="C715" s="28"/>
      <c r="D715" s="64"/>
      <c r="E715" s="28"/>
      <c r="F715" s="28"/>
      <c r="G715" s="28"/>
      <c r="H715" s="28"/>
      <c r="I715" s="65" t="str">
        <f aca="false">IF($A715="","",COUNTIFS($H$2:$H$1001,$A715,$D$2:$D$1001,"Reuse"))</f>
        <v/>
      </c>
    </row>
    <row r="716" customFormat="false" ht="15" hidden="false" customHeight="false" outlineLevel="0" collapsed="false">
      <c r="A716" s="28"/>
      <c r="B716" s="63"/>
      <c r="C716" s="28"/>
      <c r="D716" s="64"/>
      <c r="E716" s="28"/>
      <c r="F716" s="28"/>
      <c r="G716" s="28"/>
      <c r="H716" s="28"/>
      <c r="I716" s="65" t="str">
        <f aca="false">IF($A716="","",COUNTIFS($H$2:$H$1001,$A716,$D$2:$D$1001,"Reuse"))</f>
        <v/>
      </c>
    </row>
    <row r="717" customFormat="false" ht="15" hidden="false" customHeight="false" outlineLevel="0" collapsed="false">
      <c r="A717" s="28"/>
      <c r="B717" s="63"/>
      <c r="C717" s="28"/>
      <c r="D717" s="64"/>
      <c r="E717" s="28"/>
      <c r="F717" s="28"/>
      <c r="G717" s="28"/>
      <c r="H717" s="28"/>
      <c r="I717" s="65" t="str">
        <f aca="false">IF($A717="","",COUNTIFS($H$2:$H$1001,$A717,$D$2:$D$1001,"Reuse"))</f>
        <v/>
      </c>
    </row>
    <row r="718" customFormat="false" ht="15" hidden="false" customHeight="false" outlineLevel="0" collapsed="false">
      <c r="A718" s="28"/>
      <c r="B718" s="63"/>
      <c r="C718" s="28"/>
      <c r="D718" s="64"/>
      <c r="E718" s="28"/>
      <c r="F718" s="28"/>
      <c r="G718" s="28"/>
      <c r="H718" s="28"/>
      <c r="I718" s="65" t="str">
        <f aca="false">IF($A718="","",COUNTIFS($H$2:$H$1001,$A718,$D$2:$D$1001,"Reuse"))</f>
        <v/>
      </c>
    </row>
    <row r="719" customFormat="false" ht="15" hidden="false" customHeight="false" outlineLevel="0" collapsed="false">
      <c r="A719" s="28"/>
      <c r="B719" s="63"/>
      <c r="C719" s="28"/>
      <c r="D719" s="64"/>
      <c r="E719" s="28"/>
      <c r="F719" s="28"/>
      <c r="G719" s="28"/>
      <c r="H719" s="28"/>
      <c r="I719" s="65" t="str">
        <f aca="false">IF($A719="","",COUNTIFS($H$2:$H$1001,$A719,$D$2:$D$1001,"Reuse"))</f>
        <v/>
      </c>
    </row>
    <row r="720" customFormat="false" ht="15" hidden="false" customHeight="false" outlineLevel="0" collapsed="false">
      <c r="A720" s="28"/>
      <c r="B720" s="63"/>
      <c r="C720" s="28"/>
      <c r="D720" s="64"/>
      <c r="E720" s="28"/>
      <c r="F720" s="28"/>
      <c r="G720" s="28"/>
      <c r="H720" s="28"/>
      <c r="I720" s="65" t="str">
        <f aca="false">IF($A720="","",COUNTIFS($H$2:$H$1001,$A720,$D$2:$D$1001,"Reuse"))</f>
        <v/>
      </c>
    </row>
    <row r="721" customFormat="false" ht="15" hidden="false" customHeight="false" outlineLevel="0" collapsed="false">
      <c r="A721" s="28"/>
      <c r="B721" s="63"/>
      <c r="C721" s="28"/>
      <c r="D721" s="64"/>
      <c r="E721" s="28"/>
      <c r="F721" s="28"/>
      <c r="G721" s="28"/>
      <c r="H721" s="28"/>
      <c r="I721" s="65" t="str">
        <f aca="false">IF($A721="","",COUNTIFS($H$2:$H$1001,$A721,$D$2:$D$1001,"Reuse"))</f>
        <v/>
      </c>
    </row>
    <row r="722" customFormat="false" ht="15" hidden="false" customHeight="false" outlineLevel="0" collapsed="false">
      <c r="A722" s="28"/>
      <c r="B722" s="63"/>
      <c r="C722" s="28"/>
      <c r="D722" s="64"/>
      <c r="E722" s="28"/>
      <c r="F722" s="28"/>
      <c r="G722" s="28"/>
      <c r="H722" s="28"/>
      <c r="I722" s="65" t="str">
        <f aca="false">IF($A722="","",COUNTIFS($H$2:$H$1001,$A722,$D$2:$D$1001,"Reuse"))</f>
        <v/>
      </c>
    </row>
    <row r="723" customFormat="false" ht="15" hidden="false" customHeight="false" outlineLevel="0" collapsed="false">
      <c r="A723" s="28"/>
      <c r="B723" s="63"/>
      <c r="C723" s="28"/>
      <c r="D723" s="64"/>
      <c r="E723" s="28"/>
      <c r="F723" s="28"/>
      <c r="G723" s="28"/>
      <c r="H723" s="28"/>
      <c r="I723" s="65" t="str">
        <f aca="false">IF($A723="","",COUNTIFS($H$2:$H$1001,$A723,$D$2:$D$1001,"Reuse"))</f>
        <v/>
      </c>
    </row>
    <row r="724" customFormat="false" ht="15" hidden="false" customHeight="false" outlineLevel="0" collapsed="false">
      <c r="A724" s="28"/>
      <c r="B724" s="63"/>
      <c r="C724" s="28"/>
      <c r="D724" s="64"/>
      <c r="E724" s="28"/>
      <c r="F724" s="28"/>
      <c r="G724" s="28"/>
      <c r="H724" s="28"/>
      <c r="I724" s="65" t="str">
        <f aca="false">IF($A724="","",COUNTIFS($H$2:$H$1001,$A724,$D$2:$D$1001,"Reuse"))</f>
        <v/>
      </c>
    </row>
    <row r="725" customFormat="false" ht="15" hidden="false" customHeight="false" outlineLevel="0" collapsed="false">
      <c r="A725" s="28"/>
      <c r="B725" s="63"/>
      <c r="C725" s="28"/>
      <c r="D725" s="64"/>
      <c r="E725" s="28"/>
      <c r="F725" s="28"/>
      <c r="G725" s="28"/>
      <c r="H725" s="28"/>
      <c r="I725" s="65" t="str">
        <f aca="false">IF($A725="","",COUNTIFS($H$2:$H$1001,$A725,$D$2:$D$1001,"Reuse"))</f>
        <v/>
      </c>
    </row>
    <row r="726" customFormat="false" ht="15" hidden="false" customHeight="false" outlineLevel="0" collapsed="false">
      <c r="A726" s="28"/>
      <c r="B726" s="63"/>
      <c r="C726" s="28"/>
      <c r="D726" s="64"/>
      <c r="E726" s="28"/>
      <c r="F726" s="28"/>
      <c r="G726" s="28"/>
      <c r="H726" s="28"/>
      <c r="I726" s="65" t="str">
        <f aca="false">IF($A726="","",COUNTIFS($H$2:$H$1001,$A726,$D$2:$D$1001,"Reuse"))</f>
        <v/>
      </c>
    </row>
    <row r="727" customFormat="false" ht="15" hidden="false" customHeight="false" outlineLevel="0" collapsed="false">
      <c r="A727" s="28"/>
      <c r="B727" s="63"/>
      <c r="C727" s="28"/>
      <c r="D727" s="64"/>
      <c r="E727" s="28"/>
      <c r="F727" s="28"/>
      <c r="G727" s="28"/>
      <c r="H727" s="28"/>
      <c r="I727" s="65" t="str">
        <f aca="false">IF($A727="","",COUNTIFS($H$2:$H$1001,$A727,$D$2:$D$1001,"Reuse"))</f>
        <v/>
      </c>
    </row>
    <row r="728" customFormat="false" ht="15" hidden="false" customHeight="false" outlineLevel="0" collapsed="false">
      <c r="A728" s="28"/>
      <c r="B728" s="63"/>
      <c r="C728" s="28"/>
      <c r="D728" s="64"/>
      <c r="E728" s="28"/>
      <c r="F728" s="28"/>
      <c r="G728" s="28"/>
      <c r="H728" s="28"/>
      <c r="I728" s="65" t="str">
        <f aca="false">IF($A728="","",COUNTIFS($H$2:$H$1001,$A728,$D$2:$D$1001,"Reuse"))</f>
        <v/>
      </c>
    </row>
    <row r="729" customFormat="false" ht="15" hidden="false" customHeight="false" outlineLevel="0" collapsed="false">
      <c r="A729" s="28"/>
      <c r="B729" s="63"/>
      <c r="C729" s="28"/>
      <c r="D729" s="64"/>
      <c r="E729" s="28"/>
      <c r="F729" s="28"/>
      <c r="G729" s="28"/>
      <c r="H729" s="28"/>
      <c r="I729" s="65" t="str">
        <f aca="false">IF($A729="","",COUNTIFS($H$2:$H$1001,$A729,$D$2:$D$1001,"Reuse"))</f>
        <v/>
      </c>
    </row>
    <row r="730" customFormat="false" ht="15" hidden="false" customHeight="false" outlineLevel="0" collapsed="false">
      <c r="A730" s="28"/>
      <c r="B730" s="63"/>
      <c r="C730" s="28"/>
      <c r="D730" s="64"/>
      <c r="E730" s="28"/>
      <c r="F730" s="28"/>
      <c r="G730" s="28"/>
      <c r="H730" s="28"/>
      <c r="I730" s="65" t="str">
        <f aca="false">IF($A730="","",COUNTIFS($H$2:$H$1001,$A730,$D$2:$D$1001,"Reuse"))</f>
        <v/>
      </c>
    </row>
    <row r="731" customFormat="false" ht="15" hidden="false" customHeight="false" outlineLevel="0" collapsed="false">
      <c r="A731" s="28"/>
      <c r="B731" s="63"/>
      <c r="C731" s="28"/>
      <c r="D731" s="64"/>
      <c r="E731" s="28"/>
      <c r="F731" s="28"/>
      <c r="G731" s="28"/>
      <c r="H731" s="28"/>
      <c r="I731" s="65" t="str">
        <f aca="false">IF($A731="","",COUNTIFS($H$2:$H$1001,$A731,$D$2:$D$1001,"Reuse"))</f>
        <v/>
      </c>
    </row>
    <row r="732" customFormat="false" ht="15" hidden="false" customHeight="false" outlineLevel="0" collapsed="false">
      <c r="A732" s="28"/>
      <c r="B732" s="63"/>
      <c r="C732" s="28"/>
      <c r="D732" s="64"/>
      <c r="E732" s="28"/>
      <c r="F732" s="28"/>
      <c r="G732" s="28"/>
      <c r="H732" s="28"/>
      <c r="I732" s="65" t="str">
        <f aca="false">IF($A732="","",COUNTIFS($H$2:$H$1001,$A732,$D$2:$D$1001,"Reuse"))</f>
        <v/>
      </c>
    </row>
    <row r="733" customFormat="false" ht="15" hidden="false" customHeight="false" outlineLevel="0" collapsed="false">
      <c r="A733" s="28"/>
      <c r="B733" s="63"/>
      <c r="C733" s="28"/>
      <c r="D733" s="64"/>
      <c r="E733" s="28"/>
      <c r="F733" s="28"/>
      <c r="G733" s="28"/>
      <c r="H733" s="28"/>
      <c r="I733" s="65" t="str">
        <f aca="false">IF($A733="","",COUNTIFS($H$2:$H$1001,$A733,$D$2:$D$1001,"Reuse"))</f>
        <v/>
      </c>
    </row>
    <row r="734" customFormat="false" ht="15" hidden="false" customHeight="false" outlineLevel="0" collapsed="false">
      <c r="A734" s="28"/>
      <c r="B734" s="63"/>
      <c r="C734" s="28"/>
      <c r="D734" s="64"/>
      <c r="E734" s="28"/>
      <c r="F734" s="28"/>
      <c r="G734" s="28"/>
      <c r="H734" s="28"/>
      <c r="I734" s="65" t="str">
        <f aca="false">IF($A734="","",COUNTIFS($H$2:$H$1001,$A734,$D$2:$D$1001,"Reuse"))</f>
        <v/>
      </c>
    </row>
    <row r="735" customFormat="false" ht="15" hidden="false" customHeight="false" outlineLevel="0" collapsed="false">
      <c r="A735" s="28"/>
      <c r="B735" s="63"/>
      <c r="C735" s="28"/>
      <c r="D735" s="64"/>
      <c r="E735" s="28"/>
      <c r="F735" s="28"/>
      <c r="G735" s="28"/>
      <c r="H735" s="28"/>
      <c r="I735" s="65" t="str">
        <f aca="false">IF($A735="","",COUNTIFS($H$2:$H$1001,$A735,$D$2:$D$1001,"Reuse"))</f>
        <v/>
      </c>
    </row>
    <row r="736" customFormat="false" ht="15" hidden="false" customHeight="false" outlineLevel="0" collapsed="false">
      <c r="A736" s="28"/>
      <c r="B736" s="63"/>
      <c r="C736" s="28"/>
      <c r="D736" s="64"/>
      <c r="E736" s="28"/>
      <c r="F736" s="28"/>
      <c r="G736" s="28"/>
      <c r="H736" s="28"/>
      <c r="I736" s="65" t="str">
        <f aca="false">IF($A736="","",COUNTIFS($H$2:$H$1001,$A736,$D$2:$D$1001,"Reuse"))</f>
        <v/>
      </c>
    </row>
    <row r="737" customFormat="false" ht="15" hidden="false" customHeight="false" outlineLevel="0" collapsed="false">
      <c r="A737" s="28"/>
      <c r="B737" s="63"/>
      <c r="C737" s="28"/>
      <c r="D737" s="64"/>
      <c r="E737" s="28"/>
      <c r="F737" s="28"/>
      <c r="G737" s="28"/>
      <c r="H737" s="28"/>
      <c r="I737" s="65" t="str">
        <f aca="false">IF($A737="","",COUNTIFS($H$2:$H$1001,$A737,$D$2:$D$1001,"Reuse"))</f>
        <v/>
      </c>
    </row>
    <row r="738" customFormat="false" ht="15" hidden="false" customHeight="false" outlineLevel="0" collapsed="false">
      <c r="A738" s="28"/>
      <c r="B738" s="63"/>
      <c r="C738" s="28"/>
      <c r="D738" s="64"/>
      <c r="E738" s="28"/>
      <c r="F738" s="28"/>
      <c r="G738" s="28"/>
      <c r="H738" s="28"/>
      <c r="I738" s="65" t="str">
        <f aca="false">IF($A738="","",COUNTIFS($H$2:$H$1001,$A738,$D$2:$D$1001,"Reuse"))</f>
        <v/>
      </c>
    </row>
    <row r="739" customFormat="false" ht="15" hidden="false" customHeight="false" outlineLevel="0" collapsed="false">
      <c r="A739" s="28"/>
      <c r="B739" s="63"/>
      <c r="C739" s="28"/>
      <c r="D739" s="64"/>
      <c r="E739" s="28"/>
      <c r="F739" s="28"/>
      <c r="G739" s="28"/>
      <c r="H739" s="28"/>
      <c r="I739" s="65" t="str">
        <f aca="false">IF($A739="","",COUNTIFS($H$2:$H$1001,$A739,$D$2:$D$1001,"Reuse"))</f>
        <v/>
      </c>
    </row>
    <row r="740" customFormat="false" ht="15" hidden="false" customHeight="false" outlineLevel="0" collapsed="false">
      <c r="A740" s="28"/>
      <c r="B740" s="63"/>
      <c r="C740" s="28"/>
      <c r="D740" s="64"/>
      <c r="E740" s="28"/>
      <c r="F740" s="28"/>
      <c r="G740" s="28"/>
      <c r="H740" s="28"/>
      <c r="I740" s="65" t="str">
        <f aca="false">IF($A740="","",COUNTIFS($H$2:$H$1001,$A740,$D$2:$D$1001,"Reuse"))</f>
        <v/>
      </c>
    </row>
    <row r="741" customFormat="false" ht="15" hidden="false" customHeight="false" outlineLevel="0" collapsed="false">
      <c r="A741" s="28"/>
      <c r="B741" s="63"/>
      <c r="C741" s="28"/>
      <c r="D741" s="64"/>
      <c r="E741" s="28"/>
      <c r="F741" s="28"/>
      <c r="G741" s="28"/>
      <c r="H741" s="28"/>
      <c r="I741" s="65" t="str">
        <f aca="false">IF($A741="","",COUNTIFS($H$2:$H$1001,$A741,$D$2:$D$1001,"Reuse"))</f>
        <v/>
      </c>
    </row>
    <row r="742" customFormat="false" ht="15" hidden="false" customHeight="false" outlineLevel="0" collapsed="false">
      <c r="A742" s="28"/>
      <c r="B742" s="63"/>
      <c r="C742" s="28"/>
      <c r="D742" s="64"/>
      <c r="E742" s="28"/>
      <c r="F742" s="28"/>
      <c r="G742" s="28"/>
      <c r="H742" s="28"/>
      <c r="I742" s="65" t="str">
        <f aca="false">IF($A742="","",COUNTIFS($H$2:$H$1001,$A742,$D$2:$D$1001,"Reuse"))</f>
        <v/>
      </c>
    </row>
    <row r="743" customFormat="false" ht="15" hidden="false" customHeight="false" outlineLevel="0" collapsed="false">
      <c r="A743" s="28"/>
      <c r="B743" s="63"/>
      <c r="C743" s="28"/>
      <c r="D743" s="64"/>
      <c r="E743" s="28"/>
      <c r="F743" s="28"/>
      <c r="G743" s="28"/>
      <c r="H743" s="28"/>
      <c r="I743" s="65" t="str">
        <f aca="false">IF($A743="","",COUNTIFS($H$2:$H$1001,$A743,$D$2:$D$1001,"Reuse"))</f>
        <v/>
      </c>
    </row>
    <row r="744" customFormat="false" ht="15" hidden="false" customHeight="false" outlineLevel="0" collapsed="false">
      <c r="A744" s="28"/>
      <c r="B744" s="63"/>
      <c r="C744" s="28"/>
      <c r="D744" s="64"/>
      <c r="E744" s="28"/>
      <c r="F744" s="28"/>
      <c r="G744" s="28"/>
      <c r="H744" s="28"/>
      <c r="I744" s="65" t="str">
        <f aca="false">IF($A744="","",COUNTIFS($H$2:$H$1001,$A744,$D$2:$D$1001,"Reuse"))</f>
        <v/>
      </c>
    </row>
    <row r="745" customFormat="false" ht="15" hidden="false" customHeight="false" outlineLevel="0" collapsed="false">
      <c r="A745" s="28"/>
      <c r="B745" s="63"/>
      <c r="C745" s="28"/>
      <c r="D745" s="64"/>
      <c r="E745" s="28"/>
      <c r="F745" s="28"/>
      <c r="G745" s="28"/>
      <c r="H745" s="28"/>
      <c r="I745" s="65" t="str">
        <f aca="false">IF($A745="","",COUNTIFS($H$2:$H$1001,$A745,$D$2:$D$1001,"Reuse"))</f>
        <v/>
      </c>
    </row>
    <row r="746" customFormat="false" ht="15" hidden="false" customHeight="false" outlineLevel="0" collapsed="false">
      <c r="A746" s="28"/>
      <c r="B746" s="63"/>
      <c r="C746" s="28"/>
      <c r="D746" s="64"/>
      <c r="E746" s="28"/>
      <c r="F746" s="28"/>
      <c r="G746" s="28"/>
      <c r="H746" s="28"/>
      <c r="I746" s="65" t="str">
        <f aca="false">IF($A746="","",COUNTIFS($H$2:$H$1001,$A746,$D$2:$D$1001,"Reuse"))</f>
        <v/>
      </c>
    </row>
    <row r="747" customFormat="false" ht="15" hidden="false" customHeight="false" outlineLevel="0" collapsed="false">
      <c r="A747" s="28"/>
      <c r="B747" s="63"/>
      <c r="C747" s="28"/>
      <c r="D747" s="64"/>
      <c r="E747" s="28"/>
      <c r="F747" s="28"/>
      <c r="G747" s="28"/>
      <c r="H747" s="28"/>
      <c r="I747" s="65" t="str">
        <f aca="false">IF($A747="","",COUNTIFS($H$2:$H$1001,$A747,$D$2:$D$1001,"Reuse"))</f>
        <v/>
      </c>
    </row>
    <row r="748" customFormat="false" ht="15" hidden="false" customHeight="false" outlineLevel="0" collapsed="false">
      <c r="A748" s="28"/>
      <c r="B748" s="63"/>
      <c r="C748" s="28"/>
      <c r="D748" s="64"/>
      <c r="E748" s="28"/>
      <c r="F748" s="28"/>
      <c r="G748" s="28"/>
      <c r="H748" s="28"/>
      <c r="I748" s="65" t="str">
        <f aca="false">IF($A748="","",COUNTIFS($H$2:$H$1001,$A748,$D$2:$D$1001,"Reuse"))</f>
        <v/>
      </c>
    </row>
    <row r="749" customFormat="false" ht="15" hidden="false" customHeight="false" outlineLevel="0" collapsed="false">
      <c r="A749" s="28"/>
      <c r="B749" s="63"/>
      <c r="C749" s="28"/>
      <c r="D749" s="64"/>
      <c r="E749" s="28"/>
      <c r="F749" s="28"/>
      <c r="G749" s="28"/>
      <c r="H749" s="28"/>
      <c r="I749" s="65" t="str">
        <f aca="false">IF($A749="","",COUNTIFS($H$2:$H$1001,$A749,$D$2:$D$1001,"Reuse"))</f>
        <v/>
      </c>
    </row>
    <row r="750" customFormat="false" ht="15" hidden="false" customHeight="false" outlineLevel="0" collapsed="false">
      <c r="A750" s="28"/>
      <c r="B750" s="63"/>
      <c r="C750" s="28"/>
      <c r="D750" s="64"/>
      <c r="E750" s="28"/>
      <c r="F750" s="28"/>
      <c r="G750" s="28"/>
      <c r="H750" s="28"/>
      <c r="I750" s="65" t="str">
        <f aca="false">IF($A750="","",COUNTIFS($H$2:$H$1001,$A750,$D$2:$D$1001,"Reuse"))</f>
        <v/>
      </c>
    </row>
    <row r="751" customFormat="false" ht="15" hidden="false" customHeight="false" outlineLevel="0" collapsed="false">
      <c r="A751" s="28"/>
      <c r="B751" s="63"/>
      <c r="C751" s="28"/>
      <c r="D751" s="64"/>
      <c r="E751" s="28"/>
      <c r="F751" s="28"/>
      <c r="G751" s="28"/>
      <c r="H751" s="28"/>
      <c r="I751" s="65" t="str">
        <f aca="false">IF($A751="","",COUNTIFS($H$2:$H$1001,$A751,$D$2:$D$1001,"Reuse"))</f>
        <v/>
      </c>
    </row>
    <row r="752" customFormat="false" ht="15" hidden="false" customHeight="false" outlineLevel="0" collapsed="false">
      <c r="A752" s="28"/>
      <c r="B752" s="63"/>
      <c r="C752" s="28"/>
      <c r="D752" s="64"/>
      <c r="E752" s="28"/>
      <c r="F752" s="28"/>
      <c r="G752" s="28"/>
      <c r="H752" s="28"/>
      <c r="I752" s="65" t="str">
        <f aca="false">IF($A752="","",COUNTIFS($H$2:$H$1001,$A752,$D$2:$D$1001,"Reuse"))</f>
        <v/>
      </c>
    </row>
    <row r="753" customFormat="false" ht="15" hidden="false" customHeight="false" outlineLevel="0" collapsed="false">
      <c r="A753" s="28"/>
      <c r="B753" s="63"/>
      <c r="C753" s="28"/>
      <c r="D753" s="64"/>
      <c r="E753" s="28"/>
      <c r="F753" s="28"/>
      <c r="G753" s="28"/>
      <c r="H753" s="28"/>
      <c r="I753" s="65" t="str">
        <f aca="false">IF($A753="","",COUNTIFS($H$2:$H$1001,$A753,$D$2:$D$1001,"Reuse"))</f>
        <v/>
      </c>
    </row>
    <row r="754" customFormat="false" ht="15" hidden="false" customHeight="false" outlineLevel="0" collapsed="false">
      <c r="A754" s="28"/>
      <c r="B754" s="63"/>
      <c r="C754" s="28"/>
      <c r="D754" s="64"/>
      <c r="E754" s="28"/>
      <c r="F754" s="28"/>
      <c r="G754" s="28"/>
      <c r="H754" s="28"/>
      <c r="I754" s="65" t="str">
        <f aca="false">IF($A754="","",COUNTIFS($H$2:$H$1001,$A754,$D$2:$D$1001,"Reuse"))</f>
        <v/>
      </c>
    </row>
    <row r="755" customFormat="false" ht="15" hidden="false" customHeight="false" outlineLevel="0" collapsed="false">
      <c r="A755" s="28"/>
      <c r="B755" s="63"/>
      <c r="C755" s="28"/>
      <c r="D755" s="64"/>
      <c r="E755" s="28"/>
      <c r="F755" s="28"/>
      <c r="G755" s="28"/>
      <c r="H755" s="28"/>
      <c r="I755" s="65" t="str">
        <f aca="false">IF($A755="","",COUNTIFS($H$2:$H$1001,$A755,$D$2:$D$1001,"Reuse"))</f>
        <v/>
      </c>
    </row>
    <row r="756" customFormat="false" ht="15" hidden="false" customHeight="false" outlineLevel="0" collapsed="false">
      <c r="A756" s="28"/>
      <c r="B756" s="63"/>
      <c r="C756" s="28"/>
      <c r="D756" s="64"/>
      <c r="E756" s="28"/>
      <c r="F756" s="28"/>
      <c r="G756" s="28"/>
      <c r="H756" s="28"/>
      <c r="I756" s="65" t="str">
        <f aca="false">IF($A756="","",COUNTIFS($H$2:$H$1001,$A756,$D$2:$D$1001,"Reuse"))</f>
        <v/>
      </c>
    </row>
    <row r="757" customFormat="false" ht="15" hidden="false" customHeight="false" outlineLevel="0" collapsed="false">
      <c r="A757" s="28"/>
      <c r="B757" s="63"/>
      <c r="C757" s="28"/>
      <c r="D757" s="64"/>
      <c r="E757" s="28"/>
      <c r="F757" s="28"/>
      <c r="G757" s="28"/>
      <c r="H757" s="28"/>
      <c r="I757" s="65" t="str">
        <f aca="false">IF($A757="","",COUNTIFS($H$2:$H$1001,$A757,$D$2:$D$1001,"Reuse"))</f>
        <v/>
      </c>
    </row>
    <row r="758" customFormat="false" ht="15" hidden="false" customHeight="false" outlineLevel="0" collapsed="false">
      <c r="A758" s="28"/>
      <c r="B758" s="63"/>
      <c r="C758" s="28"/>
      <c r="D758" s="64"/>
      <c r="E758" s="28"/>
      <c r="F758" s="28"/>
      <c r="G758" s="28"/>
      <c r="H758" s="28"/>
      <c r="I758" s="65" t="str">
        <f aca="false">IF($A758="","",COUNTIFS($H$2:$H$1001,$A758,$D$2:$D$1001,"Reuse"))</f>
        <v/>
      </c>
    </row>
    <row r="759" customFormat="false" ht="15" hidden="false" customHeight="false" outlineLevel="0" collapsed="false">
      <c r="A759" s="28"/>
      <c r="B759" s="63"/>
      <c r="C759" s="28"/>
      <c r="D759" s="64"/>
      <c r="E759" s="28"/>
      <c r="F759" s="28"/>
      <c r="G759" s="28"/>
      <c r="H759" s="28"/>
      <c r="I759" s="65" t="str">
        <f aca="false">IF($A759="","",COUNTIFS($H$2:$H$1001,$A759,$D$2:$D$1001,"Reuse"))</f>
        <v/>
      </c>
    </row>
    <row r="760" customFormat="false" ht="15" hidden="false" customHeight="false" outlineLevel="0" collapsed="false">
      <c r="A760" s="28"/>
      <c r="B760" s="63"/>
      <c r="C760" s="28"/>
      <c r="D760" s="64"/>
      <c r="E760" s="28"/>
      <c r="F760" s="28"/>
      <c r="G760" s="28"/>
      <c r="H760" s="28"/>
      <c r="I760" s="65" t="str">
        <f aca="false">IF($A760="","",COUNTIFS($H$2:$H$1001,$A760,$D$2:$D$1001,"Reuse"))</f>
        <v/>
      </c>
    </row>
    <row r="761" customFormat="false" ht="15" hidden="false" customHeight="false" outlineLevel="0" collapsed="false">
      <c r="A761" s="28"/>
      <c r="B761" s="63"/>
      <c r="C761" s="28"/>
      <c r="D761" s="64"/>
      <c r="E761" s="28"/>
      <c r="F761" s="28"/>
      <c r="G761" s="28"/>
      <c r="H761" s="28"/>
      <c r="I761" s="65" t="str">
        <f aca="false">IF($A761="","",COUNTIFS($H$2:$H$1001,$A761,$D$2:$D$1001,"Reuse"))</f>
        <v/>
      </c>
    </row>
    <row r="762" customFormat="false" ht="15" hidden="false" customHeight="false" outlineLevel="0" collapsed="false">
      <c r="A762" s="28"/>
      <c r="B762" s="63"/>
      <c r="C762" s="28"/>
      <c r="D762" s="64"/>
      <c r="E762" s="28"/>
      <c r="F762" s="28"/>
      <c r="G762" s="28"/>
      <c r="H762" s="28"/>
      <c r="I762" s="65" t="str">
        <f aca="false">IF($A762="","",COUNTIFS($H$2:$H$1001,$A762,$D$2:$D$1001,"Reuse"))</f>
        <v/>
      </c>
    </row>
    <row r="763" customFormat="false" ht="15" hidden="false" customHeight="false" outlineLevel="0" collapsed="false">
      <c r="A763" s="28"/>
      <c r="B763" s="63"/>
      <c r="C763" s="28"/>
      <c r="D763" s="64"/>
      <c r="E763" s="28"/>
      <c r="F763" s="28"/>
      <c r="G763" s="28"/>
      <c r="H763" s="28"/>
      <c r="I763" s="65" t="str">
        <f aca="false">IF($A763="","",COUNTIFS($H$2:$H$1001,$A763,$D$2:$D$1001,"Reuse"))</f>
        <v/>
      </c>
    </row>
    <row r="764" customFormat="false" ht="15" hidden="false" customHeight="false" outlineLevel="0" collapsed="false">
      <c r="A764" s="28"/>
      <c r="B764" s="63"/>
      <c r="C764" s="28"/>
      <c r="D764" s="64"/>
      <c r="E764" s="28"/>
      <c r="F764" s="28"/>
      <c r="G764" s="28"/>
      <c r="H764" s="28"/>
      <c r="I764" s="65" t="str">
        <f aca="false">IF($A764="","",COUNTIFS($H$2:$H$1001,$A764,$D$2:$D$1001,"Reuse"))</f>
        <v/>
      </c>
    </row>
    <row r="765" customFormat="false" ht="15" hidden="false" customHeight="false" outlineLevel="0" collapsed="false">
      <c r="A765" s="28"/>
      <c r="B765" s="63"/>
      <c r="C765" s="28"/>
      <c r="D765" s="64"/>
      <c r="E765" s="28"/>
      <c r="F765" s="28"/>
      <c r="G765" s="28"/>
      <c r="H765" s="28"/>
      <c r="I765" s="65" t="str">
        <f aca="false">IF($A765="","",COUNTIFS($H$2:$H$1001,$A765,$D$2:$D$1001,"Reuse"))</f>
        <v/>
      </c>
    </row>
    <row r="766" customFormat="false" ht="15" hidden="false" customHeight="false" outlineLevel="0" collapsed="false">
      <c r="A766" s="28"/>
      <c r="B766" s="63"/>
      <c r="C766" s="28"/>
      <c r="D766" s="64"/>
      <c r="E766" s="28"/>
      <c r="F766" s="28"/>
      <c r="G766" s="28"/>
      <c r="H766" s="28"/>
      <c r="I766" s="65" t="str">
        <f aca="false">IF($A766="","",COUNTIFS($H$2:$H$1001,$A766,$D$2:$D$1001,"Reuse"))</f>
        <v/>
      </c>
    </row>
    <row r="767" customFormat="false" ht="15" hidden="false" customHeight="false" outlineLevel="0" collapsed="false">
      <c r="A767" s="28"/>
      <c r="B767" s="63"/>
      <c r="C767" s="28"/>
      <c r="D767" s="64"/>
      <c r="E767" s="28"/>
      <c r="F767" s="28"/>
      <c r="G767" s="28"/>
      <c r="H767" s="28"/>
      <c r="I767" s="65" t="str">
        <f aca="false">IF($A767="","",COUNTIFS($H$2:$H$1001,$A767,$D$2:$D$1001,"Reuse"))</f>
        <v/>
      </c>
    </row>
    <row r="768" customFormat="false" ht="15" hidden="false" customHeight="false" outlineLevel="0" collapsed="false">
      <c r="A768" s="28"/>
      <c r="B768" s="63"/>
      <c r="C768" s="28"/>
      <c r="D768" s="64"/>
      <c r="E768" s="28"/>
      <c r="F768" s="28"/>
      <c r="G768" s="28"/>
      <c r="H768" s="28"/>
      <c r="I768" s="65" t="str">
        <f aca="false">IF($A768="","",COUNTIFS($H$2:$H$1001,$A768,$D$2:$D$1001,"Reuse"))</f>
        <v/>
      </c>
    </row>
    <row r="769" customFormat="false" ht="15" hidden="false" customHeight="false" outlineLevel="0" collapsed="false">
      <c r="A769" s="28"/>
      <c r="B769" s="63"/>
      <c r="C769" s="28"/>
      <c r="D769" s="64"/>
      <c r="E769" s="28"/>
      <c r="F769" s="28"/>
      <c r="G769" s="28"/>
      <c r="H769" s="28"/>
      <c r="I769" s="65" t="str">
        <f aca="false">IF($A769="","",COUNTIFS($H$2:$H$1001,$A769,$D$2:$D$1001,"Reuse"))</f>
        <v/>
      </c>
    </row>
    <row r="770" customFormat="false" ht="15" hidden="false" customHeight="false" outlineLevel="0" collapsed="false">
      <c r="A770" s="28"/>
      <c r="B770" s="63"/>
      <c r="C770" s="28"/>
      <c r="D770" s="64"/>
      <c r="E770" s="28"/>
      <c r="F770" s="28"/>
      <c r="G770" s="28"/>
      <c r="H770" s="28"/>
      <c r="I770" s="65" t="str">
        <f aca="false">IF($A770="","",COUNTIFS($H$2:$H$1001,$A770,$D$2:$D$1001,"Reuse"))</f>
        <v/>
      </c>
    </row>
    <row r="771" customFormat="false" ht="15" hidden="false" customHeight="false" outlineLevel="0" collapsed="false">
      <c r="A771" s="28"/>
      <c r="B771" s="63"/>
      <c r="C771" s="28"/>
      <c r="D771" s="64"/>
      <c r="E771" s="28"/>
      <c r="F771" s="28"/>
      <c r="G771" s="28"/>
      <c r="H771" s="28"/>
      <c r="I771" s="65" t="str">
        <f aca="false">IF($A771="","",COUNTIFS($H$2:$H$1001,$A771,$D$2:$D$1001,"Reuse"))</f>
        <v/>
      </c>
    </row>
    <row r="772" customFormat="false" ht="15" hidden="false" customHeight="false" outlineLevel="0" collapsed="false">
      <c r="A772" s="28"/>
      <c r="B772" s="63"/>
      <c r="C772" s="28"/>
      <c r="D772" s="64"/>
      <c r="E772" s="28"/>
      <c r="F772" s="28"/>
      <c r="G772" s="28"/>
      <c r="H772" s="28"/>
      <c r="I772" s="65" t="str">
        <f aca="false">IF($A772="","",COUNTIFS($H$2:$H$1001,$A772,$D$2:$D$1001,"Reuse"))</f>
        <v/>
      </c>
    </row>
    <row r="773" customFormat="false" ht="15" hidden="false" customHeight="false" outlineLevel="0" collapsed="false">
      <c r="A773" s="28"/>
      <c r="B773" s="63"/>
      <c r="C773" s="28"/>
      <c r="D773" s="64"/>
      <c r="E773" s="28"/>
      <c r="F773" s="28"/>
      <c r="G773" s="28"/>
      <c r="H773" s="28"/>
      <c r="I773" s="65" t="str">
        <f aca="false">IF($A773="","",COUNTIFS($H$2:$H$1001,$A773,$D$2:$D$1001,"Reuse"))</f>
        <v/>
      </c>
    </row>
    <row r="774" customFormat="false" ht="15" hidden="false" customHeight="false" outlineLevel="0" collapsed="false">
      <c r="A774" s="28"/>
      <c r="B774" s="63"/>
      <c r="C774" s="28"/>
      <c r="D774" s="64"/>
      <c r="E774" s="28"/>
      <c r="F774" s="28"/>
      <c r="G774" s="28"/>
      <c r="H774" s="28"/>
      <c r="I774" s="65" t="str">
        <f aca="false">IF($A774="","",COUNTIFS($H$2:$H$1001,$A774,$D$2:$D$1001,"Reuse"))</f>
        <v/>
      </c>
    </row>
    <row r="775" customFormat="false" ht="15" hidden="false" customHeight="false" outlineLevel="0" collapsed="false">
      <c r="A775" s="28"/>
      <c r="B775" s="63"/>
      <c r="C775" s="28"/>
      <c r="D775" s="64"/>
      <c r="E775" s="28"/>
      <c r="F775" s="28"/>
      <c r="G775" s="28"/>
      <c r="H775" s="28"/>
      <c r="I775" s="65" t="str">
        <f aca="false">IF($A775="","",COUNTIFS($H$2:$H$1001,$A775,$D$2:$D$1001,"Reuse"))</f>
        <v/>
      </c>
    </row>
    <row r="776" customFormat="false" ht="15" hidden="false" customHeight="false" outlineLevel="0" collapsed="false">
      <c r="A776" s="28"/>
      <c r="B776" s="63"/>
      <c r="C776" s="28"/>
      <c r="D776" s="64"/>
      <c r="E776" s="28"/>
      <c r="F776" s="28"/>
      <c r="G776" s="28"/>
      <c r="H776" s="28"/>
      <c r="I776" s="65" t="str">
        <f aca="false">IF($A776="","",COUNTIFS($H$2:$H$1001,$A776,$D$2:$D$1001,"Reuse"))</f>
        <v/>
      </c>
    </row>
    <row r="777" customFormat="false" ht="15" hidden="false" customHeight="false" outlineLevel="0" collapsed="false">
      <c r="A777" s="28"/>
      <c r="B777" s="63"/>
      <c r="C777" s="28"/>
      <c r="D777" s="64"/>
      <c r="E777" s="28"/>
      <c r="F777" s="28"/>
      <c r="G777" s="28"/>
      <c r="H777" s="28"/>
      <c r="I777" s="65" t="str">
        <f aca="false">IF($A777="","",COUNTIFS($H$2:$H$1001,$A777,$D$2:$D$1001,"Reuse"))</f>
        <v/>
      </c>
    </row>
    <row r="778" customFormat="false" ht="15" hidden="false" customHeight="false" outlineLevel="0" collapsed="false">
      <c r="A778" s="28"/>
      <c r="B778" s="63"/>
      <c r="C778" s="28"/>
      <c r="D778" s="64"/>
      <c r="E778" s="28"/>
      <c r="F778" s="28"/>
      <c r="G778" s="28"/>
      <c r="H778" s="28"/>
      <c r="I778" s="65" t="str">
        <f aca="false">IF($A778="","",COUNTIFS($H$2:$H$1001,$A778,$D$2:$D$1001,"Reuse"))</f>
        <v/>
      </c>
    </row>
    <row r="779" customFormat="false" ht="15" hidden="false" customHeight="false" outlineLevel="0" collapsed="false">
      <c r="A779" s="28"/>
      <c r="B779" s="63"/>
      <c r="C779" s="28"/>
      <c r="D779" s="64"/>
      <c r="E779" s="28"/>
      <c r="F779" s="28"/>
      <c r="G779" s="28"/>
      <c r="H779" s="28"/>
      <c r="I779" s="65" t="str">
        <f aca="false">IF($A779="","",COUNTIFS($H$2:$H$1001,$A779,$D$2:$D$1001,"Reuse"))</f>
        <v/>
      </c>
    </row>
    <row r="780" customFormat="false" ht="15" hidden="false" customHeight="false" outlineLevel="0" collapsed="false">
      <c r="A780" s="28"/>
      <c r="B780" s="63"/>
      <c r="C780" s="28"/>
      <c r="D780" s="64"/>
      <c r="E780" s="28"/>
      <c r="F780" s="28"/>
      <c r="G780" s="28"/>
      <c r="H780" s="28"/>
      <c r="I780" s="65" t="str">
        <f aca="false">IF($A780="","",COUNTIFS($H$2:$H$1001,$A780,$D$2:$D$1001,"Reuse"))</f>
        <v/>
      </c>
    </row>
    <row r="781" customFormat="false" ht="15" hidden="false" customHeight="false" outlineLevel="0" collapsed="false">
      <c r="A781" s="28"/>
      <c r="B781" s="63"/>
      <c r="C781" s="28"/>
      <c r="D781" s="64"/>
      <c r="E781" s="28"/>
      <c r="F781" s="28"/>
      <c r="G781" s="28"/>
      <c r="H781" s="28"/>
      <c r="I781" s="65" t="str">
        <f aca="false">IF($A781="","",COUNTIFS($H$2:$H$1001,$A781,$D$2:$D$1001,"Reuse"))</f>
        <v/>
      </c>
    </row>
    <row r="782" customFormat="false" ht="15" hidden="false" customHeight="false" outlineLevel="0" collapsed="false">
      <c r="A782" s="28"/>
      <c r="B782" s="63"/>
      <c r="C782" s="28"/>
      <c r="D782" s="64"/>
      <c r="E782" s="28"/>
      <c r="F782" s="28"/>
      <c r="G782" s="28"/>
      <c r="H782" s="28"/>
      <c r="I782" s="65" t="str">
        <f aca="false">IF($A782="","",COUNTIFS($H$2:$H$1001,$A782,$D$2:$D$1001,"Reuse"))</f>
        <v/>
      </c>
    </row>
    <row r="783" customFormat="false" ht="15" hidden="false" customHeight="false" outlineLevel="0" collapsed="false">
      <c r="A783" s="28"/>
      <c r="B783" s="63"/>
      <c r="C783" s="28"/>
      <c r="D783" s="64"/>
      <c r="E783" s="28"/>
      <c r="F783" s="28"/>
      <c r="G783" s="28"/>
      <c r="H783" s="28"/>
      <c r="I783" s="65" t="str">
        <f aca="false">IF($A783="","",COUNTIFS($H$2:$H$1001,$A783,$D$2:$D$1001,"Reuse"))</f>
        <v/>
      </c>
    </row>
    <row r="784" customFormat="false" ht="15" hidden="false" customHeight="false" outlineLevel="0" collapsed="false">
      <c r="A784" s="28"/>
      <c r="B784" s="63"/>
      <c r="C784" s="28"/>
      <c r="D784" s="64"/>
      <c r="E784" s="28"/>
      <c r="F784" s="28"/>
      <c r="G784" s="28"/>
      <c r="H784" s="28"/>
      <c r="I784" s="65" t="str">
        <f aca="false">IF($A784="","",COUNTIFS($H$2:$H$1001,$A784,$D$2:$D$1001,"Reuse"))</f>
        <v/>
      </c>
    </row>
    <row r="785" customFormat="false" ht="15" hidden="false" customHeight="false" outlineLevel="0" collapsed="false">
      <c r="A785" s="28"/>
      <c r="B785" s="63"/>
      <c r="C785" s="28"/>
      <c r="D785" s="64"/>
      <c r="E785" s="28"/>
      <c r="F785" s="28"/>
      <c r="G785" s="28"/>
      <c r="H785" s="28"/>
      <c r="I785" s="65" t="str">
        <f aca="false">IF($A785="","",COUNTIFS($H$2:$H$1001,$A785,$D$2:$D$1001,"Reuse"))</f>
        <v/>
      </c>
    </row>
    <row r="786" customFormat="false" ht="15" hidden="false" customHeight="false" outlineLevel="0" collapsed="false">
      <c r="A786" s="28"/>
      <c r="B786" s="63"/>
      <c r="C786" s="28"/>
      <c r="D786" s="64"/>
      <c r="E786" s="28"/>
      <c r="F786" s="28"/>
      <c r="G786" s="28"/>
      <c r="H786" s="28"/>
      <c r="I786" s="65" t="str">
        <f aca="false">IF($A786="","",COUNTIFS($H$2:$H$1001,$A786,$D$2:$D$1001,"Reuse"))</f>
        <v/>
      </c>
    </row>
    <row r="787" customFormat="false" ht="15" hidden="false" customHeight="false" outlineLevel="0" collapsed="false">
      <c r="A787" s="28"/>
      <c r="B787" s="63"/>
      <c r="C787" s="28"/>
      <c r="D787" s="64"/>
      <c r="E787" s="28"/>
      <c r="F787" s="28"/>
      <c r="G787" s="28"/>
      <c r="H787" s="28"/>
      <c r="I787" s="65" t="str">
        <f aca="false">IF($A787="","",COUNTIFS($H$2:$H$1001,$A787,$D$2:$D$1001,"Reuse"))</f>
        <v/>
      </c>
    </row>
    <row r="788" customFormat="false" ht="15" hidden="false" customHeight="false" outlineLevel="0" collapsed="false">
      <c r="A788" s="28"/>
      <c r="B788" s="63"/>
      <c r="C788" s="28"/>
      <c r="D788" s="64"/>
      <c r="E788" s="28"/>
      <c r="F788" s="28"/>
      <c r="G788" s="28"/>
      <c r="H788" s="28"/>
      <c r="I788" s="65" t="str">
        <f aca="false">IF($A788="","",COUNTIFS($H$2:$H$1001,$A788,$D$2:$D$1001,"Reuse"))</f>
        <v/>
      </c>
    </row>
    <row r="789" customFormat="false" ht="15" hidden="false" customHeight="false" outlineLevel="0" collapsed="false">
      <c r="A789" s="28"/>
      <c r="B789" s="63"/>
      <c r="C789" s="28"/>
      <c r="D789" s="64"/>
      <c r="E789" s="28"/>
      <c r="F789" s="28"/>
      <c r="G789" s="28"/>
      <c r="H789" s="28"/>
      <c r="I789" s="65" t="str">
        <f aca="false">IF($A789="","",COUNTIFS($H$2:$H$1001,$A789,$D$2:$D$1001,"Reuse"))</f>
        <v/>
      </c>
    </row>
    <row r="790" customFormat="false" ht="15" hidden="false" customHeight="false" outlineLevel="0" collapsed="false">
      <c r="A790" s="28"/>
      <c r="B790" s="63"/>
      <c r="C790" s="28"/>
      <c r="D790" s="64"/>
      <c r="E790" s="28"/>
      <c r="F790" s="28"/>
      <c r="G790" s="28"/>
      <c r="H790" s="28"/>
      <c r="I790" s="65" t="str">
        <f aca="false">IF($A790="","",COUNTIFS($H$2:$H$1001,$A790,$D$2:$D$1001,"Reuse"))</f>
        <v/>
      </c>
    </row>
    <row r="791" customFormat="false" ht="15" hidden="false" customHeight="false" outlineLevel="0" collapsed="false">
      <c r="A791" s="28"/>
      <c r="B791" s="63"/>
      <c r="C791" s="28"/>
      <c r="D791" s="64"/>
      <c r="E791" s="28"/>
      <c r="F791" s="28"/>
      <c r="G791" s="28"/>
      <c r="H791" s="28"/>
      <c r="I791" s="65" t="str">
        <f aca="false">IF($A791="","",COUNTIFS($H$2:$H$1001,$A791,$D$2:$D$1001,"Reuse"))</f>
        <v/>
      </c>
    </row>
    <row r="792" customFormat="false" ht="15" hidden="false" customHeight="false" outlineLevel="0" collapsed="false">
      <c r="A792" s="28"/>
      <c r="B792" s="63"/>
      <c r="C792" s="28"/>
      <c r="D792" s="64"/>
      <c r="E792" s="28"/>
      <c r="F792" s="28"/>
      <c r="G792" s="28"/>
      <c r="H792" s="28"/>
      <c r="I792" s="65" t="str">
        <f aca="false">IF($A792="","",COUNTIFS($H$2:$H$1001,$A792,$D$2:$D$1001,"Reuse"))</f>
        <v/>
      </c>
    </row>
    <row r="793" customFormat="false" ht="15" hidden="false" customHeight="false" outlineLevel="0" collapsed="false">
      <c r="A793" s="28"/>
      <c r="B793" s="63"/>
      <c r="C793" s="28"/>
      <c r="D793" s="64"/>
      <c r="E793" s="28"/>
      <c r="F793" s="28"/>
      <c r="G793" s="28"/>
      <c r="H793" s="28"/>
      <c r="I793" s="65" t="str">
        <f aca="false">IF($A793="","",COUNTIFS($H$2:$H$1001,$A793,$D$2:$D$1001,"Reuse"))</f>
        <v/>
      </c>
    </row>
    <row r="794" customFormat="false" ht="15" hidden="false" customHeight="false" outlineLevel="0" collapsed="false">
      <c r="A794" s="28"/>
      <c r="B794" s="63"/>
      <c r="C794" s="28"/>
      <c r="D794" s="64"/>
      <c r="E794" s="28"/>
      <c r="F794" s="28"/>
      <c r="G794" s="28"/>
      <c r="H794" s="28"/>
      <c r="I794" s="65" t="str">
        <f aca="false">IF($A794="","",COUNTIFS($H$2:$H$1001,$A794,$D$2:$D$1001,"Reuse"))</f>
        <v/>
      </c>
    </row>
    <row r="795" customFormat="false" ht="15" hidden="false" customHeight="false" outlineLevel="0" collapsed="false">
      <c r="A795" s="28"/>
      <c r="B795" s="63"/>
      <c r="C795" s="28"/>
      <c r="D795" s="64"/>
      <c r="E795" s="28"/>
      <c r="F795" s="28"/>
      <c r="G795" s="28"/>
      <c r="H795" s="28"/>
      <c r="I795" s="65" t="str">
        <f aca="false">IF($A795="","",COUNTIFS($H$2:$H$1001,$A795,$D$2:$D$1001,"Reuse"))</f>
        <v/>
      </c>
    </row>
    <row r="796" customFormat="false" ht="15" hidden="false" customHeight="false" outlineLevel="0" collapsed="false">
      <c r="A796" s="28"/>
      <c r="B796" s="63"/>
      <c r="C796" s="28"/>
      <c r="D796" s="64"/>
      <c r="E796" s="28"/>
      <c r="F796" s="28"/>
      <c r="G796" s="28"/>
      <c r="H796" s="28"/>
      <c r="I796" s="65" t="str">
        <f aca="false">IF($A796="","",COUNTIFS($H$2:$H$1001,$A796,$D$2:$D$1001,"Reuse"))</f>
        <v/>
      </c>
    </row>
    <row r="797" customFormat="false" ht="15" hidden="false" customHeight="false" outlineLevel="0" collapsed="false">
      <c r="A797" s="28"/>
      <c r="B797" s="63"/>
      <c r="C797" s="28"/>
      <c r="D797" s="64"/>
      <c r="E797" s="28"/>
      <c r="F797" s="28"/>
      <c r="G797" s="28"/>
      <c r="H797" s="28"/>
      <c r="I797" s="65" t="str">
        <f aca="false">IF($A797="","",COUNTIFS($H$2:$H$1001,$A797,$D$2:$D$1001,"Reuse"))</f>
        <v/>
      </c>
    </row>
    <row r="798" customFormat="false" ht="15" hidden="false" customHeight="false" outlineLevel="0" collapsed="false">
      <c r="A798" s="28"/>
      <c r="B798" s="63"/>
      <c r="C798" s="28"/>
      <c r="D798" s="64"/>
      <c r="E798" s="28"/>
      <c r="F798" s="28"/>
      <c r="G798" s="28"/>
      <c r="H798" s="28"/>
      <c r="I798" s="65" t="str">
        <f aca="false">IF($A798="","",COUNTIFS($H$2:$H$1001,$A798,$D$2:$D$1001,"Reuse"))</f>
        <v/>
      </c>
    </row>
    <row r="799" customFormat="false" ht="15" hidden="false" customHeight="false" outlineLevel="0" collapsed="false">
      <c r="A799" s="28"/>
      <c r="B799" s="63"/>
      <c r="C799" s="28"/>
      <c r="D799" s="64"/>
      <c r="E799" s="28"/>
      <c r="F799" s="28"/>
      <c r="G799" s="28"/>
      <c r="H799" s="28"/>
      <c r="I799" s="65" t="str">
        <f aca="false">IF($A799="","",COUNTIFS($H$2:$H$1001,$A799,$D$2:$D$1001,"Reuse"))</f>
        <v/>
      </c>
    </row>
    <row r="800" customFormat="false" ht="15" hidden="false" customHeight="false" outlineLevel="0" collapsed="false">
      <c r="A800" s="28"/>
      <c r="B800" s="63"/>
      <c r="C800" s="28"/>
      <c r="D800" s="64"/>
      <c r="E800" s="28"/>
      <c r="F800" s="28"/>
      <c r="G800" s="28"/>
      <c r="H800" s="28"/>
      <c r="I800" s="65" t="str">
        <f aca="false">IF($A800="","",COUNTIFS($H$2:$H$1001,$A800,$D$2:$D$1001,"Reuse"))</f>
        <v/>
      </c>
    </row>
    <row r="801" customFormat="false" ht="15" hidden="false" customHeight="false" outlineLevel="0" collapsed="false">
      <c r="A801" s="28"/>
      <c r="B801" s="63"/>
      <c r="C801" s="28"/>
      <c r="D801" s="64"/>
      <c r="E801" s="28"/>
      <c r="F801" s="28"/>
      <c r="G801" s="28"/>
      <c r="H801" s="28"/>
      <c r="I801" s="65" t="str">
        <f aca="false">IF($A801="","",COUNTIFS($H$2:$H$1001,$A801,$D$2:$D$1001,"Reuse"))</f>
        <v/>
      </c>
    </row>
    <row r="802" customFormat="false" ht="15" hidden="false" customHeight="false" outlineLevel="0" collapsed="false">
      <c r="A802" s="28"/>
      <c r="B802" s="63"/>
      <c r="C802" s="28"/>
      <c r="D802" s="64"/>
      <c r="E802" s="28"/>
      <c r="F802" s="28"/>
      <c r="G802" s="28"/>
      <c r="H802" s="28"/>
      <c r="I802" s="65" t="str">
        <f aca="false">IF($A802="","",COUNTIFS($H$2:$H$1001,$A802,$D$2:$D$1001,"Reuse"))</f>
        <v/>
      </c>
    </row>
    <row r="803" customFormat="false" ht="15" hidden="false" customHeight="false" outlineLevel="0" collapsed="false">
      <c r="A803" s="28"/>
      <c r="B803" s="63"/>
      <c r="C803" s="28"/>
      <c r="D803" s="64"/>
      <c r="E803" s="28"/>
      <c r="F803" s="28"/>
      <c r="G803" s="28"/>
      <c r="H803" s="28"/>
      <c r="I803" s="65" t="str">
        <f aca="false">IF($A803="","",COUNTIFS($H$2:$H$1001,$A803,$D$2:$D$1001,"Reuse"))</f>
        <v/>
      </c>
    </row>
    <row r="804" customFormat="false" ht="15" hidden="false" customHeight="false" outlineLevel="0" collapsed="false">
      <c r="A804" s="28"/>
      <c r="B804" s="63"/>
      <c r="C804" s="28"/>
      <c r="D804" s="64"/>
      <c r="E804" s="28"/>
      <c r="F804" s="28"/>
      <c r="G804" s="28"/>
      <c r="H804" s="28"/>
      <c r="I804" s="65" t="str">
        <f aca="false">IF($A804="","",COUNTIFS($H$2:$H$1001,$A804,$D$2:$D$1001,"Reuse"))</f>
        <v/>
      </c>
    </row>
    <row r="805" customFormat="false" ht="15" hidden="false" customHeight="false" outlineLevel="0" collapsed="false">
      <c r="A805" s="28"/>
      <c r="B805" s="63"/>
      <c r="C805" s="28"/>
      <c r="D805" s="64"/>
      <c r="E805" s="28"/>
      <c r="F805" s="28"/>
      <c r="G805" s="28"/>
      <c r="H805" s="28"/>
      <c r="I805" s="65" t="str">
        <f aca="false">IF($A805="","",COUNTIFS($H$2:$H$1001,$A805,$D$2:$D$1001,"Reuse"))</f>
        <v/>
      </c>
    </row>
    <row r="806" customFormat="false" ht="15" hidden="false" customHeight="false" outlineLevel="0" collapsed="false">
      <c r="A806" s="28"/>
      <c r="B806" s="63"/>
      <c r="C806" s="28"/>
      <c r="D806" s="64"/>
      <c r="E806" s="28"/>
      <c r="F806" s="28"/>
      <c r="G806" s="28"/>
      <c r="H806" s="28"/>
      <c r="I806" s="65" t="str">
        <f aca="false">IF($A806="","",COUNTIFS($H$2:$H$1001,$A806,$D$2:$D$1001,"Reuse"))</f>
        <v/>
      </c>
    </row>
    <row r="807" customFormat="false" ht="15" hidden="false" customHeight="false" outlineLevel="0" collapsed="false">
      <c r="A807" s="28"/>
      <c r="B807" s="63"/>
      <c r="C807" s="28"/>
      <c r="D807" s="64"/>
      <c r="E807" s="28"/>
      <c r="F807" s="28"/>
      <c r="G807" s="28"/>
      <c r="H807" s="28"/>
      <c r="I807" s="65" t="str">
        <f aca="false">IF($A807="","",COUNTIFS($H$2:$H$1001,$A807,$D$2:$D$1001,"Reuse"))</f>
        <v/>
      </c>
    </row>
    <row r="808" customFormat="false" ht="15" hidden="false" customHeight="false" outlineLevel="0" collapsed="false">
      <c r="A808" s="28"/>
      <c r="B808" s="63"/>
      <c r="C808" s="28"/>
      <c r="D808" s="64"/>
      <c r="E808" s="28"/>
      <c r="F808" s="28"/>
      <c r="G808" s="28"/>
      <c r="H808" s="28"/>
      <c r="I808" s="65" t="str">
        <f aca="false">IF($A808="","",COUNTIFS($H$2:$H$1001,$A808,$D$2:$D$1001,"Reuse"))</f>
        <v/>
      </c>
    </row>
    <row r="809" customFormat="false" ht="15" hidden="false" customHeight="false" outlineLevel="0" collapsed="false">
      <c r="A809" s="28"/>
      <c r="B809" s="63"/>
      <c r="C809" s="28"/>
      <c r="D809" s="64"/>
      <c r="E809" s="28"/>
      <c r="F809" s="28"/>
      <c r="G809" s="28"/>
      <c r="H809" s="28"/>
      <c r="I809" s="65" t="str">
        <f aca="false">IF($A809="","",COUNTIFS($H$2:$H$1001,$A809,$D$2:$D$1001,"Reuse"))</f>
        <v/>
      </c>
    </row>
    <row r="810" customFormat="false" ht="15" hidden="false" customHeight="false" outlineLevel="0" collapsed="false">
      <c r="A810" s="28"/>
      <c r="B810" s="63"/>
      <c r="C810" s="28"/>
      <c r="D810" s="64"/>
      <c r="E810" s="28"/>
      <c r="F810" s="28"/>
      <c r="G810" s="28"/>
      <c r="H810" s="28"/>
      <c r="I810" s="65" t="str">
        <f aca="false">IF($A810="","",COUNTIFS($H$2:$H$1001,$A810,$D$2:$D$1001,"Reuse"))</f>
        <v/>
      </c>
    </row>
    <row r="811" customFormat="false" ht="15" hidden="false" customHeight="false" outlineLevel="0" collapsed="false">
      <c r="A811" s="28"/>
      <c r="B811" s="63"/>
      <c r="C811" s="28"/>
      <c r="D811" s="64"/>
      <c r="E811" s="28"/>
      <c r="F811" s="28"/>
      <c r="G811" s="28"/>
      <c r="H811" s="28"/>
      <c r="I811" s="65" t="str">
        <f aca="false">IF($A811="","",COUNTIFS($H$2:$H$1001,$A811,$D$2:$D$1001,"Reuse"))</f>
        <v/>
      </c>
    </row>
    <row r="812" customFormat="false" ht="15" hidden="false" customHeight="false" outlineLevel="0" collapsed="false">
      <c r="A812" s="28"/>
      <c r="B812" s="63"/>
      <c r="C812" s="28"/>
      <c r="D812" s="64"/>
      <c r="E812" s="28"/>
      <c r="F812" s="28"/>
      <c r="G812" s="28"/>
      <c r="H812" s="28"/>
      <c r="I812" s="65" t="str">
        <f aca="false">IF($A812="","",COUNTIFS($H$2:$H$1001,$A812,$D$2:$D$1001,"Reuse"))</f>
        <v/>
      </c>
    </row>
    <row r="813" customFormat="false" ht="15" hidden="false" customHeight="false" outlineLevel="0" collapsed="false">
      <c r="A813" s="28"/>
      <c r="B813" s="63"/>
      <c r="C813" s="28"/>
      <c r="D813" s="64"/>
      <c r="E813" s="28"/>
      <c r="F813" s="28"/>
      <c r="G813" s="28"/>
      <c r="H813" s="28"/>
      <c r="I813" s="65" t="str">
        <f aca="false">IF($A813="","",COUNTIFS($H$2:$H$1001,$A813,$D$2:$D$1001,"Reuse"))</f>
        <v/>
      </c>
    </row>
    <row r="814" customFormat="false" ht="15" hidden="false" customHeight="false" outlineLevel="0" collapsed="false">
      <c r="A814" s="28"/>
      <c r="B814" s="63"/>
      <c r="C814" s="28"/>
      <c r="D814" s="64"/>
      <c r="E814" s="28"/>
      <c r="F814" s="28"/>
      <c r="G814" s="28"/>
      <c r="H814" s="28"/>
      <c r="I814" s="65" t="str">
        <f aca="false">IF($A814="","",COUNTIFS($H$2:$H$1001,$A814,$D$2:$D$1001,"Reuse"))</f>
        <v/>
      </c>
    </row>
    <row r="815" customFormat="false" ht="15" hidden="false" customHeight="false" outlineLevel="0" collapsed="false">
      <c r="A815" s="28"/>
      <c r="B815" s="63"/>
      <c r="C815" s="28"/>
      <c r="D815" s="64"/>
      <c r="E815" s="28"/>
      <c r="F815" s="28"/>
      <c r="G815" s="28"/>
      <c r="H815" s="28"/>
      <c r="I815" s="65" t="str">
        <f aca="false">IF($A815="","",COUNTIFS($H$2:$H$1001,$A815,$D$2:$D$1001,"Reuse"))</f>
        <v/>
      </c>
    </row>
    <row r="816" customFormat="false" ht="15" hidden="false" customHeight="false" outlineLevel="0" collapsed="false">
      <c r="A816" s="28"/>
      <c r="B816" s="63"/>
      <c r="C816" s="28"/>
      <c r="D816" s="64"/>
      <c r="E816" s="28"/>
      <c r="F816" s="28"/>
      <c r="G816" s="28"/>
      <c r="H816" s="28"/>
      <c r="I816" s="65" t="str">
        <f aca="false">IF($A816="","",COUNTIFS($H$2:$H$1001,$A816,$D$2:$D$1001,"Reuse"))</f>
        <v/>
      </c>
    </row>
    <row r="817" customFormat="false" ht="15" hidden="false" customHeight="false" outlineLevel="0" collapsed="false">
      <c r="A817" s="28"/>
      <c r="B817" s="63"/>
      <c r="C817" s="28"/>
      <c r="D817" s="64"/>
      <c r="E817" s="28"/>
      <c r="F817" s="28"/>
      <c r="G817" s="28"/>
      <c r="H817" s="28"/>
      <c r="I817" s="65" t="str">
        <f aca="false">IF($A817="","",COUNTIFS($H$2:$H$1001,$A817,$D$2:$D$1001,"Reuse"))</f>
        <v/>
      </c>
    </row>
    <row r="818" customFormat="false" ht="15" hidden="false" customHeight="false" outlineLevel="0" collapsed="false">
      <c r="A818" s="28"/>
      <c r="B818" s="63"/>
      <c r="C818" s="28"/>
      <c r="D818" s="64"/>
      <c r="E818" s="28"/>
      <c r="F818" s="28"/>
      <c r="G818" s="28"/>
      <c r="H818" s="28"/>
      <c r="I818" s="65" t="str">
        <f aca="false">IF($A818="","",COUNTIFS($H$2:$H$1001,$A818,$D$2:$D$1001,"Reuse"))</f>
        <v/>
      </c>
    </row>
    <row r="819" customFormat="false" ht="15" hidden="false" customHeight="false" outlineLevel="0" collapsed="false">
      <c r="A819" s="28"/>
      <c r="B819" s="63"/>
      <c r="C819" s="28"/>
      <c r="D819" s="64"/>
      <c r="E819" s="28"/>
      <c r="F819" s="28"/>
      <c r="G819" s="28"/>
      <c r="H819" s="28"/>
      <c r="I819" s="65" t="str">
        <f aca="false">IF($A819="","",COUNTIFS($H$2:$H$1001,$A819,$D$2:$D$1001,"Reuse"))</f>
        <v/>
      </c>
    </row>
    <row r="820" customFormat="false" ht="15" hidden="false" customHeight="false" outlineLevel="0" collapsed="false">
      <c r="A820" s="28"/>
      <c r="B820" s="63"/>
      <c r="C820" s="28"/>
      <c r="D820" s="64"/>
      <c r="E820" s="28"/>
      <c r="F820" s="28"/>
      <c r="G820" s="28"/>
      <c r="H820" s="28"/>
      <c r="I820" s="65" t="str">
        <f aca="false">IF($A820="","",COUNTIFS($H$2:$H$1001,$A820,$D$2:$D$1001,"Reuse"))</f>
        <v/>
      </c>
    </row>
    <row r="821" customFormat="false" ht="15" hidden="false" customHeight="false" outlineLevel="0" collapsed="false">
      <c r="A821" s="28"/>
      <c r="B821" s="63"/>
      <c r="C821" s="28"/>
      <c r="D821" s="64"/>
      <c r="E821" s="28"/>
      <c r="F821" s="28"/>
      <c r="G821" s="28"/>
      <c r="H821" s="28"/>
      <c r="I821" s="65" t="str">
        <f aca="false">IF($A821="","",COUNTIFS($H$2:$H$1001,$A821,$D$2:$D$1001,"Reuse"))</f>
        <v/>
      </c>
    </row>
    <row r="822" customFormat="false" ht="15" hidden="false" customHeight="false" outlineLevel="0" collapsed="false">
      <c r="A822" s="28"/>
      <c r="B822" s="63"/>
      <c r="C822" s="28"/>
      <c r="D822" s="64"/>
      <c r="E822" s="28"/>
      <c r="F822" s="28"/>
      <c r="G822" s="28"/>
      <c r="H822" s="28"/>
      <c r="I822" s="65" t="str">
        <f aca="false">IF($A822="","",COUNTIFS($H$2:$H$1001,$A822,$D$2:$D$1001,"Reuse"))</f>
        <v/>
      </c>
    </row>
    <row r="823" customFormat="false" ht="15" hidden="false" customHeight="false" outlineLevel="0" collapsed="false">
      <c r="A823" s="28"/>
      <c r="B823" s="63"/>
      <c r="C823" s="28"/>
      <c r="D823" s="64"/>
      <c r="E823" s="28"/>
      <c r="F823" s="28"/>
      <c r="G823" s="28"/>
      <c r="H823" s="28"/>
      <c r="I823" s="65" t="str">
        <f aca="false">IF($A823="","",COUNTIFS($H$2:$H$1001,$A823,$D$2:$D$1001,"Reuse"))</f>
        <v/>
      </c>
    </row>
    <row r="824" customFormat="false" ht="15" hidden="false" customHeight="false" outlineLevel="0" collapsed="false">
      <c r="A824" s="28"/>
      <c r="B824" s="63"/>
      <c r="C824" s="28"/>
      <c r="D824" s="64"/>
      <c r="E824" s="28"/>
      <c r="F824" s="28"/>
      <c r="G824" s="28"/>
      <c r="H824" s="28"/>
      <c r="I824" s="65" t="str">
        <f aca="false">IF($A824="","",COUNTIFS($H$2:$H$1001,$A824,$D$2:$D$1001,"Reuse"))</f>
        <v/>
      </c>
    </row>
    <row r="825" customFormat="false" ht="15" hidden="false" customHeight="false" outlineLevel="0" collapsed="false">
      <c r="A825" s="28"/>
      <c r="B825" s="63"/>
      <c r="C825" s="28"/>
      <c r="D825" s="64"/>
      <c r="E825" s="28"/>
      <c r="F825" s="28"/>
      <c r="G825" s="28"/>
      <c r="H825" s="28"/>
      <c r="I825" s="65" t="str">
        <f aca="false">IF($A825="","",COUNTIFS($H$2:$H$1001,$A825,$D$2:$D$1001,"Reuse"))</f>
        <v/>
      </c>
    </row>
    <row r="826" customFormat="false" ht="15" hidden="false" customHeight="false" outlineLevel="0" collapsed="false">
      <c r="A826" s="28"/>
      <c r="B826" s="63"/>
      <c r="C826" s="28"/>
      <c r="D826" s="64"/>
      <c r="E826" s="28"/>
      <c r="F826" s="28"/>
      <c r="G826" s="28"/>
      <c r="H826" s="28"/>
      <c r="I826" s="65" t="str">
        <f aca="false">IF($A826="","",COUNTIFS($H$2:$H$1001,$A826,$D$2:$D$1001,"Reuse"))</f>
        <v/>
      </c>
    </row>
    <row r="827" customFormat="false" ht="15" hidden="false" customHeight="false" outlineLevel="0" collapsed="false">
      <c r="A827" s="28"/>
      <c r="B827" s="63"/>
      <c r="C827" s="28"/>
      <c r="D827" s="64"/>
      <c r="E827" s="28"/>
      <c r="F827" s="28"/>
      <c r="G827" s="28"/>
      <c r="H827" s="28"/>
      <c r="I827" s="65" t="str">
        <f aca="false">IF($A827="","",COUNTIFS($H$2:$H$1001,$A827,$D$2:$D$1001,"Reuse"))</f>
        <v/>
      </c>
    </row>
    <row r="828" customFormat="false" ht="15" hidden="false" customHeight="false" outlineLevel="0" collapsed="false">
      <c r="A828" s="28"/>
      <c r="B828" s="63"/>
      <c r="C828" s="28"/>
      <c r="D828" s="64"/>
      <c r="E828" s="28"/>
      <c r="F828" s="28"/>
      <c r="G828" s="28"/>
      <c r="H828" s="28"/>
      <c r="I828" s="65" t="str">
        <f aca="false">IF($A828="","",COUNTIFS($H$2:$H$1001,$A828,$D$2:$D$1001,"Reuse"))</f>
        <v/>
      </c>
    </row>
    <row r="829" customFormat="false" ht="15" hidden="false" customHeight="false" outlineLevel="0" collapsed="false">
      <c r="A829" s="28"/>
      <c r="B829" s="63"/>
      <c r="C829" s="28"/>
      <c r="D829" s="64"/>
      <c r="E829" s="28"/>
      <c r="F829" s="28"/>
      <c r="G829" s="28"/>
      <c r="H829" s="28"/>
      <c r="I829" s="65" t="str">
        <f aca="false">IF($A829="","",COUNTIFS($H$2:$H$1001,$A829,$D$2:$D$1001,"Reuse"))</f>
        <v/>
      </c>
    </row>
    <row r="830" customFormat="false" ht="15" hidden="false" customHeight="false" outlineLevel="0" collapsed="false">
      <c r="A830" s="28"/>
      <c r="B830" s="63"/>
      <c r="C830" s="28"/>
      <c r="D830" s="64"/>
      <c r="E830" s="28"/>
      <c r="F830" s="28"/>
      <c r="G830" s="28"/>
      <c r="H830" s="28"/>
      <c r="I830" s="65" t="str">
        <f aca="false">IF($A830="","",COUNTIFS($H$2:$H$1001,$A830,$D$2:$D$1001,"Reuse"))</f>
        <v/>
      </c>
    </row>
    <row r="831" customFormat="false" ht="15" hidden="false" customHeight="false" outlineLevel="0" collapsed="false">
      <c r="A831" s="28"/>
      <c r="B831" s="63"/>
      <c r="C831" s="28"/>
      <c r="D831" s="64"/>
      <c r="E831" s="28"/>
      <c r="F831" s="28"/>
      <c r="G831" s="28"/>
      <c r="H831" s="28"/>
      <c r="I831" s="65" t="str">
        <f aca="false">IF($A831="","",COUNTIFS($H$2:$H$1001,$A831,$D$2:$D$1001,"Reuse"))</f>
        <v/>
      </c>
    </row>
    <row r="832" customFormat="false" ht="15" hidden="false" customHeight="false" outlineLevel="0" collapsed="false">
      <c r="A832" s="28"/>
      <c r="B832" s="63"/>
      <c r="C832" s="28"/>
      <c r="D832" s="64"/>
      <c r="E832" s="28"/>
      <c r="F832" s="28"/>
      <c r="G832" s="28"/>
      <c r="H832" s="28"/>
      <c r="I832" s="65" t="str">
        <f aca="false">IF($A832="","",COUNTIFS($H$2:$H$1001,$A832,$D$2:$D$1001,"Reuse"))</f>
        <v/>
      </c>
    </row>
    <row r="833" customFormat="false" ht="15" hidden="false" customHeight="false" outlineLevel="0" collapsed="false">
      <c r="A833" s="28"/>
      <c r="B833" s="63"/>
      <c r="C833" s="28"/>
      <c r="D833" s="64"/>
      <c r="E833" s="28"/>
      <c r="F833" s="28"/>
      <c r="G833" s="28"/>
      <c r="H833" s="28"/>
      <c r="I833" s="65" t="str">
        <f aca="false">IF($A833="","",COUNTIFS($H$2:$H$1001,$A833,$D$2:$D$1001,"Reuse"))</f>
        <v/>
      </c>
    </row>
    <row r="834" customFormat="false" ht="15" hidden="false" customHeight="false" outlineLevel="0" collapsed="false">
      <c r="A834" s="28"/>
      <c r="B834" s="63"/>
      <c r="C834" s="28"/>
      <c r="D834" s="64"/>
      <c r="E834" s="28"/>
      <c r="F834" s="28"/>
      <c r="G834" s="28"/>
      <c r="H834" s="28"/>
      <c r="I834" s="65" t="str">
        <f aca="false">IF($A834="","",COUNTIFS($H$2:$H$1001,$A834,$D$2:$D$1001,"Reuse"))</f>
        <v/>
      </c>
    </row>
    <row r="835" customFormat="false" ht="15" hidden="false" customHeight="false" outlineLevel="0" collapsed="false">
      <c r="A835" s="28"/>
      <c r="B835" s="63"/>
      <c r="C835" s="28"/>
      <c r="D835" s="64"/>
      <c r="E835" s="28"/>
      <c r="F835" s="28"/>
      <c r="G835" s="28"/>
      <c r="H835" s="28"/>
      <c r="I835" s="65" t="str">
        <f aca="false">IF($A835="","",COUNTIFS($H$2:$H$1001,$A835,$D$2:$D$1001,"Reuse"))</f>
        <v/>
      </c>
    </row>
    <row r="836" customFormat="false" ht="15" hidden="false" customHeight="false" outlineLevel="0" collapsed="false">
      <c r="A836" s="28"/>
      <c r="B836" s="63"/>
      <c r="C836" s="28"/>
      <c r="D836" s="64"/>
      <c r="E836" s="28"/>
      <c r="F836" s="28"/>
      <c r="G836" s="28"/>
      <c r="H836" s="28"/>
      <c r="I836" s="65" t="str">
        <f aca="false">IF($A836="","",COUNTIFS($H$2:$H$1001,$A836,$D$2:$D$1001,"Reuse"))</f>
        <v/>
      </c>
    </row>
    <row r="837" customFormat="false" ht="15" hidden="false" customHeight="false" outlineLevel="0" collapsed="false">
      <c r="A837" s="28"/>
      <c r="B837" s="63"/>
      <c r="C837" s="28"/>
      <c r="D837" s="64"/>
      <c r="E837" s="28"/>
      <c r="F837" s="28"/>
      <c r="G837" s="28"/>
      <c r="H837" s="28"/>
      <c r="I837" s="65" t="str">
        <f aca="false">IF($A837="","",COUNTIFS($H$2:$H$1001,$A837,$D$2:$D$1001,"Reuse"))</f>
        <v/>
      </c>
    </row>
    <row r="838" customFormat="false" ht="15" hidden="false" customHeight="false" outlineLevel="0" collapsed="false">
      <c r="A838" s="28"/>
      <c r="B838" s="63"/>
      <c r="C838" s="28"/>
      <c r="D838" s="64"/>
      <c r="E838" s="28"/>
      <c r="F838" s="28"/>
      <c r="G838" s="28"/>
      <c r="H838" s="28"/>
      <c r="I838" s="65" t="str">
        <f aca="false">IF($A838="","",COUNTIFS($H$2:$H$1001,$A838,$D$2:$D$1001,"Reuse"))</f>
        <v/>
      </c>
    </row>
    <row r="839" customFormat="false" ht="15" hidden="false" customHeight="false" outlineLevel="0" collapsed="false">
      <c r="A839" s="28"/>
      <c r="B839" s="63"/>
      <c r="C839" s="28"/>
      <c r="D839" s="64"/>
      <c r="E839" s="28"/>
      <c r="F839" s="28"/>
      <c r="G839" s="28"/>
      <c r="H839" s="28"/>
      <c r="I839" s="65" t="str">
        <f aca="false">IF($A839="","",COUNTIFS($H$2:$H$1001,$A839,$D$2:$D$1001,"Reuse"))</f>
        <v/>
      </c>
    </row>
    <row r="840" customFormat="false" ht="15" hidden="false" customHeight="false" outlineLevel="0" collapsed="false">
      <c r="A840" s="28"/>
      <c r="B840" s="63"/>
      <c r="C840" s="28"/>
      <c r="D840" s="64"/>
      <c r="E840" s="28"/>
      <c r="F840" s="28"/>
      <c r="G840" s="28"/>
      <c r="H840" s="28"/>
      <c r="I840" s="65" t="str">
        <f aca="false">IF($A840="","",COUNTIFS($H$2:$H$1001,$A840,$D$2:$D$1001,"Reuse"))</f>
        <v/>
      </c>
    </row>
    <row r="841" customFormat="false" ht="15" hidden="false" customHeight="false" outlineLevel="0" collapsed="false">
      <c r="A841" s="28"/>
      <c r="B841" s="63"/>
      <c r="C841" s="28"/>
      <c r="D841" s="64"/>
      <c r="E841" s="28"/>
      <c r="F841" s="28"/>
      <c r="G841" s="28"/>
      <c r="H841" s="28"/>
      <c r="I841" s="65" t="str">
        <f aca="false">IF($A841="","",COUNTIFS($H$2:$H$1001,$A841,$D$2:$D$1001,"Reuse"))</f>
        <v/>
      </c>
    </row>
    <row r="842" customFormat="false" ht="15" hidden="false" customHeight="false" outlineLevel="0" collapsed="false">
      <c r="A842" s="28"/>
      <c r="B842" s="63"/>
      <c r="C842" s="28"/>
      <c r="D842" s="64"/>
      <c r="E842" s="28"/>
      <c r="F842" s="28"/>
      <c r="G842" s="28"/>
      <c r="H842" s="28"/>
      <c r="I842" s="65" t="str">
        <f aca="false">IF($A842="","",COUNTIFS($H$2:$H$1001,$A842,$D$2:$D$1001,"Reuse"))</f>
        <v/>
      </c>
    </row>
    <row r="843" customFormat="false" ht="15" hidden="false" customHeight="false" outlineLevel="0" collapsed="false">
      <c r="A843" s="28"/>
      <c r="B843" s="63"/>
      <c r="C843" s="28"/>
      <c r="D843" s="64"/>
      <c r="E843" s="28"/>
      <c r="F843" s="28"/>
      <c r="G843" s="28"/>
      <c r="H843" s="28"/>
      <c r="I843" s="65" t="str">
        <f aca="false">IF($A843="","",COUNTIFS($H$2:$H$1001,$A843,$D$2:$D$1001,"Reuse"))</f>
        <v/>
      </c>
    </row>
    <row r="844" customFormat="false" ht="15" hidden="false" customHeight="false" outlineLevel="0" collapsed="false">
      <c r="A844" s="28"/>
      <c r="B844" s="63"/>
      <c r="C844" s="28"/>
      <c r="D844" s="64"/>
      <c r="E844" s="28"/>
      <c r="F844" s="28"/>
      <c r="G844" s="28"/>
      <c r="H844" s="28"/>
      <c r="I844" s="65" t="str">
        <f aca="false">IF($A844="","",COUNTIFS($H$2:$H$1001,$A844,$D$2:$D$1001,"Reuse"))</f>
        <v/>
      </c>
    </row>
    <row r="845" customFormat="false" ht="15" hidden="false" customHeight="false" outlineLevel="0" collapsed="false">
      <c r="A845" s="28"/>
      <c r="B845" s="63"/>
      <c r="C845" s="28"/>
      <c r="D845" s="64"/>
      <c r="E845" s="28"/>
      <c r="F845" s="28"/>
      <c r="G845" s="28"/>
      <c r="H845" s="28"/>
      <c r="I845" s="65" t="str">
        <f aca="false">IF($A845="","",COUNTIFS($H$2:$H$1001,$A845,$D$2:$D$1001,"Reuse"))</f>
        <v/>
      </c>
    </row>
    <row r="846" customFormat="false" ht="15" hidden="false" customHeight="false" outlineLevel="0" collapsed="false">
      <c r="A846" s="28"/>
      <c r="B846" s="63"/>
      <c r="C846" s="28"/>
      <c r="D846" s="64"/>
      <c r="E846" s="28"/>
      <c r="F846" s="28"/>
      <c r="G846" s="28"/>
      <c r="H846" s="28"/>
      <c r="I846" s="65" t="str">
        <f aca="false">IF($A846="","",COUNTIFS($H$2:$H$1001,$A846,$D$2:$D$1001,"Reuse"))</f>
        <v/>
      </c>
    </row>
    <row r="847" customFormat="false" ht="15" hidden="false" customHeight="false" outlineLevel="0" collapsed="false">
      <c r="A847" s="28"/>
      <c r="B847" s="63"/>
      <c r="C847" s="28"/>
      <c r="D847" s="64"/>
      <c r="E847" s="28"/>
      <c r="F847" s="28"/>
      <c r="G847" s="28"/>
      <c r="H847" s="28"/>
      <c r="I847" s="65" t="str">
        <f aca="false">IF($A847="","",COUNTIFS($H$2:$H$1001,$A847,$D$2:$D$1001,"Reuse"))</f>
        <v/>
      </c>
    </row>
    <row r="848" customFormat="false" ht="15" hidden="false" customHeight="false" outlineLevel="0" collapsed="false">
      <c r="A848" s="28"/>
      <c r="B848" s="63"/>
      <c r="C848" s="28"/>
      <c r="D848" s="64"/>
      <c r="E848" s="28"/>
      <c r="F848" s="28"/>
      <c r="G848" s="28"/>
      <c r="H848" s="28"/>
      <c r="I848" s="65" t="str">
        <f aca="false">IF($A848="","",COUNTIFS($H$2:$H$1001,$A848,$D$2:$D$1001,"Reuse"))</f>
        <v/>
      </c>
    </row>
    <row r="849" customFormat="false" ht="15" hidden="false" customHeight="false" outlineLevel="0" collapsed="false">
      <c r="A849" s="28"/>
      <c r="B849" s="63"/>
      <c r="C849" s="28"/>
      <c r="D849" s="64"/>
      <c r="E849" s="28"/>
      <c r="F849" s="28"/>
      <c r="G849" s="28"/>
      <c r="H849" s="28"/>
      <c r="I849" s="65" t="str">
        <f aca="false">IF($A849="","",COUNTIFS($H$2:$H$1001,$A849,$D$2:$D$1001,"Reuse"))</f>
        <v/>
      </c>
    </row>
    <row r="850" customFormat="false" ht="15" hidden="false" customHeight="false" outlineLevel="0" collapsed="false">
      <c r="A850" s="28"/>
      <c r="B850" s="63"/>
      <c r="C850" s="28"/>
      <c r="D850" s="64"/>
      <c r="E850" s="28"/>
      <c r="F850" s="28"/>
      <c r="G850" s="28"/>
      <c r="H850" s="28"/>
      <c r="I850" s="65" t="str">
        <f aca="false">IF($A850="","",COUNTIFS($H$2:$H$1001,$A850,$D$2:$D$1001,"Reuse"))</f>
        <v/>
      </c>
    </row>
    <row r="851" customFormat="false" ht="15" hidden="false" customHeight="false" outlineLevel="0" collapsed="false">
      <c r="A851" s="28"/>
      <c r="B851" s="63"/>
      <c r="C851" s="28"/>
      <c r="D851" s="64"/>
      <c r="E851" s="28"/>
      <c r="F851" s="28"/>
      <c r="G851" s="28"/>
      <c r="H851" s="28"/>
      <c r="I851" s="65" t="str">
        <f aca="false">IF($A851="","",COUNTIFS($H$2:$H$1001,$A851,$D$2:$D$1001,"Reuse"))</f>
        <v/>
      </c>
    </row>
    <row r="852" customFormat="false" ht="15" hidden="false" customHeight="false" outlineLevel="0" collapsed="false">
      <c r="A852" s="28"/>
      <c r="B852" s="63"/>
      <c r="C852" s="28"/>
      <c r="D852" s="64"/>
      <c r="E852" s="28"/>
      <c r="F852" s="28"/>
      <c r="G852" s="28"/>
      <c r="H852" s="28"/>
      <c r="I852" s="65" t="str">
        <f aca="false">IF($A852="","",COUNTIFS($H$2:$H$1001,$A852,$D$2:$D$1001,"Reuse"))</f>
        <v/>
      </c>
    </row>
    <row r="853" customFormat="false" ht="15" hidden="false" customHeight="false" outlineLevel="0" collapsed="false">
      <c r="A853" s="28"/>
      <c r="B853" s="63"/>
      <c r="C853" s="28"/>
      <c r="D853" s="64"/>
      <c r="E853" s="28"/>
      <c r="F853" s="28"/>
      <c r="G853" s="28"/>
      <c r="H853" s="28"/>
      <c r="I853" s="65" t="str">
        <f aca="false">IF($A853="","",COUNTIFS($H$2:$H$1001,$A853,$D$2:$D$1001,"Reuse"))</f>
        <v/>
      </c>
    </row>
    <row r="854" customFormat="false" ht="15" hidden="false" customHeight="false" outlineLevel="0" collapsed="false">
      <c r="A854" s="28"/>
      <c r="B854" s="63"/>
      <c r="C854" s="28"/>
      <c r="D854" s="64"/>
      <c r="E854" s="28"/>
      <c r="F854" s="28"/>
      <c r="G854" s="28"/>
      <c r="H854" s="28"/>
      <c r="I854" s="65" t="str">
        <f aca="false">IF($A854="","",COUNTIFS($H$2:$H$1001,$A854,$D$2:$D$1001,"Reuse"))</f>
        <v/>
      </c>
    </row>
    <row r="855" customFormat="false" ht="15" hidden="false" customHeight="false" outlineLevel="0" collapsed="false">
      <c r="A855" s="28"/>
      <c r="B855" s="63"/>
      <c r="C855" s="28"/>
      <c r="D855" s="64"/>
      <c r="E855" s="28"/>
      <c r="F855" s="28"/>
      <c r="G855" s="28"/>
      <c r="H855" s="28"/>
      <c r="I855" s="65" t="str">
        <f aca="false">IF($A855="","",COUNTIFS($H$2:$H$1001,$A855,$D$2:$D$1001,"Reuse"))</f>
        <v/>
      </c>
    </row>
    <row r="856" customFormat="false" ht="15" hidden="false" customHeight="false" outlineLevel="0" collapsed="false">
      <c r="A856" s="28"/>
      <c r="B856" s="63"/>
      <c r="C856" s="28"/>
      <c r="D856" s="64"/>
      <c r="E856" s="28"/>
      <c r="F856" s="28"/>
      <c r="G856" s="28"/>
      <c r="H856" s="28"/>
      <c r="I856" s="65" t="str">
        <f aca="false">IF($A856="","",COUNTIFS($H$2:$H$1001,$A856,$D$2:$D$1001,"Reuse"))</f>
        <v/>
      </c>
    </row>
    <row r="857" customFormat="false" ht="15" hidden="false" customHeight="false" outlineLevel="0" collapsed="false">
      <c r="A857" s="28"/>
      <c r="B857" s="63"/>
      <c r="C857" s="28"/>
      <c r="D857" s="64"/>
      <c r="E857" s="28"/>
      <c r="F857" s="28"/>
      <c r="G857" s="28"/>
      <c r="H857" s="28"/>
      <c r="I857" s="65" t="str">
        <f aca="false">IF($A857="","",COUNTIFS($H$2:$H$1001,$A857,$D$2:$D$1001,"Reuse"))</f>
        <v/>
      </c>
    </row>
    <row r="858" customFormat="false" ht="15" hidden="false" customHeight="false" outlineLevel="0" collapsed="false">
      <c r="A858" s="28"/>
      <c r="B858" s="63"/>
      <c r="C858" s="28"/>
      <c r="D858" s="64"/>
      <c r="E858" s="28"/>
      <c r="F858" s="28"/>
      <c r="G858" s="28"/>
      <c r="H858" s="28"/>
      <c r="I858" s="65" t="str">
        <f aca="false">IF($A858="","",COUNTIFS($H$2:$H$1001,$A858,$D$2:$D$1001,"Reuse"))</f>
        <v/>
      </c>
    </row>
    <row r="859" customFormat="false" ht="15" hidden="false" customHeight="false" outlineLevel="0" collapsed="false">
      <c r="A859" s="28"/>
      <c r="B859" s="63"/>
      <c r="C859" s="28"/>
      <c r="D859" s="64"/>
      <c r="E859" s="28"/>
      <c r="F859" s="28"/>
      <c r="G859" s="28"/>
      <c r="H859" s="28"/>
      <c r="I859" s="65" t="str">
        <f aca="false">IF($A859="","",COUNTIFS($H$2:$H$1001,$A859,$D$2:$D$1001,"Reuse"))</f>
        <v/>
      </c>
    </row>
    <row r="860" customFormat="false" ht="15" hidden="false" customHeight="false" outlineLevel="0" collapsed="false">
      <c r="A860" s="28"/>
      <c r="B860" s="63"/>
      <c r="C860" s="28"/>
      <c r="D860" s="64"/>
      <c r="E860" s="28"/>
      <c r="F860" s="28"/>
      <c r="G860" s="28"/>
      <c r="H860" s="28"/>
      <c r="I860" s="65" t="str">
        <f aca="false">IF($A860="","",COUNTIFS($H$2:$H$1001,$A860,$D$2:$D$1001,"Reuse"))</f>
        <v/>
      </c>
    </row>
    <row r="861" customFormat="false" ht="15" hidden="false" customHeight="false" outlineLevel="0" collapsed="false">
      <c r="A861" s="28"/>
      <c r="B861" s="63"/>
      <c r="C861" s="28"/>
      <c r="D861" s="64"/>
      <c r="E861" s="28"/>
      <c r="F861" s="28"/>
      <c r="G861" s="28"/>
      <c r="H861" s="28"/>
      <c r="I861" s="65" t="str">
        <f aca="false">IF($A861="","",COUNTIFS($H$2:$H$1001,$A861,$D$2:$D$1001,"Reuse"))</f>
        <v/>
      </c>
    </row>
    <row r="862" customFormat="false" ht="15" hidden="false" customHeight="false" outlineLevel="0" collapsed="false">
      <c r="A862" s="28"/>
      <c r="B862" s="63"/>
      <c r="C862" s="28"/>
      <c r="D862" s="64"/>
      <c r="E862" s="28"/>
      <c r="F862" s="28"/>
      <c r="G862" s="28"/>
      <c r="H862" s="28"/>
      <c r="I862" s="65" t="str">
        <f aca="false">IF($A862="","",COUNTIFS($H$2:$H$1001,$A862,$D$2:$D$1001,"Reuse"))</f>
        <v/>
      </c>
    </row>
    <row r="863" customFormat="false" ht="15" hidden="false" customHeight="false" outlineLevel="0" collapsed="false">
      <c r="A863" s="28"/>
      <c r="B863" s="63"/>
      <c r="C863" s="28"/>
      <c r="D863" s="64"/>
      <c r="E863" s="28"/>
      <c r="F863" s="28"/>
      <c r="G863" s="28"/>
      <c r="H863" s="28"/>
      <c r="I863" s="65" t="str">
        <f aca="false">IF($A863="","",COUNTIFS($H$2:$H$1001,$A863,$D$2:$D$1001,"Reuse"))</f>
        <v/>
      </c>
    </row>
    <row r="864" customFormat="false" ht="15" hidden="false" customHeight="false" outlineLevel="0" collapsed="false">
      <c r="A864" s="28"/>
      <c r="B864" s="63"/>
      <c r="C864" s="28"/>
      <c r="D864" s="64"/>
      <c r="E864" s="28"/>
      <c r="F864" s="28"/>
      <c r="G864" s="28"/>
      <c r="H864" s="28"/>
      <c r="I864" s="65" t="str">
        <f aca="false">IF($A864="","",COUNTIFS($H$2:$H$1001,$A864,$D$2:$D$1001,"Reuse"))</f>
        <v/>
      </c>
    </row>
    <row r="865" customFormat="false" ht="15" hidden="false" customHeight="false" outlineLevel="0" collapsed="false">
      <c r="A865" s="28"/>
      <c r="B865" s="63"/>
      <c r="C865" s="28"/>
      <c r="D865" s="64"/>
      <c r="E865" s="28"/>
      <c r="F865" s="28"/>
      <c r="G865" s="28"/>
      <c r="H865" s="28"/>
      <c r="I865" s="65" t="str">
        <f aca="false">IF($A865="","",COUNTIFS($H$2:$H$1001,$A865,$D$2:$D$1001,"Reuse"))</f>
        <v/>
      </c>
    </row>
    <row r="866" customFormat="false" ht="15" hidden="false" customHeight="false" outlineLevel="0" collapsed="false">
      <c r="A866" s="28"/>
      <c r="B866" s="63"/>
      <c r="C866" s="28"/>
      <c r="D866" s="64"/>
      <c r="E866" s="28"/>
      <c r="F866" s="28"/>
      <c r="G866" s="28"/>
      <c r="H866" s="28"/>
      <c r="I866" s="65" t="str">
        <f aca="false">IF($A866="","",COUNTIFS($H$2:$H$1001,$A866,$D$2:$D$1001,"Reuse"))</f>
        <v/>
      </c>
    </row>
    <row r="867" customFormat="false" ht="15" hidden="false" customHeight="false" outlineLevel="0" collapsed="false">
      <c r="A867" s="28"/>
      <c r="B867" s="63"/>
      <c r="C867" s="28"/>
      <c r="D867" s="64"/>
      <c r="E867" s="28"/>
      <c r="F867" s="28"/>
      <c r="G867" s="28"/>
      <c r="H867" s="28"/>
      <c r="I867" s="65" t="str">
        <f aca="false">IF($A867="","",COUNTIFS($H$2:$H$1001,$A867,$D$2:$D$1001,"Reuse"))</f>
        <v/>
      </c>
    </row>
    <row r="868" customFormat="false" ht="15" hidden="false" customHeight="false" outlineLevel="0" collapsed="false">
      <c r="A868" s="28"/>
      <c r="B868" s="63"/>
      <c r="C868" s="28"/>
      <c r="D868" s="64"/>
      <c r="E868" s="28"/>
      <c r="F868" s="28"/>
      <c r="G868" s="28"/>
      <c r="H868" s="28"/>
      <c r="I868" s="65" t="str">
        <f aca="false">IF($A868="","",COUNTIFS($H$2:$H$1001,$A868,$D$2:$D$1001,"Reuse"))</f>
        <v/>
      </c>
    </row>
    <row r="869" customFormat="false" ht="15" hidden="false" customHeight="false" outlineLevel="0" collapsed="false">
      <c r="A869" s="28"/>
      <c r="B869" s="63"/>
      <c r="C869" s="28"/>
      <c r="D869" s="64"/>
      <c r="E869" s="28"/>
      <c r="F869" s="28"/>
      <c r="G869" s="28"/>
      <c r="H869" s="28"/>
      <c r="I869" s="65" t="str">
        <f aca="false">IF($A869="","",COUNTIFS($H$2:$H$1001,$A869,$D$2:$D$1001,"Reuse"))</f>
        <v/>
      </c>
    </row>
    <row r="870" customFormat="false" ht="15" hidden="false" customHeight="false" outlineLevel="0" collapsed="false">
      <c r="A870" s="28"/>
      <c r="B870" s="63"/>
      <c r="C870" s="28"/>
      <c r="D870" s="64"/>
      <c r="E870" s="28"/>
      <c r="F870" s="28"/>
      <c r="G870" s="28"/>
      <c r="H870" s="28"/>
      <c r="I870" s="65" t="str">
        <f aca="false">IF($A870="","",COUNTIFS($H$2:$H$1001,$A870,$D$2:$D$1001,"Reuse"))</f>
        <v/>
      </c>
    </row>
    <row r="871" customFormat="false" ht="15" hidden="false" customHeight="false" outlineLevel="0" collapsed="false">
      <c r="A871" s="28"/>
      <c r="B871" s="63"/>
      <c r="C871" s="28"/>
      <c r="D871" s="64"/>
      <c r="E871" s="28"/>
      <c r="F871" s="28"/>
      <c r="G871" s="28"/>
      <c r="H871" s="28"/>
      <c r="I871" s="65" t="str">
        <f aca="false">IF($A871="","",COUNTIFS($H$2:$H$1001,$A871,$D$2:$D$1001,"Reuse"))</f>
        <v/>
      </c>
    </row>
    <row r="872" customFormat="false" ht="15" hidden="false" customHeight="false" outlineLevel="0" collapsed="false">
      <c r="A872" s="28"/>
      <c r="B872" s="63"/>
      <c r="C872" s="28"/>
      <c r="D872" s="64"/>
      <c r="E872" s="28"/>
      <c r="F872" s="28"/>
      <c r="G872" s="28"/>
      <c r="H872" s="28"/>
      <c r="I872" s="65" t="str">
        <f aca="false">IF($A872="","",COUNTIFS($H$2:$H$1001,$A872,$D$2:$D$1001,"Reuse"))</f>
        <v/>
      </c>
    </row>
    <row r="873" customFormat="false" ht="15" hidden="false" customHeight="false" outlineLevel="0" collapsed="false">
      <c r="A873" s="28"/>
      <c r="B873" s="63"/>
      <c r="C873" s="28"/>
      <c r="D873" s="64"/>
      <c r="E873" s="28"/>
      <c r="F873" s="28"/>
      <c r="G873" s="28"/>
      <c r="H873" s="28"/>
      <c r="I873" s="65" t="str">
        <f aca="false">IF($A873="","",COUNTIFS($H$2:$H$1001,$A873,$D$2:$D$1001,"Reuse"))</f>
        <v/>
      </c>
    </row>
    <row r="874" customFormat="false" ht="15" hidden="false" customHeight="false" outlineLevel="0" collapsed="false">
      <c r="A874" s="28"/>
      <c r="B874" s="63"/>
      <c r="C874" s="28"/>
      <c r="D874" s="64"/>
      <c r="E874" s="28"/>
      <c r="F874" s="28"/>
      <c r="G874" s="28"/>
      <c r="H874" s="28"/>
      <c r="I874" s="65" t="str">
        <f aca="false">IF($A874="","",COUNTIFS($H$2:$H$1001,$A874,$D$2:$D$1001,"Reuse"))</f>
        <v/>
      </c>
    </row>
    <row r="875" customFormat="false" ht="15" hidden="false" customHeight="false" outlineLevel="0" collapsed="false">
      <c r="A875" s="28"/>
      <c r="B875" s="63"/>
      <c r="C875" s="28"/>
      <c r="D875" s="64"/>
      <c r="E875" s="28"/>
      <c r="F875" s="28"/>
      <c r="G875" s="28"/>
      <c r="H875" s="28"/>
      <c r="I875" s="65" t="str">
        <f aca="false">IF($A875="","",COUNTIFS($H$2:$H$1001,$A875,$D$2:$D$1001,"Reuse"))</f>
        <v/>
      </c>
    </row>
    <row r="876" customFormat="false" ht="15" hidden="false" customHeight="false" outlineLevel="0" collapsed="false">
      <c r="A876" s="28"/>
      <c r="B876" s="63"/>
      <c r="C876" s="28"/>
      <c r="D876" s="64"/>
      <c r="E876" s="28"/>
      <c r="F876" s="28"/>
      <c r="G876" s="28"/>
      <c r="H876" s="28"/>
      <c r="I876" s="65" t="str">
        <f aca="false">IF($A876="","",COUNTIFS($H$2:$H$1001,$A876,$D$2:$D$1001,"Reuse"))</f>
        <v/>
      </c>
    </row>
    <row r="877" customFormat="false" ht="15" hidden="false" customHeight="false" outlineLevel="0" collapsed="false">
      <c r="A877" s="28"/>
      <c r="B877" s="63"/>
      <c r="C877" s="28"/>
      <c r="D877" s="64"/>
      <c r="E877" s="28"/>
      <c r="F877" s="28"/>
      <c r="G877" s="28"/>
      <c r="H877" s="28"/>
      <c r="I877" s="65" t="str">
        <f aca="false">IF($A877="","",COUNTIFS($H$2:$H$1001,$A877,$D$2:$D$1001,"Reuse"))</f>
        <v/>
      </c>
    </row>
    <row r="878" customFormat="false" ht="15" hidden="false" customHeight="false" outlineLevel="0" collapsed="false">
      <c r="A878" s="28"/>
      <c r="B878" s="63"/>
      <c r="C878" s="28"/>
      <c r="D878" s="64"/>
      <c r="E878" s="28"/>
      <c r="F878" s="28"/>
      <c r="G878" s="28"/>
      <c r="H878" s="28"/>
      <c r="I878" s="65" t="str">
        <f aca="false">IF($A878="","",COUNTIFS($H$2:$H$1001,$A878,$D$2:$D$1001,"Reuse"))</f>
        <v/>
      </c>
    </row>
    <row r="879" customFormat="false" ht="15" hidden="false" customHeight="false" outlineLevel="0" collapsed="false">
      <c r="A879" s="28"/>
      <c r="B879" s="63"/>
      <c r="C879" s="28"/>
      <c r="D879" s="64"/>
      <c r="E879" s="28"/>
      <c r="F879" s="28"/>
      <c r="G879" s="28"/>
      <c r="H879" s="28"/>
      <c r="I879" s="65" t="str">
        <f aca="false">IF($A879="","",COUNTIFS($H$2:$H$1001,$A879,$D$2:$D$1001,"Reuse"))</f>
        <v/>
      </c>
    </row>
    <row r="880" customFormat="false" ht="15" hidden="false" customHeight="false" outlineLevel="0" collapsed="false">
      <c r="A880" s="28"/>
      <c r="B880" s="63"/>
      <c r="C880" s="28"/>
      <c r="D880" s="64"/>
      <c r="E880" s="28"/>
      <c r="F880" s="28"/>
      <c r="G880" s="28"/>
      <c r="H880" s="28"/>
      <c r="I880" s="65" t="str">
        <f aca="false">IF($A880="","",COUNTIFS($H$2:$H$1001,$A880,$D$2:$D$1001,"Reuse"))</f>
        <v/>
      </c>
    </row>
    <row r="881" customFormat="false" ht="15" hidden="false" customHeight="false" outlineLevel="0" collapsed="false">
      <c r="A881" s="28"/>
      <c r="B881" s="63"/>
      <c r="C881" s="28"/>
      <c r="D881" s="64"/>
      <c r="E881" s="28"/>
      <c r="F881" s="28"/>
      <c r="G881" s="28"/>
      <c r="H881" s="28"/>
      <c r="I881" s="65" t="str">
        <f aca="false">IF($A881="","",COUNTIFS($H$2:$H$1001,$A881,$D$2:$D$1001,"Reuse"))</f>
        <v/>
      </c>
    </row>
    <row r="882" customFormat="false" ht="15" hidden="false" customHeight="false" outlineLevel="0" collapsed="false">
      <c r="A882" s="28"/>
      <c r="B882" s="63"/>
      <c r="C882" s="28"/>
      <c r="D882" s="64"/>
      <c r="E882" s="28"/>
      <c r="F882" s="28"/>
      <c r="G882" s="28"/>
      <c r="H882" s="28"/>
      <c r="I882" s="65" t="str">
        <f aca="false">IF($A882="","",COUNTIFS($H$2:$H$1001,$A882,$D$2:$D$1001,"Reuse"))</f>
        <v/>
      </c>
    </row>
    <row r="883" customFormat="false" ht="15" hidden="false" customHeight="false" outlineLevel="0" collapsed="false">
      <c r="A883" s="28"/>
      <c r="B883" s="63"/>
      <c r="C883" s="28"/>
      <c r="D883" s="64"/>
      <c r="E883" s="28"/>
      <c r="F883" s="28"/>
      <c r="G883" s="28"/>
      <c r="H883" s="28"/>
      <c r="I883" s="65" t="str">
        <f aca="false">IF($A883="","",COUNTIFS($H$2:$H$1001,$A883,$D$2:$D$1001,"Reuse"))</f>
        <v/>
      </c>
    </row>
    <row r="884" customFormat="false" ht="15" hidden="false" customHeight="false" outlineLevel="0" collapsed="false">
      <c r="A884" s="28"/>
      <c r="B884" s="63"/>
      <c r="C884" s="28"/>
      <c r="D884" s="64"/>
      <c r="E884" s="28"/>
      <c r="F884" s="28"/>
      <c r="G884" s="28"/>
      <c r="H884" s="28"/>
      <c r="I884" s="65" t="str">
        <f aca="false">IF($A884="","",COUNTIFS($H$2:$H$1001,$A884,$D$2:$D$1001,"Reuse"))</f>
        <v/>
      </c>
    </row>
    <row r="885" customFormat="false" ht="15" hidden="false" customHeight="false" outlineLevel="0" collapsed="false">
      <c r="A885" s="28"/>
      <c r="B885" s="63"/>
      <c r="C885" s="28"/>
      <c r="D885" s="64"/>
      <c r="E885" s="28"/>
      <c r="F885" s="28"/>
      <c r="G885" s="28"/>
      <c r="H885" s="28"/>
      <c r="I885" s="65" t="str">
        <f aca="false">IF($A885="","",COUNTIFS($H$2:$H$1001,$A885,$D$2:$D$1001,"Reuse"))</f>
        <v/>
      </c>
    </row>
    <row r="886" customFormat="false" ht="15" hidden="false" customHeight="false" outlineLevel="0" collapsed="false">
      <c r="A886" s="28"/>
      <c r="B886" s="63"/>
      <c r="C886" s="28"/>
      <c r="D886" s="64"/>
      <c r="E886" s="28"/>
      <c r="F886" s="28"/>
      <c r="G886" s="28"/>
      <c r="H886" s="28"/>
      <c r="I886" s="65" t="str">
        <f aca="false">IF($A886="","",COUNTIFS($H$2:$H$1001,$A886,$D$2:$D$1001,"Reuse"))</f>
        <v/>
      </c>
    </row>
    <row r="887" customFormat="false" ht="15" hidden="false" customHeight="false" outlineLevel="0" collapsed="false">
      <c r="A887" s="28"/>
      <c r="B887" s="63"/>
      <c r="C887" s="28"/>
      <c r="D887" s="64"/>
      <c r="E887" s="28"/>
      <c r="F887" s="28"/>
      <c r="G887" s="28"/>
      <c r="H887" s="28"/>
      <c r="I887" s="65" t="str">
        <f aca="false">IF($A887="","",COUNTIFS($H$2:$H$1001,$A887,$D$2:$D$1001,"Reuse"))</f>
        <v/>
      </c>
    </row>
    <row r="888" customFormat="false" ht="15" hidden="false" customHeight="false" outlineLevel="0" collapsed="false">
      <c r="A888" s="28"/>
      <c r="B888" s="63"/>
      <c r="C888" s="28"/>
      <c r="D888" s="64"/>
      <c r="E888" s="28"/>
      <c r="F888" s="28"/>
      <c r="G888" s="28"/>
      <c r="H888" s="28"/>
      <c r="I888" s="65" t="str">
        <f aca="false">IF($A888="","",COUNTIFS($H$2:$H$1001,$A888,$D$2:$D$1001,"Reuse"))</f>
        <v/>
      </c>
    </row>
    <row r="889" customFormat="false" ht="15" hidden="false" customHeight="false" outlineLevel="0" collapsed="false">
      <c r="A889" s="28"/>
      <c r="B889" s="63"/>
      <c r="C889" s="28"/>
      <c r="D889" s="64"/>
      <c r="E889" s="28"/>
      <c r="F889" s="28"/>
      <c r="G889" s="28"/>
      <c r="H889" s="28"/>
      <c r="I889" s="65" t="str">
        <f aca="false">IF($A889="","",COUNTIFS($H$2:$H$1001,$A889,$D$2:$D$1001,"Reuse"))</f>
        <v/>
      </c>
    </row>
    <row r="890" customFormat="false" ht="15" hidden="false" customHeight="false" outlineLevel="0" collapsed="false">
      <c r="A890" s="28"/>
      <c r="B890" s="63"/>
      <c r="C890" s="28"/>
      <c r="D890" s="64"/>
      <c r="E890" s="28"/>
      <c r="F890" s="28"/>
      <c r="G890" s="28"/>
      <c r="H890" s="28"/>
      <c r="I890" s="65" t="str">
        <f aca="false">IF($A890="","",COUNTIFS($H$2:$H$1001,$A890,$D$2:$D$1001,"Reuse"))</f>
        <v/>
      </c>
    </row>
    <row r="891" customFormat="false" ht="15" hidden="false" customHeight="false" outlineLevel="0" collapsed="false">
      <c r="A891" s="28"/>
      <c r="B891" s="63"/>
      <c r="C891" s="28"/>
      <c r="D891" s="64"/>
      <c r="E891" s="28"/>
      <c r="F891" s="28"/>
      <c r="G891" s="28"/>
      <c r="H891" s="28"/>
      <c r="I891" s="65" t="str">
        <f aca="false">IF($A891="","",COUNTIFS($H$2:$H$1001,$A891,$D$2:$D$1001,"Reuse"))</f>
        <v/>
      </c>
    </row>
    <row r="892" customFormat="false" ht="15" hidden="false" customHeight="false" outlineLevel="0" collapsed="false">
      <c r="A892" s="28"/>
      <c r="B892" s="63"/>
      <c r="C892" s="28"/>
      <c r="D892" s="64"/>
      <c r="E892" s="28"/>
      <c r="F892" s="28"/>
      <c r="G892" s="28"/>
      <c r="H892" s="28"/>
      <c r="I892" s="65" t="str">
        <f aca="false">IF($A892="","",COUNTIFS($H$2:$H$1001,$A892,$D$2:$D$1001,"Reuse"))</f>
        <v/>
      </c>
    </row>
    <row r="893" customFormat="false" ht="15" hidden="false" customHeight="false" outlineLevel="0" collapsed="false">
      <c r="A893" s="28"/>
      <c r="B893" s="63"/>
      <c r="C893" s="28"/>
      <c r="D893" s="64"/>
      <c r="E893" s="28"/>
      <c r="F893" s="28"/>
      <c r="G893" s="28"/>
      <c r="H893" s="28"/>
      <c r="I893" s="65" t="str">
        <f aca="false">IF($A893="","",COUNTIFS($H$2:$H$1001,$A893,$D$2:$D$1001,"Reuse"))</f>
        <v/>
      </c>
    </row>
    <row r="894" customFormat="false" ht="15" hidden="false" customHeight="false" outlineLevel="0" collapsed="false">
      <c r="A894" s="28"/>
      <c r="B894" s="63"/>
      <c r="C894" s="28"/>
      <c r="D894" s="64"/>
      <c r="E894" s="28"/>
      <c r="F894" s="28"/>
      <c r="G894" s="28"/>
      <c r="H894" s="28"/>
      <c r="I894" s="65" t="str">
        <f aca="false">IF($A894="","",COUNTIFS($H$2:$H$1001,$A894,$D$2:$D$1001,"Reuse"))</f>
        <v/>
      </c>
    </row>
    <row r="895" customFormat="false" ht="15" hidden="false" customHeight="false" outlineLevel="0" collapsed="false">
      <c r="A895" s="28"/>
      <c r="B895" s="63"/>
      <c r="C895" s="28"/>
      <c r="D895" s="64"/>
      <c r="E895" s="28"/>
      <c r="F895" s="28"/>
      <c r="G895" s="28"/>
      <c r="H895" s="28"/>
      <c r="I895" s="65" t="str">
        <f aca="false">IF($A895="","",COUNTIFS($H$2:$H$1001,$A895,$D$2:$D$1001,"Reuse"))</f>
        <v/>
      </c>
    </row>
    <row r="896" customFormat="false" ht="15" hidden="false" customHeight="false" outlineLevel="0" collapsed="false">
      <c r="A896" s="28"/>
      <c r="B896" s="63"/>
      <c r="C896" s="28"/>
      <c r="D896" s="64"/>
      <c r="E896" s="28"/>
      <c r="F896" s="28"/>
      <c r="G896" s="28"/>
      <c r="H896" s="28"/>
      <c r="I896" s="65" t="str">
        <f aca="false">IF($A896="","",COUNTIFS($H$2:$H$1001,$A896,$D$2:$D$1001,"Reuse"))</f>
        <v/>
      </c>
    </row>
    <row r="897" customFormat="false" ht="15" hidden="false" customHeight="false" outlineLevel="0" collapsed="false">
      <c r="A897" s="28"/>
      <c r="B897" s="63"/>
      <c r="C897" s="28"/>
      <c r="D897" s="64"/>
      <c r="E897" s="28"/>
      <c r="F897" s="28"/>
      <c r="G897" s="28"/>
      <c r="H897" s="28"/>
      <c r="I897" s="65" t="str">
        <f aca="false">IF($A897="","",COUNTIFS($H$2:$H$1001,$A897,$D$2:$D$1001,"Reuse"))</f>
        <v/>
      </c>
    </row>
    <row r="898" customFormat="false" ht="15" hidden="false" customHeight="false" outlineLevel="0" collapsed="false">
      <c r="A898" s="28"/>
      <c r="B898" s="63"/>
      <c r="C898" s="28"/>
      <c r="D898" s="64"/>
      <c r="E898" s="28"/>
      <c r="F898" s="28"/>
      <c r="G898" s="28"/>
      <c r="H898" s="28"/>
      <c r="I898" s="65" t="str">
        <f aca="false">IF($A898="","",COUNTIFS($H$2:$H$1001,$A898,$D$2:$D$1001,"Reuse"))</f>
        <v/>
      </c>
    </row>
    <row r="899" customFormat="false" ht="15" hidden="false" customHeight="false" outlineLevel="0" collapsed="false">
      <c r="A899" s="28"/>
      <c r="B899" s="63"/>
      <c r="C899" s="28"/>
      <c r="D899" s="64"/>
      <c r="E899" s="28"/>
      <c r="F899" s="28"/>
      <c r="G899" s="28"/>
      <c r="H899" s="28"/>
      <c r="I899" s="65" t="str">
        <f aca="false">IF($A899="","",COUNTIFS($H$2:$H$1001,$A899,$D$2:$D$1001,"Reuse"))</f>
        <v/>
      </c>
    </row>
    <row r="900" customFormat="false" ht="15" hidden="false" customHeight="false" outlineLevel="0" collapsed="false">
      <c r="A900" s="28"/>
      <c r="B900" s="63"/>
      <c r="C900" s="28"/>
      <c r="D900" s="64"/>
      <c r="E900" s="28"/>
      <c r="F900" s="28"/>
      <c r="G900" s="28"/>
      <c r="H900" s="28"/>
      <c r="I900" s="65" t="str">
        <f aca="false">IF($A900="","",COUNTIFS($H$2:$H$1001,$A900,$D$2:$D$1001,"Reuse"))</f>
        <v/>
      </c>
    </row>
    <row r="901" customFormat="false" ht="15" hidden="false" customHeight="false" outlineLevel="0" collapsed="false">
      <c r="A901" s="28"/>
      <c r="B901" s="63"/>
      <c r="C901" s="28"/>
      <c r="D901" s="64"/>
      <c r="E901" s="28"/>
      <c r="F901" s="28"/>
      <c r="G901" s="28"/>
      <c r="H901" s="28"/>
      <c r="I901" s="65" t="str">
        <f aca="false">IF($A901="","",COUNTIFS($H$2:$H$1001,$A901,$D$2:$D$1001,"Reuse"))</f>
        <v/>
      </c>
    </row>
    <row r="902" customFormat="false" ht="15" hidden="false" customHeight="false" outlineLevel="0" collapsed="false">
      <c r="A902" s="28"/>
      <c r="B902" s="63"/>
      <c r="C902" s="28"/>
      <c r="D902" s="64"/>
      <c r="E902" s="28"/>
      <c r="F902" s="28"/>
      <c r="G902" s="28"/>
      <c r="H902" s="28"/>
      <c r="I902" s="65" t="str">
        <f aca="false">IF($A902="","",COUNTIFS($H$2:$H$1001,$A902,$D$2:$D$1001,"Reuse"))</f>
        <v/>
      </c>
    </row>
    <row r="903" customFormat="false" ht="15" hidden="false" customHeight="false" outlineLevel="0" collapsed="false">
      <c r="A903" s="28"/>
      <c r="B903" s="63"/>
      <c r="C903" s="28"/>
      <c r="D903" s="64"/>
      <c r="E903" s="28"/>
      <c r="F903" s="28"/>
      <c r="G903" s="28"/>
      <c r="H903" s="28"/>
      <c r="I903" s="65" t="str">
        <f aca="false">IF($A903="","",COUNTIFS($H$2:$H$1001,$A903,$D$2:$D$1001,"Reuse"))</f>
        <v/>
      </c>
    </row>
    <row r="904" customFormat="false" ht="15" hidden="false" customHeight="false" outlineLevel="0" collapsed="false">
      <c r="A904" s="28"/>
      <c r="B904" s="63"/>
      <c r="C904" s="28"/>
      <c r="D904" s="64"/>
      <c r="E904" s="28"/>
      <c r="F904" s="28"/>
      <c r="G904" s="28"/>
      <c r="H904" s="28"/>
      <c r="I904" s="65" t="str">
        <f aca="false">IF($A904="","",COUNTIFS($H$2:$H$1001,$A904,$D$2:$D$1001,"Reuse"))</f>
        <v/>
      </c>
    </row>
    <row r="905" customFormat="false" ht="15" hidden="false" customHeight="false" outlineLevel="0" collapsed="false">
      <c r="A905" s="28"/>
      <c r="B905" s="63"/>
      <c r="C905" s="28"/>
      <c r="D905" s="64"/>
      <c r="E905" s="28"/>
      <c r="F905" s="28"/>
      <c r="G905" s="28"/>
      <c r="H905" s="28"/>
      <c r="I905" s="65" t="str">
        <f aca="false">IF($A905="","",COUNTIFS($H$2:$H$1001,$A905,$D$2:$D$1001,"Reuse"))</f>
        <v/>
      </c>
    </row>
    <row r="906" customFormat="false" ht="15" hidden="false" customHeight="false" outlineLevel="0" collapsed="false">
      <c r="A906" s="28"/>
      <c r="B906" s="63"/>
      <c r="C906" s="28"/>
      <c r="D906" s="64"/>
      <c r="E906" s="28"/>
      <c r="F906" s="28"/>
      <c r="G906" s="28"/>
      <c r="H906" s="28"/>
      <c r="I906" s="65" t="str">
        <f aca="false">IF($A906="","",COUNTIFS($H$2:$H$1001,$A906,$D$2:$D$1001,"Reuse"))</f>
        <v/>
      </c>
    </row>
    <row r="907" customFormat="false" ht="15" hidden="false" customHeight="false" outlineLevel="0" collapsed="false">
      <c r="A907" s="28"/>
      <c r="B907" s="63"/>
      <c r="C907" s="28"/>
      <c r="D907" s="64"/>
      <c r="E907" s="28"/>
      <c r="F907" s="28"/>
      <c r="G907" s="28"/>
      <c r="H907" s="28"/>
      <c r="I907" s="65" t="str">
        <f aca="false">IF($A907="","",COUNTIFS($H$2:$H$1001,$A907,$D$2:$D$1001,"Reuse"))</f>
        <v/>
      </c>
    </row>
    <row r="908" customFormat="false" ht="15" hidden="false" customHeight="false" outlineLevel="0" collapsed="false">
      <c r="A908" s="28"/>
      <c r="B908" s="63"/>
      <c r="C908" s="28"/>
      <c r="D908" s="64"/>
      <c r="E908" s="28"/>
      <c r="F908" s="28"/>
      <c r="G908" s="28"/>
      <c r="H908" s="28"/>
      <c r="I908" s="65" t="str">
        <f aca="false">IF($A908="","",COUNTIFS($H$2:$H$1001,$A908,$D$2:$D$1001,"Reuse"))</f>
        <v/>
      </c>
    </row>
    <row r="909" customFormat="false" ht="15" hidden="false" customHeight="false" outlineLevel="0" collapsed="false">
      <c r="A909" s="28"/>
      <c r="B909" s="63"/>
      <c r="C909" s="28"/>
      <c r="D909" s="64"/>
      <c r="E909" s="28"/>
      <c r="F909" s="28"/>
      <c r="G909" s="28"/>
      <c r="H909" s="28"/>
      <c r="I909" s="65" t="str">
        <f aca="false">IF($A909="","",COUNTIFS($H$2:$H$1001,$A909,$D$2:$D$1001,"Reuse"))</f>
        <v/>
      </c>
    </row>
    <row r="910" customFormat="false" ht="15" hidden="false" customHeight="false" outlineLevel="0" collapsed="false">
      <c r="A910" s="28"/>
      <c r="B910" s="63"/>
      <c r="C910" s="28"/>
      <c r="D910" s="64"/>
      <c r="E910" s="28"/>
      <c r="F910" s="28"/>
      <c r="G910" s="28"/>
      <c r="H910" s="28"/>
      <c r="I910" s="65" t="str">
        <f aca="false">IF($A910="","",COUNTIFS($H$2:$H$1001,$A910,$D$2:$D$1001,"Reuse"))</f>
        <v/>
      </c>
    </row>
    <row r="911" customFormat="false" ht="15" hidden="false" customHeight="false" outlineLevel="0" collapsed="false">
      <c r="A911" s="28"/>
      <c r="B911" s="63"/>
      <c r="C911" s="28"/>
      <c r="D911" s="64"/>
      <c r="E911" s="28"/>
      <c r="F911" s="28"/>
      <c r="G911" s="28"/>
      <c r="H911" s="28"/>
      <c r="I911" s="65" t="str">
        <f aca="false">IF($A911="","",COUNTIFS($H$2:$H$1001,$A911,$D$2:$D$1001,"Reuse"))</f>
        <v/>
      </c>
    </row>
    <row r="912" customFormat="false" ht="15" hidden="false" customHeight="false" outlineLevel="0" collapsed="false">
      <c r="A912" s="28"/>
      <c r="B912" s="63"/>
      <c r="C912" s="28"/>
      <c r="D912" s="64"/>
      <c r="E912" s="28"/>
      <c r="F912" s="28"/>
      <c r="G912" s="28"/>
      <c r="H912" s="28"/>
      <c r="I912" s="65" t="str">
        <f aca="false">IF($A912="","",COUNTIFS($H$2:$H$1001,$A912,$D$2:$D$1001,"Reuse"))</f>
        <v/>
      </c>
    </row>
    <row r="913" customFormat="false" ht="15" hidden="false" customHeight="false" outlineLevel="0" collapsed="false">
      <c r="A913" s="28"/>
      <c r="B913" s="63"/>
      <c r="C913" s="28"/>
      <c r="D913" s="64"/>
      <c r="E913" s="28"/>
      <c r="F913" s="28"/>
      <c r="G913" s="28"/>
      <c r="H913" s="28"/>
      <c r="I913" s="65" t="str">
        <f aca="false">IF($A913="","",COUNTIFS($H$2:$H$1001,$A913,$D$2:$D$1001,"Reuse"))</f>
        <v/>
      </c>
    </row>
    <row r="914" customFormat="false" ht="15" hidden="false" customHeight="false" outlineLevel="0" collapsed="false">
      <c r="A914" s="28"/>
      <c r="B914" s="63"/>
      <c r="C914" s="28"/>
      <c r="D914" s="64"/>
      <c r="E914" s="28"/>
      <c r="F914" s="28"/>
      <c r="G914" s="28"/>
      <c r="H914" s="28"/>
      <c r="I914" s="65" t="str">
        <f aca="false">IF($A914="","",COUNTIFS($H$2:$H$1001,$A914,$D$2:$D$1001,"Reuse"))</f>
        <v/>
      </c>
    </row>
    <row r="915" customFormat="false" ht="15" hidden="false" customHeight="false" outlineLevel="0" collapsed="false">
      <c r="A915" s="28"/>
      <c r="B915" s="63"/>
      <c r="C915" s="28"/>
      <c r="D915" s="64"/>
      <c r="E915" s="28"/>
      <c r="F915" s="28"/>
      <c r="G915" s="28"/>
      <c r="H915" s="28"/>
      <c r="I915" s="65" t="str">
        <f aca="false">IF($A915="","",COUNTIFS($H$2:$H$1001,$A915,$D$2:$D$1001,"Reuse"))</f>
        <v/>
      </c>
    </row>
    <row r="916" customFormat="false" ht="15" hidden="false" customHeight="false" outlineLevel="0" collapsed="false">
      <c r="A916" s="28"/>
      <c r="B916" s="63"/>
      <c r="C916" s="28"/>
      <c r="D916" s="64"/>
      <c r="E916" s="28"/>
      <c r="F916" s="28"/>
      <c r="G916" s="28"/>
      <c r="H916" s="28"/>
      <c r="I916" s="65" t="str">
        <f aca="false">IF($A916="","",COUNTIFS($H$2:$H$1001,$A916,$D$2:$D$1001,"Reuse"))</f>
        <v/>
      </c>
    </row>
    <row r="917" customFormat="false" ht="15" hidden="false" customHeight="false" outlineLevel="0" collapsed="false">
      <c r="A917" s="28"/>
      <c r="B917" s="63"/>
      <c r="C917" s="28"/>
      <c r="D917" s="64"/>
      <c r="E917" s="28"/>
      <c r="F917" s="28"/>
      <c r="G917" s="28"/>
      <c r="H917" s="28"/>
      <c r="I917" s="65" t="str">
        <f aca="false">IF($A917="","",COUNTIFS($H$2:$H$1001,$A917,$D$2:$D$1001,"Reuse"))</f>
        <v/>
      </c>
    </row>
    <row r="918" customFormat="false" ht="15" hidden="false" customHeight="false" outlineLevel="0" collapsed="false">
      <c r="A918" s="28"/>
      <c r="B918" s="63"/>
      <c r="C918" s="28"/>
      <c r="D918" s="64"/>
      <c r="E918" s="28"/>
      <c r="F918" s="28"/>
      <c r="G918" s="28"/>
      <c r="H918" s="28"/>
      <c r="I918" s="65" t="str">
        <f aca="false">IF($A918="","",COUNTIFS($H$2:$H$1001,$A918,$D$2:$D$1001,"Reuse"))</f>
        <v/>
      </c>
    </row>
    <row r="919" customFormat="false" ht="15" hidden="false" customHeight="false" outlineLevel="0" collapsed="false">
      <c r="A919" s="28"/>
      <c r="B919" s="63"/>
      <c r="C919" s="28"/>
      <c r="D919" s="64"/>
      <c r="E919" s="28"/>
      <c r="F919" s="28"/>
      <c r="G919" s="28"/>
      <c r="H919" s="28"/>
      <c r="I919" s="65" t="str">
        <f aca="false">IF($A919="","",COUNTIFS($H$2:$H$1001,$A919,$D$2:$D$1001,"Reuse"))</f>
        <v/>
      </c>
    </row>
    <row r="920" customFormat="false" ht="15" hidden="false" customHeight="false" outlineLevel="0" collapsed="false">
      <c r="A920" s="28"/>
      <c r="B920" s="63"/>
      <c r="C920" s="28"/>
      <c r="D920" s="64"/>
      <c r="E920" s="28"/>
      <c r="F920" s="28"/>
      <c r="G920" s="28"/>
      <c r="H920" s="28"/>
      <c r="I920" s="65" t="str">
        <f aca="false">IF($A920="","",COUNTIFS($H$2:$H$1001,$A920,$D$2:$D$1001,"Reuse"))</f>
        <v/>
      </c>
    </row>
    <row r="921" customFormat="false" ht="15" hidden="false" customHeight="false" outlineLevel="0" collapsed="false">
      <c r="A921" s="28"/>
      <c r="B921" s="63"/>
      <c r="C921" s="28"/>
      <c r="D921" s="64"/>
      <c r="E921" s="28"/>
      <c r="F921" s="28"/>
      <c r="G921" s="28"/>
      <c r="H921" s="28"/>
      <c r="I921" s="65" t="str">
        <f aca="false">IF($A921="","",COUNTIFS($H$2:$H$1001,$A921,$D$2:$D$1001,"Reuse"))</f>
        <v/>
      </c>
    </row>
    <row r="922" customFormat="false" ht="15" hidden="false" customHeight="false" outlineLevel="0" collapsed="false">
      <c r="A922" s="28"/>
      <c r="B922" s="63"/>
      <c r="C922" s="28"/>
      <c r="D922" s="64"/>
      <c r="E922" s="28"/>
      <c r="F922" s="28"/>
      <c r="G922" s="28"/>
      <c r="H922" s="28"/>
      <c r="I922" s="65" t="str">
        <f aca="false">IF($A922="","",COUNTIFS($H$2:$H$1001,$A922,$D$2:$D$1001,"Reuse"))</f>
        <v/>
      </c>
    </row>
    <row r="923" customFormat="false" ht="15" hidden="false" customHeight="false" outlineLevel="0" collapsed="false">
      <c r="A923" s="28"/>
      <c r="B923" s="63"/>
      <c r="C923" s="28"/>
      <c r="D923" s="64"/>
      <c r="E923" s="28"/>
      <c r="F923" s="28"/>
      <c r="G923" s="28"/>
      <c r="H923" s="28"/>
      <c r="I923" s="65" t="str">
        <f aca="false">IF($A923="","",COUNTIFS($H$2:$H$1001,$A923,$D$2:$D$1001,"Reuse"))</f>
        <v/>
      </c>
    </row>
    <row r="924" customFormat="false" ht="15" hidden="false" customHeight="false" outlineLevel="0" collapsed="false">
      <c r="A924" s="28"/>
      <c r="B924" s="63"/>
      <c r="C924" s="28"/>
      <c r="D924" s="64"/>
      <c r="E924" s="28"/>
      <c r="F924" s="28"/>
      <c r="G924" s="28"/>
      <c r="H924" s="28"/>
      <c r="I924" s="65" t="str">
        <f aca="false">IF($A924="","",COUNTIFS($H$2:$H$1001,$A924,$D$2:$D$1001,"Reuse"))</f>
        <v/>
      </c>
    </row>
    <row r="925" customFormat="false" ht="15" hidden="false" customHeight="false" outlineLevel="0" collapsed="false">
      <c r="A925" s="28"/>
      <c r="B925" s="63"/>
      <c r="C925" s="28"/>
      <c r="D925" s="64"/>
      <c r="E925" s="28"/>
      <c r="F925" s="28"/>
      <c r="G925" s="28"/>
      <c r="H925" s="28"/>
      <c r="I925" s="65" t="str">
        <f aca="false">IF($A925="","",COUNTIFS($H$2:$H$1001,$A925,$D$2:$D$1001,"Reuse"))</f>
        <v/>
      </c>
    </row>
    <row r="926" customFormat="false" ht="15" hidden="false" customHeight="false" outlineLevel="0" collapsed="false">
      <c r="A926" s="28"/>
      <c r="B926" s="63"/>
      <c r="C926" s="28"/>
      <c r="D926" s="64"/>
      <c r="E926" s="28"/>
      <c r="F926" s="28"/>
      <c r="G926" s="28"/>
      <c r="H926" s="28"/>
      <c r="I926" s="65" t="str">
        <f aca="false">IF($A926="","",COUNTIFS($H$2:$H$1001,$A926,$D$2:$D$1001,"Reuse"))</f>
        <v/>
      </c>
    </row>
    <row r="927" customFormat="false" ht="15" hidden="false" customHeight="false" outlineLevel="0" collapsed="false">
      <c r="A927" s="28"/>
      <c r="B927" s="63"/>
      <c r="C927" s="28"/>
      <c r="D927" s="64"/>
      <c r="E927" s="28"/>
      <c r="F927" s="28"/>
      <c r="G927" s="28"/>
      <c r="H927" s="28"/>
      <c r="I927" s="65" t="str">
        <f aca="false">IF($A927="","",COUNTIFS($H$2:$H$1001,$A927,$D$2:$D$1001,"Reuse"))</f>
        <v/>
      </c>
    </row>
    <row r="928" customFormat="false" ht="15" hidden="false" customHeight="false" outlineLevel="0" collapsed="false">
      <c r="A928" s="28"/>
      <c r="B928" s="63"/>
      <c r="C928" s="28"/>
      <c r="D928" s="64"/>
      <c r="E928" s="28"/>
      <c r="F928" s="28"/>
      <c r="G928" s="28"/>
      <c r="H928" s="28"/>
      <c r="I928" s="65" t="str">
        <f aca="false">IF($A928="","",COUNTIFS($H$2:$H$1001,$A928,$D$2:$D$1001,"Reuse"))</f>
        <v/>
      </c>
    </row>
    <row r="929" customFormat="false" ht="15" hidden="false" customHeight="false" outlineLevel="0" collapsed="false">
      <c r="A929" s="28"/>
      <c r="B929" s="63"/>
      <c r="C929" s="28"/>
      <c r="D929" s="64"/>
      <c r="E929" s="28"/>
      <c r="F929" s="28"/>
      <c r="G929" s="28"/>
      <c r="H929" s="28"/>
      <c r="I929" s="65" t="str">
        <f aca="false">IF($A929="","",COUNTIFS($H$2:$H$1001,$A929,$D$2:$D$1001,"Reuse"))</f>
        <v/>
      </c>
    </row>
    <row r="930" customFormat="false" ht="15" hidden="false" customHeight="false" outlineLevel="0" collapsed="false">
      <c r="A930" s="28"/>
      <c r="B930" s="63"/>
      <c r="C930" s="28"/>
      <c r="D930" s="64"/>
      <c r="E930" s="28"/>
      <c r="F930" s="28"/>
      <c r="G930" s="28"/>
      <c r="H930" s="28"/>
      <c r="I930" s="65" t="str">
        <f aca="false">IF($A930="","",COUNTIFS($H$2:$H$1001,$A930,$D$2:$D$1001,"Reuse"))</f>
        <v/>
      </c>
    </row>
    <row r="931" customFormat="false" ht="15" hidden="false" customHeight="false" outlineLevel="0" collapsed="false">
      <c r="A931" s="28"/>
      <c r="B931" s="63"/>
      <c r="C931" s="28"/>
      <c r="D931" s="64"/>
      <c r="E931" s="28"/>
      <c r="F931" s="28"/>
      <c r="G931" s="28"/>
      <c r="H931" s="28"/>
      <c r="I931" s="65" t="str">
        <f aca="false">IF($A931="","",COUNTIFS($H$2:$H$1001,$A931,$D$2:$D$1001,"Reuse"))</f>
        <v/>
      </c>
    </row>
    <row r="932" customFormat="false" ht="15" hidden="false" customHeight="false" outlineLevel="0" collapsed="false">
      <c r="A932" s="28"/>
      <c r="B932" s="63"/>
      <c r="C932" s="28"/>
      <c r="D932" s="64"/>
      <c r="E932" s="28"/>
      <c r="F932" s="28"/>
      <c r="G932" s="28"/>
      <c r="H932" s="28"/>
      <c r="I932" s="65" t="str">
        <f aca="false">IF($A932="","",COUNTIFS($H$2:$H$1001,$A932,$D$2:$D$1001,"Reuse"))</f>
        <v/>
      </c>
    </row>
    <row r="933" customFormat="false" ht="15" hidden="false" customHeight="false" outlineLevel="0" collapsed="false">
      <c r="A933" s="28"/>
      <c r="B933" s="63"/>
      <c r="C933" s="28"/>
      <c r="D933" s="64"/>
      <c r="E933" s="28"/>
      <c r="F933" s="28"/>
      <c r="G933" s="28"/>
      <c r="H933" s="28"/>
      <c r="I933" s="65" t="str">
        <f aca="false">IF($A933="","",COUNTIFS($H$2:$H$1001,$A933,$D$2:$D$1001,"Reuse"))</f>
        <v/>
      </c>
    </row>
    <row r="934" customFormat="false" ht="15" hidden="false" customHeight="false" outlineLevel="0" collapsed="false">
      <c r="A934" s="28"/>
      <c r="B934" s="63"/>
      <c r="C934" s="28"/>
      <c r="D934" s="64"/>
      <c r="E934" s="28"/>
      <c r="F934" s="28"/>
      <c r="G934" s="28"/>
      <c r="H934" s="28"/>
      <c r="I934" s="65" t="str">
        <f aca="false">IF($A934="","",COUNTIFS($H$2:$H$1001,$A934,$D$2:$D$1001,"Reuse"))</f>
        <v/>
      </c>
    </row>
    <row r="935" customFormat="false" ht="15" hidden="false" customHeight="false" outlineLevel="0" collapsed="false">
      <c r="A935" s="28"/>
      <c r="B935" s="63"/>
      <c r="C935" s="28"/>
      <c r="D935" s="64"/>
      <c r="E935" s="28"/>
      <c r="F935" s="28"/>
      <c r="G935" s="28"/>
      <c r="H935" s="28"/>
      <c r="I935" s="65" t="str">
        <f aca="false">IF($A935="","",COUNTIFS($H$2:$H$1001,$A935,$D$2:$D$1001,"Reuse"))</f>
        <v/>
      </c>
    </row>
    <row r="936" customFormat="false" ht="15" hidden="false" customHeight="false" outlineLevel="0" collapsed="false">
      <c r="A936" s="28"/>
      <c r="B936" s="63"/>
      <c r="C936" s="28"/>
      <c r="D936" s="64"/>
      <c r="E936" s="28"/>
      <c r="F936" s="28"/>
      <c r="G936" s="28"/>
      <c r="H936" s="28"/>
      <c r="I936" s="65" t="str">
        <f aca="false">IF($A936="","",COUNTIFS($H$2:$H$1001,$A936,$D$2:$D$1001,"Reuse"))</f>
        <v/>
      </c>
    </row>
    <row r="937" customFormat="false" ht="15" hidden="false" customHeight="false" outlineLevel="0" collapsed="false">
      <c r="A937" s="28"/>
      <c r="B937" s="63"/>
      <c r="C937" s="28"/>
      <c r="D937" s="64"/>
      <c r="E937" s="28"/>
      <c r="F937" s="28"/>
      <c r="G937" s="28"/>
      <c r="H937" s="28"/>
      <c r="I937" s="65" t="str">
        <f aca="false">IF($A937="","",COUNTIFS($H$2:$H$1001,$A937,$D$2:$D$1001,"Reuse"))</f>
        <v/>
      </c>
    </row>
    <row r="938" customFormat="false" ht="15" hidden="false" customHeight="false" outlineLevel="0" collapsed="false">
      <c r="A938" s="28"/>
      <c r="B938" s="63"/>
      <c r="C938" s="28"/>
      <c r="D938" s="64"/>
      <c r="E938" s="28"/>
      <c r="F938" s="28"/>
      <c r="G938" s="28"/>
      <c r="H938" s="28"/>
      <c r="I938" s="65" t="str">
        <f aca="false">IF($A938="","",COUNTIFS($H$2:$H$1001,$A938,$D$2:$D$1001,"Reuse"))</f>
        <v/>
      </c>
    </row>
    <row r="939" customFormat="false" ht="15" hidden="false" customHeight="false" outlineLevel="0" collapsed="false">
      <c r="A939" s="28"/>
      <c r="B939" s="63"/>
      <c r="C939" s="28"/>
      <c r="D939" s="64"/>
      <c r="E939" s="28"/>
      <c r="F939" s="28"/>
      <c r="G939" s="28"/>
      <c r="H939" s="28"/>
      <c r="I939" s="65" t="str">
        <f aca="false">IF($A939="","",COUNTIFS($H$2:$H$1001,$A939,$D$2:$D$1001,"Reuse"))</f>
        <v/>
      </c>
    </row>
    <row r="940" customFormat="false" ht="15" hidden="false" customHeight="false" outlineLevel="0" collapsed="false">
      <c r="A940" s="28"/>
      <c r="B940" s="63"/>
      <c r="C940" s="28"/>
      <c r="D940" s="64"/>
      <c r="E940" s="28"/>
      <c r="F940" s="28"/>
      <c r="G940" s="28"/>
      <c r="H940" s="28"/>
      <c r="I940" s="65" t="str">
        <f aca="false">IF($A940="","",COUNTIFS($H$2:$H$1001,$A940,$D$2:$D$1001,"Reuse"))</f>
        <v/>
      </c>
    </row>
    <row r="941" customFormat="false" ht="15" hidden="false" customHeight="false" outlineLevel="0" collapsed="false">
      <c r="A941" s="28"/>
      <c r="B941" s="63"/>
      <c r="C941" s="28"/>
      <c r="D941" s="64"/>
      <c r="E941" s="28"/>
      <c r="F941" s="28"/>
      <c r="G941" s="28"/>
      <c r="H941" s="28"/>
      <c r="I941" s="65" t="str">
        <f aca="false">IF($A941="","",COUNTIFS($H$2:$H$1001,$A941,$D$2:$D$1001,"Reuse"))</f>
        <v/>
      </c>
    </row>
    <row r="942" customFormat="false" ht="15" hidden="false" customHeight="false" outlineLevel="0" collapsed="false">
      <c r="A942" s="28"/>
      <c r="B942" s="63"/>
      <c r="C942" s="28"/>
      <c r="D942" s="64"/>
      <c r="E942" s="28"/>
      <c r="F942" s="28"/>
      <c r="G942" s="28"/>
      <c r="H942" s="28"/>
      <c r="I942" s="65" t="str">
        <f aca="false">IF($A942="","",COUNTIFS($H$2:$H$1001,$A942,$D$2:$D$1001,"Reuse"))</f>
        <v/>
      </c>
    </row>
    <row r="943" customFormat="false" ht="15" hidden="false" customHeight="false" outlineLevel="0" collapsed="false">
      <c r="A943" s="28"/>
      <c r="B943" s="63"/>
      <c r="C943" s="28"/>
      <c r="D943" s="64"/>
      <c r="E943" s="28"/>
      <c r="F943" s="28"/>
      <c r="G943" s="28"/>
      <c r="H943" s="28"/>
      <c r="I943" s="65" t="str">
        <f aca="false">IF($A943="","",COUNTIFS($H$2:$H$1001,$A943,$D$2:$D$1001,"Reuse"))</f>
        <v/>
      </c>
    </row>
    <row r="944" customFormat="false" ht="15" hidden="false" customHeight="false" outlineLevel="0" collapsed="false">
      <c r="A944" s="28"/>
      <c r="B944" s="63"/>
      <c r="C944" s="28"/>
      <c r="D944" s="64"/>
      <c r="E944" s="28"/>
      <c r="F944" s="28"/>
      <c r="G944" s="28"/>
      <c r="H944" s="28"/>
      <c r="I944" s="65" t="str">
        <f aca="false">IF($A944="","",COUNTIFS($H$2:$H$1001,$A944,$D$2:$D$1001,"Reuse"))</f>
        <v/>
      </c>
    </row>
    <row r="945" customFormat="false" ht="15" hidden="false" customHeight="false" outlineLevel="0" collapsed="false">
      <c r="A945" s="28"/>
      <c r="B945" s="63"/>
      <c r="C945" s="28"/>
      <c r="D945" s="64"/>
      <c r="E945" s="28"/>
      <c r="F945" s="28"/>
      <c r="G945" s="28"/>
      <c r="H945" s="28"/>
      <c r="I945" s="65" t="str">
        <f aca="false">IF($A945="","",COUNTIFS($H$2:$H$1001,$A945,$D$2:$D$1001,"Reuse"))</f>
        <v/>
      </c>
    </row>
    <row r="946" customFormat="false" ht="15" hidden="false" customHeight="false" outlineLevel="0" collapsed="false">
      <c r="A946" s="28"/>
      <c r="B946" s="63"/>
      <c r="C946" s="28"/>
      <c r="D946" s="64"/>
      <c r="E946" s="28"/>
      <c r="F946" s="28"/>
      <c r="G946" s="28"/>
      <c r="H946" s="28"/>
      <c r="I946" s="65" t="str">
        <f aca="false">IF($A946="","",COUNTIFS($H$2:$H$1001,$A946,$D$2:$D$1001,"Reuse"))</f>
        <v/>
      </c>
    </row>
    <row r="947" customFormat="false" ht="15" hidden="false" customHeight="false" outlineLevel="0" collapsed="false">
      <c r="A947" s="28"/>
      <c r="B947" s="63"/>
      <c r="C947" s="28"/>
      <c r="D947" s="64"/>
      <c r="E947" s="28"/>
      <c r="F947" s="28"/>
      <c r="G947" s="28"/>
      <c r="H947" s="28"/>
      <c r="I947" s="65" t="str">
        <f aca="false">IF($A947="","",COUNTIFS($H$2:$H$1001,$A947,$D$2:$D$1001,"Reuse"))</f>
        <v/>
      </c>
    </row>
    <row r="948" customFormat="false" ht="15" hidden="false" customHeight="false" outlineLevel="0" collapsed="false">
      <c r="A948" s="28"/>
      <c r="B948" s="63"/>
      <c r="C948" s="28"/>
      <c r="D948" s="64"/>
      <c r="E948" s="28"/>
      <c r="F948" s="28"/>
      <c r="G948" s="28"/>
      <c r="H948" s="28"/>
      <c r="I948" s="65" t="str">
        <f aca="false">IF($A948="","",COUNTIFS($H$2:$H$1001,$A948,$D$2:$D$1001,"Reuse"))</f>
        <v/>
      </c>
    </row>
    <row r="949" customFormat="false" ht="15" hidden="false" customHeight="false" outlineLevel="0" collapsed="false">
      <c r="A949" s="28"/>
      <c r="B949" s="63"/>
      <c r="C949" s="28"/>
      <c r="D949" s="64"/>
      <c r="E949" s="28"/>
      <c r="F949" s="28"/>
      <c r="G949" s="28"/>
      <c r="H949" s="28"/>
      <c r="I949" s="65" t="str">
        <f aca="false">IF($A949="","",COUNTIFS($H$2:$H$1001,$A949,$D$2:$D$1001,"Reuse"))</f>
        <v/>
      </c>
    </row>
    <row r="950" customFormat="false" ht="15" hidden="false" customHeight="false" outlineLevel="0" collapsed="false">
      <c r="A950" s="28"/>
      <c r="B950" s="63"/>
      <c r="C950" s="28"/>
      <c r="D950" s="64"/>
      <c r="E950" s="28"/>
      <c r="F950" s="28"/>
      <c r="G950" s="28"/>
      <c r="H950" s="28"/>
      <c r="I950" s="65" t="str">
        <f aca="false">IF($A950="","",COUNTIFS($H$2:$H$1001,$A950,$D$2:$D$1001,"Reuse"))</f>
        <v/>
      </c>
    </row>
    <row r="951" customFormat="false" ht="15" hidden="false" customHeight="false" outlineLevel="0" collapsed="false">
      <c r="A951" s="28"/>
      <c r="B951" s="63"/>
      <c r="C951" s="28"/>
      <c r="D951" s="64"/>
      <c r="E951" s="28"/>
      <c r="F951" s="28"/>
      <c r="G951" s="28"/>
      <c r="H951" s="28"/>
      <c r="I951" s="65" t="str">
        <f aca="false">IF($A951="","",COUNTIFS($H$2:$H$1001,$A951,$D$2:$D$1001,"Reuse"))</f>
        <v/>
      </c>
    </row>
    <row r="952" customFormat="false" ht="15" hidden="false" customHeight="false" outlineLevel="0" collapsed="false">
      <c r="A952" s="28"/>
      <c r="B952" s="63"/>
      <c r="C952" s="28"/>
      <c r="D952" s="64"/>
      <c r="E952" s="28"/>
      <c r="F952" s="28"/>
      <c r="G952" s="28"/>
      <c r="H952" s="28"/>
      <c r="I952" s="65" t="str">
        <f aca="false">IF($A952="","",COUNTIFS($H$2:$H$1001,$A952,$D$2:$D$1001,"Reuse"))</f>
        <v/>
      </c>
    </row>
    <row r="953" customFormat="false" ht="15" hidden="false" customHeight="false" outlineLevel="0" collapsed="false">
      <c r="A953" s="28"/>
      <c r="B953" s="63"/>
      <c r="C953" s="28"/>
      <c r="D953" s="64"/>
      <c r="E953" s="28"/>
      <c r="F953" s="28"/>
      <c r="G953" s="28"/>
      <c r="H953" s="28"/>
      <c r="I953" s="65" t="str">
        <f aca="false">IF($A953="","",COUNTIFS($H$2:$H$1001,$A953,$D$2:$D$1001,"Reuse"))</f>
        <v/>
      </c>
    </row>
    <row r="954" customFormat="false" ht="15" hidden="false" customHeight="false" outlineLevel="0" collapsed="false">
      <c r="A954" s="28"/>
      <c r="B954" s="63"/>
      <c r="C954" s="28"/>
      <c r="D954" s="64"/>
      <c r="E954" s="28"/>
      <c r="F954" s="28"/>
      <c r="G954" s="28"/>
      <c r="H954" s="28"/>
      <c r="I954" s="65" t="str">
        <f aca="false">IF($A954="","",COUNTIFS($H$2:$H$1001,$A954,$D$2:$D$1001,"Reuse"))</f>
        <v/>
      </c>
    </row>
    <row r="955" customFormat="false" ht="15" hidden="false" customHeight="false" outlineLevel="0" collapsed="false">
      <c r="A955" s="28"/>
      <c r="B955" s="63"/>
      <c r="C955" s="28"/>
      <c r="D955" s="64"/>
      <c r="E955" s="28"/>
      <c r="F955" s="28"/>
      <c r="G955" s="28"/>
      <c r="H955" s="28"/>
      <c r="I955" s="65" t="str">
        <f aca="false">IF($A955="","",COUNTIFS($H$2:$H$1001,$A955,$D$2:$D$1001,"Reuse"))</f>
        <v/>
      </c>
    </row>
    <row r="956" customFormat="false" ht="15" hidden="false" customHeight="false" outlineLevel="0" collapsed="false">
      <c r="A956" s="28"/>
      <c r="B956" s="63"/>
      <c r="C956" s="28"/>
      <c r="D956" s="64"/>
      <c r="E956" s="28"/>
      <c r="F956" s="28"/>
      <c r="G956" s="28"/>
      <c r="H956" s="28"/>
      <c r="I956" s="65" t="str">
        <f aca="false">IF($A956="","",COUNTIFS($H$2:$H$1001,$A956,$D$2:$D$1001,"Reuse"))</f>
        <v/>
      </c>
    </row>
    <row r="957" customFormat="false" ht="15" hidden="false" customHeight="false" outlineLevel="0" collapsed="false">
      <c r="A957" s="28"/>
      <c r="B957" s="63"/>
      <c r="C957" s="28"/>
      <c r="D957" s="64"/>
      <c r="E957" s="28"/>
      <c r="F957" s="28"/>
      <c r="G957" s="28"/>
      <c r="H957" s="28"/>
      <c r="I957" s="65" t="str">
        <f aca="false">IF($A957="","",COUNTIFS($H$2:$H$1001,$A957,$D$2:$D$1001,"Reuse"))</f>
        <v/>
      </c>
    </row>
    <row r="958" customFormat="false" ht="15" hidden="false" customHeight="false" outlineLevel="0" collapsed="false">
      <c r="A958" s="28"/>
      <c r="B958" s="63"/>
      <c r="C958" s="28"/>
      <c r="D958" s="64"/>
      <c r="E958" s="28"/>
      <c r="F958" s="28"/>
      <c r="G958" s="28"/>
      <c r="H958" s="28"/>
      <c r="I958" s="65" t="str">
        <f aca="false">IF($A958="","",COUNTIFS($H$2:$H$1001,$A958,$D$2:$D$1001,"Reuse"))</f>
        <v/>
      </c>
    </row>
    <row r="959" customFormat="false" ht="15" hidden="false" customHeight="false" outlineLevel="0" collapsed="false">
      <c r="A959" s="28"/>
      <c r="B959" s="63"/>
      <c r="C959" s="28"/>
      <c r="D959" s="64"/>
      <c r="E959" s="28"/>
      <c r="F959" s="28"/>
      <c r="G959" s="28"/>
      <c r="H959" s="28"/>
      <c r="I959" s="65" t="str">
        <f aca="false">IF($A959="","",COUNTIFS($H$2:$H$1001,$A959,$D$2:$D$1001,"Reuse"))</f>
        <v/>
      </c>
    </row>
    <row r="960" customFormat="false" ht="15" hidden="false" customHeight="false" outlineLevel="0" collapsed="false">
      <c r="A960" s="28"/>
      <c r="B960" s="63"/>
      <c r="C960" s="28"/>
      <c r="D960" s="64"/>
      <c r="E960" s="28"/>
      <c r="F960" s="28"/>
      <c r="G960" s="28"/>
      <c r="H960" s="28"/>
      <c r="I960" s="65" t="str">
        <f aca="false">IF($A960="","",COUNTIFS($H$2:$H$1001,$A960,$D$2:$D$1001,"Reuse"))</f>
        <v/>
      </c>
    </row>
    <row r="961" customFormat="false" ht="15" hidden="false" customHeight="false" outlineLevel="0" collapsed="false">
      <c r="A961" s="28"/>
      <c r="B961" s="63"/>
      <c r="C961" s="28"/>
      <c r="D961" s="64"/>
      <c r="E961" s="28"/>
      <c r="F961" s="28"/>
      <c r="G961" s="28"/>
      <c r="H961" s="28"/>
      <c r="I961" s="65" t="str">
        <f aca="false">IF($A961="","",COUNTIFS($H$2:$H$1001,$A961,$D$2:$D$1001,"Reuse"))</f>
        <v/>
      </c>
    </row>
    <row r="962" customFormat="false" ht="15" hidden="false" customHeight="false" outlineLevel="0" collapsed="false">
      <c r="A962" s="28"/>
      <c r="B962" s="63"/>
      <c r="C962" s="28"/>
      <c r="D962" s="64"/>
      <c r="E962" s="28"/>
      <c r="F962" s="28"/>
      <c r="G962" s="28"/>
      <c r="H962" s="28"/>
      <c r="I962" s="65" t="str">
        <f aca="false">IF($A962="","",COUNTIFS($H$2:$H$1001,$A962,$D$2:$D$1001,"Reuse"))</f>
        <v/>
      </c>
    </row>
    <row r="963" customFormat="false" ht="15" hidden="false" customHeight="false" outlineLevel="0" collapsed="false">
      <c r="A963" s="28"/>
      <c r="B963" s="63"/>
      <c r="C963" s="28"/>
      <c r="D963" s="64"/>
      <c r="E963" s="28"/>
      <c r="F963" s="28"/>
      <c r="G963" s="28"/>
      <c r="H963" s="28"/>
      <c r="I963" s="65" t="str">
        <f aca="false">IF($A963="","",COUNTIFS($H$2:$H$1001,$A963,$D$2:$D$1001,"Reuse"))</f>
        <v/>
      </c>
    </row>
    <row r="964" customFormat="false" ht="15" hidden="false" customHeight="false" outlineLevel="0" collapsed="false">
      <c r="A964" s="28"/>
      <c r="B964" s="63"/>
      <c r="C964" s="28"/>
      <c r="D964" s="64"/>
      <c r="E964" s="28"/>
      <c r="F964" s="28"/>
      <c r="G964" s="28"/>
      <c r="H964" s="28"/>
      <c r="I964" s="65" t="str">
        <f aca="false">IF($A964="","",COUNTIFS($H$2:$H$1001,$A964,$D$2:$D$1001,"Reuse"))</f>
        <v/>
      </c>
    </row>
    <row r="965" customFormat="false" ht="15" hidden="false" customHeight="false" outlineLevel="0" collapsed="false">
      <c r="A965" s="28"/>
      <c r="B965" s="63"/>
      <c r="C965" s="28"/>
      <c r="D965" s="64"/>
      <c r="E965" s="28"/>
      <c r="F965" s="28"/>
      <c r="G965" s="28"/>
      <c r="H965" s="28"/>
      <c r="I965" s="65" t="str">
        <f aca="false">IF($A965="","",COUNTIFS($H$2:$H$1001,$A965,$D$2:$D$1001,"Reuse"))</f>
        <v/>
      </c>
    </row>
    <row r="966" customFormat="false" ht="15" hidden="false" customHeight="false" outlineLevel="0" collapsed="false">
      <c r="A966" s="28"/>
      <c r="B966" s="63"/>
      <c r="C966" s="28"/>
      <c r="D966" s="64"/>
      <c r="E966" s="28"/>
      <c r="F966" s="28"/>
      <c r="G966" s="28"/>
      <c r="H966" s="28"/>
      <c r="I966" s="65" t="str">
        <f aca="false">IF($A966="","",COUNTIFS($H$2:$H$1001,$A966,$D$2:$D$1001,"Reuse"))</f>
        <v/>
      </c>
    </row>
    <row r="967" customFormat="false" ht="15" hidden="false" customHeight="false" outlineLevel="0" collapsed="false">
      <c r="A967" s="28"/>
      <c r="B967" s="63"/>
      <c r="C967" s="28"/>
      <c r="D967" s="64"/>
      <c r="E967" s="28"/>
      <c r="F967" s="28"/>
      <c r="G967" s="28"/>
      <c r="H967" s="28"/>
      <c r="I967" s="65" t="str">
        <f aca="false">IF($A967="","",COUNTIFS($H$2:$H$1001,$A967,$D$2:$D$1001,"Reuse"))</f>
        <v/>
      </c>
    </row>
    <row r="968" customFormat="false" ht="15" hidden="false" customHeight="false" outlineLevel="0" collapsed="false">
      <c r="A968" s="28"/>
      <c r="B968" s="63"/>
      <c r="C968" s="28"/>
      <c r="D968" s="64"/>
      <c r="E968" s="28"/>
      <c r="F968" s="28"/>
      <c r="G968" s="28"/>
      <c r="H968" s="28"/>
      <c r="I968" s="65" t="str">
        <f aca="false">IF($A968="","",COUNTIFS($H$2:$H$1001,$A968,$D$2:$D$1001,"Reuse"))</f>
        <v/>
      </c>
    </row>
    <row r="969" customFormat="false" ht="15" hidden="false" customHeight="false" outlineLevel="0" collapsed="false">
      <c r="A969" s="28"/>
      <c r="B969" s="63"/>
      <c r="C969" s="28"/>
      <c r="D969" s="64"/>
      <c r="E969" s="28"/>
      <c r="F969" s="28"/>
      <c r="G969" s="28"/>
      <c r="H969" s="28"/>
      <c r="I969" s="65" t="str">
        <f aca="false">IF($A969="","",COUNTIFS($H$2:$H$1001,$A969,$D$2:$D$1001,"Reuse"))</f>
        <v/>
      </c>
    </row>
    <row r="970" customFormat="false" ht="15" hidden="false" customHeight="false" outlineLevel="0" collapsed="false">
      <c r="A970" s="28"/>
      <c r="B970" s="63"/>
      <c r="C970" s="28"/>
      <c r="D970" s="64"/>
      <c r="E970" s="28"/>
      <c r="F970" s="28"/>
      <c r="G970" s="28"/>
      <c r="H970" s="28"/>
      <c r="I970" s="65" t="str">
        <f aca="false">IF($A970="","",COUNTIFS($H$2:$H$1001,$A970,$D$2:$D$1001,"Reuse"))</f>
        <v/>
      </c>
    </row>
    <row r="971" customFormat="false" ht="15" hidden="false" customHeight="false" outlineLevel="0" collapsed="false">
      <c r="A971" s="28"/>
      <c r="B971" s="63"/>
      <c r="C971" s="28"/>
      <c r="D971" s="64"/>
      <c r="E971" s="28"/>
      <c r="F971" s="28"/>
      <c r="G971" s="28"/>
      <c r="H971" s="28"/>
      <c r="I971" s="65" t="str">
        <f aca="false">IF($A971="","",COUNTIFS($H$2:$H$1001,$A971,$D$2:$D$1001,"Reuse"))</f>
        <v/>
      </c>
    </row>
    <row r="972" customFormat="false" ht="15" hidden="false" customHeight="false" outlineLevel="0" collapsed="false">
      <c r="A972" s="28"/>
      <c r="B972" s="63"/>
      <c r="C972" s="28"/>
      <c r="D972" s="64"/>
      <c r="E972" s="28"/>
      <c r="F972" s="28"/>
      <c r="G972" s="28"/>
      <c r="H972" s="28"/>
      <c r="I972" s="65" t="str">
        <f aca="false">IF($A972="","",COUNTIFS($H$2:$H$1001,$A972,$D$2:$D$1001,"Reuse"))</f>
        <v/>
      </c>
    </row>
    <row r="973" customFormat="false" ht="15" hidden="false" customHeight="false" outlineLevel="0" collapsed="false">
      <c r="A973" s="28"/>
      <c r="B973" s="63"/>
      <c r="C973" s="28"/>
      <c r="D973" s="64"/>
      <c r="E973" s="28"/>
      <c r="F973" s="28"/>
      <c r="G973" s="28"/>
      <c r="H973" s="28"/>
      <c r="I973" s="65" t="str">
        <f aca="false">IF($A973="","",COUNTIFS($H$2:$H$1001,$A973,$D$2:$D$1001,"Reuse"))</f>
        <v/>
      </c>
    </row>
    <row r="974" customFormat="false" ht="15" hidden="false" customHeight="false" outlineLevel="0" collapsed="false">
      <c r="A974" s="28"/>
      <c r="B974" s="63"/>
      <c r="C974" s="28"/>
      <c r="D974" s="64"/>
      <c r="E974" s="28"/>
      <c r="F974" s="28"/>
      <c r="G974" s="28"/>
      <c r="H974" s="28"/>
      <c r="I974" s="65" t="str">
        <f aca="false">IF($A974="","",COUNTIFS($H$2:$H$1001,$A974,$D$2:$D$1001,"Reuse"))</f>
        <v/>
      </c>
    </row>
    <row r="975" customFormat="false" ht="15" hidden="false" customHeight="false" outlineLevel="0" collapsed="false">
      <c r="A975" s="28"/>
      <c r="B975" s="63"/>
      <c r="C975" s="28"/>
      <c r="D975" s="64"/>
      <c r="E975" s="28"/>
      <c r="F975" s="28"/>
      <c r="G975" s="28"/>
      <c r="H975" s="28"/>
      <c r="I975" s="65" t="str">
        <f aca="false">IF($A975="","",COUNTIFS($H$2:$H$1001,$A975,$D$2:$D$1001,"Reuse"))</f>
        <v/>
      </c>
    </row>
    <row r="976" customFormat="false" ht="15" hidden="false" customHeight="false" outlineLevel="0" collapsed="false">
      <c r="A976" s="28"/>
      <c r="B976" s="63"/>
      <c r="C976" s="28"/>
      <c r="D976" s="64"/>
      <c r="E976" s="28"/>
      <c r="F976" s="28"/>
      <c r="G976" s="28"/>
      <c r="H976" s="28"/>
      <c r="I976" s="65" t="str">
        <f aca="false">IF($A976="","",COUNTIFS($H$2:$H$1001,$A976,$D$2:$D$1001,"Reuse"))</f>
        <v/>
      </c>
    </row>
    <row r="977" customFormat="false" ht="15" hidden="false" customHeight="false" outlineLevel="0" collapsed="false">
      <c r="A977" s="28"/>
      <c r="B977" s="63"/>
      <c r="C977" s="28"/>
      <c r="D977" s="64"/>
      <c r="E977" s="28"/>
      <c r="F977" s="28"/>
      <c r="G977" s="28"/>
      <c r="H977" s="28"/>
      <c r="I977" s="65" t="str">
        <f aca="false">IF($A977="","",COUNTIFS($H$2:$H$1001,$A977,$D$2:$D$1001,"Reuse"))</f>
        <v/>
      </c>
    </row>
    <row r="978" customFormat="false" ht="15" hidden="false" customHeight="false" outlineLevel="0" collapsed="false">
      <c r="A978" s="28"/>
      <c r="B978" s="63"/>
      <c r="C978" s="28"/>
      <c r="D978" s="64"/>
      <c r="E978" s="28"/>
      <c r="F978" s="28"/>
      <c r="G978" s="28"/>
      <c r="H978" s="28"/>
      <c r="I978" s="65" t="str">
        <f aca="false">IF($A978="","",COUNTIFS($H$2:$H$1001,$A978,$D$2:$D$1001,"Reuse"))</f>
        <v/>
      </c>
    </row>
    <row r="979" customFormat="false" ht="15" hidden="false" customHeight="false" outlineLevel="0" collapsed="false">
      <c r="A979" s="28"/>
      <c r="B979" s="63"/>
      <c r="C979" s="28"/>
      <c r="D979" s="64"/>
      <c r="E979" s="28"/>
      <c r="F979" s="28"/>
      <c r="G979" s="28"/>
      <c r="H979" s="28"/>
      <c r="I979" s="65" t="str">
        <f aca="false">IF($A979="","",COUNTIFS($H$2:$H$1001,$A979,$D$2:$D$1001,"Reuse"))</f>
        <v/>
      </c>
    </row>
    <row r="980" customFormat="false" ht="15" hidden="false" customHeight="false" outlineLevel="0" collapsed="false">
      <c r="A980" s="28"/>
      <c r="B980" s="63"/>
      <c r="C980" s="28"/>
      <c r="D980" s="64"/>
      <c r="E980" s="28"/>
      <c r="F980" s="28"/>
      <c r="G980" s="28"/>
      <c r="H980" s="28"/>
      <c r="I980" s="65" t="str">
        <f aca="false">IF($A980="","",COUNTIFS($H$2:$H$1001,$A980,$D$2:$D$1001,"Reuse"))</f>
        <v/>
      </c>
    </row>
    <row r="981" customFormat="false" ht="15" hidden="false" customHeight="false" outlineLevel="0" collapsed="false">
      <c r="A981" s="28"/>
      <c r="B981" s="63"/>
      <c r="C981" s="28"/>
      <c r="D981" s="64"/>
      <c r="E981" s="28"/>
      <c r="F981" s="28"/>
      <c r="G981" s="28"/>
      <c r="H981" s="28"/>
      <c r="I981" s="65" t="str">
        <f aca="false">IF($A981="","",COUNTIFS($H$2:$H$1001,$A981,$D$2:$D$1001,"Reuse"))</f>
        <v/>
      </c>
    </row>
    <row r="982" customFormat="false" ht="15" hidden="false" customHeight="false" outlineLevel="0" collapsed="false">
      <c r="A982" s="28"/>
      <c r="B982" s="63"/>
      <c r="C982" s="28"/>
      <c r="D982" s="64"/>
      <c r="E982" s="28"/>
      <c r="F982" s="28"/>
      <c r="G982" s="28"/>
      <c r="H982" s="28"/>
      <c r="I982" s="65" t="str">
        <f aca="false">IF($A982="","",COUNTIFS($H$2:$H$1001,$A982,$D$2:$D$1001,"Reuse"))</f>
        <v/>
      </c>
    </row>
    <row r="983" customFormat="false" ht="15" hidden="false" customHeight="false" outlineLevel="0" collapsed="false">
      <c r="A983" s="28"/>
      <c r="B983" s="63"/>
      <c r="C983" s="28"/>
      <c r="D983" s="64"/>
      <c r="E983" s="28"/>
      <c r="F983" s="28"/>
      <c r="G983" s="28"/>
      <c r="H983" s="28"/>
      <c r="I983" s="65" t="str">
        <f aca="false">IF($A983="","",COUNTIFS($H$2:$H$1001,$A983,$D$2:$D$1001,"Reuse"))</f>
        <v/>
      </c>
    </row>
    <row r="984" customFormat="false" ht="15" hidden="false" customHeight="false" outlineLevel="0" collapsed="false">
      <c r="A984" s="28"/>
      <c r="B984" s="63"/>
      <c r="C984" s="28"/>
      <c r="D984" s="64"/>
      <c r="E984" s="28"/>
      <c r="F984" s="28"/>
      <c r="G984" s="28"/>
      <c r="H984" s="28"/>
      <c r="I984" s="65" t="str">
        <f aca="false">IF($A984="","",COUNTIFS($H$2:$H$1001,$A984,$D$2:$D$1001,"Reuse"))</f>
        <v/>
      </c>
    </row>
    <row r="985" customFormat="false" ht="15" hidden="false" customHeight="false" outlineLevel="0" collapsed="false">
      <c r="A985" s="28"/>
      <c r="B985" s="63"/>
      <c r="C985" s="28"/>
      <c r="D985" s="64"/>
      <c r="E985" s="28"/>
      <c r="F985" s="28"/>
      <c r="G985" s="28"/>
      <c r="H985" s="28"/>
      <c r="I985" s="65" t="str">
        <f aca="false">IF($A985="","",COUNTIFS($H$2:$H$1001,$A985,$D$2:$D$1001,"Reuse"))</f>
        <v/>
      </c>
    </row>
    <row r="986" customFormat="false" ht="15" hidden="false" customHeight="false" outlineLevel="0" collapsed="false">
      <c r="A986" s="28"/>
      <c r="B986" s="63"/>
      <c r="C986" s="28"/>
      <c r="D986" s="64"/>
      <c r="E986" s="28"/>
      <c r="F986" s="28"/>
      <c r="G986" s="28"/>
      <c r="H986" s="28"/>
      <c r="I986" s="65" t="str">
        <f aca="false">IF($A986="","",COUNTIFS($H$2:$H$1001,$A986,$D$2:$D$1001,"Reuse"))</f>
        <v/>
      </c>
    </row>
    <row r="987" customFormat="false" ht="15" hidden="false" customHeight="false" outlineLevel="0" collapsed="false">
      <c r="A987" s="28"/>
      <c r="B987" s="63"/>
      <c r="C987" s="28"/>
      <c r="D987" s="64"/>
      <c r="E987" s="28"/>
      <c r="F987" s="28"/>
      <c r="G987" s="28"/>
      <c r="H987" s="28"/>
      <c r="I987" s="65" t="str">
        <f aca="false">IF($A987="","",COUNTIFS($H$2:$H$1001,$A987,$D$2:$D$1001,"Reuse"))</f>
        <v/>
      </c>
    </row>
    <row r="988" customFormat="false" ht="15" hidden="false" customHeight="false" outlineLevel="0" collapsed="false">
      <c r="A988" s="28"/>
      <c r="B988" s="63"/>
      <c r="C988" s="28"/>
      <c r="D988" s="64"/>
      <c r="E988" s="28"/>
      <c r="F988" s="28"/>
      <c r="G988" s="28"/>
      <c r="H988" s="28"/>
      <c r="I988" s="65" t="str">
        <f aca="false">IF($A988="","",COUNTIFS($H$2:$H$1001,$A988,$D$2:$D$1001,"Reuse"))</f>
        <v/>
      </c>
    </row>
    <row r="989" customFormat="false" ht="15" hidden="false" customHeight="false" outlineLevel="0" collapsed="false">
      <c r="A989" s="28"/>
      <c r="B989" s="63"/>
      <c r="C989" s="28"/>
      <c r="D989" s="64"/>
      <c r="E989" s="28"/>
      <c r="F989" s="28"/>
      <c r="G989" s="28"/>
      <c r="H989" s="28"/>
      <c r="I989" s="65" t="str">
        <f aca="false">IF($A989="","",COUNTIFS($H$2:$H$1001,$A989,$D$2:$D$1001,"Reuse"))</f>
        <v/>
      </c>
    </row>
    <row r="990" customFormat="false" ht="15" hidden="false" customHeight="false" outlineLevel="0" collapsed="false">
      <c r="A990" s="28"/>
      <c r="B990" s="63"/>
      <c r="C990" s="28"/>
      <c r="D990" s="64"/>
      <c r="E990" s="28"/>
      <c r="F990" s="28"/>
      <c r="G990" s="28"/>
      <c r="H990" s="28"/>
      <c r="I990" s="65" t="str">
        <f aca="false">IF($A990="","",COUNTIFS($H$2:$H$1001,$A990,$D$2:$D$1001,"Reuse"))</f>
        <v/>
      </c>
    </row>
    <row r="991" customFormat="false" ht="15" hidden="false" customHeight="false" outlineLevel="0" collapsed="false">
      <c r="A991" s="28"/>
      <c r="B991" s="63"/>
      <c r="C991" s="28"/>
      <c r="D991" s="64"/>
      <c r="E991" s="28"/>
      <c r="F991" s="28"/>
      <c r="G991" s="28"/>
      <c r="H991" s="28"/>
      <c r="I991" s="65" t="str">
        <f aca="false">IF($A991="","",COUNTIFS($H$2:$H$1001,$A991,$D$2:$D$1001,"Reuse"))</f>
        <v/>
      </c>
    </row>
    <row r="992" customFormat="false" ht="15" hidden="false" customHeight="false" outlineLevel="0" collapsed="false">
      <c r="A992" s="28"/>
      <c r="B992" s="63"/>
      <c r="C992" s="28"/>
      <c r="D992" s="64"/>
      <c r="E992" s="28"/>
      <c r="F992" s="28"/>
      <c r="G992" s="28"/>
      <c r="H992" s="28"/>
      <c r="I992" s="65" t="str">
        <f aca="false">IF($A992="","",COUNTIFS($H$2:$H$1001,$A992,$D$2:$D$1001,"Reuse"))</f>
        <v/>
      </c>
    </row>
    <row r="993" customFormat="false" ht="15" hidden="false" customHeight="false" outlineLevel="0" collapsed="false">
      <c r="A993" s="28"/>
      <c r="B993" s="63"/>
      <c r="C993" s="28"/>
      <c r="D993" s="64"/>
      <c r="E993" s="28"/>
      <c r="F993" s="28"/>
      <c r="G993" s="28"/>
      <c r="H993" s="28"/>
      <c r="I993" s="65" t="str">
        <f aca="false">IF($A993="","",COUNTIFS($H$2:$H$1001,$A993,$D$2:$D$1001,"Reuse"))</f>
        <v/>
      </c>
    </row>
    <row r="994" customFormat="false" ht="15" hidden="false" customHeight="false" outlineLevel="0" collapsed="false">
      <c r="A994" s="28"/>
      <c r="B994" s="63"/>
      <c r="C994" s="28"/>
      <c r="D994" s="64"/>
      <c r="E994" s="28"/>
      <c r="F994" s="28"/>
      <c r="G994" s="28"/>
      <c r="H994" s="28"/>
      <c r="I994" s="65" t="str">
        <f aca="false">IF($A994="","",COUNTIFS($H$2:$H$1001,$A994,$D$2:$D$1001,"Reuse"))</f>
        <v/>
      </c>
    </row>
    <row r="995" customFormat="false" ht="15" hidden="false" customHeight="false" outlineLevel="0" collapsed="false">
      <c r="A995" s="28"/>
      <c r="B995" s="63"/>
      <c r="C995" s="28"/>
      <c r="D995" s="64"/>
      <c r="E995" s="28"/>
      <c r="F995" s="28"/>
      <c r="G995" s="28"/>
      <c r="H995" s="28"/>
      <c r="I995" s="65" t="str">
        <f aca="false">IF($A995="","",COUNTIFS($H$2:$H$1001,$A995,$D$2:$D$1001,"Reuse"))</f>
        <v/>
      </c>
    </row>
    <row r="996" customFormat="false" ht="15" hidden="false" customHeight="false" outlineLevel="0" collapsed="false">
      <c r="A996" s="28"/>
      <c r="B996" s="63"/>
      <c r="C996" s="28"/>
      <c r="D996" s="64"/>
      <c r="E996" s="28"/>
      <c r="F996" s="28"/>
      <c r="G996" s="28"/>
      <c r="H996" s="28"/>
      <c r="I996" s="65" t="str">
        <f aca="false">IF($A996="","",COUNTIFS($H$2:$H$1001,$A996,$D$2:$D$1001,"Reuse"))</f>
        <v/>
      </c>
    </row>
    <row r="997" customFormat="false" ht="15" hidden="false" customHeight="false" outlineLevel="0" collapsed="false">
      <c r="A997" s="28"/>
      <c r="B997" s="63"/>
      <c r="C997" s="28"/>
      <c r="D997" s="64"/>
      <c r="E997" s="28"/>
      <c r="F997" s="28"/>
      <c r="G997" s="28"/>
      <c r="H997" s="28"/>
      <c r="I997" s="65" t="str">
        <f aca="false">IF($A997="","",COUNTIFS($H$2:$H$1001,$A997,$D$2:$D$1001,"Reuse"))</f>
        <v/>
      </c>
    </row>
    <row r="998" customFormat="false" ht="15" hidden="false" customHeight="false" outlineLevel="0" collapsed="false">
      <c r="A998" s="28"/>
      <c r="B998" s="63"/>
      <c r="C998" s="28"/>
      <c r="D998" s="64"/>
      <c r="E998" s="28"/>
      <c r="F998" s="28"/>
      <c r="G998" s="28"/>
      <c r="H998" s="28"/>
      <c r="I998" s="65" t="str">
        <f aca="false">IF($A998="","",COUNTIFS($H$2:$H$1001,$A998,$D$2:$D$1001,"Reuse"))</f>
        <v/>
      </c>
    </row>
    <row r="999" customFormat="false" ht="15" hidden="false" customHeight="false" outlineLevel="0" collapsed="false">
      <c r="A999" s="28"/>
      <c r="B999" s="63"/>
      <c r="C999" s="28"/>
      <c r="D999" s="64"/>
      <c r="E999" s="28"/>
      <c r="F999" s="28"/>
      <c r="G999" s="28"/>
      <c r="H999" s="28"/>
      <c r="I999" s="65" t="str">
        <f aca="false">IF($A999="","",COUNTIFS($H$2:$H$1001,$A999,$D$2:$D$1001,"Reuse"))</f>
        <v/>
      </c>
    </row>
    <row r="1000" customFormat="false" ht="15" hidden="false" customHeight="false" outlineLevel="0" collapsed="false">
      <c r="A1000" s="28"/>
      <c r="B1000" s="63"/>
      <c r="C1000" s="28"/>
      <c r="D1000" s="64"/>
      <c r="E1000" s="28"/>
      <c r="F1000" s="28"/>
      <c r="G1000" s="28"/>
      <c r="H1000" s="28"/>
      <c r="I1000" s="65" t="str">
        <f aca="false">IF($A1000="","",COUNTIFS($H$2:$H$1001,$A1000,$D$2:$D$1001,"Reuse"))</f>
        <v/>
      </c>
    </row>
    <row r="1001" customFormat="false" ht="15" hidden="false" customHeight="false" outlineLevel="0" collapsed="false">
      <c r="A1001" s="28"/>
      <c r="B1001" s="63"/>
      <c r="C1001" s="28"/>
      <c r="D1001" s="64"/>
      <c r="E1001" s="28"/>
      <c r="F1001" s="28"/>
      <c r="G1001" s="28"/>
      <c r="H1001" s="28"/>
      <c r="I1001" s="65" t="str">
        <f aca="false">IF($A1001="","",COUNTIFS($H$2:$H$1001,$A1001,$D$2:$D$1001,"Reuse"))</f>
        <v/>
      </c>
    </row>
  </sheetData>
  <autoFilter ref="A1:I1001"/>
  <dataValidations count="1">
    <dataValidation allowBlank="true" error="Pick one of: Answer, Routed, Reuse" errorStyle="stop" errorTitle="Not on the list" operator="between" showDropDown="false" showErrorMessage="true" showInputMessage="false" sqref="D2:D1001" type="list">
      <formula1>"Answer,Routed,Reuse"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5" min="4" style="0" width="7"/>
    <col collapsed="false" customWidth="true" hidden="false" outlineLevel="0" max="6" min="6" style="0" width="10"/>
    <col collapsed="false" customWidth="true" hidden="false" outlineLevel="0" max="7" min="7" style="0" width="60"/>
  </cols>
  <sheetData>
    <row r="1" customFormat="false" ht="30" hidden="false" customHeight="true" outlineLevel="0" collapsed="false">
      <c r="A1" s="61" t="s">
        <v>27</v>
      </c>
      <c r="B1" s="61" t="s">
        <v>408</v>
      </c>
      <c r="C1" s="61" t="s">
        <v>409</v>
      </c>
      <c r="D1" s="61" t="s">
        <v>410</v>
      </c>
      <c r="E1" s="61" t="s">
        <v>411</v>
      </c>
      <c r="F1" s="61" t="s">
        <v>412</v>
      </c>
      <c r="G1" s="61" t="s">
        <v>413</v>
      </c>
    </row>
    <row r="2" customFormat="false" ht="15" hidden="false" customHeight="false" outlineLevel="0" collapsed="false">
      <c r="A2" s="63" t="n">
        <v>46275</v>
      </c>
      <c r="B2" s="28" t="s">
        <v>414</v>
      </c>
      <c r="C2" s="28" t="s">
        <v>415</v>
      </c>
      <c r="D2" s="28" t="n">
        <v>5</v>
      </c>
      <c r="E2" s="28" t="n">
        <v>3</v>
      </c>
      <c r="F2" s="64" t="s">
        <v>416</v>
      </c>
      <c r="G2" s="28" t="s">
        <v>417</v>
      </c>
    </row>
    <row r="3" customFormat="false" ht="15" hidden="false" customHeight="false" outlineLevel="0" collapsed="false">
      <c r="A3" s="63" t="n">
        <v>46287</v>
      </c>
      <c r="B3" s="28" t="s">
        <v>418</v>
      </c>
      <c r="C3" s="28" t="s">
        <v>415</v>
      </c>
      <c r="D3" s="28" t="n">
        <v>8</v>
      </c>
      <c r="E3" s="28" t="n">
        <v>0</v>
      </c>
      <c r="F3" s="64" t="s">
        <v>419</v>
      </c>
      <c r="G3" s="28"/>
    </row>
    <row r="4" customFormat="false" ht="15" hidden="false" customHeight="false" outlineLevel="0" collapsed="false">
      <c r="A4" s="63" t="n">
        <v>46291</v>
      </c>
      <c r="B4" s="28" t="s">
        <v>420</v>
      </c>
      <c r="C4" s="28" t="s">
        <v>201</v>
      </c>
      <c r="D4" s="28" t="n">
        <v>6</v>
      </c>
      <c r="E4" s="28" t="n">
        <v>2</v>
      </c>
      <c r="F4" s="64" t="s">
        <v>416</v>
      </c>
      <c r="G4" s="28" t="s">
        <v>421</v>
      </c>
    </row>
    <row r="5" customFormat="false" ht="15" hidden="false" customHeight="false" outlineLevel="0" collapsed="false">
      <c r="A5" s="63" t="n">
        <v>46295</v>
      </c>
      <c r="B5" s="28" t="s">
        <v>422</v>
      </c>
      <c r="C5" s="28" t="s">
        <v>239</v>
      </c>
      <c r="D5" s="28" t="n">
        <v>7</v>
      </c>
      <c r="E5" s="28" t="n">
        <v>1</v>
      </c>
      <c r="F5" s="64" t="s">
        <v>419</v>
      </c>
      <c r="G5" s="28" t="s">
        <v>423</v>
      </c>
    </row>
    <row r="6" customFormat="false" ht="15" hidden="false" customHeight="false" outlineLevel="0" collapsed="false">
      <c r="A6" s="63"/>
      <c r="B6" s="28"/>
      <c r="C6" s="28"/>
      <c r="D6" s="28"/>
      <c r="E6" s="28"/>
      <c r="F6" s="64"/>
      <c r="G6" s="28"/>
    </row>
    <row r="7" customFormat="false" ht="15" hidden="false" customHeight="false" outlineLevel="0" collapsed="false">
      <c r="A7" s="63"/>
      <c r="B7" s="28"/>
      <c r="C7" s="28"/>
      <c r="D7" s="28"/>
      <c r="E7" s="28"/>
      <c r="F7" s="64"/>
      <c r="G7" s="28"/>
    </row>
    <row r="8" customFormat="false" ht="15" hidden="false" customHeight="false" outlineLevel="0" collapsed="false">
      <c r="A8" s="63"/>
      <c r="B8" s="28"/>
      <c r="C8" s="28"/>
      <c r="D8" s="28"/>
      <c r="E8" s="28"/>
      <c r="F8" s="64"/>
      <c r="G8" s="28"/>
    </row>
    <row r="9" customFormat="false" ht="15" hidden="false" customHeight="false" outlineLevel="0" collapsed="false">
      <c r="A9" s="63"/>
      <c r="B9" s="28"/>
      <c r="C9" s="28"/>
      <c r="D9" s="28"/>
      <c r="E9" s="28"/>
      <c r="F9" s="64"/>
      <c r="G9" s="28"/>
    </row>
    <row r="10" customFormat="false" ht="15" hidden="false" customHeight="false" outlineLevel="0" collapsed="false">
      <c r="A10" s="63"/>
      <c r="B10" s="28"/>
      <c r="C10" s="28"/>
      <c r="D10" s="28"/>
      <c r="E10" s="28"/>
      <c r="F10" s="64"/>
      <c r="G10" s="28"/>
    </row>
    <row r="11" customFormat="false" ht="15" hidden="false" customHeight="false" outlineLevel="0" collapsed="false">
      <c r="A11" s="63"/>
      <c r="B11" s="28"/>
      <c r="C11" s="28"/>
      <c r="D11" s="28"/>
      <c r="E11" s="28"/>
      <c r="F11" s="64"/>
      <c r="G11" s="28"/>
    </row>
    <row r="12" customFormat="false" ht="15" hidden="false" customHeight="false" outlineLevel="0" collapsed="false">
      <c r="A12" s="63"/>
      <c r="B12" s="28"/>
      <c r="C12" s="28"/>
      <c r="D12" s="28"/>
      <c r="E12" s="28"/>
      <c r="F12" s="64"/>
      <c r="G12" s="28"/>
    </row>
    <row r="13" customFormat="false" ht="15" hidden="false" customHeight="false" outlineLevel="0" collapsed="false">
      <c r="A13" s="63"/>
      <c r="B13" s="28"/>
      <c r="C13" s="28"/>
      <c r="D13" s="28"/>
      <c r="E13" s="28"/>
      <c r="F13" s="64"/>
      <c r="G13" s="28"/>
    </row>
    <row r="14" customFormat="false" ht="15" hidden="false" customHeight="false" outlineLevel="0" collapsed="false">
      <c r="A14" s="63"/>
      <c r="B14" s="28"/>
      <c r="C14" s="28"/>
      <c r="D14" s="28"/>
      <c r="E14" s="28"/>
      <c r="F14" s="64"/>
      <c r="G14" s="28"/>
    </row>
    <row r="15" customFormat="false" ht="15" hidden="false" customHeight="false" outlineLevel="0" collapsed="false">
      <c r="A15" s="63"/>
      <c r="B15" s="28"/>
      <c r="C15" s="28"/>
      <c r="D15" s="28"/>
      <c r="E15" s="28"/>
      <c r="F15" s="64"/>
      <c r="G15" s="28"/>
    </row>
    <row r="16" customFormat="false" ht="15" hidden="false" customHeight="false" outlineLevel="0" collapsed="false">
      <c r="A16" s="63"/>
      <c r="B16" s="28"/>
      <c r="C16" s="28"/>
      <c r="D16" s="28"/>
      <c r="E16" s="28"/>
      <c r="F16" s="64"/>
      <c r="G16" s="28"/>
    </row>
    <row r="17" customFormat="false" ht="15" hidden="false" customHeight="false" outlineLevel="0" collapsed="false">
      <c r="A17" s="63"/>
      <c r="B17" s="28"/>
      <c r="C17" s="28"/>
      <c r="D17" s="28"/>
      <c r="E17" s="28"/>
      <c r="F17" s="64"/>
      <c r="G17" s="28"/>
    </row>
    <row r="18" customFormat="false" ht="15" hidden="false" customHeight="false" outlineLevel="0" collapsed="false">
      <c r="A18" s="63"/>
      <c r="B18" s="28"/>
      <c r="C18" s="28"/>
      <c r="D18" s="28"/>
      <c r="E18" s="28"/>
      <c r="F18" s="64"/>
      <c r="G18" s="28"/>
    </row>
    <row r="19" customFormat="false" ht="15" hidden="false" customHeight="false" outlineLevel="0" collapsed="false">
      <c r="A19" s="63"/>
      <c r="B19" s="28"/>
      <c r="C19" s="28"/>
      <c r="D19" s="28"/>
      <c r="E19" s="28"/>
      <c r="F19" s="64"/>
      <c r="G19" s="28"/>
    </row>
    <row r="20" customFormat="false" ht="15" hidden="false" customHeight="false" outlineLevel="0" collapsed="false">
      <c r="A20" s="63"/>
      <c r="B20" s="28"/>
      <c r="C20" s="28"/>
      <c r="D20" s="28"/>
      <c r="E20" s="28"/>
      <c r="F20" s="64"/>
      <c r="G20" s="28"/>
    </row>
    <row r="21" customFormat="false" ht="15" hidden="false" customHeight="false" outlineLevel="0" collapsed="false">
      <c r="A21" s="63"/>
      <c r="B21" s="28"/>
      <c r="C21" s="28"/>
      <c r="D21" s="28"/>
      <c r="E21" s="28"/>
      <c r="F21" s="64"/>
      <c r="G21" s="28"/>
    </row>
    <row r="22" customFormat="false" ht="15" hidden="false" customHeight="false" outlineLevel="0" collapsed="false">
      <c r="A22" s="63"/>
      <c r="B22" s="28"/>
      <c r="C22" s="28"/>
      <c r="D22" s="28"/>
      <c r="E22" s="28"/>
      <c r="F22" s="64"/>
      <c r="G22" s="28"/>
    </row>
    <row r="23" customFormat="false" ht="15" hidden="false" customHeight="false" outlineLevel="0" collapsed="false">
      <c r="A23" s="63"/>
      <c r="B23" s="28"/>
      <c r="C23" s="28"/>
      <c r="D23" s="28"/>
      <c r="E23" s="28"/>
      <c r="F23" s="64"/>
      <c r="G23" s="28"/>
    </row>
    <row r="24" customFormat="false" ht="15" hidden="false" customHeight="false" outlineLevel="0" collapsed="false">
      <c r="A24" s="63"/>
      <c r="B24" s="28"/>
      <c r="C24" s="28"/>
      <c r="D24" s="28"/>
      <c r="E24" s="28"/>
      <c r="F24" s="64"/>
      <c r="G24" s="28"/>
    </row>
    <row r="25" customFormat="false" ht="15" hidden="false" customHeight="false" outlineLevel="0" collapsed="false">
      <c r="A25" s="63"/>
      <c r="B25" s="28"/>
      <c r="C25" s="28"/>
      <c r="D25" s="28"/>
      <c r="E25" s="28"/>
      <c r="F25" s="64"/>
      <c r="G25" s="28"/>
    </row>
    <row r="26" customFormat="false" ht="15" hidden="false" customHeight="false" outlineLevel="0" collapsed="false">
      <c r="A26" s="63"/>
      <c r="B26" s="28"/>
      <c r="C26" s="28"/>
      <c r="D26" s="28"/>
      <c r="E26" s="28"/>
      <c r="F26" s="64"/>
      <c r="G26" s="28"/>
    </row>
    <row r="27" customFormat="false" ht="15" hidden="false" customHeight="false" outlineLevel="0" collapsed="false">
      <c r="A27" s="63"/>
      <c r="B27" s="28"/>
      <c r="C27" s="28"/>
      <c r="D27" s="28"/>
      <c r="E27" s="28"/>
      <c r="F27" s="64"/>
      <c r="G27" s="28"/>
    </row>
    <row r="28" customFormat="false" ht="15" hidden="false" customHeight="false" outlineLevel="0" collapsed="false">
      <c r="A28" s="63"/>
      <c r="B28" s="28"/>
      <c r="C28" s="28"/>
      <c r="D28" s="28"/>
      <c r="E28" s="28"/>
      <c r="F28" s="64"/>
      <c r="G28" s="28"/>
    </row>
    <row r="29" customFormat="false" ht="15" hidden="false" customHeight="false" outlineLevel="0" collapsed="false">
      <c r="A29" s="63"/>
      <c r="B29" s="28"/>
      <c r="C29" s="28"/>
      <c r="D29" s="28"/>
      <c r="E29" s="28"/>
      <c r="F29" s="64"/>
      <c r="G29" s="28"/>
    </row>
    <row r="30" customFormat="false" ht="15" hidden="false" customHeight="false" outlineLevel="0" collapsed="false">
      <c r="A30" s="63"/>
      <c r="B30" s="28"/>
      <c r="C30" s="28"/>
      <c r="D30" s="28"/>
      <c r="E30" s="28"/>
      <c r="F30" s="64"/>
      <c r="G30" s="28"/>
    </row>
    <row r="31" customFormat="false" ht="15" hidden="false" customHeight="false" outlineLevel="0" collapsed="false">
      <c r="A31" s="63"/>
      <c r="B31" s="28"/>
      <c r="C31" s="28"/>
      <c r="D31" s="28"/>
      <c r="E31" s="28"/>
      <c r="F31" s="64"/>
      <c r="G31" s="28"/>
    </row>
    <row r="32" customFormat="false" ht="15" hidden="false" customHeight="false" outlineLevel="0" collapsed="false">
      <c r="A32" s="63"/>
      <c r="B32" s="28"/>
      <c r="C32" s="28"/>
      <c r="D32" s="28"/>
      <c r="E32" s="28"/>
      <c r="F32" s="64"/>
      <c r="G32" s="28"/>
    </row>
    <row r="33" customFormat="false" ht="15" hidden="false" customHeight="false" outlineLevel="0" collapsed="false">
      <c r="A33" s="63"/>
      <c r="B33" s="28"/>
      <c r="C33" s="28"/>
      <c r="D33" s="28"/>
      <c r="E33" s="28"/>
      <c r="F33" s="64"/>
      <c r="G33" s="28"/>
    </row>
    <row r="34" customFormat="false" ht="15" hidden="false" customHeight="false" outlineLevel="0" collapsed="false">
      <c r="A34" s="63"/>
      <c r="B34" s="28"/>
      <c r="C34" s="28"/>
      <c r="D34" s="28"/>
      <c r="E34" s="28"/>
      <c r="F34" s="64"/>
      <c r="G34" s="28"/>
    </row>
    <row r="35" customFormat="false" ht="15" hidden="false" customHeight="false" outlineLevel="0" collapsed="false">
      <c r="A35" s="63"/>
      <c r="B35" s="28"/>
      <c r="C35" s="28"/>
      <c r="D35" s="28"/>
      <c r="E35" s="28"/>
      <c r="F35" s="64"/>
      <c r="G35" s="28"/>
    </row>
    <row r="36" customFormat="false" ht="15" hidden="false" customHeight="false" outlineLevel="0" collapsed="false">
      <c r="A36" s="63"/>
      <c r="B36" s="28"/>
      <c r="C36" s="28"/>
      <c r="D36" s="28"/>
      <c r="E36" s="28"/>
      <c r="F36" s="64"/>
      <c r="G36" s="28"/>
    </row>
    <row r="37" customFormat="false" ht="15" hidden="false" customHeight="false" outlineLevel="0" collapsed="false">
      <c r="A37" s="63"/>
      <c r="B37" s="28"/>
      <c r="C37" s="28"/>
      <c r="D37" s="28"/>
      <c r="E37" s="28"/>
      <c r="F37" s="64"/>
      <c r="G37" s="28"/>
    </row>
    <row r="38" customFormat="false" ht="15" hidden="false" customHeight="false" outlineLevel="0" collapsed="false">
      <c r="A38" s="63"/>
      <c r="B38" s="28"/>
      <c r="C38" s="28"/>
      <c r="D38" s="28"/>
      <c r="E38" s="28"/>
      <c r="F38" s="64"/>
      <c r="G38" s="28"/>
    </row>
    <row r="39" customFormat="false" ht="15" hidden="false" customHeight="false" outlineLevel="0" collapsed="false">
      <c r="A39" s="63"/>
      <c r="B39" s="28"/>
      <c r="C39" s="28"/>
      <c r="D39" s="28"/>
      <c r="E39" s="28"/>
      <c r="F39" s="64"/>
      <c r="G39" s="28"/>
    </row>
    <row r="40" customFormat="false" ht="15" hidden="false" customHeight="false" outlineLevel="0" collapsed="false">
      <c r="A40" s="63"/>
      <c r="B40" s="28"/>
      <c r="C40" s="28"/>
      <c r="D40" s="28"/>
      <c r="E40" s="28"/>
      <c r="F40" s="64"/>
      <c r="G40" s="28"/>
    </row>
    <row r="41" customFormat="false" ht="15" hidden="false" customHeight="false" outlineLevel="0" collapsed="false">
      <c r="A41" s="63"/>
      <c r="B41" s="28"/>
      <c r="C41" s="28"/>
      <c r="D41" s="28"/>
      <c r="E41" s="28"/>
      <c r="F41" s="64"/>
      <c r="G41" s="28"/>
    </row>
    <row r="42" customFormat="false" ht="15" hidden="false" customHeight="false" outlineLevel="0" collapsed="false">
      <c r="A42" s="63"/>
      <c r="B42" s="28"/>
      <c r="C42" s="28"/>
      <c r="D42" s="28"/>
      <c r="E42" s="28"/>
      <c r="F42" s="64"/>
      <c r="G42" s="28"/>
    </row>
    <row r="43" customFormat="false" ht="15" hidden="false" customHeight="false" outlineLevel="0" collapsed="false">
      <c r="A43" s="63"/>
      <c r="B43" s="28"/>
      <c r="C43" s="28"/>
      <c r="D43" s="28"/>
      <c r="E43" s="28"/>
      <c r="F43" s="64"/>
      <c r="G43" s="28"/>
    </row>
    <row r="44" customFormat="false" ht="15" hidden="false" customHeight="false" outlineLevel="0" collapsed="false">
      <c r="A44" s="63"/>
      <c r="B44" s="28"/>
      <c r="C44" s="28"/>
      <c r="D44" s="28"/>
      <c r="E44" s="28"/>
      <c r="F44" s="64"/>
      <c r="G44" s="28"/>
    </row>
    <row r="45" customFormat="false" ht="15" hidden="false" customHeight="false" outlineLevel="0" collapsed="false">
      <c r="A45" s="63"/>
      <c r="B45" s="28"/>
      <c r="C45" s="28"/>
      <c r="D45" s="28"/>
      <c r="E45" s="28"/>
      <c r="F45" s="64"/>
      <c r="G45" s="28"/>
    </row>
    <row r="46" customFormat="false" ht="15" hidden="false" customHeight="false" outlineLevel="0" collapsed="false">
      <c r="A46" s="63"/>
      <c r="B46" s="28"/>
      <c r="C46" s="28"/>
      <c r="D46" s="28"/>
      <c r="E46" s="28"/>
      <c r="F46" s="64"/>
      <c r="G46" s="28"/>
    </row>
    <row r="47" customFormat="false" ht="15" hidden="false" customHeight="false" outlineLevel="0" collapsed="false">
      <c r="A47" s="63"/>
      <c r="B47" s="28"/>
      <c r="C47" s="28"/>
      <c r="D47" s="28"/>
      <c r="E47" s="28"/>
      <c r="F47" s="64"/>
      <c r="G47" s="28"/>
    </row>
    <row r="48" customFormat="false" ht="15" hidden="false" customHeight="false" outlineLevel="0" collapsed="false">
      <c r="A48" s="63"/>
      <c r="B48" s="28"/>
      <c r="C48" s="28"/>
      <c r="D48" s="28"/>
      <c r="E48" s="28"/>
      <c r="F48" s="64"/>
      <c r="G48" s="28"/>
    </row>
    <row r="49" customFormat="false" ht="15" hidden="false" customHeight="false" outlineLevel="0" collapsed="false">
      <c r="A49" s="63"/>
      <c r="B49" s="28"/>
      <c r="C49" s="28"/>
      <c r="D49" s="28"/>
      <c r="E49" s="28"/>
      <c r="F49" s="64"/>
      <c r="G49" s="28"/>
    </row>
    <row r="50" customFormat="false" ht="15" hidden="false" customHeight="false" outlineLevel="0" collapsed="false">
      <c r="A50" s="63"/>
      <c r="B50" s="28"/>
      <c r="C50" s="28"/>
      <c r="D50" s="28"/>
      <c r="E50" s="28"/>
      <c r="F50" s="64"/>
      <c r="G50" s="28"/>
    </row>
    <row r="51" customFormat="false" ht="15" hidden="false" customHeight="false" outlineLevel="0" collapsed="false">
      <c r="A51" s="63"/>
      <c r="B51" s="28"/>
      <c r="C51" s="28"/>
      <c r="D51" s="28"/>
      <c r="E51" s="28"/>
      <c r="F51" s="64"/>
      <c r="G51" s="28"/>
    </row>
    <row r="52" customFormat="false" ht="15" hidden="false" customHeight="false" outlineLevel="0" collapsed="false">
      <c r="A52" s="63"/>
      <c r="B52" s="28"/>
      <c r="C52" s="28"/>
      <c r="D52" s="28"/>
      <c r="E52" s="28"/>
      <c r="F52" s="64"/>
      <c r="G52" s="28"/>
    </row>
    <row r="53" customFormat="false" ht="15" hidden="false" customHeight="false" outlineLevel="0" collapsed="false">
      <c r="A53" s="63"/>
      <c r="B53" s="28"/>
      <c r="C53" s="28"/>
      <c r="D53" s="28"/>
      <c r="E53" s="28"/>
      <c r="F53" s="64"/>
      <c r="G53" s="28"/>
    </row>
    <row r="54" customFormat="false" ht="15" hidden="false" customHeight="false" outlineLevel="0" collapsed="false">
      <c r="A54" s="63"/>
      <c r="B54" s="28"/>
      <c r="C54" s="28"/>
      <c r="D54" s="28"/>
      <c r="E54" s="28"/>
      <c r="F54" s="64"/>
      <c r="G54" s="28"/>
    </row>
    <row r="55" customFormat="false" ht="15" hidden="false" customHeight="false" outlineLevel="0" collapsed="false">
      <c r="A55" s="63"/>
      <c r="B55" s="28"/>
      <c r="C55" s="28"/>
      <c r="D55" s="28"/>
      <c r="E55" s="28"/>
      <c r="F55" s="64"/>
      <c r="G55" s="28"/>
    </row>
    <row r="56" customFormat="false" ht="15" hidden="false" customHeight="false" outlineLevel="0" collapsed="false">
      <c r="A56" s="63"/>
      <c r="B56" s="28"/>
      <c r="C56" s="28"/>
      <c r="D56" s="28"/>
      <c r="E56" s="28"/>
      <c r="F56" s="64"/>
      <c r="G56" s="28"/>
    </row>
    <row r="57" customFormat="false" ht="15" hidden="false" customHeight="false" outlineLevel="0" collapsed="false">
      <c r="A57" s="63"/>
      <c r="B57" s="28"/>
      <c r="C57" s="28"/>
      <c r="D57" s="28"/>
      <c r="E57" s="28"/>
      <c r="F57" s="64"/>
      <c r="G57" s="28"/>
    </row>
    <row r="58" customFormat="false" ht="15" hidden="false" customHeight="false" outlineLevel="0" collapsed="false">
      <c r="A58" s="63"/>
      <c r="B58" s="28"/>
      <c r="C58" s="28"/>
      <c r="D58" s="28"/>
      <c r="E58" s="28"/>
      <c r="F58" s="64"/>
      <c r="G58" s="28"/>
    </row>
    <row r="59" customFormat="false" ht="15" hidden="false" customHeight="false" outlineLevel="0" collapsed="false">
      <c r="A59" s="63"/>
      <c r="B59" s="28"/>
      <c r="C59" s="28"/>
      <c r="D59" s="28"/>
      <c r="E59" s="28"/>
      <c r="F59" s="64"/>
      <c r="G59" s="28"/>
    </row>
    <row r="60" customFormat="false" ht="15" hidden="false" customHeight="false" outlineLevel="0" collapsed="false">
      <c r="A60" s="63"/>
      <c r="B60" s="28"/>
      <c r="C60" s="28"/>
      <c r="D60" s="28"/>
      <c r="E60" s="28"/>
      <c r="F60" s="64"/>
      <c r="G60" s="28"/>
    </row>
    <row r="61" customFormat="false" ht="15" hidden="false" customHeight="false" outlineLevel="0" collapsed="false">
      <c r="A61" s="63"/>
      <c r="B61" s="28"/>
      <c r="C61" s="28"/>
      <c r="D61" s="28"/>
      <c r="E61" s="28"/>
      <c r="F61" s="64"/>
      <c r="G61" s="28"/>
    </row>
    <row r="62" customFormat="false" ht="15" hidden="false" customHeight="false" outlineLevel="0" collapsed="false">
      <c r="A62" s="63"/>
      <c r="B62" s="28"/>
      <c r="C62" s="28"/>
      <c r="D62" s="28"/>
      <c r="E62" s="28"/>
      <c r="F62" s="64"/>
      <c r="G62" s="28"/>
    </row>
    <row r="63" customFormat="false" ht="15" hidden="false" customHeight="false" outlineLevel="0" collapsed="false">
      <c r="A63" s="63"/>
      <c r="B63" s="28"/>
      <c r="C63" s="28"/>
      <c r="D63" s="28"/>
      <c r="E63" s="28"/>
      <c r="F63" s="64"/>
      <c r="G63" s="28"/>
    </row>
    <row r="64" customFormat="false" ht="15" hidden="false" customHeight="false" outlineLevel="0" collapsed="false">
      <c r="A64" s="63"/>
      <c r="B64" s="28"/>
      <c r="C64" s="28"/>
      <c r="D64" s="28"/>
      <c r="E64" s="28"/>
      <c r="F64" s="64"/>
      <c r="G64" s="28"/>
    </row>
    <row r="65" customFormat="false" ht="15" hidden="false" customHeight="false" outlineLevel="0" collapsed="false">
      <c r="A65" s="63"/>
      <c r="B65" s="28"/>
      <c r="C65" s="28"/>
      <c r="D65" s="28"/>
      <c r="E65" s="28"/>
      <c r="F65" s="64"/>
      <c r="G65" s="28"/>
    </row>
    <row r="66" customFormat="false" ht="15" hidden="false" customHeight="false" outlineLevel="0" collapsed="false">
      <c r="A66" s="63"/>
      <c r="B66" s="28"/>
      <c r="C66" s="28"/>
      <c r="D66" s="28"/>
      <c r="E66" s="28"/>
      <c r="F66" s="64"/>
      <c r="G66" s="28"/>
    </row>
    <row r="67" customFormat="false" ht="15" hidden="false" customHeight="false" outlineLevel="0" collapsed="false">
      <c r="A67" s="63"/>
      <c r="B67" s="28"/>
      <c r="C67" s="28"/>
      <c r="D67" s="28"/>
      <c r="E67" s="28"/>
      <c r="F67" s="64"/>
      <c r="G67" s="28"/>
    </row>
    <row r="68" customFormat="false" ht="15" hidden="false" customHeight="false" outlineLevel="0" collapsed="false">
      <c r="A68" s="63"/>
      <c r="B68" s="28"/>
      <c r="C68" s="28"/>
      <c r="D68" s="28"/>
      <c r="E68" s="28"/>
      <c r="F68" s="64"/>
      <c r="G68" s="28"/>
    </row>
    <row r="69" customFormat="false" ht="15" hidden="false" customHeight="false" outlineLevel="0" collapsed="false">
      <c r="A69" s="63"/>
      <c r="B69" s="28"/>
      <c r="C69" s="28"/>
      <c r="D69" s="28"/>
      <c r="E69" s="28"/>
      <c r="F69" s="64"/>
      <c r="G69" s="28"/>
    </row>
    <row r="70" customFormat="false" ht="15" hidden="false" customHeight="false" outlineLevel="0" collapsed="false">
      <c r="A70" s="63"/>
      <c r="B70" s="28"/>
      <c r="C70" s="28"/>
      <c r="D70" s="28"/>
      <c r="E70" s="28"/>
      <c r="F70" s="64"/>
      <c r="G70" s="28"/>
    </row>
    <row r="71" customFormat="false" ht="15" hidden="false" customHeight="false" outlineLevel="0" collapsed="false">
      <c r="A71" s="63"/>
      <c r="B71" s="28"/>
      <c r="C71" s="28"/>
      <c r="D71" s="28"/>
      <c r="E71" s="28"/>
      <c r="F71" s="64"/>
      <c r="G71" s="28"/>
    </row>
    <row r="72" customFormat="false" ht="15" hidden="false" customHeight="false" outlineLevel="0" collapsed="false">
      <c r="A72" s="63"/>
      <c r="B72" s="28"/>
      <c r="C72" s="28"/>
      <c r="D72" s="28"/>
      <c r="E72" s="28"/>
      <c r="F72" s="64"/>
      <c r="G72" s="28"/>
    </row>
    <row r="73" customFormat="false" ht="15" hidden="false" customHeight="false" outlineLevel="0" collapsed="false">
      <c r="A73" s="63"/>
      <c r="B73" s="28"/>
      <c r="C73" s="28"/>
      <c r="D73" s="28"/>
      <c r="E73" s="28"/>
      <c r="F73" s="64"/>
      <c r="G73" s="28"/>
    </row>
    <row r="74" customFormat="false" ht="15" hidden="false" customHeight="false" outlineLevel="0" collapsed="false">
      <c r="A74" s="63"/>
      <c r="B74" s="28"/>
      <c r="C74" s="28"/>
      <c r="D74" s="28"/>
      <c r="E74" s="28"/>
      <c r="F74" s="64"/>
      <c r="G74" s="28"/>
    </row>
    <row r="75" customFormat="false" ht="15" hidden="false" customHeight="false" outlineLevel="0" collapsed="false">
      <c r="A75" s="63"/>
      <c r="B75" s="28"/>
      <c r="C75" s="28"/>
      <c r="D75" s="28"/>
      <c r="E75" s="28"/>
      <c r="F75" s="64"/>
      <c r="G75" s="28"/>
    </row>
    <row r="76" customFormat="false" ht="15" hidden="false" customHeight="false" outlineLevel="0" collapsed="false">
      <c r="A76" s="63"/>
      <c r="B76" s="28"/>
      <c r="C76" s="28"/>
      <c r="D76" s="28"/>
      <c r="E76" s="28"/>
      <c r="F76" s="64"/>
      <c r="G76" s="28"/>
    </row>
    <row r="77" customFormat="false" ht="15" hidden="false" customHeight="false" outlineLevel="0" collapsed="false">
      <c r="A77" s="63"/>
      <c r="B77" s="28"/>
      <c r="C77" s="28"/>
      <c r="D77" s="28"/>
      <c r="E77" s="28"/>
      <c r="F77" s="64"/>
      <c r="G77" s="28"/>
    </row>
    <row r="78" customFormat="false" ht="15" hidden="false" customHeight="false" outlineLevel="0" collapsed="false">
      <c r="A78" s="63"/>
      <c r="B78" s="28"/>
      <c r="C78" s="28"/>
      <c r="D78" s="28"/>
      <c r="E78" s="28"/>
      <c r="F78" s="64"/>
      <c r="G78" s="28"/>
    </row>
    <row r="79" customFormat="false" ht="15" hidden="false" customHeight="false" outlineLevel="0" collapsed="false">
      <c r="A79" s="63"/>
      <c r="B79" s="28"/>
      <c r="C79" s="28"/>
      <c r="D79" s="28"/>
      <c r="E79" s="28"/>
      <c r="F79" s="64"/>
      <c r="G79" s="28"/>
    </row>
    <row r="80" customFormat="false" ht="15" hidden="false" customHeight="false" outlineLevel="0" collapsed="false">
      <c r="A80" s="63"/>
      <c r="B80" s="28"/>
      <c r="C80" s="28"/>
      <c r="D80" s="28"/>
      <c r="E80" s="28"/>
      <c r="F80" s="64"/>
      <c r="G80" s="28"/>
    </row>
    <row r="81" customFormat="false" ht="15" hidden="false" customHeight="false" outlineLevel="0" collapsed="false">
      <c r="A81" s="63"/>
      <c r="B81" s="28"/>
      <c r="C81" s="28"/>
      <c r="D81" s="28"/>
      <c r="E81" s="28"/>
      <c r="F81" s="64"/>
      <c r="G81" s="28"/>
    </row>
    <row r="82" customFormat="false" ht="15" hidden="false" customHeight="false" outlineLevel="0" collapsed="false">
      <c r="A82" s="63"/>
      <c r="B82" s="28"/>
      <c r="C82" s="28"/>
      <c r="D82" s="28"/>
      <c r="E82" s="28"/>
      <c r="F82" s="64"/>
      <c r="G82" s="28"/>
    </row>
    <row r="83" customFormat="false" ht="15" hidden="false" customHeight="false" outlineLevel="0" collapsed="false">
      <c r="A83" s="63"/>
      <c r="B83" s="28"/>
      <c r="C83" s="28"/>
      <c r="D83" s="28"/>
      <c r="E83" s="28"/>
      <c r="F83" s="64"/>
      <c r="G83" s="28"/>
    </row>
    <row r="84" customFormat="false" ht="15" hidden="false" customHeight="false" outlineLevel="0" collapsed="false">
      <c r="A84" s="63"/>
      <c r="B84" s="28"/>
      <c r="C84" s="28"/>
      <c r="D84" s="28"/>
      <c r="E84" s="28"/>
      <c r="F84" s="64"/>
      <c r="G84" s="28"/>
    </row>
    <row r="85" customFormat="false" ht="15" hidden="false" customHeight="false" outlineLevel="0" collapsed="false">
      <c r="A85" s="63"/>
      <c r="B85" s="28"/>
      <c r="C85" s="28"/>
      <c r="D85" s="28"/>
      <c r="E85" s="28"/>
      <c r="F85" s="64"/>
      <c r="G85" s="28"/>
    </row>
    <row r="86" customFormat="false" ht="15" hidden="false" customHeight="false" outlineLevel="0" collapsed="false">
      <c r="A86" s="63"/>
      <c r="B86" s="28"/>
      <c r="C86" s="28"/>
      <c r="D86" s="28"/>
      <c r="E86" s="28"/>
      <c r="F86" s="64"/>
      <c r="G86" s="28"/>
    </row>
    <row r="87" customFormat="false" ht="15" hidden="false" customHeight="false" outlineLevel="0" collapsed="false">
      <c r="A87" s="63"/>
      <c r="B87" s="28"/>
      <c r="C87" s="28"/>
      <c r="D87" s="28"/>
      <c r="E87" s="28"/>
      <c r="F87" s="64"/>
      <c r="G87" s="28"/>
    </row>
    <row r="88" customFormat="false" ht="15" hidden="false" customHeight="false" outlineLevel="0" collapsed="false">
      <c r="A88" s="63"/>
      <c r="B88" s="28"/>
      <c r="C88" s="28"/>
      <c r="D88" s="28"/>
      <c r="E88" s="28"/>
      <c r="F88" s="64"/>
      <c r="G88" s="28"/>
    </row>
    <row r="89" customFormat="false" ht="15" hidden="false" customHeight="false" outlineLevel="0" collapsed="false">
      <c r="A89" s="63"/>
      <c r="B89" s="28"/>
      <c r="C89" s="28"/>
      <c r="D89" s="28"/>
      <c r="E89" s="28"/>
      <c r="F89" s="64"/>
      <c r="G89" s="28"/>
    </row>
    <row r="90" customFormat="false" ht="15" hidden="false" customHeight="false" outlineLevel="0" collapsed="false">
      <c r="A90" s="63"/>
      <c r="B90" s="28"/>
      <c r="C90" s="28"/>
      <c r="D90" s="28"/>
      <c r="E90" s="28"/>
      <c r="F90" s="64"/>
      <c r="G90" s="28"/>
    </row>
    <row r="91" customFormat="false" ht="15" hidden="false" customHeight="false" outlineLevel="0" collapsed="false">
      <c r="A91" s="63"/>
      <c r="B91" s="28"/>
      <c r="C91" s="28"/>
      <c r="D91" s="28"/>
      <c r="E91" s="28"/>
      <c r="F91" s="64"/>
      <c r="G91" s="28"/>
    </row>
    <row r="92" customFormat="false" ht="15" hidden="false" customHeight="false" outlineLevel="0" collapsed="false">
      <c r="A92" s="63"/>
      <c r="B92" s="28"/>
      <c r="C92" s="28"/>
      <c r="D92" s="28"/>
      <c r="E92" s="28"/>
      <c r="F92" s="64"/>
      <c r="G92" s="28"/>
    </row>
    <row r="93" customFormat="false" ht="15" hidden="false" customHeight="false" outlineLevel="0" collapsed="false">
      <c r="A93" s="63"/>
      <c r="B93" s="28"/>
      <c r="C93" s="28"/>
      <c r="D93" s="28"/>
      <c r="E93" s="28"/>
      <c r="F93" s="64"/>
      <c r="G93" s="28"/>
    </row>
    <row r="94" customFormat="false" ht="15" hidden="false" customHeight="false" outlineLevel="0" collapsed="false">
      <c r="A94" s="63"/>
      <c r="B94" s="28"/>
      <c r="C94" s="28"/>
      <c r="D94" s="28"/>
      <c r="E94" s="28"/>
      <c r="F94" s="64"/>
      <c r="G94" s="28"/>
    </row>
    <row r="95" customFormat="false" ht="15" hidden="false" customHeight="false" outlineLevel="0" collapsed="false">
      <c r="A95" s="63"/>
      <c r="B95" s="28"/>
      <c r="C95" s="28"/>
      <c r="D95" s="28"/>
      <c r="E95" s="28"/>
      <c r="F95" s="64"/>
      <c r="G95" s="28"/>
    </row>
    <row r="96" customFormat="false" ht="15" hidden="false" customHeight="false" outlineLevel="0" collapsed="false">
      <c r="A96" s="63"/>
      <c r="B96" s="28"/>
      <c r="C96" s="28"/>
      <c r="D96" s="28"/>
      <c r="E96" s="28"/>
      <c r="F96" s="64"/>
      <c r="G96" s="28"/>
    </row>
    <row r="97" customFormat="false" ht="15" hidden="false" customHeight="false" outlineLevel="0" collapsed="false">
      <c r="A97" s="63"/>
      <c r="B97" s="28"/>
      <c r="C97" s="28"/>
      <c r="D97" s="28"/>
      <c r="E97" s="28"/>
      <c r="F97" s="64"/>
      <c r="G97" s="28"/>
    </row>
    <row r="98" customFormat="false" ht="15" hidden="false" customHeight="false" outlineLevel="0" collapsed="false">
      <c r="A98" s="63"/>
      <c r="B98" s="28"/>
      <c r="C98" s="28"/>
      <c r="D98" s="28"/>
      <c r="E98" s="28"/>
      <c r="F98" s="64"/>
      <c r="G98" s="28"/>
    </row>
    <row r="99" customFormat="false" ht="15" hidden="false" customHeight="false" outlineLevel="0" collapsed="false">
      <c r="A99" s="63"/>
      <c r="B99" s="28"/>
      <c r="C99" s="28"/>
      <c r="D99" s="28"/>
      <c r="E99" s="28"/>
      <c r="F99" s="64"/>
      <c r="G99" s="28"/>
    </row>
    <row r="100" customFormat="false" ht="15" hidden="false" customHeight="false" outlineLevel="0" collapsed="false">
      <c r="A100" s="63"/>
      <c r="B100" s="28"/>
      <c r="C100" s="28"/>
      <c r="D100" s="28"/>
      <c r="E100" s="28"/>
      <c r="F100" s="64"/>
      <c r="G100" s="28"/>
    </row>
    <row r="101" customFormat="false" ht="15" hidden="false" customHeight="false" outlineLevel="0" collapsed="false">
      <c r="A101" s="63"/>
      <c r="B101" s="28"/>
      <c r="C101" s="28"/>
      <c r="D101" s="28"/>
      <c r="E101" s="28"/>
      <c r="F101" s="64"/>
      <c r="G101" s="28"/>
    </row>
    <row r="102" customFormat="false" ht="15" hidden="false" customHeight="false" outlineLevel="0" collapsed="false">
      <c r="A102" s="63"/>
      <c r="B102" s="28"/>
      <c r="C102" s="28"/>
      <c r="D102" s="28"/>
      <c r="E102" s="28"/>
      <c r="F102" s="64"/>
      <c r="G102" s="28"/>
    </row>
    <row r="103" customFormat="false" ht="15" hidden="false" customHeight="false" outlineLevel="0" collapsed="false">
      <c r="A103" s="63"/>
      <c r="B103" s="28"/>
      <c r="C103" s="28"/>
      <c r="D103" s="28"/>
      <c r="E103" s="28"/>
      <c r="F103" s="64"/>
      <c r="G103" s="28"/>
    </row>
    <row r="104" customFormat="false" ht="15" hidden="false" customHeight="false" outlineLevel="0" collapsed="false">
      <c r="A104" s="63"/>
      <c r="B104" s="28"/>
      <c r="C104" s="28"/>
      <c r="D104" s="28"/>
      <c r="E104" s="28"/>
      <c r="F104" s="64"/>
      <c r="G104" s="28"/>
    </row>
    <row r="105" customFormat="false" ht="15" hidden="false" customHeight="false" outlineLevel="0" collapsed="false">
      <c r="A105" s="63"/>
      <c r="B105" s="28"/>
      <c r="C105" s="28"/>
      <c r="D105" s="28"/>
      <c r="E105" s="28"/>
      <c r="F105" s="64"/>
      <c r="G105" s="28"/>
    </row>
    <row r="106" customFormat="false" ht="15" hidden="false" customHeight="false" outlineLevel="0" collapsed="false">
      <c r="A106" s="63"/>
      <c r="B106" s="28"/>
      <c r="C106" s="28"/>
      <c r="D106" s="28"/>
      <c r="E106" s="28"/>
      <c r="F106" s="64"/>
      <c r="G106" s="28"/>
    </row>
    <row r="107" customFormat="false" ht="15" hidden="false" customHeight="false" outlineLevel="0" collapsed="false">
      <c r="A107" s="63"/>
      <c r="B107" s="28"/>
      <c r="C107" s="28"/>
      <c r="D107" s="28"/>
      <c r="E107" s="28"/>
      <c r="F107" s="64"/>
      <c r="G107" s="28"/>
    </row>
    <row r="108" customFormat="false" ht="15" hidden="false" customHeight="false" outlineLevel="0" collapsed="false">
      <c r="A108" s="63"/>
      <c r="B108" s="28"/>
      <c r="C108" s="28"/>
      <c r="D108" s="28"/>
      <c r="E108" s="28"/>
      <c r="F108" s="64"/>
      <c r="G108" s="28"/>
    </row>
    <row r="109" customFormat="false" ht="15" hidden="false" customHeight="false" outlineLevel="0" collapsed="false">
      <c r="A109" s="63"/>
      <c r="B109" s="28"/>
      <c r="C109" s="28"/>
      <c r="D109" s="28"/>
      <c r="E109" s="28"/>
      <c r="F109" s="64"/>
      <c r="G109" s="28"/>
    </row>
    <row r="110" customFormat="false" ht="15" hidden="false" customHeight="false" outlineLevel="0" collapsed="false">
      <c r="A110" s="63"/>
      <c r="B110" s="28"/>
      <c r="C110" s="28"/>
      <c r="D110" s="28"/>
      <c r="E110" s="28"/>
      <c r="F110" s="64"/>
      <c r="G110" s="28"/>
    </row>
    <row r="111" customFormat="false" ht="15" hidden="false" customHeight="false" outlineLevel="0" collapsed="false">
      <c r="A111" s="63"/>
      <c r="B111" s="28"/>
      <c r="C111" s="28"/>
      <c r="D111" s="28"/>
      <c r="E111" s="28"/>
      <c r="F111" s="64"/>
      <c r="G111" s="28"/>
    </row>
    <row r="112" customFormat="false" ht="15" hidden="false" customHeight="false" outlineLevel="0" collapsed="false">
      <c r="A112" s="63"/>
      <c r="B112" s="28"/>
      <c r="C112" s="28"/>
      <c r="D112" s="28"/>
      <c r="E112" s="28"/>
      <c r="F112" s="64"/>
      <c r="G112" s="28"/>
    </row>
    <row r="113" customFormat="false" ht="15" hidden="false" customHeight="false" outlineLevel="0" collapsed="false">
      <c r="A113" s="63"/>
      <c r="B113" s="28"/>
      <c r="C113" s="28"/>
      <c r="D113" s="28"/>
      <c r="E113" s="28"/>
      <c r="F113" s="64"/>
      <c r="G113" s="28"/>
    </row>
    <row r="114" customFormat="false" ht="15" hidden="false" customHeight="false" outlineLevel="0" collapsed="false">
      <c r="A114" s="63"/>
      <c r="B114" s="28"/>
      <c r="C114" s="28"/>
      <c r="D114" s="28"/>
      <c r="E114" s="28"/>
      <c r="F114" s="64"/>
      <c r="G114" s="28"/>
    </row>
    <row r="115" customFormat="false" ht="15" hidden="false" customHeight="false" outlineLevel="0" collapsed="false">
      <c r="A115" s="63"/>
      <c r="B115" s="28"/>
      <c r="C115" s="28"/>
      <c r="D115" s="28"/>
      <c r="E115" s="28"/>
      <c r="F115" s="64"/>
      <c r="G115" s="28"/>
    </row>
    <row r="116" customFormat="false" ht="15" hidden="false" customHeight="false" outlineLevel="0" collapsed="false">
      <c r="A116" s="63"/>
      <c r="B116" s="28"/>
      <c r="C116" s="28"/>
      <c r="D116" s="28"/>
      <c r="E116" s="28"/>
      <c r="F116" s="64"/>
      <c r="G116" s="28"/>
    </row>
    <row r="117" customFormat="false" ht="15" hidden="false" customHeight="false" outlineLevel="0" collapsed="false">
      <c r="A117" s="63"/>
      <c r="B117" s="28"/>
      <c r="C117" s="28"/>
      <c r="D117" s="28"/>
      <c r="E117" s="28"/>
      <c r="F117" s="64"/>
      <c r="G117" s="28"/>
    </row>
    <row r="118" customFormat="false" ht="15" hidden="false" customHeight="false" outlineLevel="0" collapsed="false">
      <c r="A118" s="63"/>
      <c r="B118" s="28"/>
      <c r="C118" s="28"/>
      <c r="D118" s="28"/>
      <c r="E118" s="28"/>
      <c r="F118" s="64"/>
      <c r="G118" s="28"/>
    </row>
    <row r="119" customFormat="false" ht="15" hidden="false" customHeight="false" outlineLevel="0" collapsed="false">
      <c r="A119" s="63"/>
      <c r="B119" s="28"/>
      <c r="C119" s="28"/>
      <c r="D119" s="28"/>
      <c r="E119" s="28"/>
      <c r="F119" s="64"/>
      <c r="G119" s="28"/>
    </row>
    <row r="120" customFormat="false" ht="15" hidden="false" customHeight="false" outlineLevel="0" collapsed="false">
      <c r="A120" s="63"/>
      <c r="B120" s="28"/>
      <c r="C120" s="28"/>
      <c r="D120" s="28"/>
      <c r="E120" s="28"/>
      <c r="F120" s="64"/>
      <c r="G120" s="28"/>
    </row>
    <row r="121" customFormat="false" ht="15" hidden="false" customHeight="false" outlineLevel="0" collapsed="false">
      <c r="A121" s="63"/>
      <c r="B121" s="28"/>
      <c r="C121" s="28"/>
      <c r="D121" s="28"/>
      <c r="E121" s="28"/>
      <c r="F121" s="64"/>
      <c r="G121" s="28"/>
    </row>
    <row r="122" customFormat="false" ht="15" hidden="false" customHeight="false" outlineLevel="0" collapsed="false">
      <c r="A122" s="63"/>
      <c r="B122" s="28"/>
      <c r="C122" s="28"/>
      <c r="D122" s="28"/>
      <c r="E122" s="28"/>
      <c r="F122" s="64"/>
      <c r="G122" s="28"/>
    </row>
    <row r="123" customFormat="false" ht="15" hidden="false" customHeight="false" outlineLevel="0" collapsed="false">
      <c r="A123" s="63"/>
      <c r="B123" s="28"/>
      <c r="C123" s="28"/>
      <c r="D123" s="28"/>
      <c r="E123" s="28"/>
      <c r="F123" s="64"/>
      <c r="G123" s="28"/>
    </row>
    <row r="124" customFormat="false" ht="15" hidden="false" customHeight="false" outlineLevel="0" collapsed="false">
      <c r="A124" s="63"/>
      <c r="B124" s="28"/>
      <c r="C124" s="28"/>
      <c r="D124" s="28"/>
      <c r="E124" s="28"/>
      <c r="F124" s="64"/>
      <c r="G124" s="28"/>
    </row>
    <row r="125" customFormat="false" ht="15" hidden="false" customHeight="false" outlineLevel="0" collapsed="false">
      <c r="A125" s="63"/>
      <c r="B125" s="28"/>
      <c r="C125" s="28"/>
      <c r="D125" s="28"/>
      <c r="E125" s="28"/>
      <c r="F125" s="64"/>
      <c r="G125" s="28"/>
    </row>
    <row r="126" customFormat="false" ht="15" hidden="false" customHeight="false" outlineLevel="0" collapsed="false">
      <c r="A126" s="63"/>
      <c r="B126" s="28"/>
      <c r="C126" s="28"/>
      <c r="D126" s="28"/>
      <c r="E126" s="28"/>
      <c r="F126" s="64"/>
      <c r="G126" s="28"/>
    </row>
    <row r="127" customFormat="false" ht="15" hidden="false" customHeight="false" outlineLevel="0" collapsed="false">
      <c r="A127" s="63"/>
      <c r="B127" s="28"/>
      <c r="C127" s="28"/>
      <c r="D127" s="28"/>
      <c r="E127" s="28"/>
      <c r="F127" s="64"/>
      <c r="G127" s="28"/>
    </row>
    <row r="128" customFormat="false" ht="15" hidden="false" customHeight="false" outlineLevel="0" collapsed="false">
      <c r="A128" s="63"/>
      <c r="B128" s="28"/>
      <c r="C128" s="28"/>
      <c r="D128" s="28"/>
      <c r="E128" s="28"/>
      <c r="F128" s="64"/>
      <c r="G128" s="28"/>
    </row>
    <row r="129" customFormat="false" ht="15" hidden="false" customHeight="false" outlineLevel="0" collapsed="false">
      <c r="A129" s="63"/>
      <c r="B129" s="28"/>
      <c r="C129" s="28"/>
      <c r="D129" s="28"/>
      <c r="E129" s="28"/>
      <c r="F129" s="64"/>
      <c r="G129" s="28"/>
    </row>
    <row r="130" customFormat="false" ht="15" hidden="false" customHeight="false" outlineLevel="0" collapsed="false">
      <c r="A130" s="63"/>
      <c r="B130" s="28"/>
      <c r="C130" s="28"/>
      <c r="D130" s="28"/>
      <c r="E130" s="28"/>
      <c r="F130" s="64"/>
      <c r="G130" s="28"/>
    </row>
    <row r="131" customFormat="false" ht="15" hidden="false" customHeight="false" outlineLevel="0" collapsed="false">
      <c r="A131" s="63"/>
      <c r="B131" s="28"/>
      <c r="C131" s="28"/>
      <c r="D131" s="28"/>
      <c r="E131" s="28"/>
      <c r="F131" s="64"/>
      <c r="G131" s="28"/>
    </row>
    <row r="132" customFormat="false" ht="15" hidden="false" customHeight="false" outlineLevel="0" collapsed="false">
      <c r="A132" s="63"/>
      <c r="B132" s="28"/>
      <c r="C132" s="28"/>
      <c r="D132" s="28"/>
      <c r="E132" s="28"/>
      <c r="F132" s="64"/>
      <c r="G132" s="28"/>
    </row>
    <row r="133" customFormat="false" ht="15" hidden="false" customHeight="false" outlineLevel="0" collapsed="false">
      <c r="A133" s="63"/>
      <c r="B133" s="28"/>
      <c r="C133" s="28"/>
      <c r="D133" s="28"/>
      <c r="E133" s="28"/>
      <c r="F133" s="64"/>
      <c r="G133" s="28"/>
    </row>
    <row r="134" customFormat="false" ht="15" hidden="false" customHeight="false" outlineLevel="0" collapsed="false">
      <c r="A134" s="63"/>
      <c r="B134" s="28"/>
      <c r="C134" s="28"/>
      <c r="D134" s="28"/>
      <c r="E134" s="28"/>
      <c r="F134" s="64"/>
      <c r="G134" s="28"/>
    </row>
    <row r="135" customFormat="false" ht="15" hidden="false" customHeight="false" outlineLevel="0" collapsed="false">
      <c r="A135" s="63"/>
      <c r="B135" s="28"/>
      <c r="C135" s="28"/>
      <c r="D135" s="28"/>
      <c r="E135" s="28"/>
      <c r="F135" s="64"/>
      <c r="G135" s="28"/>
    </row>
    <row r="136" customFormat="false" ht="15" hidden="false" customHeight="false" outlineLevel="0" collapsed="false">
      <c r="A136" s="63"/>
      <c r="B136" s="28"/>
      <c r="C136" s="28"/>
      <c r="D136" s="28"/>
      <c r="E136" s="28"/>
      <c r="F136" s="64"/>
      <c r="G136" s="28"/>
    </row>
    <row r="137" customFormat="false" ht="15" hidden="false" customHeight="false" outlineLevel="0" collapsed="false">
      <c r="A137" s="63"/>
      <c r="B137" s="28"/>
      <c r="C137" s="28"/>
      <c r="D137" s="28"/>
      <c r="E137" s="28"/>
      <c r="F137" s="64"/>
      <c r="G137" s="28"/>
    </row>
    <row r="138" customFormat="false" ht="15" hidden="false" customHeight="false" outlineLevel="0" collapsed="false">
      <c r="A138" s="63"/>
      <c r="B138" s="28"/>
      <c r="C138" s="28"/>
      <c r="D138" s="28"/>
      <c r="E138" s="28"/>
      <c r="F138" s="64"/>
      <c r="G138" s="28"/>
    </row>
    <row r="139" customFormat="false" ht="15" hidden="false" customHeight="false" outlineLevel="0" collapsed="false">
      <c r="A139" s="63"/>
      <c r="B139" s="28"/>
      <c r="C139" s="28"/>
      <c r="D139" s="28"/>
      <c r="E139" s="28"/>
      <c r="F139" s="64"/>
      <c r="G139" s="28"/>
    </row>
    <row r="140" customFormat="false" ht="15" hidden="false" customHeight="false" outlineLevel="0" collapsed="false">
      <c r="A140" s="63"/>
      <c r="B140" s="28"/>
      <c r="C140" s="28"/>
      <c r="D140" s="28"/>
      <c r="E140" s="28"/>
      <c r="F140" s="64"/>
      <c r="G140" s="28"/>
    </row>
    <row r="141" customFormat="false" ht="15" hidden="false" customHeight="false" outlineLevel="0" collapsed="false">
      <c r="A141" s="63"/>
      <c r="B141" s="28"/>
      <c r="C141" s="28"/>
      <c r="D141" s="28"/>
      <c r="E141" s="28"/>
      <c r="F141" s="64"/>
      <c r="G141" s="28"/>
    </row>
    <row r="142" customFormat="false" ht="15" hidden="false" customHeight="false" outlineLevel="0" collapsed="false">
      <c r="A142" s="63"/>
      <c r="B142" s="28"/>
      <c r="C142" s="28"/>
      <c r="D142" s="28"/>
      <c r="E142" s="28"/>
      <c r="F142" s="64"/>
      <c r="G142" s="28"/>
    </row>
    <row r="143" customFormat="false" ht="15" hidden="false" customHeight="false" outlineLevel="0" collapsed="false">
      <c r="A143" s="63"/>
      <c r="B143" s="28"/>
      <c r="C143" s="28"/>
      <c r="D143" s="28"/>
      <c r="E143" s="28"/>
      <c r="F143" s="64"/>
      <c r="G143" s="28"/>
    </row>
    <row r="144" customFormat="false" ht="15" hidden="false" customHeight="false" outlineLevel="0" collapsed="false">
      <c r="A144" s="63"/>
      <c r="B144" s="28"/>
      <c r="C144" s="28"/>
      <c r="D144" s="28"/>
      <c r="E144" s="28"/>
      <c r="F144" s="64"/>
      <c r="G144" s="28"/>
    </row>
    <row r="145" customFormat="false" ht="15" hidden="false" customHeight="false" outlineLevel="0" collapsed="false">
      <c r="A145" s="63"/>
      <c r="B145" s="28"/>
      <c r="C145" s="28"/>
      <c r="D145" s="28"/>
      <c r="E145" s="28"/>
      <c r="F145" s="64"/>
      <c r="G145" s="28"/>
    </row>
    <row r="146" customFormat="false" ht="15" hidden="false" customHeight="false" outlineLevel="0" collapsed="false">
      <c r="A146" s="63"/>
      <c r="B146" s="28"/>
      <c r="C146" s="28"/>
      <c r="D146" s="28"/>
      <c r="E146" s="28"/>
      <c r="F146" s="64"/>
      <c r="G146" s="28"/>
    </row>
    <row r="147" customFormat="false" ht="15" hidden="false" customHeight="false" outlineLevel="0" collapsed="false">
      <c r="A147" s="63"/>
      <c r="B147" s="28"/>
      <c r="C147" s="28"/>
      <c r="D147" s="28"/>
      <c r="E147" s="28"/>
      <c r="F147" s="64"/>
      <c r="G147" s="28"/>
    </row>
    <row r="148" customFormat="false" ht="15" hidden="false" customHeight="false" outlineLevel="0" collapsed="false">
      <c r="A148" s="63"/>
      <c r="B148" s="28"/>
      <c r="C148" s="28"/>
      <c r="D148" s="28"/>
      <c r="E148" s="28"/>
      <c r="F148" s="64"/>
      <c r="G148" s="28"/>
    </row>
    <row r="149" customFormat="false" ht="15" hidden="false" customHeight="false" outlineLevel="0" collapsed="false">
      <c r="A149" s="63"/>
      <c r="B149" s="28"/>
      <c r="C149" s="28"/>
      <c r="D149" s="28"/>
      <c r="E149" s="28"/>
      <c r="F149" s="64"/>
      <c r="G149" s="28"/>
    </row>
    <row r="150" customFormat="false" ht="15" hidden="false" customHeight="false" outlineLevel="0" collapsed="false">
      <c r="A150" s="63"/>
      <c r="B150" s="28"/>
      <c r="C150" s="28"/>
      <c r="D150" s="28"/>
      <c r="E150" s="28"/>
      <c r="F150" s="64"/>
      <c r="G150" s="28"/>
    </row>
    <row r="151" customFormat="false" ht="15" hidden="false" customHeight="false" outlineLevel="0" collapsed="false">
      <c r="A151" s="63"/>
      <c r="B151" s="28"/>
      <c r="C151" s="28"/>
      <c r="D151" s="28"/>
      <c r="E151" s="28"/>
      <c r="F151" s="64"/>
      <c r="G151" s="28"/>
    </row>
    <row r="152" customFormat="false" ht="15" hidden="false" customHeight="false" outlineLevel="0" collapsed="false">
      <c r="A152" s="63"/>
      <c r="B152" s="28"/>
      <c r="C152" s="28"/>
      <c r="D152" s="28"/>
      <c r="E152" s="28"/>
      <c r="F152" s="64"/>
      <c r="G152" s="28"/>
    </row>
    <row r="153" customFormat="false" ht="15" hidden="false" customHeight="false" outlineLevel="0" collapsed="false">
      <c r="A153" s="63"/>
      <c r="B153" s="28"/>
      <c r="C153" s="28"/>
      <c r="D153" s="28"/>
      <c r="E153" s="28"/>
      <c r="F153" s="64"/>
      <c r="G153" s="28"/>
    </row>
    <row r="154" customFormat="false" ht="15" hidden="false" customHeight="false" outlineLevel="0" collapsed="false">
      <c r="A154" s="63"/>
      <c r="B154" s="28"/>
      <c r="C154" s="28"/>
      <c r="D154" s="28"/>
      <c r="E154" s="28"/>
      <c r="F154" s="64"/>
      <c r="G154" s="28"/>
    </row>
    <row r="155" customFormat="false" ht="15" hidden="false" customHeight="false" outlineLevel="0" collapsed="false">
      <c r="A155" s="63"/>
      <c r="B155" s="28"/>
      <c r="C155" s="28"/>
      <c r="D155" s="28"/>
      <c r="E155" s="28"/>
      <c r="F155" s="64"/>
      <c r="G155" s="28"/>
    </row>
    <row r="156" customFormat="false" ht="15" hidden="false" customHeight="false" outlineLevel="0" collapsed="false">
      <c r="A156" s="63"/>
      <c r="B156" s="28"/>
      <c r="C156" s="28"/>
      <c r="D156" s="28"/>
      <c r="E156" s="28"/>
      <c r="F156" s="64"/>
      <c r="G156" s="28"/>
    </row>
    <row r="157" customFormat="false" ht="15" hidden="false" customHeight="false" outlineLevel="0" collapsed="false">
      <c r="A157" s="63"/>
      <c r="B157" s="28"/>
      <c r="C157" s="28"/>
      <c r="D157" s="28"/>
      <c r="E157" s="28"/>
      <c r="F157" s="64"/>
      <c r="G157" s="28"/>
    </row>
    <row r="158" customFormat="false" ht="15" hidden="false" customHeight="false" outlineLevel="0" collapsed="false">
      <c r="A158" s="63"/>
      <c r="B158" s="28"/>
      <c r="C158" s="28"/>
      <c r="D158" s="28"/>
      <c r="E158" s="28"/>
      <c r="F158" s="64"/>
      <c r="G158" s="28"/>
    </row>
    <row r="159" customFormat="false" ht="15" hidden="false" customHeight="false" outlineLevel="0" collapsed="false">
      <c r="A159" s="63"/>
      <c r="B159" s="28"/>
      <c r="C159" s="28"/>
      <c r="D159" s="28"/>
      <c r="E159" s="28"/>
      <c r="F159" s="64"/>
      <c r="G159" s="28"/>
    </row>
    <row r="160" customFormat="false" ht="15" hidden="false" customHeight="false" outlineLevel="0" collapsed="false">
      <c r="A160" s="63"/>
      <c r="B160" s="28"/>
      <c r="C160" s="28"/>
      <c r="D160" s="28"/>
      <c r="E160" s="28"/>
      <c r="F160" s="64"/>
      <c r="G160" s="28"/>
    </row>
    <row r="161" customFormat="false" ht="15" hidden="false" customHeight="false" outlineLevel="0" collapsed="false">
      <c r="A161" s="63"/>
      <c r="B161" s="28"/>
      <c r="C161" s="28"/>
      <c r="D161" s="28"/>
      <c r="E161" s="28"/>
      <c r="F161" s="64"/>
      <c r="G161" s="28"/>
    </row>
    <row r="162" customFormat="false" ht="15" hidden="false" customHeight="false" outlineLevel="0" collapsed="false">
      <c r="A162" s="63"/>
      <c r="B162" s="28"/>
      <c r="C162" s="28"/>
      <c r="D162" s="28"/>
      <c r="E162" s="28"/>
      <c r="F162" s="64"/>
      <c r="G162" s="28"/>
    </row>
    <row r="163" customFormat="false" ht="15" hidden="false" customHeight="false" outlineLevel="0" collapsed="false">
      <c r="A163" s="63"/>
      <c r="B163" s="28"/>
      <c r="C163" s="28"/>
      <c r="D163" s="28"/>
      <c r="E163" s="28"/>
      <c r="F163" s="64"/>
      <c r="G163" s="28"/>
    </row>
    <row r="164" customFormat="false" ht="15" hidden="false" customHeight="false" outlineLevel="0" collapsed="false">
      <c r="A164" s="63"/>
      <c r="B164" s="28"/>
      <c r="C164" s="28"/>
      <c r="D164" s="28"/>
      <c r="E164" s="28"/>
      <c r="F164" s="64"/>
      <c r="G164" s="28"/>
    </row>
    <row r="165" customFormat="false" ht="15" hidden="false" customHeight="false" outlineLevel="0" collapsed="false">
      <c r="A165" s="63"/>
      <c r="B165" s="28"/>
      <c r="C165" s="28"/>
      <c r="D165" s="28"/>
      <c r="E165" s="28"/>
      <c r="F165" s="64"/>
      <c r="G165" s="28"/>
    </row>
    <row r="166" customFormat="false" ht="15" hidden="false" customHeight="false" outlineLevel="0" collapsed="false">
      <c r="A166" s="63"/>
      <c r="B166" s="28"/>
      <c r="C166" s="28"/>
      <c r="D166" s="28"/>
      <c r="E166" s="28"/>
      <c r="F166" s="64"/>
      <c r="G166" s="28"/>
    </row>
    <row r="167" customFormat="false" ht="15" hidden="false" customHeight="false" outlineLevel="0" collapsed="false">
      <c r="A167" s="63"/>
      <c r="B167" s="28"/>
      <c r="C167" s="28"/>
      <c r="D167" s="28"/>
      <c r="E167" s="28"/>
      <c r="F167" s="64"/>
      <c r="G167" s="28"/>
    </row>
    <row r="168" customFormat="false" ht="15" hidden="false" customHeight="false" outlineLevel="0" collapsed="false">
      <c r="A168" s="63"/>
      <c r="B168" s="28"/>
      <c r="C168" s="28"/>
      <c r="D168" s="28"/>
      <c r="E168" s="28"/>
      <c r="F168" s="64"/>
      <c r="G168" s="28"/>
    </row>
    <row r="169" customFormat="false" ht="15" hidden="false" customHeight="false" outlineLevel="0" collapsed="false">
      <c r="A169" s="63"/>
      <c r="B169" s="28"/>
      <c r="C169" s="28"/>
      <c r="D169" s="28"/>
      <c r="E169" s="28"/>
      <c r="F169" s="64"/>
      <c r="G169" s="28"/>
    </row>
    <row r="170" customFormat="false" ht="15" hidden="false" customHeight="false" outlineLevel="0" collapsed="false">
      <c r="A170" s="63"/>
      <c r="B170" s="28"/>
      <c r="C170" s="28"/>
      <c r="D170" s="28"/>
      <c r="E170" s="28"/>
      <c r="F170" s="64"/>
      <c r="G170" s="28"/>
    </row>
    <row r="171" customFormat="false" ht="15" hidden="false" customHeight="false" outlineLevel="0" collapsed="false">
      <c r="A171" s="63"/>
      <c r="B171" s="28"/>
      <c r="C171" s="28"/>
      <c r="D171" s="28"/>
      <c r="E171" s="28"/>
      <c r="F171" s="64"/>
      <c r="G171" s="28"/>
    </row>
    <row r="172" customFormat="false" ht="15" hidden="false" customHeight="false" outlineLevel="0" collapsed="false">
      <c r="A172" s="63"/>
      <c r="B172" s="28"/>
      <c r="C172" s="28"/>
      <c r="D172" s="28"/>
      <c r="E172" s="28"/>
      <c r="F172" s="64"/>
      <c r="G172" s="28"/>
    </row>
    <row r="173" customFormat="false" ht="15" hidden="false" customHeight="false" outlineLevel="0" collapsed="false">
      <c r="A173" s="63"/>
      <c r="B173" s="28"/>
      <c r="C173" s="28"/>
      <c r="D173" s="28"/>
      <c r="E173" s="28"/>
      <c r="F173" s="64"/>
      <c r="G173" s="28"/>
    </row>
    <row r="174" customFormat="false" ht="15" hidden="false" customHeight="false" outlineLevel="0" collapsed="false">
      <c r="A174" s="63"/>
      <c r="B174" s="28"/>
      <c r="C174" s="28"/>
      <c r="D174" s="28"/>
      <c r="E174" s="28"/>
      <c r="F174" s="64"/>
      <c r="G174" s="28"/>
    </row>
    <row r="175" customFormat="false" ht="15" hidden="false" customHeight="false" outlineLevel="0" collapsed="false">
      <c r="A175" s="63"/>
      <c r="B175" s="28"/>
      <c r="C175" s="28"/>
      <c r="D175" s="28"/>
      <c r="E175" s="28"/>
      <c r="F175" s="64"/>
      <c r="G175" s="28"/>
    </row>
    <row r="176" customFormat="false" ht="15" hidden="false" customHeight="false" outlineLevel="0" collapsed="false">
      <c r="A176" s="63"/>
      <c r="B176" s="28"/>
      <c r="C176" s="28"/>
      <c r="D176" s="28"/>
      <c r="E176" s="28"/>
      <c r="F176" s="64"/>
      <c r="G176" s="28"/>
    </row>
    <row r="177" customFormat="false" ht="15" hidden="false" customHeight="false" outlineLevel="0" collapsed="false">
      <c r="A177" s="63"/>
      <c r="B177" s="28"/>
      <c r="C177" s="28"/>
      <c r="D177" s="28"/>
      <c r="E177" s="28"/>
      <c r="F177" s="64"/>
      <c r="G177" s="28"/>
    </row>
    <row r="178" customFormat="false" ht="15" hidden="false" customHeight="false" outlineLevel="0" collapsed="false">
      <c r="A178" s="63"/>
      <c r="B178" s="28"/>
      <c r="C178" s="28"/>
      <c r="D178" s="28"/>
      <c r="E178" s="28"/>
      <c r="F178" s="64"/>
      <c r="G178" s="28"/>
    </row>
    <row r="179" customFormat="false" ht="15" hidden="false" customHeight="false" outlineLevel="0" collapsed="false">
      <c r="A179" s="63"/>
      <c r="B179" s="28"/>
      <c r="C179" s="28"/>
      <c r="D179" s="28"/>
      <c r="E179" s="28"/>
      <c r="F179" s="64"/>
      <c r="G179" s="28"/>
    </row>
    <row r="180" customFormat="false" ht="15" hidden="false" customHeight="false" outlineLevel="0" collapsed="false">
      <c r="A180" s="63"/>
      <c r="B180" s="28"/>
      <c r="C180" s="28"/>
      <c r="D180" s="28"/>
      <c r="E180" s="28"/>
      <c r="F180" s="64"/>
      <c r="G180" s="28"/>
    </row>
    <row r="181" customFormat="false" ht="15" hidden="false" customHeight="false" outlineLevel="0" collapsed="false">
      <c r="A181" s="63"/>
      <c r="B181" s="28"/>
      <c r="C181" s="28"/>
      <c r="D181" s="28"/>
      <c r="E181" s="28"/>
      <c r="F181" s="64"/>
      <c r="G181" s="28"/>
    </row>
    <row r="182" customFormat="false" ht="15" hidden="false" customHeight="false" outlineLevel="0" collapsed="false">
      <c r="A182" s="63"/>
      <c r="B182" s="28"/>
      <c r="C182" s="28"/>
      <c r="D182" s="28"/>
      <c r="E182" s="28"/>
      <c r="F182" s="64"/>
      <c r="G182" s="28"/>
    </row>
    <row r="183" customFormat="false" ht="15" hidden="false" customHeight="false" outlineLevel="0" collapsed="false">
      <c r="A183" s="63"/>
      <c r="B183" s="28"/>
      <c r="C183" s="28"/>
      <c r="D183" s="28"/>
      <c r="E183" s="28"/>
      <c r="F183" s="64"/>
      <c r="G183" s="28"/>
    </row>
    <row r="184" customFormat="false" ht="15" hidden="false" customHeight="false" outlineLevel="0" collapsed="false">
      <c r="A184" s="63"/>
      <c r="B184" s="28"/>
      <c r="C184" s="28"/>
      <c r="D184" s="28"/>
      <c r="E184" s="28"/>
      <c r="F184" s="64"/>
      <c r="G184" s="28"/>
    </row>
    <row r="185" customFormat="false" ht="15" hidden="false" customHeight="false" outlineLevel="0" collapsed="false">
      <c r="A185" s="63"/>
      <c r="B185" s="28"/>
      <c r="C185" s="28"/>
      <c r="D185" s="28"/>
      <c r="E185" s="28"/>
      <c r="F185" s="64"/>
      <c r="G185" s="28"/>
    </row>
    <row r="186" customFormat="false" ht="15" hidden="false" customHeight="false" outlineLevel="0" collapsed="false">
      <c r="A186" s="63"/>
      <c r="B186" s="28"/>
      <c r="C186" s="28"/>
      <c r="D186" s="28"/>
      <c r="E186" s="28"/>
      <c r="F186" s="64"/>
      <c r="G186" s="28"/>
    </row>
    <row r="187" customFormat="false" ht="15" hidden="false" customHeight="false" outlineLevel="0" collapsed="false">
      <c r="A187" s="63"/>
      <c r="B187" s="28"/>
      <c r="C187" s="28"/>
      <c r="D187" s="28"/>
      <c r="E187" s="28"/>
      <c r="F187" s="64"/>
      <c r="G187" s="28"/>
    </row>
    <row r="188" customFormat="false" ht="15" hidden="false" customHeight="false" outlineLevel="0" collapsed="false">
      <c r="A188" s="63"/>
      <c r="B188" s="28"/>
      <c r="C188" s="28"/>
      <c r="D188" s="28"/>
      <c r="E188" s="28"/>
      <c r="F188" s="64"/>
      <c r="G188" s="28"/>
    </row>
    <row r="189" customFormat="false" ht="15" hidden="false" customHeight="false" outlineLevel="0" collapsed="false">
      <c r="A189" s="63"/>
      <c r="B189" s="28"/>
      <c r="C189" s="28"/>
      <c r="D189" s="28"/>
      <c r="E189" s="28"/>
      <c r="F189" s="64"/>
      <c r="G189" s="28"/>
    </row>
    <row r="190" customFormat="false" ht="15" hidden="false" customHeight="false" outlineLevel="0" collapsed="false">
      <c r="A190" s="63"/>
      <c r="B190" s="28"/>
      <c r="C190" s="28"/>
      <c r="D190" s="28"/>
      <c r="E190" s="28"/>
      <c r="F190" s="64"/>
      <c r="G190" s="28"/>
    </row>
    <row r="191" customFormat="false" ht="15" hidden="false" customHeight="false" outlineLevel="0" collapsed="false">
      <c r="A191" s="63"/>
      <c r="B191" s="28"/>
      <c r="C191" s="28"/>
      <c r="D191" s="28"/>
      <c r="E191" s="28"/>
      <c r="F191" s="64"/>
      <c r="G191" s="28"/>
    </row>
    <row r="192" customFormat="false" ht="15" hidden="false" customHeight="false" outlineLevel="0" collapsed="false">
      <c r="A192" s="63"/>
      <c r="B192" s="28"/>
      <c r="C192" s="28"/>
      <c r="D192" s="28"/>
      <c r="E192" s="28"/>
      <c r="F192" s="64"/>
      <c r="G192" s="28"/>
    </row>
    <row r="193" customFormat="false" ht="15" hidden="false" customHeight="false" outlineLevel="0" collapsed="false">
      <c r="A193" s="63"/>
      <c r="B193" s="28"/>
      <c r="C193" s="28"/>
      <c r="D193" s="28"/>
      <c r="E193" s="28"/>
      <c r="F193" s="64"/>
      <c r="G193" s="28"/>
    </row>
    <row r="194" customFormat="false" ht="15" hidden="false" customHeight="false" outlineLevel="0" collapsed="false">
      <c r="A194" s="63"/>
      <c r="B194" s="28"/>
      <c r="C194" s="28"/>
      <c r="D194" s="28"/>
      <c r="E194" s="28"/>
      <c r="F194" s="64"/>
      <c r="G194" s="28"/>
    </row>
    <row r="195" customFormat="false" ht="15" hidden="false" customHeight="false" outlineLevel="0" collapsed="false">
      <c r="A195" s="63"/>
      <c r="B195" s="28"/>
      <c r="C195" s="28"/>
      <c r="D195" s="28"/>
      <c r="E195" s="28"/>
      <c r="F195" s="64"/>
      <c r="G195" s="28"/>
    </row>
    <row r="196" customFormat="false" ht="15" hidden="false" customHeight="false" outlineLevel="0" collapsed="false">
      <c r="A196" s="63"/>
      <c r="B196" s="28"/>
      <c r="C196" s="28"/>
      <c r="D196" s="28"/>
      <c r="E196" s="28"/>
      <c r="F196" s="64"/>
      <c r="G196" s="28"/>
    </row>
    <row r="197" customFormat="false" ht="15" hidden="false" customHeight="false" outlineLevel="0" collapsed="false">
      <c r="A197" s="63"/>
      <c r="B197" s="28"/>
      <c r="C197" s="28"/>
      <c r="D197" s="28"/>
      <c r="E197" s="28"/>
      <c r="F197" s="64"/>
      <c r="G197" s="28"/>
    </row>
    <row r="198" customFormat="false" ht="15" hidden="false" customHeight="false" outlineLevel="0" collapsed="false">
      <c r="A198" s="63"/>
      <c r="B198" s="28"/>
      <c r="C198" s="28"/>
      <c r="D198" s="28"/>
      <c r="E198" s="28"/>
      <c r="F198" s="64"/>
      <c r="G198" s="28"/>
    </row>
    <row r="199" customFormat="false" ht="15" hidden="false" customHeight="false" outlineLevel="0" collapsed="false">
      <c r="A199" s="63"/>
      <c r="B199" s="28"/>
      <c r="C199" s="28"/>
      <c r="D199" s="28"/>
      <c r="E199" s="28"/>
      <c r="F199" s="64"/>
      <c r="G199" s="28"/>
    </row>
    <row r="200" customFormat="false" ht="15" hidden="false" customHeight="false" outlineLevel="0" collapsed="false">
      <c r="A200" s="63"/>
      <c r="B200" s="28"/>
      <c r="C200" s="28"/>
      <c r="D200" s="28"/>
      <c r="E200" s="28"/>
      <c r="F200" s="64"/>
      <c r="G200" s="28"/>
    </row>
    <row r="201" customFormat="false" ht="15" hidden="false" customHeight="false" outlineLevel="0" collapsed="false">
      <c r="A201" s="63"/>
      <c r="B201" s="28"/>
      <c r="C201" s="28"/>
      <c r="D201" s="28"/>
      <c r="E201" s="28"/>
      <c r="F201" s="64"/>
      <c r="G201" s="28"/>
    </row>
    <row r="202" customFormat="false" ht="15" hidden="false" customHeight="false" outlineLevel="0" collapsed="false">
      <c r="A202" s="63"/>
      <c r="B202" s="28"/>
      <c r="C202" s="28"/>
      <c r="D202" s="28"/>
      <c r="E202" s="28"/>
      <c r="F202" s="64"/>
      <c r="G202" s="28"/>
    </row>
    <row r="203" customFormat="false" ht="15" hidden="false" customHeight="false" outlineLevel="0" collapsed="false">
      <c r="A203" s="63"/>
      <c r="B203" s="28"/>
      <c r="C203" s="28"/>
      <c r="D203" s="28"/>
      <c r="E203" s="28"/>
      <c r="F203" s="64"/>
      <c r="G203" s="28"/>
    </row>
    <row r="204" customFormat="false" ht="15" hidden="false" customHeight="false" outlineLevel="0" collapsed="false">
      <c r="A204" s="63"/>
      <c r="B204" s="28"/>
      <c r="C204" s="28"/>
      <c r="D204" s="28"/>
      <c r="E204" s="28"/>
      <c r="F204" s="64"/>
      <c r="G204" s="28"/>
    </row>
    <row r="205" customFormat="false" ht="15" hidden="false" customHeight="false" outlineLevel="0" collapsed="false">
      <c r="A205" s="63"/>
      <c r="B205" s="28"/>
      <c r="C205" s="28"/>
      <c r="D205" s="28"/>
      <c r="E205" s="28"/>
      <c r="F205" s="64"/>
      <c r="G205" s="28"/>
    </row>
    <row r="206" customFormat="false" ht="15" hidden="false" customHeight="false" outlineLevel="0" collapsed="false">
      <c r="A206" s="63"/>
      <c r="B206" s="28"/>
      <c r="C206" s="28"/>
      <c r="D206" s="28"/>
      <c r="E206" s="28"/>
      <c r="F206" s="64"/>
      <c r="G206" s="28"/>
    </row>
    <row r="207" customFormat="false" ht="15" hidden="false" customHeight="false" outlineLevel="0" collapsed="false">
      <c r="A207" s="63"/>
      <c r="B207" s="28"/>
      <c r="C207" s="28"/>
      <c r="D207" s="28"/>
      <c r="E207" s="28"/>
      <c r="F207" s="64"/>
      <c r="G207" s="28"/>
    </row>
    <row r="208" customFormat="false" ht="15" hidden="false" customHeight="false" outlineLevel="0" collapsed="false">
      <c r="A208" s="63"/>
      <c r="B208" s="28"/>
      <c r="C208" s="28"/>
      <c r="D208" s="28"/>
      <c r="E208" s="28"/>
      <c r="F208" s="64"/>
      <c r="G208" s="28"/>
    </row>
    <row r="209" customFormat="false" ht="15" hidden="false" customHeight="false" outlineLevel="0" collapsed="false">
      <c r="A209" s="63"/>
      <c r="B209" s="28"/>
      <c r="C209" s="28"/>
      <c r="D209" s="28"/>
      <c r="E209" s="28"/>
      <c r="F209" s="64"/>
      <c r="G209" s="28"/>
    </row>
    <row r="210" customFormat="false" ht="15" hidden="false" customHeight="false" outlineLevel="0" collapsed="false">
      <c r="A210" s="63"/>
      <c r="B210" s="28"/>
      <c r="C210" s="28"/>
      <c r="D210" s="28"/>
      <c r="E210" s="28"/>
      <c r="F210" s="64"/>
      <c r="G210" s="28"/>
    </row>
    <row r="211" customFormat="false" ht="15" hidden="false" customHeight="false" outlineLevel="0" collapsed="false">
      <c r="A211" s="63"/>
      <c r="B211" s="28"/>
      <c r="C211" s="28"/>
      <c r="D211" s="28"/>
      <c r="E211" s="28"/>
      <c r="F211" s="64"/>
      <c r="G211" s="28"/>
    </row>
    <row r="212" customFormat="false" ht="15" hidden="false" customHeight="false" outlineLevel="0" collapsed="false">
      <c r="A212" s="63"/>
      <c r="B212" s="28"/>
      <c r="C212" s="28"/>
      <c r="D212" s="28"/>
      <c r="E212" s="28"/>
      <c r="F212" s="64"/>
      <c r="G212" s="28"/>
    </row>
    <row r="213" customFormat="false" ht="15" hidden="false" customHeight="false" outlineLevel="0" collapsed="false">
      <c r="A213" s="63"/>
      <c r="B213" s="28"/>
      <c r="C213" s="28"/>
      <c r="D213" s="28"/>
      <c r="E213" s="28"/>
      <c r="F213" s="64"/>
      <c r="G213" s="28"/>
    </row>
    <row r="214" customFormat="false" ht="15" hidden="false" customHeight="false" outlineLevel="0" collapsed="false">
      <c r="A214" s="63"/>
      <c r="B214" s="28"/>
      <c r="C214" s="28"/>
      <c r="D214" s="28"/>
      <c r="E214" s="28"/>
      <c r="F214" s="64"/>
      <c r="G214" s="28"/>
    </row>
    <row r="215" customFormat="false" ht="15" hidden="false" customHeight="false" outlineLevel="0" collapsed="false">
      <c r="A215" s="63"/>
      <c r="B215" s="28"/>
      <c r="C215" s="28"/>
      <c r="D215" s="28"/>
      <c r="E215" s="28"/>
      <c r="F215" s="64"/>
      <c r="G215" s="28"/>
    </row>
    <row r="216" customFormat="false" ht="15" hidden="false" customHeight="false" outlineLevel="0" collapsed="false">
      <c r="A216" s="63"/>
      <c r="B216" s="28"/>
      <c r="C216" s="28"/>
      <c r="D216" s="28"/>
      <c r="E216" s="28"/>
      <c r="F216" s="64"/>
      <c r="G216" s="28"/>
    </row>
    <row r="217" customFormat="false" ht="15" hidden="false" customHeight="false" outlineLevel="0" collapsed="false">
      <c r="A217" s="63"/>
      <c r="B217" s="28"/>
      <c r="C217" s="28"/>
      <c r="D217" s="28"/>
      <c r="E217" s="28"/>
      <c r="F217" s="64"/>
      <c r="G217" s="28"/>
    </row>
    <row r="218" customFormat="false" ht="15" hidden="false" customHeight="false" outlineLevel="0" collapsed="false">
      <c r="A218" s="63"/>
      <c r="B218" s="28"/>
      <c r="C218" s="28"/>
      <c r="D218" s="28"/>
      <c r="E218" s="28"/>
      <c r="F218" s="64"/>
      <c r="G218" s="28"/>
    </row>
    <row r="219" customFormat="false" ht="15" hidden="false" customHeight="false" outlineLevel="0" collapsed="false">
      <c r="A219" s="63"/>
      <c r="B219" s="28"/>
      <c r="C219" s="28"/>
      <c r="D219" s="28"/>
      <c r="E219" s="28"/>
      <c r="F219" s="64"/>
      <c r="G219" s="28"/>
    </row>
    <row r="220" customFormat="false" ht="15" hidden="false" customHeight="false" outlineLevel="0" collapsed="false">
      <c r="A220" s="63"/>
      <c r="B220" s="28"/>
      <c r="C220" s="28"/>
      <c r="D220" s="28"/>
      <c r="E220" s="28"/>
      <c r="F220" s="64"/>
      <c r="G220" s="28"/>
    </row>
    <row r="221" customFormat="false" ht="15" hidden="false" customHeight="false" outlineLevel="0" collapsed="false">
      <c r="A221" s="63"/>
      <c r="B221" s="28"/>
      <c r="C221" s="28"/>
      <c r="D221" s="28"/>
      <c r="E221" s="28"/>
      <c r="F221" s="64"/>
      <c r="G221" s="28"/>
    </row>
    <row r="222" customFormat="false" ht="15" hidden="false" customHeight="false" outlineLevel="0" collapsed="false">
      <c r="A222" s="63"/>
      <c r="B222" s="28"/>
      <c r="C222" s="28"/>
      <c r="D222" s="28"/>
      <c r="E222" s="28"/>
      <c r="F222" s="64"/>
      <c r="G222" s="28"/>
    </row>
    <row r="223" customFormat="false" ht="15" hidden="false" customHeight="false" outlineLevel="0" collapsed="false">
      <c r="A223" s="63"/>
      <c r="B223" s="28"/>
      <c r="C223" s="28"/>
      <c r="D223" s="28"/>
      <c r="E223" s="28"/>
      <c r="F223" s="64"/>
      <c r="G223" s="28"/>
    </row>
    <row r="224" customFormat="false" ht="15" hidden="false" customHeight="false" outlineLevel="0" collapsed="false">
      <c r="A224" s="63"/>
      <c r="B224" s="28"/>
      <c r="C224" s="28"/>
      <c r="D224" s="28"/>
      <c r="E224" s="28"/>
      <c r="F224" s="64"/>
      <c r="G224" s="28"/>
    </row>
    <row r="225" customFormat="false" ht="15" hidden="false" customHeight="false" outlineLevel="0" collapsed="false">
      <c r="A225" s="63"/>
      <c r="B225" s="28"/>
      <c r="C225" s="28"/>
      <c r="D225" s="28"/>
      <c r="E225" s="28"/>
      <c r="F225" s="64"/>
      <c r="G225" s="28"/>
    </row>
    <row r="226" customFormat="false" ht="15" hidden="false" customHeight="false" outlineLevel="0" collapsed="false">
      <c r="A226" s="63"/>
      <c r="B226" s="28"/>
      <c r="C226" s="28"/>
      <c r="D226" s="28"/>
      <c r="E226" s="28"/>
      <c r="F226" s="64"/>
      <c r="G226" s="28"/>
    </row>
    <row r="227" customFormat="false" ht="15" hidden="false" customHeight="false" outlineLevel="0" collapsed="false">
      <c r="A227" s="63"/>
      <c r="B227" s="28"/>
      <c r="C227" s="28"/>
      <c r="D227" s="28"/>
      <c r="E227" s="28"/>
      <c r="F227" s="64"/>
      <c r="G227" s="28"/>
    </row>
    <row r="228" customFormat="false" ht="15" hidden="false" customHeight="false" outlineLevel="0" collapsed="false">
      <c r="A228" s="63"/>
      <c r="B228" s="28"/>
      <c r="C228" s="28"/>
      <c r="D228" s="28"/>
      <c r="E228" s="28"/>
      <c r="F228" s="64"/>
      <c r="G228" s="28"/>
    </row>
    <row r="229" customFormat="false" ht="15" hidden="false" customHeight="false" outlineLevel="0" collapsed="false">
      <c r="A229" s="63"/>
      <c r="B229" s="28"/>
      <c r="C229" s="28"/>
      <c r="D229" s="28"/>
      <c r="E229" s="28"/>
      <c r="F229" s="64"/>
      <c r="G229" s="28"/>
    </row>
    <row r="230" customFormat="false" ht="15" hidden="false" customHeight="false" outlineLevel="0" collapsed="false">
      <c r="A230" s="63"/>
      <c r="B230" s="28"/>
      <c r="C230" s="28"/>
      <c r="D230" s="28"/>
      <c r="E230" s="28"/>
      <c r="F230" s="64"/>
      <c r="G230" s="28"/>
    </row>
    <row r="231" customFormat="false" ht="15" hidden="false" customHeight="false" outlineLevel="0" collapsed="false">
      <c r="A231" s="63"/>
      <c r="B231" s="28"/>
      <c r="C231" s="28"/>
      <c r="D231" s="28"/>
      <c r="E231" s="28"/>
      <c r="F231" s="64"/>
      <c r="G231" s="28"/>
    </row>
    <row r="232" customFormat="false" ht="15" hidden="false" customHeight="false" outlineLevel="0" collapsed="false">
      <c r="A232" s="63"/>
      <c r="B232" s="28"/>
      <c r="C232" s="28"/>
      <c r="D232" s="28"/>
      <c r="E232" s="28"/>
      <c r="F232" s="64"/>
      <c r="G232" s="28"/>
    </row>
    <row r="233" customFormat="false" ht="15" hidden="false" customHeight="false" outlineLevel="0" collapsed="false">
      <c r="A233" s="63"/>
      <c r="B233" s="28"/>
      <c r="C233" s="28"/>
      <c r="D233" s="28"/>
      <c r="E233" s="28"/>
      <c r="F233" s="64"/>
      <c r="G233" s="28"/>
    </row>
    <row r="234" customFormat="false" ht="15" hidden="false" customHeight="false" outlineLevel="0" collapsed="false">
      <c r="A234" s="63"/>
      <c r="B234" s="28"/>
      <c r="C234" s="28"/>
      <c r="D234" s="28"/>
      <c r="E234" s="28"/>
      <c r="F234" s="64"/>
      <c r="G234" s="28"/>
    </row>
    <row r="235" customFormat="false" ht="15" hidden="false" customHeight="false" outlineLevel="0" collapsed="false">
      <c r="A235" s="63"/>
      <c r="B235" s="28"/>
      <c r="C235" s="28"/>
      <c r="D235" s="28"/>
      <c r="E235" s="28"/>
      <c r="F235" s="64"/>
      <c r="G235" s="28"/>
    </row>
    <row r="236" customFormat="false" ht="15" hidden="false" customHeight="false" outlineLevel="0" collapsed="false">
      <c r="A236" s="63"/>
      <c r="B236" s="28"/>
      <c r="C236" s="28"/>
      <c r="D236" s="28"/>
      <c r="E236" s="28"/>
      <c r="F236" s="64"/>
      <c r="G236" s="28"/>
    </row>
    <row r="237" customFormat="false" ht="15" hidden="false" customHeight="false" outlineLevel="0" collapsed="false">
      <c r="A237" s="63"/>
      <c r="B237" s="28"/>
      <c r="C237" s="28"/>
      <c r="D237" s="28"/>
      <c r="E237" s="28"/>
      <c r="F237" s="64"/>
      <c r="G237" s="28"/>
    </row>
    <row r="238" customFormat="false" ht="15" hidden="false" customHeight="false" outlineLevel="0" collapsed="false">
      <c r="A238" s="63"/>
      <c r="B238" s="28"/>
      <c r="C238" s="28"/>
      <c r="D238" s="28"/>
      <c r="E238" s="28"/>
      <c r="F238" s="64"/>
      <c r="G238" s="28"/>
    </row>
    <row r="239" customFormat="false" ht="15" hidden="false" customHeight="false" outlineLevel="0" collapsed="false">
      <c r="A239" s="63"/>
      <c r="B239" s="28"/>
      <c r="C239" s="28"/>
      <c r="D239" s="28"/>
      <c r="E239" s="28"/>
      <c r="F239" s="64"/>
      <c r="G239" s="28"/>
    </row>
    <row r="240" customFormat="false" ht="15" hidden="false" customHeight="false" outlineLevel="0" collapsed="false">
      <c r="A240" s="63"/>
      <c r="B240" s="28"/>
      <c r="C240" s="28"/>
      <c r="D240" s="28"/>
      <c r="E240" s="28"/>
      <c r="F240" s="64"/>
      <c r="G240" s="28"/>
    </row>
    <row r="241" customFormat="false" ht="15" hidden="false" customHeight="false" outlineLevel="0" collapsed="false">
      <c r="A241" s="63"/>
      <c r="B241" s="28"/>
      <c r="C241" s="28"/>
      <c r="D241" s="28"/>
      <c r="E241" s="28"/>
      <c r="F241" s="64"/>
      <c r="G241" s="28"/>
    </row>
    <row r="242" customFormat="false" ht="15" hidden="false" customHeight="false" outlineLevel="0" collapsed="false">
      <c r="A242" s="63"/>
      <c r="B242" s="28"/>
      <c r="C242" s="28"/>
      <c r="D242" s="28"/>
      <c r="E242" s="28"/>
      <c r="F242" s="64"/>
      <c r="G242" s="28"/>
    </row>
    <row r="243" customFormat="false" ht="15" hidden="false" customHeight="false" outlineLevel="0" collapsed="false">
      <c r="A243" s="63"/>
      <c r="B243" s="28"/>
      <c r="C243" s="28"/>
      <c r="D243" s="28"/>
      <c r="E243" s="28"/>
      <c r="F243" s="64"/>
      <c r="G243" s="28"/>
    </row>
    <row r="244" customFormat="false" ht="15" hidden="false" customHeight="false" outlineLevel="0" collapsed="false">
      <c r="A244" s="63"/>
      <c r="B244" s="28"/>
      <c r="C244" s="28"/>
      <c r="D244" s="28"/>
      <c r="E244" s="28"/>
      <c r="F244" s="64"/>
      <c r="G244" s="28"/>
    </row>
    <row r="245" customFormat="false" ht="15" hidden="false" customHeight="false" outlineLevel="0" collapsed="false">
      <c r="A245" s="63"/>
      <c r="B245" s="28"/>
      <c r="C245" s="28"/>
      <c r="D245" s="28"/>
      <c r="E245" s="28"/>
      <c r="F245" s="64"/>
      <c r="G245" s="28"/>
    </row>
    <row r="246" customFormat="false" ht="15" hidden="false" customHeight="false" outlineLevel="0" collapsed="false">
      <c r="A246" s="63"/>
      <c r="B246" s="28"/>
      <c r="C246" s="28"/>
      <c r="D246" s="28"/>
      <c r="E246" s="28"/>
      <c r="F246" s="64"/>
      <c r="G246" s="28"/>
    </row>
    <row r="247" customFormat="false" ht="15" hidden="false" customHeight="false" outlineLevel="0" collapsed="false">
      <c r="A247" s="63"/>
      <c r="B247" s="28"/>
      <c r="C247" s="28"/>
      <c r="D247" s="28"/>
      <c r="E247" s="28"/>
      <c r="F247" s="64"/>
      <c r="G247" s="28"/>
    </row>
    <row r="248" customFormat="false" ht="15" hidden="false" customHeight="false" outlineLevel="0" collapsed="false">
      <c r="A248" s="63"/>
      <c r="B248" s="28"/>
      <c r="C248" s="28"/>
      <c r="D248" s="28"/>
      <c r="E248" s="28"/>
      <c r="F248" s="64"/>
      <c r="G248" s="28"/>
    </row>
    <row r="249" customFormat="false" ht="15" hidden="false" customHeight="false" outlineLevel="0" collapsed="false">
      <c r="A249" s="63"/>
      <c r="B249" s="28"/>
      <c r="C249" s="28"/>
      <c r="D249" s="28"/>
      <c r="E249" s="28"/>
      <c r="F249" s="64"/>
      <c r="G249" s="28"/>
    </row>
    <row r="250" customFormat="false" ht="15" hidden="false" customHeight="false" outlineLevel="0" collapsed="false">
      <c r="A250" s="63"/>
      <c r="B250" s="28"/>
      <c r="C250" s="28"/>
      <c r="D250" s="28"/>
      <c r="E250" s="28"/>
      <c r="F250" s="64"/>
      <c r="G250" s="28"/>
    </row>
    <row r="251" customFormat="false" ht="15" hidden="false" customHeight="false" outlineLevel="0" collapsed="false">
      <c r="A251" s="63"/>
      <c r="B251" s="28"/>
      <c r="C251" s="28"/>
      <c r="D251" s="28"/>
      <c r="E251" s="28"/>
      <c r="F251" s="64"/>
      <c r="G251" s="28"/>
    </row>
    <row r="252" customFormat="false" ht="15" hidden="false" customHeight="false" outlineLevel="0" collapsed="false">
      <c r="A252" s="63"/>
      <c r="B252" s="28"/>
      <c r="C252" s="28"/>
      <c r="D252" s="28"/>
      <c r="E252" s="28"/>
      <c r="F252" s="64"/>
      <c r="G252" s="28"/>
    </row>
    <row r="253" customFormat="false" ht="15" hidden="false" customHeight="false" outlineLevel="0" collapsed="false">
      <c r="A253" s="63"/>
      <c r="B253" s="28"/>
      <c r="C253" s="28"/>
      <c r="D253" s="28"/>
      <c r="E253" s="28"/>
      <c r="F253" s="64"/>
      <c r="G253" s="28"/>
    </row>
    <row r="254" customFormat="false" ht="15" hidden="false" customHeight="false" outlineLevel="0" collapsed="false">
      <c r="A254" s="63"/>
      <c r="B254" s="28"/>
      <c r="C254" s="28"/>
      <c r="D254" s="28"/>
      <c r="E254" s="28"/>
      <c r="F254" s="64"/>
      <c r="G254" s="28"/>
    </row>
    <row r="255" customFormat="false" ht="15" hidden="false" customHeight="false" outlineLevel="0" collapsed="false">
      <c r="A255" s="63"/>
      <c r="B255" s="28"/>
      <c r="C255" s="28"/>
      <c r="D255" s="28"/>
      <c r="E255" s="28"/>
      <c r="F255" s="64"/>
      <c r="G255" s="28"/>
    </row>
    <row r="256" customFormat="false" ht="15" hidden="false" customHeight="false" outlineLevel="0" collapsed="false">
      <c r="A256" s="63"/>
      <c r="B256" s="28"/>
      <c r="C256" s="28"/>
      <c r="D256" s="28"/>
      <c r="E256" s="28"/>
      <c r="F256" s="64"/>
      <c r="G256" s="28"/>
    </row>
    <row r="257" customFormat="false" ht="15" hidden="false" customHeight="false" outlineLevel="0" collapsed="false">
      <c r="A257" s="63"/>
      <c r="B257" s="28"/>
      <c r="C257" s="28"/>
      <c r="D257" s="28"/>
      <c r="E257" s="28"/>
      <c r="F257" s="64"/>
      <c r="G257" s="28"/>
    </row>
    <row r="258" customFormat="false" ht="15" hidden="false" customHeight="false" outlineLevel="0" collapsed="false">
      <c r="A258" s="63"/>
      <c r="B258" s="28"/>
      <c r="C258" s="28"/>
      <c r="D258" s="28"/>
      <c r="E258" s="28"/>
      <c r="F258" s="64"/>
      <c r="G258" s="28"/>
    </row>
    <row r="259" customFormat="false" ht="15" hidden="false" customHeight="false" outlineLevel="0" collapsed="false">
      <c r="A259" s="63"/>
      <c r="B259" s="28"/>
      <c r="C259" s="28"/>
      <c r="D259" s="28"/>
      <c r="E259" s="28"/>
      <c r="F259" s="64"/>
      <c r="G259" s="28"/>
    </row>
    <row r="260" customFormat="false" ht="15" hidden="false" customHeight="false" outlineLevel="0" collapsed="false">
      <c r="A260" s="63"/>
      <c r="B260" s="28"/>
      <c r="C260" s="28"/>
      <c r="D260" s="28"/>
      <c r="E260" s="28"/>
      <c r="F260" s="64"/>
      <c r="G260" s="28"/>
    </row>
    <row r="261" customFormat="false" ht="15" hidden="false" customHeight="false" outlineLevel="0" collapsed="false">
      <c r="A261" s="63"/>
      <c r="B261" s="28"/>
      <c r="C261" s="28"/>
      <c r="D261" s="28"/>
      <c r="E261" s="28"/>
      <c r="F261" s="64"/>
      <c r="G261" s="28"/>
    </row>
    <row r="262" customFormat="false" ht="15" hidden="false" customHeight="false" outlineLevel="0" collapsed="false">
      <c r="A262" s="63"/>
      <c r="B262" s="28"/>
      <c r="C262" s="28"/>
      <c r="D262" s="28"/>
      <c r="E262" s="28"/>
      <c r="F262" s="64"/>
      <c r="G262" s="28"/>
    </row>
    <row r="263" customFormat="false" ht="15" hidden="false" customHeight="false" outlineLevel="0" collapsed="false">
      <c r="A263" s="63"/>
      <c r="B263" s="28"/>
      <c r="C263" s="28"/>
      <c r="D263" s="28"/>
      <c r="E263" s="28"/>
      <c r="F263" s="64"/>
      <c r="G263" s="28"/>
    </row>
    <row r="264" customFormat="false" ht="15" hidden="false" customHeight="false" outlineLevel="0" collapsed="false">
      <c r="A264" s="63"/>
      <c r="B264" s="28"/>
      <c r="C264" s="28"/>
      <c r="D264" s="28"/>
      <c r="E264" s="28"/>
      <c r="F264" s="64"/>
      <c r="G264" s="28"/>
    </row>
    <row r="265" customFormat="false" ht="15" hidden="false" customHeight="false" outlineLevel="0" collapsed="false">
      <c r="A265" s="63"/>
      <c r="B265" s="28"/>
      <c r="C265" s="28"/>
      <c r="D265" s="28"/>
      <c r="E265" s="28"/>
      <c r="F265" s="64"/>
      <c r="G265" s="28"/>
    </row>
    <row r="266" customFormat="false" ht="15" hidden="false" customHeight="false" outlineLevel="0" collapsed="false">
      <c r="A266" s="63"/>
      <c r="B266" s="28"/>
      <c r="C266" s="28"/>
      <c r="D266" s="28"/>
      <c r="E266" s="28"/>
      <c r="F266" s="64"/>
      <c r="G266" s="28"/>
    </row>
    <row r="267" customFormat="false" ht="15" hidden="false" customHeight="false" outlineLevel="0" collapsed="false">
      <c r="A267" s="63"/>
      <c r="B267" s="28"/>
      <c r="C267" s="28"/>
      <c r="D267" s="28"/>
      <c r="E267" s="28"/>
      <c r="F267" s="64"/>
      <c r="G267" s="28"/>
    </row>
    <row r="268" customFormat="false" ht="15" hidden="false" customHeight="false" outlineLevel="0" collapsed="false">
      <c r="A268" s="63"/>
      <c r="B268" s="28"/>
      <c r="C268" s="28"/>
      <c r="D268" s="28"/>
      <c r="E268" s="28"/>
      <c r="F268" s="64"/>
      <c r="G268" s="28"/>
    </row>
    <row r="269" customFormat="false" ht="15" hidden="false" customHeight="false" outlineLevel="0" collapsed="false">
      <c r="A269" s="63"/>
      <c r="B269" s="28"/>
      <c r="C269" s="28"/>
      <c r="D269" s="28"/>
      <c r="E269" s="28"/>
      <c r="F269" s="64"/>
      <c r="G269" s="28"/>
    </row>
    <row r="270" customFormat="false" ht="15" hidden="false" customHeight="false" outlineLevel="0" collapsed="false">
      <c r="A270" s="63"/>
      <c r="B270" s="28"/>
      <c r="C270" s="28"/>
      <c r="D270" s="28"/>
      <c r="E270" s="28"/>
      <c r="F270" s="64"/>
      <c r="G270" s="28"/>
    </row>
    <row r="271" customFormat="false" ht="15" hidden="false" customHeight="false" outlineLevel="0" collapsed="false">
      <c r="A271" s="63"/>
      <c r="B271" s="28"/>
      <c r="C271" s="28"/>
      <c r="D271" s="28"/>
      <c r="E271" s="28"/>
      <c r="F271" s="64"/>
      <c r="G271" s="28"/>
    </row>
    <row r="272" customFormat="false" ht="15" hidden="false" customHeight="false" outlineLevel="0" collapsed="false">
      <c r="A272" s="63"/>
      <c r="B272" s="28"/>
      <c r="C272" s="28"/>
      <c r="D272" s="28"/>
      <c r="E272" s="28"/>
      <c r="F272" s="64"/>
      <c r="G272" s="28"/>
    </row>
    <row r="273" customFormat="false" ht="15" hidden="false" customHeight="false" outlineLevel="0" collapsed="false">
      <c r="A273" s="63"/>
      <c r="B273" s="28"/>
      <c r="C273" s="28"/>
      <c r="D273" s="28"/>
      <c r="E273" s="28"/>
      <c r="F273" s="64"/>
      <c r="G273" s="28"/>
    </row>
    <row r="274" customFormat="false" ht="15" hidden="false" customHeight="false" outlineLevel="0" collapsed="false">
      <c r="A274" s="63"/>
      <c r="B274" s="28"/>
      <c r="C274" s="28"/>
      <c r="D274" s="28"/>
      <c r="E274" s="28"/>
      <c r="F274" s="64"/>
      <c r="G274" s="28"/>
    </row>
    <row r="275" customFormat="false" ht="15" hidden="false" customHeight="false" outlineLevel="0" collapsed="false">
      <c r="A275" s="63"/>
      <c r="B275" s="28"/>
      <c r="C275" s="28"/>
      <c r="D275" s="28"/>
      <c r="E275" s="28"/>
      <c r="F275" s="64"/>
      <c r="G275" s="28"/>
    </row>
    <row r="276" customFormat="false" ht="15" hidden="false" customHeight="false" outlineLevel="0" collapsed="false">
      <c r="A276" s="63"/>
      <c r="B276" s="28"/>
      <c r="C276" s="28"/>
      <c r="D276" s="28"/>
      <c r="E276" s="28"/>
      <c r="F276" s="64"/>
      <c r="G276" s="28"/>
    </row>
    <row r="277" customFormat="false" ht="15" hidden="false" customHeight="false" outlineLevel="0" collapsed="false">
      <c r="A277" s="63"/>
      <c r="B277" s="28"/>
      <c r="C277" s="28"/>
      <c r="D277" s="28"/>
      <c r="E277" s="28"/>
      <c r="F277" s="64"/>
      <c r="G277" s="28"/>
    </row>
    <row r="278" customFormat="false" ht="15" hidden="false" customHeight="false" outlineLevel="0" collapsed="false">
      <c r="A278" s="63"/>
      <c r="B278" s="28"/>
      <c r="C278" s="28"/>
      <c r="D278" s="28"/>
      <c r="E278" s="28"/>
      <c r="F278" s="64"/>
      <c r="G278" s="28"/>
    </row>
    <row r="279" customFormat="false" ht="15" hidden="false" customHeight="false" outlineLevel="0" collapsed="false">
      <c r="A279" s="63"/>
      <c r="B279" s="28"/>
      <c r="C279" s="28"/>
      <c r="D279" s="28"/>
      <c r="E279" s="28"/>
      <c r="F279" s="64"/>
      <c r="G279" s="28"/>
    </row>
    <row r="280" customFormat="false" ht="15" hidden="false" customHeight="false" outlineLevel="0" collapsed="false">
      <c r="A280" s="63"/>
      <c r="B280" s="28"/>
      <c r="C280" s="28"/>
      <c r="D280" s="28"/>
      <c r="E280" s="28"/>
      <c r="F280" s="64"/>
      <c r="G280" s="28"/>
    </row>
    <row r="281" customFormat="false" ht="15" hidden="false" customHeight="false" outlineLevel="0" collapsed="false">
      <c r="A281" s="63"/>
      <c r="B281" s="28"/>
      <c r="C281" s="28"/>
      <c r="D281" s="28"/>
      <c r="E281" s="28"/>
      <c r="F281" s="64"/>
      <c r="G281" s="28"/>
    </row>
    <row r="282" customFormat="false" ht="15" hidden="false" customHeight="false" outlineLevel="0" collapsed="false">
      <c r="A282" s="63"/>
      <c r="B282" s="28"/>
      <c r="C282" s="28"/>
      <c r="D282" s="28"/>
      <c r="E282" s="28"/>
      <c r="F282" s="64"/>
      <c r="G282" s="28"/>
    </row>
    <row r="283" customFormat="false" ht="15" hidden="false" customHeight="false" outlineLevel="0" collapsed="false">
      <c r="A283" s="63"/>
      <c r="B283" s="28"/>
      <c r="C283" s="28"/>
      <c r="D283" s="28"/>
      <c r="E283" s="28"/>
      <c r="F283" s="64"/>
      <c r="G283" s="28"/>
    </row>
    <row r="284" customFormat="false" ht="15" hidden="false" customHeight="false" outlineLevel="0" collapsed="false">
      <c r="A284" s="63"/>
      <c r="B284" s="28"/>
      <c r="C284" s="28"/>
      <c r="D284" s="28"/>
      <c r="E284" s="28"/>
      <c r="F284" s="64"/>
      <c r="G284" s="28"/>
    </row>
    <row r="285" customFormat="false" ht="15" hidden="false" customHeight="false" outlineLevel="0" collapsed="false">
      <c r="A285" s="63"/>
      <c r="B285" s="28"/>
      <c r="C285" s="28"/>
      <c r="D285" s="28"/>
      <c r="E285" s="28"/>
      <c r="F285" s="64"/>
      <c r="G285" s="28"/>
    </row>
    <row r="286" customFormat="false" ht="15" hidden="false" customHeight="false" outlineLevel="0" collapsed="false">
      <c r="A286" s="63"/>
      <c r="B286" s="28"/>
      <c r="C286" s="28"/>
      <c r="D286" s="28"/>
      <c r="E286" s="28"/>
      <c r="F286" s="64"/>
      <c r="G286" s="28"/>
    </row>
    <row r="287" customFormat="false" ht="15" hidden="false" customHeight="false" outlineLevel="0" collapsed="false">
      <c r="A287" s="63"/>
      <c r="B287" s="28"/>
      <c r="C287" s="28"/>
      <c r="D287" s="28"/>
      <c r="E287" s="28"/>
      <c r="F287" s="64"/>
      <c r="G287" s="28"/>
    </row>
    <row r="288" customFormat="false" ht="15" hidden="false" customHeight="false" outlineLevel="0" collapsed="false">
      <c r="A288" s="63"/>
      <c r="B288" s="28"/>
      <c r="C288" s="28"/>
      <c r="D288" s="28"/>
      <c r="E288" s="28"/>
      <c r="F288" s="64"/>
      <c r="G288" s="28"/>
    </row>
    <row r="289" customFormat="false" ht="15" hidden="false" customHeight="false" outlineLevel="0" collapsed="false">
      <c r="A289" s="63"/>
      <c r="B289" s="28"/>
      <c r="C289" s="28"/>
      <c r="D289" s="28"/>
      <c r="E289" s="28"/>
      <c r="F289" s="64"/>
      <c r="G289" s="28"/>
    </row>
    <row r="290" customFormat="false" ht="15" hidden="false" customHeight="false" outlineLevel="0" collapsed="false">
      <c r="A290" s="63"/>
      <c r="B290" s="28"/>
      <c r="C290" s="28"/>
      <c r="D290" s="28"/>
      <c r="E290" s="28"/>
      <c r="F290" s="64"/>
      <c r="G290" s="28"/>
    </row>
    <row r="291" customFormat="false" ht="15" hidden="false" customHeight="false" outlineLevel="0" collapsed="false">
      <c r="A291" s="63"/>
      <c r="B291" s="28"/>
      <c r="C291" s="28"/>
      <c r="D291" s="28"/>
      <c r="E291" s="28"/>
      <c r="F291" s="64"/>
      <c r="G291" s="28"/>
    </row>
    <row r="292" customFormat="false" ht="15" hidden="false" customHeight="false" outlineLevel="0" collapsed="false">
      <c r="A292" s="63"/>
      <c r="B292" s="28"/>
      <c r="C292" s="28"/>
      <c r="D292" s="28"/>
      <c r="E292" s="28"/>
      <c r="F292" s="64"/>
      <c r="G292" s="28"/>
    </row>
    <row r="293" customFormat="false" ht="15" hidden="false" customHeight="false" outlineLevel="0" collapsed="false">
      <c r="A293" s="63"/>
      <c r="B293" s="28"/>
      <c r="C293" s="28"/>
      <c r="D293" s="28"/>
      <c r="E293" s="28"/>
      <c r="F293" s="64"/>
      <c r="G293" s="28"/>
    </row>
    <row r="294" customFormat="false" ht="15" hidden="false" customHeight="false" outlineLevel="0" collapsed="false">
      <c r="A294" s="63"/>
      <c r="B294" s="28"/>
      <c r="C294" s="28"/>
      <c r="D294" s="28"/>
      <c r="E294" s="28"/>
      <c r="F294" s="64"/>
      <c r="G294" s="28"/>
    </row>
    <row r="295" customFormat="false" ht="15" hidden="false" customHeight="false" outlineLevel="0" collapsed="false">
      <c r="A295" s="63"/>
      <c r="B295" s="28"/>
      <c r="C295" s="28"/>
      <c r="D295" s="28"/>
      <c r="E295" s="28"/>
      <c r="F295" s="64"/>
      <c r="G295" s="28"/>
    </row>
    <row r="296" customFormat="false" ht="15" hidden="false" customHeight="false" outlineLevel="0" collapsed="false">
      <c r="A296" s="63"/>
      <c r="B296" s="28"/>
      <c r="C296" s="28"/>
      <c r="D296" s="28"/>
      <c r="E296" s="28"/>
      <c r="F296" s="64"/>
      <c r="G296" s="28"/>
    </row>
    <row r="297" customFormat="false" ht="15" hidden="false" customHeight="false" outlineLevel="0" collapsed="false">
      <c r="A297" s="63"/>
      <c r="B297" s="28"/>
      <c r="C297" s="28"/>
      <c r="D297" s="28"/>
      <c r="E297" s="28"/>
      <c r="F297" s="64"/>
      <c r="G297" s="28"/>
    </row>
    <row r="298" customFormat="false" ht="15" hidden="false" customHeight="false" outlineLevel="0" collapsed="false">
      <c r="A298" s="63"/>
      <c r="B298" s="28"/>
      <c r="C298" s="28"/>
      <c r="D298" s="28"/>
      <c r="E298" s="28"/>
      <c r="F298" s="64"/>
      <c r="G298" s="28"/>
    </row>
    <row r="299" customFormat="false" ht="15" hidden="false" customHeight="false" outlineLevel="0" collapsed="false">
      <c r="A299" s="63"/>
      <c r="B299" s="28"/>
      <c r="C299" s="28"/>
      <c r="D299" s="28"/>
      <c r="E299" s="28"/>
      <c r="F299" s="64"/>
      <c r="G299" s="28"/>
    </row>
    <row r="300" customFormat="false" ht="15" hidden="false" customHeight="false" outlineLevel="0" collapsed="false">
      <c r="A300" s="63"/>
      <c r="B300" s="28"/>
      <c r="C300" s="28"/>
      <c r="D300" s="28"/>
      <c r="E300" s="28"/>
      <c r="F300" s="64"/>
      <c r="G300" s="28"/>
    </row>
    <row r="301" customFormat="false" ht="15" hidden="false" customHeight="false" outlineLevel="0" collapsed="false">
      <c r="A301" s="63"/>
      <c r="B301" s="28"/>
      <c r="C301" s="28"/>
      <c r="D301" s="28"/>
      <c r="E301" s="28"/>
      <c r="F301" s="64"/>
      <c r="G301" s="28"/>
    </row>
    <row r="302" customFormat="false" ht="15" hidden="false" customHeight="false" outlineLevel="0" collapsed="false">
      <c r="A302" s="63"/>
      <c r="B302" s="28"/>
      <c r="C302" s="28"/>
      <c r="D302" s="28"/>
      <c r="E302" s="28"/>
      <c r="F302" s="64"/>
      <c r="G302" s="28"/>
    </row>
    <row r="303" customFormat="false" ht="15" hidden="false" customHeight="false" outlineLevel="0" collapsed="false">
      <c r="A303" s="63"/>
      <c r="B303" s="28"/>
      <c r="C303" s="28"/>
      <c r="D303" s="28"/>
      <c r="E303" s="28"/>
      <c r="F303" s="64"/>
      <c r="G303" s="28"/>
    </row>
    <row r="304" customFormat="false" ht="15" hidden="false" customHeight="false" outlineLevel="0" collapsed="false">
      <c r="A304" s="63"/>
      <c r="B304" s="28"/>
      <c r="C304" s="28"/>
      <c r="D304" s="28"/>
      <c r="E304" s="28"/>
      <c r="F304" s="64"/>
      <c r="G304" s="28"/>
    </row>
    <row r="305" customFormat="false" ht="15" hidden="false" customHeight="false" outlineLevel="0" collapsed="false">
      <c r="A305" s="63"/>
      <c r="B305" s="28"/>
      <c r="C305" s="28"/>
      <c r="D305" s="28"/>
      <c r="E305" s="28"/>
      <c r="F305" s="64"/>
      <c r="G305" s="28"/>
    </row>
    <row r="306" customFormat="false" ht="15" hidden="false" customHeight="false" outlineLevel="0" collapsed="false">
      <c r="A306" s="63"/>
      <c r="B306" s="28"/>
      <c r="C306" s="28"/>
      <c r="D306" s="28"/>
      <c r="E306" s="28"/>
      <c r="F306" s="64"/>
      <c r="G306" s="28"/>
    </row>
    <row r="307" customFormat="false" ht="15" hidden="false" customHeight="false" outlineLevel="0" collapsed="false">
      <c r="A307" s="63"/>
      <c r="B307" s="28"/>
      <c r="C307" s="28"/>
      <c r="D307" s="28"/>
      <c r="E307" s="28"/>
      <c r="F307" s="64"/>
      <c r="G307" s="28"/>
    </row>
    <row r="308" customFormat="false" ht="15" hidden="false" customHeight="false" outlineLevel="0" collapsed="false">
      <c r="A308" s="63"/>
      <c r="B308" s="28"/>
      <c r="C308" s="28"/>
      <c r="D308" s="28"/>
      <c r="E308" s="28"/>
      <c r="F308" s="64"/>
      <c r="G308" s="28"/>
    </row>
    <row r="309" customFormat="false" ht="15" hidden="false" customHeight="false" outlineLevel="0" collapsed="false">
      <c r="A309" s="63"/>
      <c r="B309" s="28"/>
      <c r="C309" s="28"/>
      <c r="D309" s="28"/>
      <c r="E309" s="28"/>
      <c r="F309" s="64"/>
      <c r="G309" s="28"/>
    </row>
    <row r="310" customFormat="false" ht="15" hidden="false" customHeight="false" outlineLevel="0" collapsed="false">
      <c r="A310" s="63"/>
      <c r="B310" s="28"/>
      <c r="C310" s="28"/>
      <c r="D310" s="28"/>
      <c r="E310" s="28"/>
      <c r="F310" s="64"/>
      <c r="G310" s="28"/>
    </row>
    <row r="311" customFormat="false" ht="15" hidden="false" customHeight="false" outlineLevel="0" collapsed="false">
      <c r="A311" s="63"/>
      <c r="B311" s="28"/>
      <c r="C311" s="28"/>
      <c r="D311" s="28"/>
      <c r="E311" s="28"/>
      <c r="F311" s="64"/>
      <c r="G311" s="28"/>
    </row>
    <row r="312" customFormat="false" ht="15" hidden="false" customHeight="false" outlineLevel="0" collapsed="false">
      <c r="A312" s="63"/>
      <c r="B312" s="28"/>
      <c r="C312" s="28"/>
      <c r="D312" s="28"/>
      <c r="E312" s="28"/>
      <c r="F312" s="64"/>
      <c r="G312" s="28"/>
    </row>
    <row r="313" customFormat="false" ht="15" hidden="false" customHeight="false" outlineLevel="0" collapsed="false">
      <c r="A313" s="63"/>
      <c r="B313" s="28"/>
      <c r="C313" s="28"/>
      <c r="D313" s="28"/>
      <c r="E313" s="28"/>
      <c r="F313" s="64"/>
      <c r="G313" s="28"/>
    </row>
    <row r="314" customFormat="false" ht="15" hidden="false" customHeight="false" outlineLevel="0" collapsed="false">
      <c r="A314" s="63"/>
      <c r="B314" s="28"/>
      <c r="C314" s="28"/>
      <c r="D314" s="28"/>
      <c r="E314" s="28"/>
      <c r="F314" s="64"/>
      <c r="G314" s="28"/>
    </row>
    <row r="315" customFormat="false" ht="15" hidden="false" customHeight="false" outlineLevel="0" collapsed="false">
      <c r="A315" s="63"/>
      <c r="B315" s="28"/>
      <c r="C315" s="28"/>
      <c r="D315" s="28"/>
      <c r="E315" s="28"/>
      <c r="F315" s="64"/>
      <c r="G315" s="28"/>
    </row>
    <row r="316" customFormat="false" ht="15" hidden="false" customHeight="false" outlineLevel="0" collapsed="false">
      <c r="A316" s="63"/>
      <c r="B316" s="28"/>
      <c r="C316" s="28"/>
      <c r="D316" s="28"/>
      <c r="E316" s="28"/>
      <c r="F316" s="64"/>
      <c r="G316" s="28"/>
    </row>
    <row r="317" customFormat="false" ht="15" hidden="false" customHeight="false" outlineLevel="0" collapsed="false">
      <c r="A317" s="63"/>
      <c r="B317" s="28"/>
      <c r="C317" s="28"/>
      <c r="D317" s="28"/>
      <c r="E317" s="28"/>
      <c r="F317" s="64"/>
      <c r="G317" s="28"/>
    </row>
    <row r="318" customFormat="false" ht="15" hidden="false" customHeight="false" outlineLevel="0" collapsed="false">
      <c r="A318" s="63"/>
      <c r="B318" s="28"/>
      <c r="C318" s="28"/>
      <c r="D318" s="28"/>
      <c r="E318" s="28"/>
      <c r="F318" s="64"/>
      <c r="G318" s="28"/>
    </row>
    <row r="319" customFormat="false" ht="15" hidden="false" customHeight="false" outlineLevel="0" collapsed="false">
      <c r="A319" s="63"/>
      <c r="B319" s="28"/>
      <c r="C319" s="28"/>
      <c r="D319" s="28"/>
      <c r="E319" s="28"/>
      <c r="F319" s="64"/>
      <c r="G319" s="28"/>
    </row>
    <row r="320" customFormat="false" ht="15" hidden="false" customHeight="false" outlineLevel="0" collapsed="false">
      <c r="A320" s="63"/>
      <c r="B320" s="28"/>
      <c r="C320" s="28"/>
      <c r="D320" s="28"/>
      <c r="E320" s="28"/>
      <c r="F320" s="64"/>
      <c r="G320" s="28"/>
    </row>
    <row r="321" customFormat="false" ht="15" hidden="false" customHeight="false" outlineLevel="0" collapsed="false">
      <c r="A321" s="63"/>
      <c r="B321" s="28"/>
      <c r="C321" s="28"/>
      <c r="D321" s="28"/>
      <c r="E321" s="28"/>
      <c r="F321" s="64"/>
      <c r="G321" s="28"/>
    </row>
    <row r="322" customFormat="false" ht="15" hidden="false" customHeight="false" outlineLevel="0" collapsed="false">
      <c r="A322" s="63"/>
      <c r="B322" s="28"/>
      <c r="C322" s="28"/>
      <c r="D322" s="28"/>
      <c r="E322" s="28"/>
      <c r="F322" s="64"/>
      <c r="G322" s="28"/>
    </row>
    <row r="323" customFormat="false" ht="15" hidden="false" customHeight="false" outlineLevel="0" collapsed="false">
      <c r="A323" s="63"/>
      <c r="B323" s="28"/>
      <c r="C323" s="28"/>
      <c r="D323" s="28"/>
      <c r="E323" s="28"/>
      <c r="F323" s="64"/>
      <c r="G323" s="28"/>
    </row>
    <row r="324" customFormat="false" ht="15" hidden="false" customHeight="false" outlineLevel="0" collapsed="false">
      <c r="A324" s="63"/>
      <c r="B324" s="28"/>
      <c r="C324" s="28"/>
      <c r="D324" s="28"/>
      <c r="E324" s="28"/>
      <c r="F324" s="64"/>
      <c r="G324" s="28"/>
    </row>
    <row r="325" customFormat="false" ht="15" hidden="false" customHeight="false" outlineLevel="0" collapsed="false">
      <c r="A325" s="63"/>
      <c r="B325" s="28"/>
      <c r="C325" s="28"/>
      <c r="D325" s="28"/>
      <c r="E325" s="28"/>
      <c r="F325" s="64"/>
      <c r="G325" s="28"/>
    </row>
    <row r="326" customFormat="false" ht="15" hidden="false" customHeight="false" outlineLevel="0" collapsed="false">
      <c r="A326" s="63"/>
      <c r="B326" s="28"/>
      <c r="C326" s="28"/>
      <c r="D326" s="28"/>
      <c r="E326" s="28"/>
      <c r="F326" s="64"/>
      <c r="G326" s="28"/>
    </row>
    <row r="327" customFormat="false" ht="15" hidden="false" customHeight="false" outlineLevel="0" collapsed="false">
      <c r="A327" s="63"/>
      <c r="B327" s="28"/>
      <c r="C327" s="28"/>
      <c r="D327" s="28"/>
      <c r="E327" s="28"/>
      <c r="F327" s="64"/>
      <c r="G327" s="28"/>
    </row>
    <row r="328" customFormat="false" ht="15" hidden="false" customHeight="false" outlineLevel="0" collapsed="false">
      <c r="A328" s="63"/>
      <c r="B328" s="28"/>
      <c r="C328" s="28"/>
      <c r="D328" s="28"/>
      <c r="E328" s="28"/>
      <c r="F328" s="64"/>
      <c r="G328" s="28"/>
    </row>
    <row r="329" customFormat="false" ht="15" hidden="false" customHeight="false" outlineLevel="0" collapsed="false">
      <c r="A329" s="63"/>
      <c r="B329" s="28"/>
      <c r="C329" s="28"/>
      <c r="D329" s="28"/>
      <c r="E329" s="28"/>
      <c r="F329" s="64"/>
      <c r="G329" s="28"/>
    </row>
    <row r="330" customFormat="false" ht="15" hidden="false" customHeight="false" outlineLevel="0" collapsed="false">
      <c r="A330" s="63"/>
      <c r="B330" s="28"/>
      <c r="C330" s="28"/>
      <c r="D330" s="28"/>
      <c r="E330" s="28"/>
      <c r="F330" s="64"/>
      <c r="G330" s="28"/>
    </row>
    <row r="331" customFormat="false" ht="15" hidden="false" customHeight="false" outlineLevel="0" collapsed="false">
      <c r="A331" s="63"/>
      <c r="B331" s="28"/>
      <c r="C331" s="28"/>
      <c r="D331" s="28"/>
      <c r="E331" s="28"/>
      <c r="F331" s="64"/>
      <c r="G331" s="28"/>
    </row>
    <row r="332" customFormat="false" ht="15" hidden="false" customHeight="false" outlineLevel="0" collapsed="false">
      <c r="A332" s="63"/>
      <c r="B332" s="28"/>
      <c r="C332" s="28"/>
      <c r="D332" s="28"/>
      <c r="E332" s="28"/>
      <c r="F332" s="64"/>
      <c r="G332" s="28"/>
    </row>
    <row r="333" customFormat="false" ht="15" hidden="false" customHeight="false" outlineLevel="0" collapsed="false">
      <c r="A333" s="63"/>
      <c r="B333" s="28"/>
      <c r="C333" s="28"/>
      <c r="D333" s="28"/>
      <c r="E333" s="28"/>
      <c r="F333" s="64"/>
      <c r="G333" s="28"/>
    </row>
    <row r="334" customFormat="false" ht="15" hidden="false" customHeight="false" outlineLevel="0" collapsed="false">
      <c r="A334" s="63"/>
      <c r="B334" s="28"/>
      <c r="C334" s="28"/>
      <c r="D334" s="28"/>
      <c r="E334" s="28"/>
      <c r="F334" s="64"/>
      <c r="G334" s="28"/>
    </row>
    <row r="335" customFormat="false" ht="15" hidden="false" customHeight="false" outlineLevel="0" collapsed="false">
      <c r="A335" s="63"/>
      <c r="B335" s="28"/>
      <c r="C335" s="28"/>
      <c r="D335" s="28"/>
      <c r="E335" s="28"/>
      <c r="F335" s="64"/>
      <c r="G335" s="28"/>
    </row>
    <row r="336" customFormat="false" ht="15" hidden="false" customHeight="false" outlineLevel="0" collapsed="false">
      <c r="A336" s="63"/>
      <c r="B336" s="28"/>
      <c r="C336" s="28"/>
      <c r="D336" s="28"/>
      <c r="E336" s="28"/>
      <c r="F336" s="64"/>
      <c r="G336" s="28"/>
    </row>
    <row r="337" customFormat="false" ht="15" hidden="false" customHeight="false" outlineLevel="0" collapsed="false">
      <c r="A337" s="63"/>
      <c r="B337" s="28"/>
      <c r="C337" s="28"/>
      <c r="D337" s="28"/>
      <c r="E337" s="28"/>
      <c r="F337" s="64"/>
      <c r="G337" s="28"/>
    </row>
    <row r="338" customFormat="false" ht="15" hidden="false" customHeight="false" outlineLevel="0" collapsed="false">
      <c r="A338" s="63"/>
      <c r="B338" s="28"/>
      <c r="C338" s="28"/>
      <c r="D338" s="28"/>
      <c r="E338" s="28"/>
      <c r="F338" s="64"/>
      <c r="G338" s="28"/>
    </row>
    <row r="339" customFormat="false" ht="15" hidden="false" customHeight="false" outlineLevel="0" collapsed="false">
      <c r="A339" s="63"/>
      <c r="B339" s="28"/>
      <c r="C339" s="28"/>
      <c r="D339" s="28"/>
      <c r="E339" s="28"/>
      <c r="F339" s="64"/>
      <c r="G339" s="28"/>
    </row>
    <row r="340" customFormat="false" ht="15" hidden="false" customHeight="false" outlineLevel="0" collapsed="false">
      <c r="A340" s="63"/>
      <c r="B340" s="28"/>
      <c r="C340" s="28"/>
      <c r="D340" s="28"/>
      <c r="E340" s="28"/>
      <c r="F340" s="64"/>
      <c r="G340" s="28"/>
    </row>
    <row r="341" customFormat="false" ht="15" hidden="false" customHeight="false" outlineLevel="0" collapsed="false">
      <c r="A341" s="63"/>
      <c r="B341" s="28"/>
      <c r="C341" s="28"/>
      <c r="D341" s="28"/>
      <c r="E341" s="28"/>
      <c r="F341" s="64"/>
      <c r="G341" s="28"/>
    </row>
    <row r="342" customFormat="false" ht="15" hidden="false" customHeight="false" outlineLevel="0" collapsed="false">
      <c r="A342" s="63"/>
      <c r="B342" s="28"/>
      <c r="C342" s="28"/>
      <c r="D342" s="28"/>
      <c r="E342" s="28"/>
      <c r="F342" s="64"/>
      <c r="G342" s="28"/>
    </row>
    <row r="343" customFormat="false" ht="15" hidden="false" customHeight="false" outlineLevel="0" collapsed="false">
      <c r="A343" s="63"/>
      <c r="B343" s="28"/>
      <c r="C343" s="28"/>
      <c r="D343" s="28"/>
      <c r="E343" s="28"/>
      <c r="F343" s="64"/>
      <c r="G343" s="28"/>
    </row>
    <row r="344" customFormat="false" ht="15" hidden="false" customHeight="false" outlineLevel="0" collapsed="false">
      <c r="A344" s="63"/>
      <c r="B344" s="28"/>
      <c r="C344" s="28"/>
      <c r="D344" s="28"/>
      <c r="E344" s="28"/>
      <c r="F344" s="64"/>
      <c r="G344" s="28"/>
    </row>
    <row r="345" customFormat="false" ht="15" hidden="false" customHeight="false" outlineLevel="0" collapsed="false">
      <c r="A345" s="63"/>
      <c r="B345" s="28"/>
      <c r="C345" s="28"/>
      <c r="D345" s="28"/>
      <c r="E345" s="28"/>
      <c r="F345" s="64"/>
      <c r="G345" s="28"/>
    </row>
    <row r="346" customFormat="false" ht="15" hidden="false" customHeight="false" outlineLevel="0" collapsed="false">
      <c r="A346" s="63"/>
      <c r="B346" s="28"/>
      <c r="C346" s="28"/>
      <c r="D346" s="28"/>
      <c r="E346" s="28"/>
      <c r="F346" s="64"/>
      <c r="G346" s="28"/>
    </row>
    <row r="347" customFormat="false" ht="15" hidden="false" customHeight="false" outlineLevel="0" collapsed="false">
      <c r="A347" s="63"/>
      <c r="B347" s="28"/>
      <c r="C347" s="28"/>
      <c r="D347" s="28"/>
      <c r="E347" s="28"/>
      <c r="F347" s="64"/>
      <c r="G347" s="28"/>
    </row>
    <row r="348" customFormat="false" ht="15" hidden="false" customHeight="false" outlineLevel="0" collapsed="false">
      <c r="A348" s="63"/>
      <c r="B348" s="28"/>
      <c r="C348" s="28"/>
      <c r="D348" s="28"/>
      <c r="E348" s="28"/>
      <c r="F348" s="64"/>
      <c r="G348" s="28"/>
    </row>
    <row r="349" customFormat="false" ht="15" hidden="false" customHeight="false" outlineLevel="0" collapsed="false">
      <c r="A349" s="63"/>
      <c r="B349" s="28"/>
      <c r="C349" s="28"/>
      <c r="D349" s="28"/>
      <c r="E349" s="28"/>
      <c r="F349" s="64"/>
      <c r="G349" s="28"/>
    </row>
    <row r="350" customFormat="false" ht="15" hidden="false" customHeight="false" outlineLevel="0" collapsed="false">
      <c r="A350" s="63"/>
      <c r="B350" s="28"/>
      <c r="C350" s="28"/>
      <c r="D350" s="28"/>
      <c r="E350" s="28"/>
      <c r="F350" s="64"/>
      <c r="G350" s="28"/>
    </row>
    <row r="351" customFormat="false" ht="15" hidden="false" customHeight="false" outlineLevel="0" collapsed="false">
      <c r="A351" s="63"/>
      <c r="B351" s="28"/>
      <c r="C351" s="28"/>
      <c r="D351" s="28"/>
      <c r="E351" s="28"/>
      <c r="F351" s="64"/>
      <c r="G351" s="28"/>
    </row>
    <row r="352" customFormat="false" ht="15" hidden="false" customHeight="false" outlineLevel="0" collapsed="false">
      <c r="A352" s="63"/>
      <c r="B352" s="28"/>
      <c r="C352" s="28"/>
      <c r="D352" s="28"/>
      <c r="E352" s="28"/>
      <c r="F352" s="64"/>
      <c r="G352" s="28"/>
    </row>
    <row r="353" customFormat="false" ht="15" hidden="false" customHeight="false" outlineLevel="0" collapsed="false">
      <c r="A353" s="63"/>
      <c r="B353" s="28"/>
      <c r="C353" s="28"/>
      <c r="D353" s="28"/>
      <c r="E353" s="28"/>
      <c r="F353" s="64"/>
      <c r="G353" s="28"/>
    </row>
    <row r="354" customFormat="false" ht="15" hidden="false" customHeight="false" outlineLevel="0" collapsed="false">
      <c r="A354" s="63"/>
      <c r="B354" s="28"/>
      <c r="C354" s="28"/>
      <c r="D354" s="28"/>
      <c r="E354" s="28"/>
      <c r="F354" s="64"/>
      <c r="G354" s="28"/>
    </row>
    <row r="355" customFormat="false" ht="15" hidden="false" customHeight="false" outlineLevel="0" collapsed="false">
      <c r="A355" s="63"/>
      <c r="B355" s="28"/>
      <c r="C355" s="28"/>
      <c r="D355" s="28"/>
      <c r="E355" s="28"/>
      <c r="F355" s="64"/>
      <c r="G355" s="28"/>
    </row>
    <row r="356" customFormat="false" ht="15" hidden="false" customHeight="false" outlineLevel="0" collapsed="false">
      <c r="A356" s="63"/>
      <c r="B356" s="28"/>
      <c r="C356" s="28"/>
      <c r="D356" s="28"/>
      <c r="E356" s="28"/>
      <c r="F356" s="64"/>
      <c r="G356" s="28"/>
    </row>
    <row r="357" customFormat="false" ht="15" hidden="false" customHeight="false" outlineLevel="0" collapsed="false">
      <c r="A357" s="63"/>
      <c r="B357" s="28"/>
      <c r="C357" s="28"/>
      <c r="D357" s="28"/>
      <c r="E357" s="28"/>
      <c r="F357" s="64"/>
      <c r="G357" s="28"/>
    </row>
    <row r="358" customFormat="false" ht="15" hidden="false" customHeight="false" outlineLevel="0" collapsed="false">
      <c r="A358" s="63"/>
      <c r="B358" s="28"/>
      <c r="C358" s="28"/>
      <c r="D358" s="28"/>
      <c r="E358" s="28"/>
      <c r="F358" s="64"/>
      <c r="G358" s="28"/>
    </row>
    <row r="359" customFormat="false" ht="15" hidden="false" customHeight="false" outlineLevel="0" collapsed="false">
      <c r="A359" s="63"/>
      <c r="B359" s="28"/>
      <c r="C359" s="28"/>
      <c r="D359" s="28"/>
      <c r="E359" s="28"/>
      <c r="F359" s="64"/>
      <c r="G359" s="28"/>
    </row>
    <row r="360" customFormat="false" ht="15" hidden="false" customHeight="false" outlineLevel="0" collapsed="false">
      <c r="A360" s="63"/>
      <c r="B360" s="28"/>
      <c r="C360" s="28"/>
      <c r="D360" s="28"/>
      <c r="E360" s="28"/>
      <c r="F360" s="64"/>
      <c r="G360" s="28"/>
    </row>
    <row r="361" customFormat="false" ht="15" hidden="false" customHeight="false" outlineLevel="0" collapsed="false">
      <c r="A361" s="63"/>
      <c r="B361" s="28"/>
      <c r="C361" s="28"/>
      <c r="D361" s="28"/>
      <c r="E361" s="28"/>
      <c r="F361" s="64"/>
      <c r="G361" s="28"/>
    </row>
    <row r="362" customFormat="false" ht="15" hidden="false" customHeight="false" outlineLevel="0" collapsed="false">
      <c r="A362" s="63"/>
      <c r="B362" s="28"/>
      <c r="C362" s="28"/>
      <c r="D362" s="28"/>
      <c r="E362" s="28"/>
      <c r="F362" s="64"/>
      <c r="G362" s="28"/>
    </row>
    <row r="363" customFormat="false" ht="15" hidden="false" customHeight="false" outlineLevel="0" collapsed="false">
      <c r="A363" s="63"/>
      <c r="B363" s="28"/>
      <c r="C363" s="28"/>
      <c r="D363" s="28"/>
      <c r="E363" s="28"/>
      <c r="F363" s="64"/>
      <c r="G363" s="28"/>
    </row>
    <row r="364" customFormat="false" ht="15" hidden="false" customHeight="false" outlineLevel="0" collapsed="false">
      <c r="A364" s="63"/>
      <c r="B364" s="28"/>
      <c r="C364" s="28"/>
      <c r="D364" s="28"/>
      <c r="E364" s="28"/>
      <c r="F364" s="64"/>
      <c r="G364" s="28"/>
    </row>
    <row r="365" customFormat="false" ht="15" hidden="false" customHeight="false" outlineLevel="0" collapsed="false">
      <c r="A365" s="63"/>
      <c r="B365" s="28"/>
      <c r="C365" s="28"/>
      <c r="D365" s="28"/>
      <c r="E365" s="28"/>
      <c r="F365" s="64"/>
      <c r="G365" s="28"/>
    </row>
    <row r="366" customFormat="false" ht="15" hidden="false" customHeight="false" outlineLevel="0" collapsed="false">
      <c r="A366" s="63"/>
      <c r="B366" s="28"/>
      <c r="C366" s="28"/>
      <c r="D366" s="28"/>
      <c r="E366" s="28"/>
      <c r="F366" s="64"/>
      <c r="G366" s="28"/>
    </row>
    <row r="367" customFormat="false" ht="15" hidden="false" customHeight="false" outlineLevel="0" collapsed="false">
      <c r="A367" s="63"/>
      <c r="B367" s="28"/>
      <c r="C367" s="28"/>
      <c r="D367" s="28"/>
      <c r="E367" s="28"/>
      <c r="F367" s="64"/>
      <c r="G367" s="28"/>
    </row>
    <row r="368" customFormat="false" ht="15" hidden="false" customHeight="false" outlineLevel="0" collapsed="false">
      <c r="A368" s="63"/>
      <c r="B368" s="28"/>
      <c r="C368" s="28"/>
      <c r="D368" s="28"/>
      <c r="E368" s="28"/>
      <c r="F368" s="64"/>
      <c r="G368" s="28"/>
    </row>
    <row r="369" customFormat="false" ht="15" hidden="false" customHeight="false" outlineLevel="0" collapsed="false">
      <c r="A369" s="63"/>
      <c r="B369" s="28"/>
      <c r="C369" s="28"/>
      <c r="D369" s="28"/>
      <c r="E369" s="28"/>
      <c r="F369" s="64"/>
      <c r="G369" s="28"/>
    </row>
    <row r="370" customFormat="false" ht="15" hidden="false" customHeight="false" outlineLevel="0" collapsed="false">
      <c r="A370" s="63"/>
      <c r="B370" s="28"/>
      <c r="C370" s="28"/>
      <c r="D370" s="28"/>
      <c r="E370" s="28"/>
      <c r="F370" s="64"/>
      <c r="G370" s="28"/>
    </row>
    <row r="371" customFormat="false" ht="15" hidden="false" customHeight="false" outlineLevel="0" collapsed="false">
      <c r="A371" s="63"/>
      <c r="B371" s="28"/>
      <c r="C371" s="28"/>
      <c r="D371" s="28"/>
      <c r="E371" s="28"/>
      <c r="F371" s="64"/>
      <c r="G371" s="28"/>
    </row>
    <row r="372" customFormat="false" ht="15" hidden="false" customHeight="false" outlineLevel="0" collapsed="false">
      <c r="A372" s="63"/>
      <c r="B372" s="28"/>
      <c r="C372" s="28"/>
      <c r="D372" s="28"/>
      <c r="E372" s="28"/>
      <c r="F372" s="64"/>
      <c r="G372" s="28"/>
    </row>
    <row r="373" customFormat="false" ht="15" hidden="false" customHeight="false" outlineLevel="0" collapsed="false">
      <c r="A373" s="63"/>
      <c r="B373" s="28"/>
      <c r="C373" s="28"/>
      <c r="D373" s="28"/>
      <c r="E373" s="28"/>
      <c r="F373" s="64"/>
      <c r="G373" s="28"/>
    </row>
    <row r="374" customFormat="false" ht="15" hidden="false" customHeight="false" outlineLevel="0" collapsed="false">
      <c r="A374" s="63"/>
      <c r="B374" s="28"/>
      <c r="C374" s="28"/>
      <c r="D374" s="28"/>
      <c r="E374" s="28"/>
      <c r="F374" s="64"/>
      <c r="G374" s="28"/>
    </row>
    <row r="375" customFormat="false" ht="15" hidden="false" customHeight="false" outlineLevel="0" collapsed="false">
      <c r="A375" s="63"/>
      <c r="B375" s="28"/>
      <c r="C375" s="28"/>
      <c r="D375" s="28"/>
      <c r="E375" s="28"/>
      <c r="F375" s="64"/>
      <c r="G375" s="28"/>
    </row>
    <row r="376" customFormat="false" ht="15" hidden="false" customHeight="false" outlineLevel="0" collapsed="false">
      <c r="A376" s="63"/>
      <c r="B376" s="28"/>
      <c r="C376" s="28"/>
      <c r="D376" s="28"/>
      <c r="E376" s="28"/>
      <c r="F376" s="64"/>
      <c r="G376" s="28"/>
    </row>
    <row r="377" customFormat="false" ht="15" hidden="false" customHeight="false" outlineLevel="0" collapsed="false">
      <c r="A377" s="63"/>
      <c r="B377" s="28"/>
      <c r="C377" s="28"/>
      <c r="D377" s="28"/>
      <c r="E377" s="28"/>
      <c r="F377" s="64"/>
      <c r="G377" s="28"/>
    </row>
    <row r="378" customFormat="false" ht="15" hidden="false" customHeight="false" outlineLevel="0" collapsed="false">
      <c r="A378" s="63"/>
      <c r="B378" s="28"/>
      <c r="C378" s="28"/>
      <c r="D378" s="28"/>
      <c r="E378" s="28"/>
      <c r="F378" s="64"/>
      <c r="G378" s="28"/>
    </row>
    <row r="379" customFormat="false" ht="15" hidden="false" customHeight="false" outlineLevel="0" collapsed="false">
      <c r="A379" s="63"/>
      <c r="B379" s="28"/>
      <c r="C379" s="28"/>
      <c r="D379" s="28"/>
      <c r="E379" s="28"/>
      <c r="F379" s="64"/>
      <c r="G379" s="28"/>
    </row>
    <row r="380" customFormat="false" ht="15" hidden="false" customHeight="false" outlineLevel="0" collapsed="false">
      <c r="A380" s="63"/>
      <c r="B380" s="28"/>
      <c r="C380" s="28"/>
      <c r="D380" s="28"/>
      <c r="E380" s="28"/>
      <c r="F380" s="64"/>
      <c r="G380" s="28"/>
    </row>
    <row r="381" customFormat="false" ht="15" hidden="false" customHeight="false" outlineLevel="0" collapsed="false">
      <c r="A381" s="63"/>
      <c r="B381" s="28"/>
      <c r="C381" s="28"/>
      <c r="D381" s="28"/>
      <c r="E381" s="28"/>
      <c r="F381" s="64"/>
      <c r="G381" s="28"/>
    </row>
    <row r="382" customFormat="false" ht="15" hidden="false" customHeight="false" outlineLevel="0" collapsed="false">
      <c r="A382" s="63"/>
      <c r="B382" s="28"/>
      <c r="C382" s="28"/>
      <c r="D382" s="28"/>
      <c r="E382" s="28"/>
      <c r="F382" s="64"/>
      <c r="G382" s="28"/>
    </row>
    <row r="383" customFormat="false" ht="15" hidden="false" customHeight="false" outlineLevel="0" collapsed="false">
      <c r="A383" s="63"/>
      <c r="B383" s="28"/>
      <c r="C383" s="28"/>
      <c r="D383" s="28"/>
      <c r="E383" s="28"/>
      <c r="F383" s="64"/>
      <c r="G383" s="28"/>
    </row>
    <row r="384" customFormat="false" ht="15" hidden="false" customHeight="false" outlineLevel="0" collapsed="false">
      <c r="A384" s="63"/>
      <c r="B384" s="28"/>
      <c r="C384" s="28"/>
      <c r="D384" s="28"/>
      <c r="E384" s="28"/>
      <c r="F384" s="64"/>
      <c r="G384" s="28"/>
    </row>
    <row r="385" customFormat="false" ht="15" hidden="false" customHeight="false" outlineLevel="0" collapsed="false">
      <c r="A385" s="63"/>
      <c r="B385" s="28"/>
      <c r="C385" s="28"/>
      <c r="D385" s="28"/>
      <c r="E385" s="28"/>
      <c r="F385" s="64"/>
      <c r="G385" s="28"/>
    </row>
    <row r="386" customFormat="false" ht="15" hidden="false" customHeight="false" outlineLevel="0" collapsed="false">
      <c r="A386" s="63"/>
      <c r="B386" s="28"/>
      <c r="C386" s="28"/>
      <c r="D386" s="28"/>
      <c r="E386" s="28"/>
      <c r="F386" s="64"/>
      <c r="G386" s="28"/>
    </row>
    <row r="387" customFormat="false" ht="15" hidden="false" customHeight="false" outlineLevel="0" collapsed="false">
      <c r="A387" s="63"/>
      <c r="B387" s="28"/>
      <c r="C387" s="28"/>
      <c r="D387" s="28"/>
      <c r="E387" s="28"/>
      <c r="F387" s="64"/>
      <c r="G387" s="28"/>
    </row>
    <row r="388" customFormat="false" ht="15" hidden="false" customHeight="false" outlineLevel="0" collapsed="false">
      <c r="A388" s="63"/>
      <c r="B388" s="28"/>
      <c r="C388" s="28"/>
      <c r="D388" s="28"/>
      <c r="E388" s="28"/>
      <c r="F388" s="64"/>
      <c r="G388" s="28"/>
    </row>
    <row r="389" customFormat="false" ht="15" hidden="false" customHeight="false" outlineLevel="0" collapsed="false">
      <c r="A389" s="63"/>
      <c r="B389" s="28"/>
      <c r="C389" s="28"/>
      <c r="D389" s="28"/>
      <c r="E389" s="28"/>
      <c r="F389" s="64"/>
      <c r="G389" s="28"/>
    </row>
    <row r="390" customFormat="false" ht="15" hidden="false" customHeight="false" outlineLevel="0" collapsed="false">
      <c r="A390" s="63"/>
      <c r="B390" s="28"/>
      <c r="C390" s="28"/>
      <c r="D390" s="28"/>
      <c r="E390" s="28"/>
      <c r="F390" s="64"/>
      <c r="G390" s="28"/>
    </row>
    <row r="391" customFormat="false" ht="15" hidden="false" customHeight="false" outlineLevel="0" collapsed="false">
      <c r="A391" s="63"/>
      <c r="B391" s="28"/>
      <c r="C391" s="28"/>
      <c r="D391" s="28"/>
      <c r="E391" s="28"/>
      <c r="F391" s="64"/>
      <c r="G391" s="28"/>
    </row>
    <row r="392" customFormat="false" ht="15" hidden="false" customHeight="false" outlineLevel="0" collapsed="false">
      <c r="A392" s="63"/>
      <c r="B392" s="28"/>
      <c r="C392" s="28"/>
      <c r="D392" s="28"/>
      <c r="E392" s="28"/>
      <c r="F392" s="64"/>
      <c r="G392" s="28"/>
    </row>
    <row r="393" customFormat="false" ht="15" hidden="false" customHeight="false" outlineLevel="0" collapsed="false">
      <c r="A393" s="63"/>
      <c r="B393" s="28"/>
      <c r="C393" s="28"/>
      <c r="D393" s="28"/>
      <c r="E393" s="28"/>
      <c r="F393" s="64"/>
      <c r="G393" s="28"/>
    </row>
    <row r="394" customFormat="false" ht="15" hidden="false" customHeight="false" outlineLevel="0" collapsed="false">
      <c r="A394" s="63"/>
      <c r="B394" s="28"/>
      <c r="C394" s="28"/>
      <c r="D394" s="28"/>
      <c r="E394" s="28"/>
      <c r="F394" s="64"/>
      <c r="G394" s="28"/>
    </row>
    <row r="395" customFormat="false" ht="15" hidden="false" customHeight="false" outlineLevel="0" collapsed="false">
      <c r="A395" s="63"/>
      <c r="B395" s="28"/>
      <c r="C395" s="28"/>
      <c r="D395" s="28"/>
      <c r="E395" s="28"/>
      <c r="F395" s="64"/>
      <c r="G395" s="28"/>
    </row>
    <row r="396" customFormat="false" ht="15" hidden="false" customHeight="false" outlineLevel="0" collapsed="false">
      <c r="A396" s="63"/>
      <c r="B396" s="28"/>
      <c r="C396" s="28"/>
      <c r="D396" s="28"/>
      <c r="E396" s="28"/>
      <c r="F396" s="64"/>
      <c r="G396" s="28"/>
    </row>
    <row r="397" customFormat="false" ht="15" hidden="false" customHeight="false" outlineLevel="0" collapsed="false">
      <c r="A397" s="63"/>
      <c r="B397" s="28"/>
      <c r="C397" s="28"/>
      <c r="D397" s="28"/>
      <c r="E397" s="28"/>
      <c r="F397" s="64"/>
      <c r="G397" s="28"/>
    </row>
    <row r="398" customFormat="false" ht="15" hidden="false" customHeight="false" outlineLevel="0" collapsed="false">
      <c r="A398" s="63"/>
      <c r="B398" s="28"/>
      <c r="C398" s="28"/>
      <c r="D398" s="28"/>
      <c r="E398" s="28"/>
      <c r="F398" s="64"/>
      <c r="G398" s="28"/>
    </row>
    <row r="399" customFormat="false" ht="15" hidden="false" customHeight="false" outlineLevel="0" collapsed="false">
      <c r="A399" s="63"/>
      <c r="B399" s="28"/>
      <c r="C399" s="28"/>
      <c r="D399" s="28"/>
      <c r="E399" s="28"/>
      <c r="F399" s="64"/>
      <c r="G399" s="28"/>
    </row>
    <row r="400" customFormat="false" ht="15" hidden="false" customHeight="false" outlineLevel="0" collapsed="false">
      <c r="A400" s="63"/>
      <c r="B400" s="28"/>
      <c r="C400" s="28"/>
      <c r="D400" s="28"/>
      <c r="E400" s="28"/>
      <c r="F400" s="64"/>
      <c r="G400" s="28"/>
    </row>
    <row r="401" customFormat="false" ht="15" hidden="false" customHeight="false" outlineLevel="0" collapsed="false">
      <c r="A401" s="63"/>
      <c r="B401" s="28"/>
      <c r="C401" s="28"/>
      <c r="D401" s="28"/>
      <c r="E401" s="28"/>
      <c r="F401" s="64"/>
      <c r="G401" s="28"/>
    </row>
    <row r="402" customFormat="false" ht="15" hidden="false" customHeight="false" outlineLevel="0" collapsed="false">
      <c r="A402" s="63"/>
      <c r="B402" s="28"/>
      <c r="C402" s="28"/>
      <c r="D402" s="28"/>
      <c r="E402" s="28"/>
      <c r="F402" s="64"/>
      <c r="G402" s="28"/>
    </row>
    <row r="403" customFormat="false" ht="15" hidden="false" customHeight="false" outlineLevel="0" collapsed="false">
      <c r="A403" s="63"/>
      <c r="B403" s="28"/>
      <c r="C403" s="28"/>
      <c r="D403" s="28"/>
      <c r="E403" s="28"/>
      <c r="F403" s="64"/>
      <c r="G403" s="28"/>
    </row>
    <row r="404" customFormat="false" ht="15" hidden="false" customHeight="false" outlineLevel="0" collapsed="false">
      <c r="A404" s="63"/>
      <c r="B404" s="28"/>
      <c r="C404" s="28"/>
      <c r="D404" s="28"/>
      <c r="E404" s="28"/>
      <c r="F404" s="64"/>
      <c r="G404" s="28"/>
    </row>
    <row r="405" customFormat="false" ht="15" hidden="false" customHeight="false" outlineLevel="0" collapsed="false">
      <c r="A405" s="63"/>
      <c r="B405" s="28"/>
      <c r="C405" s="28"/>
      <c r="D405" s="28"/>
      <c r="E405" s="28"/>
      <c r="F405" s="64"/>
      <c r="G405" s="28"/>
    </row>
    <row r="406" customFormat="false" ht="15" hidden="false" customHeight="false" outlineLevel="0" collapsed="false">
      <c r="A406" s="63"/>
      <c r="B406" s="28"/>
      <c r="C406" s="28"/>
      <c r="D406" s="28"/>
      <c r="E406" s="28"/>
      <c r="F406" s="64"/>
      <c r="G406" s="28"/>
    </row>
    <row r="407" customFormat="false" ht="15" hidden="false" customHeight="false" outlineLevel="0" collapsed="false">
      <c r="A407" s="63"/>
      <c r="B407" s="28"/>
      <c r="C407" s="28"/>
      <c r="D407" s="28"/>
      <c r="E407" s="28"/>
      <c r="F407" s="64"/>
      <c r="G407" s="28"/>
    </row>
    <row r="408" customFormat="false" ht="15" hidden="false" customHeight="false" outlineLevel="0" collapsed="false">
      <c r="A408" s="63"/>
      <c r="B408" s="28"/>
      <c r="C408" s="28"/>
      <c r="D408" s="28"/>
      <c r="E408" s="28"/>
      <c r="F408" s="64"/>
      <c r="G408" s="28"/>
    </row>
    <row r="409" customFormat="false" ht="15" hidden="false" customHeight="false" outlineLevel="0" collapsed="false">
      <c r="A409" s="63"/>
      <c r="B409" s="28"/>
      <c r="C409" s="28"/>
      <c r="D409" s="28"/>
      <c r="E409" s="28"/>
      <c r="F409" s="64"/>
      <c r="G409" s="28"/>
    </row>
    <row r="410" customFormat="false" ht="15" hidden="false" customHeight="false" outlineLevel="0" collapsed="false">
      <c r="A410" s="63"/>
      <c r="B410" s="28"/>
      <c r="C410" s="28"/>
      <c r="D410" s="28"/>
      <c r="E410" s="28"/>
      <c r="F410" s="64"/>
      <c r="G410" s="28"/>
    </row>
    <row r="411" customFormat="false" ht="15" hidden="false" customHeight="false" outlineLevel="0" collapsed="false">
      <c r="A411" s="63"/>
      <c r="B411" s="28"/>
      <c r="C411" s="28"/>
      <c r="D411" s="28"/>
      <c r="E411" s="28"/>
      <c r="F411" s="64"/>
      <c r="G411" s="28"/>
    </row>
    <row r="412" customFormat="false" ht="15" hidden="false" customHeight="false" outlineLevel="0" collapsed="false">
      <c r="A412" s="63"/>
      <c r="B412" s="28"/>
      <c r="C412" s="28"/>
      <c r="D412" s="28"/>
      <c r="E412" s="28"/>
      <c r="F412" s="64"/>
      <c r="G412" s="28"/>
    </row>
    <row r="413" customFormat="false" ht="15" hidden="false" customHeight="false" outlineLevel="0" collapsed="false">
      <c r="A413" s="63"/>
      <c r="B413" s="28"/>
      <c r="C413" s="28"/>
      <c r="D413" s="28"/>
      <c r="E413" s="28"/>
      <c r="F413" s="64"/>
      <c r="G413" s="28"/>
    </row>
    <row r="414" customFormat="false" ht="15" hidden="false" customHeight="false" outlineLevel="0" collapsed="false">
      <c r="A414" s="63"/>
      <c r="B414" s="28"/>
      <c r="C414" s="28"/>
      <c r="D414" s="28"/>
      <c r="E414" s="28"/>
      <c r="F414" s="64"/>
      <c r="G414" s="28"/>
    </row>
    <row r="415" customFormat="false" ht="15" hidden="false" customHeight="false" outlineLevel="0" collapsed="false">
      <c r="A415" s="63"/>
      <c r="B415" s="28"/>
      <c r="C415" s="28"/>
      <c r="D415" s="28"/>
      <c r="E415" s="28"/>
      <c r="F415" s="64"/>
      <c r="G415" s="28"/>
    </row>
    <row r="416" customFormat="false" ht="15" hidden="false" customHeight="false" outlineLevel="0" collapsed="false">
      <c r="A416" s="63"/>
      <c r="B416" s="28"/>
      <c r="C416" s="28"/>
      <c r="D416" s="28"/>
      <c r="E416" s="28"/>
      <c r="F416" s="64"/>
      <c r="G416" s="28"/>
    </row>
    <row r="417" customFormat="false" ht="15" hidden="false" customHeight="false" outlineLevel="0" collapsed="false">
      <c r="A417" s="63"/>
      <c r="B417" s="28"/>
      <c r="C417" s="28"/>
      <c r="D417" s="28"/>
      <c r="E417" s="28"/>
      <c r="F417" s="64"/>
      <c r="G417" s="28"/>
    </row>
    <row r="418" customFormat="false" ht="15" hidden="false" customHeight="false" outlineLevel="0" collapsed="false">
      <c r="A418" s="63"/>
      <c r="B418" s="28"/>
      <c r="C418" s="28"/>
      <c r="D418" s="28"/>
      <c r="E418" s="28"/>
      <c r="F418" s="64"/>
      <c r="G418" s="28"/>
    </row>
    <row r="419" customFormat="false" ht="15" hidden="false" customHeight="false" outlineLevel="0" collapsed="false">
      <c r="A419" s="63"/>
      <c r="B419" s="28"/>
      <c r="C419" s="28"/>
      <c r="D419" s="28"/>
      <c r="E419" s="28"/>
      <c r="F419" s="64"/>
      <c r="G419" s="28"/>
    </row>
    <row r="420" customFormat="false" ht="15" hidden="false" customHeight="false" outlineLevel="0" collapsed="false">
      <c r="A420" s="63"/>
      <c r="B420" s="28"/>
      <c r="C420" s="28"/>
      <c r="D420" s="28"/>
      <c r="E420" s="28"/>
      <c r="F420" s="64"/>
      <c r="G420" s="28"/>
    </row>
    <row r="421" customFormat="false" ht="15" hidden="false" customHeight="false" outlineLevel="0" collapsed="false">
      <c r="A421" s="63"/>
      <c r="B421" s="28"/>
      <c r="C421" s="28"/>
      <c r="D421" s="28"/>
      <c r="E421" s="28"/>
      <c r="F421" s="64"/>
      <c r="G421" s="28"/>
    </row>
    <row r="422" customFormat="false" ht="15" hidden="false" customHeight="false" outlineLevel="0" collapsed="false">
      <c r="A422" s="63"/>
      <c r="B422" s="28"/>
      <c r="C422" s="28"/>
      <c r="D422" s="28"/>
      <c r="E422" s="28"/>
      <c r="F422" s="64"/>
      <c r="G422" s="28"/>
    </row>
    <row r="423" customFormat="false" ht="15" hidden="false" customHeight="false" outlineLevel="0" collapsed="false">
      <c r="A423" s="63"/>
      <c r="B423" s="28"/>
      <c r="C423" s="28"/>
      <c r="D423" s="28"/>
      <c r="E423" s="28"/>
      <c r="F423" s="64"/>
      <c r="G423" s="28"/>
    </row>
    <row r="424" customFormat="false" ht="15" hidden="false" customHeight="false" outlineLevel="0" collapsed="false">
      <c r="A424" s="63"/>
      <c r="B424" s="28"/>
      <c r="C424" s="28"/>
      <c r="D424" s="28"/>
      <c r="E424" s="28"/>
      <c r="F424" s="64"/>
      <c r="G424" s="28"/>
    </row>
    <row r="425" customFormat="false" ht="15" hidden="false" customHeight="false" outlineLevel="0" collapsed="false">
      <c r="A425" s="63"/>
      <c r="B425" s="28"/>
      <c r="C425" s="28"/>
      <c r="D425" s="28"/>
      <c r="E425" s="28"/>
      <c r="F425" s="64"/>
      <c r="G425" s="28"/>
    </row>
    <row r="426" customFormat="false" ht="15" hidden="false" customHeight="false" outlineLevel="0" collapsed="false">
      <c r="A426" s="63"/>
      <c r="B426" s="28"/>
      <c r="C426" s="28"/>
      <c r="D426" s="28"/>
      <c r="E426" s="28"/>
      <c r="F426" s="64"/>
      <c r="G426" s="28"/>
    </row>
    <row r="427" customFormat="false" ht="15" hidden="false" customHeight="false" outlineLevel="0" collapsed="false">
      <c r="A427" s="63"/>
      <c r="B427" s="28"/>
      <c r="C427" s="28"/>
      <c r="D427" s="28"/>
      <c r="E427" s="28"/>
      <c r="F427" s="64"/>
      <c r="G427" s="28"/>
    </row>
    <row r="428" customFormat="false" ht="15" hidden="false" customHeight="false" outlineLevel="0" collapsed="false">
      <c r="A428" s="63"/>
      <c r="B428" s="28"/>
      <c r="C428" s="28"/>
      <c r="D428" s="28"/>
      <c r="E428" s="28"/>
      <c r="F428" s="64"/>
      <c r="G428" s="28"/>
    </row>
    <row r="429" customFormat="false" ht="15" hidden="false" customHeight="false" outlineLevel="0" collapsed="false">
      <c r="A429" s="63"/>
      <c r="B429" s="28"/>
      <c r="C429" s="28"/>
      <c r="D429" s="28"/>
      <c r="E429" s="28"/>
      <c r="F429" s="64"/>
      <c r="G429" s="28"/>
    </row>
    <row r="430" customFormat="false" ht="15" hidden="false" customHeight="false" outlineLevel="0" collapsed="false">
      <c r="A430" s="63"/>
      <c r="B430" s="28"/>
      <c r="C430" s="28"/>
      <c r="D430" s="28"/>
      <c r="E430" s="28"/>
      <c r="F430" s="64"/>
      <c r="G430" s="28"/>
    </row>
    <row r="431" customFormat="false" ht="15" hidden="false" customHeight="false" outlineLevel="0" collapsed="false">
      <c r="A431" s="63"/>
      <c r="B431" s="28"/>
      <c r="C431" s="28"/>
      <c r="D431" s="28"/>
      <c r="E431" s="28"/>
      <c r="F431" s="64"/>
      <c r="G431" s="28"/>
    </row>
    <row r="432" customFormat="false" ht="15" hidden="false" customHeight="false" outlineLevel="0" collapsed="false">
      <c r="A432" s="63"/>
      <c r="B432" s="28"/>
      <c r="C432" s="28"/>
      <c r="D432" s="28"/>
      <c r="E432" s="28"/>
      <c r="F432" s="64"/>
      <c r="G432" s="28"/>
    </row>
    <row r="433" customFormat="false" ht="15" hidden="false" customHeight="false" outlineLevel="0" collapsed="false">
      <c r="A433" s="63"/>
      <c r="B433" s="28"/>
      <c r="C433" s="28"/>
      <c r="D433" s="28"/>
      <c r="E433" s="28"/>
      <c r="F433" s="64"/>
      <c r="G433" s="28"/>
    </row>
    <row r="434" customFormat="false" ht="15" hidden="false" customHeight="false" outlineLevel="0" collapsed="false">
      <c r="A434" s="63"/>
      <c r="B434" s="28"/>
      <c r="C434" s="28"/>
      <c r="D434" s="28"/>
      <c r="E434" s="28"/>
      <c r="F434" s="64"/>
      <c r="G434" s="28"/>
    </row>
    <row r="435" customFormat="false" ht="15" hidden="false" customHeight="false" outlineLevel="0" collapsed="false">
      <c r="A435" s="63"/>
      <c r="B435" s="28"/>
      <c r="C435" s="28"/>
      <c r="D435" s="28"/>
      <c r="E435" s="28"/>
      <c r="F435" s="64"/>
      <c r="G435" s="28"/>
    </row>
    <row r="436" customFormat="false" ht="15" hidden="false" customHeight="false" outlineLevel="0" collapsed="false">
      <c r="A436" s="63"/>
      <c r="B436" s="28"/>
      <c r="C436" s="28"/>
      <c r="D436" s="28"/>
      <c r="E436" s="28"/>
      <c r="F436" s="64"/>
      <c r="G436" s="28"/>
    </row>
    <row r="437" customFormat="false" ht="15" hidden="false" customHeight="false" outlineLevel="0" collapsed="false">
      <c r="A437" s="63"/>
      <c r="B437" s="28"/>
      <c r="C437" s="28"/>
      <c r="D437" s="28"/>
      <c r="E437" s="28"/>
      <c r="F437" s="64"/>
      <c r="G437" s="28"/>
    </row>
    <row r="438" customFormat="false" ht="15" hidden="false" customHeight="false" outlineLevel="0" collapsed="false">
      <c r="A438" s="63"/>
      <c r="B438" s="28"/>
      <c r="C438" s="28"/>
      <c r="D438" s="28"/>
      <c r="E438" s="28"/>
      <c r="F438" s="64"/>
      <c r="G438" s="28"/>
    </row>
    <row r="439" customFormat="false" ht="15" hidden="false" customHeight="false" outlineLevel="0" collapsed="false">
      <c r="A439" s="63"/>
      <c r="B439" s="28"/>
      <c r="C439" s="28"/>
      <c r="D439" s="28"/>
      <c r="E439" s="28"/>
      <c r="F439" s="64"/>
      <c r="G439" s="28"/>
    </row>
    <row r="440" customFormat="false" ht="15" hidden="false" customHeight="false" outlineLevel="0" collapsed="false">
      <c r="A440" s="63"/>
      <c r="B440" s="28"/>
      <c r="C440" s="28"/>
      <c r="D440" s="28"/>
      <c r="E440" s="28"/>
      <c r="F440" s="64"/>
      <c r="G440" s="28"/>
    </row>
    <row r="441" customFormat="false" ht="15" hidden="false" customHeight="false" outlineLevel="0" collapsed="false">
      <c r="A441" s="63"/>
      <c r="B441" s="28"/>
      <c r="C441" s="28"/>
      <c r="D441" s="28"/>
      <c r="E441" s="28"/>
      <c r="F441" s="64"/>
      <c r="G441" s="28"/>
    </row>
    <row r="442" customFormat="false" ht="15" hidden="false" customHeight="false" outlineLevel="0" collapsed="false">
      <c r="A442" s="63"/>
      <c r="B442" s="28"/>
      <c r="C442" s="28"/>
      <c r="D442" s="28"/>
      <c r="E442" s="28"/>
      <c r="F442" s="64"/>
      <c r="G442" s="28"/>
    </row>
    <row r="443" customFormat="false" ht="15" hidden="false" customHeight="false" outlineLevel="0" collapsed="false">
      <c r="A443" s="63"/>
      <c r="B443" s="28"/>
      <c r="C443" s="28"/>
      <c r="D443" s="28"/>
      <c r="E443" s="28"/>
      <c r="F443" s="64"/>
      <c r="G443" s="28"/>
    </row>
    <row r="444" customFormat="false" ht="15" hidden="false" customHeight="false" outlineLevel="0" collapsed="false">
      <c r="A444" s="63"/>
      <c r="B444" s="28"/>
      <c r="C444" s="28"/>
      <c r="D444" s="28"/>
      <c r="E444" s="28"/>
      <c r="F444" s="64"/>
      <c r="G444" s="28"/>
    </row>
    <row r="445" customFormat="false" ht="15" hidden="false" customHeight="false" outlineLevel="0" collapsed="false">
      <c r="A445" s="63"/>
      <c r="B445" s="28"/>
      <c r="C445" s="28"/>
      <c r="D445" s="28"/>
      <c r="E445" s="28"/>
      <c r="F445" s="64"/>
      <c r="G445" s="28"/>
    </row>
    <row r="446" customFormat="false" ht="15" hidden="false" customHeight="false" outlineLevel="0" collapsed="false">
      <c r="A446" s="63"/>
      <c r="B446" s="28"/>
      <c r="C446" s="28"/>
      <c r="D446" s="28"/>
      <c r="E446" s="28"/>
      <c r="F446" s="64"/>
      <c r="G446" s="28"/>
    </row>
    <row r="447" customFormat="false" ht="15" hidden="false" customHeight="false" outlineLevel="0" collapsed="false">
      <c r="A447" s="63"/>
      <c r="B447" s="28"/>
      <c r="C447" s="28"/>
      <c r="D447" s="28"/>
      <c r="E447" s="28"/>
      <c r="F447" s="64"/>
      <c r="G447" s="28"/>
    </row>
    <row r="448" customFormat="false" ht="15" hidden="false" customHeight="false" outlineLevel="0" collapsed="false">
      <c r="A448" s="63"/>
      <c r="B448" s="28"/>
      <c r="C448" s="28"/>
      <c r="D448" s="28"/>
      <c r="E448" s="28"/>
      <c r="F448" s="64"/>
      <c r="G448" s="28"/>
    </row>
    <row r="449" customFormat="false" ht="15" hidden="false" customHeight="false" outlineLevel="0" collapsed="false">
      <c r="A449" s="63"/>
      <c r="B449" s="28"/>
      <c r="C449" s="28"/>
      <c r="D449" s="28"/>
      <c r="E449" s="28"/>
      <c r="F449" s="64"/>
      <c r="G449" s="28"/>
    </row>
    <row r="450" customFormat="false" ht="15" hidden="false" customHeight="false" outlineLevel="0" collapsed="false">
      <c r="A450" s="63"/>
      <c r="B450" s="28"/>
      <c r="C450" s="28"/>
      <c r="D450" s="28"/>
      <c r="E450" s="28"/>
      <c r="F450" s="64"/>
      <c r="G450" s="28"/>
    </row>
    <row r="451" customFormat="false" ht="15" hidden="false" customHeight="false" outlineLevel="0" collapsed="false">
      <c r="A451" s="63"/>
      <c r="B451" s="28"/>
      <c r="C451" s="28"/>
      <c r="D451" s="28"/>
      <c r="E451" s="28"/>
      <c r="F451" s="64"/>
      <c r="G451" s="28"/>
    </row>
    <row r="452" customFormat="false" ht="15" hidden="false" customHeight="false" outlineLevel="0" collapsed="false">
      <c r="A452" s="63"/>
      <c r="B452" s="28"/>
      <c r="C452" s="28"/>
      <c r="D452" s="28"/>
      <c r="E452" s="28"/>
      <c r="F452" s="64"/>
      <c r="G452" s="28"/>
    </row>
    <row r="453" customFormat="false" ht="15" hidden="false" customHeight="false" outlineLevel="0" collapsed="false">
      <c r="A453" s="63"/>
      <c r="B453" s="28"/>
      <c r="C453" s="28"/>
      <c r="D453" s="28"/>
      <c r="E453" s="28"/>
      <c r="F453" s="64"/>
      <c r="G453" s="28"/>
    </row>
    <row r="454" customFormat="false" ht="15" hidden="false" customHeight="false" outlineLevel="0" collapsed="false">
      <c r="A454" s="63"/>
      <c r="B454" s="28"/>
      <c r="C454" s="28"/>
      <c r="D454" s="28"/>
      <c r="E454" s="28"/>
      <c r="F454" s="64"/>
      <c r="G454" s="28"/>
    </row>
    <row r="455" customFormat="false" ht="15" hidden="false" customHeight="false" outlineLevel="0" collapsed="false">
      <c r="A455" s="63"/>
      <c r="B455" s="28"/>
      <c r="C455" s="28"/>
      <c r="D455" s="28"/>
      <c r="E455" s="28"/>
      <c r="F455" s="64"/>
      <c r="G455" s="28"/>
    </row>
    <row r="456" customFormat="false" ht="15" hidden="false" customHeight="false" outlineLevel="0" collapsed="false">
      <c r="A456" s="63"/>
      <c r="B456" s="28"/>
      <c r="C456" s="28"/>
      <c r="D456" s="28"/>
      <c r="E456" s="28"/>
      <c r="F456" s="64"/>
      <c r="G456" s="28"/>
    </row>
    <row r="457" customFormat="false" ht="15" hidden="false" customHeight="false" outlineLevel="0" collapsed="false">
      <c r="A457" s="63"/>
      <c r="B457" s="28"/>
      <c r="C457" s="28"/>
      <c r="D457" s="28"/>
      <c r="E457" s="28"/>
      <c r="F457" s="64"/>
      <c r="G457" s="28"/>
    </row>
    <row r="458" customFormat="false" ht="15" hidden="false" customHeight="false" outlineLevel="0" collapsed="false">
      <c r="A458" s="63"/>
      <c r="B458" s="28"/>
      <c r="C458" s="28"/>
      <c r="D458" s="28"/>
      <c r="E458" s="28"/>
      <c r="F458" s="64"/>
      <c r="G458" s="28"/>
    </row>
    <row r="459" customFormat="false" ht="15" hidden="false" customHeight="false" outlineLevel="0" collapsed="false">
      <c r="A459" s="63"/>
      <c r="B459" s="28"/>
      <c r="C459" s="28"/>
      <c r="D459" s="28"/>
      <c r="E459" s="28"/>
      <c r="F459" s="64"/>
      <c r="G459" s="28"/>
    </row>
    <row r="460" customFormat="false" ht="15" hidden="false" customHeight="false" outlineLevel="0" collapsed="false">
      <c r="A460" s="63"/>
      <c r="B460" s="28"/>
      <c r="C460" s="28"/>
      <c r="D460" s="28"/>
      <c r="E460" s="28"/>
      <c r="F460" s="64"/>
      <c r="G460" s="28"/>
    </row>
    <row r="461" customFormat="false" ht="15" hidden="false" customHeight="false" outlineLevel="0" collapsed="false">
      <c r="A461" s="63"/>
      <c r="B461" s="28"/>
      <c r="C461" s="28"/>
      <c r="D461" s="28"/>
      <c r="E461" s="28"/>
      <c r="F461" s="64"/>
      <c r="G461" s="28"/>
    </row>
    <row r="462" customFormat="false" ht="15" hidden="false" customHeight="false" outlineLevel="0" collapsed="false">
      <c r="A462" s="63"/>
      <c r="B462" s="28"/>
      <c r="C462" s="28"/>
      <c r="D462" s="28"/>
      <c r="E462" s="28"/>
      <c r="F462" s="64"/>
      <c r="G462" s="28"/>
    </row>
    <row r="463" customFormat="false" ht="15" hidden="false" customHeight="false" outlineLevel="0" collapsed="false">
      <c r="A463" s="63"/>
      <c r="B463" s="28"/>
      <c r="C463" s="28"/>
      <c r="D463" s="28"/>
      <c r="E463" s="28"/>
      <c r="F463" s="64"/>
      <c r="G463" s="28"/>
    </row>
    <row r="464" customFormat="false" ht="15" hidden="false" customHeight="false" outlineLevel="0" collapsed="false">
      <c r="A464" s="63"/>
      <c r="B464" s="28"/>
      <c r="C464" s="28"/>
      <c r="D464" s="28"/>
      <c r="E464" s="28"/>
      <c r="F464" s="64"/>
      <c r="G464" s="28"/>
    </row>
    <row r="465" customFormat="false" ht="15" hidden="false" customHeight="false" outlineLevel="0" collapsed="false">
      <c r="A465" s="63"/>
      <c r="B465" s="28"/>
      <c r="C465" s="28"/>
      <c r="D465" s="28"/>
      <c r="E465" s="28"/>
      <c r="F465" s="64"/>
      <c r="G465" s="28"/>
    </row>
    <row r="466" customFormat="false" ht="15" hidden="false" customHeight="false" outlineLevel="0" collapsed="false">
      <c r="A466" s="63"/>
      <c r="B466" s="28"/>
      <c r="C466" s="28"/>
      <c r="D466" s="28"/>
      <c r="E466" s="28"/>
      <c r="F466" s="64"/>
      <c r="G466" s="28"/>
    </row>
    <row r="467" customFormat="false" ht="15" hidden="false" customHeight="false" outlineLevel="0" collapsed="false">
      <c r="A467" s="63"/>
      <c r="B467" s="28"/>
      <c r="C467" s="28"/>
      <c r="D467" s="28"/>
      <c r="E467" s="28"/>
      <c r="F467" s="64"/>
      <c r="G467" s="28"/>
    </row>
    <row r="468" customFormat="false" ht="15" hidden="false" customHeight="false" outlineLevel="0" collapsed="false">
      <c r="A468" s="63"/>
      <c r="B468" s="28"/>
      <c r="C468" s="28"/>
      <c r="D468" s="28"/>
      <c r="E468" s="28"/>
      <c r="F468" s="64"/>
      <c r="G468" s="28"/>
    </row>
    <row r="469" customFormat="false" ht="15" hidden="false" customHeight="false" outlineLevel="0" collapsed="false">
      <c r="A469" s="63"/>
      <c r="B469" s="28"/>
      <c r="C469" s="28"/>
      <c r="D469" s="28"/>
      <c r="E469" s="28"/>
      <c r="F469" s="64"/>
      <c r="G469" s="28"/>
    </row>
    <row r="470" customFormat="false" ht="15" hidden="false" customHeight="false" outlineLevel="0" collapsed="false">
      <c r="A470" s="63"/>
      <c r="B470" s="28"/>
      <c r="C470" s="28"/>
      <c r="D470" s="28"/>
      <c r="E470" s="28"/>
      <c r="F470" s="64"/>
      <c r="G470" s="28"/>
    </row>
    <row r="471" customFormat="false" ht="15" hidden="false" customHeight="false" outlineLevel="0" collapsed="false">
      <c r="A471" s="63"/>
      <c r="B471" s="28"/>
      <c r="C471" s="28"/>
      <c r="D471" s="28"/>
      <c r="E471" s="28"/>
      <c r="F471" s="64"/>
      <c r="G471" s="28"/>
    </row>
    <row r="472" customFormat="false" ht="15" hidden="false" customHeight="false" outlineLevel="0" collapsed="false">
      <c r="A472" s="63"/>
      <c r="B472" s="28"/>
      <c r="C472" s="28"/>
      <c r="D472" s="28"/>
      <c r="E472" s="28"/>
      <c r="F472" s="64"/>
      <c r="G472" s="28"/>
    </row>
    <row r="473" customFormat="false" ht="15" hidden="false" customHeight="false" outlineLevel="0" collapsed="false">
      <c r="A473" s="63"/>
      <c r="B473" s="28"/>
      <c r="C473" s="28"/>
      <c r="D473" s="28"/>
      <c r="E473" s="28"/>
      <c r="F473" s="64"/>
      <c r="G473" s="28"/>
    </row>
    <row r="474" customFormat="false" ht="15" hidden="false" customHeight="false" outlineLevel="0" collapsed="false">
      <c r="A474" s="63"/>
      <c r="B474" s="28"/>
      <c r="C474" s="28"/>
      <c r="D474" s="28"/>
      <c r="E474" s="28"/>
      <c r="F474" s="64"/>
      <c r="G474" s="28"/>
    </row>
    <row r="475" customFormat="false" ht="15" hidden="false" customHeight="false" outlineLevel="0" collapsed="false">
      <c r="A475" s="63"/>
      <c r="B475" s="28"/>
      <c r="C475" s="28"/>
      <c r="D475" s="28"/>
      <c r="E475" s="28"/>
      <c r="F475" s="64"/>
      <c r="G475" s="28"/>
    </row>
    <row r="476" customFormat="false" ht="15" hidden="false" customHeight="false" outlineLevel="0" collapsed="false">
      <c r="A476" s="63"/>
      <c r="B476" s="28"/>
      <c r="C476" s="28"/>
      <c r="D476" s="28"/>
      <c r="E476" s="28"/>
      <c r="F476" s="64"/>
      <c r="G476" s="28"/>
    </row>
    <row r="477" customFormat="false" ht="15" hidden="false" customHeight="false" outlineLevel="0" collapsed="false">
      <c r="A477" s="63"/>
      <c r="B477" s="28"/>
      <c r="C477" s="28"/>
      <c r="D477" s="28"/>
      <c r="E477" s="28"/>
      <c r="F477" s="64"/>
      <c r="G477" s="28"/>
    </row>
    <row r="478" customFormat="false" ht="15" hidden="false" customHeight="false" outlineLevel="0" collapsed="false">
      <c r="A478" s="63"/>
      <c r="B478" s="28"/>
      <c r="C478" s="28"/>
      <c r="D478" s="28"/>
      <c r="E478" s="28"/>
      <c r="F478" s="64"/>
      <c r="G478" s="28"/>
    </row>
    <row r="479" customFormat="false" ht="15" hidden="false" customHeight="false" outlineLevel="0" collapsed="false">
      <c r="A479" s="63"/>
      <c r="B479" s="28"/>
      <c r="C479" s="28"/>
      <c r="D479" s="28"/>
      <c r="E479" s="28"/>
      <c r="F479" s="64"/>
      <c r="G479" s="28"/>
    </row>
    <row r="480" customFormat="false" ht="15" hidden="false" customHeight="false" outlineLevel="0" collapsed="false">
      <c r="A480" s="63"/>
      <c r="B480" s="28"/>
      <c r="C480" s="28"/>
      <c r="D480" s="28"/>
      <c r="E480" s="28"/>
      <c r="F480" s="64"/>
      <c r="G480" s="28"/>
    </row>
    <row r="481" customFormat="false" ht="15" hidden="false" customHeight="false" outlineLevel="0" collapsed="false">
      <c r="A481" s="63"/>
      <c r="B481" s="28"/>
      <c r="C481" s="28"/>
      <c r="D481" s="28"/>
      <c r="E481" s="28"/>
      <c r="F481" s="64"/>
      <c r="G481" s="28"/>
    </row>
    <row r="482" customFormat="false" ht="15" hidden="false" customHeight="false" outlineLevel="0" collapsed="false">
      <c r="A482" s="63"/>
      <c r="B482" s="28"/>
      <c r="C482" s="28"/>
      <c r="D482" s="28"/>
      <c r="E482" s="28"/>
      <c r="F482" s="64"/>
      <c r="G482" s="28"/>
    </row>
    <row r="483" customFormat="false" ht="15" hidden="false" customHeight="false" outlineLevel="0" collapsed="false">
      <c r="A483" s="63"/>
      <c r="B483" s="28"/>
      <c r="C483" s="28"/>
      <c r="D483" s="28"/>
      <c r="E483" s="28"/>
      <c r="F483" s="64"/>
      <c r="G483" s="28"/>
    </row>
    <row r="484" customFormat="false" ht="15" hidden="false" customHeight="false" outlineLevel="0" collapsed="false">
      <c r="A484" s="63"/>
      <c r="B484" s="28"/>
      <c r="C484" s="28"/>
      <c r="D484" s="28"/>
      <c r="E484" s="28"/>
      <c r="F484" s="64"/>
      <c r="G484" s="28"/>
    </row>
    <row r="485" customFormat="false" ht="15" hidden="false" customHeight="false" outlineLevel="0" collapsed="false">
      <c r="A485" s="63"/>
      <c r="B485" s="28"/>
      <c r="C485" s="28"/>
      <c r="D485" s="28"/>
      <c r="E485" s="28"/>
      <c r="F485" s="64"/>
      <c r="G485" s="28"/>
    </row>
    <row r="486" customFormat="false" ht="15" hidden="false" customHeight="false" outlineLevel="0" collapsed="false">
      <c r="A486" s="63"/>
      <c r="B486" s="28"/>
      <c r="C486" s="28"/>
      <c r="D486" s="28"/>
      <c r="E486" s="28"/>
      <c r="F486" s="64"/>
      <c r="G486" s="28"/>
    </row>
    <row r="487" customFormat="false" ht="15" hidden="false" customHeight="false" outlineLevel="0" collapsed="false">
      <c r="A487" s="63"/>
      <c r="B487" s="28"/>
      <c r="C487" s="28"/>
      <c r="D487" s="28"/>
      <c r="E487" s="28"/>
      <c r="F487" s="64"/>
      <c r="G487" s="28"/>
    </row>
    <row r="488" customFormat="false" ht="15" hidden="false" customHeight="false" outlineLevel="0" collapsed="false">
      <c r="A488" s="63"/>
      <c r="B488" s="28"/>
      <c r="C488" s="28"/>
      <c r="D488" s="28"/>
      <c r="E488" s="28"/>
      <c r="F488" s="64"/>
      <c r="G488" s="28"/>
    </row>
    <row r="489" customFormat="false" ht="15" hidden="false" customHeight="false" outlineLevel="0" collapsed="false">
      <c r="A489" s="63"/>
      <c r="B489" s="28"/>
      <c r="C489" s="28"/>
      <c r="D489" s="28"/>
      <c r="E489" s="28"/>
      <c r="F489" s="64"/>
      <c r="G489" s="28"/>
    </row>
    <row r="490" customFormat="false" ht="15" hidden="false" customHeight="false" outlineLevel="0" collapsed="false">
      <c r="A490" s="63"/>
      <c r="B490" s="28"/>
      <c r="C490" s="28"/>
      <c r="D490" s="28"/>
      <c r="E490" s="28"/>
      <c r="F490" s="64"/>
      <c r="G490" s="28"/>
    </row>
    <row r="491" customFormat="false" ht="15" hidden="false" customHeight="false" outlineLevel="0" collapsed="false">
      <c r="A491" s="63"/>
      <c r="B491" s="28"/>
      <c r="C491" s="28"/>
      <c r="D491" s="28"/>
      <c r="E491" s="28"/>
      <c r="F491" s="64"/>
      <c r="G491" s="28"/>
    </row>
    <row r="492" customFormat="false" ht="15" hidden="false" customHeight="false" outlineLevel="0" collapsed="false">
      <c r="A492" s="63"/>
      <c r="B492" s="28"/>
      <c r="C492" s="28"/>
      <c r="D492" s="28"/>
      <c r="E492" s="28"/>
      <c r="F492" s="64"/>
      <c r="G492" s="28"/>
    </row>
    <row r="493" customFormat="false" ht="15" hidden="false" customHeight="false" outlineLevel="0" collapsed="false">
      <c r="A493" s="63"/>
      <c r="B493" s="28"/>
      <c r="C493" s="28"/>
      <c r="D493" s="28"/>
      <c r="E493" s="28"/>
      <c r="F493" s="64"/>
      <c r="G493" s="28"/>
    </row>
    <row r="494" customFormat="false" ht="15" hidden="false" customHeight="false" outlineLevel="0" collapsed="false">
      <c r="A494" s="63"/>
      <c r="B494" s="28"/>
      <c r="C494" s="28"/>
      <c r="D494" s="28"/>
      <c r="E494" s="28"/>
      <c r="F494" s="64"/>
      <c r="G494" s="28"/>
    </row>
    <row r="495" customFormat="false" ht="15" hidden="false" customHeight="false" outlineLevel="0" collapsed="false">
      <c r="A495" s="63"/>
      <c r="B495" s="28"/>
      <c r="C495" s="28"/>
      <c r="D495" s="28"/>
      <c r="E495" s="28"/>
      <c r="F495" s="64"/>
      <c r="G495" s="28"/>
    </row>
    <row r="496" customFormat="false" ht="15" hidden="false" customHeight="false" outlineLevel="0" collapsed="false">
      <c r="A496" s="63"/>
      <c r="B496" s="28"/>
      <c r="C496" s="28"/>
      <c r="D496" s="28"/>
      <c r="E496" s="28"/>
      <c r="F496" s="64"/>
      <c r="G496" s="28"/>
    </row>
    <row r="497" customFormat="false" ht="15" hidden="false" customHeight="false" outlineLevel="0" collapsed="false">
      <c r="A497" s="63"/>
      <c r="B497" s="28"/>
      <c r="C497" s="28"/>
      <c r="D497" s="28"/>
      <c r="E497" s="28"/>
      <c r="F497" s="64"/>
      <c r="G497" s="28"/>
    </row>
    <row r="498" customFormat="false" ht="15" hidden="false" customHeight="false" outlineLevel="0" collapsed="false">
      <c r="A498" s="63"/>
      <c r="B498" s="28"/>
      <c r="C498" s="28"/>
      <c r="D498" s="28"/>
      <c r="E498" s="28"/>
      <c r="F498" s="64"/>
      <c r="G498" s="28"/>
    </row>
    <row r="499" customFormat="false" ht="15" hidden="false" customHeight="false" outlineLevel="0" collapsed="false">
      <c r="A499" s="63"/>
      <c r="B499" s="28"/>
      <c r="C499" s="28"/>
      <c r="D499" s="28"/>
      <c r="E499" s="28"/>
      <c r="F499" s="64"/>
      <c r="G499" s="28"/>
    </row>
    <row r="500" customFormat="false" ht="15" hidden="false" customHeight="false" outlineLevel="0" collapsed="false">
      <c r="A500" s="63"/>
      <c r="B500" s="28"/>
      <c r="C500" s="28"/>
      <c r="D500" s="28"/>
      <c r="E500" s="28"/>
      <c r="F500" s="64"/>
      <c r="G500" s="28"/>
    </row>
    <row r="501" customFormat="false" ht="15" hidden="false" customHeight="false" outlineLevel="0" collapsed="false">
      <c r="A501" s="63"/>
      <c r="B501" s="28"/>
      <c r="C501" s="28"/>
      <c r="D501" s="28"/>
      <c r="E501" s="28"/>
      <c r="F501" s="64"/>
      <c r="G501" s="28"/>
    </row>
    <row r="502" customFormat="false" ht="15" hidden="false" customHeight="false" outlineLevel="0" collapsed="false">
      <c r="A502" s="63"/>
      <c r="B502" s="28"/>
      <c r="C502" s="28"/>
      <c r="D502" s="28"/>
      <c r="E502" s="28"/>
      <c r="F502" s="64"/>
      <c r="G502" s="28"/>
    </row>
    <row r="503" customFormat="false" ht="15" hidden="false" customHeight="false" outlineLevel="0" collapsed="false">
      <c r="A503" s="63"/>
      <c r="B503" s="28"/>
      <c r="C503" s="28"/>
      <c r="D503" s="28"/>
      <c r="E503" s="28"/>
      <c r="F503" s="64"/>
      <c r="G503" s="28"/>
    </row>
    <row r="504" customFormat="false" ht="15" hidden="false" customHeight="false" outlineLevel="0" collapsed="false">
      <c r="A504" s="63"/>
      <c r="B504" s="28"/>
      <c r="C504" s="28"/>
      <c r="D504" s="28"/>
      <c r="E504" s="28"/>
      <c r="F504" s="64"/>
      <c r="G504" s="28"/>
    </row>
    <row r="505" customFormat="false" ht="15" hidden="false" customHeight="false" outlineLevel="0" collapsed="false">
      <c r="A505" s="63"/>
      <c r="B505" s="28"/>
      <c r="C505" s="28"/>
      <c r="D505" s="28"/>
      <c r="E505" s="28"/>
      <c r="F505" s="64"/>
      <c r="G505" s="28"/>
    </row>
    <row r="506" customFormat="false" ht="15" hidden="false" customHeight="false" outlineLevel="0" collapsed="false">
      <c r="A506" s="63"/>
      <c r="B506" s="28"/>
      <c r="C506" s="28"/>
      <c r="D506" s="28"/>
      <c r="E506" s="28"/>
      <c r="F506" s="64"/>
      <c r="G506" s="28"/>
    </row>
    <row r="507" customFormat="false" ht="15" hidden="false" customHeight="false" outlineLevel="0" collapsed="false">
      <c r="A507" s="63"/>
      <c r="B507" s="28"/>
      <c r="C507" s="28"/>
      <c r="D507" s="28"/>
      <c r="E507" s="28"/>
      <c r="F507" s="64"/>
      <c r="G507" s="28"/>
    </row>
    <row r="508" customFormat="false" ht="15" hidden="false" customHeight="false" outlineLevel="0" collapsed="false">
      <c r="A508" s="63"/>
      <c r="B508" s="28"/>
      <c r="C508" s="28"/>
      <c r="D508" s="28"/>
      <c r="E508" s="28"/>
      <c r="F508" s="64"/>
      <c r="G508" s="28"/>
    </row>
    <row r="509" customFormat="false" ht="15" hidden="false" customHeight="false" outlineLevel="0" collapsed="false">
      <c r="A509" s="63"/>
      <c r="B509" s="28"/>
      <c r="C509" s="28"/>
      <c r="D509" s="28"/>
      <c r="E509" s="28"/>
      <c r="F509" s="64"/>
      <c r="G509" s="28"/>
    </row>
    <row r="510" customFormat="false" ht="15" hidden="false" customHeight="false" outlineLevel="0" collapsed="false">
      <c r="A510" s="63"/>
      <c r="B510" s="28"/>
      <c r="C510" s="28"/>
      <c r="D510" s="28"/>
      <c r="E510" s="28"/>
      <c r="F510" s="64"/>
      <c r="G510" s="28"/>
    </row>
    <row r="511" customFormat="false" ht="15" hidden="false" customHeight="false" outlineLevel="0" collapsed="false">
      <c r="A511" s="63"/>
      <c r="B511" s="28"/>
      <c r="C511" s="28"/>
      <c r="D511" s="28"/>
      <c r="E511" s="28"/>
      <c r="F511" s="64"/>
      <c r="G511" s="28"/>
    </row>
    <row r="512" customFormat="false" ht="15" hidden="false" customHeight="false" outlineLevel="0" collapsed="false">
      <c r="A512" s="63"/>
      <c r="B512" s="28"/>
      <c r="C512" s="28"/>
      <c r="D512" s="28"/>
      <c r="E512" s="28"/>
      <c r="F512" s="64"/>
      <c r="G512" s="28"/>
    </row>
    <row r="513" customFormat="false" ht="15" hidden="false" customHeight="false" outlineLevel="0" collapsed="false">
      <c r="A513" s="63"/>
      <c r="B513" s="28"/>
      <c r="C513" s="28"/>
      <c r="D513" s="28"/>
      <c r="E513" s="28"/>
      <c r="F513" s="64"/>
      <c r="G513" s="28"/>
    </row>
    <row r="514" customFormat="false" ht="15" hidden="false" customHeight="false" outlineLevel="0" collapsed="false">
      <c r="A514" s="63"/>
      <c r="B514" s="28"/>
      <c r="C514" s="28"/>
      <c r="D514" s="28"/>
      <c r="E514" s="28"/>
      <c r="F514" s="64"/>
      <c r="G514" s="28"/>
    </row>
    <row r="515" customFormat="false" ht="15" hidden="false" customHeight="false" outlineLevel="0" collapsed="false">
      <c r="A515" s="63"/>
      <c r="B515" s="28"/>
      <c r="C515" s="28"/>
      <c r="D515" s="28"/>
      <c r="E515" s="28"/>
      <c r="F515" s="64"/>
      <c r="G515" s="28"/>
    </row>
    <row r="516" customFormat="false" ht="15" hidden="false" customHeight="false" outlineLevel="0" collapsed="false">
      <c r="A516" s="63"/>
      <c r="B516" s="28"/>
      <c r="C516" s="28"/>
      <c r="D516" s="28"/>
      <c r="E516" s="28"/>
      <c r="F516" s="64"/>
      <c r="G516" s="28"/>
    </row>
    <row r="517" customFormat="false" ht="15" hidden="false" customHeight="false" outlineLevel="0" collapsed="false">
      <c r="A517" s="63"/>
      <c r="B517" s="28"/>
      <c r="C517" s="28"/>
      <c r="D517" s="28"/>
      <c r="E517" s="28"/>
      <c r="F517" s="64"/>
      <c r="G517" s="28"/>
    </row>
    <row r="518" customFormat="false" ht="15" hidden="false" customHeight="false" outlineLevel="0" collapsed="false">
      <c r="A518" s="63"/>
      <c r="B518" s="28"/>
      <c r="C518" s="28"/>
      <c r="D518" s="28"/>
      <c r="E518" s="28"/>
      <c r="F518" s="64"/>
      <c r="G518" s="28"/>
    </row>
    <row r="519" customFormat="false" ht="15" hidden="false" customHeight="false" outlineLevel="0" collapsed="false">
      <c r="A519" s="63"/>
      <c r="B519" s="28"/>
      <c r="C519" s="28"/>
      <c r="D519" s="28"/>
      <c r="E519" s="28"/>
      <c r="F519" s="64"/>
      <c r="G519" s="28"/>
    </row>
    <row r="520" customFormat="false" ht="15" hidden="false" customHeight="false" outlineLevel="0" collapsed="false">
      <c r="A520" s="63"/>
      <c r="B520" s="28"/>
      <c r="C520" s="28"/>
      <c r="D520" s="28"/>
      <c r="E520" s="28"/>
      <c r="F520" s="64"/>
      <c r="G520" s="28"/>
    </row>
    <row r="521" customFormat="false" ht="15" hidden="false" customHeight="false" outlineLevel="0" collapsed="false">
      <c r="A521" s="63"/>
      <c r="B521" s="28"/>
      <c r="C521" s="28"/>
      <c r="D521" s="28"/>
      <c r="E521" s="28"/>
      <c r="F521" s="64"/>
      <c r="G521" s="28"/>
    </row>
    <row r="522" customFormat="false" ht="15" hidden="false" customHeight="false" outlineLevel="0" collapsed="false">
      <c r="A522" s="63"/>
      <c r="B522" s="28"/>
      <c r="C522" s="28"/>
      <c r="D522" s="28"/>
      <c r="E522" s="28"/>
      <c r="F522" s="64"/>
      <c r="G522" s="28"/>
    </row>
    <row r="523" customFormat="false" ht="15" hidden="false" customHeight="false" outlineLevel="0" collapsed="false">
      <c r="A523" s="63"/>
      <c r="B523" s="28"/>
      <c r="C523" s="28"/>
      <c r="D523" s="28"/>
      <c r="E523" s="28"/>
      <c r="F523" s="64"/>
      <c r="G523" s="28"/>
    </row>
    <row r="524" customFormat="false" ht="15" hidden="false" customHeight="false" outlineLevel="0" collapsed="false">
      <c r="A524" s="63"/>
      <c r="B524" s="28"/>
      <c r="C524" s="28"/>
      <c r="D524" s="28"/>
      <c r="E524" s="28"/>
      <c r="F524" s="64"/>
      <c r="G524" s="28"/>
    </row>
    <row r="525" customFormat="false" ht="15" hidden="false" customHeight="false" outlineLevel="0" collapsed="false">
      <c r="A525" s="63"/>
      <c r="B525" s="28"/>
      <c r="C525" s="28"/>
      <c r="D525" s="28"/>
      <c r="E525" s="28"/>
      <c r="F525" s="64"/>
      <c r="G525" s="28"/>
    </row>
    <row r="526" customFormat="false" ht="15" hidden="false" customHeight="false" outlineLevel="0" collapsed="false">
      <c r="A526" s="63"/>
      <c r="B526" s="28"/>
      <c r="C526" s="28"/>
      <c r="D526" s="28"/>
      <c r="E526" s="28"/>
      <c r="F526" s="64"/>
      <c r="G526" s="28"/>
    </row>
    <row r="527" customFormat="false" ht="15" hidden="false" customHeight="false" outlineLevel="0" collapsed="false">
      <c r="A527" s="63"/>
      <c r="B527" s="28"/>
      <c r="C527" s="28"/>
      <c r="D527" s="28"/>
      <c r="E527" s="28"/>
      <c r="F527" s="64"/>
      <c r="G527" s="28"/>
    </row>
    <row r="528" customFormat="false" ht="15" hidden="false" customHeight="false" outlineLevel="0" collapsed="false">
      <c r="A528" s="63"/>
      <c r="B528" s="28"/>
      <c r="C528" s="28"/>
      <c r="D528" s="28"/>
      <c r="E528" s="28"/>
      <c r="F528" s="64"/>
      <c r="G528" s="28"/>
    </row>
    <row r="529" customFormat="false" ht="15" hidden="false" customHeight="false" outlineLevel="0" collapsed="false">
      <c r="A529" s="63"/>
      <c r="B529" s="28"/>
      <c r="C529" s="28"/>
      <c r="D529" s="28"/>
      <c r="E529" s="28"/>
      <c r="F529" s="64"/>
      <c r="G529" s="28"/>
    </row>
    <row r="530" customFormat="false" ht="15" hidden="false" customHeight="false" outlineLevel="0" collapsed="false">
      <c r="A530" s="63"/>
      <c r="B530" s="28"/>
      <c r="C530" s="28"/>
      <c r="D530" s="28"/>
      <c r="E530" s="28"/>
      <c r="F530" s="64"/>
      <c r="G530" s="28"/>
    </row>
    <row r="531" customFormat="false" ht="15" hidden="false" customHeight="false" outlineLevel="0" collapsed="false">
      <c r="A531" s="63"/>
      <c r="B531" s="28"/>
      <c r="C531" s="28"/>
      <c r="D531" s="28"/>
      <c r="E531" s="28"/>
      <c r="F531" s="64"/>
      <c r="G531" s="28"/>
    </row>
    <row r="532" customFormat="false" ht="15" hidden="false" customHeight="false" outlineLevel="0" collapsed="false">
      <c r="A532" s="63"/>
      <c r="B532" s="28"/>
      <c r="C532" s="28"/>
      <c r="D532" s="28"/>
      <c r="E532" s="28"/>
      <c r="F532" s="64"/>
      <c r="G532" s="28"/>
    </row>
    <row r="533" customFormat="false" ht="15" hidden="false" customHeight="false" outlineLevel="0" collapsed="false">
      <c r="A533" s="63"/>
      <c r="B533" s="28"/>
      <c r="C533" s="28"/>
      <c r="D533" s="28"/>
      <c r="E533" s="28"/>
      <c r="F533" s="64"/>
      <c r="G533" s="28"/>
    </row>
    <row r="534" customFormat="false" ht="15" hidden="false" customHeight="false" outlineLevel="0" collapsed="false">
      <c r="A534" s="63"/>
      <c r="B534" s="28"/>
      <c r="C534" s="28"/>
      <c r="D534" s="28"/>
      <c r="E534" s="28"/>
      <c r="F534" s="64"/>
      <c r="G534" s="28"/>
    </row>
    <row r="535" customFormat="false" ht="15" hidden="false" customHeight="false" outlineLevel="0" collapsed="false">
      <c r="A535" s="63"/>
      <c r="B535" s="28"/>
      <c r="C535" s="28"/>
      <c r="D535" s="28"/>
      <c r="E535" s="28"/>
      <c r="F535" s="64"/>
      <c r="G535" s="28"/>
    </row>
    <row r="536" customFormat="false" ht="15" hidden="false" customHeight="false" outlineLevel="0" collapsed="false">
      <c r="A536" s="63"/>
      <c r="B536" s="28"/>
      <c r="C536" s="28"/>
      <c r="D536" s="28"/>
      <c r="E536" s="28"/>
      <c r="F536" s="64"/>
      <c r="G536" s="28"/>
    </row>
    <row r="537" customFormat="false" ht="15" hidden="false" customHeight="false" outlineLevel="0" collapsed="false">
      <c r="A537" s="63"/>
      <c r="B537" s="28"/>
      <c r="C537" s="28"/>
      <c r="D537" s="28"/>
      <c r="E537" s="28"/>
      <c r="F537" s="64"/>
      <c r="G537" s="28"/>
    </row>
    <row r="538" customFormat="false" ht="15" hidden="false" customHeight="false" outlineLevel="0" collapsed="false">
      <c r="A538" s="63"/>
      <c r="B538" s="28"/>
      <c r="C538" s="28"/>
      <c r="D538" s="28"/>
      <c r="E538" s="28"/>
      <c r="F538" s="64"/>
      <c r="G538" s="28"/>
    </row>
    <row r="539" customFormat="false" ht="15" hidden="false" customHeight="false" outlineLevel="0" collapsed="false">
      <c r="A539" s="63"/>
      <c r="B539" s="28"/>
      <c r="C539" s="28"/>
      <c r="D539" s="28"/>
      <c r="E539" s="28"/>
      <c r="F539" s="64"/>
      <c r="G539" s="28"/>
    </row>
    <row r="540" customFormat="false" ht="15" hidden="false" customHeight="false" outlineLevel="0" collapsed="false">
      <c r="A540" s="63"/>
      <c r="B540" s="28"/>
      <c r="C540" s="28"/>
      <c r="D540" s="28"/>
      <c r="E540" s="28"/>
      <c r="F540" s="64"/>
      <c r="G540" s="28"/>
    </row>
    <row r="541" customFormat="false" ht="15" hidden="false" customHeight="false" outlineLevel="0" collapsed="false">
      <c r="A541" s="63"/>
      <c r="B541" s="28"/>
      <c r="C541" s="28"/>
      <c r="D541" s="28"/>
      <c r="E541" s="28"/>
      <c r="F541" s="64"/>
      <c r="G541" s="28"/>
    </row>
    <row r="542" customFormat="false" ht="15" hidden="false" customHeight="false" outlineLevel="0" collapsed="false">
      <c r="A542" s="63"/>
      <c r="B542" s="28"/>
      <c r="C542" s="28"/>
      <c r="D542" s="28"/>
      <c r="E542" s="28"/>
      <c r="F542" s="64"/>
      <c r="G542" s="28"/>
    </row>
    <row r="543" customFormat="false" ht="15" hidden="false" customHeight="false" outlineLevel="0" collapsed="false">
      <c r="A543" s="63"/>
      <c r="B543" s="28"/>
      <c r="C543" s="28"/>
      <c r="D543" s="28"/>
      <c r="E543" s="28"/>
      <c r="F543" s="64"/>
      <c r="G543" s="28"/>
    </row>
    <row r="544" customFormat="false" ht="15" hidden="false" customHeight="false" outlineLevel="0" collapsed="false">
      <c r="A544" s="63"/>
      <c r="B544" s="28"/>
      <c r="C544" s="28"/>
      <c r="D544" s="28"/>
      <c r="E544" s="28"/>
      <c r="F544" s="64"/>
      <c r="G544" s="28"/>
    </row>
    <row r="545" customFormat="false" ht="15" hidden="false" customHeight="false" outlineLevel="0" collapsed="false">
      <c r="A545" s="63"/>
      <c r="B545" s="28"/>
      <c r="C545" s="28"/>
      <c r="D545" s="28"/>
      <c r="E545" s="28"/>
      <c r="F545" s="64"/>
      <c r="G545" s="28"/>
    </row>
    <row r="546" customFormat="false" ht="15" hidden="false" customHeight="false" outlineLevel="0" collapsed="false">
      <c r="A546" s="63"/>
      <c r="B546" s="28"/>
      <c r="C546" s="28"/>
      <c r="D546" s="28"/>
      <c r="E546" s="28"/>
      <c r="F546" s="64"/>
      <c r="G546" s="28"/>
    </row>
    <row r="547" customFormat="false" ht="15" hidden="false" customHeight="false" outlineLevel="0" collapsed="false">
      <c r="A547" s="63"/>
      <c r="B547" s="28"/>
      <c r="C547" s="28"/>
      <c r="D547" s="28"/>
      <c r="E547" s="28"/>
      <c r="F547" s="64"/>
      <c r="G547" s="28"/>
    </row>
    <row r="548" customFormat="false" ht="15" hidden="false" customHeight="false" outlineLevel="0" collapsed="false">
      <c r="A548" s="63"/>
      <c r="B548" s="28"/>
      <c r="C548" s="28"/>
      <c r="D548" s="28"/>
      <c r="E548" s="28"/>
      <c r="F548" s="64"/>
      <c r="G548" s="28"/>
    </row>
    <row r="549" customFormat="false" ht="15" hidden="false" customHeight="false" outlineLevel="0" collapsed="false">
      <c r="A549" s="63"/>
      <c r="B549" s="28"/>
      <c r="C549" s="28"/>
      <c r="D549" s="28"/>
      <c r="E549" s="28"/>
      <c r="F549" s="64"/>
      <c r="G549" s="28"/>
    </row>
    <row r="550" customFormat="false" ht="15" hidden="false" customHeight="false" outlineLevel="0" collapsed="false">
      <c r="A550" s="63"/>
      <c r="B550" s="28"/>
      <c r="C550" s="28"/>
      <c r="D550" s="28"/>
      <c r="E550" s="28"/>
      <c r="F550" s="64"/>
      <c r="G550" s="28"/>
    </row>
    <row r="551" customFormat="false" ht="15" hidden="false" customHeight="false" outlineLevel="0" collapsed="false">
      <c r="A551" s="63"/>
      <c r="B551" s="28"/>
      <c r="C551" s="28"/>
      <c r="D551" s="28"/>
      <c r="E551" s="28"/>
      <c r="F551" s="64"/>
      <c r="G551" s="28"/>
    </row>
    <row r="552" customFormat="false" ht="15" hidden="false" customHeight="false" outlineLevel="0" collapsed="false">
      <c r="A552" s="63"/>
      <c r="B552" s="28"/>
      <c r="C552" s="28"/>
      <c r="D552" s="28"/>
      <c r="E552" s="28"/>
      <c r="F552" s="64"/>
      <c r="G552" s="28"/>
    </row>
    <row r="553" customFormat="false" ht="15" hidden="false" customHeight="false" outlineLevel="0" collapsed="false">
      <c r="A553" s="63"/>
      <c r="B553" s="28"/>
      <c r="C553" s="28"/>
      <c r="D553" s="28"/>
      <c r="E553" s="28"/>
      <c r="F553" s="64"/>
      <c r="G553" s="28"/>
    </row>
    <row r="554" customFormat="false" ht="15" hidden="false" customHeight="false" outlineLevel="0" collapsed="false">
      <c r="A554" s="63"/>
      <c r="B554" s="28"/>
      <c r="C554" s="28"/>
      <c r="D554" s="28"/>
      <c r="E554" s="28"/>
      <c r="F554" s="64"/>
      <c r="G554" s="28"/>
    </row>
    <row r="555" customFormat="false" ht="15" hidden="false" customHeight="false" outlineLevel="0" collapsed="false">
      <c r="A555" s="63"/>
      <c r="B555" s="28"/>
      <c r="C555" s="28"/>
      <c r="D555" s="28"/>
      <c r="E555" s="28"/>
      <c r="F555" s="64"/>
      <c r="G555" s="28"/>
    </row>
    <row r="556" customFormat="false" ht="15" hidden="false" customHeight="false" outlineLevel="0" collapsed="false">
      <c r="A556" s="63"/>
      <c r="B556" s="28"/>
      <c r="C556" s="28"/>
      <c r="D556" s="28"/>
      <c r="E556" s="28"/>
      <c r="F556" s="64"/>
      <c r="G556" s="28"/>
    </row>
    <row r="557" customFormat="false" ht="15" hidden="false" customHeight="false" outlineLevel="0" collapsed="false">
      <c r="A557" s="63"/>
      <c r="B557" s="28"/>
      <c r="C557" s="28"/>
      <c r="D557" s="28"/>
      <c r="E557" s="28"/>
      <c r="F557" s="64"/>
      <c r="G557" s="28"/>
    </row>
    <row r="558" customFormat="false" ht="15" hidden="false" customHeight="false" outlineLevel="0" collapsed="false">
      <c r="A558" s="63"/>
      <c r="B558" s="28"/>
      <c r="C558" s="28"/>
      <c r="D558" s="28"/>
      <c r="E558" s="28"/>
      <c r="F558" s="64"/>
      <c r="G558" s="28"/>
    </row>
    <row r="559" customFormat="false" ht="15" hidden="false" customHeight="false" outlineLevel="0" collapsed="false">
      <c r="A559" s="63"/>
      <c r="B559" s="28"/>
      <c r="C559" s="28"/>
      <c r="D559" s="28"/>
      <c r="E559" s="28"/>
      <c r="F559" s="64"/>
      <c r="G559" s="28"/>
    </row>
    <row r="560" customFormat="false" ht="15" hidden="false" customHeight="false" outlineLevel="0" collapsed="false">
      <c r="A560" s="63"/>
      <c r="B560" s="28"/>
      <c r="C560" s="28"/>
      <c r="D560" s="28"/>
      <c r="E560" s="28"/>
      <c r="F560" s="64"/>
      <c r="G560" s="28"/>
    </row>
    <row r="561" customFormat="false" ht="15" hidden="false" customHeight="false" outlineLevel="0" collapsed="false">
      <c r="A561" s="63"/>
      <c r="B561" s="28"/>
      <c r="C561" s="28"/>
      <c r="D561" s="28"/>
      <c r="E561" s="28"/>
      <c r="F561" s="64"/>
      <c r="G561" s="28"/>
    </row>
    <row r="562" customFormat="false" ht="15" hidden="false" customHeight="false" outlineLevel="0" collapsed="false">
      <c r="A562" s="63"/>
      <c r="B562" s="28"/>
      <c r="C562" s="28"/>
      <c r="D562" s="28"/>
      <c r="E562" s="28"/>
      <c r="F562" s="64"/>
      <c r="G562" s="28"/>
    </row>
    <row r="563" customFormat="false" ht="15" hidden="false" customHeight="false" outlineLevel="0" collapsed="false">
      <c r="A563" s="63"/>
      <c r="B563" s="28"/>
      <c r="C563" s="28"/>
      <c r="D563" s="28"/>
      <c r="E563" s="28"/>
      <c r="F563" s="64"/>
      <c r="G563" s="28"/>
    </row>
    <row r="564" customFormat="false" ht="15" hidden="false" customHeight="false" outlineLevel="0" collapsed="false">
      <c r="A564" s="63"/>
      <c r="B564" s="28"/>
      <c r="C564" s="28"/>
      <c r="D564" s="28"/>
      <c r="E564" s="28"/>
      <c r="F564" s="64"/>
      <c r="G564" s="28"/>
    </row>
    <row r="565" customFormat="false" ht="15" hidden="false" customHeight="false" outlineLevel="0" collapsed="false">
      <c r="A565" s="63"/>
      <c r="B565" s="28"/>
      <c r="C565" s="28"/>
      <c r="D565" s="28"/>
      <c r="E565" s="28"/>
      <c r="F565" s="64"/>
      <c r="G565" s="28"/>
    </row>
    <row r="566" customFormat="false" ht="15" hidden="false" customHeight="false" outlineLevel="0" collapsed="false">
      <c r="A566" s="63"/>
      <c r="B566" s="28"/>
      <c r="C566" s="28"/>
      <c r="D566" s="28"/>
      <c r="E566" s="28"/>
      <c r="F566" s="64"/>
      <c r="G566" s="28"/>
    </row>
    <row r="567" customFormat="false" ht="15" hidden="false" customHeight="false" outlineLevel="0" collapsed="false">
      <c r="A567" s="63"/>
      <c r="B567" s="28"/>
      <c r="C567" s="28"/>
      <c r="D567" s="28"/>
      <c r="E567" s="28"/>
      <c r="F567" s="64"/>
      <c r="G567" s="28"/>
    </row>
    <row r="568" customFormat="false" ht="15" hidden="false" customHeight="false" outlineLevel="0" collapsed="false">
      <c r="A568" s="63"/>
      <c r="B568" s="28"/>
      <c r="C568" s="28"/>
      <c r="D568" s="28"/>
      <c r="E568" s="28"/>
      <c r="F568" s="64"/>
      <c r="G568" s="28"/>
    </row>
    <row r="569" customFormat="false" ht="15" hidden="false" customHeight="false" outlineLevel="0" collapsed="false">
      <c r="A569" s="63"/>
      <c r="B569" s="28"/>
      <c r="C569" s="28"/>
      <c r="D569" s="28"/>
      <c r="E569" s="28"/>
      <c r="F569" s="64"/>
      <c r="G569" s="28"/>
    </row>
    <row r="570" customFormat="false" ht="15" hidden="false" customHeight="false" outlineLevel="0" collapsed="false">
      <c r="A570" s="63"/>
      <c r="B570" s="28"/>
      <c r="C570" s="28"/>
      <c r="D570" s="28"/>
      <c r="E570" s="28"/>
      <c r="F570" s="64"/>
      <c r="G570" s="28"/>
    </row>
    <row r="571" customFormat="false" ht="15" hidden="false" customHeight="false" outlineLevel="0" collapsed="false">
      <c r="A571" s="63"/>
      <c r="B571" s="28"/>
      <c r="C571" s="28"/>
      <c r="D571" s="28"/>
      <c r="E571" s="28"/>
      <c r="F571" s="64"/>
      <c r="G571" s="28"/>
    </row>
    <row r="572" customFormat="false" ht="15" hidden="false" customHeight="false" outlineLevel="0" collapsed="false">
      <c r="A572" s="63"/>
      <c r="B572" s="28"/>
      <c r="C572" s="28"/>
      <c r="D572" s="28"/>
      <c r="E572" s="28"/>
      <c r="F572" s="64"/>
      <c r="G572" s="28"/>
    </row>
    <row r="573" customFormat="false" ht="15" hidden="false" customHeight="false" outlineLevel="0" collapsed="false">
      <c r="A573" s="63"/>
      <c r="B573" s="28"/>
      <c r="C573" s="28"/>
      <c r="D573" s="28"/>
      <c r="E573" s="28"/>
      <c r="F573" s="64"/>
      <c r="G573" s="28"/>
    </row>
    <row r="574" customFormat="false" ht="15" hidden="false" customHeight="false" outlineLevel="0" collapsed="false">
      <c r="A574" s="63"/>
      <c r="B574" s="28"/>
      <c r="C574" s="28"/>
      <c r="D574" s="28"/>
      <c r="E574" s="28"/>
      <c r="F574" s="64"/>
      <c r="G574" s="28"/>
    </row>
    <row r="575" customFormat="false" ht="15" hidden="false" customHeight="false" outlineLevel="0" collapsed="false">
      <c r="A575" s="63"/>
      <c r="B575" s="28"/>
      <c r="C575" s="28"/>
      <c r="D575" s="28"/>
      <c r="E575" s="28"/>
      <c r="F575" s="64"/>
      <c r="G575" s="28"/>
    </row>
    <row r="576" customFormat="false" ht="15" hidden="false" customHeight="false" outlineLevel="0" collapsed="false">
      <c r="A576" s="63"/>
      <c r="B576" s="28"/>
      <c r="C576" s="28"/>
      <c r="D576" s="28"/>
      <c r="E576" s="28"/>
      <c r="F576" s="64"/>
      <c r="G576" s="28"/>
    </row>
    <row r="577" customFormat="false" ht="15" hidden="false" customHeight="false" outlineLevel="0" collapsed="false">
      <c r="A577" s="63"/>
      <c r="B577" s="28"/>
      <c r="C577" s="28"/>
      <c r="D577" s="28"/>
      <c r="E577" s="28"/>
      <c r="F577" s="64"/>
      <c r="G577" s="28"/>
    </row>
    <row r="578" customFormat="false" ht="15" hidden="false" customHeight="false" outlineLevel="0" collapsed="false">
      <c r="A578" s="63"/>
      <c r="B578" s="28"/>
      <c r="C578" s="28"/>
      <c r="D578" s="28"/>
      <c r="E578" s="28"/>
      <c r="F578" s="64"/>
      <c r="G578" s="28"/>
    </row>
    <row r="579" customFormat="false" ht="15" hidden="false" customHeight="false" outlineLevel="0" collapsed="false">
      <c r="A579" s="63"/>
      <c r="B579" s="28"/>
      <c r="C579" s="28"/>
      <c r="D579" s="28"/>
      <c r="E579" s="28"/>
      <c r="F579" s="64"/>
      <c r="G579" s="28"/>
    </row>
    <row r="580" customFormat="false" ht="15" hidden="false" customHeight="false" outlineLevel="0" collapsed="false">
      <c r="A580" s="63"/>
      <c r="B580" s="28"/>
      <c r="C580" s="28"/>
      <c r="D580" s="28"/>
      <c r="E580" s="28"/>
      <c r="F580" s="64"/>
      <c r="G580" s="28"/>
    </row>
    <row r="581" customFormat="false" ht="15" hidden="false" customHeight="false" outlineLevel="0" collapsed="false">
      <c r="A581" s="63"/>
      <c r="B581" s="28"/>
      <c r="C581" s="28"/>
      <c r="D581" s="28"/>
      <c r="E581" s="28"/>
      <c r="F581" s="64"/>
      <c r="G581" s="28"/>
    </row>
    <row r="582" customFormat="false" ht="15" hidden="false" customHeight="false" outlineLevel="0" collapsed="false">
      <c r="A582" s="63"/>
      <c r="B582" s="28"/>
      <c r="C582" s="28"/>
      <c r="D582" s="28"/>
      <c r="E582" s="28"/>
      <c r="F582" s="64"/>
      <c r="G582" s="28"/>
    </row>
    <row r="583" customFormat="false" ht="15" hidden="false" customHeight="false" outlineLevel="0" collapsed="false">
      <c r="A583" s="63"/>
      <c r="B583" s="28"/>
      <c r="C583" s="28"/>
      <c r="D583" s="28"/>
      <c r="E583" s="28"/>
      <c r="F583" s="64"/>
      <c r="G583" s="28"/>
    </row>
    <row r="584" customFormat="false" ht="15" hidden="false" customHeight="false" outlineLevel="0" collapsed="false">
      <c r="A584" s="63"/>
      <c r="B584" s="28"/>
      <c r="C584" s="28"/>
      <c r="D584" s="28"/>
      <c r="E584" s="28"/>
      <c r="F584" s="64"/>
      <c r="G584" s="28"/>
    </row>
    <row r="585" customFormat="false" ht="15" hidden="false" customHeight="false" outlineLevel="0" collapsed="false">
      <c r="A585" s="63"/>
      <c r="B585" s="28"/>
      <c r="C585" s="28"/>
      <c r="D585" s="28"/>
      <c r="E585" s="28"/>
      <c r="F585" s="64"/>
      <c r="G585" s="28"/>
    </row>
    <row r="586" customFormat="false" ht="15" hidden="false" customHeight="false" outlineLevel="0" collapsed="false">
      <c r="A586" s="63"/>
      <c r="B586" s="28"/>
      <c r="C586" s="28"/>
      <c r="D586" s="28"/>
      <c r="E586" s="28"/>
      <c r="F586" s="64"/>
      <c r="G586" s="28"/>
    </row>
    <row r="587" customFormat="false" ht="15" hidden="false" customHeight="false" outlineLevel="0" collapsed="false">
      <c r="A587" s="63"/>
      <c r="B587" s="28"/>
      <c r="C587" s="28"/>
      <c r="D587" s="28"/>
      <c r="E587" s="28"/>
      <c r="F587" s="64"/>
      <c r="G587" s="28"/>
    </row>
    <row r="588" customFormat="false" ht="15" hidden="false" customHeight="false" outlineLevel="0" collapsed="false">
      <c r="A588" s="63"/>
      <c r="B588" s="28"/>
      <c r="C588" s="28"/>
      <c r="D588" s="28"/>
      <c r="E588" s="28"/>
      <c r="F588" s="64"/>
      <c r="G588" s="28"/>
    </row>
    <row r="589" customFormat="false" ht="15" hidden="false" customHeight="false" outlineLevel="0" collapsed="false">
      <c r="A589" s="63"/>
      <c r="B589" s="28"/>
      <c r="C589" s="28"/>
      <c r="D589" s="28"/>
      <c r="E589" s="28"/>
      <c r="F589" s="64"/>
      <c r="G589" s="28"/>
    </row>
    <row r="590" customFormat="false" ht="15" hidden="false" customHeight="false" outlineLevel="0" collapsed="false">
      <c r="A590" s="63"/>
      <c r="B590" s="28"/>
      <c r="C590" s="28"/>
      <c r="D590" s="28"/>
      <c r="E590" s="28"/>
      <c r="F590" s="64"/>
      <c r="G590" s="28"/>
    </row>
    <row r="591" customFormat="false" ht="15" hidden="false" customHeight="false" outlineLevel="0" collapsed="false">
      <c r="A591" s="63"/>
      <c r="B591" s="28"/>
      <c r="C591" s="28"/>
      <c r="D591" s="28"/>
      <c r="E591" s="28"/>
      <c r="F591" s="64"/>
      <c r="G591" s="28"/>
    </row>
    <row r="592" customFormat="false" ht="15" hidden="false" customHeight="false" outlineLevel="0" collapsed="false">
      <c r="A592" s="63"/>
      <c r="B592" s="28"/>
      <c r="C592" s="28"/>
      <c r="D592" s="28"/>
      <c r="E592" s="28"/>
      <c r="F592" s="64"/>
      <c r="G592" s="28"/>
    </row>
    <row r="593" customFormat="false" ht="15" hidden="false" customHeight="false" outlineLevel="0" collapsed="false">
      <c r="A593" s="63"/>
      <c r="B593" s="28"/>
      <c r="C593" s="28"/>
      <c r="D593" s="28"/>
      <c r="E593" s="28"/>
      <c r="F593" s="64"/>
      <c r="G593" s="28"/>
    </row>
    <row r="594" customFormat="false" ht="15" hidden="false" customHeight="false" outlineLevel="0" collapsed="false">
      <c r="A594" s="63"/>
      <c r="B594" s="28"/>
      <c r="C594" s="28"/>
      <c r="D594" s="28"/>
      <c r="E594" s="28"/>
      <c r="F594" s="64"/>
      <c r="G594" s="28"/>
    </row>
    <row r="595" customFormat="false" ht="15" hidden="false" customHeight="false" outlineLevel="0" collapsed="false">
      <c r="A595" s="63"/>
      <c r="B595" s="28"/>
      <c r="C595" s="28"/>
      <c r="D595" s="28"/>
      <c r="E595" s="28"/>
      <c r="F595" s="64"/>
      <c r="G595" s="28"/>
    </row>
    <row r="596" customFormat="false" ht="15" hidden="false" customHeight="false" outlineLevel="0" collapsed="false">
      <c r="A596" s="63"/>
      <c r="B596" s="28"/>
      <c r="C596" s="28"/>
      <c r="D596" s="28"/>
      <c r="E596" s="28"/>
      <c r="F596" s="64"/>
      <c r="G596" s="28"/>
    </row>
    <row r="597" customFormat="false" ht="15" hidden="false" customHeight="false" outlineLevel="0" collapsed="false">
      <c r="A597" s="63"/>
      <c r="B597" s="28"/>
      <c r="C597" s="28"/>
      <c r="D597" s="28"/>
      <c r="E597" s="28"/>
      <c r="F597" s="64"/>
      <c r="G597" s="28"/>
    </row>
    <row r="598" customFormat="false" ht="15" hidden="false" customHeight="false" outlineLevel="0" collapsed="false">
      <c r="A598" s="63"/>
      <c r="B598" s="28"/>
      <c r="C598" s="28"/>
      <c r="D598" s="28"/>
      <c r="E598" s="28"/>
      <c r="F598" s="64"/>
      <c r="G598" s="28"/>
    </row>
    <row r="599" customFormat="false" ht="15" hidden="false" customHeight="false" outlineLevel="0" collapsed="false">
      <c r="A599" s="63"/>
      <c r="B599" s="28"/>
      <c r="C599" s="28"/>
      <c r="D599" s="28"/>
      <c r="E599" s="28"/>
      <c r="F599" s="64"/>
      <c r="G599" s="28"/>
    </row>
    <row r="600" customFormat="false" ht="15" hidden="false" customHeight="false" outlineLevel="0" collapsed="false">
      <c r="A600" s="63"/>
      <c r="B600" s="28"/>
      <c r="C600" s="28"/>
      <c r="D600" s="28"/>
      <c r="E600" s="28"/>
      <c r="F600" s="64"/>
      <c r="G600" s="28"/>
    </row>
    <row r="601" customFormat="false" ht="15" hidden="false" customHeight="false" outlineLevel="0" collapsed="false">
      <c r="A601" s="63"/>
      <c r="B601" s="28"/>
      <c r="C601" s="28"/>
      <c r="D601" s="28"/>
      <c r="E601" s="28"/>
      <c r="F601" s="64"/>
      <c r="G601" s="28"/>
    </row>
    <row r="602" customFormat="false" ht="15" hidden="false" customHeight="false" outlineLevel="0" collapsed="false">
      <c r="A602" s="63"/>
      <c r="B602" s="28"/>
      <c r="C602" s="28"/>
      <c r="D602" s="28"/>
      <c r="E602" s="28"/>
      <c r="F602" s="64"/>
      <c r="G602" s="28"/>
    </row>
    <row r="603" customFormat="false" ht="15" hidden="false" customHeight="false" outlineLevel="0" collapsed="false">
      <c r="A603" s="63"/>
      <c r="B603" s="28"/>
      <c r="C603" s="28"/>
      <c r="D603" s="28"/>
      <c r="E603" s="28"/>
      <c r="F603" s="64"/>
      <c r="G603" s="28"/>
    </row>
    <row r="604" customFormat="false" ht="15" hidden="false" customHeight="false" outlineLevel="0" collapsed="false">
      <c r="A604" s="63"/>
      <c r="B604" s="28"/>
      <c r="C604" s="28"/>
      <c r="D604" s="28"/>
      <c r="E604" s="28"/>
      <c r="F604" s="64"/>
      <c r="G604" s="28"/>
    </row>
    <row r="605" customFormat="false" ht="15" hidden="false" customHeight="false" outlineLevel="0" collapsed="false">
      <c r="A605" s="63"/>
      <c r="B605" s="28"/>
      <c r="C605" s="28"/>
      <c r="D605" s="28"/>
      <c r="E605" s="28"/>
      <c r="F605" s="64"/>
      <c r="G605" s="28"/>
    </row>
    <row r="606" customFormat="false" ht="15" hidden="false" customHeight="false" outlineLevel="0" collapsed="false">
      <c r="A606" s="63"/>
      <c r="B606" s="28"/>
      <c r="C606" s="28"/>
      <c r="D606" s="28"/>
      <c r="E606" s="28"/>
      <c r="F606" s="64"/>
      <c r="G606" s="28"/>
    </row>
    <row r="607" customFormat="false" ht="15" hidden="false" customHeight="false" outlineLevel="0" collapsed="false">
      <c r="A607" s="63"/>
      <c r="B607" s="28"/>
      <c r="C607" s="28"/>
      <c r="D607" s="28"/>
      <c r="E607" s="28"/>
      <c r="F607" s="64"/>
      <c r="G607" s="28"/>
    </row>
    <row r="608" customFormat="false" ht="15" hidden="false" customHeight="false" outlineLevel="0" collapsed="false">
      <c r="A608" s="63"/>
      <c r="B608" s="28"/>
      <c r="C608" s="28"/>
      <c r="D608" s="28"/>
      <c r="E608" s="28"/>
      <c r="F608" s="64"/>
      <c r="G608" s="28"/>
    </row>
    <row r="609" customFormat="false" ht="15" hidden="false" customHeight="false" outlineLevel="0" collapsed="false">
      <c r="A609" s="63"/>
      <c r="B609" s="28"/>
      <c r="C609" s="28"/>
      <c r="D609" s="28"/>
      <c r="E609" s="28"/>
      <c r="F609" s="64"/>
      <c r="G609" s="28"/>
    </row>
    <row r="610" customFormat="false" ht="15" hidden="false" customHeight="false" outlineLevel="0" collapsed="false">
      <c r="A610" s="63"/>
      <c r="B610" s="28"/>
      <c r="C610" s="28"/>
      <c r="D610" s="28"/>
      <c r="E610" s="28"/>
      <c r="F610" s="64"/>
      <c r="G610" s="28"/>
    </row>
    <row r="611" customFormat="false" ht="15" hidden="false" customHeight="false" outlineLevel="0" collapsed="false">
      <c r="A611" s="63"/>
      <c r="B611" s="28"/>
      <c r="C611" s="28"/>
      <c r="D611" s="28"/>
      <c r="E611" s="28"/>
      <c r="F611" s="64"/>
      <c r="G611" s="28"/>
    </row>
    <row r="612" customFormat="false" ht="15" hidden="false" customHeight="false" outlineLevel="0" collapsed="false">
      <c r="A612" s="63"/>
      <c r="B612" s="28"/>
      <c r="C612" s="28"/>
      <c r="D612" s="28"/>
      <c r="E612" s="28"/>
      <c r="F612" s="64"/>
      <c r="G612" s="28"/>
    </row>
    <row r="613" customFormat="false" ht="15" hidden="false" customHeight="false" outlineLevel="0" collapsed="false">
      <c r="A613" s="63"/>
      <c r="B613" s="28"/>
      <c r="C613" s="28"/>
      <c r="D613" s="28"/>
      <c r="E613" s="28"/>
      <c r="F613" s="64"/>
      <c r="G613" s="28"/>
    </row>
    <row r="614" customFormat="false" ht="15" hidden="false" customHeight="false" outlineLevel="0" collapsed="false">
      <c r="A614" s="63"/>
      <c r="B614" s="28"/>
      <c r="C614" s="28"/>
      <c r="D614" s="28"/>
      <c r="E614" s="28"/>
      <c r="F614" s="64"/>
      <c r="G614" s="28"/>
    </row>
    <row r="615" customFormat="false" ht="15" hidden="false" customHeight="false" outlineLevel="0" collapsed="false">
      <c r="A615" s="63"/>
      <c r="B615" s="28"/>
      <c r="C615" s="28"/>
      <c r="D615" s="28"/>
      <c r="E615" s="28"/>
      <c r="F615" s="64"/>
      <c r="G615" s="28"/>
    </row>
    <row r="616" customFormat="false" ht="15" hidden="false" customHeight="false" outlineLevel="0" collapsed="false">
      <c r="A616" s="63"/>
      <c r="B616" s="28"/>
      <c r="C616" s="28"/>
      <c r="D616" s="28"/>
      <c r="E616" s="28"/>
      <c r="F616" s="64"/>
      <c r="G616" s="28"/>
    </row>
    <row r="617" customFormat="false" ht="15" hidden="false" customHeight="false" outlineLevel="0" collapsed="false">
      <c r="A617" s="63"/>
      <c r="B617" s="28"/>
      <c r="C617" s="28"/>
      <c r="D617" s="28"/>
      <c r="E617" s="28"/>
      <c r="F617" s="64"/>
      <c r="G617" s="28"/>
    </row>
    <row r="618" customFormat="false" ht="15" hidden="false" customHeight="false" outlineLevel="0" collapsed="false">
      <c r="A618" s="63"/>
      <c r="B618" s="28"/>
      <c r="C618" s="28"/>
      <c r="D618" s="28"/>
      <c r="E618" s="28"/>
      <c r="F618" s="64"/>
      <c r="G618" s="28"/>
    </row>
    <row r="619" customFormat="false" ht="15" hidden="false" customHeight="false" outlineLevel="0" collapsed="false">
      <c r="A619" s="63"/>
      <c r="B619" s="28"/>
      <c r="C619" s="28"/>
      <c r="D619" s="28"/>
      <c r="E619" s="28"/>
      <c r="F619" s="64"/>
      <c r="G619" s="28"/>
    </row>
    <row r="620" customFormat="false" ht="15" hidden="false" customHeight="false" outlineLevel="0" collapsed="false">
      <c r="A620" s="63"/>
      <c r="B620" s="28"/>
      <c r="C620" s="28"/>
      <c r="D620" s="28"/>
      <c r="E620" s="28"/>
      <c r="F620" s="64"/>
      <c r="G620" s="28"/>
    </row>
    <row r="621" customFormat="false" ht="15" hidden="false" customHeight="false" outlineLevel="0" collapsed="false">
      <c r="A621" s="63"/>
      <c r="B621" s="28"/>
      <c r="C621" s="28"/>
      <c r="D621" s="28"/>
      <c r="E621" s="28"/>
      <c r="F621" s="64"/>
      <c r="G621" s="28"/>
    </row>
    <row r="622" customFormat="false" ht="15" hidden="false" customHeight="false" outlineLevel="0" collapsed="false">
      <c r="A622" s="63"/>
      <c r="B622" s="28"/>
      <c r="C622" s="28"/>
      <c r="D622" s="28"/>
      <c r="E622" s="28"/>
      <c r="F622" s="64"/>
      <c r="G622" s="28"/>
    </row>
    <row r="623" customFormat="false" ht="15" hidden="false" customHeight="false" outlineLevel="0" collapsed="false">
      <c r="A623" s="63"/>
      <c r="B623" s="28"/>
      <c r="C623" s="28"/>
      <c r="D623" s="28"/>
      <c r="E623" s="28"/>
      <c r="F623" s="64"/>
      <c r="G623" s="28"/>
    </row>
    <row r="624" customFormat="false" ht="15" hidden="false" customHeight="false" outlineLevel="0" collapsed="false">
      <c r="A624" s="63"/>
      <c r="B624" s="28"/>
      <c r="C624" s="28"/>
      <c r="D624" s="28"/>
      <c r="E624" s="28"/>
      <c r="F624" s="64"/>
      <c r="G624" s="28"/>
    </row>
    <row r="625" customFormat="false" ht="15" hidden="false" customHeight="false" outlineLevel="0" collapsed="false">
      <c r="A625" s="63"/>
      <c r="B625" s="28"/>
      <c r="C625" s="28"/>
      <c r="D625" s="28"/>
      <c r="E625" s="28"/>
      <c r="F625" s="64"/>
      <c r="G625" s="28"/>
    </row>
    <row r="626" customFormat="false" ht="15" hidden="false" customHeight="false" outlineLevel="0" collapsed="false">
      <c r="A626" s="63"/>
      <c r="B626" s="28"/>
      <c r="C626" s="28"/>
      <c r="D626" s="28"/>
      <c r="E626" s="28"/>
      <c r="F626" s="64"/>
      <c r="G626" s="28"/>
    </row>
    <row r="627" customFormat="false" ht="15" hidden="false" customHeight="false" outlineLevel="0" collapsed="false">
      <c r="A627" s="63"/>
      <c r="B627" s="28"/>
      <c r="C627" s="28"/>
      <c r="D627" s="28"/>
      <c r="E627" s="28"/>
      <c r="F627" s="64"/>
      <c r="G627" s="28"/>
    </row>
    <row r="628" customFormat="false" ht="15" hidden="false" customHeight="false" outlineLevel="0" collapsed="false">
      <c r="A628" s="63"/>
      <c r="B628" s="28"/>
      <c r="C628" s="28"/>
      <c r="D628" s="28"/>
      <c r="E628" s="28"/>
      <c r="F628" s="64"/>
      <c r="G628" s="28"/>
    </row>
    <row r="629" customFormat="false" ht="15" hidden="false" customHeight="false" outlineLevel="0" collapsed="false">
      <c r="A629" s="63"/>
      <c r="B629" s="28"/>
      <c r="C629" s="28"/>
      <c r="D629" s="28"/>
      <c r="E629" s="28"/>
      <c r="F629" s="64"/>
      <c r="G629" s="28"/>
    </row>
    <row r="630" customFormat="false" ht="15" hidden="false" customHeight="false" outlineLevel="0" collapsed="false">
      <c r="A630" s="63"/>
      <c r="B630" s="28"/>
      <c r="C630" s="28"/>
      <c r="D630" s="28"/>
      <c r="E630" s="28"/>
      <c r="F630" s="64"/>
      <c r="G630" s="28"/>
    </row>
    <row r="631" customFormat="false" ht="15" hidden="false" customHeight="false" outlineLevel="0" collapsed="false">
      <c r="A631" s="63"/>
      <c r="B631" s="28"/>
      <c r="C631" s="28"/>
      <c r="D631" s="28"/>
      <c r="E631" s="28"/>
      <c r="F631" s="64"/>
      <c r="G631" s="28"/>
    </row>
    <row r="632" customFormat="false" ht="15" hidden="false" customHeight="false" outlineLevel="0" collapsed="false">
      <c r="A632" s="63"/>
      <c r="B632" s="28"/>
      <c r="C632" s="28"/>
      <c r="D632" s="28"/>
      <c r="E632" s="28"/>
      <c r="F632" s="64"/>
      <c r="G632" s="28"/>
    </row>
    <row r="633" customFormat="false" ht="15" hidden="false" customHeight="false" outlineLevel="0" collapsed="false">
      <c r="A633" s="63"/>
      <c r="B633" s="28"/>
      <c r="C633" s="28"/>
      <c r="D633" s="28"/>
      <c r="E633" s="28"/>
      <c r="F633" s="64"/>
      <c r="G633" s="28"/>
    </row>
    <row r="634" customFormat="false" ht="15" hidden="false" customHeight="false" outlineLevel="0" collapsed="false">
      <c r="A634" s="63"/>
      <c r="B634" s="28"/>
      <c r="C634" s="28"/>
      <c r="D634" s="28"/>
      <c r="E634" s="28"/>
      <c r="F634" s="64"/>
      <c r="G634" s="28"/>
    </row>
    <row r="635" customFormat="false" ht="15" hidden="false" customHeight="false" outlineLevel="0" collapsed="false">
      <c r="A635" s="63"/>
      <c r="B635" s="28"/>
      <c r="C635" s="28"/>
      <c r="D635" s="28"/>
      <c r="E635" s="28"/>
      <c r="F635" s="64"/>
      <c r="G635" s="28"/>
    </row>
    <row r="636" customFormat="false" ht="15" hidden="false" customHeight="false" outlineLevel="0" collapsed="false">
      <c r="A636" s="63"/>
      <c r="B636" s="28"/>
      <c r="C636" s="28"/>
      <c r="D636" s="28"/>
      <c r="E636" s="28"/>
      <c r="F636" s="64"/>
      <c r="G636" s="28"/>
    </row>
    <row r="637" customFormat="false" ht="15" hidden="false" customHeight="false" outlineLevel="0" collapsed="false">
      <c r="A637" s="63"/>
      <c r="B637" s="28"/>
      <c r="C637" s="28"/>
      <c r="D637" s="28"/>
      <c r="E637" s="28"/>
      <c r="F637" s="64"/>
      <c r="G637" s="28"/>
    </row>
    <row r="638" customFormat="false" ht="15" hidden="false" customHeight="false" outlineLevel="0" collapsed="false">
      <c r="A638" s="63"/>
      <c r="B638" s="28"/>
      <c r="C638" s="28"/>
      <c r="D638" s="28"/>
      <c r="E638" s="28"/>
      <c r="F638" s="64"/>
      <c r="G638" s="28"/>
    </row>
    <row r="639" customFormat="false" ht="15" hidden="false" customHeight="false" outlineLevel="0" collapsed="false">
      <c r="A639" s="63"/>
      <c r="B639" s="28"/>
      <c r="C639" s="28"/>
      <c r="D639" s="28"/>
      <c r="E639" s="28"/>
      <c r="F639" s="64"/>
      <c r="G639" s="28"/>
    </row>
    <row r="640" customFormat="false" ht="15" hidden="false" customHeight="false" outlineLevel="0" collapsed="false">
      <c r="A640" s="63"/>
      <c r="B640" s="28"/>
      <c r="C640" s="28"/>
      <c r="D640" s="28"/>
      <c r="E640" s="28"/>
      <c r="F640" s="64"/>
      <c r="G640" s="28"/>
    </row>
    <row r="641" customFormat="false" ht="15" hidden="false" customHeight="false" outlineLevel="0" collapsed="false">
      <c r="A641" s="63"/>
      <c r="B641" s="28"/>
      <c r="C641" s="28"/>
      <c r="D641" s="28"/>
      <c r="E641" s="28"/>
      <c r="F641" s="64"/>
      <c r="G641" s="28"/>
    </row>
    <row r="642" customFormat="false" ht="15" hidden="false" customHeight="false" outlineLevel="0" collapsed="false">
      <c r="A642" s="63"/>
      <c r="B642" s="28"/>
      <c r="C642" s="28"/>
      <c r="D642" s="28"/>
      <c r="E642" s="28"/>
      <c r="F642" s="64"/>
      <c r="G642" s="28"/>
    </row>
    <row r="643" customFormat="false" ht="15" hidden="false" customHeight="false" outlineLevel="0" collapsed="false">
      <c r="A643" s="63"/>
      <c r="B643" s="28"/>
      <c r="C643" s="28"/>
      <c r="D643" s="28"/>
      <c r="E643" s="28"/>
      <c r="F643" s="64"/>
      <c r="G643" s="28"/>
    </row>
    <row r="644" customFormat="false" ht="15" hidden="false" customHeight="false" outlineLevel="0" collapsed="false">
      <c r="A644" s="63"/>
      <c r="B644" s="28"/>
      <c r="C644" s="28"/>
      <c r="D644" s="28"/>
      <c r="E644" s="28"/>
      <c r="F644" s="64"/>
      <c r="G644" s="28"/>
    </row>
    <row r="645" customFormat="false" ht="15" hidden="false" customHeight="false" outlineLevel="0" collapsed="false">
      <c r="A645" s="63"/>
      <c r="B645" s="28"/>
      <c r="C645" s="28"/>
      <c r="D645" s="28"/>
      <c r="E645" s="28"/>
      <c r="F645" s="64"/>
      <c r="G645" s="28"/>
    </row>
    <row r="646" customFormat="false" ht="15" hidden="false" customHeight="false" outlineLevel="0" collapsed="false">
      <c r="A646" s="63"/>
      <c r="B646" s="28"/>
      <c r="C646" s="28"/>
      <c r="D646" s="28"/>
      <c r="E646" s="28"/>
      <c r="F646" s="64"/>
      <c r="G646" s="28"/>
    </row>
    <row r="647" customFormat="false" ht="15" hidden="false" customHeight="false" outlineLevel="0" collapsed="false">
      <c r="A647" s="63"/>
      <c r="B647" s="28"/>
      <c r="C647" s="28"/>
      <c r="D647" s="28"/>
      <c r="E647" s="28"/>
      <c r="F647" s="64"/>
      <c r="G647" s="28"/>
    </row>
    <row r="648" customFormat="false" ht="15" hidden="false" customHeight="false" outlineLevel="0" collapsed="false">
      <c r="A648" s="63"/>
      <c r="B648" s="28"/>
      <c r="C648" s="28"/>
      <c r="D648" s="28"/>
      <c r="E648" s="28"/>
      <c r="F648" s="64"/>
      <c r="G648" s="28"/>
    </row>
    <row r="649" customFormat="false" ht="15" hidden="false" customHeight="false" outlineLevel="0" collapsed="false">
      <c r="A649" s="63"/>
      <c r="B649" s="28"/>
      <c r="C649" s="28"/>
      <c r="D649" s="28"/>
      <c r="E649" s="28"/>
      <c r="F649" s="64"/>
      <c r="G649" s="28"/>
    </row>
    <row r="650" customFormat="false" ht="15" hidden="false" customHeight="false" outlineLevel="0" collapsed="false">
      <c r="A650" s="63"/>
      <c r="B650" s="28"/>
      <c r="C650" s="28"/>
      <c r="D650" s="28"/>
      <c r="E650" s="28"/>
      <c r="F650" s="64"/>
      <c r="G650" s="28"/>
    </row>
    <row r="651" customFormat="false" ht="15" hidden="false" customHeight="false" outlineLevel="0" collapsed="false">
      <c r="A651" s="63"/>
      <c r="B651" s="28"/>
      <c r="C651" s="28"/>
      <c r="D651" s="28"/>
      <c r="E651" s="28"/>
      <c r="F651" s="64"/>
      <c r="G651" s="28"/>
    </row>
    <row r="652" customFormat="false" ht="15" hidden="false" customHeight="false" outlineLevel="0" collapsed="false">
      <c r="A652" s="63"/>
      <c r="B652" s="28"/>
      <c r="C652" s="28"/>
      <c r="D652" s="28"/>
      <c r="E652" s="28"/>
      <c r="F652" s="64"/>
      <c r="G652" s="28"/>
    </row>
    <row r="653" customFormat="false" ht="15" hidden="false" customHeight="false" outlineLevel="0" collapsed="false">
      <c r="A653" s="63"/>
      <c r="B653" s="28"/>
      <c r="C653" s="28"/>
      <c r="D653" s="28"/>
      <c r="E653" s="28"/>
      <c r="F653" s="64"/>
      <c r="G653" s="28"/>
    </row>
    <row r="654" customFormat="false" ht="15" hidden="false" customHeight="false" outlineLevel="0" collapsed="false">
      <c r="A654" s="63"/>
      <c r="B654" s="28"/>
      <c r="C654" s="28"/>
      <c r="D654" s="28"/>
      <c r="E654" s="28"/>
      <c r="F654" s="64"/>
      <c r="G654" s="28"/>
    </row>
    <row r="655" customFormat="false" ht="15" hidden="false" customHeight="false" outlineLevel="0" collapsed="false">
      <c r="A655" s="63"/>
      <c r="B655" s="28"/>
      <c r="C655" s="28"/>
      <c r="D655" s="28"/>
      <c r="E655" s="28"/>
      <c r="F655" s="64"/>
      <c r="G655" s="28"/>
    </row>
    <row r="656" customFormat="false" ht="15" hidden="false" customHeight="false" outlineLevel="0" collapsed="false">
      <c r="A656" s="63"/>
      <c r="B656" s="28"/>
      <c r="C656" s="28"/>
      <c r="D656" s="28"/>
      <c r="E656" s="28"/>
      <c r="F656" s="64"/>
      <c r="G656" s="28"/>
    </row>
    <row r="657" customFormat="false" ht="15" hidden="false" customHeight="false" outlineLevel="0" collapsed="false">
      <c r="A657" s="63"/>
      <c r="B657" s="28"/>
      <c r="C657" s="28"/>
      <c r="D657" s="28"/>
      <c r="E657" s="28"/>
      <c r="F657" s="64"/>
      <c r="G657" s="28"/>
    </row>
    <row r="658" customFormat="false" ht="15" hidden="false" customHeight="false" outlineLevel="0" collapsed="false">
      <c r="A658" s="63"/>
      <c r="B658" s="28"/>
      <c r="C658" s="28"/>
      <c r="D658" s="28"/>
      <c r="E658" s="28"/>
      <c r="F658" s="64"/>
      <c r="G658" s="28"/>
    </row>
    <row r="659" customFormat="false" ht="15" hidden="false" customHeight="false" outlineLevel="0" collapsed="false">
      <c r="A659" s="63"/>
      <c r="B659" s="28"/>
      <c r="C659" s="28"/>
      <c r="D659" s="28"/>
      <c r="E659" s="28"/>
      <c r="F659" s="64"/>
      <c r="G659" s="28"/>
    </row>
    <row r="660" customFormat="false" ht="15" hidden="false" customHeight="false" outlineLevel="0" collapsed="false">
      <c r="A660" s="63"/>
      <c r="B660" s="28"/>
      <c r="C660" s="28"/>
      <c r="D660" s="28"/>
      <c r="E660" s="28"/>
      <c r="F660" s="64"/>
      <c r="G660" s="28"/>
    </row>
    <row r="661" customFormat="false" ht="15" hidden="false" customHeight="false" outlineLevel="0" collapsed="false">
      <c r="A661" s="63"/>
      <c r="B661" s="28"/>
      <c r="C661" s="28"/>
      <c r="D661" s="28"/>
      <c r="E661" s="28"/>
      <c r="F661" s="64"/>
      <c r="G661" s="28"/>
    </row>
    <row r="662" customFormat="false" ht="15" hidden="false" customHeight="false" outlineLevel="0" collapsed="false">
      <c r="A662" s="63"/>
      <c r="B662" s="28"/>
      <c r="C662" s="28"/>
      <c r="D662" s="28"/>
      <c r="E662" s="28"/>
      <c r="F662" s="64"/>
      <c r="G662" s="28"/>
    </row>
    <row r="663" customFormat="false" ht="15" hidden="false" customHeight="false" outlineLevel="0" collapsed="false">
      <c r="A663" s="63"/>
      <c r="B663" s="28"/>
      <c r="C663" s="28"/>
      <c r="D663" s="28"/>
      <c r="E663" s="28"/>
      <c r="F663" s="64"/>
      <c r="G663" s="28"/>
    </row>
    <row r="664" customFormat="false" ht="15" hidden="false" customHeight="false" outlineLevel="0" collapsed="false">
      <c r="A664" s="63"/>
      <c r="B664" s="28"/>
      <c r="C664" s="28"/>
      <c r="D664" s="28"/>
      <c r="E664" s="28"/>
      <c r="F664" s="64"/>
      <c r="G664" s="28"/>
    </row>
    <row r="665" customFormat="false" ht="15" hidden="false" customHeight="false" outlineLevel="0" collapsed="false">
      <c r="A665" s="63"/>
      <c r="B665" s="28"/>
      <c r="C665" s="28"/>
      <c r="D665" s="28"/>
      <c r="E665" s="28"/>
      <c r="F665" s="64"/>
      <c r="G665" s="28"/>
    </row>
    <row r="666" customFormat="false" ht="15" hidden="false" customHeight="false" outlineLevel="0" collapsed="false">
      <c r="A666" s="63"/>
      <c r="B666" s="28"/>
      <c r="C666" s="28"/>
      <c r="D666" s="28"/>
      <c r="E666" s="28"/>
      <c r="F666" s="64"/>
      <c r="G666" s="28"/>
    </row>
    <row r="667" customFormat="false" ht="15" hidden="false" customHeight="false" outlineLevel="0" collapsed="false">
      <c r="A667" s="63"/>
      <c r="B667" s="28"/>
      <c r="C667" s="28"/>
      <c r="D667" s="28"/>
      <c r="E667" s="28"/>
      <c r="F667" s="64"/>
      <c r="G667" s="28"/>
    </row>
    <row r="668" customFormat="false" ht="15" hidden="false" customHeight="false" outlineLevel="0" collapsed="false">
      <c r="A668" s="63"/>
      <c r="B668" s="28"/>
      <c r="C668" s="28"/>
      <c r="D668" s="28"/>
      <c r="E668" s="28"/>
      <c r="F668" s="64"/>
      <c r="G668" s="28"/>
    </row>
    <row r="669" customFormat="false" ht="15" hidden="false" customHeight="false" outlineLevel="0" collapsed="false">
      <c r="A669" s="63"/>
      <c r="B669" s="28"/>
      <c r="C669" s="28"/>
      <c r="D669" s="28"/>
      <c r="E669" s="28"/>
      <c r="F669" s="64"/>
      <c r="G669" s="28"/>
    </row>
    <row r="670" customFormat="false" ht="15" hidden="false" customHeight="false" outlineLevel="0" collapsed="false">
      <c r="A670" s="63"/>
      <c r="B670" s="28"/>
      <c r="C670" s="28"/>
      <c r="D670" s="28"/>
      <c r="E670" s="28"/>
      <c r="F670" s="64"/>
      <c r="G670" s="28"/>
    </row>
    <row r="671" customFormat="false" ht="15" hidden="false" customHeight="false" outlineLevel="0" collapsed="false">
      <c r="A671" s="63"/>
      <c r="B671" s="28"/>
      <c r="C671" s="28"/>
      <c r="D671" s="28"/>
      <c r="E671" s="28"/>
      <c r="F671" s="64"/>
      <c r="G671" s="28"/>
    </row>
    <row r="672" customFormat="false" ht="15" hidden="false" customHeight="false" outlineLevel="0" collapsed="false">
      <c r="A672" s="63"/>
      <c r="B672" s="28"/>
      <c r="C672" s="28"/>
      <c r="D672" s="28"/>
      <c r="E672" s="28"/>
      <c r="F672" s="64"/>
      <c r="G672" s="28"/>
    </row>
    <row r="673" customFormat="false" ht="15" hidden="false" customHeight="false" outlineLevel="0" collapsed="false">
      <c r="A673" s="63"/>
      <c r="B673" s="28"/>
      <c r="C673" s="28"/>
      <c r="D673" s="28"/>
      <c r="E673" s="28"/>
      <c r="F673" s="64"/>
      <c r="G673" s="28"/>
    </row>
    <row r="674" customFormat="false" ht="15" hidden="false" customHeight="false" outlineLevel="0" collapsed="false">
      <c r="A674" s="63"/>
      <c r="B674" s="28"/>
      <c r="C674" s="28"/>
      <c r="D674" s="28"/>
      <c r="E674" s="28"/>
      <c r="F674" s="64"/>
      <c r="G674" s="28"/>
    </row>
    <row r="675" customFormat="false" ht="15" hidden="false" customHeight="false" outlineLevel="0" collapsed="false">
      <c r="A675" s="63"/>
      <c r="B675" s="28"/>
      <c r="C675" s="28"/>
      <c r="D675" s="28"/>
      <c r="E675" s="28"/>
      <c r="F675" s="64"/>
      <c r="G675" s="28"/>
    </row>
    <row r="676" customFormat="false" ht="15" hidden="false" customHeight="false" outlineLevel="0" collapsed="false">
      <c r="A676" s="63"/>
      <c r="B676" s="28"/>
      <c r="C676" s="28"/>
      <c r="D676" s="28"/>
      <c r="E676" s="28"/>
      <c r="F676" s="64"/>
      <c r="G676" s="28"/>
    </row>
    <row r="677" customFormat="false" ht="15" hidden="false" customHeight="false" outlineLevel="0" collapsed="false">
      <c r="A677" s="63"/>
      <c r="B677" s="28"/>
      <c r="C677" s="28"/>
      <c r="D677" s="28"/>
      <c r="E677" s="28"/>
      <c r="F677" s="64"/>
      <c r="G677" s="28"/>
    </row>
    <row r="678" customFormat="false" ht="15" hidden="false" customHeight="false" outlineLevel="0" collapsed="false">
      <c r="A678" s="63"/>
      <c r="B678" s="28"/>
      <c r="C678" s="28"/>
      <c r="D678" s="28"/>
      <c r="E678" s="28"/>
      <c r="F678" s="64"/>
      <c r="G678" s="28"/>
    </row>
    <row r="679" customFormat="false" ht="15" hidden="false" customHeight="false" outlineLevel="0" collapsed="false">
      <c r="A679" s="63"/>
      <c r="B679" s="28"/>
      <c r="C679" s="28"/>
      <c r="D679" s="28"/>
      <c r="E679" s="28"/>
      <c r="F679" s="64"/>
      <c r="G679" s="28"/>
    </row>
    <row r="680" customFormat="false" ht="15" hidden="false" customHeight="false" outlineLevel="0" collapsed="false">
      <c r="A680" s="63"/>
      <c r="B680" s="28"/>
      <c r="C680" s="28"/>
      <c r="D680" s="28"/>
      <c r="E680" s="28"/>
      <c r="F680" s="64"/>
      <c r="G680" s="28"/>
    </row>
    <row r="681" customFormat="false" ht="15" hidden="false" customHeight="false" outlineLevel="0" collapsed="false">
      <c r="A681" s="63"/>
      <c r="B681" s="28"/>
      <c r="C681" s="28"/>
      <c r="D681" s="28"/>
      <c r="E681" s="28"/>
      <c r="F681" s="64"/>
      <c r="G681" s="28"/>
    </row>
    <row r="682" customFormat="false" ht="15" hidden="false" customHeight="false" outlineLevel="0" collapsed="false">
      <c r="A682" s="63"/>
      <c r="B682" s="28"/>
      <c r="C682" s="28"/>
      <c r="D682" s="28"/>
      <c r="E682" s="28"/>
      <c r="F682" s="64"/>
      <c r="G682" s="28"/>
    </row>
    <row r="683" customFormat="false" ht="15" hidden="false" customHeight="false" outlineLevel="0" collapsed="false">
      <c r="A683" s="63"/>
      <c r="B683" s="28"/>
      <c r="C683" s="28"/>
      <c r="D683" s="28"/>
      <c r="E683" s="28"/>
      <c r="F683" s="64"/>
      <c r="G683" s="28"/>
    </row>
    <row r="684" customFormat="false" ht="15" hidden="false" customHeight="false" outlineLevel="0" collapsed="false">
      <c r="A684" s="63"/>
      <c r="B684" s="28"/>
      <c r="C684" s="28"/>
      <c r="D684" s="28"/>
      <c r="E684" s="28"/>
      <c r="F684" s="64"/>
      <c r="G684" s="28"/>
    </row>
    <row r="685" customFormat="false" ht="15" hidden="false" customHeight="false" outlineLevel="0" collapsed="false">
      <c r="A685" s="63"/>
      <c r="B685" s="28"/>
      <c r="C685" s="28"/>
      <c r="D685" s="28"/>
      <c r="E685" s="28"/>
      <c r="F685" s="64"/>
      <c r="G685" s="28"/>
    </row>
    <row r="686" customFormat="false" ht="15" hidden="false" customHeight="false" outlineLevel="0" collapsed="false">
      <c r="A686" s="63"/>
      <c r="B686" s="28"/>
      <c r="C686" s="28"/>
      <c r="D686" s="28"/>
      <c r="E686" s="28"/>
      <c r="F686" s="64"/>
      <c r="G686" s="28"/>
    </row>
    <row r="687" customFormat="false" ht="15" hidden="false" customHeight="false" outlineLevel="0" collapsed="false">
      <c r="A687" s="63"/>
      <c r="B687" s="28"/>
      <c r="C687" s="28"/>
      <c r="D687" s="28"/>
      <c r="E687" s="28"/>
      <c r="F687" s="64"/>
      <c r="G687" s="28"/>
    </row>
    <row r="688" customFormat="false" ht="15" hidden="false" customHeight="false" outlineLevel="0" collapsed="false">
      <c r="A688" s="63"/>
      <c r="B688" s="28"/>
      <c r="C688" s="28"/>
      <c r="D688" s="28"/>
      <c r="E688" s="28"/>
      <c r="F688" s="64"/>
      <c r="G688" s="28"/>
    </row>
    <row r="689" customFormat="false" ht="15" hidden="false" customHeight="false" outlineLevel="0" collapsed="false">
      <c r="A689" s="63"/>
      <c r="B689" s="28"/>
      <c r="C689" s="28"/>
      <c r="D689" s="28"/>
      <c r="E689" s="28"/>
      <c r="F689" s="64"/>
      <c r="G689" s="28"/>
    </row>
    <row r="690" customFormat="false" ht="15" hidden="false" customHeight="false" outlineLevel="0" collapsed="false">
      <c r="A690" s="63"/>
      <c r="B690" s="28"/>
      <c r="C690" s="28"/>
      <c r="D690" s="28"/>
      <c r="E690" s="28"/>
      <c r="F690" s="64"/>
      <c r="G690" s="28"/>
    </row>
    <row r="691" customFormat="false" ht="15" hidden="false" customHeight="false" outlineLevel="0" collapsed="false">
      <c r="A691" s="63"/>
      <c r="B691" s="28"/>
      <c r="C691" s="28"/>
      <c r="D691" s="28"/>
      <c r="E691" s="28"/>
      <c r="F691" s="64"/>
      <c r="G691" s="28"/>
    </row>
    <row r="692" customFormat="false" ht="15" hidden="false" customHeight="false" outlineLevel="0" collapsed="false">
      <c r="A692" s="63"/>
      <c r="B692" s="28"/>
      <c r="C692" s="28"/>
      <c r="D692" s="28"/>
      <c r="E692" s="28"/>
      <c r="F692" s="64"/>
      <c r="G692" s="28"/>
    </row>
    <row r="693" customFormat="false" ht="15" hidden="false" customHeight="false" outlineLevel="0" collapsed="false">
      <c r="A693" s="63"/>
      <c r="B693" s="28"/>
      <c r="C693" s="28"/>
      <c r="D693" s="28"/>
      <c r="E693" s="28"/>
      <c r="F693" s="64"/>
      <c r="G693" s="28"/>
    </row>
    <row r="694" customFormat="false" ht="15" hidden="false" customHeight="false" outlineLevel="0" collapsed="false">
      <c r="A694" s="63"/>
      <c r="B694" s="28"/>
      <c r="C694" s="28"/>
      <c r="D694" s="28"/>
      <c r="E694" s="28"/>
      <c r="F694" s="64"/>
      <c r="G694" s="28"/>
    </row>
    <row r="695" customFormat="false" ht="15" hidden="false" customHeight="false" outlineLevel="0" collapsed="false">
      <c r="A695" s="63"/>
      <c r="B695" s="28"/>
      <c r="C695" s="28"/>
      <c r="D695" s="28"/>
      <c r="E695" s="28"/>
      <c r="F695" s="64"/>
      <c r="G695" s="28"/>
    </row>
    <row r="696" customFormat="false" ht="15" hidden="false" customHeight="false" outlineLevel="0" collapsed="false">
      <c r="A696" s="63"/>
      <c r="B696" s="28"/>
      <c r="C696" s="28"/>
      <c r="D696" s="28"/>
      <c r="E696" s="28"/>
      <c r="F696" s="64"/>
      <c r="G696" s="28"/>
    </row>
    <row r="697" customFormat="false" ht="15" hidden="false" customHeight="false" outlineLevel="0" collapsed="false">
      <c r="A697" s="63"/>
      <c r="B697" s="28"/>
      <c r="C697" s="28"/>
      <c r="D697" s="28"/>
      <c r="E697" s="28"/>
      <c r="F697" s="64"/>
      <c r="G697" s="28"/>
    </row>
    <row r="698" customFormat="false" ht="15" hidden="false" customHeight="false" outlineLevel="0" collapsed="false">
      <c r="A698" s="63"/>
      <c r="B698" s="28"/>
      <c r="C698" s="28"/>
      <c r="D698" s="28"/>
      <c r="E698" s="28"/>
      <c r="F698" s="64"/>
      <c r="G698" s="28"/>
    </row>
    <row r="699" customFormat="false" ht="15" hidden="false" customHeight="false" outlineLevel="0" collapsed="false">
      <c r="A699" s="63"/>
      <c r="B699" s="28"/>
      <c r="C699" s="28"/>
      <c r="D699" s="28"/>
      <c r="E699" s="28"/>
      <c r="F699" s="64"/>
      <c r="G699" s="28"/>
    </row>
    <row r="700" customFormat="false" ht="15" hidden="false" customHeight="false" outlineLevel="0" collapsed="false">
      <c r="A700" s="63"/>
      <c r="B700" s="28"/>
      <c r="C700" s="28"/>
      <c r="D700" s="28"/>
      <c r="E700" s="28"/>
      <c r="F700" s="64"/>
      <c r="G700" s="28"/>
    </row>
    <row r="701" customFormat="false" ht="15" hidden="false" customHeight="false" outlineLevel="0" collapsed="false">
      <c r="A701" s="63"/>
      <c r="B701" s="28"/>
      <c r="C701" s="28"/>
      <c r="D701" s="28"/>
      <c r="E701" s="28"/>
      <c r="F701" s="64"/>
      <c r="G701" s="28"/>
    </row>
    <row r="702" customFormat="false" ht="15" hidden="false" customHeight="false" outlineLevel="0" collapsed="false">
      <c r="A702" s="63"/>
      <c r="B702" s="28"/>
      <c r="C702" s="28"/>
      <c r="D702" s="28"/>
      <c r="E702" s="28"/>
      <c r="F702" s="64"/>
      <c r="G702" s="28"/>
    </row>
    <row r="703" customFormat="false" ht="15" hidden="false" customHeight="false" outlineLevel="0" collapsed="false">
      <c r="A703" s="63"/>
      <c r="B703" s="28"/>
      <c r="C703" s="28"/>
      <c r="D703" s="28"/>
      <c r="E703" s="28"/>
      <c r="F703" s="64"/>
      <c r="G703" s="28"/>
    </row>
    <row r="704" customFormat="false" ht="15" hidden="false" customHeight="false" outlineLevel="0" collapsed="false">
      <c r="A704" s="63"/>
      <c r="B704" s="28"/>
      <c r="C704" s="28"/>
      <c r="D704" s="28"/>
      <c r="E704" s="28"/>
      <c r="F704" s="64"/>
      <c r="G704" s="28"/>
    </row>
    <row r="705" customFormat="false" ht="15" hidden="false" customHeight="false" outlineLevel="0" collapsed="false">
      <c r="A705" s="63"/>
      <c r="B705" s="28"/>
      <c r="C705" s="28"/>
      <c r="D705" s="28"/>
      <c r="E705" s="28"/>
      <c r="F705" s="64"/>
      <c r="G705" s="28"/>
    </row>
    <row r="706" customFormat="false" ht="15" hidden="false" customHeight="false" outlineLevel="0" collapsed="false">
      <c r="A706" s="63"/>
      <c r="B706" s="28"/>
      <c r="C706" s="28"/>
      <c r="D706" s="28"/>
      <c r="E706" s="28"/>
      <c r="F706" s="64"/>
      <c r="G706" s="28"/>
    </row>
    <row r="707" customFormat="false" ht="15" hidden="false" customHeight="false" outlineLevel="0" collapsed="false">
      <c r="A707" s="63"/>
      <c r="B707" s="28"/>
      <c r="C707" s="28"/>
      <c r="D707" s="28"/>
      <c r="E707" s="28"/>
      <c r="F707" s="64"/>
      <c r="G707" s="28"/>
    </row>
    <row r="708" customFormat="false" ht="15" hidden="false" customHeight="false" outlineLevel="0" collapsed="false">
      <c r="A708" s="63"/>
      <c r="B708" s="28"/>
      <c r="C708" s="28"/>
      <c r="D708" s="28"/>
      <c r="E708" s="28"/>
      <c r="F708" s="64"/>
      <c r="G708" s="28"/>
    </row>
    <row r="709" customFormat="false" ht="15" hidden="false" customHeight="false" outlineLevel="0" collapsed="false">
      <c r="A709" s="63"/>
      <c r="B709" s="28"/>
      <c r="C709" s="28"/>
      <c r="D709" s="28"/>
      <c r="E709" s="28"/>
      <c r="F709" s="64"/>
      <c r="G709" s="28"/>
    </row>
    <row r="710" customFormat="false" ht="15" hidden="false" customHeight="false" outlineLevel="0" collapsed="false">
      <c r="A710" s="63"/>
      <c r="B710" s="28"/>
      <c r="C710" s="28"/>
      <c r="D710" s="28"/>
      <c r="E710" s="28"/>
      <c r="F710" s="64"/>
      <c r="G710" s="28"/>
    </row>
    <row r="711" customFormat="false" ht="15" hidden="false" customHeight="false" outlineLevel="0" collapsed="false">
      <c r="A711" s="63"/>
      <c r="B711" s="28"/>
      <c r="C711" s="28"/>
      <c r="D711" s="28"/>
      <c r="E711" s="28"/>
      <c r="F711" s="64"/>
      <c r="G711" s="28"/>
    </row>
    <row r="712" customFormat="false" ht="15" hidden="false" customHeight="false" outlineLevel="0" collapsed="false">
      <c r="A712" s="63"/>
      <c r="B712" s="28"/>
      <c r="C712" s="28"/>
      <c r="D712" s="28"/>
      <c r="E712" s="28"/>
      <c r="F712" s="64"/>
      <c r="G712" s="28"/>
    </row>
    <row r="713" customFormat="false" ht="15" hidden="false" customHeight="false" outlineLevel="0" collapsed="false">
      <c r="A713" s="63"/>
      <c r="B713" s="28"/>
      <c r="C713" s="28"/>
      <c r="D713" s="28"/>
      <c r="E713" s="28"/>
      <c r="F713" s="64"/>
      <c r="G713" s="28"/>
    </row>
    <row r="714" customFormat="false" ht="15" hidden="false" customHeight="false" outlineLevel="0" collapsed="false">
      <c r="A714" s="63"/>
      <c r="B714" s="28"/>
      <c r="C714" s="28"/>
      <c r="D714" s="28"/>
      <c r="E714" s="28"/>
      <c r="F714" s="64"/>
      <c r="G714" s="28"/>
    </row>
    <row r="715" customFormat="false" ht="15" hidden="false" customHeight="false" outlineLevel="0" collapsed="false">
      <c r="A715" s="63"/>
      <c r="B715" s="28"/>
      <c r="C715" s="28"/>
      <c r="D715" s="28"/>
      <c r="E715" s="28"/>
      <c r="F715" s="64"/>
      <c r="G715" s="28"/>
    </row>
    <row r="716" customFormat="false" ht="15" hidden="false" customHeight="false" outlineLevel="0" collapsed="false">
      <c r="A716" s="63"/>
      <c r="B716" s="28"/>
      <c r="C716" s="28"/>
      <c r="D716" s="28"/>
      <c r="E716" s="28"/>
      <c r="F716" s="64"/>
      <c r="G716" s="28"/>
    </row>
    <row r="717" customFormat="false" ht="15" hidden="false" customHeight="false" outlineLevel="0" collapsed="false">
      <c r="A717" s="63"/>
      <c r="B717" s="28"/>
      <c r="C717" s="28"/>
      <c r="D717" s="28"/>
      <c r="E717" s="28"/>
      <c r="F717" s="64"/>
      <c r="G717" s="28"/>
    </row>
    <row r="718" customFormat="false" ht="15" hidden="false" customHeight="false" outlineLevel="0" collapsed="false">
      <c r="A718" s="63"/>
      <c r="B718" s="28"/>
      <c r="C718" s="28"/>
      <c r="D718" s="28"/>
      <c r="E718" s="28"/>
      <c r="F718" s="64"/>
      <c r="G718" s="28"/>
    </row>
    <row r="719" customFormat="false" ht="15" hidden="false" customHeight="false" outlineLevel="0" collapsed="false">
      <c r="A719" s="63"/>
      <c r="B719" s="28"/>
      <c r="C719" s="28"/>
      <c r="D719" s="28"/>
      <c r="E719" s="28"/>
      <c r="F719" s="64"/>
      <c r="G719" s="28"/>
    </row>
    <row r="720" customFormat="false" ht="15" hidden="false" customHeight="false" outlineLevel="0" collapsed="false">
      <c r="A720" s="63"/>
      <c r="B720" s="28"/>
      <c r="C720" s="28"/>
      <c r="D720" s="28"/>
      <c r="E720" s="28"/>
      <c r="F720" s="64"/>
      <c r="G720" s="28"/>
    </row>
    <row r="721" customFormat="false" ht="15" hidden="false" customHeight="false" outlineLevel="0" collapsed="false">
      <c r="A721" s="63"/>
      <c r="B721" s="28"/>
      <c r="C721" s="28"/>
      <c r="D721" s="28"/>
      <c r="E721" s="28"/>
      <c r="F721" s="64"/>
      <c r="G721" s="28"/>
    </row>
    <row r="722" customFormat="false" ht="15" hidden="false" customHeight="false" outlineLevel="0" collapsed="false">
      <c r="A722" s="63"/>
      <c r="B722" s="28"/>
      <c r="C722" s="28"/>
      <c r="D722" s="28"/>
      <c r="E722" s="28"/>
      <c r="F722" s="64"/>
      <c r="G722" s="28"/>
    </row>
    <row r="723" customFormat="false" ht="15" hidden="false" customHeight="false" outlineLevel="0" collapsed="false">
      <c r="A723" s="63"/>
      <c r="B723" s="28"/>
      <c r="C723" s="28"/>
      <c r="D723" s="28"/>
      <c r="E723" s="28"/>
      <c r="F723" s="64"/>
      <c r="G723" s="28"/>
    </row>
    <row r="724" customFormat="false" ht="15" hidden="false" customHeight="false" outlineLevel="0" collapsed="false">
      <c r="A724" s="63"/>
      <c r="B724" s="28"/>
      <c r="C724" s="28"/>
      <c r="D724" s="28"/>
      <c r="E724" s="28"/>
      <c r="F724" s="64"/>
      <c r="G724" s="28"/>
    </row>
    <row r="725" customFormat="false" ht="15" hidden="false" customHeight="false" outlineLevel="0" collapsed="false">
      <c r="A725" s="63"/>
      <c r="B725" s="28"/>
      <c r="C725" s="28"/>
      <c r="D725" s="28"/>
      <c r="E725" s="28"/>
      <c r="F725" s="64"/>
      <c r="G725" s="28"/>
    </row>
    <row r="726" customFormat="false" ht="15" hidden="false" customHeight="false" outlineLevel="0" collapsed="false">
      <c r="A726" s="63"/>
      <c r="B726" s="28"/>
      <c r="C726" s="28"/>
      <c r="D726" s="28"/>
      <c r="E726" s="28"/>
      <c r="F726" s="64"/>
      <c r="G726" s="28"/>
    </row>
    <row r="727" customFormat="false" ht="15" hidden="false" customHeight="false" outlineLevel="0" collapsed="false">
      <c r="A727" s="63"/>
      <c r="B727" s="28"/>
      <c r="C727" s="28"/>
      <c r="D727" s="28"/>
      <c r="E727" s="28"/>
      <c r="F727" s="64"/>
      <c r="G727" s="28"/>
    </row>
    <row r="728" customFormat="false" ht="15" hidden="false" customHeight="false" outlineLevel="0" collapsed="false">
      <c r="A728" s="63"/>
      <c r="B728" s="28"/>
      <c r="C728" s="28"/>
      <c r="D728" s="28"/>
      <c r="E728" s="28"/>
      <c r="F728" s="64"/>
      <c r="G728" s="28"/>
    </row>
    <row r="729" customFormat="false" ht="15" hidden="false" customHeight="false" outlineLevel="0" collapsed="false">
      <c r="A729" s="63"/>
      <c r="B729" s="28"/>
      <c r="C729" s="28"/>
      <c r="D729" s="28"/>
      <c r="E729" s="28"/>
      <c r="F729" s="64"/>
      <c r="G729" s="28"/>
    </row>
    <row r="730" customFormat="false" ht="15" hidden="false" customHeight="false" outlineLevel="0" collapsed="false">
      <c r="A730" s="63"/>
      <c r="B730" s="28"/>
      <c r="C730" s="28"/>
      <c r="D730" s="28"/>
      <c r="E730" s="28"/>
      <c r="F730" s="64"/>
      <c r="G730" s="28"/>
    </row>
    <row r="731" customFormat="false" ht="15" hidden="false" customHeight="false" outlineLevel="0" collapsed="false">
      <c r="A731" s="63"/>
      <c r="B731" s="28"/>
      <c r="C731" s="28"/>
      <c r="D731" s="28"/>
      <c r="E731" s="28"/>
      <c r="F731" s="64"/>
      <c r="G731" s="28"/>
    </row>
    <row r="732" customFormat="false" ht="15" hidden="false" customHeight="false" outlineLevel="0" collapsed="false">
      <c r="A732" s="63"/>
      <c r="B732" s="28"/>
      <c r="C732" s="28"/>
      <c r="D732" s="28"/>
      <c r="E732" s="28"/>
      <c r="F732" s="64"/>
      <c r="G732" s="28"/>
    </row>
    <row r="733" customFormat="false" ht="15" hidden="false" customHeight="false" outlineLevel="0" collapsed="false">
      <c r="A733" s="63"/>
      <c r="B733" s="28"/>
      <c r="C733" s="28"/>
      <c r="D733" s="28"/>
      <c r="E733" s="28"/>
      <c r="F733" s="64"/>
      <c r="G733" s="28"/>
    </row>
    <row r="734" customFormat="false" ht="15" hidden="false" customHeight="false" outlineLevel="0" collapsed="false">
      <c r="A734" s="63"/>
      <c r="B734" s="28"/>
      <c r="C734" s="28"/>
      <c r="D734" s="28"/>
      <c r="E734" s="28"/>
      <c r="F734" s="64"/>
      <c r="G734" s="28"/>
    </row>
    <row r="735" customFormat="false" ht="15" hidden="false" customHeight="false" outlineLevel="0" collapsed="false">
      <c r="A735" s="63"/>
      <c r="B735" s="28"/>
      <c r="C735" s="28"/>
      <c r="D735" s="28"/>
      <c r="E735" s="28"/>
      <c r="F735" s="64"/>
      <c r="G735" s="28"/>
    </row>
    <row r="736" customFormat="false" ht="15" hidden="false" customHeight="false" outlineLevel="0" collapsed="false">
      <c r="A736" s="63"/>
      <c r="B736" s="28"/>
      <c r="C736" s="28"/>
      <c r="D736" s="28"/>
      <c r="E736" s="28"/>
      <c r="F736" s="64"/>
      <c r="G736" s="28"/>
    </row>
    <row r="737" customFormat="false" ht="15" hidden="false" customHeight="false" outlineLevel="0" collapsed="false">
      <c r="A737" s="63"/>
      <c r="B737" s="28"/>
      <c r="C737" s="28"/>
      <c r="D737" s="28"/>
      <c r="E737" s="28"/>
      <c r="F737" s="64"/>
      <c r="G737" s="28"/>
    </row>
    <row r="738" customFormat="false" ht="15" hidden="false" customHeight="false" outlineLevel="0" collapsed="false">
      <c r="A738" s="63"/>
      <c r="B738" s="28"/>
      <c r="C738" s="28"/>
      <c r="D738" s="28"/>
      <c r="E738" s="28"/>
      <c r="F738" s="64"/>
      <c r="G738" s="28"/>
    </row>
    <row r="739" customFormat="false" ht="15" hidden="false" customHeight="false" outlineLevel="0" collapsed="false">
      <c r="A739" s="63"/>
      <c r="B739" s="28"/>
      <c r="C739" s="28"/>
      <c r="D739" s="28"/>
      <c r="E739" s="28"/>
      <c r="F739" s="64"/>
      <c r="G739" s="28"/>
    </row>
    <row r="740" customFormat="false" ht="15" hidden="false" customHeight="false" outlineLevel="0" collapsed="false">
      <c r="A740" s="63"/>
      <c r="B740" s="28"/>
      <c r="C740" s="28"/>
      <c r="D740" s="28"/>
      <c r="E740" s="28"/>
      <c r="F740" s="64"/>
      <c r="G740" s="28"/>
    </row>
    <row r="741" customFormat="false" ht="15" hidden="false" customHeight="false" outlineLevel="0" collapsed="false">
      <c r="A741" s="63"/>
      <c r="B741" s="28"/>
      <c r="C741" s="28"/>
      <c r="D741" s="28"/>
      <c r="E741" s="28"/>
      <c r="F741" s="64"/>
      <c r="G741" s="28"/>
    </row>
    <row r="742" customFormat="false" ht="15" hidden="false" customHeight="false" outlineLevel="0" collapsed="false">
      <c r="A742" s="63"/>
      <c r="B742" s="28"/>
      <c r="C742" s="28"/>
      <c r="D742" s="28"/>
      <c r="E742" s="28"/>
      <c r="F742" s="64"/>
      <c r="G742" s="28"/>
    </row>
    <row r="743" customFormat="false" ht="15" hidden="false" customHeight="false" outlineLevel="0" collapsed="false">
      <c r="A743" s="63"/>
      <c r="B743" s="28"/>
      <c r="C743" s="28"/>
      <c r="D743" s="28"/>
      <c r="E743" s="28"/>
      <c r="F743" s="64"/>
      <c r="G743" s="28"/>
    </row>
    <row r="744" customFormat="false" ht="15" hidden="false" customHeight="false" outlineLevel="0" collapsed="false">
      <c r="A744" s="63"/>
      <c r="B744" s="28"/>
      <c r="C744" s="28"/>
      <c r="D744" s="28"/>
      <c r="E744" s="28"/>
      <c r="F744" s="64"/>
      <c r="G744" s="28"/>
    </row>
    <row r="745" customFormat="false" ht="15" hidden="false" customHeight="false" outlineLevel="0" collapsed="false">
      <c r="A745" s="63"/>
      <c r="B745" s="28"/>
      <c r="C745" s="28"/>
      <c r="D745" s="28"/>
      <c r="E745" s="28"/>
      <c r="F745" s="64"/>
      <c r="G745" s="28"/>
    </row>
    <row r="746" customFormat="false" ht="15" hidden="false" customHeight="false" outlineLevel="0" collapsed="false">
      <c r="A746" s="63"/>
      <c r="B746" s="28"/>
      <c r="C746" s="28"/>
      <c r="D746" s="28"/>
      <c r="E746" s="28"/>
      <c r="F746" s="64"/>
      <c r="G746" s="28"/>
    </row>
    <row r="747" customFormat="false" ht="15" hidden="false" customHeight="false" outlineLevel="0" collapsed="false">
      <c r="A747" s="63"/>
      <c r="B747" s="28"/>
      <c r="C747" s="28"/>
      <c r="D747" s="28"/>
      <c r="E747" s="28"/>
      <c r="F747" s="64"/>
      <c r="G747" s="28"/>
    </row>
    <row r="748" customFormat="false" ht="15" hidden="false" customHeight="false" outlineLevel="0" collapsed="false">
      <c r="A748" s="63"/>
      <c r="B748" s="28"/>
      <c r="C748" s="28"/>
      <c r="D748" s="28"/>
      <c r="E748" s="28"/>
      <c r="F748" s="64"/>
      <c r="G748" s="28"/>
    </row>
    <row r="749" customFormat="false" ht="15" hidden="false" customHeight="false" outlineLevel="0" collapsed="false">
      <c r="A749" s="63"/>
      <c r="B749" s="28"/>
      <c r="C749" s="28"/>
      <c r="D749" s="28"/>
      <c r="E749" s="28"/>
      <c r="F749" s="64"/>
      <c r="G749" s="28"/>
    </row>
    <row r="750" customFormat="false" ht="15" hidden="false" customHeight="false" outlineLevel="0" collapsed="false">
      <c r="A750" s="63"/>
      <c r="B750" s="28"/>
      <c r="C750" s="28"/>
      <c r="D750" s="28"/>
      <c r="E750" s="28"/>
      <c r="F750" s="64"/>
      <c r="G750" s="28"/>
    </row>
    <row r="751" customFormat="false" ht="15" hidden="false" customHeight="false" outlineLevel="0" collapsed="false">
      <c r="A751" s="63"/>
      <c r="B751" s="28"/>
      <c r="C751" s="28"/>
      <c r="D751" s="28"/>
      <c r="E751" s="28"/>
      <c r="F751" s="64"/>
      <c r="G751" s="28"/>
    </row>
    <row r="752" customFormat="false" ht="15" hidden="false" customHeight="false" outlineLevel="0" collapsed="false">
      <c r="A752" s="63"/>
      <c r="B752" s="28"/>
      <c r="C752" s="28"/>
      <c r="D752" s="28"/>
      <c r="E752" s="28"/>
      <c r="F752" s="64"/>
      <c r="G752" s="28"/>
    </row>
    <row r="753" customFormat="false" ht="15" hidden="false" customHeight="false" outlineLevel="0" collapsed="false">
      <c r="A753" s="63"/>
      <c r="B753" s="28"/>
      <c r="C753" s="28"/>
      <c r="D753" s="28"/>
      <c r="E753" s="28"/>
      <c r="F753" s="64"/>
      <c r="G753" s="28"/>
    </row>
    <row r="754" customFormat="false" ht="15" hidden="false" customHeight="false" outlineLevel="0" collapsed="false">
      <c r="A754" s="63"/>
      <c r="B754" s="28"/>
      <c r="C754" s="28"/>
      <c r="D754" s="28"/>
      <c r="E754" s="28"/>
      <c r="F754" s="64"/>
      <c r="G754" s="28"/>
    </row>
    <row r="755" customFormat="false" ht="15" hidden="false" customHeight="false" outlineLevel="0" collapsed="false">
      <c r="A755" s="63"/>
      <c r="B755" s="28"/>
      <c r="C755" s="28"/>
      <c r="D755" s="28"/>
      <c r="E755" s="28"/>
      <c r="F755" s="64"/>
      <c r="G755" s="28"/>
    </row>
    <row r="756" customFormat="false" ht="15" hidden="false" customHeight="false" outlineLevel="0" collapsed="false">
      <c r="A756" s="63"/>
      <c r="B756" s="28"/>
      <c r="C756" s="28"/>
      <c r="D756" s="28"/>
      <c r="E756" s="28"/>
      <c r="F756" s="64"/>
      <c r="G756" s="28"/>
    </row>
    <row r="757" customFormat="false" ht="15" hidden="false" customHeight="false" outlineLevel="0" collapsed="false">
      <c r="A757" s="63"/>
      <c r="B757" s="28"/>
      <c r="C757" s="28"/>
      <c r="D757" s="28"/>
      <c r="E757" s="28"/>
      <c r="F757" s="64"/>
      <c r="G757" s="28"/>
    </row>
    <row r="758" customFormat="false" ht="15" hidden="false" customHeight="false" outlineLevel="0" collapsed="false">
      <c r="A758" s="63"/>
      <c r="B758" s="28"/>
      <c r="C758" s="28"/>
      <c r="D758" s="28"/>
      <c r="E758" s="28"/>
      <c r="F758" s="64"/>
      <c r="G758" s="28"/>
    </row>
    <row r="759" customFormat="false" ht="15" hidden="false" customHeight="false" outlineLevel="0" collapsed="false">
      <c r="A759" s="63"/>
      <c r="B759" s="28"/>
      <c r="C759" s="28"/>
      <c r="D759" s="28"/>
      <c r="E759" s="28"/>
      <c r="F759" s="64"/>
      <c r="G759" s="28"/>
    </row>
    <row r="760" customFormat="false" ht="15" hidden="false" customHeight="false" outlineLevel="0" collapsed="false">
      <c r="A760" s="63"/>
      <c r="B760" s="28"/>
      <c r="C760" s="28"/>
      <c r="D760" s="28"/>
      <c r="E760" s="28"/>
      <c r="F760" s="64"/>
      <c r="G760" s="28"/>
    </row>
    <row r="761" customFormat="false" ht="15" hidden="false" customHeight="false" outlineLevel="0" collapsed="false">
      <c r="A761" s="63"/>
      <c r="B761" s="28"/>
      <c r="C761" s="28"/>
      <c r="D761" s="28"/>
      <c r="E761" s="28"/>
      <c r="F761" s="64"/>
      <c r="G761" s="28"/>
    </row>
    <row r="762" customFormat="false" ht="15" hidden="false" customHeight="false" outlineLevel="0" collapsed="false">
      <c r="A762" s="63"/>
      <c r="B762" s="28"/>
      <c r="C762" s="28"/>
      <c r="D762" s="28"/>
      <c r="E762" s="28"/>
      <c r="F762" s="64"/>
      <c r="G762" s="28"/>
    </row>
    <row r="763" customFormat="false" ht="15" hidden="false" customHeight="false" outlineLevel="0" collapsed="false">
      <c r="A763" s="63"/>
      <c r="B763" s="28"/>
      <c r="C763" s="28"/>
      <c r="D763" s="28"/>
      <c r="E763" s="28"/>
      <c r="F763" s="64"/>
      <c r="G763" s="28"/>
    </row>
    <row r="764" customFormat="false" ht="15" hidden="false" customHeight="false" outlineLevel="0" collapsed="false">
      <c r="A764" s="63"/>
      <c r="B764" s="28"/>
      <c r="C764" s="28"/>
      <c r="D764" s="28"/>
      <c r="E764" s="28"/>
      <c r="F764" s="64"/>
      <c r="G764" s="28"/>
    </row>
    <row r="765" customFormat="false" ht="15" hidden="false" customHeight="false" outlineLevel="0" collapsed="false">
      <c r="A765" s="63"/>
      <c r="B765" s="28"/>
      <c r="C765" s="28"/>
      <c r="D765" s="28"/>
      <c r="E765" s="28"/>
      <c r="F765" s="64"/>
      <c r="G765" s="28"/>
    </row>
    <row r="766" customFormat="false" ht="15" hidden="false" customHeight="false" outlineLevel="0" collapsed="false">
      <c r="A766" s="63"/>
      <c r="B766" s="28"/>
      <c r="C766" s="28"/>
      <c r="D766" s="28"/>
      <c r="E766" s="28"/>
      <c r="F766" s="64"/>
      <c r="G766" s="28"/>
    </row>
    <row r="767" customFormat="false" ht="15" hidden="false" customHeight="false" outlineLevel="0" collapsed="false">
      <c r="A767" s="63"/>
      <c r="B767" s="28"/>
      <c r="C767" s="28"/>
      <c r="D767" s="28"/>
      <c r="E767" s="28"/>
      <c r="F767" s="64"/>
      <c r="G767" s="28"/>
    </row>
    <row r="768" customFormat="false" ht="15" hidden="false" customHeight="false" outlineLevel="0" collapsed="false">
      <c r="A768" s="63"/>
      <c r="B768" s="28"/>
      <c r="C768" s="28"/>
      <c r="D768" s="28"/>
      <c r="E768" s="28"/>
      <c r="F768" s="64"/>
      <c r="G768" s="28"/>
    </row>
    <row r="769" customFormat="false" ht="15" hidden="false" customHeight="false" outlineLevel="0" collapsed="false">
      <c r="A769" s="63"/>
      <c r="B769" s="28"/>
      <c r="C769" s="28"/>
      <c r="D769" s="28"/>
      <c r="E769" s="28"/>
      <c r="F769" s="64"/>
      <c r="G769" s="28"/>
    </row>
    <row r="770" customFormat="false" ht="15" hidden="false" customHeight="false" outlineLevel="0" collapsed="false">
      <c r="A770" s="63"/>
      <c r="B770" s="28"/>
      <c r="C770" s="28"/>
      <c r="D770" s="28"/>
      <c r="E770" s="28"/>
      <c r="F770" s="64"/>
      <c r="G770" s="28"/>
    </row>
    <row r="771" customFormat="false" ht="15" hidden="false" customHeight="false" outlineLevel="0" collapsed="false">
      <c r="A771" s="63"/>
      <c r="B771" s="28"/>
      <c r="C771" s="28"/>
      <c r="D771" s="28"/>
      <c r="E771" s="28"/>
      <c r="F771" s="64"/>
      <c r="G771" s="28"/>
    </row>
    <row r="772" customFormat="false" ht="15" hidden="false" customHeight="false" outlineLevel="0" collapsed="false">
      <c r="A772" s="63"/>
      <c r="B772" s="28"/>
      <c r="C772" s="28"/>
      <c r="D772" s="28"/>
      <c r="E772" s="28"/>
      <c r="F772" s="64"/>
      <c r="G772" s="28"/>
    </row>
    <row r="773" customFormat="false" ht="15" hidden="false" customHeight="false" outlineLevel="0" collapsed="false">
      <c r="A773" s="63"/>
      <c r="B773" s="28"/>
      <c r="C773" s="28"/>
      <c r="D773" s="28"/>
      <c r="E773" s="28"/>
      <c r="F773" s="64"/>
      <c r="G773" s="28"/>
    </row>
    <row r="774" customFormat="false" ht="15" hidden="false" customHeight="false" outlineLevel="0" collapsed="false">
      <c r="A774" s="63"/>
      <c r="B774" s="28"/>
      <c r="C774" s="28"/>
      <c r="D774" s="28"/>
      <c r="E774" s="28"/>
      <c r="F774" s="64"/>
      <c r="G774" s="28"/>
    </row>
    <row r="775" customFormat="false" ht="15" hidden="false" customHeight="false" outlineLevel="0" collapsed="false">
      <c r="A775" s="63"/>
      <c r="B775" s="28"/>
      <c r="C775" s="28"/>
      <c r="D775" s="28"/>
      <c r="E775" s="28"/>
      <c r="F775" s="64"/>
      <c r="G775" s="28"/>
    </row>
    <row r="776" customFormat="false" ht="15" hidden="false" customHeight="false" outlineLevel="0" collapsed="false">
      <c r="A776" s="63"/>
      <c r="B776" s="28"/>
      <c r="C776" s="28"/>
      <c r="D776" s="28"/>
      <c r="E776" s="28"/>
      <c r="F776" s="64"/>
      <c r="G776" s="28"/>
    </row>
    <row r="777" customFormat="false" ht="15" hidden="false" customHeight="false" outlineLevel="0" collapsed="false">
      <c r="A777" s="63"/>
      <c r="B777" s="28"/>
      <c r="C777" s="28"/>
      <c r="D777" s="28"/>
      <c r="E777" s="28"/>
      <c r="F777" s="64"/>
      <c r="G777" s="28"/>
    </row>
    <row r="778" customFormat="false" ht="15" hidden="false" customHeight="false" outlineLevel="0" collapsed="false">
      <c r="A778" s="63"/>
      <c r="B778" s="28"/>
      <c r="C778" s="28"/>
      <c r="D778" s="28"/>
      <c r="E778" s="28"/>
      <c r="F778" s="64"/>
      <c r="G778" s="28"/>
    </row>
    <row r="779" customFormat="false" ht="15" hidden="false" customHeight="false" outlineLevel="0" collapsed="false">
      <c r="A779" s="63"/>
      <c r="B779" s="28"/>
      <c r="C779" s="28"/>
      <c r="D779" s="28"/>
      <c r="E779" s="28"/>
      <c r="F779" s="64"/>
      <c r="G779" s="28"/>
    </row>
    <row r="780" customFormat="false" ht="15" hidden="false" customHeight="false" outlineLevel="0" collapsed="false">
      <c r="A780" s="63"/>
      <c r="B780" s="28"/>
      <c r="C780" s="28"/>
      <c r="D780" s="28"/>
      <c r="E780" s="28"/>
      <c r="F780" s="64"/>
      <c r="G780" s="28"/>
    </row>
    <row r="781" customFormat="false" ht="15" hidden="false" customHeight="false" outlineLevel="0" collapsed="false">
      <c r="A781" s="63"/>
      <c r="B781" s="28"/>
      <c r="C781" s="28"/>
      <c r="D781" s="28"/>
      <c r="E781" s="28"/>
      <c r="F781" s="64"/>
      <c r="G781" s="28"/>
    </row>
    <row r="782" customFormat="false" ht="15" hidden="false" customHeight="false" outlineLevel="0" collapsed="false">
      <c r="A782" s="63"/>
      <c r="B782" s="28"/>
      <c r="C782" s="28"/>
      <c r="D782" s="28"/>
      <c r="E782" s="28"/>
      <c r="F782" s="64"/>
      <c r="G782" s="28"/>
    </row>
    <row r="783" customFormat="false" ht="15" hidden="false" customHeight="false" outlineLevel="0" collapsed="false">
      <c r="A783" s="63"/>
      <c r="B783" s="28"/>
      <c r="C783" s="28"/>
      <c r="D783" s="28"/>
      <c r="E783" s="28"/>
      <c r="F783" s="64"/>
      <c r="G783" s="28"/>
    </row>
    <row r="784" customFormat="false" ht="15" hidden="false" customHeight="false" outlineLevel="0" collapsed="false">
      <c r="A784" s="63"/>
      <c r="B784" s="28"/>
      <c r="C784" s="28"/>
      <c r="D784" s="28"/>
      <c r="E784" s="28"/>
      <c r="F784" s="64"/>
      <c r="G784" s="28"/>
    </row>
    <row r="785" customFormat="false" ht="15" hidden="false" customHeight="false" outlineLevel="0" collapsed="false">
      <c r="A785" s="63"/>
      <c r="B785" s="28"/>
      <c r="C785" s="28"/>
      <c r="D785" s="28"/>
      <c r="E785" s="28"/>
      <c r="F785" s="64"/>
      <c r="G785" s="28"/>
    </row>
    <row r="786" customFormat="false" ht="15" hidden="false" customHeight="false" outlineLevel="0" collapsed="false">
      <c r="A786" s="63"/>
      <c r="B786" s="28"/>
      <c r="C786" s="28"/>
      <c r="D786" s="28"/>
      <c r="E786" s="28"/>
      <c r="F786" s="64"/>
      <c r="G786" s="28"/>
    </row>
    <row r="787" customFormat="false" ht="15" hidden="false" customHeight="false" outlineLevel="0" collapsed="false">
      <c r="A787" s="63"/>
      <c r="B787" s="28"/>
      <c r="C787" s="28"/>
      <c r="D787" s="28"/>
      <c r="E787" s="28"/>
      <c r="F787" s="64"/>
      <c r="G787" s="28"/>
    </row>
    <row r="788" customFormat="false" ht="15" hidden="false" customHeight="false" outlineLevel="0" collapsed="false">
      <c r="A788" s="63"/>
      <c r="B788" s="28"/>
      <c r="C788" s="28"/>
      <c r="D788" s="28"/>
      <c r="E788" s="28"/>
      <c r="F788" s="64"/>
      <c r="G788" s="28"/>
    </row>
    <row r="789" customFormat="false" ht="15" hidden="false" customHeight="false" outlineLevel="0" collapsed="false">
      <c r="A789" s="63"/>
      <c r="B789" s="28"/>
      <c r="C789" s="28"/>
      <c r="D789" s="28"/>
      <c r="E789" s="28"/>
      <c r="F789" s="64"/>
      <c r="G789" s="28"/>
    </row>
    <row r="790" customFormat="false" ht="15" hidden="false" customHeight="false" outlineLevel="0" collapsed="false">
      <c r="A790" s="63"/>
      <c r="B790" s="28"/>
      <c r="C790" s="28"/>
      <c r="D790" s="28"/>
      <c r="E790" s="28"/>
      <c r="F790" s="64"/>
      <c r="G790" s="28"/>
    </row>
    <row r="791" customFormat="false" ht="15" hidden="false" customHeight="false" outlineLevel="0" collapsed="false">
      <c r="A791" s="63"/>
      <c r="B791" s="28"/>
      <c r="C791" s="28"/>
      <c r="D791" s="28"/>
      <c r="E791" s="28"/>
      <c r="F791" s="64"/>
      <c r="G791" s="28"/>
    </row>
    <row r="792" customFormat="false" ht="15" hidden="false" customHeight="false" outlineLevel="0" collapsed="false">
      <c r="A792" s="63"/>
      <c r="B792" s="28"/>
      <c r="C792" s="28"/>
      <c r="D792" s="28"/>
      <c r="E792" s="28"/>
      <c r="F792" s="64"/>
      <c r="G792" s="28"/>
    </row>
    <row r="793" customFormat="false" ht="15" hidden="false" customHeight="false" outlineLevel="0" collapsed="false">
      <c r="A793" s="63"/>
      <c r="B793" s="28"/>
      <c r="C793" s="28"/>
      <c r="D793" s="28"/>
      <c r="E793" s="28"/>
      <c r="F793" s="64"/>
      <c r="G793" s="28"/>
    </row>
    <row r="794" customFormat="false" ht="15" hidden="false" customHeight="false" outlineLevel="0" collapsed="false">
      <c r="A794" s="63"/>
      <c r="B794" s="28"/>
      <c r="C794" s="28"/>
      <c r="D794" s="28"/>
      <c r="E794" s="28"/>
      <c r="F794" s="64"/>
      <c r="G794" s="28"/>
    </row>
    <row r="795" customFormat="false" ht="15" hidden="false" customHeight="false" outlineLevel="0" collapsed="false">
      <c r="A795" s="63"/>
      <c r="B795" s="28"/>
      <c r="C795" s="28"/>
      <c r="D795" s="28"/>
      <c r="E795" s="28"/>
      <c r="F795" s="64"/>
      <c r="G795" s="28"/>
    </row>
    <row r="796" customFormat="false" ht="15" hidden="false" customHeight="false" outlineLevel="0" collapsed="false">
      <c r="A796" s="63"/>
      <c r="B796" s="28"/>
      <c r="C796" s="28"/>
      <c r="D796" s="28"/>
      <c r="E796" s="28"/>
      <c r="F796" s="64"/>
      <c r="G796" s="28"/>
    </row>
    <row r="797" customFormat="false" ht="15" hidden="false" customHeight="false" outlineLevel="0" collapsed="false">
      <c r="A797" s="63"/>
      <c r="B797" s="28"/>
      <c r="C797" s="28"/>
      <c r="D797" s="28"/>
      <c r="E797" s="28"/>
      <c r="F797" s="64"/>
      <c r="G797" s="28"/>
    </row>
    <row r="798" customFormat="false" ht="15" hidden="false" customHeight="false" outlineLevel="0" collapsed="false">
      <c r="A798" s="63"/>
      <c r="B798" s="28"/>
      <c r="C798" s="28"/>
      <c r="D798" s="28"/>
      <c r="E798" s="28"/>
      <c r="F798" s="64"/>
      <c r="G798" s="28"/>
    </row>
    <row r="799" customFormat="false" ht="15" hidden="false" customHeight="false" outlineLevel="0" collapsed="false">
      <c r="A799" s="63"/>
      <c r="B799" s="28"/>
      <c r="C799" s="28"/>
      <c r="D799" s="28"/>
      <c r="E799" s="28"/>
      <c r="F799" s="64"/>
      <c r="G799" s="28"/>
    </row>
    <row r="800" customFormat="false" ht="15" hidden="false" customHeight="false" outlineLevel="0" collapsed="false">
      <c r="A800" s="63"/>
      <c r="B800" s="28"/>
      <c r="C800" s="28"/>
      <c r="D800" s="28"/>
      <c r="E800" s="28"/>
      <c r="F800" s="64"/>
      <c r="G800" s="28"/>
    </row>
    <row r="801" customFormat="false" ht="15" hidden="false" customHeight="false" outlineLevel="0" collapsed="false">
      <c r="A801" s="63"/>
      <c r="B801" s="28"/>
      <c r="C801" s="28"/>
      <c r="D801" s="28"/>
      <c r="E801" s="28"/>
      <c r="F801" s="64"/>
      <c r="G801" s="28"/>
    </row>
    <row r="802" customFormat="false" ht="15" hidden="false" customHeight="false" outlineLevel="0" collapsed="false">
      <c r="A802" s="63"/>
      <c r="B802" s="28"/>
      <c r="C802" s="28"/>
      <c r="D802" s="28"/>
      <c r="E802" s="28"/>
      <c r="F802" s="64"/>
      <c r="G802" s="28"/>
    </row>
    <row r="803" customFormat="false" ht="15" hidden="false" customHeight="false" outlineLevel="0" collapsed="false">
      <c r="A803" s="63"/>
      <c r="B803" s="28"/>
      <c r="C803" s="28"/>
      <c r="D803" s="28"/>
      <c r="E803" s="28"/>
      <c r="F803" s="64"/>
      <c r="G803" s="28"/>
    </row>
    <row r="804" customFormat="false" ht="15" hidden="false" customHeight="false" outlineLevel="0" collapsed="false">
      <c r="A804" s="63"/>
      <c r="B804" s="28"/>
      <c r="C804" s="28"/>
      <c r="D804" s="28"/>
      <c r="E804" s="28"/>
      <c r="F804" s="64"/>
      <c r="G804" s="28"/>
    </row>
    <row r="805" customFormat="false" ht="15" hidden="false" customHeight="false" outlineLevel="0" collapsed="false">
      <c r="A805" s="63"/>
      <c r="B805" s="28"/>
      <c r="C805" s="28"/>
      <c r="D805" s="28"/>
      <c r="E805" s="28"/>
      <c r="F805" s="64"/>
      <c r="G805" s="28"/>
    </row>
    <row r="806" customFormat="false" ht="15" hidden="false" customHeight="false" outlineLevel="0" collapsed="false">
      <c r="A806" s="63"/>
      <c r="B806" s="28"/>
      <c r="C806" s="28"/>
      <c r="D806" s="28"/>
      <c r="E806" s="28"/>
      <c r="F806" s="64"/>
      <c r="G806" s="28"/>
    </row>
    <row r="807" customFormat="false" ht="15" hidden="false" customHeight="false" outlineLevel="0" collapsed="false">
      <c r="A807" s="63"/>
      <c r="B807" s="28"/>
      <c r="C807" s="28"/>
      <c r="D807" s="28"/>
      <c r="E807" s="28"/>
      <c r="F807" s="64"/>
      <c r="G807" s="28"/>
    </row>
    <row r="808" customFormat="false" ht="15" hidden="false" customHeight="false" outlineLevel="0" collapsed="false">
      <c r="A808" s="63"/>
      <c r="B808" s="28"/>
      <c r="C808" s="28"/>
      <c r="D808" s="28"/>
      <c r="E808" s="28"/>
      <c r="F808" s="64"/>
      <c r="G808" s="28"/>
    </row>
    <row r="809" customFormat="false" ht="15" hidden="false" customHeight="false" outlineLevel="0" collapsed="false">
      <c r="A809" s="63"/>
      <c r="B809" s="28"/>
      <c r="C809" s="28"/>
      <c r="D809" s="28"/>
      <c r="E809" s="28"/>
      <c r="F809" s="64"/>
      <c r="G809" s="28"/>
    </row>
    <row r="810" customFormat="false" ht="15" hidden="false" customHeight="false" outlineLevel="0" collapsed="false">
      <c r="A810" s="63"/>
      <c r="B810" s="28"/>
      <c r="C810" s="28"/>
      <c r="D810" s="28"/>
      <c r="E810" s="28"/>
      <c r="F810" s="64"/>
      <c r="G810" s="28"/>
    </row>
    <row r="811" customFormat="false" ht="15" hidden="false" customHeight="false" outlineLevel="0" collapsed="false">
      <c r="A811" s="63"/>
      <c r="B811" s="28"/>
      <c r="C811" s="28"/>
      <c r="D811" s="28"/>
      <c r="E811" s="28"/>
      <c r="F811" s="64"/>
      <c r="G811" s="28"/>
    </row>
    <row r="812" customFormat="false" ht="15" hidden="false" customHeight="false" outlineLevel="0" collapsed="false">
      <c r="A812" s="63"/>
      <c r="B812" s="28"/>
      <c r="C812" s="28"/>
      <c r="D812" s="28"/>
      <c r="E812" s="28"/>
      <c r="F812" s="64"/>
      <c r="G812" s="28"/>
    </row>
    <row r="813" customFormat="false" ht="15" hidden="false" customHeight="false" outlineLevel="0" collapsed="false">
      <c r="A813" s="63"/>
      <c r="B813" s="28"/>
      <c r="C813" s="28"/>
      <c r="D813" s="28"/>
      <c r="E813" s="28"/>
      <c r="F813" s="64"/>
      <c r="G813" s="28"/>
    </row>
    <row r="814" customFormat="false" ht="15" hidden="false" customHeight="false" outlineLevel="0" collapsed="false">
      <c r="A814" s="63"/>
      <c r="B814" s="28"/>
      <c r="C814" s="28"/>
      <c r="D814" s="28"/>
      <c r="E814" s="28"/>
      <c r="F814" s="64"/>
      <c r="G814" s="28"/>
    </row>
    <row r="815" customFormat="false" ht="15" hidden="false" customHeight="false" outlineLevel="0" collapsed="false">
      <c r="A815" s="63"/>
      <c r="B815" s="28"/>
      <c r="C815" s="28"/>
      <c r="D815" s="28"/>
      <c r="E815" s="28"/>
      <c r="F815" s="64"/>
      <c r="G815" s="28"/>
    </row>
    <row r="816" customFormat="false" ht="15" hidden="false" customHeight="false" outlineLevel="0" collapsed="false">
      <c r="A816" s="63"/>
      <c r="B816" s="28"/>
      <c r="C816" s="28"/>
      <c r="D816" s="28"/>
      <c r="E816" s="28"/>
      <c r="F816" s="64"/>
      <c r="G816" s="28"/>
    </row>
    <row r="817" customFormat="false" ht="15" hidden="false" customHeight="false" outlineLevel="0" collapsed="false">
      <c r="A817" s="63"/>
      <c r="B817" s="28"/>
      <c r="C817" s="28"/>
      <c r="D817" s="28"/>
      <c r="E817" s="28"/>
      <c r="F817" s="64"/>
      <c r="G817" s="28"/>
    </row>
    <row r="818" customFormat="false" ht="15" hidden="false" customHeight="false" outlineLevel="0" collapsed="false">
      <c r="A818" s="63"/>
      <c r="B818" s="28"/>
      <c r="C818" s="28"/>
      <c r="D818" s="28"/>
      <c r="E818" s="28"/>
      <c r="F818" s="64"/>
      <c r="G818" s="28"/>
    </row>
    <row r="819" customFormat="false" ht="15" hidden="false" customHeight="false" outlineLevel="0" collapsed="false">
      <c r="A819" s="63"/>
      <c r="B819" s="28"/>
      <c r="C819" s="28"/>
      <c r="D819" s="28"/>
      <c r="E819" s="28"/>
      <c r="F819" s="64"/>
      <c r="G819" s="28"/>
    </row>
    <row r="820" customFormat="false" ht="15" hidden="false" customHeight="false" outlineLevel="0" collapsed="false">
      <c r="A820" s="63"/>
      <c r="B820" s="28"/>
      <c r="C820" s="28"/>
      <c r="D820" s="28"/>
      <c r="E820" s="28"/>
      <c r="F820" s="64"/>
      <c r="G820" s="28"/>
    </row>
    <row r="821" customFormat="false" ht="15" hidden="false" customHeight="false" outlineLevel="0" collapsed="false">
      <c r="A821" s="63"/>
      <c r="B821" s="28"/>
      <c r="C821" s="28"/>
      <c r="D821" s="28"/>
      <c r="E821" s="28"/>
      <c r="F821" s="64"/>
      <c r="G821" s="28"/>
    </row>
    <row r="822" customFormat="false" ht="15" hidden="false" customHeight="false" outlineLevel="0" collapsed="false">
      <c r="A822" s="63"/>
      <c r="B822" s="28"/>
      <c r="C822" s="28"/>
      <c r="D822" s="28"/>
      <c r="E822" s="28"/>
      <c r="F822" s="64"/>
      <c r="G822" s="28"/>
    </row>
    <row r="823" customFormat="false" ht="15" hidden="false" customHeight="false" outlineLevel="0" collapsed="false">
      <c r="A823" s="63"/>
      <c r="B823" s="28"/>
      <c r="C823" s="28"/>
      <c r="D823" s="28"/>
      <c r="E823" s="28"/>
      <c r="F823" s="64"/>
      <c r="G823" s="28"/>
    </row>
    <row r="824" customFormat="false" ht="15" hidden="false" customHeight="false" outlineLevel="0" collapsed="false">
      <c r="A824" s="63"/>
      <c r="B824" s="28"/>
      <c r="C824" s="28"/>
      <c r="D824" s="28"/>
      <c r="E824" s="28"/>
      <c r="F824" s="64"/>
      <c r="G824" s="28"/>
    </row>
    <row r="825" customFormat="false" ht="15" hidden="false" customHeight="false" outlineLevel="0" collapsed="false">
      <c r="A825" s="63"/>
      <c r="B825" s="28"/>
      <c r="C825" s="28"/>
      <c r="D825" s="28"/>
      <c r="E825" s="28"/>
      <c r="F825" s="64"/>
      <c r="G825" s="28"/>
    </row>
    <row r="826" customFormat="false" ht="15" hidden="false" customHeight="false" outlineLevel="0" collapsed="false">
      <c r="A826" s="63"/>
      <c r="B826" s="28"/>
      <c r="C826" s="28"/>
      <c r="D826" s="28"/>
      <c r="E826" s="28"/>
      <c r="F826" s="64"/>
      <c r="G826" s="28"/>
    </row>
    <row r="827" customFormat="false" ht="15" hidden="false" customHeight="false" outlineLevel="0" collapsed="false">
      <c r="A827" s="63"/>
      <c r="B827" s="28"/>
      <c r="C827" s="28"/>
      <c r="D827" s="28"/>
      <c r="E827" s="28"/>
      <c r="F827" s="64"/>
      <c r="G827" s="28"/>
    </row>
    <row r="828" customFormat="false" ht="15" hidden="false" customHeight="false" outlineLevel="0" collapsed="false">
      <c r="A828" s="63"/>
      <c r="B828" s="28"/>
      <c r="C828" s="28"/>
      <c r="D828" s="28"/>
      <c r="E828" s="28"/>
      <c r="F828" s="64"/>
      <c r="G828" s="28"/>
    </row>
    <row r="829" customFormat="false" ht="15" hidden="false" customHeight="false" outlineLevel="0" collapsed="false">
      <c r="A829" s="63"/>
      <c r="B829" s="28"/>
      <c r="C829" s="28"/>
      <c r="D829" s="28"/>
      <c r="E829" s="28"/>
      <c r="F829" s="64"/>
      <c r="G829" s="28"/>
    </row>
    <row r="830" customFormat="false" ht="15" hidden="false" customHeight="false" outlineLevel="0" collapsed="false">
      <c r="A830" s="63"/>
      <c r="B830" s="28"/>
      <c r="C830" s="28"/>
      <c r="D830" s="28"/>
      <c r="E830" s="28"/>
      <c r="F830" s="64"/>
      <c r="G830" s="28"/>
    </row>
    <row r="831" customFormat="false" ht="15" hidden="false" customHeight="false" outlineLevel="0" collapsed="false">
      <c r="A831" s="63"/>
      <c r="B831" s="28"/>
      <c r="C831" s="28"/>
      <c r="D831" s="28"/>
      <c r="E831" s="28"/>
      <c r="F831" s="64"/>
      <c r="G831" s="28"/>
    </row>
    <row r="832" customFormat="false" ht="15" hidden="false" customHeight="false" outlineLevel="0" collapsed="false">
      <c r="A832" s="63"/>
      <c r="B832" s="28"/>
      <c r="C832" s="28"/>
      <c r="D832" s="28"/>
      <c r="E832" s="28"/>
      <c r="F832" s="64"/>
      <c r="G832" s="28"/>
    </row>
    <row r="833" customFormat="false" ht="15" hidden="false" customHeight="false" outlineLevel="0" collapsed="false">
      <c r="A833" s="63"/>
      <c r="B833" s="28"/>
      <c r="C833" s="28"/>
      <c r="D833" s="28"/>
      <c r="E833" s="28"/>
      <c r="F833" s="64"/>
      <c r="G833" s="28"/>
    </row>
    <row r="834" customFormat="false" ht="15" hidden="false" customHeight="false" outlineLevel="0" collapsed="false">
      <c r="A834" s="63"/>
      <c r="B834" s="28"/>
      <c r="C834" s="28"/>
      <c r="D834" s="28"/>
      <c r="E834" s="28"/>
      <c r="F834" s="64"/>
      <c r="G834" s="28"/>
    </row>
    <row r="835" customFormat="false" ht="15" hidden="false" customHeight="false" outlineLevel="0" collapsed="false">
      <c r="A835" s="63"/>
      <c r="B835" s="28"/>
      <c r="C835" s="28"/>
      <c r="D835" s="28"/>
      <c r="E835" s="28"/>
      <c r="F835" s="64"/>
      <c r="G835" s="28"/>
    </row>
    <row r="836" customFormat="false" ht="15" hidden="false" customHeight="false" outlineLevel="0" collapsed="false">
      <c r="A836" s="63"/>
      <c r="B836" s="28"/>
      <c r="C836" s="28"/>
      <c r="D836" s="28"/>
      <c r="E836" s="28"/>
      <c r="F836" s="64"/>
      <c r="G836" s="28"/>
    </row>
    <row r="837" customFormat="false" ht="15" hidden="false" customHeight="false" outlineLevel="0" collapsed="false">
      <c r="A837" s="63"/>
      <c r="B837" s="28"/>
      <c r="C837" s="28"/>
      <c r="D837" s="28"/>
      <c r="E837" s="28"/>
      <c r="F837" s="64"/>
      <c r="G837" s="28"/>
    </row>
    <row r="838" customFormat="false" ht="15" hidden="false" customHeight="false" outlineLevel="0" collapsed="false">
      <c r="A838" s="63"/>
      <c r="B838" s="28"/>
      <c r="C838" s="28"/>
      <c r="D838" s="28"/>
      <c r="E838" s="28"/>
      <c r="F838" s="64"/>
      <c r="G838" s="28"/>
    </row>
    <row r="839" customFormat="false" ht="15" hidden="false" customHeight="false" outlineLevel="0" collapsed="false">
      <c r="A839" s="63"/>
      <c r="B839" s="28"/>
      <c r="C839" s="28"/>
      <c r="D839" s="28"/>
      <c r="E839" s="28"/>
      <c r="F839" s="64"/>
      <c r="G839" s="28"/>
    </row>
    <row r="840" customFormat="false" ht="15" hidden="false" customHeight="false" outlineLevel="0" collapsed="false">
      <c r="A840" s="63"/>
      <c r="B840" s="28"/>
      <c r="C840" s="28"/>
      <c r="D840" s="28"/>
      <c r="E840" s="28"/>
      <c r="F840" s="64"/>
      <c r="G840" s="28"/>
    </row>
    <row r="841" customFormat="false" ht="15" hidden="false" customHeight="false" outlineLevel="0" collapsed="false">
      <c r="A841" s="63"/>
      <c r="B841" s="28"/>
      <c r="C841" s="28"/>
      <c r="D841" s="28"/>
      <c r="E841" s="28"/>
      <c r="F841" s="64"/>
      <c r="G841" s="28"/>
    </row>
    <row r="842" customFormat="false" ht="15" hidden="false" customHeight="false" outlineLevel="0" collapsed="false">
      <c r="A842" s="63"/>
      <c r="B842" s="28"/>
      <c r="C842" s="28"/>
      <c r="D842" s="28"/>
      <c r="E842" s="28"/>
      <c r="F842" s="64"/>
      <c r="G842" s="28"/>
    </row>
    <row r="843" customFormat="false" ht="15" hidden="false" customHeight="false" outlineLevel="0" collapsed="false">
      <c r="A843" s="63"/>
      <c r="B843" s="28"/>
      <c r="C843" s="28"/>
      <c r="D843" s="28"/>
      <c r="E843" s="28"/>
      <c r="F843" s="64"/>
      <c r="G843" s="28"/>
    </row>
    <row r="844" customFormat="false" ht="15" hidden="false" customHeight="false" outlineLevel="0" collapsed="false">
      <c r="A844" s="63"/>
      <c r="B844" s="28"/>
      <c r="C844" s="28"/>
      <c r="D844" s="28"/>
      <c r="E844" s="28"/>
      <c r="F844" s="64"/>
      <c r="G844" s="28"/>
    </row>
    <row r="845" customFormat="false" ht="15" hidden="false" customHeight="false" outlineLevel="0" collapsed="false">
      <c r="A845" s="63"/>
      <c r="B845" s="28"/>
      <c r="C845" s="28"/>
      <c r="D845" s="28"/>
      <c r="E845" s="28"/>
      <c r="F845" s="64"/>
      <c r="G845" s="28"/>
    </row>
    <row r="846" customFormat="false" ht="15" hidden="false" customHeight="false" outlineLevel="0" collapsed="false">
      <c r="A846" s="63"/>
      <c r="B846" s="28"/>
      <c r="C846" s="28"/>
      <c r="D846" s="28"/>
      <c r="E846" s="28"/>
      <c r="F846" s="64"/>
      <c r="G846" s="28"/>
    </row>
    <row r="847" customFormat="false" ht="15" hidden="false" customHeight="false" outlineLevel="0" collapsed="false">
      <c r="A847" s="63"/>
      <c r="B847" s="28"/>
      <c r="C847" s="28"/>
      <c r="D847" s="28"/>
      <c r="E847" s="28"/>
      <c r="F847" s="64"/>
      <c r="G847" s="28"/>
    </row>
    <row r="848" customFormat="false" ht="15" hidden="false" customHeight="false" outlineLevel="0" collapsed="false">
      <c r="A848" s="63"/>
      <c r="B848" s="28"/>
      <c r="C848" s="28"/>
      <c r="D848" s="28"/>
      <c r="E848" s="28"/>
      <c r="F848" s="64"/>
      <c r="G848" s="28"/>
    </row>
    <row r="849" customFormat="false" ht="15" hidden="false" customHeight="false" outlineLevel="0" collapsed="false">
      <c r="A849" s="63"/>
      <c r="B849" s="28"/>
      <c r="C849" s="28"/>
      <c r="D849" s="28"/>
      <c r="E849" s="28"/>
      <c r="F849" s="64"/>
      <c r="G849" s="28"/>
    </row>
    <row r="850" customFormat="false" ht="15" hidden="false" customHeight="false" outlineLevel="0" collapsed="false">
      <c r="A850" s="63"/>
      <c r="B850" s="28"/>
      <c r="C850" s="28"/>
      <c r="D850" s="28"/>
      <c r="E850" s="28"/>
      <c r="F850" s="64"/>
      <c r="G850" s="28"/>
    </row>
    <row r="851" customFormat="false" ht="15" hidden="false" customHeight="false" outlineLevel="0" collapsed="false">
      <c r="A851" s="63"/>
      <c r="B851" s="28"/>
      <c r="C851" s="28"/>
      <c r="D851" s="28"/>
      <c r="E851" s="28"/>
      <c r="F851" s="64"/>
      <c r="G851" s="28"/>
    </row>
    <row r="852" customFormat="false" ht="15" hidden="false" customHeight="false" outlineLevel="0" collapsed="false">
      <c r="A852" s="63"/>
      <c r="B852" s="28"/>
      <c r="C852" s="28"/>
      <c r="D852" s="28"/>
      <c r="E852" s="28"/>
      <c r="F852" s="64"/>
      <c r="G852" s="28"/>
    </row>
    <row r="853" customFormat="false" ht="15" hidden="false" customHeight="false" outlineLevel="0" collapsed="false">
      <c r="A853" s="63"/>
      <c r="B853" s="28"/>
      <c r="C853" s="28"/>
      <c r="D853" s="28"/>
      <c r="E853" s="28"/>
      <c r="F853" s="64"/>
      <c r="G853" s="28"/>
    </row>
    <row r="854" customFormat="false" ht="15" hidden="false" customHeight="false" outlineLevel="0" collapsed="false">
      <c r="A854" s="63"/>
      <c r="B854" s="28"/>
      <c r="C854" s="28"/>
      <c r="D854" s="28"/>
      <c r="E854" s="28"/>
      <c r="F854" s="64"/>
      <c r="G854" s="28"/>
    </row>
    <row r="855" customFormat="false" ht="15" hidden="false" customHeight="false" outlineLevel="0" collapsed="false">
      <c r="A855" s="63"/>
      <c r="B855" s="28"/>
      <c r="C855" s="28"/>
      <c r="D855" s="28"/>
      <c r="E855" s="28"/>
      <c r="F855" s="64"/>
      <c r="G855" s="28"/>
    </row>
    <row r="856" customFormat="false" ht="15" hidden="false" customHeight="false" outlineLevel="0" collapsed="false">
      <c r="A856" s="63"/>
      <c r="B856" s="28"/>
      <c r="C856" s="28"/>
      <c r="D856" s="28"/>
      <c r="E856" s="28"/>
      <c r="F856" s="64"/>
      <c r="G856" s="28"/>
    </row>
    <row r="857" customFormat="false" ht="15" hidden="false" customHeight="false" outlineLevel="0" collapsed="false">
      <c r="A857" s="63"/>
      <c r="B857" s="28"/>
      <c r="C857" s="28"/>
      <c r="D857" s="28"/>
      <c r="E857" s="28"/>
      <c r="F857" s="64"/>
      <c r="G857" s="28"/>
    </row>
    <row r="858" customFormat="false" ht="15" hidden="false" customHeight="false" outlineLevel="0" collapsed="false">
      <c r="A858" s="63"/>
      <c r="B858" s="28"/>
      <c r="C858" s="28"/>
      <c r="D858" s="28"/>
      <c r="E858" s="28"/>
      <c r="F858" s="64"/>
      <c r="G858" s="28"/>
    </row>
    <row r="859" customFormat="false" ht="15" hidden="false" customHeight="false" outlineLevel="0" collapsed="false">
      <c r="A859" s="63"/>
      <c r="B859" s="28"/>
      <c r="C859" s="28"/>
      <c r="D859" s="28"/>
      <c r="E859" s="28"/>
      <c r="F859" s="64"/>
      <c r="G859" s="28"/>
    </row>
    <row r="860" customFormat="false" ht="15" hidden="false" customHeight="false" outlineLevel="0" collapsed="false">
      <c r="A860" s="63"/>
      <c r="B860" s="28"/>
      <c r="C860" s="28"/>
      <c r="D860" s="28"/>
      <c r="E860" s="28"/>
      <c r="F860" s="64"/>
      <c r="G860" s="28"/>
    </row>
    <row r="861" customFormat="false" ht="15" hidden="false" customHeight="false" outlineLevel="0" collapsed="false">
      <c r="A861" s="63"/>
      <c r="B861" s="28"/>
      <c r="C861" s="28"/>
      <c r="D861" s="28"/>
      <c r="E861" s="28"/>
      <c r="F861" s="64"/>
      <c r="G861" s="28"/>
    </row>
    <row r="862" customFormat="false" ht="15" hidden="false" customHeight="false" outlineLevel="0" collapsed="false">
      <c r="A862" s="63"/>
      <c r="B862" s="28"/>
      <c r="C862" s="28"/>
      <c r="D862" s="28"/>
      <c r="E862" s="28"/>
      <c r="F862" s="64"/>
      <c r="G862" s="28"/>
    </row>
    <row r="863" customFormat="false" ht="15" hidden="false" customHeight="false" outlineLevel="0" collapsed="false">
      <c r="A863" s="63"/>
      <c r="B863" s="28"/>
      <c r="C863" s="28"/>
      <c r="D863" s="28"/>
      <c r="E863" s="28"/>
      <c r="F863" s="64"/>
      <c r="G863" s="28"/>
    </row>
    <row r="864" customFormat="false" ht="15" hidden="false" customHeight="false" outlineLevel="0" collapsed="false">
      <c r="A864" s="63"/>
      <c r="B864" s="28"/>
      <c r="C864" s="28"/>
      <c r="D864" s="28"/>
      <c r="E864" s="28"/>
      <c r="F864" s="64"/>
      <c r="G864" s="28"/>
    </row>
    <row r="865" customFormat="false" ht="15" hidden="false" customHeight="false" outlineLevel="0" collapsed="false">
      <c r="A865" s="63"/>
      <c r="B865" s="28"/>
      <c r="C865" s="28"/>
      <c r="D865" s="28"/>
      <c r="E865" s="28"/>
      <c r="F865" s="64"/>
      <c r="G865" s="28"/>
    </row>
    <row r="866" customFormat="false" ht="15" hidden="false" customHeight="false" outlineLevel="0" collapsed="false">
      <c r="A866" s="63"/>
      <c r="B866" s="28"/>
      <c r="C866" s="28"/>
      <c r="D866" s="28"/>
      <c r="E866" s="28"/>
      <c r="F866" s="64"/>
      <c r="G866" s="28"/>
    </row>
    <row r="867" customFormat="false" ht="15" hidden="false" customHeight="false" outlineLevel="0" collapsed="false">
      <c r="A867" s="63"/>
      <c r="B867" s="28"/>
      <c r="C867" s="28"/>
      <c r="D867" s="28"/>
      <c r="E867" s="28"/>
      <c r="F867" s="64"/>
      <c r="G867" s="28"/>
    </row>
    <row r="868" customFormat="false" ht="15" hidden="false" customHeight="false" outlineLevel="0" collapsed="false">
      <c r="A868" s="63"/>
      <c r="B868" s="28"/>
      <c r="C868" s="28"/>
      <c r="D868" s="28"/>
      <c r="E868" s="28"/>
      <c r="F868" s="64"/>
      <c r="G868" s="28"/>
    </row>
    <row r="869" customFormat="false" ht="15" hidden="false" customHeight="false" outlineLevel="0" collapsed="false">
      <c r="A869" s="63"/>
      <c r="B869" s="28"/>
      <c r="C869" s="28"/>
      <c r="D869" s="28"/>
      <c r="E869" s="28"/>
      <c r="F869" s="64"/>
      <c r="G869" s="28"/>
    </row>
    <row r="870" customFormat="false" ht="15" hidden="false" customHeight="false" outlineLevel="0" collapsed="false">
      <c r="A870" s="63"/>
      <c r="B870" s="28"/>
      <c r="C870" s="28"/>
      <c r="D870" s="28"/>
      <c r="E870" s="28"/>
      <c r="F870" s="64"/>
      <c r="G870" s="28"/>
    </row>
    <row r="871" customFormat="false" ht="15" hidden="false" customHeight="false" outlineLevel="0" collapsed="false">
      <c r="A871" s="63"/>
      <c r="B871" s="28"/>
      <c r="C871" s="28"/>
      <c r="D871" s="28"/>
      <c r="E871" s="28"/>
      <c r="F871" s="64"/>
      <c r="G871" s="28"/>
    </row>
    <row r="872" customFormat="false" ht="15" hidden="false" customHeight="false" outlineLevel="0" collapsed="false">
      <c r="A872" s="63"/>
      <c r="B872" s="28"/>
      <c r="C872" s="28"/>
      <c r="D872" s="28"/>
      <c r="E872" s="28"/>
      <c r="F872" s="64"/>
      <c r="G872" s="28"/>
    </row>
    <row r="873" customFormat="false" ht="15" hidden="false" customHeight="false" outlineLevel="0" collapsed="false">
      <c r="A873" s="63"/>
      <c r="B873" s="28"/>
      <c r="C873" s="28"/>
      <c r="D873" s="28"/>
      <c r="E873" s="28"/>
      <c r="F873" s="64"/>
      <c r="G873" s="28"/>
    </row>
    <row r="874" customFormat="false" ht="15" hidden="false" customHeight="false" outlineLevel="0" collapsed="false">
      <c r="A874" s="63"/>
      <c r="B874" s="28"/>
      <c r="C874" s="28"/>
      <c r="D874" s="28"/>
      <c r="E874" s="28"/>
      <c r="F874" s="64"/>
      <c r="G874" s="28"/>
    </row>
    <row r="875" customFormat="false" ht="15" hidden="false" customHeight="false" outlineLevel="0" collapsed="false">
      <c r="A875" s="63"/>
      <c r="B875" s="28"/>
      <c r="C875" s="28"/>
      <c r="D875" s="28"/>
      <c r="E875" s="28"/>
      <c r="F875" s="64"/>
      <c r="G875" s="28"/>
    </row>
    <row r="876" customFormat="false" ht="15" hidden="false" customHeight="false" outlineLevel="0" collapsed="false">
      <c r="A876" s="63"/>
      <c r="B876" s="28"/>
      <c r="C876" s="28"/>
      <c r="D876" s="28"/>
      <c r="E876" s="28"/>
      <c r="F876" s="64"/>
      <c r="G876" s="28"/>
    </row>
    <row r="877" customFormat="false" ht="15" hidden="false" customHeight="false" outlineLevel="0" collapsed="false">
      <c r="A877" s="63"/>
      <c r="B877" s="28"/>
      <c r="C877" s="28"/>
      <c r="D877" s="28"/>
      <c r="E877" s="28"/>
      <c r="F877" s="64"/>
      <c r="G877" s="28"/>
    </row>
    <row r="878" customFormat="false" ht="15" hidden="false" customHeight="false" outlineLevel="0" collapsed="false">
      <c r="A878" s="63"/>
      <c r="B878" s="28"/>
      <c r="C878" s="28"/>
      <c r="D878" s="28"/>
      <c r="E878" s="28"/>
      <c r="F878" s="64"/>
      <c r="G878" s="28"/>
    </row>
    <row r="879" customFormat="false" ht="15" hidden="false" customHeight="false" outlineLevel="0" collapsed="false">
      <c r="A879" s="63"/>
      <c r="B879" s="28"/>
      <c r="C879" s="28"/>
      <c r="D879" s="28"/>
      <c r="E879" s="28"/>
      <c r="F879" s="64"/>
      <c r="G879" s="28"/>
    </row>
    <row r="880" customFormat="false" ht="15" hidden="false" customHeight="false" outlineLevel="0" collapsed="false">
      <c r="A880" s="63"/>
      <c r="B880" s="28"/>
      <c r="C880" s="28"/>
      <c r="D880" s="28"/>
      <c r="E880" s="28"/>
      <c r="F880" s="64"/>
      <c r="G880" s="28"/>
    </row>
    <row r="881" customFormat="false" ht="15" hidden="false" customHeight="false" outlineLevel="0" collapsed="false">
      <c r="A881" s="63"/>
      <c r="B881" s="28"/>
      <c r="C881" s="28"/>
      <c r="D881" s="28"/>
      <c r="E881" s="28"/>
      <c r="F881" s="64"/>
      <c r="G881" s="28"/>
    </row>
    <row r="882" customFormat="false" ht="15" hidden="false" customHeight="false" outlineLevel="0" collapsed="false">
      <c r="A882" s="63"/>
      <c r="B882" s="28"/>
      <c r="C882" s="28"/>
      <c r="D882" s="28"/>
      <c r="E882" s="28"/>
      <c r="F882" s="64"/>
      <c r="G882" s="28"/>
    </row>
    <row r="883" customFormat="false" ht="15" hidden="false" customHeight="false" outlineLevel="0" collapsed="false">
      <c r="A883" s="63"/>
      <c r="B883" s="28"/>
      <c r="C883" s="28"/>
      <c r="D883" s="28"/>
      <c r="E883" s="28"/>
      <c r="F883" s="64"/>
      <c r="G883" s="28"/>
    </row>
    <row r="884" customFormat="false" ht="15" hidden="false" customHeight="false" outlineLevel="0" collapsed="false">
      <c r="A884" s="63"/>
      <c r="B884" s="28"/>
      <c r="C884" s="28"/>
      <c r="D884" s="28"/>
      <c r="E884" s="28"/>
      <c r="F884" s="64"/>
      <c r="G884" s="28"/>
    </row>
    <row r="885" customFormat="false" ht="15" hidden="false" customHeight="false" outlineLevel="0" collapsed="false">
      <c r="A885" s="63"/>
      <c r="B885" s="28"/>
      <c r="C885" s="28"/>
      <c r="D885" s="28"/>
      <c r="E885" s="28"/>
      <c r="F885" s="64"/>
      <c r="G885" s="28"/>
    </row>
    <row r="886" customFormat="false" ht="15" hidden="false" customHeight="false" outlineLevel="0" collapsed="false">
      <c r="A886" s="63"/>
      <c r="B886" s="28"/>
      <c r="C886" s="28"/>
      <c r="D886" s="28"/>
      <c r="E886" s="28"/>
      <c r="F886" s="64"/>
      <c r="G886" s="28"/>
    </row>
    <row r="887" customFormat="false" ht="15" hidden="false" customHeight="false" outlineLevel="0" collapsed="false">
      <c r="A887" s="63"/>
      <c r="B887" s="28"/>
      <c r="C887" s="28"/>
      <c r="D887" s="28"/>
      <c r="E887" s="28"/>
      <c r="F887" s="64"/>
      <c r="G887" s="28"/>
    </row>
    <row r="888" customFormat="false" ht="15" hidden="false" customHeight="false" outlineLevel="0" collapsed="false">
      <c r="A888" s="63"/>
      <c r="B888" s="28"/>
      <c r="C888" s="28"/>
      <c r="D888" s="28"/>
      <c r="E888" s="28"/>
      <c r="F888" s="64"/>
      <c r="G888" s="28"/>
    </row>
    <row r="889" customFormat="false" ht="15" hidden="false" customHeight="false" outlineLevel="0" collapsed="false">
      <c r="A889" s="63"/>
      <c r="B889" s="28"/>
      <c r="C889" s="28"/>
      <c r="D889" s="28"/>
      <c r="E889" s="28"/>
      <c r="F889" s="64"/>
      <c r="G889" s="28"/>
    </row>
    <row r="890" customFormat="false" ht="15" hidden="false" customHeight="false" outlineLevel="0" collapsed="false">
      <c r="A890" s="63"/>
      <c r="B890" s="28"/>
      <c r="C890" s="28"/>
      <c r="D890" s="28"/>
      <c r="E890" s="28"/>
      <c r="F890" s="64"/>
      <c r="G890" s="28"/>
    </row>
    <row r="891" customFormat="false" ht="15" hidden="false" customHeight="false" outlineLevel="0" collapsed="false">
      <c r="A891" s="63"/>
      <c r="B891" s="28"/>
      <c r="C891" s="28"/>
      <c r="D891" s="28"/>
      <c r="E891" s="28"/>
      <c r="F891" s="64"/>
      <c r="G891" s="28"/>
    </row>
    <row r="892" customFormat="false" ht="15" hidden="false" customHeight="false" outlineLevel="0" collapsed="false">
      <c r="A892" s="63"/>
      <c r="B892" s="28"/>
      <c r="C892" s="28"/>
      <c r="D892" s="28"/>
      <c r="E892" s="28"/>
      <c r="F892" s="64"/>
      <c r="G892" s="28"/>
    </row>
    <row r="893" customFormat="false" ht="15" hidden="false" customHeight="false" outlineLevel="0" collapsed="false">
      <c r="A893" s="63"/>
      <c r="B893" s="28"/>
      <c r="C893" s="28"/>
      <c r="D893" s="28"/>
      <c r="E893" s="28"/>
      <c r="F893" s="64"/>
      <c r="G893" s="28"/>
    </row>
    <row r="894" customFormat="false" ht="15" hidden="false" customHeight="false" outlineLevel="0" collapsed="false">
      <c r="A894" s="63"/>
      <c r="B894" s="28"/>
      <c r="C894" s="28"/>
      <c r="D894" s="28"/>
      <c r="E894" s="28"/>
      <c r="F894" s="64"/>
      <c r="G894" s="28"/>
    </row>
    <row r="895" customFormat="false" ht="15" hidden="false" customHeight="false" outlineLevel="0" collapsed="false">
      <c r="A895" s="63"/>
      <c r="B895" s="28"/>
      <c r="C895" s="28"/>
      <c r="D895" s="28"/>
      <c r="E895" s="28"/>
      <c r="F895" s="64"/>
      <c r="G895" s="28"/>
    </row>
    <row r="896" customFormat="false" ht="15" hidden="false" customHeight="false" outlineLevel="0" collapsed="false">
      <c r="A896" s="63"/>
      <c r="B896" s="28"/>
      <c r="C896" s="28"/>
      <c r="D896" s="28"/>
      <c r="E896" s="28"/>
      <c r="F896" s="64"/>
      <c r="G896" s="28"/>
    </row>
    <row r="897" customFormat="false" ht="15" hidden="false" customHeight="false" outlineLevel="0" collapsed="false">
      <c r="A897" s="63"/>
      <c r="B897" s="28"/>
      <c r="C897" s="28"/>
      <c r="D897" s="28"/>
      <c r="E897" s="28"/>
      <c r="F897" s="64"/>
      <c r="G897" s="28"/>
    </row>
    <row r="898" customFormat="false" ht="15" hidden="false" customHeight="false" outlineLevel="0" collapsed="false">
      <c r="A898" s="63"/>
      <c r="B898" s="28"/>
      <c r="C898" s="28"/>
      <c r="D898" s="28"/>
      <c r="E898" s="28"/>
      <c r="F898" s="64"/>
      <c r="G898" s="28"/>
    </row>
    <row r="899" customFormat="false" ht="15" hidden="false" customHeight="false" outlineLevel="0" collapsed="false">
      <c r="A899" s="63"/>
      <c r="B899" s="28"/>
      <c r="C899" s="28"/>
      <c r="D899" s="28"/>
      <c r="E899" s="28"/>
      <c r="F899" s="64"/>
      <c r="G899" s="28"/>
    </row>
    <row r="900" customFormat="false" ht="15" hidden="false" customHeight="false" outlineLevel="0" collapsed="false">
      <c r="A900" s="63"/>
      <c r="B900" s="28"/>
      <c r="C900" s="28"/>
      <c r="D900" s="28"/>
      <c r="E900" s="28"/>
      <c r="F900" s="64"/>
      <c r="G900" s="28"/>
    </row>
    <row r="901" customFormat="false" ht="15" hidden="false" customHeight="false" outlineLevel="0" collapsed="false">
      <c r="A901" s="63"/>
      <c r="B901" s="28"/>
      <c r="C901" s="28"/>
      <c r="D901" s="28"/>
      <c r="E901" s="28"/>
      <c r="F901" s="64"/>
      <c r="G901" s="28"/>
    </row>
    <row r="902" customFormat="false" ht="15" hidden="false" customHeight="false" outlineLevel="0" collapsed="false">
      <c r="A902" s="63"/>
      <c r="B902" s="28"/>
      <c r="C902" s="28"/>
      <c r="D902" s="28"/>
      <c r="E902" s="28"/>
      <c r="F902" s="64"/>
      <c r="G902" s="28"/>
    </row>
    <row r="903" customFormat="false" ht="15" hidden="false" customHeight="false" outlineLevel="0" collapsed="false">
      <c r="A903" s="63"/>
      <c r="B903" s="28"/>
      <c r="C903" s="28"/>
      <c r="D903" s="28"/>
      <c r="E903" s="28"/>
      <c r="F903" s="64"/>
      <c r="G903" s="28"/>
    </row>
    <row r="904" customFormat="false" ht="15" hidden="false" customHeight="false" outlineLevel="0" collapsed="false">
      <c r="A904" s="63"/>
      <c r="B904" s="28"/>
      <c r="C904" s="28"/>
      <c r="D904" s="28"/>
      <c r="E904" s="28"/>
      <c r="F904" s="64"/>
      <c r="G904" s="28"/>
    </row>
    <row r="905" customFormat="false" ht="15" hidden="false" customHeight="false" outlineLevel="0" collapsed="false">
      <c r="A905" s="63"/>
      <c r="B905" s="28"/>
      <c r="C905" s="28"/>
      <c r="D905" s="28"/>
      <c r="E905" s="28"/>
      <c r="F905" s="64"/>
      <c r="G905" s="28"/>
    </row>
    <row r="906" customFormat="false" ht="15" hidden="false" customHeight="false" outlineLevel="0" collapsed="false">
      <c r="A906" s="63"/>
      <c r="B906" s="28"/>
      <c r="C906" s="28"/>
      <c r="D906" s="28"/>
      <c r="E906" s="28"/>
      <c r="F906" s="64"/>
      <c r="G906" s="28"/>
    </row>
    <row r="907" customFormat="false" ht="15" hidden="false" customHeight="false" outlineLevel="0" collapsed="false">
      <c r="A907" s="63"/>
      <c r="B907" s="28"/>
      <c r="C907" s="28"/>
      <c r="D907" s="28"/>
      <c r="E907" s="28"/>
      <c r="F907" s="64"/>
      <c r="G907" s="28"/>
    </row>
    <row r="908" customFormat="false" ht="15" hidden="false" customHeight="false" outlineLevel="0" collapsed="false">
      <c r="A908" s="63"/>
      <c r="B908" s="28"/>
      <c r="C908" s="28"/>
      <c r="D908" s="28"/>
      <c r="E908" s="28"/>
      <c r="F908" s="64"/>
      <c r="G908" s="28"/>
    </row>
    <row r="909" customFormat="false" ht="15" hidden="false" customHeight="false" outlineLevel="0" collapsed="false">
      <c r="A909" s="63"/>
      <c r="B909" s="28"/>
      <c r="C909" s="28"/>
      <c r="D909" s="28"/>
      <c r="E909" s="28"/>
      <c r="F909" s="64"/>
      <c r="G909" s="28"/>
    </row>
    <row r="910" customFormat="false" ht="15" hidden="false" customHeight="false" outlineLevel="0" collapsed="false">
      <c r="A910" s="63"/>
      <c r="B910" s="28"/>
      <c r="C910" s="28"/>
      <c r="D910" s="28"/>
      <c r="E910" s="28"/>
      <c r="F910" s="64"/>
      <c r="G910" s="28"/>
    </row>
    <row r="911" customFormat="false" ht="15" hidden="false" customHeight="false" outlineLevel="0" collapsed="false">
      <c r="A911" s="63"/>
      <c r="B911" s="28"/>
      <c r="C911" s="28"/>
      <c r="D911" s="28"/>
      <c r="E911" s="28"/>
      <c r="F911" s="64"/>
      <c r="G911" s="28"/>
    </row>
    <row r="912" customFormat="false" ht="15" hidden="false" customHeight="false" outlineLevel="0" collapsed="false">
      <c r="A912" s="63"/>
      <c r="B912" s="28"/>
      <c r="C912" s="28"/>
      <c r="D912" s="28"/>
      <c r="E912" s="28"/>
      <c r="F912" s="64"/>
      <c r="G912" s="28"/>
    </row>
    <row r="913" customFormat="false" ht="15" hidden="false" customHeight="false" outlineLevel="0" collapsed="false">
      <c r="A913" s="63"/>
      <c r="B913" s="28"/>
      <c r="C913" s="28"/>
      <c r="D913" s="28"/>
      <c r="E913" s="28"/>
      <c r="F913" s="64"/>
      <c r="G913" s="28"/>
    </row>
    <row r="914" customFormat="false" ht="15" hidden="false" customHeight="false" outlineLevel="0" collapsed="false">
      <c r="A914" s="63"/>
      <c r="B914" s="28"/>
      <c r="C914" s="28"/>
      <c r="D914" s="28"/>
      <c r="E914" s="28"/>
      <c r="F914" s="64"/>
      <c r="G914" s="28"/>
    </row>
    <row r="915" customFormat="false" ht="15" hidden="false" customHeight="false" outlineLevel="0" collapsed="false">
      <c r="A915" s="63"/>
      <c r="B915" s="28"/>
      <c r="C915" s="28"/>
      <c r="D915" s="28"/>
      <c r="E915" s="28"/>
      <c r="F915" s="64"/>
      <c r="G915" s="28"/>
    </row>
    <row r="916" customFormat="false" ht="15" hidden="false" customHeight="false" outlineLevel="0" collapsed="false">
      <c r="A916" s="63"/>
      <c r="B916" s="28"/>
      <c r="C916" s="28"/>
      <c r="D916" s="28"/>
      <c r="E916" s="28"/>
      <c r="F916" s="64"/>
      <c r="G916" s="28"/>
    </row>
    <row r="917" customFormat="false" ht="15" hidden="false" customHeight="false" outlineLevel="0" collapsed="false">
      <c r="A917" s="63"/>
      <c r="B917" s="28"/>
      <c r="C917" s="28"/>
      <c r="D917" s="28"/>
      <c r="E917" s="28"/>
      <c r="F917" s="64"/>
      <c r="G917" s="28"/>
    </row>
    <row r="918" customFormat="false" ht="15" hidden="false" customHeight="false" outlineLevel="0" collapsed="false">
      <c r="A918" s="63"/>
      <c r="B918" s="28"/>
      <c r="C918" s="28"/>
      <c r="D918" s="28"/>
      <c r="E918" s="28"/>
      <c r="F918" s="64"/>
      <c r="G918" s="28"/>
    </row>
    <row r="919" customFormat="false" ht="15" hidden="false" customHeight="false" outlineLevel="0" collapsed="false">
      <c r="A919" s="63"/>
      <c r="B919" s="28"/>
      <c r="C919" s="28"/>
      <c r="D919" s="28"/>
      <c r="E919" s="28"/>
      <c r="F919" s="64"/>
      <c r="G919" s="28"/>
    </row>
    <row r="920" customFormat="false" ht="15" hidden="false" customHeight="false" outlineLevel="0" collapsed="false">
      <c r="A920" s="63"/>
      <c r="B920" s="28"/>
      <c r="C920" s="28"/>
      <c r="D920" s="28"/>
      <c r="E920" s="28"/>
      <c r="F920" s="64"/>
      <c r="G920" s="28"/>
    </row>
    <row r="921" customFormat="false" ht="15" hidden="false" customHeight="false" outlineLevel="0" collapsed="false">
      <c r="A921" s="63"/>
      <c r="B921" s="28"/>
      <c r="C921" s="28"/>
      <c r="D921" s="28"/>
      <c r="E921" s="28"/>
      <c r="F921" s="64"/>
      <c r="G921" s="28"/>
    </row>
    <row r="922" customFormat="false" ht="15" hidden="false" customHeight="false" outlineLevel="0" collapsed="false">
      <c r="A922" s="63"/>
      <c r="B922" s="28"/>
      <c r="C922" s="28"/>
      <c r="D922" s="28"/>
      <c r="E922" s="28"/>
      <c r="F922" s="64"/>
      <c r="G922" s="28"/>
    </row>
    <row r="923" customFormat="false" ht="15" hidden="false" customHeight="false" outlineLevel="0" collapsed="false">
      <c r="A923" s="63"/>
      <c r="B923" s="28"/>
      <c r="C923" s="28"/>
      <c r="D923" s="28"/>
      <c r="E923" s="28"/>
      <c r="F923" s="64"/>
      <c r="G923" s="28"/>
    </row>
    <row r="924" customFormat="false" ht="15" hidden="false" customHeight="false" outlineLevel="0" collapsed="false">
      <c r="A924" s="63"/>
      <c r="B924" s="28"/>
      <c r="C924" s="28"/>
      <c r="D924" s="28"/>
      <c r="E924" s="28"/>
      <c r="F924" s="64"/>
      <c r="G924" s="28"/>
    </row>
    <row r="925" customFormat="false" ht="15" hidden="false" customHeight="false" outlineLevel="0" collapsed="false">
      <c r="A925" s="63"/>
      <c r="B925" s="28"/>
      <c r="C925" s="28"/>
      <c r="D925" s="28"/>
      <c r="E925" s="28"/>
      <c r="F925" s="64"/>
      <c r="G925" s="28"/>
    </row>
    <row r="926" customFormat="false" ht="15" hidden="false" customHeight="false" outlineLevel="0" collapsed="false">
      <c r="A926" s="63"/>
      <c r="B926" s="28"/>
      <c r="C926" s="28"/>
      <c r="D926" s="28"/>
      <c r="E926" s="28"/>
      <c r="F926" s="64"/>
      <c r="G926" s="28"/>
    </row>
    <row r="927" customFormat="false" ht="15" hidden="false" customHeight="false" outlineLevel="0" collapsed="false">
      <c r="A927" s="63"/>
      <c r="B927" s="28"/>
      <c r="C927" s="28"/>
      <c r="D927" s="28"/>
      <c r="E927" s="28"/>
      <c r="F927" s="64"/>
      <c r="G927" s="28"/>
    </row>
    <row r="928" customFormat="false" ht="15" hidden="false" customHeight="false" outlineLevel="0" collapsed="false">
      <c r="A928" s="63"/>
      <c r="B928" s="28"/>
      <c r="C928" s="28"/>
      <c r="D928" s="28"/>
      <c r="E928" s="28"/>
      <c r="F928" s="64"/>
      <c r="G928" s="28"/>
    </row>
    <row r="929" customFormat="false" ht="15" hidden="false" customHeight="false" outlineLevel="0" collapsed="false">
      <c r="A929" s="63"/>
      <c r="B929" s="28"/>
      <c r="C929" s="28"/>
      <c r="D929" s="28"/>
      <c r="E929" s="28"/>
      <c r="F929" s="64"/>
      <c r="G929" s="28"/>
    </row>
    <row r="930" customFormat="false" ht="15" hidden="false" customHeight="false" outlineLevel="0" collapsed="false">
      <c r="A930" s="63"/>
      <c r="B930" s="28"/>
      <c r="C930" s="28"/>
      <c r="D930" s="28"/>
      <c r="E930" s="28"/>
      <c r="F930" s="64"/>
      <c r="G930" s="28"/>
    </row>
    <row r="931" customFormat="false" ht="15" hidden="false" customHeight="false" outlineLevel="0" collapsed="false">
      <c r="A931" s="63"/>
      <c r="B931" s="28"/>
      <c r="C931" s="28"/>
      <c r="D931" s="28"/>
      <c r="E931" s="28"/>
      <c r="F931" s="64"/>
      <c r="G931" s="28"/>
    </row>
    <row r="932" customFormat="false" ht="15" hidden="false" customHeight="false" outlineLevel="0" collapsed="false">
      <c r="A932" s="63"/>
      <c r="B932" s="28"/>
      <c r="C932" s="28"/>
      <c r="D932" s="28"/>
      <c r="E932" s="28"/>
      <c r="F932" s="64"/>
      <c r="G932" s="28"/>
    </row>
    <row r="933" customFormat="false" ht="15" hidden="false" customHeight="false" outlineLevel="0" collapsed="false">
      <c r="A933" s="63"/>
      <c r="B933" s="28"/>
      <c r="C933" s="28"/>
      <c r="D933" s="28"/>
      <c r="E933" s="28"/>
      <c r="F933" s="64"/>
      <c r="G933" s="28"/>
    </row>
    <row r="934" customFormat="false" ht="15" hidden="false" customHeight="false" outlineLevel="0" collapsed="false">
      <c r="A934" s="63"/>
      <c r="B934" s="28"/>
      <c r="C934" s="28"/>
      <c r="D934" s="28"/>
      <c r="E934" s="28"/>
      <c r="F934" s="64"/>
      <c r="G934" s="28"/>
    </row>
    <row r="935" customFormat="false" ht="15" hidden="false" customHeight="false" outlineLevel="0" collapsed="false">
      <c r="A935" s="63"/>
      <c r="B935" s="28"/>
      <c r="C935" s="28"/>
      <c r="D935" s="28"/>
      <c r="E935" s="28"/>
      <c r="F935" s="64"/>
      <c r="G935" s="28"/>
    </row>
    <row r="936" customFormat="false" ht="15" hidden="false" customHeight="false" outlineLevel="0" collapsed="false">
      <c r="A936" s="63"/>
      <c r="B936" s="28"/>
      <c r="C936" s="28"/>
      <c r="D936" s="28"/>
      <c r="E936" s="28"/>
      <c r="F936" s="64"/>
      <c r="G936" s="28"/>
    </row>
    <row r="937" customFormat="false" ht="15" hidden="false" customHeight="false" outlineLevel="0" collapsed="false">
      <c r="A937" s="63"/>
      <c r="B937" s="28"/>
      <c r="C937" s="28"/>
      <c r="D937" s="28"/>
      <c r="E937" s="28"/>
      <c r="F937" s="64"/>
      <c r="G937" s="28"/>
    </row>
    <row r="938" customFormat="false" ht="15" hidden="false" customHeight="false" outlineLevel="0" collapsed="false">
      <c r="A938" s="63"/>
      <c r="B938" s="28"/>
      <c r="C938" s="28"/>
      <c r="D938" s="28"/>
      <c r="E938" s="28"/>
      <c r="F938" s="64"/>
      <c r="G938" s="28"/>
    </row>
    <row r="939" customFormat="false" ht="15" hidden="false" customHeight="false" outlineLevel="0" collapsed="false">
      <c r="A939" s="63"/>
      <c r="B939" s="28"/>
      <c r="C939" s="28"/>
      <c r="D939" s="28"/>
      <c r="E939" s="28"/>
      <c r="F939" s="64"/>
      <c r="G939" s="28"/>
    </row>
    <row r="940" customFormat="false" ht="15" hidden="false" customHeight="false" outlineLevel="0" collapsed="false">
      <c r="A940" s="63"/>
      <c r="B940" s="28"/>
      <c r="C940" s="28"/>
      <c r="D940" s="28"/>
      <c r="E940" s="28"/>
      <c r="F940" s="64"/>
      <c r="G940" s="28"/>
    </row>
    <row r="941" customFormat="false" ht="15" hidden="false" customHeight="false" outlineLevel="0" collapsed="false">
      <c r="A941" s="63"/>
      <c r="B941" s="28"/>
      <c r="C941" s="28"/>
      <c r="D941" s="28"/>
      <c r="E941" s="28"/>
      <c r="F941" s="64"/>
      <c r="G941" s="28"/>
    </row>
    <row r="942" customFormat="false" ht="15" hidden="false" customHeight="false" outlineLevel="0" collapsed="false">
      <c r="A942" s="63"/>
      <c r="B942" s="28"/>
      <c r="C942" s="28"/>
      <c r="D942" s="28"/>
      <c r="E942" s="28"/>
      <c r="F942" s="64"/>
      <c r="G942" s="28"/>
    </row>
    <row r="943" customFormat="false" ht="15" hidden="false" customHeight="false" outlineLevel="0" collapsed="false">
      <c r="A943" s="63"/>
      <c r="B943" s="28"/>
      <c r="C943" s="28"/>
      <c r="D943" s="28"/>
      <c r="E943" s="28"/>
      <c r="F943" s="64"/>
      <c r="G943" s="28"/>
    </row>
    <row r="944" customFormat="false" ht="15" hidden="false" customHeight="false" outlineLevel="0" collapsed="false">
      <c r="A944" s="63"/>
      <c r="B944" s="28"/>
      <c r="C944" s="28"/>
      <c r="D944" s="28"/>
      <c r="E944" s="28"/>
      <c r="F944" s="64"/>
      <c r="G944" s="28"/>
    </row>
    <row r="945" customFormat="false" ht="15" hidden="false" customHeight="false" outlineLevel="0" collapsed="false">
      <c r="A945" s="63"/>
      <c r="B945" s="28"/>
      <c r="C945" s="28"/>
      <c r="D945" s="28"/>
      <c r="E945" s="28"/>
      <c r="F945" s="64"/>
      <c r="G945" s="28"/>
    </row>
    <row r="946" customFormat="false" ht="15" hidden="false" customHeight="false" outlineLevel="0" collapsed="false">
      <c r="A946" s="63"/>
      <c r="B946" s="28"/>
      <c r="C946" s="28"/>
      <c r="D946" s="28"/>
      <c r="E946" s="28"/>
      <c r="F946" s="64"/>
      <c r="G946" s="28"/>
    </row>
    <row r="947" customFormat="false" ht="15" hidden="false" customHeight="false" outlineLevel="0" collapsed="false">
      <c r="A947" s="63"/>
      <c r="B947" s="28"/>
      <c r="C947" s="28"/>
      <c r="D947" s="28"/>
      <c r="E947" s="28"/>
      <c r="F947" s="64"/>
      <c r="G947" s="28"/>
    </row>
    <row r="948" customFormat="false" ht="15" hidden="false" customHeight="false" outlineLevel="0" collapsed="false">
      <c r="A948" s="63"/>
      <c r="B948" s="28"/>
      <c r="C948" s="28"/>
      <c r="D948" s="28"/>
      <c r="E948" s="28"/>
      <c r="F948" s="64"/>
      <c r="G948" s="28"/>
    </row>
    <row r="949" customFormat="false" ht="15" hidden="false" customHeight="false" outlineLevel="0" collapsed="false">
      <c r="A949" s="63"/>
      <c r="B949" s="28"/>
      <c r="C949" s="28"/>
      <c r="D949" s="28"/>
      <c r="E949" s="28"/>
      <c r="F949" s="64"/>
      <c r="G949" s="28"/>
    </row>
    <row r="950" customFormat="false" ht="15" hidden="false" customHeight="false" outlineLevel="0" collapsed="false">
      <c r="A950" s="63"/>
      <c r="B950" s="28"/>
      <c r="C950" s="28"/>
      <c r="D950" s="28"/>
      <c r="E950" s="28"/>
      <c r="F950" s="64"/>
      <c r="G950" s="28"/>
    </row>
    <row r="951" customFormat="false" ht="15" hidden="false" customHeight="false" outlineLevel="0" collapsed="false">
      <c r="A951" s="63"/>
      <c r="B951" s="28"/>
      <c r="C951" s="28"/>
      <c r="D951" s="28"/>
      <c r="E951" s="28"/>
      <c r="F951" s="64"/>
      <c r="G951" s="28"/>
    </row>
    <row r="952" customFormat="false" ht="15" hidden="false" customHeight="false" outlineLevel="0" collapsed="false">
      <c r="A952" s="63"/>
      <c r="B952" s="28"/>
      <c r="C952" s="28"/>
      <c r="D952" s="28"/>
      <c r="E952" s="28"/>
      <c r="F952" s="64"/>
      <c r="G952" s="28"/>
    </row>
    <row r="953" customFormat="false" ht="15" hidden="false" customHeight="false" outlineLevel="0" collapsed="false">
      <c r="A953" s="63"/>
      <c r="B953" s="28"/>
      <c r="C953" s="28"/>
      <c r="D953" s="28"/>
      <c r="E953" s="28"/>
      <c r="F953" s="64"/>
      <c r="G953" s="28"/>
    </row>
    <row r="954" customFormat="false" ht="15" hidden="false" customHeight="false" outlineLevel="0" collapsed="false">
      <c r="A954" s="63"/>
      <c r="B954" s="28"/>
      <c r="C954" s="28"/>
      <c r="D954" s="28"/>
      <c r="E954" s="28"/>
      <c r="F954" s="64"/>
      <c r="G954" s="28"/>
    </row>
    <row r="955" customFormat="false" ht="15" hidden="false" customHeight="false" outlineLevel="0" collapsed="false">
      <c r="A955" s="63"/>
      <c r="B955" s="28"/>
      <c r="C955" s="28"/>
      <c r="D955" s="28"/>
      <c r="E955" s="28"/>
      <c r="F955" s="64"/>
      <c r="G955" s="28"/>
    </row>
    <row r="956" customFormat="false" ht="15" hidden="false" customHeight="false" outlineLevel="0" collapsed="false">
      <c r="A956" s="63"/>
      <c r="B956" s="28"/>
      <c r="C956" s="28"/>
      <c r="D956" s="28"/>
      <c r="E956" s="28"/>
      <c r="F956" s="64"/>
      <c r="G956" s="28"/>
    </row>
    <row r="957" customFormat="false" ht="15" hidden="false" customHeight="false" outlineLevel="0" collapsed="false">
      <c r="A957" s="63"/>
      <c r="B957" s="28"/>
      <c r="C957" s="28"/>
      <c r="D957" s="28"/>
      <c r="E957" s="28"/>
      <c r="F957" s="64"/>
      <c r="G957" s="28"/>
    </row>
    <row r="958" customFormat="false" ht="15" hidden="false" customHeight="false" outlineLevel="0" collapsed="false">
      <c r="A958" s="63"/>
      <c r="B958" s="28"/>
      <c r="C958" s="28"/>
      <c r="D958" s="28"/>
      <c r="E958" s="28"/>
      <c r="F958" s="64"/>
      <c r="G958" s="28"/>
    </row>
    <row r="959" customFormat="false" ht="15" hidden="false" customHeight="false" outlineLevel="0" collapsed="false">
      <c r="A959" s="63"/>
      <c r="B959" s="28"/>
      <c r="C959" s="28"/>
      <c r="D959" s="28"/>
      <c r="E959" s="28"/>
      <c r="F959" s="64"/>
      <c r="G959" s="28"/>
    </row>
    <row r="960" customFormat="false" ht="15" hidden="false" customHeight="false" outlineLevel="0" collapsed="false">
      <c r="A960" s="63"/>
      <c r="B960" s="28"/>
      <c r="C960" s="28"/>
      <c r="D960" s="28"/>
      <c r="E960" s="28"/>
      <c r="F960" s="64"/>
      <c r="G960" s="28"/>
    </row>
    <row r="961" customFormat="false" ht="15" hidden="false" customHeight="false" outlineLevel="0" collapsed="false">
      <c r="A961" s="63"/>
      <c r="B961" s="28"/>
      <c r="C961" s="28"/>
      <c r="D961" s="28"/>
      <c r="E961" s="28"/>
      <c r="F961" s="64"/>
      <c r="G961" s="28"/>
    </row>
    <row r="962" customFormat="false" ht="15" hidden="false" customHeight="false" outlineLevel="0" collapsed="false">
      <c r="A962" s="63"/>
      <c r="B962" s="28"/>
      <c r="C962" s="28"/>
      <c r="D962" s="28"/>
      <c r="E962" s="28"/>
      <c r="F962" s="64"/>
      <c r="G962" s="28"/>
    </row>
    <row r="963" customFormat="false" ht="15" hidden="false" customHeight="false" outlineLevel="0" collapsed="false">
      <c r="A963" s="63"/>
      <c r="B963" s="28"/>
      <c r="C963" s="28"/>
      <c r="D963" s="28"/>
      <c r="E963" s="28"/>
      <c r="F963" s="64"/>
      <c r="G963" s="28"/>
    </row>
    <row r="964" customFormat="false" ht="15" hidden="false" customHeight="false" outlineLevel="0" collapsed="false">
      <c r="A964" s="63"/>
      <c r="B964" s="28"/>
      <c r="C964" s="28"/>
      <c r="D964" s="28"/>
      <c r="E964" s="28"/>
      <c r="F964" s="64"/>
      <c r="G964" s="28"/>
    </row>
    <row r="965" customFormat="false" ht="15" hidden="false" customHeight="false" outlineLevel="0" collapsed="false">
      <c r="A965" s="63"/>
      <c r="B965" s="28"/>
      <c r="C965" s="28"/>
      <c r="D965" s="28"/>
      <c r="E965" s="28"/>
      <c r="F965" s="64"/>
      <c r="G965" s="28"/>
    </row>
    <row r="966" customFormat="false" ht="15" hidden="false" customHeight="false" outlineLevel="0" collapsed="false">
      <c r="A966" s="63"/>
      <c r="B966" s="28"/>
      <c r="C966" s="28"/>
      <c r="D966" s="28"/>
      <c r="E966" s="28"/>
      <c r="F966" s="64"/>
      <c r="G966" s="28"/>
    </row>
    <row r="967" customFormat="false" ht="15" hidden="false" customHeight="false" outlineLevel="0" collapsed="false">
      <c r="A967" s="63"/>
      <c r="B967" s="28"/>
      <c r="C967" s="28"/>
      <c r="D967" s="28"/>
      <c r="E967" s="28"/>
      <c r="F967" s="64"/>
      <c r="G967" s="28"/>
    </row>
    <row r="968" customFormat="false" ht="15" hidden="false" customHeight="false" outlineLevel="0" collapsed="false">
      <c r="A968" s="63"/>
      <c r="B968" s="28"/>
      <c r="C968" s="28"/>
      <c r="D968" s="28"/>
      <c r="E968" s="28"/>
      <c r="F968" s="64"/>
      <c r="G968" s="28"/>
    </row>
    <row r="969" customFormat="false" ht="15" hidden="false" customHeight="false" outlineLevel="0" collapsed="false">
      <c r="A969" s="63"/>
      <c r="B969" s="28"/>
      <c r="C969" s="28"/>
      <c r="D969" s="28"/>
      <c r="E969" s="28"/>
      <c r="F969" s="64"/>
      <c r="G969" s="28"/>
    </row>
    <row r="970" customFormat="false" ht="15" hidden="false" customHeight="false" outlineLevel="0" collapsed="false">
      <c r="A970" s="63"/>
      <c r="B970" s="28"/>
      <c r="C970" s="28"/>
      <c r="D970" s="28"/>
      <c r="E970" s="28"/>
      <c r="F970" s="64"/>
      <c r="G970" s="28"/>
    </row>
    <row r="971" customFormat="false" ht="15" hidden="false" customHeight="false" outlineLevel="0" collapsed="false">
      <c r="A971" s="63"/>
      <c r="B971" s="28"/>
      <c r="C971" s="28"/>
      <c r="D971" s="28"/>
      <c r="E971" s="28"/>
      <c r="F971" s="64"/>
      <c r="G971" s="28"/>
    </row>
    <row r="972" customFormat="false" ht="15" hidden="false" customHeight="false" outlineLevel="0" collapsed="false">
      <c r="A972" s="63"/>
      <c r="B972" s="28"/>
      <c r="C972" s="28"/>
      <c r="D972" s="28"/>
      <c r="E972" s="28"/>
      <c r="F972" s="64"/>
      <c r="G972" s="28"/>
    </row>
    <row r="973" customFormat="false" ht="15" hidden="false" customHeight="false" outlineLevel="0" collapsed="false">
      <c r="A973" s="63"/>
      <c r="B973" s="28"/>
      <c r="C973" s="28"/>
      <c r="D973" s="28"/>
      <c r="E973" s="28"/>
      <c r="F973" s="64"/>
      <c r="G973" s="28"/>
    </row>
    <row r="974" customFormat="false" ht="15" hidden="false" customHeight="false" outlineLevel="0" collapsed="false">
      <c r="A974" s="63"/>
      <c r="B974" s="28"/>
      <c r="C974" s="28"/>
      <c r="D974" s="28"/>
      <c r="E974" s="28"/>
      <c r="F974" s="64"/>
      <c r="G974" s="28"/>
    </row>
    <row r="975" customFormat="false" ht="15" hidden="false" customHeight="false" outlineLevel="0" collapsed="false">
      <c r="A975" s="63"/>
      <c r="B975" s="28"/>
      <c r="C975" s="28"/>
      <c r="D975" s="28"/>
      <c r="E975" s="28"/>
      <c r="F975" s="64"/>
      <c r="G975" s="28"/>
    </row>
    <row r="976" customFormat="false" ht="15" hidden="false" customHeight="false" outlineLevel="0" collapsed="false">
      <c r="A976" s="63"/>
      <c r="B976" s="28"/>
      <c r="C976" s="28"/>
      <c r="D976" s="28"/>
      <c r="E976" s="28"/>
      <c r="F976" s="64"/>
      <c r="G976" s="28"/>
    </row>
    <row r="977" customFormat="false" ht="15" hidden="false" customHeight="false" outlineLevel="0" collapsed="false">
      <c r="A977" s="63"/>
      <c r="B977" s="28"/>
      <c r="C977" s="28"/>
      <c r="D977" s="28"/>
      <c r="E977" s="28"/>
      <c r="F977" s="64"/>
      <c r="G977" s="28"/>
    </row>
    <row r="978" customFormat="false" ht="15" hidden="false" customHeight="false" outlineLevel="0" collapsed="false">
      <c r="A978" s="63"/>
      <c r="B978" s="28"/>
      <c r="C978" s="28"/>
      <c r="D978" s="28"/>
      <c r="E978" s="28"/>
      <c r="F978" s="64"/>
      <c r="G978" s="28"/>
    </row>
    <row r="979" customFormat="false" ht="15" hidden="false" customHeight="false" outlineLevel="0" collapsed="false">
      <c r="A979" s="63"/>
      <c r="B979" s="28"/>
      <c r="C979" s="28"/>
      <c r="D979" s="28"/>
      <c r="E979" s="28"/>
      <c r="F979" s="64"/>
      <c r="G979" s="28"/>
    </row>
    <row r="980" customFormat="false" ht="15" hidden="false" customHeight="false" outlineLevel="0" collapsed="false">
      <c r="A980" s="63"/>
      <c r="B980" s="28"/>
      <c r="C980" s="28"/>
      <c r="D980" s="28"/>
      <c r="E980" s="28"/>
      <c r="F980" s="64"/>
      <c r="G980" s="28"/>
    </row>
    <row r="981" customFormat="false" ht="15" hidden="false" customHeight="false" outlineLevel="0" collapsed="false">
      <c r="A981" s="63"/>
      <c r="B981" s="28"/>
      <c r="C981" s="28"/>
      <c r="D981" s="28"/>
      <c r="E981" s="28"/>
      <c r="F981" s="64"/>
      <c r="G981" s="28"/>
    </row>
    <row r="982" customFormat="false" ht="15" hidden="false" customHeight="false" outlineLevel="0" collapsed="false">
      <c r="A982" s="63"/>
      <c r="B982" s="28"/>
      <c r="C982" s="28"/>
      <c r="D982" s="28"/>
      <c r="E982" s="28"/>
      <c r="F982" s="64"/>
      <c r="G982" s="28"/>
    </row>
    <row r="983" customFormat="false" ht="15" hidden="false" customHeight="false" outlineLevel="0" collapsed="false">
      <c r="A983" s="63"/>
      <c r="B983" s="28"/>
      <c r="C983" s="28"/>
      <c r="D983" s="28"/>
      <c r="E983" s="28"/>
      <c r="F983" s="64"/>
      <c r="G983" s="28"/>
    </row>
    <row r="984" customFormat="false" ht="15" hidden="false" customHeight="false" outlineLevel="0" collapsed="false">
      <c r="A984" s="63"/>
      <c r="B984" s="28"/>
      <c r="C984" s="28"/>
      <c r="D984" s="28"/>
      <c r="E984" s="28"/>
      <c r="F984" s="64"/>
      <c r="G984" s="28"/>
    </row>
    <row r="985" customFormat="false" ht="15" hidden="false" customHeight="false" outlineLevel="0" collapsed="false">
      <c r="A985" s="63"/>
      <c r="B985" s="28"/>
      <c r="C985" s="28"/>
      <c r="D985" s="28"/>
      <c r="E985" s="28"/>
      <c r="F985" s="64"/>
      <c r="G985" s="28"/>
    </row>
    <row r="986" customFormat="false" ht="15" hidden="false" customHeight="false" outlineLevel="0" collapsed="false">
      <c r="A986" s="63"/>
      <c r="B986" s="28"/>
      <c r="C986" s="28"/>
      <c r="D986" s="28"/>
      <c r="E986" s="28"/>
      <c r="F986" s="64"/>
      <c r="G986" s="28"/>
    </row>
    <row r="987" customFormat="false" ht="15" hidden="false" customHeight="false" outlineLevel="0" collapsed="false">
      <c r="A987" s="63"/>
      <c r="B987" s="28"/>
      <c r="C987" s="28"/>
      <c r="D987" s="28"/>
      <c r="E987" s="28"/>
      <c r="F987" s="64"/>
      <c r="G987" s="28"/>
    </row>
    <row r="988" customFormat="false" ht="15" hidden="false" customHeight="false" outlineLevel="0" collapsed="false">
      <c r="A988" s="63"/>
      <c r="B988" s="28"/>
      <c r="C988" s="28"/>
      <c r="D988" s="28"/>
      <c r="E988" s="28"/>
      <c r="F988" s="64"/>
      <c r="G988" s="28"/>
    </row>
    <row r="989" customFormat="false" ht="15" hidden="false" customHeight="false" outlineLevel="0" collapsed="false">
      <c r="A989" s="63"/>
      <c r="B989" s="28"/>
      <c r="C989" s="28"/>
      <c r="D989" s="28"/>
      <c r="E989" s="28"/>
      <c r="F989" s="64"/>
      <c r="G989" s="28"/>
    </row>
    <row r="990" customFormat="false" ht="15" hidden="false" customHeight="false" outlineLevel="0" collapsed="false">
      <c r="A990" s="63"/>
      <c r="B990" s="28"/>
      <c r="C990" s="28"/>
      <c r="D990" s="28"/>
      <c r="E990" s="28"/>
      <c r="F990" s="64"/>
      <c r="G990" s="28"/>
    </row>
    <row r="991" customFormat="false" ht="15" hidden="false" customHeight="false" outlineLevel="0" collapsed="false">
      <c r="A991" s="63"/>
      <c r="B991" s="28"/>
      <c r="C991" s="28"/>
      <c r="D991" s="28"/>
      <c r="E991" s="28"/>
      <c r="F991" s="64"/>
      <c r="G991" s="28"/>
    </row>
    <row r="992" customFormat="false" ht="15" hidden="false" customHeight="false" outlineLevel="0" collapsed="false">
      <c r="A992" s="63"/>
      <c r="B992" s="28"/>
      <c r="C992" s="28"/>
      <c r="D992" s="28"/>
      <c r="E992" s="28"/>
      <c r="F992" s="64"/>
      <c r="G992" s="28"/>
    </row>
    <row r="993" customFormat="false" ht="15" hidden="false" customHeight="false" outlineLevel="0" collapsed="false">
      <c r="A993" s="63"/>
      <c r="B993" s="28"/>
      <c r="C993" s="28"/>
      <c r="D993" s="28"/>
      <c r="E993" s="28"/>
      <c r="F993" s="64"/>
      <c r="G993" s="28"/>
    </row>
    <row r="994" customFormat="false" ht="15" hidden="false" customHeight="false" outlineLevel="0" collapsed="false">
      <c r="A994" s="63"/>
      <c r="B994" s="28"/>
      <c r="C994" s="28"/>
      <c r="D994" s="28"/>
      <c r="E994" s="28"/>
      <c r="F994" s="64"/>
      <c r="G994" s="28"/>
    </row>
    <row r="995" customFormat="false" ht="15" hidden="false" customHeight="false" outlineLevel="0" collapsed="false">
      <c r="A995" s="63"/>
      <c r="B995" s="28"/>
      <c r="C995" s="28"/>
      <c r="D995" s="28"/>
      <c r="E995" s="28"/>
      <c r="F995" s="64"/>
      <c r="G995" s="28"/>
    </row>
    <row r="996" customFormat="false" ht="15" hidden="false" customHeight="false" outlineLevel="0" collapsed="false">
      <c r="A996" s="63"/>
      <c r="B996" s="28"/>
      <c r="C996" s="28"/>
      <c r="D996" s="28"/>
      <c r="E996" s="28"/>
      <c r="F996" s="64"/>
      <c r="G996" s="28"/>
    </row>
    <row r="997" customFormat="false" ht="15" hidden="false" customHeight="false" outlineLevel="0" collapsed="false">
      <c r="A997" s="63"/>
      <c r="B997" s="28"/>
      <c r="C997" s="28"/>
      <c r="D997" s="28"/>
      <c r="E997" s="28"/>
      <c r="F997" s="64"/>
      <c r="G997" s="28"/>
    </row>
    <row r="998" customFormat="false" ht="15" hidden="false" customHeight="false" outlineLevel="0" collapsed="false">
      <c r="A998" s="63"/>
      <c r="B998" s="28"/>
      <c r="C998" s="28"/>
      <c r="D998" s="28"/>
      <c r="E998" s="28"/>
      <c r="F998" s="64"/>
      <c r="G998" s="28"/>
    </row>
    <row r="999" customFormat="false" ht="15" hidden="false" customHeight="false" outlineLevel="0" collapsed="false">
      <c r="A999" s="63"/>
      <c r="B999" s="28"/>
      <c r="C999" s="28"/>
      <c r="D999" s="28"/>
      <c r="E999" s="28"/>
      <c r="F999" s="64"/>
      <c r="G999" s="28"/>
    </row>
    <row r="1000" customFormat="false" ht="15" hidden="false" customHeight="false" outlineLevel="0" collapsed="false">
      <c r="A1000" s="63"/>
      <c r="B1000" s="28"/>
      <c r="C1000" s="28"/>
      <c r="D1000" s="28"/>
      <c r="E1000" s="28"/>
      <c r="F1000" s="64"/>
      <c r="G1000" s="28"/>
    </row>
    <row r="1001" customFormat="false" ht="15" hidden="false" customHeight="false" outlineLevel="0" collapsed="false">
      <c r="A1001" s="63"/>
      <c r="B1001" s="28"/>
      <c r="C1001" s="28"/>
      <c r="D1001" s="28"/>
      <c r="E1001" s="28"/>
      <c r="F1001" s="64"/>
      <c r="G1001" s="28"/>
    </row>
  </sheetData>
  <autoFilter ref="A1:G1001"/>
  <dataValidations count="1">
    <dataValidation allowBlank="true" error="Pick one of: Ready, Fix first" errorStyle="stop" errorTitle="Not on the list" operator="between" showDropDown="false" showErrorMessage="true" showInputMessage="false" sqref="F2:F1001" type="list">
      <formula1>"Ready,Fix first"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4" min="3" style="0" width="34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30" hidden="false" customHeight="true" outlineLevel="0" collapsed="false">
      <c r="A1" s="61" t="s">
        <v>27</v>
      </c>
      <c r="B1" s="61" t="s">
        <v>424</v>
      </c>
      <c r="C1" s="61" t="s">
        <v>14</v>
      </c>
      <c r="D1" s="61" t="s">
        <v>425</v>
      </c>
      <c r="E1" s="61" t="s">
        <v>426</v>
      </c>
      <c r="F1" s="61" t="s">
        <v>427</v>
      </c>
    </row>
    <row r="2" customFormat="false" ht="15" hidden="false" customHeight="false" outlineLevel="0" collapsed="false">
      <c r="A2" s="63" t="n">
        <v>46273</v>
      </c>
      <c r="B2" s="28" t="s">
        <v>428</v>
      </c>
      <c r="C2" s="28" t="s">
        <v>429</v>
      </c>
      <c r="D2" s="28" t="s">
        <v>430</v>
      </c>
      <c r="E2" s="28" t="s">
        <v>431</v>
      </c>
      <c r="F2" s="28" t="s">
        <v>415</v>
      </c>
    </row>
    <row r="3" customFormat="false" ht="15" hidden="false" customHeight="false" outlineLevel="0" collapsed="false">
      <c r="A3" s="63" t="n">
        <v>46288</v>
      </c>
      <c r="B3" s="28" t="s">
        <v>432</v>
      </c>
      <c r="C3" s="28" t="s">
        <v>433</v>
      </c>
      <c r="D3" s="28" t="s">
        <v>434</v>
      </c>
      <c r="E3" s="28" t="s">
        <v>435</v>
      </c>
      <c r="F3" s="28" t="s">
        <v>415</v>
      </c>
    </row>
    <row r="4" customFormat="false" ht="15" hidden="false" customHeight="false" outlineLevel="0" collapsed="false">
      <c r="A4" s="63"/>
      <c r="B4" s="28"/>
      <c r="C4" s="28"/>
      <c r="D4" s="28"/>
      <c r="E4" s="28"/>
      <c r="F4" s="28"/>
    </row>
    <row r="5" customFormat="false" ht="15" hidden="false" customHeight="false" outlineLevel="0" collapsed="false">
      <c r="A5" s="63"/>
      <c r="B5" s="28"/>
      <c r="C5" s="28"/>
      <c r="D5" s="28"/>
      <c r="E5" s="28"/>
      <c r="F5" s="28"/>
    </row>
    <row r="6" customFormat="false" ht="15" hidden="false" customHeight="false" outlineLevel="0" collapsed="false">
      <c r="A6" s="63"/>
      <c r="B6" s="28"/>
      <c r="C6" s="28"/>
      <c r="D6" s="28"/>
      <c r="E6" s="28"/>
      <c r="F6" s="28"/>
    </row>
    <row r="7" customFormat="false" ht="15" hidden="false" customHeight="false" outlineLevel="0" collapsed="false">
      <c r="A7" s="63"/>
      <c r="B7" s="28"/>
      <c r="C7" s="28"/>
      <c r="D7" s="28"/>
      <c r="E7" s="28"/>
      <c r="F7" s="28"/>
    </row>
    <row r="8" customFormat="false" ht="15" hidden="false" customHeight="false" outlineLevel="0" collapsed="false">
      <c r="A8" s="63"/>
      <c r="B8" s="28"/>
      <c r="C8" s="28"/>
      <c r="D8" s="28"/>
      <c r="E8" s="28"/>
      <c r="F8" s="28"/>
    </row>
    <row r="9" customFormat="false" ht="15" hidden="false" customHeight="false" outlineLevel="0" collapsed="false">
      <c r="A9" s="63"/>
      <c r="B9" s="28"/>
      <c r="C9" s="28"/>
      <c r="D9" s="28"/>
      <c r="E9" s="28"/>
      <c r="F9" s="28"/>
    </row>
    <row r="10" customFormat="false" ht="15" hidden="false" customHeight="false" outlineLevel="0" collapsed="false">
      <c r="A10" s="63"/>
      <c r="B10" s="28"/>
      <c r="C10" s="28"/>
      <c r="D10" s="28"/>
      <c r="E10" s="28"/>
      <c r="F10" s="28"/>
    </row>
    <row r="11" customFormat="false" ht="15" hidden="false" customHeight="false" outlineLevel="0" collapsed="false">
      <c r="A11" s="63"/>
      <c r="B11" s="28"/>
      <c r="C11" s="28"/>
      <c r="D11" s="28"/>
      <c r="E11" s="28"/>
      <c r="F11" s="28"/>
    </row>
    <row r="12" customFormat="false" ht="15" hidden="false" customHeight="false" outlineLevel="0" collapsed="false">
      <c r="A12" s="63"/>
      <c r="B12" s="28"/>
      <c r="C12" s="28"/>
      <c r="D12" s="28"/>
      <c r="E12" s="28"/>
      <c r="F12" s="28"/>
    </row>
    <row r="13" customFormat="false" ht="15" hidden="false" customHeight="false" outlineLevel="0" collapsed="false">
      <c r="A13" s="63"/>
      <c r="B13" s="28"/>
      <c r="C13" s="28"/>
      <c r="D13" s="28"/>
      <c r="E13" s="28"/>
      <c r="F13" s="28"/>
    </row>
    <row r="14" customFormat="false" ht="15" hidden="false" customHeight="false" outlineLevel="0" collapsed="false">
      <c r="A14" s="63"/>
      <c r="B14" s="28"/>
      <c r="C14" s="28"/>
      <c r="D14" s="28"/>
      <c r="E14" s="28"/>
      <c r="F14" s="28"/>
    </row>
    <row r="15" customFormat="false" ht="15" hidden="false" customHeight="false" outlineLevel="0" collapsed="false">
      <c r="A15" s="63"/>
      <c r="B15" s="28"/>
      <c r="C15" s="28"/>
      <c r="D15" s="28"/>
      <c r="E15" s="28"/>
      <c r="F15" s="28"/>
    </row>
    <row r="16" customFormat="false" ht="15" hidden="false" customHeight="false" outlineLevel="0" collapsed="false">
      <c r="A16" s="63"/>
      <c r="B16" s="28"/>
      <c r="C16" s="28"/>
      <c r="D16" s="28"/>
      <c r="E16" s="28"/>
      <c r="F16" s="28"/>
    </row>
    <row r="17" customFormat="false" ht="15" hidden="false" customHeight="false" outlineLevel="0" collapsed="false">
      <c r="A17" s="63"/>
      <c r="B17" s="28"/>
      <c r="C17" s="28"/>
      <c r="D17" s="28"/>
      <c r="E17" s="28"/>
      <c r="F17" s="28"/>
    </row>
    <row r="18" customFormat="false" ht="15" hidden="false" customHeight="false" outlineLevel="0" collapsed="false">
      <c r="A18" s="63"/>
      <c r="B18" s="28"/>
      <c r="C18" s="28"/>
      <c r="D18" s="28"/>
      <c r="E18" s="28"/>
      <c r="F18" s="28"/>
    </row>
    <row r="19" customFormat="false" ht="15" hidden="false" customHeight="false" outlineLevel="0" collapsed="false">
      <c r="A19" s="63"/>
      <c r="B19" s="28"/>
      <c r="C19" s="28"/>
      <c r="D19" s="28"/>
      <c r="E19" s="28"/>
      <c r="F19" s="28"/>
    </row>
    <row r="20" customFormat="false" ht="15" hidden="false" customHeight="false" outlineLevel="0" collapsed="false">
      <c r="A20" s="63"/>
      <c r="B20" s="28"/>
      <c r="C20" s="28"/>
      <c r="D20" s="28"/>
      <c r="E20" s="28"/>
      <c r="F20" s="28"/>
    </row>
    <row r="21" customFormat="false" ht="15" hidden="false" customHeight="false" outlineLevel="0" collapsed="false">
      <c r="A21" s="63"/>
      <c r="B21" s="28"/>
      <c r="C21" s="28"/>
      <c r="D21" s="28"/>
      <c r="E21" s="28"/>
      <c r="F21" s="28"/>
    </row>
    <row r="22" customFormat="false" ht="15" hidden="false" customHeight="false" outlineLevel="0" collapsed="false">
      <c r="A22" s="63"/>
      <c r="B22" s="28"/>
      <c r="C22" s="28"/>
      <c r="D22" s="28"/>
      <c r="E22" s="28"/>
      <c r="F22" s="28"/>
    </row>
    <row r="23" customFormat="false" ht="15" hidden="false" customHeight="false" outlineLevel="0" collapsed="false">
      <c r="A23" s="63"/>
      <c r="B23" s="28"/>
      <c r="C23" s="28"/>
      <c r="D23" s="28"/>
      <c r="E23" s="28"/>
      <c r="F23" s="28"/>
    </row>
    <row r="24" customFormat="false" ht="15" hidden="false" customHeight="false" outlineLevel="0" collapsed="false">
      <c r="A24" s="63"/>
      <c r="B24" s="28"/>
      <c r="C24" s="28"/>
      <c r="D24" s="28"/>
      <c r="E24" s="28"/>
      <c r="F24" s="28"/>
    </row>
    <row r="25" customFormat="false" ht="15" hidden="false" customHeight="false" outlineLevel="0" collapsed="false">
      <c r="A25" s="63"/>
      <c r="B25" s="28"/>
      <c r="C25" s="28"/>
      <c r="D25" s="28"/>
      <c r="E25" s="28"/>
      <c r="F25" s="28"/>
    </row>
    <row r="26" customFormat="false" ht="15" hidden="false" customHeight="false" outlineLevel="0" collapsed="false">
      <c r="A26" s="63"/>
      <c r="B26" s="28"/>
      <c r="C26" s="28"/>
      <c r="D26" s="28"/>
      <c r="E26" s="28"/>
      <c r="F26" s="28"/>
    </row>
    <row r="27" customFormat="false" ht="15" hidden="false" customHeight="false" outlineLevel="0" collapsed="false">
      <c r="A27" s="63"/>
      <c r="B27" s="28"/>
      <c r="C27" s="28"/>
      <c r="D27" s="28"/>
      <c r="E27" s="28"/>
      <c r="F27" s="28"/>
    </row>
    <row r="28" customFormat="false" ht="15" hidden="false" customHeight="false" outlineLevel="0" collapsed="false">
      <c r="A28" s="63"/>
      <c r="B28" s="28"/>
      <c r="C28" s="28"/>
      <c r="D28" s="28"/>
      <c r="E28" s="28"/>
      <c r="F28" s="28"/>
    </row>
    <row r="29" customFormat="false" ht="15" hidden="false" customHeight="false" outlineLevel="0" collapsed="false">
      <c r="A29" s="63"/>
      <c r="B29" s="28"/>
      <c r="C29" s="28"/>
      <c r="D29" s="28"/>
      <c r="E29" s="28"/>
      <c r="F29" s="28"/>
    </row>
    <row r="30" customFormat="false" ht="15" hidden="false" customHeight="false" outlineLevel="0" collapsed="false">
      <c r="A30" s="63"/>
      <c r="B30" s="28"/>
      <c r="C30" s="28"/>
      <c r="D30" s="28"/>
      <c r="E30" s="28"/>
      <c r="F30" s="28"/>
    </row>
    <row r="31" customFormat="false" ht="15" hidden="false" customHeight="false" outlineLevel="0" collapsed="false">
      <c r="A31" s="63"/>
      <c r="B31" s="28"/>
      <c r="C31" s="28"/>
      <c r="D31" s="28"/>
      <c r="E31" s="28"/>
      <c r="F31" s="28"/>
    </row>
    <row r="32" customFormat="false" ht="15" hidden="false" customHeight="false" outlineLevel="0" collapsed="false">
      <c r="A32" s="63"/>
      <c r="B32" s="28"/>
      <c r="C32" s="28"/>
      <c r="D32" s="28"/>
      <c r="E32" s="28"/>
      <c r="F32" s="28"/>
    </row>
    <row r="33" customFormat="false" ht="15" hidden="false" customHeight="false" outlineLevel="0" collapsed="false">
      <c r="A33" s="63"/>
      <c r="B33" s="28"/>
      <c r="C33" s="28"/>
      <c r="D33" s="28"/>
      <c r="E33" s="28"/>
      <c r="F33" s="28"/>
    </row>
    <row r="34" customFormat="false" ht="15" hidden="false" customHeight="false" outlineLevel="0" collapsed="false">
      <c r="A34" s="63"/>
      <c r="B34" s="28"/>
      <c r="C34" s="28"/>
      <c r="D34" s="28"/>
      <c r="E34" s="28"/>
      <c r="F34" s="28"/>
    </row>
    <row r="35" customFormat="false" ht="15" hidden="false" customHeight="false" outlineLevel="0" collapsed="false">
      <c r="A35" s="63"/>
      <c r="B35" s="28"/>
      <c r="C35" s="28"/>
      <c r="D35" s="28"/>
      <c r="E35" s="28"/>
      <c r="F35" s="28"/>
    </row>
    <row r="36" customFormat="false" ht="15" hidden="false" customHeight="false" outlineLevel="0" collapsed="false">
      <c r="A36" s="63"/>
      <c r="B36" s="28"/>
      <c r="C36" s="28"/>
      <c r="D36" s="28"/>
      <c r="E36" s="28"/>
      <c r="F36" s="28"/>
    </row>
    <row r="37" customFormat="false" ht="15" hidden="false" customHeight="false" outlineLevel="0" collapsed="false">
      <c r="A37" s="63"/>
      <c r="B37" s="28"/>
      <c r="C37" s="28"/>
      <c r="D37" s="28"/>
      <c r="E37" s="28"/>
      <c r="F37" s="28"/>
    </row>
    <row r="38" customFormat="false" ht="15" hidden="false" customHeight="false" outlineLevel="0" collapsed="false">
      <c r="A38" s="63"/>
      <c r="B38" s="28"/>
      <c r="C38" s="28"/>
      <c r="D38" s="28"/>
      <c r="E38" s="28"/>
      <c r="F38" s="28"/>
    </row>
    <row r="39" customFormat="false" ht="15" hidden="false" customHeight="false" outlineLevel="0" collapsed="false">
      <c r="A39" s="63"/>
      <c r="B39" s="28"/>
      <c r="C39" s="28"/>
      <c r="D39" s="28"/>
      <c r="E39" s="28"/>
      <c r="F39" s="28"/>
    </row>
    <row r="40" customFormat="false" ht="15" hidden="false" customHeight="false" outlineLevel="0" collapsed="false">
      <c r="A40" s="63"/>
      <c r="B40" s="28"/>
      <c r="C40" s="28"/>
      <c r="D40" s="28"/>
      <c r="E40" s="28"/>
      <c r="F40" s="28"/>
    </row>
    <row r="41" customFormat="false" ht="15" hidden="false" customHeight="false" outlineLevel="0" collapsed="false">
      <c r="A41" s="63"/>
      <c r="B41" s="28"/>
      <c r="C41" s="28"/>
      <c r="D41" s="28"/>
      <c r="E41" s="28"/>
      <c r="F41" s="28"/>
    </row>
    <row r="42" customFormat="false" ht="15" hidden="false" customHeight="false" outlineLevel="0" collapsed="false">
      <c r="A42" s="63"/>
      <c r="B42" s="28"/>
      <c r="C42" s="28"/>
      <c r="D42" s="28"/>
      <c r="E42" s="28"/>
      <c r="F42" s="28"/>
    </row>
    <row r="43" customFormat="false" ht="15" hidden="false" customHeight="false" outlineLevel="0" collapsed="false">
      <c r="A43" s="63"/>
      <c r="B43" s="28"/>
      <c r="C43" s="28"/>
      <c r="D43" s="28"/>
      <c r="E43" s="28"/>
      <c r="F43" s="28"/>
    </row>
    <row r="44" customFormat="false" ht="15" hidden="false" customHeight="false" outlineLevel="0" collapsed="false">
      <c r="A44" s="63"/>
      <c r="B44" s="28"/>
      <c r="C44" s="28"/>
      <c r="D44" s="28"/>
      <c r="E44" s="28"/>
      <c r="F44" s="28"/>
    </row>
    <row r="45" customFormat="false" ht="15" hidden="false" customHeight="false" outlineLevel="0" collapsed="false">
      <c r="A45" s="63"/>
      <c r="B45" s="28"/>
      <c r="C45" s="28"/>
      <c r="D45" s="28"/>
      <c r="E45" s="28"/>
      <c r="F45" s="28"/>
    </row>
    <row r="46" customFormat="false" ht="15" hidden="false" customHeight="false" outlineLevel="0" collapsed="false">
      <c r="A46" s="63"/>
      <c r="B46" s="28"/>
      <c r="C46" s="28"/>
      <c r="D46" s="28"/>
      <c r="E46" s="28"/>
      <c r="F46" s="28"/>
    </row>
    <row r="47" customFormat="false" ht="15" hidden="false" customHeight="false" outlineLevel="0" collapsed="false">
      <c r="A47" s="63"/>
      <c r="B47" s="28"/>
      <c r="C47" s="28"/>
      <c r="D47" s="28"/>
      <c r="E47" s="28"/>
      <c r="F47" s="28"/>
    </row>
    <row r="48" customFormat="false" ht="15" hidden="false" customHeight="false" outlineLevel="0" collapsed="false">
      <c r="A48" s="63"/>
      <c r="B48" s="28"/>
      <c r="C48" s="28"/>
      <c r="D48" s="28"/>
      <c r="E48" s="28"/>
      <c r="F48" s="28"/>
    </row>
    <row r="49" customFormat="false" ht="15" hidden="false" customHeight="false" outlineLevel="0" collapsed="false">
      <c r="A49" s="63"/>
      <c r="B49" s="28"/>
      <c r="C49" s="28"/>
      <c r="D49" s="28"/>
      <c r="E49" s="28"/>
      <c r="F49" s="28"/>
    </row>
    <row r="50" customFormat="false" ht="15" hidden="false" customHeight="false" outlineLevel="0" collapsed="false">
      <c r="A50" s="63"/>
      <c r="B50" s="28"/>
      <c r="C50" s="28"/>
      <c r="D50" s="28"/>
      <c r="E50" s="28"/>
      <c r="F50" s="28"/>
    </row>
    <row r="51" customFormat="false" ht="15" hidden="false" customHeight="false" outlineLevel="0" collapsed="false">
      <c r="A51" s="63"/>
      <c r="B51" s="28"/>
      <c r="C51" s="28"/>
      <c r="D51" s="28"/>
      <c r="E51" s="28"/>
      <c r="F51" s="28"/>
    </row>
    <row r="52" customFormat="false" ht="15" hidden="false" customHeight="false" outlineLevel="0" collapsed="false">
      <c r="A52" s="63"/>
      <c r="B52" s="28"/>
      <c r="C52" s="28"/>
      <c r="D52" s="28"/>
      <c r="E52" s="28"/>
      <c r="F52" s="28"/>
    </row>
    <row r="53" customFormat="false" ht="15" hidden="false" customHeight="false" outlineLevel="0" collapsed="false">
      <c r="A53" s="63"/>
      <c r="B53" s="28"/>
      <c r="C53" s="28"/>
      <c r="D53" s="28"/>
      <c r="E53" s="28"/>
      <c r="F53" s="28"/>
    </row>
    <row r="54" customFormat="false" ht="15" hidden="false" customHeight="false" outlineLevel="0" collapsed="false">
      <c r="A54" s="63"/>
      <c r="B54" s="28"/>
      <c r="C54" s="28"/>
      <c r="D54" s="28"/>
      <c r="E54" s="28"/>
      <c r="F54" s="28"/>
    </row>
    <row r="55" customFormat="false" ht="15" hidden="false" customHeight="false" outlineLevel="0" collapsed="false">
      <c r="A55" s="63"/>
      <c r="B55" s="28"/>
      <c r="C55" s="28"/>
      <c r="D55" s="28"/>
      <c r="E55" s="28"/>
      <c r="F55" s="28"/>
    </row>
    <row r="56" customFormat="false" ht="15" hidden="false" customHeight="false" outlineLevel="0" collapsed="false">
      <c r="A56" s="63"/>
      <c r="B56" s="28"/>
      <c r="C56" s="28"/>
      <c r="D56" s="28"/>
      <c r="E56" s="28"/>
      <c r="F56" s="28"/>
    </row>
    <row r="57" customFormat="false" ht="15" hidden="false" customHeight="false" outlineLevel="0" collapsed="false">
      <c r="A57" s="63"/>
      <c r="B57" s="28"/>
      <c r="C57" s="28"/>
      <c r="D57" s="28"/>
      <c r="E57" s="28"/>
      <c r="F57" s="28"/>
    </row>
    <row r="58" customFormat="false" ht="15" hidden="false" customHeight="false" outlineLevel="0" collapsed="false">
      <c r="A58" s="63"/>
      <c r="B58" s="28"/>
      <c r="C58" s="28"/>
      <c r="D58" s="28"/>
      <c r="E58" s="28"/>
      <c r="F58" s="28"/>
    </row>
    <row r="59" customFormat="false" ht="15" hidden="false" customHeight="false" outlineLevel="0" collapsed="false">
      <c r="A59" s="63"/>
      <c r="B59" s="28"/>
      <c r="C59" s="28"/>
      <c r="D59" s="28"/>
      <c r="E59" s="28"/>
      <c r="F59" s="28"/>
    </row>
    <row r="60" customFormat="false" ht="15" hidden="false" customHeight="false" outlineLevel="0" collapsed="false">
      <c r="A60" s="63"/>
      <c r="B60" s="28"/>
      <c r="C60" s="28"/>
      <c r="D60" s="28"/>
      <c r="E60" s="28"/>
      <c r="F60" s="28"/>
    </row>
    <row r="61" customFormat="false" ht="15" hidden="false" customHeight="false" outlineLevel="0" collapsed="false">
      <c r="A61" s="63"/>
      <c r="B61" s="28"/>
      <c r="C61" s="28"/>
      <c r="D61" s="28"/>
      <c r="E61" s="28"/>
      <c r="F61" s="28"/>
    </row>
    <row r="62" customFormat="false" ht="15" hidden="false" customHeight="false" outlineLevel="0" collapsed="false">
      <c r="A62" s="63"/>
      <c r="B62" s="28"/>
      <c r="C62" s="28"/>
      <c r="D62" s="28"/>
      <c r="E62" s="28"/>
      <c r="F62" s="28"/>
    </row>
    <row r="63" customFormat="false" ht="15" hidden="false" customHeight="false" outlineLevel="0" collapsed="false">
      <c r="A63" s="63"/>
      <c r="B63" s="28"/>
      <c r="C63" s="28"/>
      <c r="D63" s="28"/>
      <c r="E63" s="28"/>
      <c r="F63" s="28"/>
    </row>
    <row r="64" customFormat="false" ht="15" hidden="false" customHeight="false" outlineLevel="0" collapsed="false">
      <c r="A64" s="63"/>
      <c r="B64" s="28"/>
      <c r="C64" s="28"/>
      <c r="D64" s="28"/>
      <c r="E64" s="28"/>
      <c r="F64" s="28"/>
    </row>
    <row r="65" customFormat="false" ht="15" hidden="false" customHeight="false" outlineLevel="0" collapsed="false">
      <c r="A65" s="63"/>
      <c r="B65" s="28"/>
      <c r="C65" s="28"/>
      <c r="D65" s="28"/>
      <c r="E65" s="28"/>
      <c r="F65" s="28"/>
    </row>
    <row r="66" customFormat="false" ht="15" hidden="false" customHeight="false" outlineLevel="0" collapsed="false">
      <c r="A66" s="63"/>
      <c r="B66" s="28"/>
      <c r="C66" s="28"/>
      <c r="D66" s="28"/>
      <c r="E66" s="28"/>
      <c r="F66" s="28"/>
    </row>
    <row r="67" customFormat="false" ht="15" hidden="false" customHeight="false" outlineLevel="0" collapsed="false">
      <c r="A67" s="63"/>
      <c r="B67" s="28"/>
      <c r="C67" s="28"/>
      <c r="D67" s="28"/>
      <c r="E67" s="28"/>
      <c r="F67" s="28"/>
    </row>
    <row r="68" customFormat="false" ht="15" hidden="false" customHeight="false" outlineLevel="0" collapsed="false">
      <c r="A68" s="63"/>
      <c r="B68" s="28"/>
      <c r="C68" s="28"/>
      <c r="D68" s="28"/>
      <c r="E68" s="28"/>
      <c r="F68" s="28"/>
    </row>
    <row r="69" customFormat="false" ht="15" hidden="false" customHeight="false" outlineLevel="0" collapsed="false">
      <c r="A69" s="63"/>
      <c r="B69" s="28"/>
      <c r="C69" s="28"/>
      <c r="D69" s="28"/>
      <c r="E69" s="28"/>
      <c r="F69" s="28"/>
    </row>
    <row r="70" customFormat="false" ht="15" hidden="false" customHeight="false" outlineLevel="0" collapsed="false">
      <c r="A70" s="63"/>
      <c r="B70" s="28"/>
      <c r="C70" s="28"/>
      <c r="D70" s="28"/>
      <c r="E70" s="28"/>
      <c r="F70" s="28"/>
    </row>
    <row r="71" customFormat="false" ht="15" hidden="false" customHeight="false" outlineLevel="0" collapsed="false">
      <c r="A71" s="63"/>
      <c r="B71" s="28"/>
      <c r="C71" s="28"/>
      <c r="D71" s="28"/>
      <c r="E71" s="28"/>
      <c r="F71" s="28"/>
    </row>
    <row r="72" customFormat="false" ht="15" hidden="false" customHeight="false" outlineLevel="0" collapsed="false">
      <c r="A72" s="63"/>
      <c r="B72" s="28"/>
      <c r="C72" s="28"/>
      <c r="D72" s="28"/>
      <c r="E72" s="28"/>
      <c r="F72" s="28"/>
    </row>
    <row r="73" customFormat="false" ht="15" hidden="false" customHeight="false" outlineLevel="0" collapsed="false">
      <c r="A73" s="63"/>
      <c r="B73" s="28"/>
      <c r="C73" s="28"/>
      <c r="D73" s="28"/>
      <c r="E73" s="28"/>
      <c r="F73" s="28"/>
    </row>
    <row r="74" customFormat="false" ht="15" hidden="false" customHeight="false" outlineLevel="0" collapsed="false">
      <c r="A74" s="63"/>
      <c r="B74" s="28"/>
      <c r="C74" s="28"/>
      <c r="D74" s="28"/>
      <c r="E74" s="28"/>
      <c r="F74" s="28"/>
    </row>
    <row r="75" customFormat="false" ht="15" hidden="false" customHeight="false" outlineLevel="0" collapsed="false">
      <c r="A75" s="63"/>
      <c r="B75" s="28"/>
      <c r="C75" s="28"/>
      <c r="D75" s="28"/>
      <c r="E75" s="28"/>
      <c r="F75" s="28"/>
    </row>
    <row r="76" customFormat="false" ht="15" hidden="false" customHeight="false" outlineLevel="0" collapsed="false">
      <c r="A76" s="63"/>
      <c r="B76" s="28"/>
      <c r="C76" s="28"/>
      <c r="D76" s="28"/>
      <c r="E76" s="28"/>
      <c r="F76" s="28"/>
    </row>
    <row r="77" customFormat="false" ht="15" hidden="false" customHeight="false" outlineLevel="0" collapsed="false">
      <c r="A77" s="63"/>
      <c r="B77" s="28"/>
      <c r="C77" s="28"/>
      <c r="D77" s="28"/>
      <c r="E77" s="28"/>
      <c r="F77" s="28"/>
    </row>
    <row r="78" customFormat="false" ht="15" hidden="false" customHeight="false" outlineLevel="0" collapsed="false">
      <c r="A78" s="63"/>
      <c r="B78" s="28"/>
      <c r="C78" s="28"/>
      <c r="D78" s="28"/>
      <c r="E78" s="28"/>
      <c r="F78" s="28"/>
    </row>
    <row r="79" customFormat="false" ht="15" hidden="false" customHeight="false" outlineLevel="0" collapsed="false">
      <c r="A79" s="63"/>
      <c r="B79" s="28"/>
      <c r="C79" s="28"/>
      <c r="D79" s="28"/>
      <c r="E79" s="28"/>
      <c r="F79" s="28"/>
    </row>
    <row r="80" customFormat="false" ht="15" hidden="false" customHeight="false" outlineLevel="0" collapsed="false">
      <c r="A80" s="63"/>
      <c r="B80" s="28"/>
      <c r="C80" s="28"/>
      <c r="D80" s="28"/>
      <c r="E80" s="28"/>
      <c r="F80" s="28"/>
    </row>
    <row r="81" customFormat="false" ht="15" hidden="false" customHeight="false" outlineLevel="0" collapsed="false">
      <c r="A81" s="63"/>
      <c r="B81" s="28"/>
      <c r="C81" s="28"/>
      <c r="D81" s="28"/>
      <c r="E81" s="28"/>
      <c r="F81" s="28"/>
    </row>
    <row r="82" customFormat="false" ht="15" hidden="false" customHeight="false" outlineLevel="0" collapsed="false">
      <c r="A82" s="63"/>
      <c r="B82" s="28"/>
      <c r="C82" s="28"/>
      <c r="D82" s="28"/>
      <c r="E82" s="28"/>
      <c r="F82" s="28"/>
    </row>
    <row r="83" customFormat="false" ht="15" hidden="false" customHeight="false" outlineLevel="0" collapsed="false">
      <c r="A83" s="63"/>
      <c r="B83" s="28"/>
      <c r="C83" s="28"/>
      <c r="D83" s="28"/>
      <c r="E83" s="28"/>
      <c r="F83" s="28"/>
    </row>
    <row r="84" customFormat="false" ht="15" hidden="false" customHeight="false" outlineLevel="0" collapsed="false">
      <c r="A84" s="63"/>
      <c r="B84" s="28"/>
      <c r="C84" s="28"/>
      <c r="D84" s="28"/>
      <c r="E84" s="28"/>
      <c r="F84" s="28"/>
    </row>
    <row r="85" customFormat="false" ht="15" hidden="false" customHeight="false" outlineLevel="0" collapsed="false">
      <c r="A85" s="63"/>
      <c r="B85" s="28"/>
      <c r="C85" s="28"/>
      <c r="D85" s="28"/>
      <c r="E85" s="28"/>
      <c r="F85" s="28"/>
    </row>
    <row r="86" customFormat="false" ht="15" hidden="false" customHeight="false" outlineLevel="0" collapsed="false">
      <c r="A86" s="63"/>
      <c r="B86" s="28"/>
      <c r="C86" s="28"/>
      <c r="D86" s="28"/>
      <c r="E86" s="28"/>
      <c r="F86" s="28"/>
    </row>
    <row r="87" customFormat="false" ht="15" hidden="false" customHeight="false" outlineLevel="0" collapsed="false">
      <c r="A87" s="63"/>
      <c r="B87" s="28"/>
      <c r="C87" s="28"/>
      <c r="D87" s="28"/>
      <c r="E87" s="28"/>
      <c r="F87" s="28"/>
    </row>
    <row r="88" customFormat="false" ht="15" hidden="false" customHeight="false" outlineLevel="0" collapsed="false">
      <c r="A88" s="63"/>
      <c r="B88" s="28"/>
      <c r="C88" s="28"/>
      <c r="D88" s="28"/>
      <c r="E88" s="28"/>
      <c r="F88" s="28"/>
    </row>
    <row r="89" customFormat="false" ht="15" hidden="false" customHeight="false" outlineLevel="0" collapsed="false">
      <c r="A89" s="63"/>
      <c r="B89" s="28"/>
      <c r="C89" s="28"/>
      <c r="D89" s="28"/>
      <c r="E89" s="28"/>
      <c r="F89" s="28"/>
    </row>
    <row r="90" customFormat="false" ht="15" hidden="false" customHeight="false" outlineLevel="0" collapsed="false">
      <c r="A90" s="63"/>
      <c r="B90" s="28"/>
      <c r="C90" s="28"/>
      <c r="D90" s="28"/>
      <c r="E90" s="28"/>
      <c r="F90" s="28"/>
    </row>
    <row r="91" customFormat="false" ht="15" hidden="false" customHeight="false" outlineLevel="0" collapsed="false">
      <c r="A91" s="63"/>
      <c r="B91" s="28"/>
      <c r="C91" s="28"/>
      <c r="D91" s="28"/>
      <c r="E91" s="28"/>
      <c r="F91" s="28"/>
    </row>
    <row r="92" customFormat="false" ht="15" hidden="false" customHeight="false" outlineLevel="0" collapsed="false">
      <c r="A92" s="63"/>
      <c r="B92" s="28"/>
      <c r="C92" s="28"/>
      <c r="D92" s="28"/>
      <c r="E92" s="28"/>
      <c r="F92" s="28"/>
    </row>
    <row r="93" customFormat="false" ht="15" hidden="false" customHeight="false" outlineLevel="0" collapsed="false">
      <c r="A93" s="63"/>
      <c r="B93" s="28"/>
      <c r="C93" s="28"/>
      <c r="D93" s="28"/>
      <c r="E93" s="28"/>
      <c r="F93" s="28"/>
    </row>
    <row r="94" customFormat="false" ht="15" hidden="false" customHeight="false" outlineLevel="0" collapsed="false">
      <c r="A94" s="63"/>
      <c r="B94" s="28"/>
      <c r="C94" s="28"/>
      <c r="D94" s="28"/>
      <c r="E94" s="28"/>
      <c r="F94" s="28"/>
    </row>
    <row r="95" customFormat="false" ht="15" hidden="false" customHeight="false" outlineLevel="0" collapsed="false">
      <c r="A95" s="63"/>
      <c r="B95" s="28"/>
      <c r="C95" s="28"/>
      <c r="D95" s="28"/>
      <c r="E95" s="28"/>
      <c r="F95" s="28"/>
    </row>
    <row r="96" customFormat="false" ht="15" hidden="false" customHeight="false" outlineLevel="0" collapsed="false">
      <c r="A96" s="63"/>
      <c r="B96" s="28"/>
      <c r="C96" s="28"/>
      <c r="D96" s="28"/>
      <c r="E96" s="28"/>
      <c r="F96" s="28"/>
    </row>
    <row r="97" customFormat="false" ht="15" hidden="false" customHeight="false" outlineLevel="0" collapsed="false">
      <c r="A97" s="63"/>
      <c r="B97" s="28"/>
      <c r="C97" s="28"/>
      <c r="D97" s="28"/>
      <c r="E97" s="28"/>
      <c r="F97" s="28"/>
    </row>
    <row r="98" customFormat="false" ht="15" hidden="false" customHeight="false" outlineLevel="0" collapsed="false">
      <c r="A98" s="63"/>
      <c r="B98" s="28"/>
      <c r="C98" s="28"/>
      <c r="D98" s="28"/>
      <c r="E98" s="28"/>
      <c r="F98" s="28"/>
    </row>
    <row r="99" customFormat="false" ht="15" hidden="false" customHeight="false" outlineLevel="0" collapsed="false">
      <c r="A99" s="63"/>
      <c r="B99" s="28"/>
      <c r="C99" s="28"/>
      <c r="D99" s="28"/>
      <c r="E99" s="28"/>
      <c r="F99" s="28"/>
    </row>
    <row r="100" customFormat="false" ht="15" hidden="false" customHeight="false" outlineLevel="0" collapsed="false">
      <c r="A100" s="63"/>
      <c r="B100" s="28"/>
      <c r="C100" s="28"/>
      <c r="D100" s="28"/>
      <c r="E100" s="28"/>
      <c r="F100" s="28"/>
    </row>
    <row r="101" customFormat="false" ht="15" hidden="false" customHeight="false" outlineLevel="0" collapsed="false">
      <c r="A101" s="63"/>
      <c r="B101" s="28"/>
      <c r="C101" s="28"/>
      <c r="D101" s="28"/>
      <c r="E101" s="28"/>
      <c r="F101" s="28"/>
    </row>
    <row r="102" customFormat="false" ht="15" hidden="false" customHeight="false" outlineLevel="0" collapsed="false">
      <c r="A102" s="63"/>
      <c r="B102" s="28"/>
      <c r="C102" s="28"/>
      <c r="D102" s="28"/>
      <c r="E102" s="28"/>
      <c r="F102" s="28"/>
    </row>
    <row r="103" customFormat="false" ht="15" hidden="false" customHeight="false" outlineLevel="0" collapsed="false">
      <c r="A103" s="63"/>
      <c r="B103" s="28"/>
      <c r="C103" s="28"/>
      <c r="D103" s="28"/>
      <c r="E103" s="28"/>
      <c r="F103" s="28"/>
    </row>
    <row r="104" customFormat="false" ht="15" hidden="false" customHeight="false" outlineLevel="0" collapsed="false">
      <c r="A104" s="63"/>
      <c r="B104" s="28"/>
      <c r="C104" s="28"/>
      <c r="D104" s="28"/>
      <c r="E104" s="28"/>
      <c r="F104" s="28"/>
    </row>
    <row r="105" customFormat="false" ht="15" hidden="false" customHeight="false" outlineLevel="0" collapsed="false">
      <c r="A105" s="63"/>
      <c r="B105" s="28"/>
      <c r="C105" s="28"/>
      <c r="D105" s="28"/>
      <c r="E105" s="28"/>
      <c r="F105" s="28"/>
    </row>
    <row r="106" customFormat="false" ht="15" hidden="false" customHeight="false" outlineLevel="0" collapsed="false">
      <c r="A106" s="63"/>
      <c r="B106" s="28"/>
      <c r="C106" s="28"/>
      <c r="D106" s="28"/>
      <c r="E106" s="28"/>
      <c r="F106" s="28"/>
    </row>
    <row r="107" customFormat="false" ht="15" hidden="false" customHeight="false" outlineLevel="0" collapsed="false">
      <c r="A107" s="63"/>
      <c r="B107" s="28"/>
      <c r="C107" s="28"/>
      <c r="D107" s="28"/>
      <c r="E107" s="28"/>
      <c r="F107" s="28"/>
    </row>
    <row r="108" customFormat="false" ht="15" hidden="false" customHeight="false" outlineLevel="0" collapsed="false">
      <c r="A108" s="63"/>
      <c r="B108" s="28"/>
      <c r="C108" s="28"/>
      <c r="D108" s="28"/>
      <c r="E108" s="28"/>
      <c r="F108" s="28"/>
    </row>
    <row r="109" customFormat="false" ht="15" hidden="false" customHeight="false" outlineLevel="0" collapsed="false">
      <c r="A109" s="63"/>
      <c r="B109" s="28"/>
      <c r="C109" s="28"/>
      <c r="D109" s="28"/>
      <c r="E109" s="28"/>
      <c r="F109" s="28"/>
    </row>
    <row r="110" customFormat="false" ht="15" hidden="false" customHeight="false" outlineLevel="0" collapsed="false">
      <c r="A110" s="63"/>
      <c r="B110" s="28"/>
      <c r="C110" s="28"/>
      <c r="D110" s="28"/>
      <c r="E110" s="28"/>
      <c r="F110" s="28"/>
    </row>
    <row r="111" customFormat="false" ht="15" hidden="false" customHeight="false" outlineLevel="0" collapsed="false">
      <c r="A111" s="63"/>
      <c r="B111" s="28"/>
      <c r="C111" s="28"/>
      <c r="D111" s="28"/>
      <c r="E111" s="28"/>
      <c r="F111" s="28"/>
    </row>
    <row r="112" customFormat="false" ht="15" hidden="false" customHeight="false" outlineLevel="0" collapsed="false">
      <c r="A112" s="63"/>
      <c r="B112" s="28"/>
      <c r="C112" s="28"/>
      <c r="D112" s="28"/>
      <c r="E112" s="28"/>
      <c r="F112" s="28"/>
    </row>
    <row r="113" customFormat="false" ht="15" hidden="false" customHeight="false" outlineLevel="0" collapsed="false">
      <c r="A113" s="63"/>
      <c r="B113" s="28"/>
      <c r="C113" s="28"/>
      <c r="D113" s="28"/>
      <c r="E113" s="28"/>
      <c r="F113" s="28"/>
    </row>
    <row r="114" customFormat="false" ht="15" hidden="false" customHeight="false" outlineLevel="0" collapsed="false">
      <c r="A114" s="63"/>
      <c r="B114" s="28"/>
      <c r="C114" s="28"/>
      <c r="D114" s="28"/>
      <c r="E114" s="28"/>
      <c r="F114" s="28"/>
    </row>
    <row r="115" customFormat="false" ht="15" hidden="false" customHeight="false" outlineLevel="0" collapsed="false">
      <c r="A115" s="63"/>
      <c r="B115" s="28"/>
      <c r="C115" s="28"/>
      <c r="D115" s="28"/>
      <c r="E115" s="28"/>
      <c r="F115" s="28"/>
    </row>
    <row r="116" customFormat="false" ht="15" hidden="false" customHeight="false" outlineLevel="0" collapsed="false">
      <c r="A116" s="63"/>
      <c r="B116" s="28"/>
      <c r="C116" s="28"/>
      <c r="D116" s="28"/>
      <c r="E116" s="28"/>
      <c r="F116" s="28"/>
    </row>
    <row r="117" customFormat="false" ht="15" hidden="false" customHeight="false" outlineLevel="0" collapsed="false">
      <c r="A117" s="63"/>
      <c r="B117" s="28"/>
      <c r="C117" s="28"/>
      <c r="D117" s="28"/>
      <c r="E117" s="28"/>
      <c r="F117" s="28"/>
    </row>
    <row r="118" customFormat="false" ht="15" hidden="false" customHeight="false" outlineLevel="0" collapsed="false">
      <c r="A118" s="63"/>
      <c r="B118" s="28"/>
      <c r="C118" s="28"/>
      <c r="D118" s="28"/>
      <c r="E118" s="28"/>
      <c r="F118" s="28"/>
    </row>
    <row r="119" customFormat="false" ht="15" hidden="false" customHeight="false" outlineLevel="0" collapsed="false">
      <c r="A119" s="63"/>
      <c r="B119" s="28"/>
      <c r="C119" s="28"/>
      <c r="D119" s="28"/>
      <c r="E119" s="28"/>
      <c r="F119" s="28"/>
    </row>
    <row r="120" customFormat="false" ht="15" hidden="false" customHeight="false" outlineLevel="0" collapsed="false">
      <c r="A120" s="63"/>
      <c r="B120" s="28"/>
      <c r="C120" s="28"/>
      <c r="D120" s="28"/>
      <c r="E120" s="28"/>
      <c r="F120" s="28"/>
    </row>
    <row r="121" customFormat="false" ht="15" hidden="false" customHeight="false" outlineLevel="0" collapsed="false">
      <c r="A121" s="63"/>
      <c r="B121" s="28"/>
      <c r="C121" s="28"/>
      <c r="D121" s="28"/>
      <c r="E121" s="28"/>
      <c r="F121" s="28"/>
    </row>
    <row r="122" customFormat="false" ht="15" hidden="false" customHeight="false" outlineLevel="0" collapsed="false">
      <c r="A122" s="63"/>
      <c r="B122" s="28"/>
      <c r="C122" s="28"/>
      <c r="D122" s="28"/>
      <c r="E122" s="28"/>
      <c r="F122" s="28"/>
    </row>
    <row r="123" customFormat="false" ht="15" hidden="false" customHeight="false" outlineLevel="0" collapsed="false">
      <c r="A123" s="63"/>
      <c r="B123" s="28"/>
      <c r="C123" s="28"/>
      <c r="D123" s="28"/>
      <c r="E123" s="28"/>
      <c r="F123" s="28"/>
    </row>
    <row r="124" customFormat="false" ht="15" hidden="false" customHeight="false" outlineLevel="0" collapsed="false">
      <c r="A124" s="63"/>
      <c r="B124" s="28"/>
      <c r="C124" s="28"/>
      <c r="D124" s="28"/>
      <c r="E124" s="28"/>
      <c r="F124" s="28"/>
    </row>
    <row r="125" customFormat="false" ht="15" hidden="false" customHeight="false" outlineLevel="0" collapsed="false">
      <c r="A125" s="63"/>
      <c r="B125" s="28"/>
      <c r="C125" s="28"/>
      <c r="D125" s="28"/>
      <c r="E125" s="28"/>
      <c r="F125" s="28"/>
    </row>
    <row r="126" customFormat="false" ht="15" hidden="false" customHeight="false" outlineLevel="0" collapsed="false">
      <c r="A126" s="63"/>
      <c r="B126" s="28"/>
      <c r="C126" s="28"/>
      <c r="D126" s="28"/>
      <c r="E126" s="28"/>
      <c r="F126" s="28"/>
    </row>
    <row r="127" customFormat="false" ht="15" hidden="false" customHeight="false" outlineLevel="0" collapsed="false">
      <c r="A127" s="63"/>
      <c r="B127" s="28"/>
      <c r="C127" s="28"/>
      <c r="D127" s="28"/>
      <c r="E127" s="28"/>
      <c r="F127" s="28"/>
    </row>
    <row r="128" customFormat="false" ht="15" hidden="false" customHeight="false" outlineLevel="0" collapsed="false">
      <c r="A128" s="63"/>
      <c r="B128" s="28"/>
      <c r="C128" s="28"/>
      <c r="D128" s="28"/>
      <c r="E128" s="28"/>
      <c r="F128" s="28"/>
    </row>
    <row r="129" customFormat="false" ht="15" hidden="false" customHeight="false" outlineLevel="0" collapsed="false">
      <c r="A129" s="63"/>
      <c r="B129" s="28"/>
      <c r="C129" s="28"/>
      <c r="D129" s="28"/>
      <c r="E129" s="28"/>
      <c r="F129" s="28"/>
    </row>
    <row r="130" customFormat="false" ht="15" hidden="false" customHeight="false" outlineLevel="0" collapsed="false">
      <c r="A130" s="63"/>
      <c r="B130" s="28"/>
      <c r="C130" s="28"/>
      <c r="D130" s="28"/>
      <c r="E130" s="28"/>
      <c r="F130" s="28"/>
    </row>
    <row r="131" customFormat="false" ht="15" hidden="false" customHeight="false" outlineLevel="0" collapsed="false">
      <c r="A131" s="63"/>
      <c r="B131" s="28"/>
      <c r="C131" s="28"/>
      <c r="D131" s="28"/>
      <c r="E131" s="28"/>
      <c r="F131" s="28"/>
    </row>
    <row r="132" customFormat="false" ht="15" hidden="false" customHeight="false" outlineLevel="0" collapsed="false">
      <c r="A132" s="63"/>
      <c r="B132" s="28"/>
      <c r="C132" s="28"/>
      <c r="D132" s="28"/>
      <c r="E132" s="28"/>
      <c r="F132" s="28"/>
    </row>
    <row r="133" customFormat="false" ht="15" hidden="false" customHeight="false" outlineLevel="0" collapsed="false">
      <c r="A133" s="63"/>
      <c r="B133" s="28"/>
      <c r="C133" s="28"/>
      <c r="D133" s="28"/>
      <c r="E133" s="28"/>
      <c r="F133" s="28"/>
    </row>
    <row r="134" customFormat="false" ht="15" hidden="false" customHeight="false" outlineLevel="0" collapsed="false">
      <c r="A134" s="63"/>
      <c r="B134" s="28"/>
      <c r="C134" s="28"/>
      <c r="D134" s="28"/>
      <c r="E134" s="28"/>
      <c r="F134" s="28"/>
    </row>
    <row r="135" customFormat="false" ht="15" hidden="false" customHeight="false" outlineLevel="0" collapsed="false">
      <c r="A135" s="63"/>
      <c r="B135" s="28"/>
      <c r="C135" s="28"/>
      <c r="D135" s="28"/>
      <c r="E135" s="28"/>
      <c r="F135" s="28"/>
    </row>
    <row r="136" customFormat="false" ht="15" hidden="false" customHeight="false" outlineLevel="0" collapsed="false">
      <c r="A136" s="63"/>
      <c r="B136" s="28"/>
      <c r="C136" s="28"/>
      <c r="D136" s="28"/>
      <c r="E136" s="28"/>
      <c r="F136" s="28"/>
    </row>
    <row r="137" customFormat="false" ht="15" hidden="false" customHeight="false" outlineLevel="0" collapsed="false">
      <c r="A137" s="63"/>
      <c r="B137" s="28"/>
      <c r="C137" s="28"/>
      <c r="D137" s="28"/>
      <c r="E137" s="28"/>
      <c r="F137" s="28"/>
    </row>
    <row r="138" customFormat="false" ht="15" hidden="false" customHeight="false" outlineLevel="0" collapsed="false">
      <c r="A138" s="63"/>
      <c r="B138" s="28"/>
      <c r="C138" s="28"/>
      <c r="D138" s="28"/>
      <c r="E138" s="28"/>
      <c r="F138" s="28"/>
    </row>
    <row r="139" customFormat="false" ht="15" hidden="false" customHeight="false" outlineLevel="0" collapsed="false">
      <c r="A139" s="63"/>
      <c r="B139" s="28"/>
      <c r="C139" s="28"/>
      <c r="D139" s="28"/>
      <c r="E139" s="28"/>
      <c r="F139" s="28"/>
    </row>
    <row r="140" customFormat="false" ht="15" hidden="false" customHeight="false" outlineLevel="0" collapsed="false">
      <c r="A140" s="63"/>
      <c r="B140" s="28"/>
      <c r="C140" s="28"/>
      <c r="D140" s="28"/>
      <c r="E140" s="28"/>
      <c r="F140" s="28"/>
    </row>
    <row r="141" customFormat="false" ht="15" hidden="false" customHeight="false" outlineLevel="0" collapsed="false">
      <c r="A141" s="63"/>
      <c r="B141" s="28"/>
      <c r="C141" s="28"/>
      <c r="D141" s="28"/>
      <c r="E141" s="28"/>
      <c r="F141" s="28"/>
    </row>
    <row r="142" customFormat="false" ht="15" hidden="false" customHeight="false" outlineLevel="0" collapsed="false">
      <c r="A142" s="63"/>
      <c r="B142" s="28"/>
      <c r="C142" s="28"/>
      <c r="D142" s="28"/>
      <c r="E142" s="28"/>
      <c r="F142" s="28"/>
    </row>
    <row r="143" customFormat="false" ht="15" hidden="false" customHeight="false" outlineLevel="0" collapsed="false">
      <c r="A143" s="63"/>
      <c r="B143" s="28"/>
      <c r="C143" s="28"/>
      <c r="D143" s="28"/>
      <c r="E143" s="28"/>
      <c r="F143" s="28"/>
    </row>
    <row r="144" customFormat="false" ht="15" hidden="false" customHeight="false" outlineLevel="0" collapsed="false">
      <c r="A144" s="63"/>
      <c r="B144" s="28"/>
      <c r="C144" s="28"/>
      <c r="D144" s="28"/>
      <c r="E144" s="28"/>
      <c r="F144" s="28"/>
    </row>
    <row r="145" customFormat="false" ht="15" hidden="false" customHeight="false" outlineLevel="0" collapsed="false">
      <c r="A145" s="63"/>
      <c r="B145" s="28"/>
      <c r="C145" s="28"/>
      <c r="D145" s="28"/>
      <c r="E145" s="28"/>
      <c r="F145" s="28"/>
    </row>
    <row r="146" customFormat="false" ht="15" hidden="false" customHeight="false" outlineLevel="0" collapsed="false">
      <c r="A146" s="63"/>
      <c r="B146" s="28"/>
      <c r="C146" s="28"/>
      <c r="D146" s="28"/>
      <c r="E146" s="28"/>
      <c r="F146" s="28"/>
    </row>
    <row r="147" customFormat="false" ht="15" hidden="false" customHeight="false" outlineLevel="0" collapsed="false">
      <c r="A147" s="63"/>
      <c r="B147" s="28"/>
      <c r="C147" s="28"/>
      <c r="D147" s="28"/>
      <c r="E147" s="28"/>
      <c r="F147" s="28"/>
    </row>
    <row r="148" customFormat="false" ht="15" hidden="false" customHeight="false" outlineLevel="0" collapsed="false">
      <c r="A148" s="63"/>
      <c r="B148" s="28"/>
      <c r="C148" s="28"/>
      <c r="D148" s="28"/>
      <c r="E148" s="28"/>
      <c r="F148" s="28"/>
    </row>
    <row r="149" customFormat="false" ht="15" hidden="false" customHeight="false" outlineLevel="0" collapsed="false">
      <c r="A149" s="63"/>
      <c r="B149" s="28"/>
      <c r="C149" s="28"/>
      <c r="D149" s="28"/>
      <c r="E149" s="28"/>
      <c r="F149" s="28"/>
    </row>
    <row r="150" customFormat="false" ht="15" hidden="false" customHeight="false" outlineLevel="0" collapsed="false">
      <c r="A150" s="63"/>
      <c r="B150" s="28"/>
      <c r="C150" s="28"/>
      <c r="D150" s="28"/>
      <c r="E150" s="28"/>
      <c r="F150" s="28"/>
    </row>
    <row r="151" customFormat="false" ht="15" hidden="false" customHeight="false" outlineLevel="0" collapsed="false">
      <c r="A151" s="63"/>
      <c r="B151" s="28"/>
      <c r="C151" s="28"/>
      <c r="D151" s="28"/>
      <c r="E151" s="28"/>
      <c r="F151" s="28"/>
    </row>
    <row r="152" customFormat="false" ht="15" hidden="false" customHeight="false" outlineLevel="0" collapsed="false">
      <c r="A152" s="63"/>
      <c r="B152" s="28"/>
      <c r="C152" s="28"/>
      <c r="D152" s="28"/>
      <c r="E152" s="28"/>
      <c r="F152" s="28"/>
    </row>
    <row r="153" customFormat="false" ht="15" hidden="false" customHeight="false" outlineLevel="0" collapsed="false">
      <c r="A153" s="63"/>
      <c r="B153" s="28"/>
      <c r="C153" s="28"/>
      <c r="D153" s="28"/>
      <c r="E153" s="28"/>
      <c r="F153" s="28"/>
    </row>
    <row r="154" customFormat="false" ht="15" hidden="false" customHeight="false" outlineLevel="0" collapsed="false">
      <c r="A154" s="63"/>
      <c r="B154" s="28"/>
      <c r="C154" s="28"/>
      <c r="D154" s="28"/>
      <c r="E154" s="28"/>
      <c r="F154" s="28"/>
    </row>
    <row r="155" customFormat="false" ht="15" hidden="false" customHeight="false" outlineLevel="0" collapsed="false">
      <c r="A155" s="63"/>
      <c r="B155" s="28"/>
      <c r="C155" s="28"/>
      <c r="D155" s="28"/>
      <c r="E155" s="28"/>
      <c r="F155" s="28"/>
    </row>
    <row r="156" customFormat="false" ht="15" hidden="false" customHeight="false" outlineLevel="0" collapsed="false">
      <c r="A156" s="63"/>
      <c r="B156" s="28"/>
      <c r="C156" s="28"/>
      <c r="D156" s="28"/>
      <c r="E156" s="28"/>
      <c r="F156" s="28"/>
    </row>
    <row r="157" customFormat="false" ht="15" hidden="false" customHeight="false" outlineLevel="0" collapsed="false">
      <c r="A157" s="63"/>
      <c r="B157" s="28"/>
      <c r="C157" s="28"/>
      <c r="D157" s="28"/>
      <c r="E157" s="28"/>
      <c r="F157" s="28"/>
    </row>
    <row r="158" customFormat="false" ht="15" hidden="false" customHeight="false" outlineLevel="0" collapsed="false">
      <c r="A158" s="63"/>
      <c r="B158" s="28"/>
      <c r="C158" s="28"/>
      <c r="D158" s="28"/>
      <c r="E158" s="28"/>
      <c r="F158" s="28"/>
    </row>
    <row r="159" customFormat="false" ht="15" hidden="false" customHeight="false" outlineLevel="0" collapsed="false">
      <c r="A159" s="63"/>
      <c r="B159" s="28"/>
      <c r="C159" s="28"/>
      <c r="D159" s="28"/>
      <c r="E159" s="28"/>
      <c r="F159" s="28"/>
    </row>
    <row r="160" customFormat="false" ht="15" hidden="false" customHeight="false" outlineLevel="0" collapsed="false">
      <c r="A160" s="63"/>
      <c r="B160" s="28"/>
      <c r="C160" s="28"/>
      <c r="D160" s="28"/>
      <c r="E160" s="28"/>
      <c r="F160" s="28"/>
    </row>
    <row r="161" customFormat="false" ht="15" hidden="false" customHeight="false" outlineLevel="0" collapsed="false">
      <c r="A161" s="63"/>
      <c r="B161" s="28"/>
      <c r="C161" s="28"/>
      <c r="D161" s="28"/>
      <c r="E161" s="28"/>
      <c r="F161" s="28"/>
    </row>
    <row r="162" customFormat="false" ht="15" hidden="false" customHeight="false" outlineLevel="0" collapsed="false">
      <c r="A162" s="63"/>
      <c r="B162" s="28"/>
      <c r="C162" s="28"/>
      <c r="D162" s="28"/>
      <c r="E162" s="28"/>
      <c r="F162" s="28"/>
    </row>
    <row r="163" customFormat="false" ht="15" hidden="false" customHeight="false" outlineLevel="0" collapsed="false">
      <c r="A163" s="63"/>
      <c r="B163" s="28"/>
      <c r="C163" s="28"/>
      <c r="D163" s="28"/>
      <c r="E163" s="28"/>
      <c r="F163" s="28"/>
    </row>
    <row r="164" customFormat="false" ht="15" hidden="false" customHeight="false" outlineLevel="0" collapsed="false">
      <c r="A164" s="63"/>
      <c r="B164" s="28"/>
      <c r="C164" s="28"/>
      <c r="D164" s="28"/>
      <c r="E164" s="28"/>
      <c r="F164" s="28"/>
    </row>
    <row r="165" customFormat="false" ht="15" hidden="false" customHeight="false" outlineLevel="0" collapsed="false">
      <c r="A165" s="63"/>
      <c r="B165" s="28"/>
      <c r="C165" s="28"/>
      <c r="D165" s="28"/>
      <c r="E165" s="28"/>
      <c r="F165" s="28"/>
    </row>
    <row r="166" customFormat="false" ht="15" hidden="false" customHeight="false" outlineLevel="0" collapsed="false">
      <c r="A166" s="63"/>
      <c r="B166" s="28"/>
      <c r="C166" s="28"/>
      <c r="D166" s="28"/>
      <c r="E166" s="28"/>
      <c r="F166" s="28"/>
    </row>
    <row r="167" customFormat="false" ht="15" hidden="false" customHeight="false" outlineLevel="0" collapsed="false">
      <c r="A167" s="63"/>
      <c r="B167" s="28"/>
      <c r="C167" s="28"/>
      <c r="D167" s="28"/>
      <c r="E167" s="28"/>
      <c r="F167" s="28"/>
    </row>
    <row r="168" customFormat="false" ht="15" hidden="false" customHeight="false" outlineLevel="0" collapsed="false">
      <c r="A168" s="63"/>
      <c r="B168" s="28"/>
      <c r="C168" s="28"/>
      <c r="D168" s="28"/>
      <c r="E168" s="28"/>
      <c r="F168" s="28"/>
    </row>
    <row r="169" customFormat="false" ht="15" hidden="false" customHeight="false" outlineLevel="0" collapsed="false">
      <c r="A169" s="63"/>
      <c r="B169" s="28"/>
      <c r="C169" s="28"/>
      <c r="D169" s="28"/>
      <c r="E169" s="28"/>
      <c r="F169" s="28"/>
    </row>
    <row r="170" customFormat="false" ht="15" hidden="false" customHeight="false" outlineLevel="0" collapsed="false">
      <c r="A170" s="63"/>
      <c r="B170" s="28"/>
      <c r="C170" s="28"/>
      <c r="D170" s="28"/>
      <c r="E170" s="28"/>
      <c r="F170" s="28"/>
    </row>
    <row r="171" customFormat="false" ht="15" hidden="false" customHeight="false" outlineLevel="0" collapsed="false">
      <c r="A171" s="63"/>
      <c r="B171" s="28"/>
      <c r="C171" s="28"/>
      <c r="D171" s="28"/>
      <c r="E171" s="28"/>
      <c r="F171" s="28"/>
    </row>
    <row r="172" customFormat="false" ht="15" hidden="false" customHeight="false" outlineLevel="0" collapsed="false">
      <c r="A172" s="63"/>
      <c r="B172" s="28"/>
      <c r="C172" s="28"/>
      <c r="D172" s="28"/>
      <c r="E172" s="28"/>
      <c r="F172" s="28"/>
    </row>
    <row r="173" customFormat="false" ht="15" hidden="false" customHeight="false" outlineLevel="0" collapsed="false">
      <c r="A173" s="63"/>
      <c r="B173" s="28"/>
      <c r="C173" s="28"/>
      <c r="D173" s="28"/>
      <c r="E173" s="28"/>
      <c r="F173" s="28"/>
    </row>
    <row r="174" customFormat="false" ht="15" hidden="false" customHeight="false" outlineLevel="0" collapsed="false">
      <c r="A174" s="63"/>
      <c r="B174" s="28"/>
      <c r="C174" s="28"/>
      <c r="D174" s="28"/>
      <c r="E174" s="28"/>
      <c r="F174" s="28"/>
    </row>
    <row r="175" customFormat="false" ht="15" hidden="false" customHeight="false" outlineLevel="0" collapsed="false">
      <c r="A175" s="63"/>
      <c r="B175" s="28"/>
      <c r="C175" s="28"/>
      <c r="D175" s="28"/>
      <c r="E175" s="28"/>
      <c r="F175" s="28"/>
    </row>
    <row r="176" customFormat="false" ht="15" hidden="false" customHeight="false" outlineLevel="0" collapsed="false">
      <c r="A176" s="63"/>
      <c r="B176" s="28"/>
      <c r="C176" s="28"/>
      <c r="D176" s="28"/>
      <c r="E176" s="28"/>
      <c r="F176" s="28"/>
    </row>
    <row r="177" customFormat="false" ht="15" hidden="false" customHeight="false" outlineLevel="0" collapsed="false">
      <c r="A177" s="63"/>
      <c r="B177" s="28"/>
      <c r="C177" s="28"/>
      <c r="D177" s="28"/>
      <c r="E177" s="28"/>
      <c r="F177" s="28"/>
    </row>
    <row r="178" customFormat="false" ht="15" hidden="false" customHeight="false" outlineLevel="0" collapsed="false">
      <c r="A178" s="63"/>
      <c r="B178" s="28"/>
      <c r="C178" s="28"/>
      <c r="D178" s="28"/>
      <c r="E178" s="28"/>
      <c r="F178" s="28"/>
    </row>
    <row r="179" customFormat="false" ht="15" hidden="false" customHeight="false" outlineLevel="0" collapsed="false">
      <c r="A179" s="63"/>
      <c r="B179" s="28"/>
      <c r="C179" s="28"/>
      <c r="D179" s="28"/>
      <c r="E179" s="28"/>
      <c r="F179" s="28"/>
    </row>
    <row r="180" customFormat="false" ht="15" hidden="false" customHeight="false" outlineLevel="0" collapsed="false">
      <c r="A180" s="63"/>
      <c r="B180" s="28"/>
      <c r="C180" s="28"/>
      <c r="D180" s="28"/>
      <c r="E180" s="28"/>
      <c r="F180" s="28"/>
    </row>
    <row r="181" customFormat="false" ht="15" hidden="false" customHeight="false" outlineLevel="0" collapsed="false">
      <c r="A181" s="63"/>
      <c r="B181" s="28"/>
      <c r="C181" s="28"/>
      <c r="D181" s="28"/>
      <c r="E181" s="28"/>
      <c r="F181" s="28"/>
    </row>
    <row r="182" customFormat="false" ht="15" hidden="false" customHeight="false" outlineLevel="0" collapsed="false">
      <c r="A182" s="63"/>
      <c r="B182" s="28"/>
      <c r="C182" s="28"/>
      <c r="D182" s="28"/>
      <c r="E182" s="28"/>
      <c r="F182" s="28"/>
    </row>
    <row r="183" customFormat="false" ht="15" hidden="false" customHeight="false" outlineLevel="0" collapsed="false">
      <c r="A183" s="63"/>
      <c r="B183" s="28"/>
      <c r="C183" s="28"/>
      <c r="D183" s="28"/>
      <c r="E183" s="28"/>
      <c r="F183" s="28"/>
    </row>
    <row r="184" customFormat="false" ht="15" hidden="false" customHeight="false" outlineLevel="0" collapsed="false">
      <c r="A184" s="63"/>
      <c r="B184" s="28"/>
      <c r="C184" s="28"/>
      <c r="D184" s="28"/>
      <c r="E184" s="28"/>
      <c r="F184" s="28"/>
    </row>
    <row r="185" customFormat="false" ht="15" hidden="false" customHeight="false" outlineLevel="0" collapsed="false">
      <c r="A185" s="63"/>
      <c r="B185" s="28"/>
      <c r="C185" s="28"/>
      <c r="D185" s="28"/>
      <c r="E185" s="28"/>
      <c r="F185" s="28"/>
    </row>
    <row r="186" customFormat="false" ht="15" hidden="false" customHeight="false" outlineLevel="0" collapsed="false">
      <c r="A186" s="63"/>
      <c r="B186" s="28"/>
      <c r="C186" s="28"/>
      <c r="D186" s="28"/>
      <c r="E186" s="28"/>
      <c r="F186" s="28"/>
    </row>
    <row r="187" customFormat="false" ht="15" hidden="false" customHeight="false" outlineLevel="0" collapsed="false">
      <c r="A187" s="63"/>
      <c r="B187" s="28"/>
      <c r="C187" s="28"/>
      <c r="D187" s="28"/>
      <c r="E187" s="28"/>
      <c r="F187" s="28"/>
    </row>
    <row r="188" customFormat="false" ht="15" hidden="false" customHeight="false" outlineLevel="0" collapsed="false">
      <c r="A188" s="63"/>
      <c r="B188" s="28"/>
      <c r="C188" s="28"/>
      <c r="D188" s="28"/>
      <c r="E188" s="28"/>
      <c r="F188" s="28"/>
    </row>
    <row r="189" customFormat="false" ht="15" hidden="false" customHeight="false" outlineLevel="0" collapsed="false">
      <c r="A189" s="63"/>
      <c r="B189" s="28"/>
      <c r="C189" s="28"/>
      <c r="D189" s="28"/>
      <c r="E189" s="28"/>
      <c r="F189" s="28"/>
    </row>
    <row r="190" customFormat="false" ht="15" hidden="false" customHeight="false" outlineLevel="0" collapsed="false">
      <c r="A190" s="63"/>
      <c r="B190" s="28"/>
      <c r="C190" s="28"/>
      <c r="D190" s="28"/>
      <c r="E190" s="28"/>
      <c r="F190" s="28"/>
    </row>
    <row r="191" customFormat="false" ht="15" hidden="false" customHeight="false" outlineLevel="0" collapsed="false">
      <c r="A191" s="63"/>
      <c r="B191" s="28"/>
      <c r="C191" s="28"/>
      <c r="D191" s="28"/>
      <c r="E191" s="28"/>
      <c r="F191" s="28"/>
    </row>
    <row r="192" customFormat="false" ht="15" hidden="false" customHeight="false" outlineLevel="0" collapsed="false">
      <c r="A192" s="63"/>
      <c r="B192" s="28"/>
      <c r="C192" s="28"/>
      <c r="D192" s="28"/>
      <c r="E192" s="28"/>
      <c r="F192" s="28"/>
    </row>
    <row r="193" customFormat="false" ht="15" hidden="false" customHeight="false" outlineLevel="0" collapsed="false">
      <c r="A193" s="63"/>
      <c r="B193" s="28"/>
      <c r="C193" s="28"/>
      <c r="D193" s="28"/>
      <c r="E193" s="28"/>
      <c r="F193" s="28"/>
    </row>
    <row r="194" customFormat="false" ht="15" hidden="false" customHeight="false" outlineLevel="0" collapsed="false">
      <c r="A194" s="63"/>
      <c r="B194" s="28"/>
      <c r="C194" s="28"/>
      <c r="D194" s="28"/>
      <c r="E194" s="28"/>
      <c r="F194" s="28"/>
    </row>
    <row r="195" customFormat="false" ht="15" hidden="false" customHeight="false" outlineLevel="0" collapsed="false">
      <c r="A195" s="63"/>
      <c r="B195" s="28"/>
      <c r="C195" s="28"/>
      <c r="D195" s="28"/>
      <c r="E195" s="28"/>
      <c r="F195" s="28"/>
    </row>
    <row r="196" customFormat="false" ht="15" hidden="false" customHeight="false" outlineLevel="0" collapsed="false">
      <c r="A196" s="63"/>
      <c r="B196" s="28"/>
      <c r="C196" s="28"/>
      <c r="D196" s="28"/>
      <c r="E196" s="28"/>
      <c r="F196" s="28"/>
    </row>
    <row r="197" customFormat="false" ht="15" hidden="false" customHeight="false" outlineLevel="0" collapsed="false">
      <c r="A197" s="63"/>
      <c r="B197" s="28"/>
      <c r="C197" s="28"/>
      <c r="D197" s="28"/>
      <c r="E197" s="28"/>
      <c r="F197" s="28"/>
    </row>
    <row r="198" customFormat="false" ht="15" hidden="false" customHeight="false" outlineLevel="0" collapsed="false">
      <c r="A198" s="63"/>
      <c r="B198" s="28"/>
      <c r="C198" s="28"/>
      <c r="D198" s="28"/>
      <c r="E198" s="28"/>
      <c r="F198" s="28"/>
    </row>
    <row r="199" customFormat="false" ht="15" hidden="false" customHeight="false" outlineLevel="0" collapsed="false">
      <c r="A199" s="63"/>
      <c r="B199" s="28"/>
      <c r="C199" s="28"/>
      <c r="D199" s="28"/>
      <c r="E199" s="28"/>
      <c r="F199" s="28"/>
    </row>
    <row r="200" customFormat="false" ht="15" hidden="false" customHeight="false" outlineLevel="0" collapsed="false">
      <c r="A200" s="63"/>
      <c r="B200" s="28"/>
      <c r="C200" s="28"/>
      <c r="D200" s="28"/>
      <c r="E200" s="28"/>
      <c r="F200" s="28"/>
    </row>
    <row r="201" customFormat="false" ht="15" hidden="false" customHeight="false" outlineLevel="0" collapsed="false">
      <c r="A201" s="63"/>
      <c r="B201" s="28"/>
      <c r="C201" s="28"/>
      <c r="D201" s="28"/>
      <c r="E201" s="28"/>
      <c r="F201" s="28"/>
    </row>
    <row r="202" customFormat="false" ht="15" hidden="false" customHeight="false" outlineLevel="0" collapsed="false">
      <c r="A202" s="63"/>
      <c r="B202" s="28"/>
      <c r="C202" s="28"/>
      <c r="D202" s="28"/>
      <c r="E202" s="28"/>
      <c r="F202" s="28"/>
    </row>
    <row r="203" customFormat="false" ht="15" hidden="false" customHeight="false" outlineLevel="0" collapsed="false">
      <c r="A203" s="63"/>
      <c r="B203" s="28"/>
      <c r="C203" s="28"/>
      <c r="D203" s="28"/>
      <c r="E203" s="28"/>
      <c r="F203" s="28"/>
    </row>
    <row r="204" customFormat="false" ht="15" hidden="false" customHeight="false" outlineLevel="0" collapsed="false">
      <c r="A204" s="63"/>
      <c r="B204" s="28"/>
      <c r="C204" s="28"/>
      <c r="D204" s="28"/>
      <c r="E204" s="28"/>
      <c r="F204" s="28"/>
    </row>
    <row r="205" customFormat="false" ht="15" hidden="false" customHeight="false" outlineLevel="0" collapsed="false">
      <c r="A205" s="63"/>
      <c r="B205" s="28"/>
      <c r="C205" s="28"/>
      <c r="D205" s="28"/>
      <c r="E205" s="28"/>
      <c r="F205" s="28"/>
    </row>
    <row r="206" customFormat="false" ht="15" hidden="false" customHeight="false" outlineLevel="0" collapsed="false">
      <c r="A206" s="63"/>
      <c r="B206" s="28"/>
      <c r="C206" s="28"/>
      <c r="D206" s="28"/>
      <c r="E206" s="28"/>
      <c r="F206" s="28"/>
    </row>
    <row r="207" customFormat="false" ht="15" hidden="false" customHeight="false" outlineLevel="0" collapsed="false">
      <c r="A207" s="63"/>
      <c r="B207" s="28"/>
      <c r="C207" s="28"/>
      <c r="D207" s="28"/>
      <c r="E207" s="28"/>
      <c r="F207" s="28"/>
    </row>
    <row r="208" customFormat="false" ht="15" hidden="false" customHeight="false" outlineLevel="0" collapsed="false">
      <c r="A208" s="63"/>
      <c r="B208" s="28"/>
      <c r="C208" s="28"/>
      <c r="D208" s="28"/>
      <c r="E208" s="28"/>
      <c r="F208" s="28"/>
    </row>
    <row r="209" customFormat="false" ht="15" hidden="false" customHeight="false" outlineLevel="0" collapsed="false">
      <c r="A209" s="63"/>
      <c r="B209" s="28"/>
      <c r="C209" s="28"/>
      <c r="D209" s="28"/>
      <c r="E209" s="28"/>
      <c r="F209" s="28"/>
    </row>
    <row r="210" customFormat="false" ht="15" hidden="false" customHeight="false" outlineLevel="0" collapsed="false">
      <c r="A210" s="63"/>
      <c r="B210" s="28"/>
      <c r="C210" s="28"/>
      <c r="D210" s="28"/>
      <c r="E210" s="28"/>
      <c r="F210" s="28"/>
    </row>
    <row r="211" customFormat="false" ht="15" hidden="false" customHeight="false" outlineLevel="0" collapsed="false">
      <c r="A211" s="63"/>
      <c r="B211" s="28"/>
      <c r="C211" s="28"/>
      <c r="D211" s="28"/>
      <c r="E211" s="28"/>
      <c r="F211" s="28"/>
    </row>
    <row r="212" customFormat="false" ht="15" hidden="false" customHeight="false" outlineLevel="0" collapsed="false">
      <c r="A212" s="63"/>
      <c r="B212" s="28"/>
      <c r="C212" s="28"/>
      <c r="D212" s="28"/>
      <c r="E212" s="28"/>
      <c r="F212" s="28"/>
    </row>
    <row r="213" customFormat="false" ht="15" hidden="false" customHeight="false" outlineLevel="0" collapsed="false">
      <c r="A213" s="63"/>
      <c r="B213" s="28"/>
      <c r="C213" s="28"/>
      <c r="D213" s="28"/>
      <c r="E213" s="28"/>
      <c r="F213" s="28"/>
    </row>
    <row r="214" customFormat="false" ht="15" hidden="false" customHeight="false" outlineLevel="0" collapsed="false">
      <c r="A214" s="63"/>
      <c r="B214" s="28"/>
      <c r="C214" s="28"/>
      <c r="D214" s="28"/>
      <c r="E214" s="28"/>
      <c r="F214" s="28"/>
    </row>
    <row r="215" customFormat="false" ht="15" hidden="false" customHeight="false" outlineLevel="0" collapsed="false">
      <c r="A215" s="63"/>
      <c r="B215" s="28"/>
      <c r="C215" s="28"/>
      <c r="D215" s="28"/>
      <c r="E215" s="28"/>
      <c r="F215" s="28"/>
    </row>
    <row r="216" customFormat="false" ht="15" hidden="false" customHeight="false" outlineLevel="0" collapsed="false">
      <c r="A216" s="63"/>
      <c r="B216" s="28"/>
      <c r="C216" s="28"/>
      <c r="D216" s="28"/>
      <c r="E216" s="28"/>
      <c r="F216" s="28"/>
    </row>
    <row r="217" customFormat="false" ht="15" hidden="false" customHeight="false" outlineLevel="0" collapsed="false">
      <c r="A217" s="63"/>
      <c r="B217" s="28"/>
      <c r="C217" s="28"/>
      <c r="D217" s="28"/>
      <c r="E217" s="28"/>
      <c r="F217" s="28"/>
    </row>
    <row r="218" customFormat="false" ht="15" hidden="false" customHeight="false" outlineLevel="0" collapsed="false">
      <c r="A218" s="63"/>
      <c r="B218" s="28"/>
      <c r="C218" s="28"/>
      <c r="D218" s="28"/>
      <c r="E218" s="28"/>
      <c r="F218" s="28"/>
    </row>
    <row r="219" customFormat="false" ht="15" hidden="false" customHeight="false" outlineLevel="0" collapsed="false">
      <c r="A219" s="63"/>
      <c r="B219" s="28"/>
      <c r="C219" s="28"/>
      <c r="D219" s="28"/>
      <c r="E219" s="28"/>
      <c r="F219" s="28"/>
    </row>
    <row r="220" customFormat="false" ht="15" hidden="false" customHeight="false" outlineLevel="0" collapsed="false">
      <c r="A220" s="63"/>
      <c r="B220" s="28"/>
      <c r="C220" s="28"/>
      <c r="D220" s="28"/>
      <c r="E220" s="28"/>
      <c r="F220" s="28"/>
    </row>
    <row r="221" customFormat="false" ht="15" hidden="false" customHeight="false" outlineLevel="0" collapsed="false">
      <c r="A221" s="63"/>
      <c r="B221" s="28"/>
      <c r="C221" s="28"/>
      <c r="D221" s="28"/>
      <c r="E221" s="28"/>
      <c r="F221" s="28"/>
    </row>
    <row r="222" customFormat="false" ht="15" hidden="false" customHeight="false" outlineLevel="0" collapsed="false">
      <c r="A222" s="63"/>
      <c r="B222" s="28"/>
      <c r="C222" s="28"/>
      <c r="D222" s="28"/>
      <c r="E222" s="28"/>
      <c r="F222" s="28"/>
    </row>
    <row r="223" customFormat="false" ht="15" hidden="false" customHeight="false" outlineLevel="0" collapsed="false">
      <c r="A223" s="63"/>
      <c r="B223" s="28"/>
      <c r="C223" s="28"/>
      <c r="D223" s="28"/>
      <c r="E223" s="28"/>
      <c r="F223" s="28"/>
    </row>
    <row r="224" customFormat="false" ht="15" hidden="false" customHeight="false" outlineLevel="0" collapsed="false">
      <c r="A224" s="63"/>
      <c r="B224" s="28"/>
      <c r="C224" s="28"/>
      <c r="D224" s="28"/>
      <c r="E224" s="28"/>
      <c r="F224" s="28"/>
    </row>
    <row r="225" customFormat="false" ht="15" hidden="false" customHeight="false" outlineLevel="0" collapsed="false">
      <c r="A225" s="63"/>
      <c r="B225" s="28"/>
      <c r="C225" s="28"/>
      <c r="D225" s="28"/>
      <c r="E225" s="28"/>
      <c r="F225" s="28"/>
    </row>
    <row r="226" customFormat="false" ht="15" hidden="false" customHeight="false" outlineLevel="0" collapsed="false">
      <c r="A226" s="63"/>
      <c r="B226" s="28"/>
      <c r="C226" s="28"/>
      <c r="D226" s="28"/>
      <c r="E226" s="28"/>
      <c r="F226" s="28"/>
    </row>
    <row r="227" customFormat="false" ht="15" hidden="false" customHeight="false" outlineLevel="0" collapsed="false">
      <c r="A227" s="63"/>
      <c r="B227" s="28"/>
      <c r="C227" s="28"/>
      <c r="D227" s="28"/>
      <c r="E227" s="28"/>
      <c r="F227" s="28"/>
    </row>
    <row r="228" customFormat="false" ht="15" hidden="false" customHeight="false" outlineLevel="0" collapsed="false">
      <c r="A228" s="63"/>
      <c r="B228" s="28"/>
      <c r="C228" s="28"/>
      <c r="D228" s="28"/>
      <c r="E228" s="28"/>
      <c r="F228" s="28"/>
    </row>
    <row r="229" customFormat="false" ht="15" hidden="false" customHeight="false" outlineLevel="0" collapsed="false">
      <c r="A229" s="63"/>
      <c r="B229" s="28"/>
      <c r="C229" s="28"/>
      <c r="D229" s="28"/>
      <c r="E229" s="28"/>
      <c r="F229" s="28"/>
    </row>
    <row r="230" customFormat="false" ht="15" hidden="false" customHeight="false" outlineLevel="0" collapsed="false">
      <c r="A230" s="63"/>
      <c r="B230" s="28"/>
      <c r="C230" s="28"/>
      <c r="D230" s="28"/>
      <c r="E230" s="28"/>
      <c r="F230" s="28"/>
    </row>
    <row r="231" customFormat="false" ht="15" hidden="false" customHeight="false" outlineLevel="0" collapsed="false">
      <c r="A231" s="63"/>
      <c r="B231" s="28"/>
      <c r="C231" s="28"/>
      <c r="D231" s="28"/>
      <c r="E231" s="28"/>
      <c r="F231" s="28"/>
    </row>
    <row r="232" customFormat="false" ht="15" hidden="false" customHeight="false" outlineLevel="0" collapsed="false">
      <c r="A232" s="63"/>
      <c r="B232" s="28"/>
      <c r="C232" s="28"/>
      <c r="D232" s="28"/>
      <c r="E232" s="28"/>
      <c r="F232" s="28"/>
    </row>
    <row r="233" customFormat="false" ht="15" hidden="false" customHeight="false" outlineLevel="0" collapsed="false">
      <c r="A233" s="63"/>
      <c r="B233" s="28"/>
      <c r="C233" s="28"/>
      <c r="D233" s="28"/>
      <c r="E233" s="28"/>
      <c r="F233" s="28"/>
    </row>
    <row r="234" customFormat="false" ht="15" hidden="false" customHeight="false" outlineLevel="0" collapsed="false">
      <c r="A234" s="63"/>
      <c r="B234" s="28"/>
      <c r="C234" s="28"/>
      <c r="D234" s="28"/>
      <c r="E234" s="28"/>
      <c r="F234" s="28"/>
    </row>
    <row r="235" customFormat="false" ht="15" hidden="false" customHeight="false" outlineLevel="0" collapsed="false">
      <c r="A235" s="63"/>
      <c r="B235" s="28"/>
      <c r="C235" s="28"/>
      <c r="D235" s="28"/>
      <c r="E235" s="28"/>
      <c r="F235" s="28"/>
    </row>
    <row r="236" customFormat="false" ht="15" hidden="false" customHeight="false" outlineLevel="0" collapsed="false">
      <c r="A236" s="63"/>
      <c r="B236" s="28"/>
      <c r="C236" s="28"/>
      <c r="D236" s="28"/>
      <c r="E236" s="28"/>
      <c r="F236" s="28"/>
    </row>
    <row r="237" customFormat="false" ht="15" hidden="false" customHeight="false" outlineLevel="0" collapsed="false">
      <c r="A237" s="63"/>
      <c r="B237" s="28"/>
      <c r="C237" s="28"/>
      <c r="D237" s="28"/>
      <c r="E237" s="28"/>
      <c r="F237" s="28"/>
    </row>
    <row r="238" customFormat="false" ht="15" hidden="false" customHeight="false" outlineLevel="0" collapsed="false">
      <c r="A238" s="63"/>
      <c r="B238" s="28"/>
      <c r="C238" s="28"/>
      <c r="D238" s="28"/>
      <c r="E238" s="28"/>
      <c r="F238" s="28"/>
    </row>
    <row r="239" customFormat="false" ht="15" hidden="false" customHeight="false" outlineLevel="0" collapsed="false">
      <c r="A239" s="63"/>
      <c r="B239" s="28"/>
      <c r="C239" s="28"/>
      <c r="D239" s="28"/>
      <c r="E239" s="28"/>
      <c r="F239" s="28"/>
    </row>
    <row r="240" customFormat="false" ht="15" hidden="false" customHeight="false" outlineLevel="0" collapsed="false">
      <c r="A240" s="63"/>
      <c r="B240" s="28"/>
      <c r="C240" s="28"/>
      <c r="D240" s="28"/>
      <c r="E240" s="28"/>
      <c r="F240" s="28"/>
    </row>
    <row r="241" customFormat="false" ht="15" hidden="false" customHeight="false" outlineLevel="0" collapsed="false">
      <c r="A241" s="63"/>
      <c r="B241" s="28"/>
      <c r="C241" s="28"/>
      <c r="D241" s="28"/>
      <c r="E241" s="28"/>
      <c r="F241" s="28"/>
    </row>
    <row r="242" customFormat="false" ht="15" hidden="false" customHeight="false" outlineLevel="0" collapsed="false">
      <c r="A242" s="63"/>
      <c r="B242" s="28"/>
      <c r="C242" s="28"/>
      <c r="D242" s="28"/>
      <c r="E242" s="28"/>
      <c r="F242" s="28"/>
    </row>
    <row r="243" customFormat="false" ht="15" hidden="false" customHeight="false" outlineLevel="0" collapsed="false">
      <c r="A243" s="63"/>
      <c r="B243" s="28"/>
      <c r="C243" s="28"/>
      <c r="D243" s="28"/>
      <c r="E243" s="28"/>
      <c r="F243" s="28"/>
    </row>
    <row r="244" customFormat="false" ht="15" hidden="false" customHeight="false" outlineLevel="0" collapsed="false">
      <c r="A244" s="63"/>
      <c r="B244" s="28"/>
      <c r="C244" s="28"/>
      <c r="D244" s="28"/>
      <c r="E244" s="28"/>
      <c r="F244" s="28"/>
    </row>
    <row r="245" customFormat="false" ht="15" hidden="false" customHeight="false" outlineLevel="0" collapsed="false">
      <c r="A245" s="63"/>
      <c r="B245" s="28"/>
      <c r="C245" s="28"/>
      <c r="D245" s="28"/>
      <c r="E245" s="28"/>
      <c r="F245" s="28"/>
    </row>
    <row r="246" customFormat="false" ht="15" hidden="false" customHeight="false" outlineLevel="0" collapsed="false">
      <c r="A246" s="63"/>
      <c r="B246" s="28"/>
      <c r="C246" s="28"/>
      <c r="D246" s="28"/>
      <c r="E246" s="28"/>
      <c r="F246" s="28"/>
    </row>
    <row r="247" customFormat="false" ht="15" hidden="false" customHeight="false" outlineLevel="0" collapsed="false">
      <c r="A247" s="63"/>
      <c r="B247" s="28"/>
      <c r="C247" s="28"/>
      <c r="D247" s="28"/>
      <c r="E247" s="28"/>
      <c r="F247" s="28"/>
    </row>
    <row r="248" customFormat="false" ht="15" hidden="false" customHeight="false" outlineLevel="0" collapsed="false">
      <c r="A248" s="63"/>
      <c r="B248" s="28"/>
      <c r="C248" s="28"/>
      <c r="D248" s="28"/>
      <c r="E248" s="28"/>
      <c r="F248" s="28"/>
    </row>
    <row r="249" customFormat="false" ht="15" hidden="false" customHeight="false" outlineLevel="0" collapsed="false">
      <c r="A249" s="63"/>
      <c r="B249" s="28"/>
      <c r="C249" s="28"/>
      <c r="D249" s="28"/>
      <c r="E249" s="28"/>
      <c r="F249" s="28"/>
    </row>
    <row r="250" customFormat="false" ht="15" hidden="false" customHeight="false" outlineLevel="0" collapsed="false">
      <c r="A250" s="63"/>
      <c r="B250" s="28"/>
      <c r="C250" s="28"/>
      <c r="D250" s="28"/>
      <c r="E250" s="28"/>
      <c r="F250" s="28"/>
    </row>
    <row r="251" customFormat="false" ht="15" hidden="false" customHeight="false" outlineLevel="0" collapsed="false">
      <c r="A251" s="63"/>
      <c r="B251" s="28"/>
      <c r="C251" s="28"/>
      <c r="D251" s="28"/>
      <c r="E251" s="28"/>
      <c r="F251" s="28"/>
    </row>
    <row r="252" customFormat="false" ht="15" hidden="false" customHeight="false" outlineLevel="0" collapsed="false">
      <c r="A252" s="63"/>
      <c r="B252" s="28"/>
      <c r="C252" s="28"/>
      <c r="D252" s="28"/>
      <c r="E252" s="28"/>
      <c r="F252" s="28"/>
    </row>
    <row r="253" customFormat="false" ht="15" hidden="false" customHeight="false" outlineLevel="0" collapsed="false">
      <c r="A253" s="63"/>
      <c r="B253" s="28"/>
      <c r="C253" s="28"/>
      <c r="D253" s="28"/>
      <c r="E253" s="28"/>
      <c r="F253" s="28"/>
    </row>
    <row r="254" customFormat="false" ht="15" hidden="false" customHeight="false" outlineLevel="0" collapsed="false">
      <c r="A254" s="63"/>
      <c r="B254" s="28"/>
      <c r="C254" s="28"/>
      <c r="D254" s="28"/>
      <c r="E254" s="28"/>
      <c r="F254" s="28"/>
    </row>
    <row r="255" customFormat="false" ht="15" hidden="false" customHeight="false" outlineLevel="0" collapsed="false">
      <c r="A255" s="63"/>
      <c r="B255" s="28"/>
      <c r="C255" s="28"/>
      <c r="D255" s="28"/>
      <c r="E255" s="28"/>
      <c r="F255" s="28"/>
    </row>
    <row r="256" customFormat="false" ht="15" hidden="false" customHeight="false" outlineLevel="0" collapsed="false">
      <c r="A256" s="63"/>
      <c r="B256" s="28"/>
      <c r="C256" s="28"/>
      <c r="D256" s="28"/>
      <c r="E256" s="28"/>
      <c r="F256" s="28"/>
    </row>
    <row r="257" customFormat="false" ht="15" hidden="false" customHeight="false" outlineLevel="0" collapsed="false">
      <c r="A257" s="63"/>
      <c r="B257" s="28"/>
      <c r="C257" s="28"/>
      <c r="D257" s="28"/>
      <c r="E257" s="28"/>
      <c r="F257" s="28"/>
    </row>
    <row r="258" customFormat="false" ht="15" hidden="false" customHeight="false" outlineLevel="0" collapsed="false">
      <c r="A258" s="63"/>
      <c r="B258" s="28"/>
      <c r="C258" s="28"/>
      <c r="D258" s="28"/>
      <c r="E258" s="28"/>
      <c r="F258" s="28"/>
    </row>
    <row r="259" customFormat="false" ht="15" hidden="false" customHeight="false" outlineLevel="0" collapsed="false">
      <c r="A259" s="63"/>
      <c r="B259" s="28"/>
      <c r="C259" s="28"/>
      <c r="D259" s="28"/>
      <c r="E259" s="28"/>
      <c r="F259" s="28"/>
    </row>
    <row r="260" customFormat="false" ht="15" hidden="false" customHeight="false" outlineLevel="0" collapsed="false">
      <c r="A260" s="63"/>
      <c r="B260" s="28"/>
      <c r="C260" s="28"/>
      <c r="D260" s="28"/>
      <c r="E260" s="28"/>
      <c r="F260" s="28"/>
    </row>
    <row r="261" customFormat="false" ht="15" hidden="false" customHeight="false" outlineLevel="0" collapsed="false">
      <c r="A261" s="63"/>
      <c r="B261" s="28"/>
      <c r="C261" s="28"/>
      <c r="D261" s="28"/>
      <c r="E261" s="28"/>
      <c r="F261" s="28"/>
    </row>
    <row r="262" customFormat="false" ht="15" hidden="false" customHeight="false" outlineLevel="0" collapsed="false">
      <c r="A262" s="63"/>
      <c r="B262" s="28"/>
      <c r="C262" s="28"/>
      <c r="D262" s="28"/>
      <c r="E262" s="28"/>
      <c r="F262" s="28"/>
    </row>
    <row r="263" customFormat="false" ht="15" hidden="false" customHeight="false" outlineLevel="0" collapsed="false">
      <c r="A263" s="63"/>
      <c r="B263" s="28"/>
      <c r="C263" s="28"/>
      <c r="D263" s="28"/>
      <c r="E263" s="28"/>
      <c r="F263" s="28"/>
    </row>
    <row r="264" customFormat="false" ht="15" hidden="false" customHeight="false" outlineLevel="0" collapsed="false">
      <c r="A264" s="63"/>
      <c r="B264" s="28"/>
      <c r="C264" s="28"/>
      <c r="D264" s="28"/>
      <c r="E264" s="28"/>
      <c r="F264" s="28"/>
    </row>
    <row r="265" customFormat="false" ht="15" hidden="false" customHeight="false" outlineLevel="0" collapsed="false">
      <c r="A265" s="63"/>
      <c r="B265" s="28"/>
      <c r="C265" s="28"/>
      <c r="D265" s="28"/>
      <c r="E265" s="28"/>
      <c r="F265" s="28"/>
    </row>
    <row r="266" customFormat="false" ht="15" hidden="false" customHeight="false" outlineLevel="0" collapsed="false">
      <c r="A266" s="63"/>
      <c r="B266" s="28"/>
      <c r="C266" s="28"/>
      <c r="D266" s="28"/>
      <c r="E266" s="28"/>
      <c r="F266" s="28"/>
    </row>
    <row r="267" customFormat="false" ht="15" hidden="false" customHeight="false" outlineLevel="0" collapsed="false">
      <c r="A267" s="63"/>
      <c r="B267" s="28"/>
      <c r="C267" s="28"/>
      <c r="D267" s="28"/>
      <c r="E267" s="28"/>
      <c r="F267" s="28"/>
    </row>
    <row r="268" customFormat="false" ht="15" hidden="false" customHeight="false" outlineLevel="0" collapsed="false">
      <c r="A268" s="63"/>
      <c r="B268" s="28"/>
      <c r="C268" s="28"/>
      <c r="D268" s="28"/>
      <c r="E268" s="28"/>
      <c r="F268" s="28"/>
    </row>
    <row r="269" customFormat="false" ht="15" hidden="false" customHeight="false" outlineLevel="0" collapsed="false">
      <c r="A269" s="63"/>
      <c r="B269" s="28"/>
      <c r="C269" s="28"/>
      <c r="D269" s="28"/>
      <c r="E269" s="28"/>
      <c r="F269" s="28"/>
    </row>
    <row r="270" customFormat="false" ht="15" hidden="false" customHeight="false" outlineLevel="0" collapsed="false">
      <c r="A270" s="63"/>
      <c r="B270" s="28"/>
      <c r="C270" s="28"/>
      <c r="D270" s="28"/>
      <c r="E270" s="28"/>
      <c r="F270" s="28"/>
    </row>
    <row r="271" customFormat="false" ht="15" hidden="false" customHeight="false" outlineLevel="0" collapsed="false">
      <c r="A271" s="63"/>
      <c r="B271" s="28"/>
      <c r="C271" s="28"/>
      <c r="D271" s="28"/>
      <c r="E271" s="28"/>
      <c r="F271" s="28"/>
    </row>
    <row r="272" customFormat="false" ht="15" hidden="false" customHeight="false" outlineLevel="0" collapsed="false">
      <c r="A272" s="63"/>
      <c r="B272" s="28"/>
      <c r="C272" s="28"/>
      <c r="D272" s="28"/>
      <c r="E272" s="28"/>
      <c r="F272" s="28"/>
    </row>
    <row r="273" customFormat="false" ht="15" hidden="false" customHeight="false" outlineLevel="0" collapsed="false">
      <c r="A273" s="63"/>
      <c r="B273" s="28"/>
      <c r="C273" s="28"/>
      <c r="D273" s="28"/>
      <c r="E273" s="28"/>
      <c r="F273" s="28"/>
    </row>
    <row r="274" customFormat="false" ht="15" hidden="false" customHeight="false" outlineLevel="0" collapsed="false">
      <c r="A274" s="63"/>
      <c r="B274" s="28"/>
      <c r="C274" s="28"/>
      <c r="D274" s="28"/>
      <c r="E274" s="28"/>
      <c r="F274" s="28"/>
    </row>
    <row r="275" customFormat="false" ht="15" hidden="false" customHeight="false" outlineLevel="0" collapsed="false">
      <c r="A275" s="63"/>
      <c r="B275" s="28"/>
      <c r="C275" s="28"/>
      <c r="D275" s="28"/>
      <c r="E275" s="28"/>
      <c r="F275" s="28"/>
    </row>
    <row r="276" customFormat="false" ht="15" hidden="false" customHeight="false" outlineLevel="0" collapsed="false">
      <c r="A276" s="63"/>
      <c r="B276" s="28"/>
      <c r="C276" s="28"/>
      <c r="D276" s="28"/>
      <c r="E276" s="28"/>
      <c r="F276" s="28"/>
    </row>
    <row r="277" customFormat="false" ht="15" hidden="false" customHeight="false" outlineLevel="0" collapsed="false">
      <c r="A277" s="63"/>
      <c r="B277" s="28"/>
      <c r="C277" s="28"/>
      <c r="D277" s="28"/>
      <c r="E277" s="28"/>
      <c r="F277" s="28"/>
    </row>
    <row r="278" customFormat="false" ht="15" hidden="false" customHeight="false" outlineLevel="0" collapsed="false">
      <c r="A278" s="63"/>
      <c r="B278" s="28"/>
      <c r="C278" s="28"/>
      <c r="D278" s="28"/>
      <c r="E278" s="28"/>
      <c r="F278" s="28"/>
    </row>
    <row r="279" customFormat="false" ht="15" hidden="false" customHeight="false" outlineLevel="0" collapsed="false">
      <c r="A279" s="63"/>
      <c r="B279" s="28"/>
      <c r="C279" s="28"/>
      <c r="D279" s="28"/>
      <c r="E279" s="28"/>
      <c r="F279" s="28"/>
    </row>
    <row r="280" customFormat="false" ht="15" hidden="false" customHeight="false" outlineLevel="0" collapsed="false">
      <c r="A280" s="63"/>
      <c r="B280" s="28"/>
      <c r="C280" s="28"/>
      <c r="D280" s="28"/>
      <c r="E280" s="28"/>
      <c r="F280" s="28"/>
    </row>
    <row r="281" customFormat="false" ht="15" hidden="false" customHeight="false" outlineLevel="0" collapsed="false">
      <c r="A281" s="63"/>
      <c r="B281" s="28"/>
      <c r="C281" s="28"/>
      <c r="D281" s="28"/>
      <c r="E281" s="28"/>
      <c r="F281" s="28"/>
    </row>
    <row r="282" customFormat="false" ht="15" hidden="false" customHeight="false" outlineLevel="0" collapsed="false">
      <c r="A282" s="63"/>
      <c r="B282" s="28"/>
      <c r="C282" s="28"/>
      <c r="D282" s="28"/>
      <c r="E282" s="28"/>
      <c r="F282" s="28"/>
    </row>
    <row r="283" customFormat="false" ht="15" hidden="false" customHeight="false" outlineLevel="0" collapsed="false">
      <c r="A283" s="63"/>
      <c r="B283" s="28"/>
      <c r="C283" s="28"/>
      <c r="D283" s="28"/>
      <c r="E283" s="28"/>
      <c r="F283" s="28"/>
    </row>
    <row r="284" customFormat="false" ht="15" hidden="false" customHeight="false" outlineLevel="0" collapsed="false">
      <c r="A284" s="63"/>
      <c r="B284" s="28"/>
      <c r="C284" s="28"/>
      <c r="D284" s="28"/>
      <c r="E284" s="28"/>
      <c r="F284" s="28"/>
    </row>
    <row r="285" customFormat="false" ht="15" hidden="false" customHeight="false" outlineLevel="0" collapsed="false">
      <c r="A285" s="63"/>
      <c r="B285" s="28"/>
      <c r="C285" s="28"/>
      <c r="D285" s="28"/>
      <c r="E285" s="28"/>
      <c r="F285" s="28"/>
    </row>
    <row r="286" customFormat="false" ht="15" hidden="false" customHeight="false" outlineLevel="0" collapsed="false">
      <c r="A286" s="63"/>
      <c r="B286" s="28"/>
      <c r="C286" s="28"/>
      <c r="D286" s="28"/>
      <c r="E286" s="28"/>
      <c r="F286" s="28"/>
    </row>
    <row r="287" customFormat="false" ht="15" hidden="false" customHeight="false" outlineLevel="0" collapsed="false">
      <c r="A287" s="63"/>
      <c r="B287" s="28"/>
      <c r="C287" s="28"/>
      <c r="D287" s="28"/>
      <c r="E287" s="28"/>
      <c r="F287" s="28"/>
    </row>
    <row r="288" customFormat="false" ht="15" hidden="false" customHeight="false" outlineLevel="0" collapsed="false">
      <c r="A288" s="63"/>
      <c r="B288" s="28"/>
      <c r="C288" s="28"/>
      <c r="D288" s="28"/>
      <c r="E288" s="28"/>
      <c r="F288" s="28"/>
    </row>
    <row r="289" customFormat="false" ht="15" hidden="false" customHeight="false" outlineLevel="0" collapsed="false">
      <c r="A289" s="63"/>
      <c r="B289" s="28"/>
      <c r="C289" s="28"/>
      <c r="D289" s="28"/>
      <c r="E289" s="28"/>
      <c r="F289" s="28"/>
    </row>
    <row r="290" customFormat="false" ht="15" hidden="false" customHeight="false" outlineLevel="0" collapsed="false">
      <c r="A290" s="63"/>
      <c r="B290" s="28"/>
      <c r="C290" s="28"/>
      <c r="D290" s="28"/>
      <c r="E290" s="28"/>
      <c r="F290" s="28"/>
    </row>
    <row r="291" customFormat="false" ht="15" hidden="false" customHeight="false" outlineLevel="0" collapsed="false">
      <c r="A291" s="63"/>
      <c r="B291" s="28"/>
      <c r="C291" s="28"/>
      <c r="D291" s="28"/>
      <c r="E291" s="28"/>
      <c r="F291" s="28"/>
    </row>
    <row r="292" customFormat="false" ht="15" hidden="false" customHeight="false" outlineLevel="0" collapsed="false">
      <c r="A292" s="63"/>
      <c r="B292" s="28"/>
      <c r="C292" s="28"/>
      <c r="D292" s="28"/>
      <c r="E292" s="28"/>
      <c r="F292" s="28"/>
    </row>
    <row r="293" customFormat="false" ht="15" hidden="false" customHeight="false" outlineLevel="0" collapsed="false">
      <c r="A293" s="63"/>
      <c r="B293" s="28"/>
      <c r="C293" s="28"/>
      <c r="D293" s="28"/>
      <c r="E293" s="28"/>
      <c r="F293" s="28"/>
    </row>
    <row r="294" customFormat="false" ht="15" hidden="false" customHeight="false" outlineLevel="0" collapsed="false">
      <c r="A294" s="63"/>
      <c r="B294" s="28"/>
      <c r="C294" s="28"/>
      <c r="D294" s="28"/>
      <c r="E294" s="28"/>
      <c r="F294" s="28"/>
    </row>
    <row r="295" customFormat="false" ht="15" hidden="false" customHeight="false" outlineLevel="0" collapsed="false">
      <c r="A295" s="63"/>
      <c r="B295" s="28"/>
      <c r="C295" s="28"/>
      <c r="D295" s="28"/>
      <c r="E295" s="28"/>
      <c r="F295" s="28"/>
    </row>
    <row r="296" customFormat="false" ht="15" hidden="false" customHeight="false" outlineLevel="0" collapsed="false">
      <c r="A296" s="63"/>
      <c r="B296" s="28"/>
      <c r="C296" s="28"/>
      <c r="D296" s="28"/>
      <c r="E296" s="28"/>
      <c r="F296" s="28"/>
    </row>
    <row r="297" customFormat="false" ht="15" hidden="false" customHeight="false" outlineLevel="0" collapsed="false">
      <c r="A297" s="63"/>
      <c r="B297" s="28"/>
      <c r="C297" s="28"/>
      <c r="D297" s="28"/>
      <c r="E297" s="28"/>
      <c r="F297" s="28"/>
    </row>
    <row r="298" customFormat="false" ht="15" hidden="false" customHeight="false" outlineLevel="0" collapsed="false">
      <c r="A298" s="63"/>
      <c r="B298" s="28"/>
      <c r="C298" s="28"/>
      <c r="D298" s="28"/>
      <c r="E298" s="28"/>
      <c r="F298" s="28"/>
    </row>
    <row r="299" customFormat="false" ht="15" hidden="false" customHeight="false" outlineLevel="0" collapsed="false">
      <c r="A299" s="63"/>
      <c r="B299" s="28"/>
      <c r="C299" s="28"/>
      <c r="D299" s="28"/>
      <c r="E299" s="28"/>
      <c r="F299" s="28"/>
    </row>
    <row r="300" customFormat="false" ht="15" hidden="false" customHeight="false" outlineLevel="0" collapsed="false">
      <c r="A300" s="63"/>
      <c r="B300" s="28"/>
      <c r="C300" s="28"/>
      <c r="D300" s="28"/>
      <c r="E300" s="28"/>
      <c r="F300" s="28"/>
    </row>
    <row r="301" customFormat="false" ht="15" hidden="false" customHeight="false" outlineLevel="0" collapsed="false">
      <c r="A301" s="63"/>
      <c r="B301" s="28"/>
      <c r="C301" s="28"/>
      <c r="D301" s="28"/>
      <c r="E301" s="28"/>
      <c r="F301" s="28"/>
    </row>
    <row r="302" customFormat="false" ht="15" hidden="false" customHeight="false" outlineLevel="0" collapsed="false">
      <c r="A302" s="63"/>
      <c r="B302" s="28"/>
      <c r="C302" s="28"/>
      <c r="D302" s="28"/>
      <c r="E302" s="28"/>
      <c r="F302" s="28"/>
    </row>
    <row r="303" customFormat="false" ht="15" hidden="false" customHeight="false" outlineLevel="0" collapsed="false">
      <c r="A303" s="63"/>
      <c r="B303" s="28"/>
      <c r="C303" s="28"/>
      <c r="D303" s="28"/>
      <c r="E303" s="28"/>
      <c r="F303" s="28"/>
    </row>
    <row r="304" customFormat="false" ht="15" hidden="false" customHeight="false" outlineLevel="0" collapsed="false">
      <c r="A304" s="63"/>
      <c r="B304" s="28"/>
      <c r="C304" s="28"/>
      <c r="D304" s="28"/>
      <c r="E304" s="28"/>
      <c r="F304" s="28"/>
    </row>
    <row r="305" customFormat="false" ht="15" hidden="false" customHeight="false" outlineLevel="0" collapsed="false">
      <c r="A305" s="63"/>
      <c r="B305" s="28"/>
      <c r="C305" s="28"/>
      <c r="D305" s="28"/>
      <c r="E305" s="28"/>
      <c r="F305" s="28"/>
    </row>
    <row r="306" customFormat="false" ht="15" hidden="false" customHeight="false" outlineLevel="0" collapsed="false">
      <c r="A306" s="63"/>
      <c r="B306" s="28"/>
      <c r="C306" s="28"/>
      <c r="D306" s="28"/>
      <c r="E306" s="28"/>
      <c r="F306" s="28"/>
    </row>
    <row r="307" customFormat="false" ht="15" hidden="false" customHeight="false" outlineLevel="0" collapsed="false">
      <c r="A307" s="63"/>
      <c r="B307" s="28"/>
      <c r="C307" s="28"/>
      <c r="D307" s="28"/>
      <c r="E307" s="28"/>
      <c r="F307" s="28"/>
    </row>
    <row r="308" customFormat="false" ht="15" hidden="false" customHeight="false" outlineLevel="0" collapsed="false">
      <c r="A308" s="63"/>
      <c r="B308" s="28"/>
      <c r="C308" s="28"/>
      <c r="D308" s="28"/>
      <c r="E308" s="28"/>
      <c r="F308" s="28"/>
    </row>
    <row r="309" customFormat="false" ht="15" hidden="false" customHeight="false" outlineLevel="0" collapsed="false">
      <c r="A309" s="63"/>
      <c r="B309" s="28"/>
      <c r="C309" s="28"/>
      <c r="D309" s="28"/>
      <c r="E309" s="28"/>
      <c r="F309" s="28"/>
    </row>
    <row r="310" customFormat="false" ht="15" hidden="false" customHeight="false" outlineLevel="0" collapsed="false">
      <c r="A310" s="63"/>
      <c r="B310" s="28"/>
      <c r="C310" s="28"/>
      <c r="D310" s="28"/>
      <c r="E310" s="28"/>
      <c r="F310" s="28"/>
    </row>
    <row r="311" customFormat="false" ht="15" hidden="false" customHeight="false" outlineLevel="0" collapsed="false">
      <c r="A311" s="63"/>
      <c r="B311" s="28"/>
      <c r="C311" s="28"/>
      <c r="D311" s="28"/>
      <c r="E311" s="28"/>
      <c r="F311" s="28"/>
    </row>
    <row r="312" customFormat="false" ht="15" hidden="false" customHeight="false" outlineLevel="0" collapsed="false">
      <c r="A312" s="63"/>
      <c r="B312" s="28"/>
      <c r="C312" s="28"/>
      <c r="D312" s="28"/>
      <c r="E312" s="28"/>
      <c r="F312" s="28"/>
    </row>
    <row r="313" customFormat="false" ht="15" hidden="false" customHeight="false" outlineLevel="0" collapsed="false">
      <c r="A313" s="63"/>
      <c r="B313" s="28"/>
      <c r="C313" s="28"/>
      <c r="D313" s="28"/>
      <c r="E313" s="28"/>
      <c r="F313" s="28"/>
    </row>
    <row r="314" customFormat="false" ht="15" hidden="false" customHeight="false" outlineLevel="0" collapsed="false">
      <c r="A314" s="63"/>
      <c r="B314" s="28"/>
      <c r="C314" s="28"/>
      <c r="D314" s="28"/>
      <c r="E314" s="28"/>
      <c r="F314" s="28"/>
    </row>
    <row r="315" customFormat="false" ht="15" hidden="false" customHeight="false" outlineLevel="0" collapsed="false">
      <c r="A315" s="63"/>
      <c r="B315" s="28"/>
      <c r="C315" s="28"/>
      <c r="D315" s="28"/>
      <c r="E315" s="28"/>
      <c r="F315" s="28"/>
    </row>
    <row r="316" customFormat="false" ht="15" hidden="false" customHeight="false" outlineLevel="0" collapsed="false">
      <c r="A316" s="63"/>
      <c r="B316" s="28"/>
      <c r="C316" s="28"/>
      <c r="D316" s="28"/>
      <c r="E316" s="28"/>
      <c r="F316" s="28"/>
    </row>
    <row r="317" customFormat="false" ht="15" hidden="false" customHeight="false" outlineLevel="0" collapsed="false">
      <c r="A317" s="63"/>
      <c r="B317" s="28"/>
      <c r="C317" s="28"/>
      <c r="D317" s="28"/>
      <c r="E317" s="28"/>
      <c r="F317" s="28"/>
    </row>
    <row r="318" customFormat="false" ht="15" hidden="false" customHeight="false" outlineLevel="0" collapsed="false">
      <c r="A318" s="63"/>
      <c r="B318" s="28"/>
      <c r="C318" s="28"/>
      <c r="D318" s="28"/>
      <c r="E318" s="28"/>
      <c r="F318" s="28"/>
    </row>
    <row r="319" customFormat="false" ht="15" hidden="false" customHeight="false" outlineLevel="0" collapsed="false">
      <c r="A319" s="63"/>
      <c r="B319" s="28"/>
      <c r="C319" s="28"/>
      <c r="D319" s="28"/>
      <c r="E319" s="28"/>
      <c r="F319" s="28"/>
    </row>
    <row r="320" customFormat="false" ht="15" hidden="false" customHeight="false" outlineLevel="0" collapsed="false">
      <c r="A320" s="63"/>
      <c r="B320" s="28"/>
      <c r="C320" s="28"/>
      <c r="D320" s="28"/>
      <c r="E320" s="28"/>
      <c r="F320" s="28"/>
    </row>
    <row r="321" customFormat="false" ht="15" hidden="false" customHeight="false" outlineLevel="0" collapsed="false">
      <c r="A321" s="63"/>
      <c r="B321" s="28"/>
      <c r="C321" s="28"/>
      <c r="D321" s="28"/>
      <c r="E321" s="28"/>
      <c r="F321" s="28"/>
    </row>
    <row r="322" customFormat="false" ht="15" hidden="false" customHeight="false" outlineLevel="0" collapsed="false">
      <c r="A322" s="63"/>
      <c r="B322" s="28"/>
      <c r="C322" s="28"/>
      <c r="D322" s="28"/>
      <c r="E322" s="28"/>
      <c r="F322" s="28"/>
    </row>
    <row r="323" customFormat="false" ht="15" hidden="false" customHeight="false" outlineLevel="0" collapsed="false">
      <c r="A323" s="63"/>
      <c r="B323" s="28"/>
      <c r="C323" s="28"/>
      <c r="D323" s="28"/>
      <c r="E323" s="28"/>
      <c r="F323" s="28"/>
    </row>
    <row r="324" customFormat="false" ht="15" hidden="false" customHeight="false" outlineLevel="0" collapsed="false">
      <c r="A324" s="63"/>
      <c r="B324" s="28"/>
      <c r="C324" s="28"/>
      <c r="D324" s="28"/>
      <c r="E324" s="28"/>
      <c r="F324" s="28"/>
    </row>
    <row r="325" customFormat="false" ht="15" hidden="false" customHeight="false" outlineLevel="0" collapsed="false">
      <c r="A325" s="63"/>
      <c r="B325" s="28"/>
      <c r="C325" s="28"/>
      <c r="D325" s="28"/>
      <c r="E325" s="28"/>
      <c r="F325" s="28"/>
    </row>
    <row r="326" customFormat="false" ht="15" hidden="false" customHeight="false" outlineLevel="0" collapsed="false">
      <c r="A326" s="63"/>
      <c r="B326" s="28"/>
      <c r="C326" s="28"/>
      <c r="D326" s="28"/>
      <c r="E326" s="28"/>
      <c r="F326" s="28"/>
    </row>
    <row r="327" customFormat="false" ht="15" hidden="false" customHeight="false" outlineLevel="0" collapsed="false">
      <c r="A327" s="63"/>
      <c r="B327" s="28"/>
      <c r="C327" s="28"/>
      <c r="D327" s="28"/>
      <c r="E327" s="28"/>
      <c r="F327" s="28"/>
    </row>
    <row r="328" customFormat="false" ht="15" hidden="false" customHeight="false" outlineLevel="0" collapsed="false">
      <c r="A328" s="63"/>
      <c r="B328" s="28"/>
      <c r="C328" s="28"/>
      <c r="D328" s="28"/>
      <c r="E328" s="28"/>
      <c r="F328" s="28"/>
    </row>
    <row r="329" customFormat="false" ht="15" hidden="false" customHeight="false" outlineLevel="0" collapsed="false">
      <c r="A329" s="63"/>
      <c r="B329" s="28"/>
      <c r="C329" s="28"/>
      <c r="D329" s="28"/>
      <c r="E329" s="28"/>
      <c r="F329" s="28"/>
    </row>
    <row r="330" customFormat="false" ht="15" hidden="false" customHeight="false" outlineLevel="0" collapsed="false">
      <c r="A330" s="63"/>
      <c r="B330" s="28"/>
      <c r="C330" s="28"/>
      <c r="D330" s="28"/>
      <c r="E330" s="28"/>
      <c r="F330" s="28"/>
    </row>
    <row r="331" customFormat="false" ht="15" hidden="false" customHeight="false" outlineLevel="0" collapsed="false">
      <c r="A331" s="63"/>
      <c r="B331" s="28"/>
      <c r="C331" s="28"/>
      <c r="D331" s="28"/>
      <c r="E331" s="28"/>
      <c r="F331" s="28"/>
    </row>
    <row r="332" customFormat="false" ht="15" hidden="false" customHeight="false" outlineLevel="0" collapsed="false">
      <c r="A332" s="63"/>
      <c r="B332" s="28"/>
      <c r="C332" s="28"/>
      <c r="D332" s="28"/>
      <c r="E332" s="28"/>
      <c r="F332" s="28"/>
    </row>
    <row r="333" customFormat="false" ht="15" hidden="false" customHeight="false" outlineLevel="0" collapsed="false">
      <c r="A333" s="63"/>
      <c r="B333" s="28"/>
      <c r="C333" s="28"/>
      <c r="D333" s="28"/>
      <c r="E333" s="28"/>
      <c r="F333" s="28"/>
    </row>
    <row r="334" customFormat="false" ht="15" hidden="false" customHeight="false" outlineLevel="0" collapsed="false">
      <c r="A334" s="63"/>
      <c r="B334" s="28"/>
      <c r="C334" s="28"/>
      <c r="D334" s="28"/>
      <c r="E334" s="28"/>
      <c r="F334" s="28"/>
    </row>
    <row r="335" customFormat="false" ht="15" hidden="false" customHeight="false" outlineLevel="0" collapsed="false">
      <c r="A335" s="63"/>
      <c r="B335" s="28"/>
      <c r="C335" s="28"/>
      <c r="D335" s="28"/>
      <c r="E335" s="28"/>
      <c r="F335" s="28"/>
    </row>
    <row r="336" customFormat="false" ht="15" hidden="false" customHeight="false" outlineLevel="0" collapsed="false">
      <c r="A336" s="63"/>
      <c r="B336" s="28"/>
      <c r="C336" s="28"/>
      <c r="D336" s="28"/>
      <c r="E336" s="28"/>
      <c r="F336" s="28"/>
    </row>
    <row r="337" customFormat="false" ht="15" hidden="false" customHeight="false" outlineLevel="0" collapsed="false">
      <c r="A337" s="63"/>
      <c r="B337" s="28"/>
      <c r="C337" s="28"/>
      <c r="D337" s="28"/>
      <c r="E337" s="28"/>
      <c r="F337" s="28"/>
    </row>
    <row r="338" customFormat="false" ht="15" hidden="false" customHeight="false" outlineLevel="0" collapsed="false">
      <c r="A338" s="63"/>
      <c r="B338" s="28"/>
      <c r="C338" s="28"/>
      <c r="D338" s="28"/>
      <c r="E338" s="28"/>
      <c r="F338" s="28"/>
    </row>
    <row r="339" customFormat="false" ht="15" hidden="false" customHeight="false" outlineLevel="0" collapsed="false">
      <c r="A339" s="63"/>
      <c r="B339" s="28"/>
      <c r="C339" s="28"/>
      <c r="D339" s="28"/>
      <c r="E339" s="28"/>
      <c r="F339" s="28"/>
    </row>
    <row r="340" customFormat="false" ht="15" hidden="false" customHeight="false" outlineLevel="0" collapsed="false">
      <c r="A340" s="63"/>
      <c r="B340" s="28"/>
      <c r="C340" s="28"/>
      <c r="D340" s="28"/>
      <c r="E340" s="28"/>
      <c r="F340" s="28"/>
    </row>
    <row r="341" customFormat="false" ht="15" hidden="false" customHeight="false" outlineLevel="0" collapsed="false">
      <c r="A341" s="63"/>
      <c r="B341" s="28"/>
      <c r="C341" s="28"/>
      <c r="D341" s="28"/>
      <c r="E341" s="28"/>
      <c r="F341" s="28"/>
    </row>
    <row r="342" customFormat="false" ht="15" hidden="false" customHeight="false" outlineLevel="0" collapsed="false">
      <c r="A342" s="63"/>
      <c r="B342" s="28"/>
      <c r="C342" s="28"/>
      <c r="D342" s="28"/>
      <c r="E342" s="28"/>
      <c r="F342" s="28"/>
    </row>
    <row r="343" customFormat="false" ht="15" hidden="false" customHeight="false" outlineLevel="0" collapsed="false">
      <c r="A343" s="63"/>
      <c r="B343" s="28"/>
      <c r="C343" s="28"/>
      <c r="D343" s="28"/>
      <c r="E343" s="28"/>
      <c r="F343" s="28"/>
    </row>
    <row r="344" customFormat="false" ht="15" hidden="false" customHeight="false" outlineLevel="0" collapsed="false">
      <c r="A344" s="63"/>
      <c r="B344" s="28"/>
      <c r="C344" s="28"/>
      <c r="D344" s="28"/>
      <c r="E344" s="28"/>
      <c r="F344" s="28"/>
    </row>
    <row r="345" customFormat="false" ht="15" hidden="false" customHeight="false" outlineLevel="0" collapsed="false">
      <c r="A345" s="63"/>
      <c r="B345" s="28"/>
      <c r="C345" s="28"/>
      <c r="D345" s="28"/>
      <c r="E345" s="28"/>
      <c r="F345" s="28"/>
    </row>
    <row r="346" customFormat="false" ht="15" hidden="false" customHeight="false" outlineLevel="0" collapsed="false">
      <c r="A346" s="63"/>
      <c r="B346" s="28"/>
      <c r="C346" s="28"/>
      <c r="D346" s="28"/>
      <c r="E346" s="28"/>
      <c r="F346" s="28"/>
    </row>
    <row r="347" customFormat="false" ht="15" hidden="false" customHeight="false" outlineLevel="0" collapsed="false">
      <c r="A347" s="63"/>
      <c r="B347" s="28"/>
      <c r="C347" s="28"/>
      <c r="D347" s="28"/>
      <c r="E347" s="28"/>
      <c r="F347" s="28"/>
    </row>
    <row r="348" customFormat="false" ht="15" hidden="false" customHeight="false" outlineLevel="0" collapsed="false">
      <c r="A348" s="63"/>
      <c r="B348" s="28"/>
      <c r="C348" s="28"/>
      <c r="D348" s="28"/>
      <c r="E348" s="28"/>
      <c r="F348" s="28"/>
    </row>
    <row r="349" customFormat="false" ht="15" hidden="false" customHeight="false" outlineLevel="0" collapsed="false">
      <c r="A349" s="63"/>
      <c r="B349" s="28"/>
      <c r="C349" s="28"/>
      <c r="D349" s="28"/>
      <c r="E349" s="28"/>
      <c r="F349" s="28"/>
    </row>
    <row r="350" customFormat="false" ht="15" hidden="false" customHeight="false" outlineLevel="0" collapsed="false">
      <c r="A350" s="63"/>
      <c r="B350" s="28"/>
      <c r="C350" s="28"/>
      <c r="D350" s="28"/>
      <c r="E350" s="28"/>
      <c r="F350" s="28"/>
    </row>
    <row r="351" customFormat="false" ht="15" hidden="false" customHeight="false" outlineLevel="0" collapsed="false">
      <c r="A351" s="63"/>
      <c r="B351" s="28"/>
      <c r="C351" s="28"/>
      <c r="D351" s="28"/>
      <c r="E351" s="28"/>
      <c r="F351" s="28"/>
    </row>
    <row r="352" customFormat="false" ht="15" hidden="false" customHeight="false" outlineLevel="0" collapsed="false">
      <c r="A352" s="63"/>
      <c r="B352" s="28"/>
      <c r="C352" s="28"/>
      <c r="D352" s="28"/>
      <c r="E352" s="28"/>
      <c r="F352" s="28"/>
    </row>
    <row r="353" customFormat="false" ht="15" hidden="false" customHeight="false" outlineLevel="0" collapsed="false">
      <c r="A353" s="63"/>
      <c r="B353" s="28"/>
      <c r="C353" s="28"/>
      <c r="D353" s="28"/>
      <c r="E353" s="28"/>
      <c r="F353" s="28"/>
    </row>
    <row r="354" customFormat="false" ht="15" hidden="false" customHeight="false" outlineLevel="0" collapsed="false">
      <c r="A354" s="63"/>
      <c r="B354" s="28"/>
      <c r="C354" s="28"/>
      <c r="D354" s="28"/>
      <c r="E354" s="28"/>
      <c r="F354" s="28"/>
    </row>
    <row r="355" customFormat="false" ht="15" hidden="false" customHeight="false" outlineLevel="0" collapsed="false">
      <c r="A355" s="63"/>
      <c r="B355" s="28"/>
      <c r="C355" s="28"/>
      <c r="D355" s="28"/>
      <c r="E355" s="28"/>
      <c r="F355" s="28"/>
    </row>
    <row r="356" customFormat="false" ht="15" hidden="false" customHeight="false" outlineLevel="0" collapsed="false">
      <c r="A356" s="63"/>
      <c r="B356" s="28"/>
      <c r="C356" s="28"/>
      <c r="D356" s="28"/>
      <c r="E356" s="28"/>
      <c r="F356" s="28"/>
    </row>
    <row r="357" customFormat="false" ht="15" hidden="false" customHeight="false" outlineLevel="0" collapsed="false">
      <c r="A357" s="63"/>
      <c r="B357" s="28"/>
      <c r="C357" s="28"/>
      <c r="D357" s="28"/>
      <c r="E357" s="28"/>
      <c r="F357" s="28"/>
    </row>
    <row r="358" customFormat="false" ht="15" hidden="false" customHeight="false" outlineLevel="0" collapsed="false">
      <c r="A358" s="63"/>
      <c r="B358" s="28"/>
      <c r="C358" s="28"/>
      <c r="D358" s="28"/>
      <c r="E358" s="28"/>
      <c r="F358" s="28"/>
    </row>
    <row r="359" customFormat="false" ht="15" hidden="false" customHeight="false" outlineLevel="0" collapsed="false">
      <c r="A359" s="63"/>
      <c r="B359" s="28"/>
      <c r="C359" s="28"/>
      <c r="D359" s="28"/>
      <c r="E359" s="28"/>
      <c r="F359" s="28"/>
    </row>
    <row r="360" customFormat="false" ht="15" hidden="false" customHeight="false" outlineLevel="0" collapsed="false">
      <c r="A360" s="63"/>
      <c r="B360" s="28"/>
      <c r="C360" s="28"/>
      <c r="D360" s="28"/>
      <c r="E360" s="28"/>
      <c r="F360" s="28"/>
    </row>
    <row r="361" customFormat="false" ht="15" hidden="false" customHeight="false" outlineLevel="0" collapsed="false">
      <c r="A361" s="63"/>
      <c r="B361" s="28"/>
      <c r="C361" s="28"/>
      <c r="D361" s="28"/>
      <c r="E361" s="28"/>
      <c r="F361" s="28"/>
    </row>
    <row r="362" customFormat="false" ht="15" hidden="false" customHeight="false" outlineLevel="0" collapsed="false">
      <c r="A362" s="63"/>
      <c r="B362" s="28"/>
      <c r="C362" s="28"/>
      <c r="D362" s="28"/>
      <c r="E362" s="28"/>
      <c r="F362" s="28"/>
    </row>
    <row r="363" customFormat="false" ht="15" hidden="false" customHeight="false" outlineLevel="0" collapsed="false">
      <c r="A363" s="63"/>
      <c r="B363" s="28"/>
      <c r="C363" s="28"/>
      <c r="D363" s="28"/>
      <c r="E363" s="28"/>
      <c r="F363" s="28"/>
    </row>
    <row r="364" customFormat="false" ht="15" hidden="false" customHeight="false" outlineLevel="0" collapsed="false">
      <c r="A364" s="63"/>
      <c r="B364" s="28"/>
      <c r="C364" s="28"/>
      <c r="D364" s="28"/>
      <c r="E364" s="28"/>
      <c r="F364" s="28"/>
    </row>
    <row r="365" customFormat="false" ht="15" hidden="false" customHeight="false" outlineLevel="0" collapsed="false">
      <c r="A365" s="63"/>
      <c r="B365" s="28"/>
      <c r="C365" s="28"/>
      <c r="D365" s="28"/>
      <c r="E365" s="28"/>
      <c r="F365" s="28"/>
    </row>
    <row r="366" customFormat="false" ht="15" hidden="false" customHeight="false" outlineLevel="0" collapsed="false">
      <c r="A366" s="63"/>
      <c r="B366" s="28"/>
      <c r="C366" s="28"/>
      <c r="D366" s="28"/>
      <c r="E366" s="28"/>
      <c r="F366" s="28"/>
    </row>
    <row r="367" customFormat="false" ht="15" hidden="false" customHeight="false" outlineLevel="0" collapsed="false">
      <c r="A367" s="63"/>
      <c r="B367" s="28"/>
      <c r="C367" s="28"/>
      <c r="D367" s="28"/>
      <c r="E367" s="28"/>
      <c r="F367" s="28"/>
    </row>
    <row r="368" customFormat="false" ht="15" hidden="false" customHeight="false" outlineLevel="0" collapsed="false">
      <c r="A368" s="63"/>
      <c r="B368" s="28"/>
      <c r="C368" s="28"/>
      <c r="D368" s="28"/>
      <c r="E368" s="28"/>
      <c r="F368" s="28"/>
    </row>
    <row r="369" customFormat="false" ht="15" hidden="false" customHeight="false" outlineLevel="0" collapsed="false">
      <c r="A369" s="63"/>
      <c r="B369" s="28"/>
      <c r="C369" s="28"/>
      <c r="D369" s="28"/>
      <c r="E369" s="28"/>
      <c r="F369" s="28"/>
    </row>
    <row r="370" customFormat="false" ht="15" hidden="false" customHeight="false" outlineLevel="0" collapsed="false">
      <c r="A370" s="63"/>
      <c r="B370" s="28"/>
      <c r="C370" s="28"/>
      <c r="D370" s="28"/>
      <c r="E370" s="28"/>
      <c r="F370" s="28"/>
    </row>
    <row r="371" customFormat="false" ht="15" hidden="false" customHeight="false" outlineLevel="0" collapsed="false">
      <c r="A371" s="63"/>
      <c r="B371" s="28"/>
      <c r="C371" s="28"/>
      <c r="D371" s="28"/>
      <c r="E371" s="28"/>
      <c r="F371" s="28"/>
    </row>
    <row r="372" customFormat="false" ht="15" hidden="false" customHeight="false" outlineLevel="0" collapsed="false">
      <c r="A372" s="63"/>
      <c r="B372" s="28"/>
      <c r="C372" s="28"/>
      <c r="D372" s="28"/>
      <c r="E372" s="28"/>
      <c r="F372" s="28"/>
    </row>
    <row r="373" customFormat="false" ht="15" hidden="false" customHeight="false" outlineLevel="0" collapsed="false">
      <c r="A373" s="63"/>
      <c r="B373" s="28"/>
      <c r="C373" s="28"/>
      <c r="D373" s="28"/>
      <c r="E373" s="28"/>
      <c r="F373" s="28"/>
    </row>
    <row r="374" customFormat="false" ht="15" hidden="false" customHeight="false" outlineLevel="0" collapsed="false">
      <c r="A374" s="63"/>
      <c r="B374" s="28"/>
      <c r="C374" s="28"/>
      <c r="D374" s="28"/>
      <c r="E374" s="28"/>
      <c r="F374" s="28"/>
    </row>
    <row r="375" customFormat="false" ht="15" hidden="false" customHeight="false" outlineLevel="0" collapsed="false">
      <c r="A375" s="63"/>
      <c r="B375" s="28"/>
      <c r="C375" s="28"/>
      <c r="D375" s="28"/>
      <c r="E375" s="28"/>
      <c r="F375" s="28"/>
    </row>
    <row r="376" customFormat="false" ht="15" hidden="false" customHeight="false" outlineLevel="0" collapsed="false">
      <c r="A376" s="63"/>
      <c r="B376" s="28"/>
      <c r="C376" s="28"/>
      <c r="D376" s="28"/>
      <c r="E376" s="28"/>
      <c r="F376" s="28"/>
    </row>
    <row r="377" customFormat="false" ht="15" hidden="false" customHeight="false" outlineLevel="0" collapsed="false">
      <c r="A377" s="63"/>
      <c r="B377" s="28"/>
      <c r="C377" s="28"/>
      <c r="D377" s="28"/>
      <c r="E377" s="28"/>
      <c r="F377" s="28"/>
    </row>
    <row r="378" customFormat="false" ht="15" hidden="false" customHeight="false" outlineLevel="0" collapsed="false">
      <c r="A378" s="63"/>
      <c r="B378" s="28"/>
      <c r="C378" s="28"/>
      <c r="D378" s="28"/>
      <c r="E378" s="28"/>
      <c r="F378" s="28"/>
    </row>
    <row r="379" customFormat="false" ht="15" hidden="false" customHeight="false" outlineLevel="0" collapsed="false">
      <c r="A379" s="63"/>
      <c r="B379" s="28"/>
      <c r="C379" s="28"/>
      <c r="D379" s="28"/>
      <c r="E379" s="28"/>
      <c r="F379" s="28"/>
    </row>
    <row r="380" customFormat="false" ht="15" hidden="false" customHeight="false" outlineLevel="0" collapsed="false">
      <c r="A380" s="63"/>
      <c r="B380" s="28"/>
      <c r="C380" s="28"/>
      <c r="D380" s="28"/>
      <c r="E380" s="28"/>
      <c r="F380" s="28"/>
    </row>
    <row r="381" customFormat="false" ht="15" hidden="false" customHeight="false" outlineLevel="0" collapsed="false">
      <c r="A381" s="63"/>
      <c r="B381" s="28"/>
      <c r="C381" s="28"/>
      <c r="D381" s="28"/>
      <c r="E381" s="28"/>
      <c r="F381" s="28"/>
    </row>
    <row r="382" customFormat="false" ht="15" hidden="false" customHeight="false" outlineLevel="0" collapsed="false">
      <c r="A382" s="63"/>
      <c r="B382" s="28"/>
      <c r="C382" s="28"/>
      <c r="D382" s="28"/>
      <c r="E382" s="28"/>
      <c r="F382" s="28"/>
    </row>
    <row r="383" customFormat="false" ht="15" hidden="false" customHeight="false" outlineLevel="0" collapsed="false">
      <c r="A383" s="63"/>
      <c r="B383" s="28"/>
      <c r="C383" s="28"/>
      <c r="D383" s="28"/>
      <c r="E383" s="28"/>
      <c r="F383" s="28"/>
    </row>
    <row r="384" customFormat="false" ht="15" hidden="false" customHeight="false" outlineLevel="0" collapsed="false">
      <c r="A384" s="63"/>
      <c r="B384" s="28"/>
      <c r="C384" s="28"/>
      <c r="D384" s="28"/>
      <c r="E384" s="28"/>
      <c r="F384" s="28"/>
    </row>
    <row r="385" customFormat="false" ht="15" hidden="false" customHeight="false" outlineLevel="0" collapsed="false">
      <c r="A385" s="63"/>
      <c r="B385" s="28"/>
      <c r="C385" s="28"/>
      <c r="D385" s="28"/>
      <c r="E385" s="28"/>
      <c r="F385" s="28"/>
    </row>
    <row r="386" customFormat="false" ht="15" hidden="false" customHeight="false" outlineLevel="0" collapsed="false">
      <c r="A386" s="63"/>
      <c r="B386" s="28"/>
      <c r="C386" s="28"/>
      <c r="D386" s="28"/>
      <c r="E386" s="28"/>
      <c r="F386" s="28"/>
    </row>
    <row r="387" customFormat="false" ht="15" hidden="false" customHeight="false" outlineLevel="0" collapsed="false">
      <c r="A387" s="63"/>
      <c r="B387" s="28"/>
      <c r="C387" s="28"/>
      <c r="D387" s="28"/>
      <c r="E387" s="28"/>
      <c r="F387" s="28"/>
    </row>
    <row r="388" customFormat="false" ht="15" hidden="false" customHeight="false" outlineLevel="0" collapsed="false">
      <c r="A388" s="63"/>
      <c r="B388" s="28"/>
      <c r="C388" s="28"/>
      <c r="D388" s="28"/>
      <c r="E388" s="28"/>
      <c r="F388" s="28"/>
    </row>
    <row r="389" customFormat="false" ht="15" hidden="false" customHeight="false" outlineLevel="0" collapsed="false">
      <c r="A389" s="63"/>
      <c r="B389" s="28"/>
      <c r="C389" s="28"/>
      <c r="D389" s="28"/>
      <c r="E389" s="28"/>
      <c r="F389" s="28"/>
    </row>
    <row r="390" customFormat="false" ht="15" hidden="false" customHeight="false" outlineLevel="0" collapsed="false">
      <c r="A390" s="63"/>
      <c r="B390" s="28"/>
      <c r="C390" s="28"/>
      <c r="D390" s="28"/>
      <c r="E390" s="28"/>
      <c r="F390" s="28"/>
    </row>
    <row r="391" customFormat="false" ht="15" hidden="false" customHeight="false" outlineLevel="0" collapsed="false">
      <c r="A391" s="63"/>
      <c r="B391" s="28"/>
      <c r="C391" s="28"/>
      <c r="D391" s="28"/>
      <c r="E391" s="28"/>
      <c r="F391" s="28"/>
    </row>
    <row r="392" customFormat="false" ht="15" hidden="false" customHeight="false" outlineLevel="0" collapsed="false">
      <c r="A392" s="63"/>
      <c r="B392" s="28"/>
      <c r="C392" s="28"/>
      <c r="D392" s="28"/>
      <c r="E392" s="28"/>
      <c r="F392" s="28"/>
    </row>
    <row r="393" customFormat="false" ht="15" hidden="false" customHeight="false" outlineLevel="0" collapsed="false">
      <c r="A393" s="63"/>
      <c r="B393" s="28"/>
      <c r="C393" s="28"/>
      <c r="D393" s="28"/>
      <c r="E393" s="28"/>
      <c r="F393" s="28"/>
    </row>
    <row r="394" customFormat="false" ht="15" hidden="false" customHeight="false" outlineLevel="0" collapsed="false">
      <c r="A394" s="63"/>
      <c r="B394" s="28"/>
      <c r="C394" s="28"/>
      <c r="D394" s="28"/>
      <c r="E394" s="28"/>
      <c r="F394" s="28"/>
    </row>
    <row r="395" customFormat="false" ht="15" hidden="false" customHeight="false" outlineLevel="0" collapsed="false">
      <c r="A395" s="63"/>
      <c r="B395" s="28"/>
      <c r="C395" s="28"/>
      <c r="D395" s="28"/>
      <c r="E395" s="28"/>
      <c r="F395" s="28"/>
    </row>
    <row r="396" customFormat="false" ht="15" hidden="false" customHeight="false" outlineLevel="0" collapsed="false">
      <c r="A396" s="63"/>
      <c r="B396" s="28"/>
      <c r="C396" s="28"/>
      <c r="D396" s="28"/>
      <c r="E396" s="28"/>
      <c r="F396" s="28"/>
    </row>
    <row r="397" customFormat="false" ht="15" hidden="false" customHeight="false" outlineLevel="0" collapsed="false">
      <c r="A397" s="63"/>
      <c r="B397" s="28"/>
      <c r="C397" s="28"/>
      <c r="D397" s="28"/>
      <c r="E397" s="28"/>
      <c r="F397" s="28"/>
    </row>
    <row r="398" customFormat="false" ht="15" hidden="false" customHeight="false" outlineLevel="0" collapsed="false">
      <c r="A398" s="63"/>
      <c r="B398" s="28"/>
      <c r="C398" s="28"/>
      <c r="D398" s="28"/>
      <c r="E398" s="28"/>
      <c r="F398" s="28"/>
    </row>
    <row r="399" customFormat="false" ht="15" hidden="false" customHeight="false" outlineLevel="0" collapsed="false">
      <c r="A399" s="63"/>
      <c r="B399" s="28"/>
      <c r="C399" s="28"/>
      <c r="D399" s="28"/>
      <c r="E399" s="28"/>
      <c r="F399" s="28"/>
    </row>
    <row r="400" customFormat="false" ht="15" hidden="false" customHeight="false" outlineLevel="0" collapsed="false">
      <c r="A400" s="63"/>
      <c r="B400" s="28"/>
      <c r="C400" s="28"/>
      <c r="D400" s="28"/>
      <c r="E400" s="28"/>
      <c r="F400" s="28"/>
    </row>
    <row r="401" customFormat="false" ht="15" hidden="false" customHeight="false" outlineLevel="0" collapsed="false">
      <c r="A401" s="63"/>
      <c r="B401" s="28"/>
      <c r="C401" s="28"/>
      <c r="D401" s="28"/>
      <c r="E401" s="28"/>
      <c r="F401" s="28"/>
    </row>
    <row r="402" customFormat="false" ht="15" hidden="false" customHeight="false" outlineLevel="0" collapsed="false">
      <c r="A402" s="63"/>
      <c r="B402" s="28"/>
      <c r="C402" s="28"/>
      <c r="D402" s="28"/>
      <c r="E402" s="28"/>
      <c r="F402" s="28"/>
    </row>
    <row r="403" customFormat="false" ht="15" hidden="false" customHeight="false" outlineLevel="0" collapsed="false">
      <c r="A403" s="63"/>
      <c r="B403" s="28"/>
      <c r="C403" s="28"/>
      <c r="D403" s="28"/>
      <c r="E403" s="28"/>
      <c r="F403" s="28"/>
    </row>
    <row r="404" customFormat="false" ht="15" hidden="false" customHeight="false" outlineLevel="0" collapsed="false">
      <c r="A404" s="63"/>
      <c r="B404" s="28"/>
      <c r="C404" s="28"/>
      <c r="D404" s="28"/>
      <c r="E404" s="28"/>
      <c r="F404" s="28"/>
    </row>
    <row r="405" customFormat="false" ht="15" hidden="false" customHeight="false" outlineLevel="0" collapsed="false">
      <c r="A405" s="63"/>
      <c r="B405" s="28"/>
      <c r="C405" s="28"/>
      <c r="D405" s="28"/>
      <c r="E405" s="28"/>
      <c r="F405" s="28"/>
    </row>
    <row r="406" customFormat="false" ht="15" hidden="false" customHeight="false" outlineLevel="0" collapsed="false">
      <c r="A406" s="63"/>
      <c r="B406" s="28"/>
      <c r="C406" s="28"/>
      <c r="D406" s="28"/>
      <c r="E406" s="28"/>
      <c r="F406" s="28"/>
    </row>
    <row r="407" customFormat="false" ht="15" hidden="false" customHeight="false" outlineLevel="0" collapsed="false">
      <c r="A407" s="63"/>
      <c r="B407" s="28"/>
      <c r="C407" s="28"/>
      <c r="D407" s="28"/>
      <c r="E407" s="28"/>
      <c r="F407" s="28"/>
    </row>
    <row r="408" customFormat="false" ht="15" hidden="false" customHeight="false" outlineLevel="0" collapsed="false">
      <c r="A408" s="63"/>
      <c r="B408" s="28"/>
      <c r="C408" s="28"/>
      <c r="D408" s="28"/>
      <c r="E408" s="28"/>
      <c r="F408" s="28"/>
    </row>
    <row r="409" customFormat="false" ht="15" hidden="false" customHeight="false" outlineLevel="0" collapsed="false">
      <c r="A409" s="63"/>
      <c r="B409" s="28"/>
      <c r="C409" s="28"/>
      <c r="D409" s="28"/>
      <c r="E409" s="28"/>
      <c r="F409" s="28"/>
    </row>
    <row r="410" customFormat="false" ht="15" hidden="false" customHeight="false" outlineLevel="0" collapsed="false">
      <c r="A410" s="63"/>
      <c r="B410" s="28"/>
      <c r="C410" s="28"/>
      <c r="D410" s="28"/>
      <c r="E410" s="28"/>
      <c r="F410" s="28"/>
    </row>
    <row r="411" customFormat="false" ht="15" hidden="false" customHeight="false" outlineLevel="0" collapsed="false">
      <c r="A411" s="63"/>
      <c r="B411" s="28"/>
      <c r="C411" s="28"/>
      <c r="D411" s="28"/>
      <c r="E411" s="28"/>
      <c r="F411" s="28"/>
    </row>
    <row r="412" customFormat="false" ht="15" hidden="false" customHeight="false" outlineLevel="0" collapsed="false">
      <c r="A412" s="63"/>
      <c r="B412" s="28"/>
      <c r="C412" s="28"/>
      <c r="D412" s="28"/>
      <c r="E412" s="28"/>
      <c r="F412" s="28"/>
    </row>
    <row r="413" customFormat="false" ht="15" hidden="false" customHeight="false" outlineLevel="0" collapsed="false">
      <c r="A413" s="63"/>
      <c r="B413" s="28"/>
      <c r="C413" s="28"/>
      <c r="D413" s="28"/>
      <c r="E413" s="28"/>
      <c r="F413" s="28"/>
    </row>
    <row r="414" customFormat="false" ht="15" hidden="false" customHeight="false" outlineLevel="0" collapsed="false">
      <c r="A414" s="63"/>
      <c r="B414" s="28"/>
      <c r="C414" s="28"/>
      <c r="D414" s="28"/>
      <c r="E414" s="28"/>
      <c r="F414" s="28"/>
    </row>
    <row r="415" customFormat="false" ht="15" hidden="false" customHeight="false" outlineLevel="0" collapsed="false">
      <c r="A415" s="63"/>
      <c r="B415" s="28"/>
      <c r="C415" s="28"/>
      <c r="D415" s="28"/>
      <c r="E415" s="28"/>
      <c r="F415" s="28"/>
    </row>
    <row r="416" customFormat="false" ht="15" hidden="false" customHeight="false" outlineLevel="0" collapsed="false">
      <c r="A416" s="63"/>
      <c r="B416" s="28"/>
      <c r="C416" s="28"/>
      <c r="D416" s="28"/>
      <c r="E416" s="28"/>
      <c r="F416" s="28"/>
    </row>
    <row r="417" customFormat="false" ht="15" hidden="false" customHeight="false" outlineLevel="0" collapsed="false">
      <c r="A417" s="63"/>
      <c r="B417" s="28"/>
      <c r="C417" s="28"/>
      <c r="D417" s="28"/>
      <c r="E417" s="28"/>
      <c r="F417" s="28"/>
    </row>
    <row r="418" customFormat="false" ht="15" hidden="false" customHeight="false" outlineLevel="0" collapsed="false">
      <c r="A418" s="63"/>
      <c r="B418" s="28"/>
      <c r="C418" s="28"/>
      <c r="D418" s="28"/>
      <c r="E418" s="28"/>
      <c r="F418" s="28"/>
    </row>
    <row r="419" customFormat="false" ht="15" hidden="false" customHeight="false" outlineLevel="0" collapsed="false">
      <c r="A419" s="63"/>
      <c r="B419" s="28"/>
      <c r="C419" s="28"/>
      <c r="D419" s="28"/>
      <c r="E419" s="28"/>
      <c r="F419" s="28"/>
    </row>
    <row r="420" customFormat="false" ht="15" hidden="false" customHeight="false" outlineLevel="0" collapsed="false">
      <c r="A420" s="63"/>
      <c r="B420" s="28"/>
      <c r="C420" s="28"/>
      <c r="D420" s="28"/>
      <c r="E420" s="28"/>
      <c r="F420" s="28"/>
    </row>
    <row r="421" customFormat="false" ht="15" hidden="false" customHeight="false" outlineLevel="0" collapsed="false">
      <c r="A421" s="63"/>
      <c r="B421" s="28"/>
      <c r="C421" s="28"/>
      <c r="D421" s="28"/>
      <c r="E421" s="28"/>
      <c r="F421" s="28"/>
    </row>
    <row r="422" customFormat="false" ht="15" hidden="false" customHeight="false" outlineLevel="0" collapsed="false">
      <c r="A422" s="63"/>
      <c r="B422" s="28"/>
      <c r="C422" s="28"/>
      <c r="D422" s="28"/>
      <c r="E422" s="28"/>
      <c r="F422" s="28"/>
    </row>
    <row r="423" customFormat="false" ht="15" hidden="false" customHeight="false" outlineLevel="0" collapsed="false">
      <c r="A423" s="63"/>
      <c r="B423" s="28"/>
      <c r="C423" s="28"/>
      <c r="D423" s="28"/>
      <c r="E423" s="28"/>
      <c r="F423" s="28"/>
    </row>
    <row r="424" customFormat="false" ht="15" hidden="false" customHeight="false" outlineLevel="0" collapsed="false">
      <c r="A424" s="63"/>
      <c r="B424" s="28"/>
      <c r="C424" s="28"/>
      <c r="D424" s="28"/>
      <c r="E424" s="28"/>
      <c r="F424" s="28"/>
    </row>
    <row r="425" customFormat="false" ht="15" hidden="false" customHeight="false" outlineLevel="0" collapsed="false">
      <c r="A425" s="63"/>
      <c r="B425" s="28"/>
      <c r="C425" s="28"/>
      <c r="D425" s="28"/>
      <c r="E425" s="28"/>
      <c r="F425" s="28"/>
    </row>
    <row r="426" customFormat="false" ht="15" hidden="false" customHeight="false" outlineLevel="0" collapsed="false">
      <c r="A426" s="63"/>
      <c r="B426" s="28"/>
      <c r="C426" s="28"/>
      <c r="D426" s="28"/>
      <c r="E426" s="28"/>
      <c r="F426" s="28"/>
    </row>
    <row r="427" customFormat="false" ht="15" hidden="false" customHeight="false" outlineLevel="0" collapsed="false">
      <c r="A427" s="63"/>
      <c r="B427" s="28"/>
      <c r="C427" s="28"/>
      <c r="D427" s="28"/>
      <c r="E427" s="28"/>
      <c r="F427" s="28"/>
    </row>
    <row r="428" customFormat="false" ht="15" hidden="false" customHeight="false" outlineLevel="0" collapsed="false">
      <c r="A428" s="63"/>
      <c r="B428" s="28"/>
      <c r="C428" s="28"/>
      <c r="D428" s="28"/>
      <c r="E428" s="28"/>
      <c r="F428" s="28"/>
    </row>
    <row r="429" customFormat="false" ht="15" hidden="false" customHeight="false" outlineLevel="0" collapsed="false">
      <c r="A429" s="63"/>
      <c r="B429" s="28"/>
      <c r="C429" s="28"/>
      <c r="D429" s="28"/>
      <c r="E429" s="28"/>
      <c r="F429" s="28"/>
    </row>
    <row r="430" customFormat="false" ht="15" hidden="false" customHeight="false" outlineLevel="0" collapsed="false">
      <c r="A430" s="63"/>
      <c r="B430" s="28"/>
      <c r="C430" s="28"/>
      <c r="D430" s="28"/>
      <c r="E430" s="28"/>
      <c r="F430" s="28"/>
    </row>
    <row r="431" customFormat="false" ht="15" hidden="false" customHeight="false" outlineLevel="0" collapsed="false">
      <c r="A431" s="63"/>
      <c r="B431" s="28"/>
      <c r="C431" s="28"/>
      <c r="D431" s="28"/>
      <c r="E431" s="28"/>
      <c r="F431" s="28"/>
    </row>
    <row r="432" customFormat="false" ht="15" hidden="false" customHeight="false" outlineLevel="0" collapsed="false">
      <c r="A432" s="63"/>
      <c r="B432" s="28"/>
      <c r="C432" s="28"/>
      <c r="D432" s="28"/>
      <c r="E432" s="28"/>
      <c r="F432" s="28"/>
    </row>
    <row r="433" customFormat="false" ht="15" hidden="false" customHeight="false" outlineLevel="0" collapsed="false">
      <c r="A433" s="63"/>
      <c r="B433" s="28"/>
      <c r="C433" s="28"/>
      <c r="D433" s="28"/>
      <c r="E433" s="28"/>
      <c r="F433" s="28"/>
    </row>
    <row r="434" customFormat="false" ht="15" hidden="false" customHeight="false" outlineLevel="0" collapsed="false">
      <c r="A434" s="63"/>
      <c r="B434" s="28"/>
      <c r="C434" s="28"/>
      <c r="D434" s="28"/>
      <c r="E434" s="28"/>
      <c r="F434" s="28"/>
    </row>
    <row r="435" customFormat="false" ht="15" hidden="false" customHeight="false" outlineLevel="0" collapsed="false">
      <c r="A435" s="63"/>
      <c r="B435" s="28"/>
      <c r="C435" s="28"/>
      <c r="D435" s="28"/>
      <c r="E435" s="28"/>
      <c r="F435" s="28"/>
    </row>
    <row r="436" customFormat="false" ht="15" hidden="false" customHeight="false" outlineLevel="0" collapsed="false">
      <c r="A436" s="63"/>
      <c r="B436" s="28"/>
      <c r="C436" s="28"/>
      <c r="D436" s="28"/>
      <c r="E436" s="28"/>
      <c r="F436" s="28"/>
    </row>
    <row r="437" customFormat="false" ht="15" hidden="false" customHeight="false" outlineLevel="0" collapsed="false">
      <c r="A437" s="63"/>
      <c r="B437" s="28"/>
      <c r="C437" s="28"/>
      <c r="D437" s="28"/>
      <c r="E437" s="28"/>
      <c r="F437" s="28"/>
    </row>
    <row r="438" customFormat="false" ht="15" hidden="false" customHeight="false" outlineLevel="0" collapsed="false">
      <c r="A438" s="63"/>
      <c r="B438" s="28"/>
      <c r="C438" s="28"/>
      <c r="D438" s="28"/>
      <c r="E438" s="28"/>
      <c r="F438" s="28"/>
    </row>
    <row r="439" customFormat="false" ht="15" hidden="false" customHeight="false" outlineLevel="0" collapsed="false">
      <c r="A439" s="63"/>
      <c r="B439" s="28"/>
      <c r="C439" s="28"/>
      <c r="D439" s="28"/>
      <c r="E439" s="28"/>
      <c r="F439" s="28"/>
    </row>
    <row r="440" customFormat="false" ht="15" hidden="false" customHeight="false" outlineLevel="0" collapsed="false">
      <c r="A440" s="63"/>
      <c r="B440" s="28"/>
      <c r="C440" s="28"/>
      <c r="D440" s="28"/>
      <c r="E440" s="28"/>
      <c r="F440" s="28"/>
    </row>
    <row r="441" customFormat="false" ht="15" hidden="false" customHeight="false" outlineLevel="0" collapsed="false">
      <c r="A441" s="63"/>
      <c r="B441" s="28"/>
      <c r="C441" s="28"/>
      <c r="D441" s="28"/>
      <c r="E441" s="28"/>
      <c r="F441" s="28"/>
    </row>
    <row r="442" customFormat="false" ht="15" hidden="false" customHeight="false" outlineLevel="0" collapsed="false">
      <c r="A442" s="63"/>
      <c r="B442" s="28"/>
      <c r="C442" s="28"/>
      <c r="D442" s="28"/>
      <c r="E442" s="28"/>
      <c r="F442" s="28"/>
    </row>
    <row r="443" customFormat="false" ht="15" hidden="false" customHeight="false" outlineLevel="0" collapsed="false">
      <c r="A443" s="63"/>
      <c r="B443" s="28"/>
      <c r="C443" s="28"/>
      <c r="D443" s="28"/>
      <c r="E443" s="28"/>
      <c r="F443" s="28"/>
    </row>
    <row r="444" customFormat="false" ht="15" hidden="false" customHeight="false" outlineLevel="0" collapsed="false">
      <c r="A444" s="63"/>
      <c r="B444" s="28"/>
      <c r="C444" s="28"/>
      <c r="D444" s="28"/>
      <c r="E444" s="28"/>
      <c r="F444" s="28"/>
    </row>
    <row r="445" customFormat="false" ht="15" hidden="false" customHeight="false" outlineLevel="0" collapsed="false">
      <c r="A445" s="63"/>
      <c r="B445" s="28"/>
      <c r="C445" s="28"/>
      <c r="D445" s="28"/>
      <c r="E445" s="28"/>
      <c r="F445" s="28"/>
    </row>
    <row r="446" customFormat="false" ht="15" hidden="false" customHeight="false" outlineLevel="0" collapsed="false">
      <c r="A446" s="63"/>
      <c r="B446" s="28"/>
      <c r="C446" s="28"/>
      <c r="D446" s="28"/>
      <c r="E446" s="28"/>
      <c r="F446" s="28"/>
    </row>
    <row r="447" customFormat="false" ht="15" hidden="false" customHeight="false" outlineLevel="0" collapsed="false">
      <c r="A447" s="63"/>
      <c r="B447" s="28"/>
      <c r="C447" s="28"/>
      <c r="D447" s="28"/>
      <c r="E447" s="28"/>
      <c r="F447" s="28"/>
    </row>
    <row r="448" customFormat="false" ht="15" hidden="false" customHeight="false" outlineLevel="0" collapsed="false">
      <c r="A448" s="63"/>
      <c r="B448" s="28"/>
      <c r="C448" s="28"/>
      <c r="D448" s="28"/>
      <c r="E448" s="28"/>
      <c r="F448" s="28"/>
    </row>
    <row r="449" customFormat="false" ht="15" hidden="false" customHeight="false" outlineLevel="0" collapsed="false">
      <c r="A449" s="63"/>
      <c r="B449" s="28"/>
      <c r="C449" s="28"/>
      <c r="D449" s="28"/>
      <c r="E449" s="28"/>
      <c r="F449" s="28"/>
    </row>
    <row r="450" customFormat="false" ht="15" hidden="false" customHeight="false" outlineLevel="0" collapsed="false">
      <c r="A450" s="63"/>
      <c r="B450" s="28"/>
      <c r="C450" s="28"/>
      <c r="D450" s="28"/>
      <c r="E450" s="28"/>
      <c r="F450" s="28"/>
    </row>
    <row r="451" customFormat="false" ht="15" hidden="false" customHeight="false" outlineLevel="0" collapsed="false">
      <c r="A451" s="63"/>
      <c r="B451" s="28"/>
      <c r="C451" s="28"/>
      <c r="D451" s="28"/>
      <c r="E451" s="28"/>
      <c r="F451" s="28"/>
    </row>
    <row r="452" customFormat="false" ht="15" hidden="false" customHeight="false" outlineLevel="0" collapsed="false">
      <c r="A452" s="63"/>
      <c r="B452" s="28"/>
      <c r="C452" s="28"/>
      <c r="D452" s="28"/>
      <c r="E452" s="28"/>
      <c r="F452" s="28"/>
    </row>
    <row r="453" customFormat="false" ht="15" hidden="false" customHeight="false" outlineLevel="0" collapsed="false">
      <c r="A453" s="63"/>
      <c r="B453" s="28"/>
      <c r="C453" s="28"/>
      <c r="D453" s="28"/>
      <c r="E453" s="28"/>
      <c r="F453" s="28"/>
    </row>
    <row r="454" customFormat="false" ht="15" hidden="false" customHeight="false" outlineLevel="0" collapsed="false">
      <c r="A454" s="63"/>
      <c r="B454" s="28"/>
      <c r="C454" s="28"/>
      <c r="D454" s="28"/>
      <c r="E454" s="28"/>
      <c r="F454" s="28"/>
    </row>
    <row r="455" customFormat="false" ht="15" hidden="false" customHeight="false" outlineLevel="0" collapsed="false">
      <c r="A455" s="63"/>
      <c r="B455" s="28"/>
      <c r="C455" s="28"/>
      <c r="D455" s="28"/>
      <c r="E455" s="28"/>
      <c r="F455" s="28"/>
    </row>
    <row r="456" customFormat="false" ht="15" hidden="false" customHeight="false" outlineLevel="0" collapsed="false">
      <c r="A456" s="63"/>
      <c r="B456" s="28"/>
      <c r="C456" s="28"/>
      <c r="D456" s="28"/>
      <c r="E456" s="28"/>
      <c r="F456" s="28"/>
    </row>
    <row r="457" customFormat="false" ht="15" hidden="false" customHeight="false" outlineLevel="0" collapsed="false">
      <c r="A457" s="63"/>
      <c r="B457" s="28"/>
      <c r="C457" s="28"/>
      <c r="D457" s="28"/>
      <c r="E457" s="28"/>
      <c r="F457" s="28"/>
    </row>
    <row r="458" customFormat="false" ht="15" hidden="false" customHeight="false" outlineLevel="0" collapsed="false">
      <c r="A458" s="63"/>
      <c r="B458" s="28"/>
      <c r="C458" s="28"/>
      <c r="D458" s="28"/>
      <c r="E458" s="28"/>
      <c r="F458" s="28"/>
    </row>
    <row r="459" customFormat="false" ht="15" hidden="false" customHeight="false" outlineLevel="0" collapsed="false">
      <c r="A459" s="63"/>
      <c r="B459" s="28"/>
      <c r="C459" s="28"/>
      <c r="D459" s="28"/>
      <c r="E459" s="28"/>
      <c r="F459" s="28"/>
    </row>
    <row r="460" customFormat="false" ht="15" hidden="false" customHeight="false" outlineLevel="0" collapsed="false">
      <c r="A460" s="63"/>
      <c r="B460" s="28"/>
      <c r="C460" s="28"/>
      <c r="D460" s="28"/>
      <c r="E460" s="28"/>
      <c r="F460" s="28"/>
    </row>
    <row r="461" customFormat="false" ht="15" hidden="false" customHeight="false" outlineLevel="0" collapsed="false">
      <c r="A461" s="63"/>
      <c r="B461" s="28"/>
      <c r="C461" s="28"/>
      <c r="D461" s="28"/>
      <c r="E461" s="28"/>
      <c r="F461" s="28"/>
    </row>
    <row r="462" customFormat="false" ht="15" hidden="false" customHeight="false" outlineLevel="0" collapsed="false">
      <c r="A462" s="63"/>
      <c r="B462" s="28"/>
      <c r="C462" s="28"/>
      <c r="D462" s="28"/>
      <c r="E462" s="28"/>
      <c r="F462" s="28"/>
    </row>
    <row r="463" customFormat="false" ht="15" hidden="false" customHeight="false" outlineLevel="0" collapsed="false">
      <c r="A463" s="63"/>
      <c r="B463" s="28"/>
      <c r="C463" s="28"/>
      <c r="D463" s="28"/>
      <c r="E463" s="28"/>
      <c r="F463" s="28"/>
    </row>
    <row r="464" customFormat="false" ht="15" hidden="false" customHeight="false" outlineLevel="0" collapsed="false">
      <c r="A464" s="63"/>
      <c r="B464" s="28"/>
      <c r="C464" s="28"/>
      <c r="D464" s="28"/>
      <c r="E464" s="28"/>
      <c r="F464" s="28"/>
    </row>
    <row r="465" customFormat="false" ht="15" hidden="false" customHeight="false" outlineLevel="0" collapsed="false">
      <c r="A465" s="63"/>
      <c r="B465" s="28"/>
      <c r="C465" s="28"/>
      <c r="D465" s="28"/>
      <c r="E465" s="28"/>
      <c r="F465" s="28"/>
    </row>
    <row r="466" customFormat="false" ht="15" hidden="false" customHeight="false" outlineLevel="0" collapsed="false">
      <c r="A466" s="63"/>
      <c r="B466" s="28"/>
      <c r="C466" s="28"/>
      <c r="D466" s="28"/>
      <c r="E466" s="28"/>
      <c r="F466" s="28"/>
    </row>
    <row r="467" customFormat="false" ht="15" hidden="false" customHeight="false" outlineLevel="0" collapsed="false">
      <c r="A467" s="63"/>
      <c r="B467" s="28"/>
      <c r="C467" s="28"/>
      <c r="D467" s="28"/>
      <c r="E467" s="28"/>
      <c r="F467" s="28"/>
    </row>
    <row r="468" customFormat="false" ht="15" hidden="false" customHeight="false" outlineLevel="0" collapsed="false">
      <c r="A468" s="63"/>
      <c r="B468" s="28"/>
      <c r="C468" s="28"/>
      <c r="D468" s="28"/>
      <c r="E468" s="28"/>
      <c r="F468" s="28"/>
    </row>
    <row r="469" customFormat="false" ht="15" hidden="false" customHeight="false" outlineLevel="0" collapsed="false">
      <c r="A469" s="63"/>
      <c r="B469" s="28"/>
      <c r="C469" s="28"/>
      <c r="D469" s="28"/>
      <c r="E469" s="28"/>
      <c r="F469" s="28"/>
    </row>
    <row r="470" customFormat="false" ht="15" hidden="false" customHeight="false" outlineLevel="0" collapsed="false">
      <c r="A470" s="63"/>
      <c r="B470" s="28"/>
      <c r="C470" s="28"/>
      <c r="D470" s="28"/>
      <c r="E470" s="28"/>
      <c r="F470" s="28"/>
    </row>
    <row r="471" customFormat="false" ht="15" hidden="false" customHeight="false" outlineLevel="0" collapsed="false">
      <c r="A471" s="63"/>
      <c r="B471" s="28"/>
      <c r="C471" s="28"/>
      <c r="D471" s="28"/>
      <c r="E471" s="28"/>
      <c r="F471" s="28"/>
    </row>
    <row r="472" customFormat="false" ht="15" hidden="false" customHeight="false" outlineLevel="0" collapsed="false">
      <c r="A472" s="63"/>
      <c r="B472" s="28"/>
      <c r="C472" s="28"/>
      <c r="D472" s="28"/>
      <c r="E472" s="28"/>
      <c r="F472" s="28"/>
    </row>
    <row r="473" customFormat="false" ht="15" hidden="false" customHeight="false" outlineLevel="0" collapsed="false">
      <c r="A473" s="63"/>
      <c r="B473" s="28"/>
      <c r="C473" s="28"/>
      <c r="D473" s="28"/>
      <c r="E473" s="28"/>
      <c r="F473" s="28"/>
    </row>
    <row r="474" customFormat="false" ht="15" hidden="false" customHeight="false" outlineLevel="0" collapsed="false">
      <c r="A474" s="63"/>
      <c r="B474" s="28"/>
      <c r="C474" s="28"/>
      <c r="D474" s="28"/>
      <c r="E474" s="28"/>
      <c r="F474" s="28"/>
    </row>
    <row r="475" customFormat="false" ht="15" hidden="false" customHeight="false" outlineLevel="0" collapsed="false">
      <c r="A475" s="63"/>
      <c r="B475" s="28"/>
      <c r="C475" s="28"/>
      <c r="D475" s="28"/>
      <c r="E475" s="28"/>
      <c r="F475" s="28"/>
    </row>
    <row r="476" customFormat="false" ht="15" hidden="false" customHeight="false" outlineLevel="0" collapsed="false">
      <c r="A476" s="63"/>
      <c r="B476" s="28"/>
      <c r="C476" s="28"/>
      <c r="D476" s="28"/>
      <c r="E476" s="28"/>
      <c r="F476" s="28"/>
    </row>
    <row r="477" customFormat="false" ht="15" hidden="false" customHeight="false" outlineLevel="0" collapsed="false">
      <c r="A477" s="63"/>
      <c r="B477" s="28"/>
      <c r="C477" s="28"/>
      <c r="D477" s="28"/>
      <c r="E477" s="28"/>
      <c r="F477" s="28"/>
    </row>
    <row r="478" customFormat="false" ht="15" hidden="false" customHeight="false" outlineLevel="0" collapsed="false">
      <c r="A478" s="63"/>
      <c r="B478" s="28"/>
      <c r="C478" s="28"/>
      <c r="D478" s="28"/>
      <c r="E478" s="28"/>
      <c r="F478" s="28"/>
    </row>
    <row r="479" customFormat="false" ht="15" hidden="false" customHeight="false" outlineLevel="0" collapsed="false">
      <c r="A479" s="63"/>
      <c r="B479" s="28"/>
      <c r="C479" s="28"/>
      <c r="D479" s="28"/>
      <c r="E479" s="28"/>
      <c r="F479" s="28"/>
    </row>
    <row r="480" customFormat="false" ht="15" hidden="false" customHeight="false" outlineLevel="0" collapsed="false">
      <c r="A480" s="63"/>
      <c r="B480" s="28"/>
      <c r="C480" s="28"/>
      <c r="D480" s="28"/>
      <c r="E480" s="28"/>
      <c r="F480" s="28"/>
    </row>
    <row r="481" customFormat="false" ht="15" hidden="false" customHeight="false" outlineLevel="0" collapsed="false">
      <c r="A481" s="63"/>
      <c r="B481" s="28"/>
      <c r="C481" s="28"/>
      <c r="D481" s="28"/>
      <c r="E481" s="28"/>
      <c r="F481" s="28"/>
    </row>
    <row r="482" customFormat="false" ht="15" hidden="false" customHeight="false" outlineLevel="0" collapsed="false">
      <c r="A482" s="63"/>
      <c r="B482" s="28"/>
      <c r="C482" s="28"/>
      <c r="D482" s="28"/>
      <c r="E482" s="28"/>
      <c r="F482" s="28"/>
    </row>
    <row r="483" customFormat="false" ht="15" hidden="false" customHeight="false" outlineLevel="0" collapsed="false">
      <c r="A483" s="63"/>
      <c r="B483" s="28"/>
      <c r="C483" s="28"/>
      <c r="D483" s="28"/>
      <c r="E483" s="28"/>
      <c r="F483" s="28"/>
    </row>
    <row r="484" customFormat="false" ht="15" hidden="false" customHeight="false" outlineLevel="0" collapsed="false">
      <c r="A484" s="63"/>
      <c r="B484" s="28"/>
      <c r="C484" s="28"/>
      <c r="D484" s="28"/>
      <c r="E484" s="28"/>
      <c r="F484" s="28"/>
    </row>
    <row r="485" customFormat="false" ht="15" hidden="false" customHeight="false" outlineLevel="0" collapsed="false">
      <c r="A485" s="63"/>
      <c r="B485" s="28"/>
      <c r="C485" s="28"/>
      <c r="D485" s="28"/>
      <c r="E485" s="28"/>
      <c r="F485" s="28"/>
    </row>
    <row r="486" customFormat="false" ht="15" hidden="false" customHeight="false" outlineLevel="0" collapsed="false">
      <c r="A486" s="63"/>
      <c r="B486" s="28"/>
      <c r="C486" s="28"/>
      <c r="D486" s="28"/>
      <c r="E486" s="28"/>
      <c r="F486" s="28"/>
    </row>
    <row r="487" customFormat="false" ht="15" hidden="false" customHeight="false" outlineLevel="0" collapsed="false">
      <c r="A487" s="63"/>
      <c r="B487" s="28"/>
      <c r="C487" s="28"/>
      <c r="D487" s="28"/>
      <c r="E487" s="28"/>
      <c r="F487" s="28"/>
    </row>
    <row r="488" customFormat="false" ht="15" hidden="false" customHeight="false" outlineLevel="0" collapsed="false">
      <c r="A488" s="63"/>
      <c r="B488" s="28"/>
      <c r="C488" s="28"/>
      <c r="D488" s="28"/>
      <c r="E488" s="28"/>
      <c r="F488" s="28"/>
    </row>
    <row r="489" customFormat="false" ht="15" hidden="false" customHeight="false" outlineLevel="0" collapsed="false">
      <c r="A489" s="63"/>
      <c r="B489" s="28"/>
      <c r="C489" s="28"/>
      <c r="D489" s="28"/>
      <c r="E489" s="28"/>
      <c r="F489" s="28"/>
    </row>
    <row r="490" customFormat="false" ht="15" hidden="false" customHeight="false" outlineLevel="0" collapsed="false">
      <c r="A490" s="63"/>
      <c r="B490" s="28"/>
      <c r="C490" s="28"/>
      <c r="D490" s="28"/>
      <c r="E490" s="28"/>
      <c r="F490" s="28"/>
    </row>
    <row r="491" customFormat="false" ht="15" hidden="false" customHeight="false" outlineLevel="0" collapsed="false">
      <c r="A491" s="63"/>
      <c r="B491" s="28"/>
      <c r="C491" s="28"/>
      <c r="D491" s="28"/>
      <c r="E491" s="28"/>
      <c r="F491" s="28"/>
    </row>
    <row r="492" customFormat="false" ht="15" hidden="false" customHeight="false" outlineLevel="0" collapsed="false">
      <c r="A492" s="63"/>
      <c r="B492" s="28"/>
      <c r="C492" s="28"/>
      <c r="D492" s="28"/>
      <c r="E492" s="28"/>
      <c r="F492" s="28"/>
    </row>
    <row r="493" customFormat="false" ht="15" hidden="false" customHeight="false" outlineLevel="0" collapsed="false">
      <c r="A493" s="63"/>
      <c r="B493" s="28"/>
      <c r="C493" s="28"/>
      <c r="D493" s="28"/>
      <c r="E493" s="28"/>
      <c r="F493" s="28"/>
    </row>
    <row r="494" customFormat="false" ht="15" hidden="false" customHeight="false" outlineLevel="0" collapsed="false">
      <c r="A494" s="63"/>
      <c r="B494" s="28"/>
      <c r="C494" s="28"/>
      <c r="D494" s="28"/>
      <c r="E494" s="28"/>
      <c r="F494" s="28"/>
    </row>
    <row r="495" customFormat="false" ht="15" hidden="false" customHeight="false" outlineLevel="0" collapsed="false">
      <c r="A495" s="63"/>
      <c r="B495" s="28"/>
      <c r="C495" s="28"/>
      <c r="D495" s="28"/>
      <c r="E495" s="28"/>
      <c r="F495" s="28"/>
    </row>
    <row r="496" customFormat="false" ht="15" hidden="false" customHeight="false" outlineLevel="0" collapsed="false">
      <c r="A496" s="63"/>
      <c r="B496" s="28"/>
      <c r="C496" s="28"/>
      <c r="D496" s="28"/>
      <c r="E496" s="28"/>
      <c r="F496" s="28"/>
    </row>
    <row r="497" customFormat="false" ht="15" hidden="false" customHeight="false" outlineLevel="0" collapsed="false">
      <c r="A497" s="63"/>
      <c r="B497" s="28"/>
      <c r="C497" s="28"/>
      <c r="D497" s="28"/>
      <c r="E497" s="28"/>
      <c r="F497" s="28"/>
    </row>
    <row r="498" customFormat="false" ht="15" hidden="false" customHeight="false" outlineLevel="0" collapsed="false">
      <c r="A498" s="63"/>
      <c r="B498" s="28"/>
      <c r="C498" s="28"/>
      <c r="D498" s="28"/>
      <c r="E498" s="28"/>
      <c r="F498" s="28"/>
    </row>
    <row r="499" customFormat="false" ht="15" hidden="false" customHeight="false" outlineLevel="0" collapsed="false">
      <c r="A499" s="63"/>
      <c r="B499" s="28"/>
      <c r="C499" s="28"/>
      <c r="D499" s="28"/>
      <c r="E499" s="28"/>
      <c r="F499" s="28"/>
    </row>
    <row r="500" customFormat="false" ht="15" hidden="false" customHeight="false" outlineLevel="0" collapsed="false">
      <c r="A500" s="63"/>
      <c r="B500" s="28"/>
      <c r="C500" s="28"/>
      <c r="D500" s="28"/>
      <c r="E500" s="28"/>
      <c r="F500" s="28"/>
    </row>
    <row r="501" customFormat="false" ht="15" hidden="false" customHeight="false" outlineLevel="0" collapsed="false">
      <c r="A501" s="63"/>
      <c r="B501" s="28"/>
      <c r="C501" s="28"/>
      <c r="D501" s="28"/>
      <c r="E501" s="28"/>
      <c r="F501" s="28"/>
    </row>
    <row r="502" customFormat="false" ht="15" hidden="false" customHeight="false" outlineLevel="0" collapsed="false">
      <c r="A502" s="63"/>
      <c r="B502" s="28"/>
      <c r="C502" s="28"/>
      <c r="D502" s="28"/>
      <c r="E502" s="28"/>
      <c r="F502" s="28"/>
    </row>
    <row r="503" customFormat="false" ht="15" hidden="false" customHeight="false" outlineLevel="0" collapsed="false">
      <c r="A503" s="63"/>
      <c r="B503" s="28"/>
      <c r="C503" s="28"/>
      <c r="D503" s="28"/>
      <c r="E503" s="28"/>
      <c r="F503" s="28"/>
    </row>
    <row r="504" customFormat="false" ht="15" hidden="false" customHeight="false" outlineLevel="0" collapsed="false">
      <c r="A504" s="63"/>
      <c r="B504" s="28"/>
      <c r="C504" s="28"/>
      <c r="D504" s="28"/>
      <c r="E504" s="28"/>
      <c r="F504" s="28"/>
    </row>
    <row r="505" customFormat="false" ht="15" hidden="false" customHeight="false" outlineLevel="0" collapsed="false">
      <c r="A505" s="63"/>
      <c r="B505" s="28"/>
      <c r="C505" s="28"/>
      <c r="D505" s="28"/>
      <c r="E505" s="28"/>
      <c r="F505" s="28"/>
    </row>
    <row r="506" customFormat="false" ht="15" hidden="false" customHeight="false" outlineLevel="0" collapsed="false">
      <c r="A506" s="63"/>
      <c r="B506" s="28"/>
      <c r="C506" s="28"/>
      <c r="D506" s="28"/>
      <c r="E506" s="28"/>
      <c r="F506" s="28"/>
    </row>
    <row r="507" customFormat="false" ht="15" hidden="false" customHeight="false" outlineLevel="0" collapsed="false">
      <c r="A507" s="63"/>
      <c r="B507" s="28"/>
      <c r="C507" s="28"/>
      <c r="D507" s="28"/>
      <c r="E507" s="28"/>
      <c r="F507" s="28"/>
    </row>
    <row r="508" customFormat="false" ht="15" hidden="false" customHeight="false" outlineLevel="0" collapsed="false">
      <c r="A508" s="63"/>
      <c r="B508" s="28"/>
      <c r="C508" s="28"/>
      <c r="D508" s="28"/>
      <c r="E508" s="28"/>
      <c r="F508" s="28"/>
    </row>
    <row r="509" customFormat="false" ht="15" hidden="false" customHeight="false" outlineLevel="0" collapsed="false">
      <c r="A509" s="63"/>
      <c r="B509" s="28"/>
      <c r="C509" s="28"/>
      <c r="D509" s="28"/>
      <c r="E509" s="28"/>
      <c r="F509" s="28"/>
    </row>
    <row r="510" customFormat="false" ht="15" hidden="false" customHeight="false" outlineLevel="0" collapsed="false">
      <c r="A510" s="63"/>
      <c r="B510" s="28"/>
      <c r="C510" s="28"/>
      <c r="D510" s="28"/>
      <c r="E510" s="28"/>
      <c r="F510" s="28"/>
    </row>
    <row r="511" customFormat="false" ht="15" hidden="false" customHeight="false" outlineLevel="0" collapsed="false">
      <c r="A511" s="63"/>
      <c r="B511" s="28"/>
      <c r="C511" s="28"/>
      <c r="D511" s="28"/>
      <c r="E511" s="28"/>
      <c r="F511" s="28"/>
    </row>
    <row r="512" customFormat="false" ht="15" hidden="false" customHeight="false" outlineLevel="0" collapsed="false">
      <c r="A512" s="63"/>
      <c r="B512" s="28"/>
      <c r="C512" s="28"/>
      <c r="D512" s="28"/>
      <c r="E512" s="28"/>
      <c r="F512" s="28"/>
    </row>
    <row r="513" customFormat="false" ht="15" hidden="false" customHeight="false" outlineLevel="0" collapsed="false">
      <c r="A513" s="63"/>
      <c r="B513" s="28"/>
      <c r="C513" s="28"/>
      <c r="D513" s="28"/>
      <c r="E513" s="28"/>
      <c r="F513" s="28"/>
    </row>
    <row r="514" customFormat="false" ht="15" hidden="false" customHeight="false" outlineLevel="0" collapsed="false">
      <c r="A514" s="63"/>
      <c r="B514" s="28"/>
      <c r="C514" s="28"/>
      <c r="D514" s="28"/>
      <c r="E514" s="28"/>
      <c r="F514" s="28"/>
    </row>
    <row r="515" customFormat="false" ht="15" hidden="false" customHeight="false" outlineLevel="0" collapsed="false">
      <c r="A515" s="63"/>
      <c r="B515" s="28"/>
      <c r="C515" s="28"/>
      <c r="D515" s="28"/>
      <c r="E515" s="28"/>
      <c r="F515" s="28"/>
    </row>
    <row r="516" customFormat="false" ht="15" hidden="false" customHeight="false" outlineLevel="0" collapsed="false">
      <c r="A516" s="63"/>
      <c r="B516" s="28"/>
      <c r="C516" s="28"/>
      <c r="D516" s="28"/>
      <c r="E516" s="28"/>
      <c r="F516" s="28"/>
    </row>
    <row r="517" customFormat="false" ht="15" hidden="false" customHeight="false" outlineLevel="0" collapsed="false">
      <c r="A517" s="63"/>
      <c r="B517" s="28"/>
      <c r="C517" s="28"/>
      <c r="D517" s="28"/>
      <c r="E517" s="28"/>
      <c r="F517" s="28"/>
    </row>
    <row r="518" customFormat="false" ht="15" hidden="false" customHeight="false" outlineLevel="0" collapsed="false">
      <c r="A518" s="63"/>
      <c r="B518" s="28"/>
      <c r="C518" s="28"/>
      <c r="D518" s="28"/>
      <c r="E518" s="28"/>
      <c r="F518" s="28"/>
    </row>
    <row r="519" customFormat="false" ht="15" hidden="false" customHeight="false" outlineLevel="0" collapsed="false">
      <c r="A519" s="63"/>
      <c r="B519" s="28"/>
      <c r="C519" s="28"/>
      <c r="D519" s="28"/>
      <c r="E519" s="28"/>
      <c r="F519" s="28"/>
    </row>
    <row r="520" customFormat="false" ht="15" hidden="false" customHeight="false" outlineLevel="0" collapsed="false">
      <c r="A520" s="63"/>
      <c r="B520" s="28"/>
      <c r="C520" s="28"/>
      <c r="D520" s="28"/>
      <c r="E520" s="28"/>
      <c r="F520" s="28"/>
    </row>
    <row r="521" customFormat="false" ht="15" hidden="false" customHeight="false" outlineLevel="0" collapsed="false">
      <c r="A521" s="63"/>
      <c r="B521" s="28"/>
      <c r="C521" s="28"/>
      <c r="D521" s="28"/>
      <c r="E521" s="28"/>
      <c r="F521" s="28"/>
    </row>
    <row r="522" customFormat="false" ht="15" hidden="false" customHeight="false" outlineLevel="0" collapsed="false">
      <c r="A522" s="63"/>
      <c r="B522" s="28"/>
      <c r="C522" s="28"/>
      <c r="D522" s="28"/>
      <c r="E522" s="28"/>
      <c r="F522" s="28"/>
    </row>
    <row r="523" customFormat="false" ht="15" hidden="false" customHeight="false" outlineLevel="0" collapsed="false">
      <c r="A523" s="63"/>
      <c r="B523" s="28"/>
      <c r="C523" s="28"/>
      <c r="D523" s="28"/>
      <c r="E523" s="28"/>
      <c r="F523" s="28"/>
    </row>
    <row r="524" customFormat="false" ht="15" hidden="false" customHeight="false" outlineLevel="0" collapsed="false">
      <c r="A524" s="63"/>
      <c r="B524" s="28"/>
      <c r="C524" s="28"/>
      <c r="D524" s="28"/>
      <c r="E524" s="28"/>
      <c r="F524" s="28"/>
    </row>
    <row r="525" customFormat="false" ht="15" hidden="false" customHeight="false" outlineLevel="0" collapsed="false">
      <c r="A525" s="63"/>
      <c r="B525" s="28"/>
      <c r="C525" s="28"/>
      <c r="D525" s="28"/>
      <c r="E525" s="28"/>
      <c r="F525" s="28"/>
    </row>
    <row r="526" customFormat="false" ht="15" hidden="false" customHeight="false" outlineLevel="0" collapsed="false">
      <c r="A526" s="63"/>
      <c r="B526" s="28"/>
      <c r="C526" s="28"/>
      <c r="D526" s="28"/>
      <c r="E526" s="28"/>
      <c r="F526" s="28"/>
    </row>
    <row r="527" customFormat="false" ht="15" hidden="false" customHeight="false" outlineLevel="0" collapsed="false">
      <c r="A527" s="63"/>
      <c r="B527" s="28"/>
      <c r="C527" s="28"/>
      <c r="D527" s="28"/>
      <c r="E527" s="28"/>
      <c r="F527" s="28"/>
    </row>
    <row r="528" customFormat="false" ht="15" hidden="false" customHeight="false" outlineLevel="0" collapsed="false">
      <c r="A528" s="63"/>
      <c r="B528" s="28"/>
      <c r="C528" s="28"/>
      <c r="D528" s="28"/>
      <c r="E528" s="28"/>
      <c r="F528" s="28"/>
    </row>
    <row r="529" customFormat="false" ht="15" hidden="false" customHeight="false" outlineLevel="0" collapsed="false">
      <c r="A529" s="63"/>
      <c r="B529" s="28"/>
      <c r="C529" s="28"/>
      <c r="D529" s="28"/>
      <c r="E529" s="28"/>
      <c r="F529" s="28"/>
    </row>
    <row r="530" customFormat="false" ht="15" hidden="false" customHeight="false" outlineLevel="0" collapsed="false">
      <c r="A530" s="63"/>
      <c r="B530" s="28"/>
      <c r="C530" s="28"/>
      <c r="D530" s="28"/>
      <c r="E530" s="28"/>
      <c r="F530" s="28"/>
    </row>
    <row r="531" customFormat="false" ht="15" hidden="false" customHeight="false" outlineLevel="0" collapsed="false">
      <c r="A531" s="63"/>
      <c r="B531" s="28"/>
      <c r="C531" s="28"/>
      <c r="D531" s="28"/>
      <c r="E531" s="28"/>
      <c r="F531" s="28"/>
    </row>
    <row r="532" customFormat="false" ht="15" hidden="false" customHeight="false" outlineLevel="0" collapsed="false">
      <c r="A532" s="63"/>
      <c r="B532" s="28"/>
      <c r="C532" s="28"/>
      <c r="D532" s="28"/>
      <c r="E532" s="28"/>
      <c r="F532" s="28"/>
    </row>
    <row r="533" customFormat="false" ht="15" hidden="false" customHeight="false" outlineLevel="0" collapsed="false">
      <c r="A533" s="63"/>
      <c r="B533" s="28"/>
      <c r="C533" s="28"/>
      <c r="D533" s="28"/>
      <c r="E533" s="28"/>
      <c r="F533" s="28"/>
    </row>
    <row r="534" customFormat="false" ht="15" hidden="false" customHeight="false" outlineLevel="0" collapsed="false">
      <c r="A534" s="63"/>
      <c r="B534" s="28"/>
      <c r="C534" s="28"/>
      <c r="D534" s="28"/>
      <c r="E534" s="28"/>
      <c r="F534" s="28"/>
    </row>
    <row r="535" customFormat="false" ht="15" hidden="false" customHeight="false" outlineLevel="0" collapsed="false">
      <c r="A535" s="63"/>
      <c r="B535" s="28"/>
      <c r="C535" s="28"/>
      <c r="D535" s="28"/>
      <c r="E535" s="28"/>
      <c r="F535" s="28"/>
    </row>
    <row r="536" customFormat="false" ht="15" hidden="false" customHeight="false" outlineLevel="0" collapsed="false">
      <c r="A536" s="63"/>
      <c r="B536" s="28"/>
      <c r="C536" s="28"/>
      <c r="D536" s="28"/>
      <c r="E536" s="28"/>
      <c r="F536" s="28"/>
    </row>
    <row r="537" customFormat="false" ht="15" hidden="false" customHeight="false" outlineLevel="0" collapsed="false">
      <c r="A537" s="63"/>
      <c r="B537" s="28"/>
      <c r="C537" s="28"/>
      <c r="D537" s="28"/>
      <c r="E537" s="28"/>
      <c r="F537" s="28"/>
    </row>
    <row r="538" customFormat="false" ht="15" hidden="false" customHeight="false" outlineLevel="0" collapsed="false">
      <c r="A538" s="63"/>
      <c r="B538" s="28"/>
      <c r="C538" s="28"/>
      <c r="D538" s="28"/>
      <c r="E538" s="28"/>
      <c r="F538" s="28"/>
    </row>
    <row r="539" customFormat="false" ht="15" hidden="false" customHeight="false" outlineLevel="0" collapsed="false">
      <c r="A539" s="63"/>
      <c r="B539" s="28"/>
      <c r="C539" s="28"/>
      <c r="D539" s="28"/>
      <c r="E539" s="28"/>
      <c r="F539" s="28"/>
    </row>
    <row r="540" customFormat="false" ht="15" hidden="false" customHeight="false" outlineLevel="0" collapsed="false">
      <c r="A540" s="63"/>
      <c r="B540" s="28"/>
      <c r="C540" s="28"/>
      <c r="D540" s="28"/>
      <c r="E540" s="28"/>
      <c r="F540" s="28"/>
    </row>
    <row r="541" customFormat="false" ht="15" hidden="false" customHeight="false" outlineLevel="0" collapsed="false">
      <c r="A541" s="63"/>
      <c r="B541" s="28"/>
      <c r="C541" s="28"/>
      <c r="D541" s="28"/>
      <c r="E541" s="28"/>
      <c r="F541" s="28"/>
    </row>
    <row r="542" customFormat="false" ht="15" hidden="false" customHeight="false" outlineLevel="0" collapsed="false">
      <c r="A542" s="63"/>
      <c r="B542" s="28"/>
      <c r="C542" s="28"/>
      <c r="D542" s="28"/>
      <c r="E542" s="28"/>
      <c r="F542" s="28"/>
    </row>
    <row r="543" customFormat="false" ht="15" hidden="false" customHeight="false" outlineLevel="0" collapsed="false">
      <c r="A543" s="63"/>
      <c r="B543" s="28"/>
      <c r="C543" s="28"/>
      <c r="D543" s="28"/>
      <c r="E543" s="28"/>
      <c r="F543" s="28"/>
    </row>
    <row r="544" customFormat="false" ht="15" hidden="false" customHeight="false" outlineLevel="0" collapsed="false">
      <c r="A544" s="63"/>
      <c r="B544" s="28"/>
      <c r="C544" s="28"/>
      <c r="D544" s="28"/>
      <c r="E544" s="28"/>
      <c r="F544" s="28"/>
    </row>
    <row r="545" customFormat="false" ht="15" hidden="false" customHeight="false" outlineLevel="0" collapsed="false">
      <c r="A545" s="63"/>
      <c r="B545" s="28"/>
      <c r="C545" s="28"/>
      <c r="D545" s="28"/>
      <c r="E545" s="28"/>
      <c r="F545" s="28"/>
    </row>
    <row r="546" customFormat="false" ht="15" hidden="false" customHeight="false" outlineLevel="0" collapsed="false">
      <c r="A546" s="63"/>
      <c r="B546" s="28"/>
      <c r="C546" s="28"/>
      <c r="D546" s="28"/>
      <c r="E546" s="28"/>
      <c r="F546" s="28"/>
    </row>
    <row r="547" customFormat="false" ht="15" hidden="false" customHeight="false" outlineLevel="0" collapsed="false">
      <c r="A547" s="63"/>
      <c r="B547" s="28"/>
      <c r="C547" s="28"/>
      <c r="D547" s="28"/>
      <c r="E547" s="28"/>
      <c r="F547" s="28"/>
    </row>
    <row r="548" customFormat="false" ht="15" hidden="false" customHeight="false" outlineLevel="0" collapsed="false">
      <c r="A548" s="63"/>
      <c r="B548" s="28"/>
      <c r="C548" s="28"/>
      <c r="D548" s="28"/>
      <c r="E548" s="28"/>
      <c r="F548" s="28"/>
    </row>
    <row r="549" customFormat="false" ht="15" hidden="false" customHeight="false" outlineLevel="0" collapsed="false">
      <c r="A549" s="63"/>
      <c r="B549" s="28"/>
      <c r="C549" s="28"/>
      <c r="D549" s="28"/>
      <c r="E549" s="28"/>
      <c r="F549" s="28"/>
    </row>
    <row r="550" customFormat="false" ht="15" hidden="false" customHeight="false" outlineLevel="0" collapsed="false">
      <c r="A550" s="63"/>
      <c r="B550" s="28"/>
      <c r="C550" s="28"/>
      <c r="D550" s="28"/>
      <c r="E550" s="28"/>
      <c r="F550" s="28"/>
    </row>
    <row r="551" customFormat="false" ht="15" hidden="false" customHeight="false" outlineLevel="0" collapsed="false">
      <c r="A551" s="63"/>
      <c r="B551" s="28"/>
      <c r="C551" s="28"/>
      <c r="D551" s="28"/>
      <c r="E551" s="28"/>
      <c r="F551" s="28"/>
    </row>
    <row r="552" customFormat="false" ht="15" hidden="false" customHeight="false" outlineLevel="0" collapsed="false">
      <c r="A552" s="63"/>
      <c r="B552" s="28"/>
      <c r="C552" s="28"/>
      <c r="D552" s="28"/>
      <c r="E552" s="28"/>
      <c r="F552" s="28"/>
    </row>
    <row r="553" customFormat="false" ht="15" hidden="false" customHeight="false" outlineLevel="0" collapsed="false">
      <c r="A553" s="63"/>
      <c r="B553" s="28"/>
      <c r="C553" s="28"/>
      <c r="D553" s="28"/>
      <c r="E553" s="28"/>
      <c r="F553" s="28"/>
    </row>
    <row r="554" customFormat="false" ht="15" hidden="false" customHeight="false" outlineLevel="0" collapsed="false">
      <c r="A554" s="63"/>
      <c r="B554" s="28"/>
      <c r="C554" s="28"/>
      <c r="D554" s="28"/>
      <c r="E554" s="28"/>
      <c r="F554" s="28"/>
    </row>
    <row r="555" customFormat="false" ht="15" hidden="false" customHeight="false" outlineLevel="0" collapsed="false">
      <c r="A555" s="63"/>
      <c r="B555" s="28"/>
      <c r="C555" s="28"/>
      <c r="D555" s="28"/>
      <c r="E555" s="28"/>
      <c r="F555" s="28"/>
    </row>
    <row r="556" customFormat="false" ht="15" hidden="false" customHeight="false" outlineLevel="0" collapsed="false">
      <c r="A556" s="63"/>
      <c r="B556" s="28"/>
      <c r="C556" s="28"/>
      <c r="D556" s="28"/>
      <c r="E556" s="28"/>
      <c r="F556" s="28"/>
    </row>
    <row r="557" customFormat="false" ht="15" hidden="false" customHeight="false" outlineLevel="0" collapsed="false">
      <c r="A557" s="63"/>
      <c r="B557" s="28"/>
      <c r="C557" s="28"/>
      <c r="D557" s="28"/>
      <c r="E557" s="28"/>
      <c r="F557" s="28"/>
    </row>
    <row r="558" customFormat="false" ht="15" hidden="false" customHeight="false" outlineLevel="0" collapsed="false">
      <c r="A558" s="63"/>
      <c r="B558" s="28"/>
      <c r="C558" s="28"/>
      <c r="D558" s="28"/>
      <c r="E558" s="28"/>
      <c r="F558" s="28"/>
    </row>
    <row r="559" customFormat="false" ht="15" hidden="false" customHeight="false" outlineLevel="0" collapsed="false">
      <c r="A559" s="63"/>
      <c r="B559" s="28"/>
      <c r="C559" s="28"/>
      <c r="D559" s="28"/>
      <c r="E559" s="28"/>
      <c r="F559" s="28"/>
    </row>
    <row r="560" customFormat="false" ht="15" hidden="false" customHeight="false" outlineLevel="0" collapsed="false">
      <c r="A560" s="63"/>
      <c r="B560" s="28"/>
      <c r="C560" s="28"/>
      <c r="D560" s="28"/>
      <c r="E560" s="28"/>
      <c r="F560" s="28"/>
    </row>
    <row r="561" customFormat="false" ht="15" hidden="false" customHeight="false" outlineLevel="0" collapsed="false">
      <c r="A561" s="63"/>
      <c r="B561" s="28"/>
      <c r="C561" s="28"/>
      <c r="D561" s="28"/>
      <c r="E561" s="28"/>
      <c r="F561" s="28"/>
    </row>
    <row r="562" customFormat="false" ht="15" hidden="false" customHeight="false" outlineLevel="0" collapsed="false">
      <c r="A562" s="63"/>
      <c r="B562" s="28"/>
      <c r="C562" s="28"/>
      <c r="D562" s="28"/>
      <c r="E562" s="28"/>
      <c r="F562" s="28"/>
    </row>
    <row r="563" customFormat="false" ht="15" hidden="false" customHeight="false" outlineLevel="0" collapsed="false">
      <c r="A563" s="63"/>
      <c r="B563" s="28"/>
      <c r="C563" s="28"/>
      <c r="D563" s="28"/>
      <c r="E563" s="28"/>
      <c r="F563" s="28"/>
    </row>
    <row r="564" customFormat="false" ht="15" hidden="false" customHeight="false" outlineLevel="0" collapsed="false">
      <c r="A564" s="63"/>
      <c r="B564" s="28"/>
      <c r="C564" s="28"/>
      <c r="D564" s="28"/>
      <c r="E564" s="28"/>
      <c r="F564" s="28"/>
    </row>
    <row r="565" customFormat="false" ht="15" hidden="false" customHeight="false" outlineLevel="0" collapsed="false">
      <c r="A565" s="63"/>
      <c r="B565" s="28"/>
      <c r="C565" s="28"/>
      <c r="D565" s="28"/>
      <c r="E565" s="28"/>
      <c r="F565" s="28"/>
    </row>
    <row r="566" customFormat="false" ht="15" hidden="false" customHeight="false" outlineLevel="0" collapsed="false">
      <c r="A566" s="63"/>
      <c r="B566" s="28"/>
      <c r="C566" s="28"/>
      <c r="D566" s="28"/>
      <c r="E566" s="28"/>
      <c r="F566" s="28"/>
    </row>
    <row r="567" customFormat="false" ht="15" hidden="false" customHeight="false" outlineLevel="0" collapsed="false">
      <c r="A567" s="63"/>
      <c r="B567" s="28"/>
      <c r="C567" s="28"/>
      <c r="D567" s="28"/>
      <c r="E567" s="28"/>
      <c r="F567" s="28"/>
    </row>
    <row r="568" customFormat="false" ht="15" hidden="false" customHeight="false" outlineLevel="0" collapsed="false">
      <c r="A568" s="63"/>
      <c r="B568" s="28"/>
      <c r="C568" s="28"/>
      <c r="D568" s="28"/>
      <c r="E568" s="28"/>
      <c r="F568" s="28"/>
    </row>
    <row r="569" customFormat="false" ht="15" hidden="false" customHeight="false" outlineLevel="0" collapsed="false">
      <c r="A569" s="63"/>
      <c r="B569" s="28"/>
      <c r="C569" s="28"/>
      <c r="D569" s="28"/>
      <c r="E569" s="28"/>
      <c r="F569" s="28"/>
    </row>
    <row r="570" customFormat="false" ht="15" hidden="false" customHeight="false" outlineLevel="0" collapsed="false">
      <c r="A570" s="63"/>
      <c r="B570" s="28"/>
      <c r="C570" s="28"/>
      <c r="D570" s="28"/>
      <c r="E570" s="28"/>
      <c r="F570" s="28"/>
    </row>
    <row r="571" customFormat="false" ht="15" hidden="false" customHeight="false" outlineLevel="0" collapsed="false">
      <c r="A571" s="63"/>
      <c r="B571" s="28"/>
      <c r="C571" s="28"/>
      <c r="D571" s="28"/>
      <c r="E571" s="28"/>
      <c r="F571" s="28"/>
    </row>
    <row r="572" customFormat="false" ht="15" hidden="false" customHeight="false" outlineLevel="0" collapsed="false">
      <c r="A572" s="63"/>
      <c r="B572" s="28"/>
      <c r="C572" s="28"/>
      <c r="D572" s="28"/>
      <c r="E572" s="28"/>
      <c r="F572" s="28"/>
    </row>
    <row r="573" customFormat="false" ht="15" hidden="false" customHeight="false" outlineLevel="0" collapsed="false">
      <c r="A573" s="63"/>
      <c r="B573" s="28"/>
      <c r="C573" s="28"/>
      <c r="D573" s="28"/>
      <c r="E573" s="28"/>
      <c r="F573" s="28"/>
    </row>
    <row r="574" customFormat="false" ht="15" hidden="false" customHeight="false" outlineLevel="0" collapsed="false">
      <c r="A574" s="63"/>
      <c r="B574" s="28"/>
      <c r="C574" s="28"/>
      <c r="D574" s="28"/>
      <c r="E574" s="28"/>
      <c r="F574" s="28"/>
    </row>
    <row r="575" customFormat="false" ht="15" hidden="false" customHeight="false" outlineLevel="0" collapsed="false">
      <c r="A575" s="63"/>
      <c r="B575" s="28"/>
      <c r="C575" s="28"/>
      <c r="D575" s="28"/>
      <c r="E575" s="28"/>
      <c r="F575" s="28"/>
    </row>
    <row r="576" customFormat="false" ht="15" hidden="false" customHeight="false" outlineLevel="0" collapsed="false">
      <c r="A576" s="63"/>
      <c r="B576" s="28"/>
      <c r="C576" s="28"/>
      <c r="D576" s="28"/>
      <c r="E576" s="28"/>
      <c r="F576" s="28"/>
    </row>
    <row r="577" customFormat="false" ht="15" hidden="false" customHeight="false" outlineLevel="0" collapsed="false">
      <c r="A577" s="63"/>
      <c r="B577" s="28"/>
      <c r="C577" s="28"/>
      <c r="D577" s="28"/>
      <c r="E577" s="28"/>
      <c r="F577" s="28"/>
    </row>
    <row r="578" customFormat="false" ht="15" hidden="false" customHeight="false" outlineLevel="0" collapsed="false">
      <c r="A578" s="63"/>
      <c r="B578" s="28"/>
      <c r="C578" s="28"/>
      <c r="D578" s="28"/>
      <c r="E578" s="28"/>
      <c r="F578" s="28"/>
    </row>
    <row r="579" customFormat="false" ht="15" hidden="false" customHeight="false" outlineLevel="0" collapsed="false">
      <c r="A579" s="63"/>
      <c r="B579" s="28"/>
      <c r="C579" s="28"/>
      <c r="D579" s="28"/>
      <c r="E579" s="28"/>
      <c r="F579" s="28"/>
    </row>
    <row r="580" customFormat="false" ht="15" hidden="false" customHeight="false" outlineLevel="0" collapsed="false">
      <c r="A580" s="63"/>
      <c r="B580" s="28"/>
      <c r="C580" s="28"/>
      <c r="D580" s="28"/>
      <c r="E580" s="28"/>
      <c r="F580" s="28"/>
    </row>
    <row r="581" customFormat="false" ht="15" hidden="false" customHeight="false" outlineLevel="0" collapsed="false">
      <c r="A581" s="63"/>
      <c r="B581" s="28"/>
      <c r="C581" s="28"/>
      <c r="D581" s="28"/>
      <c r="E581" s="28"/>
      <c r="F581" s="28"/>
    </row>
    <row r="582" customFormat="false" ht="15" hidden="false" customHeight="false" outlineLevel="0" collapsed="false">
      <c r="A582" s="63"/>
      <c r="B582" s="28"/>
      <c r="C582" s="28"/>
      <c r="D582" s="28"/>
      <c r="E582" s="28"/>
      <c r="F582" s="28"/>
    </row>
    <row r="583" customFormat="false" ht="15" hidden="false" customHeight="false" outlineLevel="0" collapsed="false">
      <c r="A583" s="63"/>
      <c r="B583" s="28"/>
      <c r="C583" s="28"/>
      <c r="D583" s="28"/>
      <c r="E583" s="28"/>
      <c r="F583" s="28"/>
    </row>
    <row r="584" customFormat="false" ht="15" hidden="false" customHeight="false" outlineLevel="0" collapsed="false">
      <c r="A584" s="63"/>
      <c r="B584" s="28"/>
      <c r="C584" s="28"/>
      <c r="D584" s="28"/>
      <c r="E584" s="28"/>
      <c r="F584" s="28"/>
    </row>
    <row r="585" customFormat="false" ht="15" hidden="false" customHeight="false" outlineLevel="0" collapsed="false">
      <c r="A585" s="63"/>
      <c r="B585" s="28"/>
      <c r="C585" s="28"/>
      <c r="D585" s="28"/>
      <c r="E585" s="28"/>
      <c r="F585" s="28"/>
    </row>
    <row r="586" customFormat="false" ht="15" hidden="false" customHeight="false" outlineLevel="0" collapsed="false">
      <c r="A586" s="63"/>
      <c r="B586" s="28"/>
      <c r="C586" s="28"/>
      <c r="D586" s="28"/>
      <c r="E586" s="28"/>
      <c r="F586" s="28"/>
    </row>
    <row r="587" customFormat="false" ht="15" hidden="false" customHeight="false" outlineLevel="0" collapsed="false">
      <c r="A587" s="63"/>
      <c r="B587" s="28"/>
      <c r="C587" s="28"/>
      <c r="D587" s="28"/>
      <c r="E587" s="28"/>
      <c r="F587" s="28"/>
    </row>
    <row r="588" customFormat="false" ht="15" hidden="false" customHeight="false" outlineLevel="0" collapsed="false">
      <c r="A588" s="63"/>
      <c r="B588" s="28"/>
      <c r="C588" s="28"/>
      <c r="D588" s="28"/>
      <c r="E588" s="28"/>
      <c r="F588" s="28"/>
    </row>
    <row r="589" customFormat="false" ht="15" hidden="false" customHeight="false" outlineLevel="0" collapsed="false">
      <c r="A589" s="63"/>
      <c r="B589" s="28"/>
      <c r="C589" s="28"/>
      <c r="D589" s="28"/>
      <c r="E589" s="28"/>
      <c r="F589" s="28"/>
    </row>
    <row r="590" customFormat="false" ht="15" hidden="false" customHeight="false" outlineLevel="0" collapsed="false">
      <c r="A590" s="63"/>
      <c r="B590" s="28"/>
      <c r="C590" s="28"/>
      <c r="D590" s="28"/>
      <c r="E590" s="28"/>
      <c r="F590" s="28"/>
    </row>
    <row r="591" customFormat="false" ht="15" hidden="false" customHeight="false" outlineLevel="0" collapsed="false">
      <c r="A591" s="63"/>
      <c r="B591" s="28"/>
      <c r="C591" s="28"/>
      <c r="D591" s="28"/>
      <c r="E591" s="28"/>
      <c r="F591" s="28"/>
    </row>
    <row r="592" customFormat="false" ht="15" hidden="false" customHeight="false" outlineLevel="0" collapsed="false">
      <c r="A592" s="63"/>
      <c r="B592" s="28"/>
      <c r="C592" s="28"/>
      <c r="D592" s="28"/>
      <c r="E592" s="28"/>
      <c r="F592" s="28"/>
    </row>
    <row r="593" customFormat="false" ht="15" hidden="false" customHeight="false" outlineLevel="0" collapsed="false">
      <c r="A593" s="63"/>
      <c r="B593" s="28"/>
      <c r="C593" s="28"/>
      <c r="D593" s="28"/>
      <c r="E593" s="28"/>
      <c r="F593" s="28"/>
    </row>
    <row r="594" customFormat="false" ht="15" hidden="false" customHeight="false" outlineLevel="0" collapsed="false">
      <c r="A594" s="63"/>
      <c r="B594" s="28"/>
      <c r="C594" s="28"/>
      <c r="D594" s="28"/>
      <c r="E594" s="28"/>
      <c r="F594" s="28"/>
    </row>
    <row r="595" customFormat="false" ht="15" hidden="false" customHeight="false" outlineLevel="0" collapsed="false">
      <c r="A595" s="63"/>
      <c r="B595" s="28"/>
      <c r="C595" s="28"/>
      <c r="D595" s="28"/>
      <c r="E595" s="28"/>
      <c r="F595" s="28"/>
    </row>
    <row r="596" customFormat="false" ht="15" hidden="false" customHeight="false" outlineLevel="0" collapsed="false">
      <c r="A596" s="63"/>
      <c r="B596" s="28"/>
      <c r="C596" s="28"/>
      <c r="D596" s="28"/>
      <c r="E596" s="28"/>
      <c r="F596" s="28"/>
    </row>
    <row r="597" customFormat="false" ht="15" hidden="false" customHeight="false" outlineLevel="0" collapsed="false">
      <c r="A597" s="63"/>
      <c r="B597" s="28"/>
      <c r="C597" s="28"/>
      <c r="D597" s="28"/>
      <c r="E597" s="28"/>
      <c r="F597" s="28"/>
    </row>
    <row r="598" customFormat="false" ht="15" hidden="false" customHeight="false" outlineLevel="0" collapsed="false">
      <c r="A598" s="63"/>
      <c r="B598" s="28"/>
      <c r="C598" s="28"/>
      <c r="D598" s="28"/>
      <c r="E598" s="28"/>
      <c r="F598" s="28"/>
    </row>
    <row r="599" customFormat="false" ht="15" hidden="false" customHeight="false" outlineLevel="0" collapsed="false">
      <c r="A599" s="63"/>
      <c r="B599" s="28"/>
      <c r="C599" s="28"/>
      <c r="D599" s="28"/>
      <c r="E599" s="28"/>
      <c r="F599" s="28"/>
    </row>
    <row r="600" customFormat="false" ht="15" hidden="false" customHeight="false" outlineLevel="0" collapsed="false">
      <c r="A600" s="63"/>
      <c r="B600" s="28"/>
      <c r="C600" s="28"/>
      <c r="D600" s="28"/>
      <c r="E600" s="28"/>
      <c r="F600" s="28"/>
    </row>
    <row r="601" customFormat="false" ht="15" hidden="false" customHeight="false" outlineLevel="0" collapsed="false">
      <c r="A601" s="63"/>
      <c r="B601" s="28"/>
      <c r="C601" s="28"/>
      <c r="D601" s="28"/>
      <c r="E601" s="28"/>
      <c r="F601" s="28"/>
    </row>
    <row r="602" customFormat="false" ht="15" hidden="false" customHeight="false" outlineLevel="0" collapsed="false">
      <c r="A602" s="63"/>
      <c r="B602" s="28"/>
      <c r="C602" s="28"/>
      <c r="D602" s="28"/>
      <c r="E602" s="28"/>
      <c r="F602" s="28"/>
    </row>
    <row r="603" customFormat="false" ht="15" hidden="false" customHeight="false" outlineLevel="0" collapsed="false">
      <c r="A603" s="63"/>
      <c r="B603" s="28"/>
      <c r="C603" s="28"/>
      <c r="D603" s="28"/>
      <c r="E603" s="28"/>
      <c r="F603" s="28"/>
    </row>
    <row r="604" customFormat="false" ht="15" hidden="false" customHeight="false" outlineLevel="0" collapsed="false">
      <c r="A604" s="63"/>
      <c r="B604" s="28"/>
      <c r="C604" s="28"/>
      <c r="D604" s="28"/>
      <c r="E604" s="28"/>
      <c r="F604" s="28"/>
    </row>
    <row r="605" customFormat="false" ht="15" hidden="false" customHeight="false" outlineLevel="0" collapsed="false">
      <c r="A605" s="63"/>
      <c r="B605" s="28"/>
      <c r="C605" s="28"/>
      <c r="D605" s="28"/>
      <c r="E605" s="28"/>
      <c r="F605" s="28"/>
    </row>
    <row r="606" customFormat="false" ht="15" hidden="false" customHeight="false" outlineLevel="0" collapsed="false">
      <c r="A606" s="63"/>
      <c r="B606" s="28"/>
      <c r="C606" s="28"/>
      <c r="D606" s="28"/>
      <c r="E606" s="28"/>
      <c r="F606" s="28"/>
    </row>
    <row r="607" customFormat="false" ht="15" hidden="false" customHeight="false" outlineLevel="0" collapsed="false">
      <c r="A607" s="63"/>
      <c r="B607" s="28"/>
      <c r="C607" s="28"/>
      <c r="D607" s="28"/>
      <c r="E607" s="28"/>
      <c r="F607" s="28"/>
    </row>
    <row r="608" customFormat="false" ht="15" hidden="false" customHeight="false" outlineLevel="0" collapsed="false">
      <c r="A608" s="63"/>
      <c r="B608" s="28"/>
      <c r="C608" s="28"/>
      <c r="D608" s="28"/>
      <c r="E608" s="28"/>
      <c r="F608" s="28"/>
    </row>
    <row r="609" customFormat="false" ht="15" hidden="false" customHeight="false" outlineLevel="0" collapsed="false">
      <c r="A609" s="63"/>
      <c r="B609" s="28"/>
      <c r="C609" s="28"/>
      <c r="D609" s="28"/>
      <c r="E609" s="28"/>
      <c r="F609" s="28"/>
    </row>
    <row r="610" customFormat="false" ht="15" hidden="false" customHeight="false" outlineLevel="0" collapsed="false">
      <c r="A610" s="63"/>
      <c r="B610" s="28"/>
      <c r="C610" s="28"/>
      <c r="D610" s="28"/>
      <c r="E610" s="28"/>
      <c r="F610" s="28"/>
    </row>
    <row r="611" customFormat="false" ht="15" hidden="false" customHeight="false" outlineLevel="0" collapsed="false">
      <c r="A611" s="63"/>
      <c r="B611" s="28"/>
      <c r="C611" s="28"/>
      <c r="D611" s="28"/>
      <c r="E611" s="28"/>
      <c r="F611" s="28"/>
    </row>
    <row r="612" customFormat="false" ht="15" hidden="false" customHeight="false" outlineLevel="0" collapsed="false">
      <c r="A612" s="63"/>
      <c r="B612" s="28"/>
      <c r="C612" s="28"/>
      <c r="D612" s="28"/>
      <c r="E612" s="28"/>
      <c r="F612" s="28"/>
    </row>
    <row r="613" customFormat="false" ht="15" hidden="false" customHeight="false" outlineLevel="0" collapsed="false">
      <c r="A613" s="63"/>
      <c r="B613" s="28"/>
      <c r="C613" s="28"/>
      <c r="D613" s="28"/>
      <c r="E613" s="28"/>
      <c r="F613" s="28"/>
    </row>
    <row r="614" customFormat="false" ht="15" hidden="false" customHeight="false" outlineLevel="0" collapsed="false">
      <c r="A614" s="63"/>
      <c r="B614" s="28"/>
      <c r="C614" s="28"/>
      <c r="D614" s="28"/>
      <c r="E614" s="28"/>
      <c r="F614" s="28"/>
    </row>
    <row r="615" customFormat="false" ht="15" hidden="false" customHeight="false" outlineLevel="0" collapsed="false">
      <c r="A615" s="63"/>
      <c r="B615" s="28"/>
      <c r="C615" s="28"/>
      <c r="D615" s="28"/>
      <c r="E615" s="28"/>
      <c r="F615" s="28"/>
    </row>
    <row r="616" customFormat="false" ht="15" hidden="false" customHeight="false" outlineLevel="0" collapsed="false">
      <c r="A616" s="63"/>
      <c r="B616" s="28"/>
      <c r="C616" s="28"/>
      <c r="D616" s="28"/>
      <c r="E616" s="28"/>
      <c r="F616" s="28"/>
    </row>
    <row r="617" customFormat="false" ht="15" hidden="false" customHeight="false" outlineLevel="0" collapsed="false">
      <c r="A617" s="63"/>
      <c r="B617" s="28"/>
      <c r="C617" s="28"/>
      <c r="D617" s="28"/>
      <c r="E617" s="28"/>
      <c r="F617" s="28"/>
    </row>
    <row r="618" customFormat="false" ht="15" hidden="false" customHeight="false" outlineLevel="0" collapsed="false">
      <c r="A618" s="63"/>
      <c r="B618" s="28"/>
      <c r="C618" s="28"/>
      <c r="D618" s="28"/>
      <c r="E618" s="28"/>
      <c r="F618" s="28"/>
    </row>
    <row r="619" customFormat="false" ht="15" hidden="false" customHeight="false" outlineLevel="0" collapsed="false">
      <c r="A619" s="63"/>
      <c r="B619" s="28"/>
      <c r="C619" s="28"/>
      <c r="D619" s="28"/>
      <c r="E619" s="28"/>
      <c r="F619" s="28"/>
    </row>
    <row r="620" customFormat="false" ht="15" hidden="false" customHeight="false" outlineLevel="0" collapsed="false">
      <c r="A620" s="63"/>
      <c r="B620" s="28"/>
      <c r="C620" s="28"/>
      <c r="D620" s="28"/>
      <c r="E620" s="28"/>
      <c r="F620" s="28"/>
    </row>
    <row r="621" customFormat="false" ht="15" hidden="false" customHeight="false" outlineLevel="0" collapsed="false">
      <c r="A621" s="63"/>
      <c r="B621" s="28"/>
      <c r="C621" s="28"/>
      <c r="D621" s="28"/>
      <c r="E621" s="28"/>
      <c r="F621" s="28"/>
    </row>
    <row r="622" customFormat="false" ht="15" hidden="false" customHeight="false" outlineLevel="0" collapsed="false">
      <c r="A622" s="63"/>
      <c r="B622" s="28"/>
      <c r="C622" s="28"/>
      <c r="D622" s="28"/>
      <c r="E622" s="28"/>
      <c r="F622" s="28"/>
    </row>
    <row r="623" customFormat="false" ht="15" hidden="false" customHeight="false" outlineLevel="0" collapsed="false">
      <c r="A623" s="63"/>
      <c r="B623" s="28"/>
      <c r="C623" s="28"/>
      <c r="D623" s="28"/>
      <c r="E623" s="28"/>
      <c r="F623" s="28"/>
    </row>
    <row r="624" customFormat="false" ht="15" hidden="false" customHeight="false" outlineLevel="0" collapsed="false">
      <c r="A624" s="63"/>
      <c r="B624" s="28"/>
      <c r="C624" s="28"/>
      <c r="D624" s="28"/>
      <c r="E624" s="28"/>
      <c r="F624" s="28"/>
    </row>
    <row r="625" customFormat="false" ht="15" hidden="false" customHeight="false" outlineLevel="0" collapsed="false">
      <c r="A625" s="63"/>
      <c r="B625" s="28"/>
      <c r="C625" s="28"/>
      <c r="D625" s="28"/>
      <c r="E625" s="28"/>
      <c r="F625" s="28"/>
    </row>
    <row r="626" customFormat="false" ht="15" hidden="false" customHeight="false" outlineLevel="0" collapsed="false">
      <c r="A626" s="63"/>
      <c r="B626" s="28"/>
      <c r="C626" s="28"/>
      <c r="D626" s="28"/>
      <c r="E626" s="28"/>
      <c r="F626" s="28"/>
    </row>
    <row r="627" customFormat="false" ht="15" hidden="false" customHeight="false" outlineLevel="0" collapsed="false">
      <c r="A627" s="63"/>
      <c r="B627" s="28"/>
      <c r="C627" s="28"/>
      <c r="D627" s="28"/>
      <c r="E627" s="28"/>
      <c r="F627" s="28"/>
    </row>
    <row r="628" customFormat="false" ht="15" hidden="false" customHeight="false" outlineLevel="0" collapsed="false">
      <c r="A628" s="63"/>
      <c r="B628" s="28"/>
      <c r="C628" s="28"/>
      <c r="D628" s="28"/>
      <c r="E628" s="28"/>
      <c r="F628" s="28"/>
    </row>
    <row r="629" customFormat="false" ht="15" hidden="false" customHeight="false" outlineLevel="0" collapsed="false">
      <c r="A629" s="63"/>
      <c r="B629" s="28"/>
      <c r="C629" s="28"/>
      <c r="D629" s="28"/>
      <c r="E629" s="28"/>
      <c r="F629" s="28"/>
    </row>
    <row r="630" customFormat="false" ht="15" hidden="false" customHeight="false" outlineLevel="0" collapsed="false">
      <c r="A630" s="63"/>
      <c r="B630" s="28"/>
      <c r="C630" s="28"/>
      <c r="D630" s="28"/>
      <c r="E630" s="28"/>
      <c r="F630" s="28"/>
    </row>
    <row r="631" customFormat="false" ht="15" hidden="false" customHeight="false" outlineLevel="0" collapsed="false">
      <c r="A631" s="63"/>
      <c r="B631" s="28"/>
      <c r="C631" s="28"/>
      <c r="D631" s="28"/>
      <c r="E631" s="28"/>
      <c r="F631" s="28"/>
    </row>
    <row r="632" customFormat="false" ht="15" hidden="false" customHeight="false" outlineLevel="0" collapsed="false">
      <c r="A632" s="63"/>
      <c r="B632" s="28"/>
      <c r="C632" s="28"/>
      <c r="D632" s="28"/>
      <c r="E632" s="28"/>
      <c r="F632" s="28"/>
    </row>
    <row r="633" customFormat="false" ht="15" hidden="false" customHeight="false" outlineLevel="0" collapsed="false">
      <c r="A633" s="63"/>
      <c r="B633" s="28"/>
      <c r="C633" s="28"/>
      <c r="D633" s="28"/>
      <c r="E633" s="28"/>
      <c r="F633" s="28"/>
    </row>
    <row r="634" customFormat="false" ht="15" hidden="false" customHeight="false" outlineLevel="0" collapsed="false">
      <c r="A634" s="63"/>
      <c r="B634" s="28"/>
      <c r="C634" s="28"/>
      <c r="D634" s="28"/>
      <c r="E634" s="28"/>
      <c r="F634" s="28"/>
    </row>
    <row r="635" customFormat="false" ht="15" hidden="false" customHeight="false" outlineLevel="0" collapsed="false">
      <c r="A635" s="63"/>
      <c r="B635" s="28"/>
      <c r="C635" s="28"/>
      <c r="D635" s="28"/>
      <c r="E635" s="28"/>
      <c r="F635" s="28"/>
    </row>
    <row r="636" customFormat="false" ht="15" hidden="false" customHeight="false" outlineLevel="0" collapsed="false">
      <c r="A636" s="63"/>
      <c r="B636" s="28"/>
      <c r="C636" s="28"/>
      <c r="D636" s="28"/>
      <c r="E636" s="28"/>
      <c r="F636" s="28"/>
    </row>
    <row r="637" customFormat="false" ht="15" hidden="false" customHeight="false" outlineLevel="0" collapsed="false">
      <c r="A637" s="63"/>
      <c r="B637" s="28"/>
      <c r="C637" s="28"/>
      <c r="D637" s="28"/>
      <c r="E637" s="28"/>
      <c r="F637" s="28"/>
    </row>
    <row r="638" customFormat="false" ht="15" hidden="false" customHeight="false" outlineLevel="0" collapsed="false">
      <c r="A638" s="63"/>
      <c r="B638" s="28"/>
      <c r="C638" s="28"/>
      <c r="D638" s="28"/>
      <c r="E638" s="28"/>
      <c r="F638" s="28"/>
    </row>
    <row r="639" customFormat="false" ht="15" hidden="false" customHeight="false" outlineLevel="0" collapsed="false">
      <c r="A639" s="63"/>
      <c r="B639" s="28"/>
      <c r="C639" s="28"/>
      <c r="D639" s="28"/>
      <c r="E639" s="28"/>
      <c r="F639" s="28"/>
    </row>
    <row r="640" customFormat="false" ht="15" hidden="false" customHeight="false" outlineLevel="0" collapsed="false">
      <c r="A640" s="63"/>
      <c r="B640" s="28"/>
      <c r="C640" s="28"/>
      <c r="D640" s="28"/>
      <c r="E640" s="28"/>
      <c r="F640" s="28"/>
    </row>
    <row r="641" customFormat="false" ht="15" hidden="false" customHeight="false" outlineLevel="0" collapsed="false">
      <c r="A641" s="63"/>
      <c r="B641" s="28"/>
      <c r="C641" s="28"/>
      <c r="D641" s="28"/>
      <c r="E641" s="28"/>
      <c r="F641" s="28"/>
    </row>
    <row r="642" customFormat="false" ht="15" hidden="false" customHeight="false" outlineLevel="0" collapsed="false">
      <c r="A642" s="63"/>
      <c r="B642" s="28"/>
      <c r="C642" s="28"/>
      <c r="D642" s="28"/>
      <c r="E642" s="28"/>
      <c r="F642" s="28"/>
    </row>
    <row r="643" customFormat="false" ht="15" hidden="false" customHeight="false" outlineLevel="0" collapsed="false">
      <c r="A643" s="63"/>
      <c r="B643" s="28"/>
      <c r="C643" s="28"/>
      <c r="D643" s="28"/>
      <c r="E643" s="28"/>
      <c r="F643" s="28"/>
    </row>
    <row r="644" customFormat="false" ht="15" hidden="false" customHeight="false" outlineLevel="0" collapsed="false">
      <c r="A644" s="63"/>
      <c r="B644" s="28"/>
      <c r="C644" s="28"/>
      <c r="D644" s="28"/>
      <c r="E644" s="28"/>
      <c r="F644" s="28"/>
    </row>
    <row r="645" customFormat="false" ht="15" hidden="false" customHeight="false" outlineLevel="0" collapsed="false">
      <c r="A645" s="63"/>
      <c r="B645" s="28"/>
      <c r="C645" s="28"/>
      <c r="D645" s="28"/>
      <c r="E645" s="28"/>
      <c r="F645" s="28"/>
    </row>
    <row r="646" customFormat="false" ht="15" hidden="false" customHeight="false" outlineLevel="0" collapsed="false">
      <c r="A646" s="63"/>
      <c r="B646" s="28"/>
      <c r="C646" s="28"/>
      <c r="D646" s="28"/>
      <c r="E646" s="28"/>
      <c r="F646" s="28"/>
    </row>
    <row r="647" customFormat="false" ht="15" hidden="false" customHeight="false" outlineLevel="0" collapsed="false">
      <c r="A647" s="63"/>
      <c r="B647" s="28"/>
      <c r="C647" s="28"/>
      <c r="D647" s="28"/>
      <c r="E647" s="28"/>
      <c r="F647" s="28"/>
    </row>
    <row r="648" customFormat="false" ht="15" hidden="false" customHeight="false" outlineLevel="0" collapsed="false">
      <c r="A648" s="63"/>
      <c r="B648" s="28"/>
      <c r="C648" s="28"/>
      <c r="D648" s="28"/>
      <c r="E648" s="28"/>
      <c r="F648" s="28"/>
    </row>
    <row r="649" customFormat="false" ht="15" hidden="false" customHeight="false" outlineLevel="0" collapsed="false">
      <c r="A649" s="63"/>
      <c r="B649" s="28"/>
      <c r="C649" s="28"/>
      <c r="D649" s="28"/>
      <c r="E649" s="28"/>
      <c r="F649" s="28"/>
    </row>
    <row r="650" customFormat="false" ht="15" hidden="false" customHeight="false" outlineLevel="0" collapsed="false">
      <c r="A650" s="63"/>
      <c r="B650" s="28"/>
      <c r="C650" s="28"/>
      <c r="D650" s="28"/>
      <c r="E650" s="28"/>
      <c r="F650" s="28"/>
    </row>
    <row r="651" customFormat="false" ht="15" hidden="false" customHeight="false" outlineLevel="0" collapsed="false">
      <c r="A651" s="63"/>
      <c r="B651" s="28"/>
      <c r="C651" s="28"/>
      <c r="D651" s="28"/>
      <c r="E651" s="28"/>
      <c r="F651" s="28"/>
    </row>
    <row r="652" customFormat="false" ht="15" hidden="false" customHeight="false" outlineLevel="0" collapsed="false">
      <c r="A652" s="63"/>
      <c r="B652" s="28"/>
      <c r="C652" s="28"/>
      <c r="D652" s="28"/>
      <c r="E652" s="28"/>
      <c r="F652" s="28"/>
    </row>
    <row r="653" customFormat="false" ht="15" hidden="false" customHeight="false" outlineLevel="0" collapsed="false">
      <c r="A653" s="63"/>
      <c r="B653" s="28"/>
      <c r="C653" s="28"/>
      <c r="D653" s="28"/>
      <c r="E653" s="28"/>
      <c r="F653" s="28"/>
    </row>
    <row r="654" customFormat="false" ht="15" hidden="false" customHeight="false" outlineLevel="0" collapsed="false">
      <c r="A654" s="63"/>
      <c r="B654" s="28"/>
      <c r="C654" s="28"/>
      <c r="D654" s="28"/>
      <c r="E654" s="28"/>
      <c r="F654" s="28"/>
    </row>
    <row r="655" customFormat="false" ht="15" hidden="false" customHeight="false" outlineLevel="0" collapsed="false">
      <c r="A655" s="63"/>
      <c r="B655" s="28"/>
      <c r="C655" s="28"/>
      <c r="D655" s="28"/>
      <c r="E655" s="28"/>
      <c r="F655" s="28"/>
    </row>
    <row r="656" customFormat="false" ht="15" hidden="false" customHeight="false" outlineLevel="0" collapsed="false">
      <c r="A656" s="63"/>
      <c r="B656" s="28"/>
      <c r="C656" s="28"/>
      <c r="D656" s="28"/>
      <c r="E656" s="28"/>
      <c r="F656" s="28"/>
    </row>
    <row r="657" customFormat="false" ht="15" hidden="false" customHeight="false" outlineLevel="0" collapsed="false">
      <c r="A657" s="63"/>
      <c r="B657" s="28"/>
      <c r="C657" s="28"/>
      <c r="D657" s="28"/>
      <c r="E657" s="28"/>
      <c r="F657" s="28"/>
    </row>
    <row r="658" customFormat="false" ht="15" hidden="false" customHeight="false" outlineLevel="0" collapsed="false">
      <c r="A658" s="63"/>
      <c r="B658" s="28"/>
      <c r="C658" s="28"/>
      <c r="D658" s="28"/>
      <c r="E658" s="28"/>
      <c r="F658" s="28"/>
    </row>
    <row r="659" customFormat="false" ht="15" hidden="false" customHeight="false" outlineLevel="0" collapsed="false">
      <c r="A659" s="63"/>
      <c r="B659" s="28"/>
      <c r="C659" s="28"/>
      <c r="D659" s="28"/>
      <c r="E659" s="28"/>
      <c r="F659" s="28"/>
    </row>
    <row r="660" customFormat="false" ht="15" hidden="false" customHeight="false" outlineLevel="0" collapsed="false">
      <c r="A660" s="63"/>
      <c r="B660" s="28"/>
      <c r="C660" s="28"/>
      <c r="D660" s="28"/>
      <c r="E660" s="28"/>
      <c r="F660" s="28"/>
    </row>
    <row r="661" customFormat="false" ht="15" hidden="false" customHeight="false" outlineLevel="0" collapsed="false">
      <c r="A661" s="63"/>
      <c r="B661" s="28"/>
      <c r="C661" s="28"/>
      <c r="D661" s="28"/>
      <c r="E661" s="28"/>
      <c r="F661" s="28"/>
    </row>
    <row r="662" customFormat="false" ht="15" hidden="false" customHeight="false" outlineLevel="0" collapsed="false">
      <c r="A662" s="63"/>
      <c r="B662" s="28"/>
      <c r="C662" s="28"/>
      <c r="D662" s="28"/>
      <c r="E662" s="28"/>
      <c r="F662" s="28"/>
    </row>
    <row r="663" customFormat="false" ht="15" hidden="false" customHeight="false" outlineLevel="0" collapsed="false">
      <c r="A663" s="63"/>
      <c r="B663" s="28"/>
      <c r="C663" s="28"/>
      <c r="D663" s="28"/>
      <c r="E663" s="28"/>
      <c r="F663" s="28"/>
    </row>
    <row r="664" customFormat="false" ht="15" hidden="false" customHeight="false" outlineLevel="0" collapsed="false">
      <c r="A664" s="63"/>
      <c r="B664" s="28"/>
      <c r="C664" s="28"/>
      <c r="D664" s="28"/>
      <c r="E664" s="28"/>
      <c r="F664" s="28"/>
    </row>
    <row r="665" customFormat="false" ht="15" hidden="false" customHeight="false" outlineLevel="0" collapsed="false">
      <c r="A665" s="63"/>
      <c r="B665" s="28"/>
      <c r="C665" s="28"/>
      <c r="D665" s="28"/>
      <c r="E665" s="28"/>
      <c r="F665" s="28"/>
    </row>
    <row r="666" customFormat="false" ht="15" hidden="false" customHeight="false" outlineLevel="0" collapsed="false">
      <c r="A666" s="63"/>
      <c r="B666" s="28"/>
      <c r="C666" s="28"/>
      <c r="D666" s="28"/>
      <c r="E666" s="28"/>
      <c r="F666" s="28"/>
    </row>
    <row r="667" customFormat="false" ht="15" hidden="false" customHeight="false" outlineLevel="0" collapsed="false">
      <c r="A667" s="63"/>
      <c r="B667" s="28"/>
      <c r="C667" s="28"/>
      <c r="D667" s="28"/>
      <c r="E667" s="28"/>
      <c r="F667" s="28"/>
    </row>
    <row r="668" customFormat="false" ht="15" hidden="false" customHeight="false" outlineLevel="0" collapsed="false">
      <c r="A668" s="63"/>
      <c r="B668" s="28"/>
      <c r="C668" s="28"/>
      <c r="D668" s="28"/>
      <c r="E668" s="28"/>
      <c r="F668" s="28"/>
    </row>
    <row r="669" customFormat="false" ht="15" hidden="false" customHeight="false" outlineLevel="0" collapsed="false">
      <c r="A669" s="63"/>
      <c r="B669" s="28"/>
      <c r="C669" s="28"/>
      <c r="D669" s="28"/>
      <c r="E669" s="28"/>
      <c r="F669" s="28"/>
    </row>
    <row r="670" customFormat="false" ht="15" hidden="false" customHeight="false" outlineLevel="0" collapsed="false">
      <c r="A670" s="63"/>
      <c r="B670" s="28"/>
      <c r="C670" s="28"/>
      <c r="D670" s="28"/>
      <c r="E670" s="28"/>
      <c r="F670" s="28"/>
    </row>
    <row r="671" customFormat="false" ht="15" hidden="false" customHeight="false" outlineLevel="0" collapsed="false">
      <c r="A671" s="63"/>
      <c r="B671" s="28"/>
      <c r="C671" s="28"/>
      <c r="D671" s="28"/>
      <c r="E671" s="28"/>
      <c r="F671" s="28"/>
    </row>
    <row r="672" customFormat="false" ht="15" hidden="false" customHeight="false" outlineLevel="0" collapsed="false">
      <c r="A672" s="63"/>
      <c r="B672" s="28"/>
      <c r="C672" s="28"/>
      <c r="D672" s="28"/>
      <c r="E672" s="28"/>
      <c r="F672" s="28"/>
    </row>
    <row r="673" customFormat="false" ht="15" hidden="false" customHeight="false" outlineLevel="0" collapsed="false">
      <c r="A673" s="63"/>
      <c r="B673" s="28"/>
      <c r="C673" s="28"/>
      <c r="D673" s="28"/>
      <c r="E673" s="28"/>
      <c r="F673" s="28"/>
    </row>
    <row r="674" customFormat="false" ht="15" hidden="false" customHeight="false" outlineLevel="0" collapsed="false">
      <c r="A674" s="63"/>
      <c r="B674" s="28"/>
      <c r="C674" s="28"/>
      <c r="D674" s="28"/>
      <c r="E674" s="28"/>
      <c r="F674" s="28"/>
    </row>
    <row r="675" customFormat="false" ht="15" hidden="false" customHeight="false" outlineLevel="0" collapsed="false">
      <c r="A675" s="63"/>
      <c r="B675" s="28"/>
      <c r="C675" s="28"/>
      <c r="D675" s="28"/>
      <c r="E675" s="28"/>
      <c r="F675" s="28"/>
    </row>
    <row r="676" customFormat="false" ht="15" hidden="false" customHeight="false" outlineLevel="0" collapsed="false">
      <c r="A676" s="63"/>
      <c r="B676" s="28"/>
      <c r="C676" s="28"/>
      <c r="D676" s="28"/>
      <c r="E676" s="28"/>
      <c r="F676" s="28"/>
    </row>
    <row r="677" customFormat="false" ht="15" hidden="false" customHeight="false" outlineLevel="0" collapsed="false">
      <c r="A677" s="63"/>
      <c r="B677" s="28"/>
      <c r="C677" s="28"/>
      <c r="D677" s="28"/>
      <c r="E677" s="28"/>
      <c r="F677" s="28"/>
    </row>
    <row r="678" customFormat="false" ht="15" hidden="false" customHeight="false" outlineLevel="0" collapsed="false">
      <c r="A678" s="63"/>
      <c r="B678" s="28"/>
      <c r="C678" s="28"/>
      <c r="D678" s="28"/>
      <c r="E678" s="28"/>
      <c r="F678" s="28"/>
    </row>
    <row r="679" customFormat="false" ht="15" hidden="false" customHeight="false" outlineLevel="0" collapsed="false">
      <c r="A679" s="63"/>
      <c r="B679" s="28"/>
      <c r="C679" s="28"/>
      <c r="D679" s="28"/>
      <c r="E679" s="28"/>
      <c r="F679" s="28"/>
    </row>
    <row r="680" customFormat="false" ht="15" hidden="false" customHeight="false" outlineLevel="0" collapsed="false">
      <c r="A680" s="63"/>
      <c r="B680" s="28"/>
      <c r="C680" s="28"/>
      <c r="D680" s="28"/>
      <c r="E680" s="28"/>
      <c r="F680" s="28"/>
    </row>
    <row r="681" customFormat="false" ht="15" hidden="false" customHeight="false" outlineLevel="0" collapsed="false">
      <c r="A681" s="63"/>
      <c r="B681" s="28"/>
      <c r="C681" s="28"/>
      <c r="D681" s="28"/>
      <c r="E681" s="28"/>
      <c r="F681" s="28"/>
    </row>
    <row r="682" customFormat="false" ht="15" hidden="false" customHeight="false" outlineLevel="0" collapsed="false">
      <c r="A682" s="63"/>
      <c r="B682" s="28"/>
      <c r="C682" s="28"/>
      <c r="D682" s="28"/>
      <c r="E682" s="28"/>
      <c r="F682" s="28"/>
    </row>
    <row r="683" customFormat="false" ht="15" hidden="false" customHeight="false" outlineLevel="0" collapsed="false">
      <c r="A683" s="63"/>
      <c r="B683" s="28"/>
      <c r="C683" s="28"/>
      <c r="D683" s="28"/>
      <c r="E683" s="28"/>
      <c r="F683" s="28"/>
    </row>
    <row r="684" customFormat="false" ht="15" hidden="false" customHeight="false" outlineLevel="0" collapsed="false">
      <c r="A684" s="63"/>
      <c r="B684" s="28"/>
      <c r="C684" s="28"/>
      <c r="D684" s="28"/>
      <c r="E684" s="28"/>
      <c r="F684" s="28"/>
    </row>
    <row r="685" customFormat="false" ht="15" hidden="false" customHeight="false" outlineLevel="0" collapsed="false">
      <c r="A685" s="63"/>
      <c r="B685" s="28"/>
      <c r="C685" s="28"/>
      <c r="D685" s="28"/>
      <c r="E685" s="28"/>
      <c r="F685" s="28"/>
    </row>
    <row r="686" customFormat="false" ht="15" hidden="false" customHeight="false" outlineLevel="0" collapsed="false">
      <c r="A686" s="63"/>
      <c r="B686" s="28"/>
      <c r="C686" s="28"/>
      <c r="D686" s="28"/>
      <c r="E686" s="28"/>
      <c r="F686" s="28"/>
    </row>
    <row r="687" customFormat="false" ht="15" hidden="false" customHeight="false" outlineLevel="0" collapsed="false">
      <c r="A687" s="63"/>
      <c r="B687" s="28"/>
      <c r="C687" s="28"/>
      <c r="D687" s="28"/>
      <c r="E687" s="28"/>
      <c r="F687" s="28"/>
    </row>
    <row r="688" customFormat="false" ht="15" hidden="false" customHeight="false" outlineLevel="0" collapsed="false">
      <c r="A688" s="63"/>
      <c r="B688" s="28"/>
      <c r="C688" s="28"/>
      <c r="D688" s="28"/>
      <c r="E688" s="28"/>
      <c r="F688" s="28"/>
    </row>
    <row r="689" customFormat="false" ht="15" hidden="false" customHeight="false" outlineLevel="0" collapsed="false">
      <c r="A689" s="63"/>
      <c r="B689" s="28"/>
      <c r="C689" s="28"/>
      <c r="D689" s="28"/>
      <c r="E689" s="28"/>
      <c r="F689" s="28"/>
    </row>
    <row r="690" customFormat="false" ht="15" hidden="false" customHeight="false" outlineLevel="0" collapsed="false">
      <c r="A690" s="63"/>
      <c r="B690" s="28"/>
      <c r="C690" s="28"/>
      <c r="D690" s="28"/>
      <c r="E690" s="28"/>
      <c r="F690" s="28"/>
    </row>
    <row r="691" customFormat="false" ht="15" hidden="false" customHeight="false" outlineLevel="0" collapsed="false">
      <c r="A691" s="63"/>
      <c r="B691" s="28"/>
      <c r="C691" s="28"/>
      <c r="D691" s="28"/>
      <c r="E691" s="28"/>
      <c r="F691" s="28"/>
    </row>
    <row r="692" customFormat="false" ht="15" hidden="false" customHeight="false" outlineLevel="0" collapsed="false">
      <c r="A692" s="63"/>
      <c r="B692" s="28"/>
      <c r="C692" s="28"/>
      <c r="D692" s="28"/>
      <c r="E692" s="28"/>
      <c r="F692" s="28"/>
    </row>
    <row r="693" customFormat="false" ht="15" hidden="false" customHeight="false" outlineLevel="0" collapsed="false">
      <c r="A693" s="63"/>
      <c r="B693" s="28"/>
      <c r="C693" s="28"/>
      <c r="D693" s="28"/>
      <c r="E693" s="28"/>
      <c r="F693" s="28"/>
    </row>
    <row r="694" customFormat="false" ht="15" hidden="false" customHeight="false" outlineLevel="0" collapsed="false">
      <c r="A694" s="63"/>
      <c r="B694" s="28"/>
      <c r="C694" s="28"/>
      <c r="D694" s="28"/>
      <c r="E694" s="28"/>
      <c r="F694" s="28"/>
    </row>
    <row r="695" customFormat="false" ht="15" hidden="false" customHeight="false" outlineLevel="0" collapsed="false">
      <c r="A695" s="63"/>
      <c r="B695" s="28"/>
      <c r="C695" s="28"/>
      <c r="D695" s="28"/>
      <c r="E695" s="28"/>
      <c r="F695" s="28"/>
    </row>
    <row r="696" customFormat="false" ht="15" hidden="false" customHeight="false" outlineLevel="0" collapsed="false">
      <c r="A696" s="63"/>
      <c r="B696" s="28"/>
      <c r="C696" s="28"/>
      <c r="D696" s="28"/>
      <c r="E696" s="28"/>
      <c r="F696" s="28"/>
    </row>
    <row r="697" customFormat="false" ht="15" hidden="false" customHeight="false" outlineLevel="0" collapsed="false">
      <c r="A697" s="63"/>
      <c r="B697" s="28"/>
      <c r="C697" s="28"/>
      <c r="D697" s="28"/>
      <c r="E697" s="28"/>
      <c r="F697" s="28"/>
    </row>
    <row r="698" customFormat="false" ht="15" hidden="false" customHeight="false" outlineLevel="0" collapsed="false">
      <c r="A698" s="63"/>
      <c r="B698" s="28"/>
      <c r="C698" s="28"/>
      <c r="D698" s="28"/>
      <c r="E698" s="28"/>
      <c r="F698" s="28"/>
    </row>
    <row r="699" customFormat="false" ht="15" hidden="false" customHeight="false" outlineLevel="0" collapsed="false">
      <c r="A699" s="63"/>
      <c r="B699" s="28"/>
      <c r="C699" s="28"/>
      <c r="D699" s="28"/>
      <c r="E699" s="28"/>
      <c r="F699" s="28"/>
    </row>
    <row r="700" customFormat="false" ht="15" hidden="false" customHeight="false" outlineLevel="0" collapsed="false">
      <c r="A700" s="63"/>
      <c r="B700" s="28"/>
      <c r="C700" s="28"/>
      <c r="D700" s="28"/>
      <c r="E700" s="28"/>
      <c r="F700" s="28"/>
    </row>
    <row r="701" customFormat="false" ht="15" hidden="false" customHeight="false" outlineLevel="0" collapsed="false">
      <c r="A701" s="63"/>
      <c r="B701" s="28"/>
      <c r="C701" s="28"/>
      <c r="D701" s="28"/>
      <c r="E701" s="28"/>
      <c r="F701" s="28"/>
    </row>
    <row r="702" customFormat="false" ht="15" hidden="false" customHeight="false" outlineLevel="0" collapsed="false">
      <c r="A702" s="63"/>
      <c r="B702" s="28"/>
      <c r="C702" s="28"/>
      <c r="D702" s="28"/>
      <c r="E702" s="28"/>
      <c r="F702" s="28"/>
    </row>
    <row r="703" customFormat="false" ht="15" hidden="false" customHeight="false" outlineLevel="0" collapsed="false">
      <c r="A703" s="63"/>
      <c r="B703" s="28"/>
      <c r="C703" s="28"/>
      <c r="D703" s="28"/>
      <c r="E703" s="28"/>
      <c r="F703" s="28"/>
    </row>
    <row r="704" customFormat="false" ht="15" hidden="false" customHeight="false" outlineLevel="0" collapsed="false">
      <c r="A704" s="63"/>
      <c r="B704" s="28"/>
      <c r="C704" s="28"/>
      <c r="D704" s="28"/>
      <c r="E704" s="28"/>
      <c r="F704" s="28"/>
    </row>
    <row r="705" customFormat="false" ht="15" hidden="false" customHeight="false" outlineLevel="0" collapsed="false">
      <c r="A705" s="63"/>
      <c r="B705" s="28"/>
      <c r="C705" s="28"/>
      <c r="D705" s="28"/>
      <c r="E705" s="28"/>
      <c r="F705" s="28"/>
    </row>
    <row r="706" customFormat="false" ht="15" hidden="false" customHeight="false" outlineLevel="0" collapsed="false">
      <c r="A706" s="63"/>
      <c r="B706" s="28"/>
      <c r="C706" s="28"/>
      <c r="D706" s="28"/>
      <c r="E706" s="28"/>
      <c r="F706" s="28"/>
    </row>
    <row r="707" customFormat="false" ht="15" hidden="false" customHeight="false" outlineLevel="0" collapsed="false">
      <c r="A707" s="63"/>
      <c r="B707" s="28"/>
      <c r="C707" s="28"/>
      <c r="D707" s="28"/>
      <c r="E707" s="28"/>
      <c r="F707" s="28"/>
    </row>
    <row r="708" customFormat="false" ht="15" hidden="false" customHeight="false" outlineLevel="0" collapsed="false">
      <c r="A708" s="63"/>
      <c r="B708" s="28"/>
      <c r="C708" s="28"/>
      <c r="D708" s="28"/>
      <c r="E708" s="28"/>
      <c r="F708" s="28"/>
    </row>
    <row r="709" customFormat="false" ht="15" hidden="false" customHeight="false" outlineLevel="0" collapsed="false">
      <c r="A709" s="63"/>
      <c r="B709" s="28"/>
      <c r="C709" s="28"/>
      <c r="D709" s="28"/>
      <c r="E709" s="28"/>
      <c r="F709" s="28"/>
    </row>
    <row r="710" customFormat="false" ht="15" hidden="false" customHeight="false" outlineLevel="0" collapsed="false">
      <c r="A710" s="63"/>
      <c r="B710" s="28"/>
      <c r="C710" s="28"/>
      <c r="D710" s="28"/>
      <c r="E710" s="28"/>
      <c r="F710" s="28"/>
    </row>
    <row r="711" customFormat="false" ht="15" hidden="false" customHeight="false" outlineLevel="0" collapsed="false">
      <c r="A711" s="63"/>
      <c r="B711" s="28"/>
      <c r="C711" s="28"/>
      <c r="D711" s="28"/>
      <c r="E711" s="28"/>
      <c r="F711" s="28"/>
    </row>
    <row r="712" customFormat="false" ht="15" hidden="false" customHeight="false" outlineLevel="0" collapsed="false">
      <c r="A712" s="63"/>
      <c r="B712" s="28"/>
      <c r="C712" s="28"/>
      <c r="D712" s="28"/>
      <c r="E712" s="28"/>
      <c r="F712" s="28"/>
    </row>
    <row r="713" customFormat="false" ht="15" hidden="false" customHeight="false" outlineLevel="0" collapsed="false">
      <c r="A713" s="63"/>
      <c r="B713" s="28"/>
      <c r="C713" s="28"/>
      <c r="D713" s="28"/>
      <c r="E713" s="28"/>
      <c r="F713" s="28"/>
    </row>
    <row r="714" customFormat="false" ht="15" hidden="false" customHeight="false" outlineLevel="0" collapsed="false">
      <c r="A714" s="63"/>
      <c r="B714" s="28"/>
      <c r="C714" s="28"/>
      <c r="D714" s="28"/>
      <c r="E714" s="28"/>
      <c r="F714" s="28"/>
    </row>
    <row r="715" customFormat="false" ht="15" hidden="false" customHeight="false" outlineLevel="0" collapsed="false">
      <c r="A715" s="63"/>
      <c r="B715" s="28"/>
      <c r="C715" s="28"/>
      <c r="D715" s="28"/>
      <c r="E715" s="28"/>
      <c r="F715" s="28"/>
    </row>
    <row r="716" customFormat="false" ht="15" hidden="false" customHeight="false" outlineLevel="0" collapsed="false">
      <c r="A716" s="63"/>
      <c r="B716" s="28"/>
      <c r="C716" s="28"/>
      <c r="D716" s="28"/>
      <c r="E716" s="28"/>
      <c r="F716" s="28"/>
    </row>
    <row r="717" customFormat="false" ht="15" hidden="false" customHeight="false" outlineLevel="0" collapsed="false">
      <c r="A717" s="63"/>
      <c r="B717" s="28"/>
      <c r="C717" s="28"/>
      <c r="D717" s="28"/>
      <c r="E717" s="28"/>
      <c r="F717" s="28"/>
    </row>
    <row r="718" customFormat="false" ht="15" hidden="false" customHeight="false" outlineLevel="0" collapsed="false">
      <c r="A718" s="63"/>
      <c r="B718" s="28"/>
      <c r="C718" s="28"/>
      <c r="D718" s="28"/>
      <c r="E718" s="28"/>
      <c r="F718" s="28"/>
    </row>
    <row r="719" customFormat="false" ht="15" hidden="false" customHeight="false" outlineLevel="0" collapsed="false">
      <c r="A719" s="63"/>
      <c r="B719" s="28"/>
      <c r="C719" s="28"/>
      <c r="D719" s="28"/>
      <c r="E719" s="28"/>
      <c r="F719" s="28"/>
    </row>
    <row r="720" customFormat="false" ht="15" hidden="false" customHeight="false" outlineLevel="0" collapsed="false">
      <c r="A720" s="63"/>
      <c r="B720" s="28"/>
      <c r="C720" s="28"/>
      <c r="D720" s="28"/>
      <c r="E720" s="28"/>
      <c r="F720" s="28"/>
    </row>
    <row r="721" customFormat="false" ht="15" hidden="false" customHeight="false" outlineLevel="0" collapsed="false">
      <c r="A721" s="63"/>
      <c r="B721" s="28"/>
      <c r="C721" s="28"/>
      <c r="D721" s="28"/>
      <c r="E721" s="28"/>
      <c r="F721" s="28"/>
    </row>
    <row r="722" customFormat="false" ht="15" hidden="false" customHeight="false" outlineLevel="0" collapsed="false">
      <c r="A722" s="63"/>
      <c r="B722" s="28"/>
      <c r="C722" s="28"/>
      <c r="D722" s="28"/>
      <c r="E722" s="28"/>
      <c r="F722" s="28"/>
    </row>
    <row r="723" customFormat="false" ht="15" hidden="false" customHeight="false" outlineLevel="0" collapsed="false">
      <c r="A723" s="63"/>
      <c r="B723" s="28"/>
      <c r="C723" s="28"/>
      <c r="D723" s="28"/>
      <c r="E723" s="28"/>
      <c r="F723" s="28"/>
    </row>
    <row r="724" customFormat="false" ht="15" hidden="false" customHeight="false" outlineLevel="0" collapsed="false">
      <c r="A724" s="63"/>
      <c r="B724" s="28"/>
      <c r="C724" s="28"/>
      <c r="D724" s="28"/>
      <c r="E724" s="28"/>
      <c r="F724" s="28"/>
    </row>
    <row r="725" customFormat="false" ht="15" hidden="false" customHeight="false" outlineLevel="0" collapsed="false">
      <c r="A725" s="63"/>
      <c r="B725" s="28"/>
      <c r="C725" s="28"/>
      <c r="D725" s="28"/>
      <c r="E725" s="28"/>
      <c r="F725" s="28"/>
    </row>
    <row r="726" customFormat="false" ht="15" hidden="false" customHeight="false" outlineLevel="0" collapsed="false">
      <c r="A726" s="63"/>
      <c r="B726" s="28"/>
      <c r="C726" s="28"/>
      <c r="D726" s="28"/>
      <c r="E726" s="28"/>
      <c r="F726" s="28"/>
    </row>
    <row r="727" customFormat="false" ht="15" hidden="false" customHeight="false" outlineLevel="0" collapsed="false">
      <c r="A727" s="63"/>
      <c r="B727" s="28"/>
      <c r="C727" s="28"/>
      <c r="D727" s="28"/>
      <c r="E727" s="28"/>
      <c r="F727" s="28"/>
    </row>
    <row r="728" customFormat="false" ht="15" hidden="false" customHeight="false" outlineLevel="0" collapsed="false">
      <c r="A728" s="63"/>
      <c r="B728" s="28"/>
      <c r="C728" s="28"/>
      <c r="D728" s="28"/>
      <c r="E728" s="28"/>
      <c r="F728" s="28"/>
    </row>
    <row r="729" customFormat="false" ht="15" hidden="false" customHeight="false" outlineLevel="0" collapsed="false">
      <c r="A729" s="63"/>
      <c r="B729" s="28"/>
      <c r="C729" s="28"/>
      <c r="D729" s="28"/>
      <c r="E729" s="28"/>
      <c r="F729" s="28"/>
    </row>
    <row r="730" customFormat="false" ht="15" hidden="false" customHeight="false" outlineLevel="0" collapsed="false">
      <c r="A730" s="63"/>
      <c r="B730" s="28"/>
      <c r="C730" s="28"/>
      <c r="D730" s="28"/>
      <c r="E730" s="28"/>
      <c r="F730" s="28"/>
    </row>
    <row r="731" customFormat="false" ht="15" hidden="false" customHeight="false" outlineLevel="0" collapsed="false">
      <c r="A731" s="63"/>
      <c r="B731" s="28"/>
      <c r="C731" s="28"/>
      <c r="D731" s="28"/>
      <c r="E731" s="28"/>
      <c r="F731" s="28"/>
    </row>
    <row r="732" customFormat="false" ht="15" hidden="false" customHeight="false" outlineLevel="0" collapsed="false">
      <c r="A732" s="63"/>
      <c r="B732" s="28"/>
      <c r="C732" s="28"/>
      <c r="D732" s="28"/>
      <c r="E732" s="28"/>
      <c r="F732" s="28"/>
    </row>
    <row r="733" customFormat="false" ht="15" hidden="false" customHeight="false" outlineLevel="0" collapsed="false">
      <c r="A733" s="63"/>
      <c r="B733" s="28"/>
      <c r="C733" s="28"/>
      <c r="D733" s="28"/>
      <c r="E733" s="28"/>
      <c r="F733" s="28"/>
    </row>
    <row r="734" customFormat="false" ht="15" hidden="false" customHeight="false" outlineLevel="0" collapsed="false">
      <c r="A734" s="63"/>
      <c r="B734" s="28"/>
      <c r="C734" s="28"/>
      <c r="D734" s="28"/>
      <c r="E734" s="28"/>
      <c r="F734" s="28"/>
    </row>
    <row r="735" customFormat="false" ht="15" hidden="false" customHeight="false" outlineLevel="0" collapsed="false">
      <c r="A735" s="63"/>
      <c r="B735" s="28"/>
      <c r="C735" s="28"/>
      <c r="D735" s="28"/>
      <c r="E735" s="28"/>
      <c r="F735" s="28"/>
    </row>
    <row r="736" customFormat="false" ht="15" hidden="false" customHeight="false" outlineLevel="0" collapsed="false">
      <c r="A736" s="63"/>
      <c r="B736" s="28"/>
      <c r="C736" s="28"/>
      <c r="D736" s="28"/>
      <c r="E736" s="28"/>
      <c r="F736" s="28"/>
    </row>
    <row r="737" customFormat="false" ht="15" hidden="false" customHeight="false" outlineLevel="0" collapsed="false">
      <c r="A737" s="63"/>
      <c r="B737" s="28"/>
      <c r="C737" s="28"/>
      <c r="D737" s="28"/>
      <c r="E737" s="28"/>
      <c r="F737" s="28"/>
    </row>
    <row r="738" customFormat="false" ht="15" hidden="false" customHeight="false" outlineLevel="0" collapsed="false">
      <c r="A738" s="63"/>
      <c r="B738" s="28"/>
      <c r="C738" s="28"/>
      <c r="D738" s="28"/>
      <c r="E738" s="28"/>
      <c r="F738" s="28"/>
    </row>
    <row r="739" customFormat="false" ht="15" hidden="false" customHeight="false" outlineLevel="0" collapsed="false">
      <c r="A739" s="63"/>
      <c r="B739" s="28"/>
      <c r="C739" s="28"/>
      <c r="D739" s="28"/>
      <c r="E739" s="28"/>
      <c r="F739" s="28"/>
    </row>
    <row r="740" customFormat="false" ht="15" hidden="false" customHeight="false" outlineLevel="0" collapsed="false">
      <c r="A740" s="63"/>
      <c r="B740" s="28"/>
      <c r="C740" s="28"/>
      <c r="D740" s="28"/>
      <c r="E740" s="28"/>
      <c r="F740" s="28"/>
    </row>
    <row r="741" customFormat="false" ht="15" hidden="false" customHeight="false" outlineLevel="0" collapsed="false">
      <c r="A741" s="63"/>
      <c r="B741" s="28"/>
      <c r="C741" s="28"/>
      <c r="D741" s="28"/>
      <c r="E741" s="28"/>
      <c r="F741" s="28"/>
    </row>
    <row r="742" customFormat="false" ht="15" hidden="false" customHeight="false" outlineLevel="0" collapsed="false">
      <c r="A742" s="63"/>
      <c r="B742" s="28"/>
      <c r="C742" s="28"/>
      <c r="D742" s="28"/>
      <c r="E742" s="28"/>
      <c r="F742" s="28"/>
    </row>
    <row r="743" customFormat="false" ht="15" hidden="false" customHeight="false" outlineLevel="0" collapsed="false">
      <c r="A743" s="63"/>
      <c r="B743" s="28"/>
      <c r="C743" s="28"/>
      <c r="D743" s="28"/>
      <c r="E743" s="28"/>
      <c r="F743" s="28"/>
    </row>
    <row r="744" customFormat="false" ht="15" hidden="false" customHeight="false" outlineLevel="0" collapsed="false">
      <c r="A744" s="63"/>
      <c r="B744" s="28"/>
      <c r="C744" s="28"/>
      <c r="D744" s="28"/>
      <c r="E744" s="28"/>
      <c r="F744" s="28"/>
    </row>
    <row r="745" customFormat="false" ht="15" hidden="false" customHeight="false" outlineLevel="0" collapsed="false">
      <c r="A745" s="63"/>
      <c r="B745" s="28"/>
      <c r="C745" s="28"/>
      <c r="D745" s="28"/>
      <c r="E745" s="28"/>
      <c r="F745" s="28"/>
    </row>
    <row r="746" customFormat="false" ht="15" hidden="false" customHeight="false" outlineLevel="0" collapsed="false">
      <c r="A746" s="63"/>
      <c r="B746" s="28"/>
      <c r="C746" s="28"/>
      <c r="D746" s="28"/>
      <c r="E746" s="28"/>
      <c r="F746" s="28"/>
    </row>
    <row r="747" customFormat="false" ht="15" hidden="false" customHeight="false" outlineLevel="0" collapsed="false">
      <c r="A747" s="63"/>
      <c r="B747" s="28"/>
      <c r="C747" s="28"/>
      <c r="D747" s="28"/>
      <c r="E747" s="28"/>
      <c r="F747" s="28"/>
    </row>
    <row r="748" customFormat="false" ht="15" hidden="false" customHeight="false" outlineLevel="0" collapsed="false">
      <c r="A748" s="63"/>
      <c r="B748" s="28"/>
      <c r="C748" s="28"/>
      <c r="D748" s="28"/>
      <c r="E748" s="28"/>
      <c r="F748" s="28"/>
    </row>
    <row r="749" customFormat="false" ht="15" hidden="false" customHeight="false" outlineLevel="0" collapsed="false">
      <c r="A749" s="63"/>
      <c r="B749" s="28"/>
      <c r="C749" s="28"/>
      <c r="D749" s="28"/>
      <c r="E749" s="28"/>
      <c r="F749" s="28"/>
    </row>
    <row r="750" customFormat="false" ht="15" hidden="false" customHeight="false" outlineLevel="0" collapsed="false">
      <c r="A750" s="63"/>
      <c r="B750" s="28"/>
      <c r="C750" s="28"/>
      <c r="D750" s="28"/>
      <c r="E750" s="28"/>
      <c r="F750" s="28"/>
    </row>
    <row r="751" customFormat="false" ht="15" hidden="false" customHeight="false" outlineLevel="0" collapsed="false">
      <c r="A751" s="63"/>
      <c r="B751" s="28"/>
      <c r="C751" s="28"/>
      <c r="D751" s="28"/>
      <c r="E751" s="28"/>
      <c r="F751" s="28"/>
    </row>
    <row r="752" customFormat="false" ht="15" hidden="false" customHeight="false" outlineLevel="0" collapsed="false">
      <c r="A752" s="63"/>
      <c r="B752" s="28"/>
      <c r="C752" s="28"/>
      <c r="D752" s="28"/>
      <c r="E752" s="28"/>
      <c r="F752" s="28"/>
    </row>
    <row r="753" customFormat="false" ht="15" hidden="false" customHeight="false" outlineLevel="0" collapsed="false">
      <c r="A753" s="63"/>
      <c r="B753" s="28"/>
      <c r="C753" s="28"/>
      <c r="D753" s="28"/>
      <c r="E753" s="28"/>
      <c r="F753" s="28"/>
    </row>
    <row r="754" customFormat="false" ht="15" hidden="false" customHeight="false" outlineLevel="0" collapsed="false">
      <c r="A754" s="63"/>
      <c r="B754" s="28"/>
      <c r="C754" s="28"/>
      <c r="D754" s="28"/>
      <c r="E754" s="28"/>
      <c r="F754" s="28"/>
    </row>
    <row r="755" customFormat="false" ht="15" hidden="false" customHeight="false" outlineLevel="0" collapsed="false">
      <c r="A755" s="63"/>
      <c r="B755" s="28"/>
      <c r="C755" s="28"/>
      <c r="D755" s="28"/>
      <c r="E755" s="28"/>
      <c r="F755" s="28"/>
    </row>
    <row r="756" customFormat="false" ht="15" hidden="false" customHeight="false" outlineLevel="0" collapsed="false">
      <c r="A756" s="63"/>
      <c r="B756" s="28"/>
      <c r="C756" s="28"/>
      <c r="D756" s="28"/>
      <c r="E756" s="28"/>
      <c r="F756" s="28"/>
    </row>
    <row r="757" customFormat="false" ht="15" hidden="false" customHeight="false" outlineLevel="0" collapsed="false">
      <c r="A757" s="63"/>
      <c r="B757" s="28"/>
      <c r="C757" s="28"/>
      <c r="D757" s="28"/>
      <c r="E757" s="28"/>
      <c r="F757" s="28"/>
    </row>
    <row r="758" customFormat="false" ht="15" hidden="false" customHeight="false" outlineLevel="0" collapsed="false">
      <c r="A758" s="63"/>
      <c r="B758" s="28"/>
      <c r="C758" s="28"/>
      <c r="D758" s="28"/>
      <c r="E758" s="28"/>
      <c r="F758" s="28"/>
    </row>
    <row r="759" customFormat="false" ht="15" hidden="false" customHeight="false" outlineLevel="0" collapsed="false">
      <c r="A759" s="63"/>
      <c r="B759" s="28"/>
      <c r="C759" s="28"/>
      <c r="D759" s="28"/>
      <c r="E759" s="28"/>
      <c r="F759" s="28"/>
    </row>
    <row r="760" customFormat="false" ht="15" hidden="false" customHeight="false" outlineLevel="0" collapsed="false">
      <c r="A760" s="63"/>
      <c r="B760" s="28"/>
      <c r="C760" s="28"/>
      <c r="D760" s="28"/>
      <c r="E760" s="28"/>
      <c r="F760" s="28"/>
    </row>
    <row r="761" customFormat="false" ht="15" hidden="false" customHeight="false" outlineLevel="0" collapsed="false">
      <c r="A761" s="63"/>
      <c r="B761" s="28"/>
      <c r="C761" s="28"/>
      <c r="D761" s="28"/>
      <c r="E761" s="28"/>
      <c r="F761" s="28"/>
    </row>
    <row r="762" customFormat="false" ht="15" hidden="false" customHeight="false" outlineLevel="0" collapsed="false">
      <c r="A762" s="63"/>
      <c r="B762" s="28"/>
      <c r="C762" s="28"/>
      <c r="D762" s="28"/>
      <c r="E762" s="28"/>
      <c r="F762" s="28"/>
    </row>
    <row r="763" customFormat="false" ht="15" hidden="false" customHeight="false" outlineLevel="0" collapsed="false">
      <c r="A763" s="63"/>
      <c r="B763" s="28"/>
      <c r="C763" s="28"/>
      <c r="D763" s="28"/>
      <c r="E763" s="28"/>
      <c r="F763" s="28"/>
    </row>
    <row r="764" customFormat="false" ht="15" hidden="false" customHeight="false" outlineLevel="0" collapsed="false">
      <c r="A764" s="63"/>
      <c r="B764" s="28"/>
      <c r="C764" s="28"/>
      <c r="D764" s="28"/>
      <c r="E764" s="28"/>
      <c r="F764" s="28"/>
    </row>
    <row r="765" customFormat="false" ht="15" hidden="false" customHeight="false" outlineLevel="0" collapsed="false">
      <c r="A765" s="63"/>
      <c r="B765" s="28"/>
      <c r="C765" s="28"/>
      <c r="D765" s="28"/>
      <c r="E765" s="28"/>
      <c r="F765" s="28"/>
    </row>
    <row r="766" customFormat="false" ht="15" hidden="false" customHeight="false" outlineLevel="0" collapsed="false">
      <c r="A766" s="63"/>
      <c r="B766" s="28"/>
      <c r="C766" s="28"/>
      <c r="D766" s="28"/>
      <c r="E766" s="28"/>
      <c r="F766" s="28"/>
    </row>
    <row r="767" customFormat="false" ht="15" hidden="false" customHeight="false" outlineLevel="0" collapsed="false">
      <c r="A767" s="63"/>
      <c r="B767" s="28"/>
      <c r="C767" s="28"/>
      <c r="D767" s="28"/>
      <c r="E767" s="28"/>
      <c r="F767" s="28"/>
    </row>
    <row r="768" customFormat="false" ht="15" hidden="false" customHeight="false" outlineLevel="0" collapsed="false">
      <c r="A768" s="63"/>
      <c r="B768" s="28"/>
      <c r="C768" s="28"/>
      <c r="D768" s="28"/>
      <c r="E768" s="28"/>
      <c r="F768" s="28"/>
    </row>
    <row r="769" customFormat="false" ht="15" hidden="false" customHeight="false" outlineLevel="0" collapsed="false">
      <c r="A769" s="63"/>
      <c r="B769" s="28"/>
      <c r="C769" s="28"/>
      <c r="D769" s="28"/>
      <c r="E769" s="28"/>
      <c r="F769" s="28"/>
    </row>
    <row r="770" customFormat="false" ht="15" hidden="false" customHeight="false" outlineLevel="0" collapsed="false">
      <c r="A770" s="63"/>
      <c r="B770" s="28"/>
      <c r="C770" s="28"/>
      <c r="D770" s="28"/>
      <c r="E770" s="28"/>
      <c r="F770" s="28"/>
    </row>
    <row r="771" customFormat="false" ht="15" hidden="false" customHeight="false" outlineLevel="0" collapsed="false">
      <c r="A771" s="63"/>
      <c r="B771" s="28"/>
      <c r="C771" s="28"/>
      <c r="D771" s="28"/>
      <c r="E771" s="28"/>
      <c r="F771" s="28"/>
    </row>
    <row r="772" customFormat="false" ht="15" hidden="false" customHeight="false" outlineLevel="0" collapsed="false">
      <c r="A772" s="63"/>
      <c r="B772" s="28"/>
      <c r="C772" s="28"/>
      <c r="D772" s="28"/>
      <c r="E772" s="28"/>
      <c r="F772" s="28"/>
    </row>
    <row r="773" customFormat="false" ht="15" hidden="false" customHeight="false" outlineLevel="0" collapsed="false">
      <c r="A773" s="63"/>
      <c r="B773" s="28"/>
      <c r="C773" s="28"/>
      <c r="D773" s="28"/>
      <c r="E773" s="28"/>
      <c r="F773" s="28"/>
    </row>
    <row r="774" customFormat="false" ht="15" hidden="false" customHeight="false" outlineLevel="0" collapsed="false">
      <c r="A774" s="63"/>
      <c r="B774" s="28"/>
      <c r="C774" s="28"/>
      <c r="D774" s="28"/>
      <c r="E774" s="28"/>
      <c r="F774" s="28"/>
    </row>
    <row r="775" customFormat="false" ht="15" hidden="false" customHeight="false" outlineLevel="0" collapsed="false">
      <c r="A775" s="63"/>
      <c r="B775" s="28"/>
      <c r="C775" s="28"/>
      <c r="D775" s="28"/>
      <c r="E775" s="28"/>
      <c r="F775" s="28"/>
    </row>
    <row r="776" customFormat="false" ht="15" hidden="false" customHeight="false" outlineLevel="0" collapsed="false">
      <c r="A776" s="63"/>
      <c r="B776" s="28"/>
      <c r="C776" s="28"/>
      <c r="D776" s="28"/>
      <c r="E776" s="28"/>
      <c r="F776" s="28"/>
    </row>
    <row r="777" customFormat="false" ht="15" hidden="false" customHeight="false" outlineLevel="0" collapsed="false">
      <c r="A777" s="63"/>
      <c r="B777" s="28"/>
      <c r="C777" s="28"/>
      <c r="D777" s="28"/>
      <c r="E777" s="28"/>
      <c r="F777" s="28"/>
    </row>
    <row r="778" customFormat="false" ht="15" hidden="false" customHeight="false" outlineLevel="0" collapsed="false">
      <c r="A778" s="63"/>
      <c r="B778" s="28"/>
      <c r="C778" s="28"/>
      <c r="D778" s="28"/>
      <c r="E778" s="28"/>
      <c r="F778" s="28"/>
    </row>
    <row r="779" customFormat="false" ht="15" hidden="false" customHeight="false" outlineLevel="0" collapsed="false">
      <c r="A779" s="63"/>
      <c r="B779" s="28"/>
      <c r="C779" s="28"/>
      <c r="D779" s="28"/>
      <c r="E779" s="28"/>
      <c r="F779" s="28"/>
    </row>
    <row r="780" customFormat="false" ht="15" hidden="false" customHeight="false" outlineLevel="0" collapsed="false">
      <c r="A780" s="63"/>
      <c r="B780" s="28"/>
      <c r="C780" s="28"/>
      <c r="D780" s="28"/>
      <c r="E780" s="28"/>
      <c r="F780" s="28"/>
    </row>
    <row r="781" customFormat="false" ht="15" hidden="false" customHeight="false" outlineLevel="0" collapsed="false">
      <c r="A781" s="63"/>
      <c r="B781" s="28"/>
      <c r="C781" s="28"/>
      <c r="D781" s="28"/>
      <c r="E781" s="28"/>
      <c r="F781" s="28"/>
    </row>
    <row r="782" customFormat="false" ht="15" hidden="false" customHeight="false" outlineLevel="0" collapsed="false">
      <c r="A782" s="63"/>
      <c r="B782" s="28"/>
      <c r="C782" s="28"/>
      <c r="D782" s="28"/>
      <c r="E782" s="28"/>
      <c r="F782" s="28"/>
    </row>
    <row r="783" customFormat="false" ht="15" hidden="false" customHeight="false" outlineLevel="0" collapsed="false">
      <c r="A783" s="63"/>
      <c r="B783" s="28"/>
      <c r="C783" s="28"/>
      <c r="D783" s="28"/>
      <c r="E783" s="28"/>
      <c r="F783" s="28"/>
    </row>
    <row r="784" customFormat="false" ht="15" hidden="false" customHeight="false" outlineLevel="0" collapsed="false">
      <c r="A784" s="63"/>
      <c r="B784" s="28"/>
      <c r="C784" s="28"/>
      <c r="D784" s="28"/>
      <c r="E784" s="28"/>
      <c r="F784" s="28"/>
    </row>
    <row r="785" customFormat="false" ht="15" hidden="false" customHeight="false" outlineLevel="0" collapsed="false">
      <c r="A785" s="63"/>
      <c r="B785" s="28"/>
      <c r="C785" s="28"/>
      <c r="D785" s="28"/>
      <c r="E785" s="28"/>
      <c r="F785" s="28"/>
    </row>
    <row r="786" customFormat="false" ht="15" hidden="false" customHeight="false" outlineLevel="0" collapsed="false">
      <c r="A786" s="63"/>
      <c r="B786" s="28"/>
      <c r="C786" s="28"/>
      <c r="D786" s="28"/>
      <c r="E786" s="28"/>
      <c r="F786" s="28"/>
    </row>
    <row r="787" customFormat="false" ht="15" hidden="false" customHeight="false" outlineLevel="0" collapsed="false">
      <c r="A787" s="63"/>
      <c r="B787" s="28"/>
      <c r="C787" s="28"/>
      <c r="D787" s="28"/>
      <c r="E787" s="28"/>
      <c r="F787" s="28"/>
    </row>
    <row r="788" customFormat="false" ht="15" hidden="false" customHeight="false" outlineLevel="0" collapsed="false">
      <c r="A788" s="63"/>
      <c r="B788" s="28"/>
      <c r="C788" s="28"/>
      <c r="D788" s="28"/>
      <c r="E788" s="28"/>
      <c r="F788" s="28"/>
    </row>
    <row r="789" customFormat="false" ht="15" hidden="false" customHeight="false" outlineLevel="0" collapsed="false">
      <c r="A789" s="63"/>
      <c r="B789" s="28"/>
      <c r="C789" s="28"/>
      <c r="D789" s="28"/>
      <c r="E789" s="28"/>
      <c r="F789" s="28"/>
    </row>
    <row r="790" customFormat="false" ht="15" hidden="false" customHeight="false" outlineLevel="0" collapsed="false">
      <c r="A790" s="63"/>
      <c r="B790" s="28"/>
      <c r="C790" s="28"/>
      <c r="D790" s="28"/>
      <c r="E790" s="28"/>
      <c r="F790" s="28"/>
    </row>
    <row r="791" customFormat="false" ht="15" hidden="false" customHeight="false" outlineLevel="0" collapsed="false">
      <c r="A791" s="63"/>
      <c r="B791" s="28"/>
      <c r="C791" s="28"/>
      <c r="D791" s="28"/>
      <c r="E791" s="28"/>
      <c r="F791" s="28"/>
    </row>
    <row r="792" customFormat="false" ht="15" hidden="false" customHeight="false" outlineLevel="0" collapsed="false">
      <c r="A792" s="63"/>
      <c r="B792" s="28"/>
      <c r="C792" s="28"/>
      <c r="D792" s="28"/>
      <c r="E792" s="28"/>
      <c r="F792" s="28"/>
    </row>
    <row r="793" customFormat="false" ht="15" hidden="false" customHeight="false" outlineLevel="0" collapsed="false">
      <c r="A793" s="63"/>
      <c r="B793" s="28"/>
      <c r="C793" s="28"/>
      <c r="D793" s="28"/>
      <c r="E793" s="28"/>
      <c r="F793" s="28"/>
    </row>
    <row r="794" customFormat="false" ht="15" hidden="false" customHeight="false" outlineLevel="0" collapsed="false">
      <c r="A794" s="63"/>
      <c r="B794" s="28"/>
      <c r="C794" s="28"/>
      <c r="D794" s="28"/>
      <c r="E794" s="28"/>
      <c r="F794" s="28"/>
    </row>
    <row r="795" customFormat="false" ht="15" hidden="false" customHeight="false" outlineLevel="0" collapsed="false">
      <c r="A795" s="63"/>
      <c r="B795" s="28"/>
      <c r="C795" s="28"/>
      <c r="D795" s="28"/>
      <c r="E795" s="28"/>
      <c r="F795" s="28"/>
    </row>
    <row r="796" customFormat="false" ht="15" hidden="false" customHeight="false" outlineLevel="0" collapsed="false">
      <c r="A796" s="63"/>
      <c r="B796" s="28"/>
      <c r="C796" s="28"/>
      <c r="D796" s="28"/>
      <c r="E796" s="28"/>
      <c r="F796" s="28"/>
    </row>
    <row r="797" customFormat="false" ht="15" hidden="false" customHeight="false" outlineLevel="0" collapsed="false">
      <c r="A797" s="63"/>
      <c r="B797" s="28"/>
      <c r="C797" s="28"/>
      <c r="D797" s="28"/>
      <c r="E797" s="28"/>
      <c r="F797" s="28"/>
    </row>
    <row r="798" customFormat="false" ht="15" hidden="false" customHeight="false" outlineLevel="0" collapsed="false">
      <c r="A798" s="63"/>
      <c r="B798" s="28"/>
      <c r="C798" s="28"/>
      <c r="D798" s="28"/>
      <c r="E798" s="28"/>
      <c r="F798" s="28"/>
    </row>
    <row r="799" customFormat="false" ht="15" hidden="false" customHeight="false" outlineLevel="0" collapsed="false">
      <c r="A799" s="63"/>
      <c r="B799" s="28"/>
      <c r="C799" s="28"/>
      <c r="D799" s="28"/>
      <c r="E799" s="28"/>
      <c r="F799" s="28"/>
    </row>
    <row r="800" customFormat="false" ht="15" hidden="false" customHeight="false" outlineLevel="0" collapsed="false">
      <c r="A800" s="63"/>
      <c r="B800" s="28"/>
      <c r="C800" s="28"/>
      <c r="D800" s="28"/>
      <c r="E800" s="28"/>
      <c r="F800" s="28"/>
    </row>
    <row r="801" customFormat="false" ht="15" hidden="false" customHeight="false" outlineLevel="0" collapsed="false">
      <c r="A801" s="63"/>
      <c r="B801" s="28"/>
      <c r="C801" s="28"/>
      <c r="D801" s="28"/>
      <c r="E801" s="28"/>
      <c r="F801" s="28"/>
    </row>
    <row r="802" customFormat="false" ht="15" hidden="false" customHeight="false" outlineLevel="0" collapsed="false">
      <c r="A802" s="63"/>
      <c r="B802" s="28"/>
      <c r="C802" s="28"/>
      <c r="D802" s="28"/>
      <c r="E802" s="28"/>
      <c r="F802" s="28"/>
    </row>
    <row r="803" customFormat="false" ht="15" hidden="false" customHeight="false" outlineLevel="0" collapsed="false">
      <c r="A803" s="63"/>
      <c r="B803" s="28"/>
      <c r="C803" s="28"/>
      <c r="D803" s="28"/>
      <c r="E803" s="28"/>
      <c r="F803" s="28"/>
    </row>
    <row r="804" customFormat="false" ht="15" hidden="false" customHeight="false" outlineLevel="0" collapsed="false">
      <c r="A804" s="63"/>
      <c r="B804" s="28"/>
      <c r="C804" s="28"/>
      <c r="D804" s="28"/>
      <c r="E804" s="28"/>
      <c r="F804" s="28"/>
    </row>
    <row r="805" customFormat="false" ht="15" hidden="false" customHeight="false" outlineLevel="0" collapsed="false">
      <c r="A805" s="63"/>
      <c r="B805" s="28"/>
      <c r="C805" s="28"/>
      <c r="D805" s="28"/>
      <c r="E805" s="28"/>
      <c r="F805" s="28"/>
    </row>
    <row r="806" customFormat="false" ht="15" hidden="false" customHeight="false" outlineLevel="0" collapsed="false">
      <c r="A806" s="63"/>
      <c r="B806" s="28"/>
      <c r="C806" s="28"/>
      <c r="D806" s="28"/>
      <c r="E806" s="28"/>
      <c r="F806" s="28"/>
    </row>
    <row r="807" customFormat="false" ht="15" hidden="false" customHeight="false" outlineLevel="0" collapsed="false">
      <c r="A807" s="63"/>
      <c r="B807" s="28"/>
      <c r="C807" s="28"/>
      <c r="D807" s="28"/>
      <c r="E807" s="28"/>
      <c r="F807" s="28"/>
    </row>
    <row r="808" customFormat="false" ht="15" hidden="false" customHeight="false" outlineLevel="0" collapsed="false">
      <c r="A808" s="63"/>
      <c r="B808" s="28"/>
      <c r="C808" s="28"/>
      <c r="D808" s="28"/>
      <c r="E808" s="28"/>
      <c r="F808" s="28"/>
    </row>
    <row r="809" customFormat="false" ht="15" hidden="false" customHeight="false" outlineLevel="0" collapsed="false">
      <c r="A809" s="63"/>
      <c r="B809" s="28"/>
      <c r="C809" s="28"/>
      <c r="D809" s="28"/>
      <c r="E809" s="28"/>
      <c r="F809" s="28"/>
    </row>
    <row r="810" customFormat="false" ht="15" hidden="false" customHeight="false" outlineLevel="0" collapsed="false">
      <c r="A810" s="63"/>
      <c r="B810" s="28"/>
      <c r="C810" s="28"/>
      <c r="D810" s="28"/>
      <c r="E810" s="28"/>
      <c r="F810" s="28"/>
    </row>
    <row r="811" customFormat="false" ht="15" hidden="false" customHeight="false" outlineLevel="0" collapsed="false">
      <c r="A811" s="63"/>
      <c r="B811" s="28"/>
      <c r="C811" s="28"/>
      <c r="D811" s="28"/>
      <c r="E811" s="28"/>
      <c r="F811" s="28"/>
    </row>
    <row r="812" customFormat="false" ht="15" hidden="false" customHeight="false" outlineLevel="0" collapsed="false">
      <c r="A812" s="63"/>
      <c r="B812" s="28"/>
      <c r="C812" s="28"/>
      <c r="D812" s="28"/>
      <c r="E812" s="28"/>
      <c r="F812" s="28"/>
    </row>
    <row r="813" customFormat="false" ht="15" hidden="false" customHeight="false" outlineLevel="0" collapsed="false">
      <c r="A813" s="63"/>
      <c r="B813" s="28"/>
      <c r="C813" s="28"/>
      <c r="D813" s="28"/>
      <c r="E813" s="28"/>
      <c r="F813" s="28"/>
    </row>
    <row r="814" customFormat="false" ht="15" hidden="false" customHeight="false" outlineLevel="0" collapsed="false">
      <c r="A814" s="63"/>
      <c r="B814" s="28"/>
      <c r="C814" s="28"/>
      <c r="D814" s="28"/>
      <c r="E814" s="28"/>
      <c r="F814" s="28"/>
    </row>
    <row r="815" customFormat="false" ht="15" hidden="false" customHeight="false" outlineLevel="0" collapsed="false">
      <c r="A815" s="63"/>
      <c r="B815" s="28"/>
      <c r="C815" s="28"/>
      <c r="D815" s="28"/>
      <c r="E815" s="28"/>
      <c r="F815" s="28"/>
    </row>
    <row r="816" customFormat="false" ht="15" hidden="false" customHeight="false" outlineLevel="0" collapsed="false">
      <c r="A816" s="63"/>
      <c r="B816" s="28"/>
      <c r="C816" s="28"/>
      <c r="D816" s="28"/>
      <c r="E816" s="28"/>
      <c r="F816" s="28"/>
    </row>
    <row r="817" customFormat="false" ht="15" hidden="false" customHeight="false" outlineLevel="0" collapsed="false">
      <c r="A817" s="63"/>
      <c r="B817" s="28"/>
      <c r="C817" s="28"/>
      <c r="D817" s="28"/>
      <c r="E817" s="28"/>
      <c r="F817" s="28"/>
    </row>
    <row r="818" customFormat="false" ht="15" hidden="false" customHeight="false" outlineLevel="0" collapsed="false">
      <c r="A818" s="63"/>
      <c r="B818" s="28"/>
      <c r="C818" s="28"/>
      <c r="D818" s="28"/>
      <c r="E818" s="28"/>
      <c r="F818" s="28"/>
    </row>
    <row r="819" customFormat="false" ht="15" hidden="false" customHeight="false" outlineLevel="0" collapsed="false">
      <c r="A819" s="63"/>
      <c r="B819" s="28"/>
      <c r="C819" s="28"/>
      <c r="D819" s="28"/>
      <c r="E819" s="28"/>
      <c r="F819" s="28"/>
    </row>
    <row r="820" customFormat="false" ht="15" hidden="false" customHeight="false" outlineLevel="0" collapsed="false">
      <c r="A820" s="63"/>
      <c r="B820" s="28"/>
      <c r="C820" s="28"/>
      <c r="D820" s="28"/>
      <c r="E820" s="28"/>
      <c r="F820" s="28"/>
    </row>
    <row r="821" customFormat="false" ht="15" hidden="false" customHeight="false" outlineLevel="0" collapsed="false">
      <c r="A821" s="63"/>
      <c r="B821" s="28"/>
      <c r="C821" s="28"/>
      <c r="D821" s="28"/>
      <c r="E821" s="28"/>
      <c r="F821" s="28"/>
    </row>
    <row r="822" customFormat="false" ht="15" hidden="false" customHeight="false" outlineLevel="0" collapsed="false">
      <c r="A822" s="63"/>
      <c r="B822" s="28"/>
      <c r="C822" s="28"/>
      <c r="D822" s="28"/>
      <c r="E822" s="28"/>
      <c r="F822" s="28"/>
    </row>
    <row r="823" customFormat="false" ht="15" hidden="false" customHeight="false" outlineLevel="0" collapsed="false">
      <c r="A823" s="63"/>
      <c r="B823" s="28"/>
      <c r="C823" s="28"/>
      <c r="D823" s="28"/>
      <c r="E823" s="28"/>
      <c r="F823" s="28"/>
    </row>
    <row r="824" customFormat="false" ht="15" hidden="false" customHeight="false" outlineLevel="0" collapsed="false">
      <c r="A824" s="63"/>
      <c r="B824" s="28"/>
      <c r="C824" s="28"/>
      <c r="D824" s="28"/>
      <c r="E824" s="28"/>
      <c r="F824" s="28"/>
    </row>
    <row r="825" customFormat="false" ht="15" hidden="false" customHeight="false" outlineLevel="0" collapsed="false">
      <c r="A825" s="63"/>
      <c r="B825" s="28"/>
      <c r="C825" s="28"/>
      <c r="D825" s="28"/>
      <c r="E825" s="28"/>
      <c r="F825" s="28"/>
    </row>
    <row r="826" customFormat="false" ht="15" hidden="false" customHeight="false" outlineLevel="0" collapsed="false">
      <c r="A826" s="63"/>
      <c r="B826" s="28"/>
      <c r="C826" s="28"/>
      <c r="D826" s="28"/>
      <c r="E826" s="28"/>
      <c r="F826" s="28"/>
    </row>
    <row r="827" customFormat="false" ht="15" hidden="false" customHeight="false" outlineLevel="0" collapsed="false">
      <c r="A827" s="63"/>
      <c r="B827" s="28"/>
      <c r="C827" s="28"/>
      <c r="D827" s="28"/>
      <c r="E827" s="28"/>
      <c r="F827" s="28"/>
    </row>
    <row r="828" customFormat="false" ht="15" hidden="false" customHeight="false" outlineLevel="0" collapsed="false">
      <c r="A828" s="63"/>
      <c r="B828" s="28"/>
      <c r="C828" s="28"/>
      <c r="D828" s="28"/>
      <c r="E828" s="28"/>
      <c r="F828" s="28"/>
    </row>
    <row r="829" customFormat="false" ht="15" hidden="false" customHeight="false" outlineLevel="0" collapsed="false">
      <c r="A829" s="63"/>
      <c r="B829" s="28"/>
      <c r="C829" s="28"/>
      <c r="D829" s="28"/>
      <c r="E829" s="28"/>
      <c r="F829" s="28"/>
    </row>
    <row r="830" customFormat="false" ht="15" hidden="false" customHeight="false" outlineLevel="0" collapsed="false">
      <c r="A830" s="63"/>
      <c r="B830" s="28"/>
      <c r="C830" s="28"/>
      <c r="D830" s="28"/>
      <c r="E830" s="28"/>
      <c r="F830" s="28"/>
    </row>
    <row r="831" customFormat="false" ht="15" hidden="false" customHeight="false" outlineLevel="0" collapsed="false">
      <c r="A831" s="63"/>
      <c r="B831" s="28"/>
      <c r="C831" s="28"/>
      <c r="D831" s="28"/>
      <c r="E831" s="28"/>
      <c r="F831" s="28"/>
    </row>
    <row r="832" customFormat="false" ht="15" hidden="false" customHeight="false" outlineLevel="0" collapsed="false">
      <c r="A832" s="63"/>
      <c r="B832" s="28"/>
      <c r="C832" s="28"/>
      <c r="D832" s="28"/>
      <c r="E832" s="28"/>
      <c r="F832" s="28"/>
    </row>
    <row r="833" customFormat="false" ht="15" hidden="false" customHeight="false" outlineLevel="0" collapsed="false">
      <c r="A833" s="63"/>
      <c r="B833" s="28"/>
      <c r="C833" s="28"/>
      <c r="D833" s="28"/>
      <c r="E833" s="28"/>
      <c r="F833" s="28"/>
    </row>
    <row r="834" customFormat="false" ht="15" hidden="false" customHeight="false" outlineLevel="0" collapsed="false">
      <c r="A834" s="63"/>
      <c r="B834" s="28"/>
      <c r="C834" s="28"/>
      <c r="D834" s="28"/>
      <c r="E834" s="28"/>
      <c r="F834" s="28"/>
    </row>
    <row r="835" customFormat="false" ht="15" hidden="false" customHeight="false" outlineLevel="0" collapsed="false">
      <c r="A835" s="63"/>
      <c r="B835" s="28"/>
      <c r="C835" s="28"/>
      <c r="D835" s="28"/>
      <c r="E835" s="28"/>
      <c r="F835" s="28"/>
    </row>
    <row r="836" customFormat="false" ht="15" hidden="false" customHeight="false" outlineLevel="0" collapsed="false">
      <c r="A836" s="63"/>
      <c r="B836" s="28"/>
      <c r="C836" s="28"/>
      <c r="D836" s="28"/>
      <c r="E836" s="28"/>
      <c r="F836" s="28"/>
    </row>
    <row r="837" customFormat="false" ht="15" hidden="false" customHeight="false" outlineLevel="0" collapsed="false">
      <c r="A837" s="63"/>
      <c r="B837" s="28"/>
      <c r="C837" s="28"/>
      <c r="D837" s="28"/>
      <c r="E837" s="28"/>
      <c r="F837" s="28"/>
    </row>
    <row r="838" customFormat="false" ht="15" hidden="false" customHeight="false" outlineLevel="0" collapsed="false">
      <c r="A838" s="63"/>
      <c r="B838" s="28"/>
      <c r="C838" s="28"/>
      <c r="D838" s="28"/>
      <c r="E838" s="28"/>
      <c r="F838" s="28"/>
    </row>
    <row r="839" customFormat="false" ht="15" hidden="false" customHeight="false" outlineLevel="0" collapsed="false">
      <c r="A839" s="63"/>
      <c r="B839" s="28"/>
      <c r="C839" s="28"/>
      <c r="D839" s="28"/>
      <c r="E839" s="28"/>
      <c r="F839" s="28"/>
    </row>
    <row r="840" customFormat="false" ht="15" hidden="false" customHeight="false" outlineLevel="0" collapsed="false">
      <c r="A840" s="63"/>
      <c r="B840" s="28"/>
      <c r="C840" s="28"/>
      <c r="D840" s="28"/>
      <c r="E840" s="28"/>
      <c r="F840" s="28"/>
    </row>
    <row r="841" customFormat="false" ht="15" hidden="false" customHeight="false" outlineLevel="0" collapsed="false">
      <c r="A841" s="63"/>
      <c r="B841" s="28"/>
      <c r="C841" s="28"/>
      <c r="D841" s="28"/>
      <c r="E841" s="28"/>
      <c r="F841" s="28"/>
    </row>
    <row r="842" customFormat="false" ht="15" hidden="false" customHeight="false" outlineLevel="0" collapsed="false">
      <c r="A842" s="63"/>
      <c r="B842" s="28"/>
      <c r="C842" s="28"/>
      <c r="D842" s="28"/>
      <c r="E842" s="28"/>
      <c r="F842" s="28"/>
    </row>
    <row r="843" customFormat="false" ht="15" hidden="false" customHeight="false" outlineLevel="0" collapsed="false">
      <c r="A843" s="63"/>
      <c r="B843" s="28"/>
      <c r="C843" s="28"/>
      <c r="D843" s="28"/>
      <c r="E843" s="28"/>
      <c r="F843" s="28"/>
    </row>
    <row r="844" customFormat="false" ht="15" hidden="false" customHeight="false" outlineLevel="0" collapsed="false">
      <c r="A844" s="63"/>
      <c r="B844" s="28"/>
      <c r="C844" s="28"/>
      <c r="D844" s="28"/>
      <c r="E844" s="28"/>
      <c r="F844" s="28"/>
    </row>
    <row r="845" customFormat="false" ht="15" hidden="false" customHeight="false" outlineLevel="0" collapsed="false">
      <c r="A845" s="63"/>
      <c r="B845" s="28"/>
      <c r="C845" s="28"/>
      <c r="D845" s="28"/>
      <c r="E845" s="28"/>
      <c r="F845" s="28"/>
    </row>
    <row r="846" customFormat="false" ht="15" hidden="false" customHeight="false" outlineLevel="0" collapsed="false">
      <c r="A846" s="63"/>
      <c r="B846" s="28"/>
      <c r="C846" s="28"/>
      <c r="D846" s="28"/>
      <c r="E846" s="28"/>
      <c r="F846" s="28"/>
    </row>
    <row r="847" customFormat="false" ht="15" hidden="false" customHeight="false" outlineLevel="0" collapsed="false">
      <c r="A847" s="63"/>
      <c r="B847" s="28"/>
      <c r="C847" s="28"/>
      <c r="D847" s="28"/>
      <c r="E847" s="28"/>
      <c r="F847" s="28"/>
    </row>
    <row r="848" customFormat="false" ht="15" hidden="false" customHeight="false" outlineLevel="0" collapsed="false">
      <c r="A848" s="63"/>
      <c r="B848" s="28"/>
      <c r="C848" s="28"/>
      <c r="D848" s="28"/>
      <c r="E848" s="28"/>
      <c r="F848" s="28"/>
    </row>
    <row r="849" customFormat="false" ht="15" hidden="false" customHeight="false" outlineLevel="0" collapsed="false">
      <c r="A849" s="63"/>
      <c r="B849" s="28"/>
      <c r="C849" s="28"/>
      <c r="D849" s="28"/>
      <c r="E849" s="28"/>
      <c r="F849" s="28"/>
    </row>
    <row r="850" customFormat="false" ht="15" hidden="false" customHeight="false" outlineLevel="0" collapsed="false">
      <c r="A850" s="63"/>
      <c r="B850" s="28"/>
      <c r="C850" s="28"/>
      <c r="D850" s="28"/>
      <c r="E850" s="28"/>
      <c r="F850" s="28"/>
    </row>
    <row r="851" customFormat="false" ht="15" hidden="false" customHeight="false" outlineLevel="0" collapsed="false">
      <c r="A851" s="63"/>
      <c r="B851" s="28"/>
      <c r="C851" s="28"/>
      <c r="D851" s="28"/>
      <c r="E851" s="28"/>
      <c r="F851" s="28"/>
    </row>
    <row r="852" customFormat="false" ht="15" hidden="false" customHeight="false" outlineLevel="0" collapsed="false">
      <c r="A852" s="63"/>
      <c r="B852" s="28"/>
      <c r="C852" s="28"/>
      <c r="D852" s="28"/>
      <c r="E852" s="28"/>
      <c r="F852" s="28"/>
    </row>
    <row r="853" customFormat="false" ht="15" hidden="false" customHeight="false" outlineLevel="0" collapsed="false">
      <c r="A853" s="63"/>
      <c r="B853" s="28"/>
      <c r="C853" s="28"/>
      <c r="D853" s="28"/>
      <c r="E853" s="28"/>
      <c r="F853" s="28"/>
    </row>
    <row r="854" customFormat="false" ht="15" hidden="false" customHeight="false" outlineLevel="0" collapsed="false">
      <c r="A854" s="63"/>
      <c r="B854" s="28"/>
      <c r="C854" s="28"/>
      <c r="D854" s="28"/>
      <c r="E854" s="28"/>
      <c r="F854" s="28"/>
    </row>
    <row r="855" customFormat="false" ht="15" hidden="false" customHeight="false" outlineLevel="0" collapsed="false">
      <c r="A855" s="63"/>
      <c r="B855" s="28"/>
      <c r="C855" s="28"/>
      <c r="D855" s="28"/>
      <c r="E855" s="28"/>
      <c r="F855" s="28"/>
    </row>
    <row r="856" customFormat="false" ht="15" hidden="false" customHeight="false" outlineLevel="0" collapsed="false">
      <c r="A856" s="63"/>
      <c r="B856" s="28"/>
      <c r="C856" s="28"/>
      <c r="D856" s="28"/>
      <c r="E856" s="28"/>
      <c r="F856" s="28"/>
    </row>
    <row r="857" customFormat="false" ht="15" hidden="false" customHeight="false" outlineLevel="0" collapsed="false">
      <c r="A857" s="63"/>
      <c r="B857" s="28"/>
      <c r="C857" s="28"/>
      <c r="D857" s="28"/>
      <c r="E857" s="28"/>
      <c r="F857" s="28"/>
    </row>
    <row r="858" customFormat="false" ht="15" hidden="false" customHeight="false" outlineLevel="0" collapsed="false">
      <c r="A858" s="63"/>
      <c r="B858" s="28"/>
      <c r="C858" s="28"/>
      <c r="D858" s="28"/>
      <c r="E858" s="28"/>
      <c r="F858" s="28"/>
    </row>
    <row r="859" customFormat="false" ht="15" hidden="false" customHeight="false" outlineLevel="0" collapsed="false">
      <c r="A859" s="63"/>
      <c r="B859" s="28"/>
      <c r="C859" s="28"/>
      <c r="D859" s="28"/>
      <c r="E859" s="28"/>
      <c r="F859" s="28"/>
    </row>
    <row r="860" customFormat="false" ht="15" hidden="false" customHeight="false" outlineLevel="0" collapsed="false">
      <c r="A860" s="63"/>
      <c r="B860" s="28"/>
      <c r="C860" s="28"/>
      <c r="D860" s="28"/>
      <c r="E860" s="28"/>
      <c r="F860" s="28"/>
    </row>
    <row r="861" customFormat="false" ht="15" hidden="false" customHeight="false" outlineLevel="0" collapsed="false">
      <c r="A861" s="63"/>
      <c r="B861" s="28"/>
      <c r="C861" s="28"/>
      <c r="D861" s="28"/>
      <c r="E861" s="28"/>
      <c r="F861" s="28"/>
    </row>
    <row r="862" customFormat="false" ht="15" hidden="false" customHeight="false" outlineLevel="0" collapsed="false">
      <c r="A862" s="63"/>
      <c r="B862" s="28"/>
      <c r="C862" s="28"/>
      <c r="D862" s="28"/>
      <c r="E862" s="28"/>
      <c r="F862" s="28"/>
    </row>
    <row r="863" customFormat="false" ht="15" hidden="false" customHeight="false" outlineLevel="0" collapsed="false">
      <c r="A863" s="63"/>
      <c r="B863" s="28"/>
      <c r="C863" s="28"/>
      <c r="D863" s="28"/>
      <c r="E863" s="28"/>
      <c r="F863" s="28"/>
    </row>
    <row r="864" customFormat="false" ht="15" hidden="false" customHeight="false" outlineLevel="0" collapsed="false">
      <c r="A864" s="63"/>
      <c r="B864" s="28"/>
      <c r="C864" s="28"/>
      <c r="D864" s="28"/>
      <c r="E864" s="28"/>
      <c r="F864" s="28"/>
    </row>
    <row r="865" customFormat="false" ht="15" hidden="false" customHeight="false" outlineLevel="0" collapsed="false">
      <c r="A865" s="63"/>
      <c r="B865" s="28"/>
      <c r="C865" s="28"/>
      <c r="D865" s="28"/>
      <c r="E865" s="28"/>
      <c r="F865" s="28"/>
    </row>
    <row r="866" customFormat="false" ht="15" hidden="false" customHeight="false" outlineLevel="0" collapsed="false">
      <c r="A866" s="63"/>
      <c r="B866" s="28"/>
      <c r="C866" s="28"/>
      <c r="D866" s="28"/>
      <c r="E866" s="28"/>
      <c r="F866" s="28"/>
    </row>
    <row r="867" customFormat="false" ht="15" hidden="false" customHeight="false" outlineLevel="0" collapsed="false">
      <c r="A867" s="63"/>
      <c r="B867" s="28"/>
      <c r="C867" s="28"/>
      <c r="D867" s="28"/>
      <c r="E867" s="28"/>
      <c r="F867" s="28"/>
    </row>
    <row r="868" customFormat="false" ht="15" hidden="false" customHeight="false" outlineLevel="0" collapsed="false">
      <c r="A868" s="63"/>
      <c r="B868" s="28"/>
      <c r="C868" s="28"/>
      <c r="D868" s="28"/>
      <c r="E868" s="28"/>
      <c r="F868" s="28"/>
    </row>
    <row r="869" customFormat="false" ht="15" hidden="false" customHeight="false" outlineLevel="0" collapsed="false">
      <c r="A869" s="63"/>
      <c r="B869" s="28"/>
      <c r="C869" s="28"/>
      <c r="D869" s="28"/>
      <c r="E869" s="28"/>
      <c r="F869" s="28"/>
    </row>
    <row r="870" customFormat="false" ht="15" hidden="false" customHeight="false" outlineLevel="0" collapsed="false">
      <c r="A870" s="63"/>
      <c r="B870" s="28"/>
      <c r="C870" s="28"/>
      <c r="D870" s="28"/>
      <c r="E870" s="28"/>
      <c r="F870" s="28"/>
    </row>
    <row r="871" customFormat="false" ht="15" hidden="false" customHeight="false" outlineLevel="0" collapsed="false">
      <c r="A871" s="63"/>
      <c r="B871" s="28"/>
      <c r="C871" s="28"/>
      <c r="D871" s="28"/>
      <c r="E871" s="28"/>
      <c r="F871" s="28"/>
    </row>
    <row r="872" customFormat="false" ht="15" hidden="false" customHeight="false" outlineLevel="0" collapsed="false">
      <c r="A872" s="63"/>
      <c r="B872" s="28"/>
      <c r="C872" s="28"/>
      <c r="D872" s="28"/>
      <c r="E872" s="28"/>
      <c r="F872" s="28"/>
    </row>
    <row r="873" customFormat="false" ht="15" hidden="false" customHeight="false" outlineLevel="0" collapsed="false">
      <c r="A873" s="63"/>
      <c r="B873" s="28"/>
      <c r="C873" s="28"/>
      <c r="D873" s="28"/>
      <c r="E873" s="28"/>
      <c r="F873" s="28"/>
    </row>
    <row r="874" customFormat="false" ht="15" hidden="false" customHeight="false" outlineLevel="0" collapsed="false">
      <c r="A874" s="63"/>
      <c r="B874" s="28"/>
      <c r="C874" s="28"/>
      <c r="D874" s="28"/>
      <c r="E874" s="28"/>
      <c r="F874" s="28"/>
    </row>
    <row r="875" customFormat="false" ht="15" hidden="false" customHeight="false" outlineLevel="0" collapsed="false">
      <c r="A875" s="63"/>
      <c r="B875" s="28"/>
      <c r="C875" s="28"/>
      <c r="D875" s="28"/>
      <c r="E875" s="28"/>
      <c r="F875" s="28"/>
    </row>
    <row r="876" customFormat="false" ht="15" hidden="false" customHeight="false" outlineLevel="0" collapsed="false">
      <c r="A876" s="63"/>
      <c r="B876" s="28"/>
      <c r="C876" s="28"/>
      <c r="D876" s="28"/>
      <c r="E876" s="28"/>
      <c r="F876" s="28"/>
    </row>
    <row r="877" customFormat="false" ht="15" hidden="false" customHeight="false" outlineLevel="0" collapsed="false">
      <c r="A877" s="63"/>
      <c r="B877" s="28"/>
      <c r="C877" s="28"/>
      <c r="D877" s="28"/>
      <c r="E877" s="28"/>
      <c r="F877" s="28"/>
    </row>
    <row r="878" customFormat="false" ht="15" hidden="false" customHeight="false" outlineLevel="0" collapsed="false">
      <c r="A878" s="63"/>
      <c r="B878" s="28"/>
      <c r="C878" s="28"/>
      <c r="D878" s="28"/>
      <c r="E878" s="28"/>
      <c r="F878" s="28"/>
    </row>
    <row r="879" customFormat="false" ht="15" hidden="false" customHeight="false" outlineLevel="0" collapsed="false">
      <c r="A879" s="63"/>
      <c r="B879" s="28"/>
      <c r="C879" s="28"/>
      <c r="D879" s="28"/>
      <c r="E879" s="28"/>
      <c r="F879" s="28"/>
    </row>
    <row r="880" customFormat="false" ht="15" hidden="false" customHeight="false" outlineLevel="0" collapsed="false">
      <c r="A880" s="63"/>
      <c r="B880" s="28"/>
      <c r="C880" s="28"/>
      <c r="D880" s="28"/>
      <c r="E880" s="28"/>
      <c r="F880" s="28"/>
    </row>
    <row r="881" customFormat="false" ht="15" hidden="false" customHeight="false" outlineLevel="0" collapsed="false">
      <c r="A881" s="63"/>
      <c r="B881" s="28"/>
      <c r="C881" s="28"/>
      <c r="D881" s="28"/>
      <c r="E881" s="28"/>
      <c r="F881" s="28"/>
    </row>
    <row r="882" customFormat="false" ht="15" hidden="false" customHeight="false" outlineLevel="0" collapsed="false">
      <c r="A882" s="63"/>
      <c r="B882" s="28"/>
      <c r="C882" s="28"/>
      <c r="D882" s="28"/>
      <c r="E882" s="28"/>
      <c r="F882" s="28"/>
    </row>
    <row r="883" customFormat="false" ht="15" hidden="false" customHeight="false" outlineLevel="0" collapsed="false">
      <c r="A883" s="63"/>
      <c r="B883" s="28"/>
      <c r="C883" s="28"/>
      <c r="D883" s="28"/>
      <c r="E883" s="28"/>
      <c r="F883" s="28"/>
    </row>
    <row r="884" customFormat="false" ht="15" hidden="false" customHeight="false" outlineLevel="0" collapsed="false">
      <c r="A884" s="63"/>
      <c r="B884" s="28"/>
      <c r="C884" s="28"/>
      <c r="D884" s="28"/>
      <c r="E884" s="28"/>
      <c r="F884" s="28"/>
    </row>
    <row r="885" customFormat="false" ht="15" hidden="false" customHeight="false" outlineLevel="0" collapsed="false">
      <c r="A885" s="63"/>
      <c r="B885" s="28"/>
      <c r="C885" s="28"/>
      <c r="D885" s="28"/>
      <c r="E885" s="28"/>
      <c r="F885" s="28"/>
    </row>
    <row r="886" customFormat="false" ht="15" hidden="false" customHeight="false" outlineLevel="0" collapsed="false">
      <c r="A886" s="63"/>
      <c r="B886" s="28"/>
      <c r="C886" s="28"/>
      <c r="D886" s="28"/>
      <c r="E886" s="28"/>
      <c r="F886" s="28"/>
    </row>
    <row r="887" customFormat="false" ht="15" hidden="false" customHeight="false" outlineLevel="0" collapsed="false">
      <c r="A887" s="63"/>
      <c r="B887" s="28"/>
      <c r="C887" s="28"/>
      <c r="D887" s="28"/>
      <c r="E887" s="28"/>
      <c r="F887" s="28"/>
    </row>
    <row r="888" customFormat="false" ht="15" hidden="false" customHeight="false" outlineLevel="0" collapsed="false">
      <c r="A888" s="63"/>
      <c r="B888" s="28"/>
      <c r="C888" s="28"/>
      <c r="D888" s="28"/>
      <c r="E888" s="28"/>
      <c r="F888" s="28"/>
    </row>
    <row r="889" customFormat="false" ht="15" hidden="false" customHeight="false" outlineLevel="0" collapsed="false">
      <c r="A889" s="63"/>
      <c r="B889" s="28"/>
      <c r="C889" s="28"/>
      <c r="D889" s="28"/>
      <c r="E889" s="28"/>
      <c r="F889" s="28"/>
    </row>
    <row r="890" customFormat="false" ht="15" hidden="false" customHeight="false" outlineLevel="0" collapsed="false">
      <c r="A890" s="63"/>
      <c r="B890" s="28"/>
      <c r="C890" s="28"/>
      <c r="D890" s="28"/>
      <c r="E890" s="28"/>
      <c r="F890" s="28"/>
    </row>
    <row r="891" customFormat="false" ht="15" hidden="false" customHeight="false" outlineLevel="0" collapsed="false">
      <c r="A891" s="63"/>
      <c r="B891" s="28"/>
      <c r="C891" s="28"/>
      <c r="D891" s="28"/>
      <c r="E891" s="28"/>
      <c r="F891" s="28"/>
    </row>
    <row r="892" customFormat="false" ht="15" hidden="false" customHeight="false" outlineLevel="0" collapsed="false">
      <c r="A892" s="63"/>
      <c r="B892" s="28"/>
      <c r="C892" s="28"/>
      <c r="D892" s="28"/>
      <c r="E892" s="28"/>
      <c r="F892" s="28"/>
    </row>
    <row r="893" customFormat="false" ht="15" hidden="false" customHeight="false" outlineLevel="0" collapsed="false">
      <c r="A893" s="63"/>
      <c r="B893" s="28"/>
      <c r="C893" s="28"/>
      <c r="D893" s="28"/>
      <c r="E893" s="28"/>
      <c r="F893" s="28"/>
    </row>
    <row r="894" customFormat="false" ht="15" hidden="false" customHeight="false" outlineLevel="0" collapsed="false">
      <c r="A894" s="63"/>
      <c r="B894" s="28"/>
      <c r="C894" s="28"/>
      <c r="D894" s="28"/>
      <c r="E894" s="28"/>
      <c r="F894" s="28"/>
    </row>
    <row r="895" customFormat="false" ht="15" hidden="false" customHeight="false" outlineLevel="0" collapsed="false">
      <c r="A895" s="63"/>
      <c r="B895" s="28"/>
      <c r="C895" s="28"/>
      <c r="D895" s="28"/>
      <c r="E895" s="28"/>
      <c r="F895" s="28"/>
    </row>
    <row r="896" customFormat="false" ht="15" hidden="false" customHeight="false" outlineLevel="0" collapsed="false">
      <c r="A896" s="63"/>
      <c r="B896" s="28"/>
      <c r="C896" s="28"/>
      <c r="D896" s="28"/>
      <c r="E896" s="28"/>
      <c r="F896" s="28"/>
    </row>
    <row r="897" customFormat="false" ht="15" hidden="false" customHeight="false" outlineLevel="0" collapsed="false">
      <c r="A897" s="63"/>
      <c r="B897" s="28"/>
      <c r="C897" s="28"/>
      <c r="D897" s="28"/>
      <c r="E897" s="28"/>
      <c r="F897" s="28"/>
    </row>
    <row r="898" customFormat="false" ht="15" hidden="false" customHeight="false" outlineLevel="0" collapsed="false">
      <c r="A898" s="63"/>
      <c r="B898" s="28"/>
      <c r="C898" s="28"/>
      <c r="D898" s="28"/>
      <c r="E898" s="28"/>
      <c r="F898" s="28"/>
    </row>
    <row r="899" customFormat="false" ht="15" hidden="false" customHeight="false" outlineLevel="0" collapsed="false">
      <c r="A899" s="63"/>
      <c r="B899" s="28"/>
      <c r="C899" s="28"/>
      <c r="D899" s="28"/>
      <c r="E899" s="28"/>
      <c r="F899" s="28"/>
    </row>
    <row r="900" customFormat="false" ht="15" hidden="false" customHeight="false" outlineLevel="0" collapsed="false">
      <c r="A900" s="63"/>
      <c r="B900" s="28"/>
      <c r="C900" s="28"/>
      <c r="D900" s="28"/>
      <c r="E900" s="28"/>
      <c r="F900" s="28"/>
    </row>
    <row r="901" customFormat="false" ht="15" hidden="false" customHeight="false" outlineLevel="0" collapsed="false">
      <c r="A901" s="63"/>
      <c r="B901" s="28"/>
      <c r="C901" s="28"/>
      <c r="D901" s="28"/>
      <c r="E901" s="28"/>
      <c r="F901" s="28"/>
    </row>
    <row r="902" customFormat="false" ht="15" hidden="false" customHeight="false" outlineLevel="0" collapsed="false">
      <c r="A902" s="63"/>
      <c r="B902" s="28"/>
      <c r="C902" s="28"/>
      <c r="D902" s="28"/>
      <c r="E902" s="28"/>
      <c r="F902" s="28"/>
    </row>
    <row r="903" customFormat="false" ht="15" hidden="false" customHeight="false" outlineLevel="0" collapsed="false">
      <c r="A903" s="63"/>
      <c r="B903" s="28"/>
      <c r="C903" s="28"/>
      <c r="D903" s="28"/>
      <c r="E903" s="28"/>
      <c r="F903" s="28"/>
    </row>
    <row r="904" customFormat="false" ht="15" hidden="false" customHeight="false" outlineLevel="0" collapsed="false">
      <c r="A904" s="63"/>
      <c r="B904" s="28"/>
      <c r="C904" s="28"/>
      <c r="D904" s="28"/>
      <c r="E904" s="28"/>
      <c r="F904" s="28"/>
    </row>
    <row r="905" customFormat="false" ht="15" hidden="false" customHeight="false" outlineLevel="0" collapsed="false">
      <c r="A905" s="63"/>
      <c r="B905" s="28"/>
      <c r="C905" s="28"/>
      <c r="D905" s="28"/>
      <c r="E905" s="28"/>
      <c r="F905" s="28"/>
    </row>
    <row r="906" customFormat="false" ht="15" hidden="false" customHeight="false" outlineLevel="0" collapsed="false">
      <c r="A906" s="63"/>
      <c r="B906" s="28"/>
      <c r="C906" s="28"/>
      <c r="D906" s="28"/>
      <c r="E906" s="28"/>
      <c r="F906" s="28"/>
    </row>
    <row r="907" customFormat="false" ht="15" hidden="false" customHeight="false" outlineLevel="0" collapsed="false">
      <c r="A907" s="63"/>
      <c r="B907" s="28"/>
      <c r="C907" s="28"/>
      <c r="D907" s="28"/>
      <c r="E907" s="28"/>
      <c r="F907" s="28"/>
    </row>
    <row r="908" customFormat="false" ht="15" hidden="false" customHeight="false" outlineLevel="0" collapsed="false">
      <c r="A908" s="63"/>
      <c r="B908" s="28"/>
      <c r="C908" s="28"/>
      <c r="D908" s="28"/>
      <c r="E908" s="28"/>
      <c r="F908" s="28"/>
    </row>
    <row r="909" customFormat="false" ht="15" hidden="false" customHeight="false" outlineLevel="0" collapsed="false">
      <c r="A909" s="63"/>
      <c r="B909" s="28"/>
      <c r="C909" s="28"/>
      <c r="D909" s="28"/>
      <c r="E909" s="28"/>
      <c r="F909" s="28"/>
    </row>
    <row r="910" customFormat="false" ht="15" hidden="false" customHeight="false" outlineLevel="0" collapsed="false">
      <c r="A910" s="63"/>
      <c r="B910" s="28"/>
      <c r="C910" s="28"/>
      <c r="D910" s="28"/>
      <c r="E910" s="28"/>
      <c r="F910" s="28"/>
    </row>
    <row r="911" customFormat="false" ht="15" hidden="false" customHeight="false" outlineLevel="0" collapsed="false">
      <c r="A911" s="63"/>
      <c r="B911" s="28"/>
      <c r="C911" s="28"/>
      <c r="D911" s="28"/>
      <c r="E911" s="28"/>
      <c r="F911" s="28"/>
    </row>
    <row r="912" customFormat="false" ht="15" hidden="false" customHeight="false" outlineLevel="0" collapsed="false">
      <c r="A912" s="63"/>
      <c r="B912" s="28"/>
      <c r="C912" s="28"/>
      <c r="D912" s="28"/>
      <c r="E912" s="28"/>
      <c r="F912" s="28"/>
    </row>
    <row r="913" customFormat="false" ht="15" hidden="false" customHeight="false" outlineLevel="0" collapsed="false">
      <c r="A913" s="63"/>
      <c r="B913" s="28"/>
      <c r="C913" s="28"/>
      <c r="D913" s="28"/>
      <c r="E913" s="28"/>
      <c r="F913" s="28"/>
    </row>
    <row r="914" customFormat="false" ht="15" hidden="false" customHeight="false" outlineLevel="0" collapsed="false">
      <c r="A914" s="63"/>
      <c r="B914" s="28"/>
      <c r="C914" s="28"/>
      <c r="D914" s="28"/>
      <c r="E914" s="28"/>
      <c r="F914" s="28"/>
    </row>
    <row r="915" customFormat="false" ht="15" hidden="false" customHeight="false" outlineLevel="0" collapsed="false">
      <c r="A915" s="63"/>
      <c r="B915" s="28"/>
      <c r="C915" s="28"/>
      <c r="D915" s="28"/>
      <c r="E915" s="28"/>
      <c r="F915" s="28"/>
    </row>
    <row r="916" customFormat="false" ht="15" hidden="false" customHeight="false" outlineLevel="0" collapsed="false">
      <c r="A916" s="63"/>
      <c r="B916" s="28"/>
      <c r="C916" s="28"/>
      <c r="D916" s="28"/>
      <c r="E916" s="28"/>
      <c r="F916" s="28"/>
    </row>
    <row r="917" customFormat="false" ht="15" hidden="false" customHeight="false" outlineLevel="0" collapsed="false">
      <c r="A917" s="63"/>
      <c r="B917" s="28"/>
      <c r="C917" s="28"/>
      <c r="D917" s="28"/>
      <c r="E917" s="28"/>
      <c r="F917" s="28"/>
    </row>
    <row r="918" customFormat="false" ht="15" hidden="false" customHeight="false" outlineLevel="0" collapsed="false">
      <c r="A918" s="63"/>
      <c r="B918" s="28"/>
      <c r="C918" s="28"/>
      <c r="D918" s="28"/>
      <c r="E918" s="28"/>
      <c r="F918" s="28"/>
    </row>
    <row r="919" customFormat="false" ht="15" hidden="false" customHeight="false" outlineLevel="0" collapsed="false">
      <c r="A919" s="63"/>
      <c r="B919" s="28"/>
      <c r="C919" s="28"/>
      <c r="D919" s="28"/>
      <c r="E919" s="28"/>
      <c r="F919" s="28"/>
    </row>
    <row r="920" customFormat="false" ht="15" hidden="false" customHeight="false" outlineLevel="0" collapsed="false">
      <c r="A920" s="63"/>
      <c r="B920" s="28"/>
      <c r="C920" s="28"/>
      <c r="D920" s="28"/>
      <c r="E920" s="28"/>
      <c r="F920" s="28"/>
    </row>
    <row r="921" customFormat="false" ht="15" hidden="false" customHeight="false" outlineLevel="0" collapsed="false">
      <c r="A921" s="63"/>
      <c r="B921" s="28"/>
      <c r="C921" s="28"/>
      <c r="D921" s="28"/>
      <c r="E921" s="28"/>
      <c r="F921" s="28"/>
    </row>
    <row r="922" customFormat="false" ht="15" hidden="false" customHeight="false" outlineLevel="0" collapsed="false">
      <c r="A922" s="63"/>
      <c r="B922" s="28"/>
      <c r="C922" s="28"/>
      <c r="D922" s="28"/>
      <c r="E922" s="28"/>
      <c r="F922" s="28"/>
    </row>
    <row r="923" customFormat="false" ht="15" hidden="false" customHeight="false" outlineLevel="0" collapsed="false">
      <c r="A923" s="63"/>
      <c r="B923" s="28"/>
      <c r="C923" s="28"/>
      <c r="D923" s="28"/>
      <c r="E923" s="28"/>
      <c r="F923" s="28"/>
    </row>
    <row r="924" customFormat="false" ht="15" hidden="false" customHeight="false" outlineLevel="0" collapsed="false">
      <c r="A924" s="63"/>
      <c r="B924" s="28"/>
      <c r="C924" s="28"/>
      <c r="D924" s="28"/>
      <c r="E924" s="28"/>
      <c r="F924" s="28"/>
    </row>
    <row r="925" customFormat="false" ht="15" hidden="false" customHeight="false" outlineLevel="0" collapsed="false">
      <c r="A925" s="63"/>
      <c r="B925" s="28"/>
      <c r="C925" s="28"/>
      <c r="D925" s="28"/>
      <c r="E925" s="28"/>
      <c r="F925" s="28"/>
    </row>
    <row r="926" customFormat="false" ht="15" hidden="false" customHeight="false" outlineLevel="0" collapsed="false">
      <c r="A926" s="63"/>
      <c r="B926" s="28"/>
      <c r="C926" s="28"/>
      <c r="D926" s="28"/>
      <c r="E926" s="28"/>
      <c r="F926" s="28"/>
    </row>
    <row r="927" customFormat="false" ht="15" hidden="false" customHeight="false" outlineLevel="0" collapsed="false">
      <c r="A927" s="63"/>
      <c r="B927" s="28"/>
      <c r="C927" s="28"/>
      <c r="D927" s="28"/>
      <c r="E927" s="28"/>
      <c r="F927" s="28"/>
    </row>
    <row r="928" customFormat="false" ht="15" hidden="false" customHeight="false" outlineLevel="0" collapsed="false">
      <c r="A928" s="63"/>
      <c r="B928" s="28"/>
      <c r="C928" s="28"/>
      <c r="D928" s="28"/>
      <c r="E928" s="28"/>
      <c r="F928" s="28"/>
    </row>
    <row r="929" customFormat="false" ht="15" hidden="false" customHeight="false" outlineLevel="0" collapsed="false">
      <c r="A929" s="63"/>
      <c r="B929" s="28"/>
      <c r="C929" s="28"/>
      <c r="D929" s="28"/>
      <c r="E929" s="28"/>
      <c r="F929" s="28"/>
    </row>
    <row r="930" customFormat="false" ht="15" hidden="false" customHeight="false" outlineLevel="0" collapsed="false">
      <c r="A930" s="63"/>
      <c r="B930" s="28"/>
      <c r="C930" s="28"/>
      <c r="D930" s="28"/>
      <c r="E930" s="28"/>
      <c r="F930" s="28"/>
    </row>
    <row r="931" customFormat="false" ht="15" hidden="false" customHeight="false" outlineLevel="0" collapsed="false">
      <c r="A931" s="63"/>
      <c r="B931" s="28"/>
      <c r="C931" s="28"/>
      <c r="D931" s="28"/>
      <c r="E931" s="28"/>
      <c r="F931" s="28"/>
    </row>
    <row r="932" customFormat="false" ht="15" hidden="false" customHeight="false" outlineLevel="0" collapsed="false">
      <c r="A932" s="63"/>
      <c r="B932" s="28"/>
      <c r="C932" s="28"/>
      <c r="D932" s="28"/>
      <c r="E932" s="28"/>
      <c r="F932" s="28"/>
    </row>
    <row r="933" customFormat="false" ht="15" hidden="false" customHeight="false" outlineLevel="0" collapsed="false">
      <c r="A933" s="63"/>
      <c r="B933" s="28"/>
      <c r="C933" s="28"/>
      <c r="D933" s="28"/>
      <c r="E933" s="28"/>
      <c r="F933" s="28"/>
    </row>
    <row r="934" customFormat="false" ht="15" hidden="false" customHeight="false" outlineLevel="0" collapsed="false">
      <c r="A934" s="63"/>
      <c r="B934" s="28"/>
      <c r="C934" s="28"/>
      <c r="D934" s="28"/>
      <c r="E934" s="28"/>
      <c r="F934" s="28"/>
    </row>
    <row r="935" customFormat="false" ht="15" hidden="false" customHeight="false" outlineLevel="0" collapsed="false">
      <c r="A935" s="63"/>
      <c r="B935" s="28"/>
      <c r="C935" s="28"/>
      <c r="D935" s="28"/>
      <c r="E935" s="28"/>
      <c r="F935" s="28"/>
    </row>
    <row r="936" customFormat="false" ht="15" hidden="false" customHeight="false" outlineLevel="0" collapsed="false">
      <c r="A936" s="63"/>
      <c r="B936" s="28"/>
      <c r="C936" s="28"/>
      <c r="D936" s="28"/>
      <c r="E936" s="28"/>
      <c r="F936" s="28"/>
    </row>
    <row r="937" customFormat="false" ht="15" hidden="false" customHeight="false" outlineLevel="0" collapsed="false">
      <c r="A937" s="63"/>
      <c r="B937" s="28"/>
      <c r="C937" s="28"/>
      <c r="D937" s="28"/>
      <c r="E937" s="28"/>
      <c r="F937" s="28"/>
    </row>
    <row r="938" customFormat="false" ht="15" hidden="false" customHeight="false" outlineLevel="0" collapsed="false">
      <c r="A938" s="63"/>
      <c r="B938" s="28"/>
      <c r="C938" s="28"/>
      <c r="D938" s="28"/>
      <c r="E938" s="28"/>
      <c r="F938" s="28"/>
    </row>
    <row r="939" customFormat="false" ht="15" hidden="false" customHeight="false" outlineLevel="0" collapsed="false">
      <c r="A939" s="63"/>
      <c r="B939" s="28"/>
      <c r="C939" s="28"/>
      <c r="D939" s="28"/>
      <c r="E939" s="28"/>
      <c r="F939" s="28"/>
    </row>
    <row r="940" customFormat="false" ht="15" hidden="false" customHeight="false" outlineLevel="0" collapsed="false">
      <c r="A940" s="63"/>
      <c r="B940" s="28"/>
      <c r="C940" s="28"/>
      <c r="D940" s="28"/>
      <c r="E940" s="28"/>
      <c r="F940" s="28"/>
    </row>
    <row r="941" customFormat="false" ht="15" hidden="false" customHeight="false" outlineLevel="0" collapsed="false">
      <c r="A941" s="63"/>
      <c r="B941" s="28"/>
      <c r="C941" s="28"/>
      <c r="D941" s="28"/>
      <c r="E941" s="28"/>
      <c r="F941" s="28"/>
    </row>
    <row r="942" customFormat="false" ht="15" hidden="false" customHeight="false" outlineLevel="0" collapsed="false">
      <c r="A942" s="63"/>
      <c r="B942" s="28"/>
      <c r="C942" s="28"/>
      <c r="D942" s="28"/>
      <c r="E942" s="28"/>
      <c r="F942" s="28"/>
    </row>
    <row r="943" customFormat="false" ht="15" hidden="false" customHeight="false" outlineLevel="0" collapsed="false">
      <c r="A943" s="63"/>
      <c r="B943" s="28"/>
      <c r="C943" s="28"/>
      <c r="D943" s="28"/>
      <c r="E943" s="28"/>
      <c r="F943" s="28"/>
    </row>
    <row r="944" customFormat="false" ht="15" hidden="false" customHeight="false" outlineLevel="0" collapsed="false">
      <c r="A944" s="63"/>
      <c r="B944" s="28"/>
      <c r="C944" s="28"/>
      <c r="D944" s="28"/>
      <c r="E944" s="28"/>
      <c r="F944" s="28"/>
    </row>
    <row r="945" customFormat="false" ht="15" hidden="false" customHeight="false" outlineLevel="0" collapsed="false">
      <c r="A945" s="63"/>
      <c r="B945" s="28"/>
      <c r="C945" s="28"/>
      <c r="D945" s="28"/>
      <c r="E945" s="28"/>
      <c r="F945" s="28"/>
    </row>
    <row r="946" customFormat="false" ht="15" hidden="false" customHeight="false" outlineLevel="0" collapsed="false">
      <c r="A946" s="63"/>
      <c r="B946" s="28"/>
      <c r="C946" s="28"/>
      <c r="D946" s="28"/>
      <c r="E946" s="28"/>
      <c r="F946" s="28"/>
    </row>
    <row r="947" customFormat="false" ht="15" hidden="false" customHeight="false" outlineLevel="0" collapsed="false">
      <c r="A947" s="63"/>
      <c r="B947" s="28"/>
      <c r="C947" s="28"/>
      <c r="D947" s="28"/>
      <c r="E947" s="28"/>
      <c r="F947" s="28"/>
    </row>
    <row r="948" customFormat="false" ht="15" hidden="false" customHeight="false" outlineLevel="0" collapsed="false">
      <c r="A948" s="63"/>
      <c r="B948" s="28"/>
      <c r="C948" s="28"/>
      <c r="D948" s="28"/>
      <c r="E948" s="28"/>
      <c r="F948" s="28"/>
    </row>
    <row r="949" customFormat="false" ht="15" hidden="false" customHeight="false" outlineLevel="0" collapsed="false">
      <c r="A949" s="63"/>
      <c r="B949" s="28"/>
      <c r="C949" s="28"/>
      <c r="D949" s="28"/>
      <c r="E949" s="28"/>
      <c r="F949" s="28"/>
    </row>
    <row r="950" customFormat="false" ht="15" hidden="false" customHeight="false" outlineLevel="0" collapsed="false">
      <c r="A950" s="63"/>
      <c r="B950" s="28"/>
      <c r="C950" s="28"/>
      <c r="D950" s="28"/>
      <c r="E950" s="28"/>
      <c r="F950" s="28"/>
    </row>
    <row r="951" customFormat="false" ht="15" hidden="false" customHeight="false" outlineLevel="0" collapsed="false">
      <c r="A951" s="63"/>
      <c r="B951" s="28"/>
      <c r="C951" s="28"/>
      <c r="D951" s="28"/>
      <c r="E951" s="28"/>
      <c r="F951" s="28"/>
    </row>
    <row r="952" customFormat="false" ht="15" hidden="false" customHeight="false" outlineLevel="0" collapsed="false">
      <c r="A952" s="63"/>
      <c r="B952" s="28"/>
      <c r="C952" s="28"/>
      <c r="D952" s="28"/>
      <c r="E952" s="28"/>
      <c r="F952" s="28"/>
    </row>
    <row r="953" customFormat="false" ht="15" hidden="false" customHeight="false" outlineLevel="0" collapsed="false">
      <c r="A953" s="63"/>
      <c r="B953" s="28"/>
      <c r="C953" s="28"/>
      <c r="D953" s="28"/>
      <c r="E953" s="28"/>
      <c r="F953" s="28"/>
    </row>
    <row r="954" customFormat="false" ht="15" hidden="false" customHeight="false" outlineLevel="0" collapsed="false">
      <c r="A954" s="63"/>
      <c r="B954" s="28"/>
      <c r="C954" s="28"/>
      <c r="D954" s="28"/>
      <c r="E954" s="28"/>
      <c r="F954" s="28"/>
    </row>
    <row r="955" customFormat="false" ht="15" hidden="false" customHeight="false" outlineLevel="0" collapsed="false">
      <c r="A955" s="63"/>
      <c r="B955" s="28"/>
      <c r="C955" s="28"/>
      <c r="D955" s="28"/>
      <c r="E955" s="28"/>
      <c r="F955" s="28"/>
    </row>
    <row r="956" customFormat="false" ht="15" hidden="false" customHeight="false" outlineLevel="0" collapsed="false">
      <c r="A956" s="63"/>
      <c r="B956" s="28"/>
      <c r="C956" s="28"/>
      <c r="D956" s="28"/>
      <c r="E956" s="28"/>
      <c r="F956" s="28"/>
    </row>
    <row r="957" customFormat="false" ht="15" hidden="false" customHeight="false" outlineLevel="0" collapsed="false">
      <c r="A957" s="63"/>
      <c r="B957" s="28"/>
      <c r="C957" s="28"/>
      <c r="D957" s="28"/>
      <c r="E957" s="28"/>
      <c r="F957" s="28"/>
    </row>
    <row r="958" customFormat="false" ht="15" hidden="false" customHeight="false" outlineLevel="0" collapsed="false">
      <c r="A958" s="63"/>
      <c r="B958" s="28"/>
      <c r="C958" s="28"/>
      <c r="D958" s="28"/>
      <c r="E958" s="28"/>
      <c r="F958" s="28"/>
    </row>
    <row r="959" customFormat="false" ht="15" hidden="false" customHeight="false" outlineLevel="0" collapsed="false">
      <c r="A959" s="63"/>
      <c r="B959" s="28"/>
      <c r="C959" s="28"/>
      <c r="D959" s="28"/>
      <c r="E959" s="28"/>
      <c r="F959" s="28"/>
    </row>
    <row r="960" customFormat="false" ht="15" hidden="false" customHeight="false" outlineLevel="0" collapsed="false">
      <c r="A960" s="63"/>
      <c r="B960" s="28"/>
      <c r="C960" s="28"/>
      <c r="D960" s="28"/>
      <c r="E960" s="28"/>
      <c r="F960" s="28"/>
    </row>
    <row r="961" customFormat="false" ht="15" hidden="false" customHeight="false" outlineLevel="0" collapsed="false">
      <c r="A961" s="63"/>
      <c r="B961" s="28"/>
      <c r="C961" s="28"/>
      <c r="D961" s="28"/>
      <c r="E961" s="28"/>
      <c r="F961" s="28"/>
    </row>
    <row r="962" customFormat="false" ht="15" hidden="false" customHeight="false" outlineLevel="0" collapsed="false">
      <c r="A962" s="63"/>
      <c r="B962" s="28"/>
      <c r="C962" s="28"/>
      <c r="D962" s="28"/>
      <c r="E962" s="28"/>
      <c r="F962" s="28"/>
    </row>
    <row r="963" customFormat="false" ht="15" hidden="false" customHeight="false" outlineLevel="0" collapsed="false">
      <c r="A963" s="63"/>
      <c r="B963" s="28"/>
      <c r="C963" s="28"/>
      <c r="D963" s="28"/>
      <c r="E963" s="28"/>
      <c r="F963" s="28"/>
    </row>
    <row r="964" customFormat="false" ht="15" hidden="false" customHeight="false" outlineLevel="0" collapsed="false">
      <c r="A964" s="63"/>
      <c r="B964" s="28"/>
      <c r="C964" s="28"/>
      <c r="D964" s="28"/>
      <c r="E964" s="28"/>
      <c r="F964" s="28"/>
    </row>
    <row r="965" customFormat="false" ht="15" hidden="false" customHeight="false" outlineLevel="0" collapsed="false">
      <c r="A965" s="63"/>
      <c r="B965" s="28"/>
      <c r="C965" s="28"/>
      <c r="D965" s="28"/>
      <c r="E965" s="28"/>
      <c r="F965" s="28"/>
    </row>
    <row r="966" customFormat="false" ht="15" hidden="false" customHeight="false" outlineLevel="0" collapsed="false">
      <c r="A966" s="63"/>
      <c r="B966" s="28"/>
      <c r="C966" s="28"/>
      <c r="D966" s="28"/>
      <c r="E966" s="28"/>
      <c r="F966" s="28"/>
    </row>
    <row r="967" customFormat="false" ht="15" hidden="false" customHeight="false" outlineLevel="0" collapsed="false">
      <c r="A967" s="63"/>
      <c r="B967" s="28"/>
      <c r="C967" s="28"/>
      <c r="D967" s="28"/>
      <c r="E967" s="28"/>
      <c r="F967" s="28"/>
    </row>
    <row r="968" customFormat="false" ht="15" hidden="false" customHeight="false" outlineLevel="0" collapsed="false">
      <c r="A968" s="63"/>
      <c r="B968" s="28"/>
      <c r="C968" s="28"/>
      <c r="D968" s="28"/>
      <c r="E968" s="28"/>
      <c r="F968" s="28"/>
    </row>
    <row r="969" customFormat="false" ht="15" hidden="false" customHeight="false" outlineLevel="0" collapsed="false">
      <c r="A969" s="63"/>
      <c r="B969" s="28"/>
      <c r="C969" s="28"/>
      <c r="D969" s="28"/>
      <c r="E969" s="28"/>
      <c r="F969" s="28"/>
    </row>
    <row r="970" customFormat="false" ht="15" hidden="false" customHeight="false" outlineLevel="0" collapsed="false">
      <c r="A970" s="63"/>
      <c r="B970" s="28"/>
      <c r="C970" s="28"/>
      <c r="D970" s="28"/>
      <c r="E970" s="28"/>
      <c r="F970" s="28"/>
    </row>
    <row r="971" customFormat="false" ht="15" hidden="false" customHeight="false" outlineLevel="0" collapsed="false">
      <c r="A971" s="63"/>
      <c r="B971" s="28"/>
      <c r="C971" s="28"/>
      <c r="D971" s="28"/>
      <c r="E971" s="28"/>
      <c r="F971" s="28"/>
    </row>
    <row r="972" customFormat="false" ht="15" hidden="false" customHeight="false" outlineLevel="0" collapsed="false">
      <c r="A972" s="63"/>
      <c r="B972" s="28"/>
      <c r="C972" s="28"/>
      <c r="D972" s="28"/>
      <c r="E972" s="28"/>
      <c r="F972" s="28"/>
    </row>
    <row r="973" customFormat="false" ht="15" hidden="false" customHeight="false" outlineLevel="0" collapsed="false">
      <c r="A973" s="63"/>
      <c r="B973" s="28"/>
      <c r="C973" s="28"/>
      <c r="D973" s="28"/>
      <c r="E973" s="28"/>
      <c r="F973" s="28"/>
    </row>
    <row r="974" customFormat="false" ht="15" hidden="false" customHeight="false" outlineLevel="0" collapsed="false">
      <c r="A974" s="63"/>
      <c r="B974" s="28"/>
      <c r="C974" s="28"/>
      <c r="D974" s="28"/>
      <c r="E974" s="28"/>
      <c r="F974" s="28"/>
    </row>
    <row r="975" customFormat="false" ht="15" hidden="false" customHeight="false" outlineLevel="0" collapsed="false">
      <c r="A975" s="63"/>
      <c r="B975" s="28"/>
      <c r="C975" s="28"/>
      <c r="D975" s="28"/>
      <c r="E975" s="28"/>
      <c r="F975" s="28"/>
    </row>
    <row r="976" customFormat="false" ht="15" hidden="false" customHeight="false" outlineLevel="0" collapsed="false">
      <c r="A976" s="63"/>
      <c r="B976" s="28"/>
      <c r="C976" s="28"/>
      <c r="D976" s="28"/>
      <c r="E976" s="28"/>
      <c r="F976" s="28"/>
    </row>
    <row r="977" customFormat="false" ht="15" hidden="false" customHeight="false" outlineLevel="0" collapsed="false">
      <c r="A977" s="63"/>
      <c r="B977" s="28"/>
      <c r="C977" s="28"/>
      <c r="D977" s="28"/>
      <c r="E977" s="28"/>
      <c r="F977" s="28"/>
    </row>
    <row r="978" customFormat="false" ht="15" hidden="false" customHeight="false" outlineLevel="0" collapsed="false">
      <c r="A978" s="63"/>
      <c r="B978" s="28"/>
      <c r="C978" s="28"/>
      <c r="D978" s="28"/>
      <c r="E978" s="28"/>
      <c r="F978" s="28"/>
    </row>
    <row r="979" customFormat="false" ht="15" hidden="false" customHeight="false" outlineLevel="0" collapsed="false">
      <c r="A979" s="63"/>
      <c r="B979" s="28"/>
      <c r="C979" s="28"/>
      <c r="D979" s="28"/>
      <c r="E979" s="28"/>
      <c r="F979" s="28"/>
    </row>
    <row r="980" customFormat="false" ht="15" hidden="false" customHeight="false" outlineLevel="0" collapsed="false">
      <c r="A980" s="63"/>
      <c r="B980" s="28"/>
      <c r="C980" s="28"/>
      <c r="D980" s="28"/>
      <c r="E980" s="28"/>
      <c r="F980" s="28"/>
    </row>
    <row r="981" customFormat="false" ht="15" hidden="false" customHeight="false" outlineLevel="0" collapsed="false">
      <c r="A981" s="63"/>
      <c r="B981" s="28"/>
      <c r="C981" s="28"/>
      <c r="D981" s="28"/>
      <c r="E981" s="28"/>
      <c r="F981" s="28"/>
    </row>
    <row r="982" customFormat="false" ht="15" hidden="false" customHeight="false" outlineLevel="0" collapsed="false">
      <c r="A982" s="63"/>
      <c r="B982" s="28"/>
      <c r="C982" s="28"/>
      <c r="D982" s="28"/>
      <c r="E982" s="28"/>
      <c r="F982" s="28"/>
    </row>
    <row r="983" customFormat="false" ht="15" hidden="false" customHeight="false" outlineLevel="0" collapsed="false">
      <c r="A983" s="63"/>
      <c r="B983" s="28"/>
      <c r="C983" s="28"/>
      <c r="D983" s="28"/>
      <c r="E983" s="28"/>
      <c r="F983" s="28"/>
    </row>
    <row r="984" customFormat="false" ht="15" hidden="false" customHeight="false" outlineLevel="0" collapsed="false">
      <c r="A984" s="63"/>
      <c r="B984" s="28"/>
      <c r="C984" s="28"/>
      <c r="D984" s="28"/>
      <c r="E984" s="28"/>
      <c r="F984" s="28"/>
    </row>
    <row r="985" customFormat="false" ht="15" hidden="false" customHeight="false" outlineLevel="0" collapsed="false">
      <c r="A985" s="63"/>
      <c r="B985" s="28"/>
      <c r="C985" s="28"/>
      <c r="D985" s="28"/>
      <c r="E985" s="28"/>
      <c r="F985" s="28"/>
    </row>
    <row r="986" customFormat="false" ht="15" hidden="false" customHeight="false" outlineLevel="0" collapsed="false">
      <c r="A986" s="63"/>
      <c r="B986" s="28"/>
      <c r="C986" s="28"/>
      <c r="D986" s="28"/>
      <c r="E986" s="28"/>
      <c r="F986" s="28"/>
    </row>
    <row r="987" customFormat="false" ht="15" hidden="false" customHeight="false" outlineLevel="0" collapsed="false">
      <c r="A987" s="63"/>
      <c r="B987" s="28"/>
      <c r="C987" s="28"/>
      <c r="D987" s="28"/>
      <c r="E987" s="28"/>
      <c r="F987" s="28"/>
    </row>
    <row r="988" customFormat="false" ht="15" hidden="false" customHeight="false" outlineLevel="0" collapsed="false">
      <c r="A988" s="63"/>
      <c r="B988" s="28"/>
      <c r="C988" s="28"/>
      <c r="D988" s="28"/>
      <c r="E988" s="28"/>
      <c r="F988" s="28"/>
    </row>
    <row r="989" customFormat="false" ht="15" hidden="false" customHeight="false" outlineLevel="0" collapsed="false">
      <c r="A989" s="63"/>
      <c r="B989" s="28"/>
      <c r="C989" s="28"/>
      <c r="D989" s="28"/>
      <c r="E989" s="28"/>
      <c r="F989" s="28"/>
    </row>
    <row r="990" customFormat="false" ht="15" hidden="false" customHeight="false" outlineLevel="0" collapsed="false">
      <c r="A990" s="63"/>
      <c r="B990" s="28"/>
      <c r="C990" s="28"/>
      <c r="D990" s="28"/>
      <c r="E990" s="28"/>
      <c r="F990" s="28"/>
    </row>
    <row r="991" customFormat="false" ht="15" hidden="false" customHeight="false" outlineLevel="0" collapsed="false">
      <c r="A991" s="63"/>
      <c r="B991" s="28"/>
      <c r="C991" s="28"/>
      <c r="D991" s="28"/>
      <c r="E991" s="28"/>
      <c r="F991" s="28"/>
    </row>
    <row r="992" customFormat="false" ht="15" hidden="false" customHeight="false" outlineLevel="0" collapsed="false">
      <c r="A992" s="63"/>
      <c r="B992" s="28"/>
      <c r="C992" s="28"/>
      <c r="D992" s="28"/>
      <c r="E992" s="28"/>
      <c r="F992" s="28"/>
    </row>
    <row r="993" customFormat="false" ht="15" hidden="false" customHeight="false" outlineLevel="0" collapsed="false">
      <c r="A993" s="63"/>
      <c r="B993" s="28"/>
      <c r="C993" s="28"/>
      <c r="D993" s="28"/>
      <c r="E993" s="28"/>
      <c r="F993" s="28"/>
    </row>
    <row r="994" customFormat="false" ht="15" hidden="false" customHeight="false" outlineLevel="0" collapsed="false">
      <c r="A994" s="63"/>
      <c r="B994" s="28"/>
      <c r="C994" s="28"/>
      <c r="D994" s="28"/>
      <c r="E994" s="28"/>
      <c r="F994" s="28"/>
    </row>
    <row r="995" customFormat="false" ht="15" hidden="false" customHeight="false" outlineLevel="0" collapsed="false">
      <c r="A995" s="63"/>
      <c r="B995" s="28"/>
      <c r="C995" s="28"/>
      <c r="D995" s="28"/>
      <c r="E995" s="28"/>
      <c r="F995" s="28"/>
    </row>
    <row r="996" customFormat="false" ht="15" hidden="false" customHeight="false" outlineLevel="0" collapsed="false">
      <c r="A996" s="63"/>
      <c r="B996" s="28"/>
      <c r="C996" s="28"/>
      <c r="D996" s="28"/>
      <c r="E996" s="28"/>
      <c r="F996" s="28"/>
    </row>
    <row r="997" customFormat="false" ht="15" hidden="false" customHeight="false" outlineLevel="0" collapsed="false">
      <c r="A997" s="63"/>
      <c r="B997" s="28"/>
      <c r="C997" s="28"/>
      <c r="D997" s="28"/>
      <c r="E997" s="28"/>
      <c r="F997" s="28"/>
    </row>
    <row r="998" customFormat="false" ht="15" hidden="false" customHeight="false" outlineLevel="0" collapsed="false">
      <c r="A998" s="63"/>
      <c r="B998" s="28"/>
      <c r="C998" s="28"/>
      <c r="D998" s="28"/>
      <c r="E998" s="28"/>
      <c r="F998" s="28"/>
    </row>
    <row r="999" customFormat="false" ht="15" hidden="false" customHeight="false" outlineLevel="0" collapsed="false">
      <c r="A999" s="63"/>
      <c r="B999" s="28"/>
      <c r="C999" s="28"/>
      <c r="D999" s="28"/>
      <c r="E999" s="28"/>
      <c r="F999" s="28"/>
    </row>
    <row r="1000" customFormat="false" ht="15" hidden="false" customHeight="false" outlineLevel="0" collapsed="false">
      <c r="A1000" s="63"/>
      <c r="B1000" s="28"/>
      <c r="C1000" s="28"/>
      <c r="D1000" s="28"/>
      <c r="E1000" s="28"/>
      <c r="F1000" s="28"/>
    </row>
    <row r="1001" customFormat="false" ht="15" hidden="false" customHeight="false" outlineLevel="0" collapsed="false">
      <c r="A1001" s="63"/>
      <c r="B1001" s="28"/>
      <c r="C1001" s="28"/>
      <c r="D1001" s="28"/>
      <c r="E1001" s="28"/>
      <c r="F1001" s="28"/>
    </row>
  </sheetData>
  <autoFilter ref="A1:F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J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5" min="3" style="0" width="1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10" min="8" style="0" width="9"/>
  </cols>
  <sheetData>
    <row r="1" customFormat="false" ht="30" hidden="false" customHeight="true" outlineLevel="0" collapsed="false">
      <c r="A1" s="61" t="s">
        <v>9</v>
      </c>
      <c r="B1" s="61" t="s">
        <v>436</v>
      </c>
      <c r="C1" s="61" t="s">
        <v>20</v>
      </c>
      <c r="D1" s="61" t="s">
        <v>437</v>
      </c>
      <c r="E1" s="61" t="s">
        <v>438</v>
      </c>
      <c r="F1" s="61" t="s">
        <v>160</v>
      </c>
      <c r="G1" s="61" t="s">
        <v>439</v>
      </c>
      <c r="H1" s="62" t="s">
        <v>440</v>
      </c>
      <c r="I1" s="62" t="s">
        <v>438</v>
      </c>
      <c r="J1" s="62" t="s">
        <v>171</v>
      </c>
    </row>
    <row r="2" customFormat="false" ht="15" hidden="false" customHeight="false" outlineLevel="0" collapsed="false">
      <c r="A2" s="28" t="s">
        <v>289</v>
      </c>
      <c r="B2" s="28" t="s">
        <v>441</v>
      </c>
      <c r="C2" s="28" t="s">
        <v>291</v>
      </c>
      <c r="D2" s="28" t="s">
        <v>103</v>
      </c>
      <c r="E2" s="28"/>
      <c r="F2" s="28" t="s">
        <v>442</v>
      </c>
      <c r="G2" s="28" t="s">
        <v>443</v>
      </c>
      <c r="H2" s="65" t="n">
        <f aca="false">IF($A2="","",COUNTIFS(Inventory!$D:$D,$A2,Inventory!$K:$K,"Open")+COUNTIFS(Inventory!$D:$D,$A2,Inventory!$K:$K,"Unconfirmed"))</f>
        <v>2</v>
      </c>
      <c r="I2" s="65" t="n">
        <f aca="false">IF($A2="","",COUNTIFS('Use Cases'!$W$2:$W$501,$A2)-COUNTIFS('Use Cases'!$W$2:$W$501,$A2,'Use Cases'!$X$2:$X$501,"Closed"))</f>
        <v>0</v>
      </c>
      <c r="J2" s="65" t="n">
        <f aca="false">IF($A2="","",COUNTIFS('Use Cases'!$W$2:$W$501,$A2,'Use Cases'!$AO$2:$AO$501,"Critical")+COUNTIFS('Use Cases'!$W$2:$W$501,$A2,'Use Cases'!$AO$2:$AO$501,"Warning"))</f>
        <v>0</v>
      </c>
    </row>
    <row r="3" customFormat="false" ht="15" hidden="false" customHeight="false" outlineLevel="0" collapsed="false">
      <c r="A3" s="28" t="s">
        <v>190</v>
      </c>
      <c r="B3" s="28" t="s">
        <v>182</v>
      </c>
      <c r="C3" s="28" t="s">
        <v>185</v>
      </c>
      <c r="D3" s="28" t="s">
        <v>98</v>
      </c>
      <c r="E3" s="28" t="s">
        <v>181</v>
      </c>
      <c r="F3" s="28" t="s">
        <v>442</v>
      </c>
      <c r="G3" s="28" t="s">
        <v>444</v>
      </c>
      <c r="H3" s="65" t="n">
        <f aca="false">IF($A3="","",COUNTIFS(Inventory!$D:$D,$A3,Inventory!$K:$K,"Open")+COUNTIFS(Inventory!$D:$D,$A3,Inventory!$K:$K,"Unconfirmed"))</f>
        <v>0</v>
      </c>
      <c r="I3" s="65" t="n">
        <f aca="false">IF($A3="","",COUNTIFS('Use Cases'!$W$2:$W$501,$A3)-COUNTIFS('Use Cases'!$W$2:$W$501,$A3,'Use Cases'!$X$2:$X$501,"Closed"))</f>
        <v>1</v>
      </c>
      <c r="J3" s="65" t="n">
        <f aca="false">IF($A3="","",COUNTIFS('Use Cases'!$W$2:$W$501,$A3,'Use Cases'!$AO$2:$AO$501,"Critical")+COUNTIFS('Use Cases'!$W$2:$W$501,$A3,'Use Cases'!$AO$2:$AO$501,"Warning"))</f>
        <v>0</v>
      </c>
    </row>
    <row r="4" customFormat="false" ht="15" hidden="false" customHeight="false" outlineLevel="0" collapsed="false">
      <c r="A4" s="28" t="s">
        <v>198</v>
      </c>
      <c r="B4" s="28" t="s">
        <v>445</v>
      </c>
      <c r="C4" s="28" t="s">
        <v>194</v>
      </c>
      <c r="D4" s="28" t="s">
        <v>98</v>
      </c>
      <c r="E4" s="28" t="s">
        <v>446</v>
      </c>
      <c r="F4" s="28" t="s">
        <v>442</v>
      </c>
      <c r="G4" s="28" t="s">
        <v>447</v>
      </c>
      <c r="H4" s="65" t="n">
        <f aca="false">IF($A4="","",COUNTIFS(Inventory!$D:$D,$A4,Inventory!$K:$K,"Open")+COUNTIFS(Inventory!$D:$D,$A4,Inventory!$K:$K,"Unconfirmed"))</f>
        <v>0</v>
      </c>
      <c r="I4" s="65" t="n">
        <f aca="false">IF($A4="","",COUNTIFS('Use Cases'!$W$2:$W$501,$A4)-COUNTIFS('Use Cases'!$W$2:$W$501,$A4,'Use Cases'!$X$2:$X$501,"Closed"))</f>
        <v>2</v>
      </c>
      <c r="J4" s="65" t="n">
        <f aca="false">IF($A4="","",COUNTIFS('Use Cases'!$W$2:$W$501,$A4,'Use Cases'!$AO$2:$AO$501,"Critical")+COUNTIFS('Use Cases'!$W$2:$W$501,$A4,'Use Cases'!$AO$2:$AO$501,"Warning"))</f>
        <v>1</v>
      </c>
    </row>
    <row r="5" customFormat="false" ht="15" hidden="false" customHeight="false" outlineLevel="0" collapsed="false">
      <c r="A5" s="28" t="s">
        <v>205</v>
      </c>
      <c r="B5" s="28" t="s">
        <v>448</v>
      </c>
      <c r="C5" s="28" t="s">
        <v>201</v>
      </c>
      <c r="D5" s="28" t="s">
        <v>103</v>
      </c>
      <c r="E5" s="28" t="s">
        <v>449</v>
      </c>
      <c r="F5" s="28" t="s">
        <v>442</v>
      </c>
      <c r="G5" s="28" t="s">
        <v>434</v>
      </c>
      <c r="H5" s="65" t="n">
        <f aca="false">IF($A5="","",COUNTIFS(Inventory!$D:$D,$A5,Inventory!$K:$K,"Open")+COUNTIFS(Inventory!$D:$D,$A5,Inventory!$K:$K,"Unconfirmed"))</f>
        <v>2</v>
      </c>
      <c r="I5" s="65" t="n">
        <f aca="false">IF($A5="","",COUNTIFS('Use Cases'!$W$2:$W$501,$A5)-COUNTIFS('Use Cases'!$W$2:$W$501,$A5,'Use Cases'!$X$2:$X$501,"Closed"))</f>
        <v>2</v>
      </c>
      <c r="J5" s="65" t="n">
        <f aca="false">IF($A5="","",COUNTIFS('Use Cases'!$W$2:$W$501,$A5,'Use Cases'!$AO$2:$AO$501,"Critical")+COUNTIFS('Use Cases'!$W$2:$W$501,$A5,'Use Cases'!$AO$2:$AO$501,"Warning"))</f>
        <v>1</v>
      </c>
    </row>
    <row r="6" customFormat="false" ht="15" hidden="false" customHeight="false" outlineLevel="0" collapsed="false">
      <c r="A6" s="28" t="s">
        <v>214</v>
      </c>
      <c r="B6" s="28" t="s">
        <v>207</v>
      </c>
      <c r="C6" s="28" t="s">
        <v>209</v>
      </c>
      <c r="D6" s="28" t="s">
        <v>98</v>
      </c>
      <c r="E6" s="28" t="s">
        <v>206</v>
      </c>
      <c r="F6" s="28" t="s">
        <v>442</v>
      </c>
      <c r="G6" s="28" t="s">
        <v>450</v>
      </c>
      <c r="H6" s="65" t="n">
        <f aca="false">IF($A6="","",COUNTIFS(Inventory!$D:$D,$A6,Inventory!$K:$K,"Open")+COUNTIFS(Inventory!$D:$D,$A6,Inventory!$K:$K,"Unconfirmed"))</f>
        <v>0</v>
      </c>
      <c r="I6" s="65" t="n">
        <f aca="false">IF($A6="","",COUNTIFS('Use Cases'!$W$2:$W$501,$A6)-COUNTIFS('Use Cases'!$W$2:$W$501,$A6,'Use Cases'!$X$2:$X$501,"Closed"))</f>
        <v>1</v>
      </c>
      <c r="J6" s="65" t="n">
        <f aca="false">IF($A6="","",COUNTIFS('Use Cases'!$W$2:$W$501,$A6,'Use Cases'!$AO$2:$AO$501,"Critical")+COUNTIFS('Use Cases'!$W$2:$W$501,$A6,'Use Cases'!$AO$2:$AO$501,"Warning"))</f>
        <v>1</v>
      </c>
    </row>
    <row r="7" customFormat="false" ht="15" hidden="false" customHeight="false" outlineLevel="0" collapsed="false">
      <c r="A7" s="28" t="s">
        <v>296</v>
      </c>
      <c r="B7" s="28" t="s">
        <v>451</v>
      </c>
      <c r="C7" s="28" t="s">
        <v>298</v>
      </c>
      <c r="D7" s="28" t="s">
        <v>103</v>
      </c>
      <c r="E7" s="28"/>
      <c r="F7" s="28" t="s">
        <v>442</v>
      </c>
      <c r="G7" s="28" t="s">
        <v>452</v>
      </c>
      <c r="H7" s="65" t="n">
        <f aca="false">IF($A7="","",COUNTIFS(Inventory!$D:$D,$A7,Inventory!$K:$K,"Open")+COUNTIFS(Inventory!$D:$D,$A7,Inventory!$K:$K,"Unconfirmed"))</f>
        <v>1</v>
      </c>
      <c r="I7" s="65" t="n">
        <f aca="false">IF($A7="","",COUNTIFS('Use Cases'!$W$2:$W$501,$A7)-COUNTIFS('Use Cases'!$W$2:$W$501,$A7,'Use Cases'!$X$2:$X$501,"Closed"))</f>
        <v>0</v>
      </c>
      <c r="J7" s="65" t="n">
        <f aca="false">IF($A7="","",COUNTIFS('Use Cases'!$W$2:$W$501,$A7,'Use Cases'!$AO$2:$AO$501,"Critical")+COUNTIFS('Use Cases'!$W$2:$W$501,$A7,'Use Cases'!$AO$2:$AO$501,"Warning"))</f>
        <v>0</v>
      </c>
    </row>
    <row r="8" customFormat="false" ht="15" hidden="false" customHeight="false" outlineLevel="0" collapsed="false">
      <c r="A8" s="28" t="s">
        <v>277</v>
      </c>
      <c r="B8" s="28" t="s">
        <v>453</v>
      </c>
      <c r="C8" s="28" t="s">
        <v>306</v>
      </c>
      <c r="D8" s="28" t="s">
        <v>103</v>
      </c>
      <c r="E8" s="28" t="s">
        <v>272</v>
      </c>
      <c r="F8" s="28" t="s">
        <v>442</v>
      </c>
      <c r="G8" s="28" t="s">
        <v>454</v>
      </c>
      <c r="H8" s="65" t="n">
        <f aca="false">IF($A8="","",COUNTIFS(Inventory!$D:$D,$A8,Inventory!$K:$K,"Open")+COUNTIFS(Inventory!$D:$D,$A8,Inventory!$K:$K,"Unconfirmed"))</f>
        <v>0</v>
      </c>
      <c r="I8" s="65" t="n">
        <f aca="false">IF($A8="","",COUNTIFS('Use Cases'!$W$2:$W$501,$A8)-COUNTIFS('Use Cases'!$W$2:$W$501,$A8,'Use Cases'!$X$2:$X$501,"Closed"))</f>
        <v>0</v>
      </c>
      <c r="J8" s="65" t="n">
        <f aca="false">IF($A8="","",COUNTIFS('Use Cases'!$W$2:$W$501,$A8,'Use Cases'!$AO$2:$AO$501,"Critical")+COUNTIFS('Use Cases'!$W$2:$W$501,$A8,'Use Cases'!$AO$2:$AO$501,"Warning"))</f>
        <v>0</v>
      </c>
    </row>
    <row r="9" customFormat="false" ht="15" hidden="false" customHeight="false" outlineLevel="0" collapsed="false">
      <c r="A9" s="28" t="s">
        <v>222</v>
      </c>
      <c r="B9" s="28" t="s">
        <v>455</v>
      </c>
      <c r="C9" s="28" t="s">
        <v>219</v>
      </c>
      <c r="D9" s="28" t="s">
        <v>93</v>
      </c>
      <c r="E9" s="28" t="s">
        <v>215</v>
      </c>
      <c r="F9" s="28" t="s">
        <v>442</v>
      </c>
      <c r="G9" s="28" t="s">
        <v>456</v>
      </c>
      <c r="H9" s="65" t="n">
        <f aca="false">IF($A9="","",COUNTIFS(Inventory!$D:$D,$A9,Inventory!$K:$K,"Open")+COUNTIFS(Inventory!$D:$D,$A9,Inventory!$K:$K,"Unconfirmed"))</f>
        <v>1</v>
      </c>
      <c r="I9" s="65" t="n">
        <f aca="false">IF($A9="","",COUNTIFS('Use Cases'!$W$2:$W$501,$A9)-COUNTIFS('Use Cases'!$W$2:$W$501,$A9,'Use Cases'!$X$2:$X$501,"Closed"))</f>
        <v>1</v>
      </c>
      <c r="J9" s="65" t="n">
        <f aca="false">IF($A9="","",COUNTIFS('Use Cases'!$W$2:$W$501,$A9,'Use Cases'!$AO$2:$AO$501,"Critical")+COUNTIFS('Use Cases'!$W$2:$W$501,$A9,'Use Cases'!$AO$2:$AO$501,"Warning"))</f>
        <v>0</v>
      </c>
    </row>
    <row r="10" customFormat="false" ht="15" hidden="false" customHeight="false" outlineLevel="0" collapsed="false">
      <c r="A10" s="28" t="s">
        <v>240</v>
      </c>
      <c r="B10" s="28" t="s">
        <v>236</v>
      </c>
      <c r="C10" s="28" t="s">
        <v>185</v>
      </c>
      <c r="D10" s="28" t="s">
        <v>98</v>
      </c>
      <c r="E10" s="28" t="s">
        <v>235</v>
      </c>
      <c r="F10" s="28" t="s">
        <v>442</v>
      </c>
      <c r="G10" s="28" t="s">
        <v>457</v>
      </c>
      <c r="H10" s="65" t="n">
        <f aca="false">IF($A10="","",COUNTIFS(Inventory!$D:$D,$A10,Inventory!$K:$K,"Open")+COUNTIFS(Inventory!$D:$D,$A10,Inventory!$K:$K,"Unconfirmed"))</f>
        <v>1</v>
      </c>
      <c r="I10" s="65" t="n">
        <f aca="false">IF($A10="","",COUNTIFS('Use Cases'!$W$2:$W$501,$A10)-COUNTIFS('Use Cases'!$W$2:$W$501,$A10,'Use Cases'!$X$2:$X$501,"Closed"))</f>
        <v>1</v>
      </c>
      <c r="J10" s="65" t="n">
        <f aca="false">IF($A10="","",COUNTIFS('Use Cases'!$W$2:$W$501,$A10,'Use Cases'!$AO$2:$AO$501,"Critical")+COUNTIFS('Use Cases'!$W$2:$W$501,$A10,'Use Cases'!$AO$2:$AO$501,"Warning"))</f>
        <v>0</v>
      </c>
    </row>
    <row r="11" customFormat="false" ht="15" hidden="false" customHeight="false" outlineLevel="0" collapsed="false">
      <c r="A11" s="28"/>
      <c r="B11" s="28"/>
      <c r="C11" s="28"/>
      <c r="D11" s="28"/>
      <c r="E11" s="28"/>
      <c r="F11" s="28"/>
      <c r="G11" s="28"/>
      <c r="H11" s="65" t="str">
        <f aca="false">IF($A11="","",COUNTIFS(Inventory!$D:$D,$A11,Inventory!$K:$K,"Open")+COUNTIFS(Inventory!$D:$D,$A11,Inventory!$K:$K,"Unconfirmed"))</f>
        <v/>
      </c>
      <c r="I11" s="65" t="str">
        <f aca="false">IF($A11="","",COUNTIFS('Use Cases'!$W$2:$W$501,$A11)-COUNTIFS('Use Cases'!$W$2:$W$501,$A11,'Use Cases'!$X$2:$X$501,"Closed"))</f>
        <v/>
      </c>
      <c r="J11" s="65" t="str">
        <f aca="false">IF($A11="","",COUNTIFS('Use Cases'!$W$2:$W$501,$A11,'Use Cases'!$AO$2:$AO$501,"Critical")+COUNTIFS('Use Cases'!$W$2:$W$501,$A11,'Use Cases'!$AO$2:$AO$501,"Warning"))</f>
        <v/>
      </c>
    </row>
    <row r="12" customFormat="false" ht="15" hidden="false" customHeight="false" outlineLevel="0" collapsed="false">
      <c r="A12" s="28"/>
      <c r="B12" s="28"/>
      <c r="C12" s="28"/>
      <c r="D12" s="28"/>
      <c r="E12" s="28"/>
      <c r="F12" s="28"/>
      <c r="G12" s="28"/>
      <c r="H12" s="65" t="str">
        <f aca="false">IF($A12="","",COUNTIFS(Inventory!$D:$D,$A12,Inventory!$K:$K,"Open")+COUNTIFS(Inventory!$D:$D,$A12,Inventory!$K:$K,"Unconfirmed"))</f>
        <v/>
      </c>
      <c r="I12" s="65" t="str">
        <f aca="false">IF($A12="","",COUNTIFS('Use Cases'!$W$2:$W$501,$A12)-COUNTIFS('Use Cases'!$W$2:$W$501,$A12,'Use Cases'!$X$2:$X$501,"Closed"))</f>
        <v/>
      </c>
      <c r="J12" s="65" t="str">
        <f aca="false">IF($A12="","",COUNTIFS('Use Cases'!$W$2:$W$501,$A12,'Use Cases'!$AO$2:$AO$501,"Critical")+COUNTIFS('Use Cases'!$W$2:$W$501,$A12,'Use Cases'!$AO$2:$AO$501,"Warning"))</f>
        <v/>
      </c>
    </row>
    <row r="13" customFormat="false" ht="15" hidden="false" customHeight="false" outlineLevel="0" collapsed="false">
      <c r="A13" s="28"/>
      <c r="B13" s="28"/>
      <c r="C13" s="28"/>
      <c r="D13" s="28"/>
      <c r="E13" s="28"/>
      <c r="F13" s="28"/>
      <c r="G13" s="28"/>
      <c r="H13" s="65" t="str">
        <f aca="false">IF($A13="","",COUNTIFS(Inventory!$D:$D,$A13,Inventory!$K:$K,"Open")+COUNTIFS(Inventory!$D:$D,$A13,Inventory!$K:$K,"Unconfirmed"))</f>
        <v/>
      </c>
      <c r="I13" s="65" t="str">
        <f aca="false">IF($A13="","",COUNTIFS('Use Cases'!$W$2:$W$501,$A13)-COUNTIFS('Use Cases'!$W$2:$W$501,$A13,'Use Cases'!$X$2:$X$501,"Closed"))</f>
        <v/>
      </c>
      <c r="J13" s="65" t="str">
        <f aca="false">IF($A13="","",COUNTIFS('Use Cases'!$W$2:$W$501,$A13,'Use Cases'!$AO$2:$AO$501,"Critical")+COUNTIFS('Use Cases'!$W$2:$W$501,$A13,'Use Cases'!$AO$2:$AO$501,"Warning"))</f>
        <v/>
      </c>
    </row>
    <row r="14" customFormat="false" ht="15" hidden="false" customHeight="false" outlineLevel="0" collapsed="false">
      <c r="A14" s="28"/>
      <c r="B14" s="28"/>
      <c r="C14" s="28"/>
      <c r="D14" s="28"/>
      <c r="E14" s="28"/>
      <c r="F14" s="28"/>
      <c r="G14" s="28"/>
      <c r="H14" s="65" t="str">
        <f aca="false">IF($A14="","",COUNTIFS(Inventory!$D:$D,$A14,Inventory!$K:$K,"Open")+COUNTIFS(Inventory!$D:$D,$A14,Inventory!$K:$K,"Unconfirmed"))</f>
        <v/>
      </c>
      <c r="I14" s="65" t="str">
        <f aca="false">IF($A14="","",COUNTIFS('Use Cases'!$W$2:$W$501,$A14)-COUNTIFS('Use Cases'!$W$2:$W$501,$A14,'Use Cases'!$X$2:$X$501,"Closed"))</f>
        <v/>
      </c>
      <c r="J14" s="65" t="str">
        <f aca="false">IF($A14="","",COUNTIFS('Use Cases'!$W$2:$W$501,$A14,'Use Cases'!$AO$2:$AO$501,"Critical")+COUNTIFS('Use Cases'!$W$2:$W$501,$A14,'Use Cases'!$AO$2:$AO$501,"Warning"))</f>
        <v/>
      </c>
    </row>
    <row r="15" customFormat="false" ht="15" hidden="false" customHeight="false" outlineLevel="0" collapsed="false">
      <c r="A15" s="28"/>
      <c r="B15" s="28"/>
      <c r="C15" s="28"/>
      <c r="D15" s="28"/>
      <c r="E15" s="28"/>
      <c r="F15" s="28"/>
      <c r="G15" s="28"/>
      <c r="H15" s="65" t="str">
        <f aca="false">IF($A15="","",COUNTIFS(Inventory!$D:$D,$A15,Inventory!$K:$K,"Open")+COUNTIFS(Inventory!$D:$D,$A15,Inventory!$K:$K,"Unconfirmed"))</f>
        <v/>
      </c>
      <c r="I15" s="65" t="str">
        <f aca="false">IF($A15="","",COUNTIFS('Use Cases'!$W$2:$W$501,$A15)-COUNTIFS('Use Cases'!$W$2:$W$501,$A15,'Use Cases'!$X$2:$X$501,"Closed"))</f>
        <v/>
      </c>
      <c r="J15" s="65" t="str">
        <f aca="false">IF($A15="","",COUNTIFS('Use Cases'!$W$2:$W$501,$A15,'Use Cases'!$AO$2:$AO$501,"Critical")+COUNTIFS('Use Cases'!$W$2:$W$501,$A15,'Use Cases'!$AO$2:$AO$501,"Warning"))</f>
        <v/>
      </c>
    </row>
    <row r="16" customFormat="false" ht="15" hidden="false" customHeight="false" outlineLevel="0" collapsed="false">
      <c r="A16" s="28"/>
      <c r="B16" s="28"/>
      <c r="C16" s="28"/>
      <c r="D16" s="28"/>
      <c r="E16" s="28"/>
      <c r="F16" s="28"/>
      <c r="G16" s="28"/>
      <c r="H16" s="65" t="str">
        <f aca="false">IF($A16="","",COUNTIFS(Inventory!$D:$D,$A16,Inventory!$K:$K,"Open")+COUNTIFS(Inventory!$D:$D,$A16,Inventory!$K:$K,"Unconfirmed"))</f>
        <v/>
      </c>
      <c r="I16" s="65" t="str">
        <f aca="false">IF($A16="","",COUNTIFS('Use Cases'!$W$2:$W$501,$A16)-COUNTIFS('Use Cases'!$W$2:$W$501,$A16,'Use Cases'!$X$2:$X$501,"Closed"))</f>
        <v/>
      </c>
      <c r="J16" s="65" t="str">
        <f aca="false">IF($A16="","",COUNTIFS('Use Cases'!$W$2:$W$501,$A16,'Use Cases'!$AO$2:$AO$501,"Critical")+COUNTIFS('Use Cases'!$W$2:$W$501,$A16,'Use Cases'!$AO$2:$AO$501,"Warning"))</f>
        <v/>
      </c>
    </row>
    <row r="17" customFormat="false" ht="15" hidden="false" customHeight="false" outlineLevel="0" collapsed="false">
      <c r="A17" s="28"/>
      <c r="B17" s="28"/>
      <c r="C17" s="28"/>
      <c r="D17" s="28"/>
      <c r="E17" s="28"/>
      <c r="F17" s="28"/>
      <c r="G17" s="28"/>
      <c r="H17" s="65" t="str">
        <f aca="false">IF($A17="","",COUNTIFS(Inventory!$D:$D,$A17,Inventory!$K:$K,"Open")+COUNTIFS(Inventory!$D:$D,$A17,Inventory!$K:$K,"Unconfirmed"))</f>
        <v/>
      </c>
      <c r="I17" s="65" t="str">
        <f aca="false">IF($A17="","",COUNTIFS('Use Cases'!$W$2:$W$501,$A17)-COUNTIFS('Use Cases'!$W$2:$W$501,$A17,'Use Cases'!$X$2:$X$501,"Closed"))</f>
        <v/>
      </c>
      <c r="J17" s="65" t="str">
        <f aca="false">IF($A17="","",COUNTIFS('Use Cases'!$W$2:$W$501,$A17,'Use Cases'!$AO$2:$AO$501,"Critical")+COUNTIFS('Use Cases'!$W$2:$W$501,$A17,'Use Cases'!$AO$2:$AO$501,"Warning"))</f>
        <v/>
      </c>
    </row>
    <row r="18" customFormat="false" ht="15" hidden="false" customHeight="false" outlineLevel="0" collapsed="false">
      <c r="A18" s="28"/>
      <c r="B18" s="28"/>
      <c r="C18" s="28"/>
      <c r="D18" s="28"/>
      <c r="E18" s="28"/>
      <c r="F18" s="28"/>
      <c r="G18" s="28"/>
      <c r="H18" s="65" t="str">
        <f aca="false">IF($A18="","",COUNTIFS(Inventory!$D:$D,$A18,Inventory!$K:$K,"Open")+COUNTIFS(Inventory!$D:$D,$A18,Inventory!$K:$K,"Unconfirmed"))</f>
        <v/>
      </c>
      <c r="I18" s="65" t="str">
        <f aca="false">IF($A18="","",COUNTIFS('Use Cases'!$W$2:$W$501,$A18)-COUNTIFS('Use Cases'!$W$2:$W$501,$A18,'Use Cases'!$X$2:$X$501,"Closed"))</f>
        <v/>
      </c>
      <c r="J18" s="65" t="str">
        <f aca="false">IF($A18="","",COUNTIFS('Use Cases'!$W$2:$W$501,$A18,'Use Cases'!$AO$2:$AO$501,"Critical")+COUNTIFS('Use Cases'!$W$2:$W$501,$A18,'Use Cases'!$AO$2:$AO$501,"Warning"))</f>
        <v/>
      </c>
    </row>
    <row r="19" customFormat="false" ht="15" hidden="false" customHeight="false" outlineLevel="0" collapsed="false">
      <c r="A19" s="28"/>
      <c r="B19" s="28"/>
      <c r="C19" s="28"/>
      <c r="D19" s="28"/>
      <c r="E19" s="28"/>
      <c r="F19" s="28"/>
      <c r="G19" s="28"/>
      <c r="H19" s="65" t="str">
        <f aca="false">IF($A19="","",COUNTIFS(Inventory!$D:$D,$A19,Inventory!$K:$K,"Open")+COUNTIFS(Inventory!$D:$D,$A19,Inventory!$K:$K,"Unconfirmed"))</f>
        <v/>
      </c>
      <c r="I19" s="65" t="str">
        <f aca="false">IF($A19="","",COUNTIFS('Use Cases'!$W$2:$W$501,$A19)-COUNTIFS('Use Cases'!$W$2:$W$501,$A19,'Use Cases'!$X$2:$X$501,"Closed"))</f>
        <v/>
      </c>
      <c r="J19" s="65" t="str">
        <f aca="false">IF($A19="","",COUNTIFS('Use Cases'!$W$2:$W$501,$A19,'Use Cases'!$AO$2:$AO$501,"Critical")+COUNTIFS('Use Cases'!$W$2:$W$501,$A19,'Use Cases'!$AO$2:$AO$501,"Warning"))</f>
        <v/>
      </c>
    </row>
    <row r="20" customFormat="false" ht="15" hidden="false" customHeight="false" outlineLevel="0" collapsed="false">
      <c r="A20" s="28"/>
      <c r="B20" s="28"/>
      <c r="C20" s="28"/>
      <c r="D20" s="28"/>
      <c r="E20" s="28"/>
      <c r="F20" s="28"/>
      <c r="G20" s="28"/>
      <c r="H20" s="65" t="str">
        <f aca="false">IF($A20="","",COUNTIFS(Inventory!$D:$D,$A20,Inventory!$K:$K,"Open")+COUNTIFS(Inventory!$D:$D,$A20,Inventory!$K:$K,"Unconfirmed"))</f>
        <v/>
      </c>
      <c r="I20" s="65" t="str">
        <f aca="false">IF($A20="","",COUNTIFS('Use Cases'!$W$2:$W$501,$A20)-COUNTIFS('Use Cases'!$W$2:$W$501,$A20,'Use Cases'!$X$2:$X$501,"Closed"))</f>
        <v/>
      </c>
      <c r="J20" s="65" t="str">
        <f aca="false">IF($A20="","",COUNTIFS('Use Cases'!$W$2:$W$501,$A20,'Use Cases'!$AO$2:$AO$501,"Critical")+COUNTIFS('Use Cases'!$W$2:$W$501,$A20,'Use Cases'!$AO$2:$AO$501,"Warning"))</f>
        <v/>
      </c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28"/>
      <c r="H21" s="65" t="str">
        <f aca="false">IF($A21="","",COUNTIFS(Inventory!$D:$D,$A21,Inventory!$K:$K,"Open")+COUNTIFS(Inventory!$D:$D,$A21,Inventory!$K:$K,"Unconfirmed"))</f>
        <v/>
      </c>
      <c r="I21" s="65" t="str">
        <f aca="false">IF($A21="","",COUNTIFS('Use Cases'!$W$2:$W$501,$A21)-COUNTIFS('Use Cases'!$W$2:$W$501,$A21,'Use Cases'!$X$2:$X$501,"Closed"))</f>
        <v/>
      </c>
      <c r="J21" s="65" t="str">
        <f aca="false">IF($A21="","",COUNTIFS('Use Cases'!$W$2:$W$501,$A21,'Use Cases'!$AO$2:$AO$501,"Critical")+COUNTIFS('Use Cases'!$W$2:$W$501,$A21,'Use Cases'!$AO$2:$AO$501,"Warning"))</f>
        <v/>
      </c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/>
      <c r="G22" s="28"/>
      <c r="H22" s="65" t="str">
        <f aca="false">IF($A22="","",COUNTIFS(Inventory!$D:$D,$A22,Inventory!$K:$K,"Open")+COUNTIFS(Inventory!$D:$D,$A22,Inventory!$K:$K,"Unconfirmed"))</f>
        <v/>
      </c>
      <c r="I22" s="65" t="str">
        <f aca="false">IF($A22="","",COUNTIFS('Use Cases'!$W$2:$W$501,$A22)-COUNTIFS('Use Cases'!$W$2:$W$501,$A22,'Use Cases'!$X$2:$X$501,"Closed"))</f>
        <v/>
      </c>
      <c r="J22" s="65" t="str">
        <f aca="false">IF($A22="","",COUNTIFS('Use Cases'!$W$2:$W$501,$A22,'Use Cases'!$AO$2:$AO$501,"Critical")+COUNTIFS('Use Cases'!$W$2:$W$501,$A22,'Use Cases'!$AO$2:$AO$501,"Warning"))</f>
        <v/>
      </c>
    </row>
    <row r="23" customFormat="false" ht="15" hidden="false" customHeight="false" outlineLevel="0" collapsed="false">
      <c r="A23" s="28"/>
      <c r="B23" s="28"/>
      <c r="C23" s="28"/>
      <c r="D23" s="28"/>
      <c r="E23" s="28"/>
      <c r="F23" s="28"/>
      <c r="G23" s="28"/>
      <c r="H23" s="65" t="str">
        <f aca="false">IF($A23="","",COUNTIFS(Inventory!$D:$D,$A23,Inventory!$K:$K,"Open")+COUNTIFS(Inventory!$D:$D,$A23,Inventory!$K:$K,"Unconfirmed"))</f>
        <v/>
      </c>
      <c r="I23" s="65" t="str">
        <f aca="false">IF($A23="","",COUNTIFS('Use Cases'!$W$2:$W$501,$A23)-COUNTIFS('Use Cases'!$W$2:$W$501,$A23,'Use Cases'!$X$2:$X$501,"Closed"))</f>
        <v/>
      </c>
      <c r="J23" s="65" t="str">
        <f aca="false">IF($A23="","",COUNTIFS('Use Cases'!$W$2:$W$501,$A23,'Use Cases'!$AO$2:$AO$501,"Critical")+COUNTIFS('Use Cases'!$W$2:$W$501,$A23,'Use Cases'!$AO$2:$AO$501,"Warning"))</f>
        <v/>
      </c>
    </row>
    <row r="24" customFormat="false" ht="15" hidden="false" customHeight="false" outlineLevel="0" collapsed="false">
      <c r="A24" s="28"/>
      <c r="B24" s="28"/>
      <c r="C24" s="28"/>
      <c r="D24" s="28"/>
      <c r="E24" s="28"/>
      <c r="F24" s="28"/>
      <c r="G24" s="28"/>
      <c r="H24" s="65" t="str">
        <f aca="false">IF($A24="","",COUNTIFS(Inventory!$D:$D,$A24,Inventory!$K:$K,"Open")+COUNTIFS(Inventory!$D:$D,$A24,Inventory!$K:$K,"Unconfirmed"))</f>
        <v/>
      </c>
      <c r="I24" s="65" t="str">
        <f aca="false">IF($A24="","",COUNTIFS('Use Cases'!$W$2:$W$501,$A24)-COUNTIFS('Use Cases'!$W$2:$W$501,$A24,'Use Cases'!$X$2:$X$501,"Closed"))</f>
        <v/>
      </c>
      <c r="J24" s="65" t="str">
        <f aca="false">IF($A24="","",COUNTIFS('Use Cases'!$W$2:$W$501,$A24,'Use Cases'!$AO$2:$AO$501,"Critical")+COUNTIFS('Use Cases'!$W$2:$W$501,$A24,'Use Cases'!$AO$2:$AO$501,"Warning"))</f>
        <v/>
      </c>
    </row>
    <row r="25" customFormat="false" ht="15" hidden="false" customHeight="false" outlineLevel="0" collapsed="false">
      <c r="A25" s="28"/>
      <c r="B25" s="28"/>
      <c r="C25" s="28"/>
      <c r="D25" s="28"/>
      <c r="E25" s="28"/>
      <c r="F25" s="28"/>
      <c r="G25" s="28"/>
      <c r="H25" s="65" t="str">
        <f aca="false">IF($A25="","",COUNTIFS(Inventory!$D:$D,$A25,Inventory!$K:$K,"Open")+COUNTIFS(Inventory!$D:$D,$A25,Inventory!$K:$K,"Unconfirmed"))</f>
        <v/>
      </c>
      <c r="I25" s="65" t="str">
        <f aca="false">IF($A25="","",COUNTIFS('Use Cases'!$W$2:$W$501,$A25)-COUNTIFS('Use Cases'!$W$2:$W$501,$A25,'Use Cases'!$X$2:$X$501,"Closed"))</f>
        <v/>
      </c>
      <c r="J25" s="65" t="str">
        <f aca="false">IF($A25="","",COUNTIFS('Use Cases'!$W$2:$W$501,$A25,'Use Cases'!$AO$2:$AO$501,"Critical")+COUNTIFS('Use Cases'!$W$2:$W$501,$A25,'Use Cases'!$AO$2:$AO$501,"Warning"))</f>
        <v/>
      </c>
    </row>
    <row r="26" customFormat="false" ht="15" hidden="false" customHeight="false" outlineLevel="0" collapsed="false">
      <c r="A26" s="28"/>
      <c r="B26" s="28"/>
      <c r="C26" s="28"/>
      <c r="D26" s="28"/>
      <c r="E26" s="28"/>
      <c r="F26" s="28"/>
      <c r="G26" s="28"/>
      <c r="H26" s="65" t="str">
        <f aca="false">IF($A26="","",COUNTIFS(Inventory!$D:$D,$A26,Inventory!$K:$K,"Open")+COUNTIFS(Inventory!$D:$D,$A26,Inventory!$K:$K,"Unconfirmed"))</f>
        <v/>
      </c>
      <c r="I26" s="65" t="str">
        <f aca="false">IF($A26="","",COUNTIFS('Use Cases'!$W$2:$W$501,$A26)-COUNTIFS('Use Cases'!$W$2:$W$501,$A26,'Use Cases'!$X$2:$X$501,"Closed"))</f>
        <v/>
      </c>
      <c r="J26" s="65" t="str">
        <f aca="false">IF($A26="","",COUNTIFS('Use Cases'!$W$2:$W$501,$A26,'Use Cases'!$AO$2:$AO$501,"Critical")+COUNTIFS('Use Cases'!$W$2:$W$501,$A26,'Use Cases'!$AO$2:$AO$501,"Warning"))</f>
        <v/>
      </c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28"/>
      <c r="H27" s="65" t="str">
        <f aca="false">IF($A27="","",COUNTIFS(Inventory!$D:$D,$A27,Inventory!$K:$K,"Open")+COUNTIFS(Inventory!$D:$D,$A27,Inventory!$K:$K,"Unconfirmed"))</f>
        <v/>
      </c>
      <c r="I27" s="65" t="str">
        <f aca="false">IF($A27="","",COUNTIFS('Use Cases'!$W$2:$W$501,$A27)-COUNTIFS('Use Cases'!$W$2:$W$501,$A27,'Use Cases'!$X$2:$X$501,"Closed"))</f>
        <v/>
      </c>
      <c r="J27" s="65" t="str">
        <f aca="false">IF($A27="","",COUNTIFS('Use Cases'!$W$2:$W$501,$A27,'Use Cases'!$AO$2:$AO$501,"Critical")+COUNTIFS('Use Cases'!$W$2:$W$501,$A27,'Use Cases'!$AO$2:$AO$501,"Warning"))</f>
        <v/>
      </c>
    </row>
    <row r="28" customFormat="false" ht="15" hidden="false" customHeight="false" outlineLevel="0" collapsed="false">
      <c r="A28" s="28"/>
      <c r="B28" s="28"/>
      <c r="C28" s="28"/>
      <c r="D28" s="28"/>
      <c r="E28" s="28"/>
      <c r="F28" s="28"/>
      <c r="G28" s="28"/>
      <c r="H28" s="65" t="str">
        <f aca="false">IF($A28="","",COUNTIFS(Inventory!$D:$D,$A28,Inventory!$K:$K,"Open")+COUNTIFS(Inventory!$D:$D,$A28,Inventory!$K:$K,"Unconfirmed"))</f>
        <v/>
      </c>
      <c r="I28" s="65" t="str">
        <f aca="false">IF($A28="","",COUNTIFS('Use Cases'!$W$2:$W$501,$A28)-COUNTIFS('Use Cases'!$W$2:$W$501,$A28,'Use Cases'!$X$2:$X$501,"Closed"))</f>
        <v/>
      </c>
      <c r="J28" s="65" t="str">
        <f aca="false">IF($A28="","",COUNTIFS('Use Cases'!$W$2:$W$501,$A28,'Use Cases'!$AO$2:$AO$501,"Critical")+COUNTIFS('Use Cases'!$W$2:$W$501,$A28,'Use Cases'!$AO$2:$AO$501,"Warning"))</f>
        <v/>
      </c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28"/>
      <c r="H29" s="65" t="str">
        <f aca="false">IF($A29="","",COUNTIFS(Inventory!$D:$D,$A29,Inventory!$K:$K,"Open")+COUNTIFS(Inventory!$D:$D,$A29,Inventory!$K:$K,"Unconfirmed"))</f>
        <v/>
      </c>
      <c r="I29" s="65" t="str">
        <f aca="false">IF($A29="","",COUNTIFS('Use Cases'!$W$2:$W$501,$A29)-COUNTIFS('Use Cases'!$W$2:$W$501,$A29,'Use Cases'!$X$2:$X$501,"Closed"))</f>
        <v/>
      </c>
      <c r="J29" s="65" t="str">
        <f aca="false">IF($A29="","",COUNTIFS('Use Cases'!$W$2:$W$501,$A29,'Use Cases'!$AO$2:$AO$501,"Critical")+COUNTIFS('Use Cases'!$W$2:$W$501,$A29,'Use Cases'!$AO$2:$AO$501,"Warning"))</f>
        <v/>
      </c>
    </row>
    <row r="30" customFormat="false" ht="15" hidden="false" customHeight="false" outlineLevel="0" collapsed="false">
      <c r="A30" s="28"/>
      <c r="B30" s="28"/>
      <c r="C30" s="28"/>
      <c r="D30" s="28"/>
      <c r="E30" s="28"/>
      <c r="F30" s="28"/>
      <c r="G30" s="28"/>
      <c r="H30" s="65" t="str">
        <f aca="false">IF($A30="","",COUNTIFS(Inventory!$D:$D,$A30,Inventory!$K:$K,"Open")+COUNTIFS(Inventory!$D:$D,$A30,Inventory!$K:$K,"Unconfirmed"))</f>
        <v/>
      </c>
      <c r="I30" s="65" t="str">
        <f aca="false">IF($A30="","",COUNTIFS('Use Cases'!$W$2:$W$501,$A30)-COUNTIFS('Use Cases'!$W$2:$W$501,$A30,'Use Cases'!$X$2:$X$501,"Closed"))</f>
        <v/>
      </c>
      <c r="J30" s="65" t="str">
        <f aca="false">IF($A30="","",COUNTIFS('Use Cases'!$W$2:$W$501,$A30,'Use Cases'!$AO$2:$AO$501,"Critical")+COUNTIFS('Use Cases'!$W$2:$W$501,$A30,'Use Cases'!$AO$2:$AO$501,"Warning"))</f>
        <v/>
      </c>
    </row>
    <row r="31" customFormat="false" ht="15" hidden="false" customHeight="false" outlineLevel="0" collapsed="false">
      <c r="A31" s="28"/>
      <c r="B31" s="28"/>
      <c r="C31" s="28"/>
      <c r="D31" s="28"/>
      <c r="E31" s="28"/>
      <c r="F31" s="28"/>
      <c r="G31" s="28"/>
      <c r="H31" s="65" t="str">
        <f aca="false">IF($A31="","",COUNTIFS(Inventory!$D:$D,$A31,Inventory!$K:$K,"Open")+COUNTIFS(Inventory!$D:$D,$A31,Inventory!$K:$K,"Unconfirmed"))</f>
        <v/>
      </c>
      <c r="I31" s="65" t="str">
        <f aca="false">IF($A31="","",COUNTIFS('Use Cases'!$W$2:$W$501,$A31)-COUNTIFS('Use Cases'!$W$2:$W$501,$A31,'Use Cases'!$X$2:$X$501,"Closed"))</f>
        <v/>
      </c>
      <c r="J31" s="65" t="str">
        <f aca="false">IF($A31="","",COUNTIFS('Use Cases'!$W$2:$W$501,$A31,'Use Cases'!$AO$2:$AO$501,"Critical")+COUNTIFS('Use Cases'!$W$2:$W$501,$A31,'Use Cases'!$AO$2:$AO$501,"Warning"))</f>
        <v/>
      </c>
    </row>
    <row r="32" customFormat="false" ht="15" hidden="false" customHeight="false" outlineLevel="0" collapsed="false">
      <c r="A32" s="28"/>
      <c r="B32" s="28"/>
      <c r="C32" s="28"/>
      <c r="D32" s="28"/>
      <c r="E32" s="28"/>
      <c r="F32" s="28"/>
      <c r="G32" s="28"/>
      <c r="H32" s="65" t="str">
        <f aca="false">IF($A32="","",COUNTIFS(Inventory!$D:$D,$A32,Inventory!$K:$K,"Open")+COUNTIFS(Inventory!$D:$D,$A32,Inventory!$K:$K,"Unconfirmed"))</f>
        <v/>
      </c>
      <c r="I32" s="65" t="str">
        <f aca="false">IF($A32="","",COUNTIFS('Use Cases'!$W$2:$W$501,$A32)-COUNTIFS('Use Cases'!$W$2:$W$501,$A32,'Use Cases'!$X$2:$X$501,"Closed"))</f>
        <v/>
      </c>
      <c r="J32" s="65" t="str">
        <f aca="false">IF($A32="","",COUNTIFS('Use Cases'!$W$2:$W$501,$A32,'Use Cases'!$AO$2:$AO$501,"Critical")+COUNTIFS('Use Cases'!$W$2:$W$501,$A32,'Use Cases'!$AO$2:$AO$501,"Warning"))</f>
        <v/>
      </c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/>
      <c r="G33" s="28"/>
      <c r="H33" s="65" t="str">
        <f aca="false">IF($A33="","",COUNTIFS(Inventory!$D:$D,$A33,Inventory!$K:$K,"Open")+COUNTIFS(Inventory!$D:$D,$A33,Inventory!$K:$K,"Unconfirmed"))</f>
        <v/>
      </c>
      <c r="I33" s="65" t="str">
        <f aca="false">IF($A33="","",COUNTIFS('Use Cases'!$W$2:$W$501,$A33)-COUNTIFS('Use Cases'!$W$2:$W$501,$A33,'Use Cases'!$X$2:$X$501,"Closed"))</f>
        <v/>
      </c>
      <c r="J33" s="65" t="str">
        <f aca="false">IF($A33="","",COUNTIFS('Use Cases'!$W$2:$W$501,$A33,'Use Cases'!$AO$2:$AO$501,"Critical")+COUNTIFS('Use Cases'!$W$2:$W$501,$A33,'Use Cases'!$AO$2:$AO$501,"Warning"))</f>
        <v/>
      </c>
    </row>
    <row r="34" customFormat="false" ht="15" hidden="false" customHeight="false" outlineLevel="0" collapsed="false">
      <c r="A34" s="28"/>
      <c r="B34" s="28"/>
      <c r="C34" s="28"/>
      <c r="D34" s="28"/>
      <c r="E34" s="28"/>
      <c r="F34" s="28"/>
      <c r="G34" s="28"/>
      <c r="H34" s="65" t="str">
        <f aca="false">IF($A34="","",COUNTIFS(Inventory!$D:$D,$A34,Inventory!$K:$K,"Open")+COUNTIFS(Inventory!$D:$D,$A34,Inventory!$K:$K,"Unconfirmed"))</f>
        <v/>
      </c>
      <c r="I34" s="65" t="str">
        <f aca="false">IF($A34="","",COUNTIFS('Use Cases'!$W$2:$W$501,$A34)-COUNTIFS('Use Cases'!$W$2:$W$501,$A34,'Use Cases'!$X$2:$X$501,"Closed"))</f>
        <v/>
      </c>
      <c r="J34" s="65" t="str">
        <f aca="false">IF($A34="","",COUNTIFS('Use Cases'!$W$2:$W$501,$A34,'Use Cases'!$AO$2:$AO$501,"Critical")+COUNTIFS('Use Cases'!$W$2:$W$501,$A34,'Use Cases'!$AO$2:$AO$501,"Warning"))</f>
        <v/>
      </c>
    </row>
    <row r="35" customFormat="false" ht="15" hidden="false" customHeight="false" outlineLevel="0" collapsed="false">
      <c r="A35" s="28"/>
      <c r="B35" s="28"/>
      <c r="C35" s="28"/>
      <c r="D35" s="28"/>
      <c r="E35" s="28"/>
      <c r="F35" s="28"/>
      <c r="G35" s="28"/>
      <c r="H35" s="65" t="str">
        <f aca="false">IF($A35="","",COUNTIFS(Inventory!$D:$D,$A35,Inventory!$K:$K,"Open")+COUNTIFS(Inventory!$D:$D,$A35,Inventory!$K:$K,"Unconfirmed"))</f>
        <v/>
      </c>
      <c r="I35" s="65" t="str">
        <f aca="false">IF($A35="","",COUNTIFS('Use Cases'!$W$2:$W$501,$A35)-COUNTIFS('Use Cases'!$W$2:$W$501,$A35,'Use Cases'!$X$2:$X$501,"Closed"))</f>
        <v/>
      </c>
      <c r="J35" s="65" t="str">
        <f aca="false">IF($A35="","",COUNTIFS('Use Cases'!$W$2:$W$501,$A35,'Use Cases'!$AO$2:$AO$501,"Critical")+COUNTIFS('Use Cases'!$W$2:$W$501,$A35,'Use Cases'!$AO$2:$AO$501,"Warning"))</f>
        <v/>
      </c>
    </row>
    <row r="36" customFormat="false" ht="15" hidden="false" customHeight="false" outlineLevel="0" collapsed="false">
      <c r="A36" s="28"/>
      <c r="B36" s="28"/>
      <c r="C36" s="28"/>
      <c r="D36" s="28"/>
      <c r="E36" s="28"/>
      <c r="F36" s="28"/>
      <c r="G36" s="28"/>
      <c r="H36" s="65" t="str">
        <f aca="false">IF($A36="","",COUNTIFS(Inventory!$D:$D,$A36,Inventory!$K:$K,"Open")+COUNTIFS(Inventory!$D:$D,$A36,Inventory!$K:$K,"Unconfirmed"))</f>
        <v/>
      </c>
      <c r="I36" s="65" t="str">
        <f aca="false">IF($A36="","",COUNTIFS('Use Cases'!$W$2:$W$501,$A36)-COUNTIFS('Use Cases'!$W$2:$W$501,$A36,'Use Cases'!$X$2:$X$501,"Closed"))</f>
        <v/>
      </c>
      <c r="J36" s="65" t="str">
        <f aca="false">IF($A36="","",COUNTIFS('Use Cases'!$W$2:$W$501,$A36,'Use Cases'!$AO$2:$AO$501,"Critical")+COUNTIFS('Use Cases'!$W$2:$W$501,$A36,'Use Cases'!$AO$2:$AO$501,"Warning"))</f>
        <v/>
      </c>
    </row>
    <row r="37" customFormat="false" ht="15" hidden="false" customHeight="false" outlineLevel="0" collapsed="false">
      <c r="A37" s="28"/>
      <c r="B37" s="28"/>
      <c r="C37" s="28"/>
      <c r="D37" s="28"/>
      <c r="E37" s="28"/>
      <c r="F37" s="28"/>
      <c r="G37" s="28"/>
      <c r="H37" s="65" t="str">
        <f aca="false">IF($A37="","",COUNTIFS(Inventory!$D:$D,$A37,Inventory!$K:$K,"Open")+COUNTIFS(Inventory!$D:$D,$A37,Inventory!$K:$K,"Unconfirmed"))</f>
        <v/>
      </c>
      <c r="I37" s="65" t="str">
        <f aca="false">IF($A37="","",COUNTIFS('Use Cases'!$W$2:$W$501,$A37)-COUNTIFS('Use Cases'!$W$2:$W$501,$A37,'Use Cases'!$X$2:$X$501,"Closed"))</f>
        <v/>
      </c>
      <c r="J37" s="65" t="str">
        <f aca="false">IF($A37="","",COUNTIFS('Use Cases'!$W$2:$W$501,$A37,'Use Cases'!$AO$2:$AO$501,"Critical")+COUNTIFS('Use Cases'!$W$2:$W$501,$A37,'Use Cases'!$AO$2:$AO$501,"Warning"))</f>
        <v/>
      </c>
    </row>
    <row r="38" customFormat="false" ht="15" hidden="false" customHeight="false" outlineLevel="0" collapsed="false">
      <c r="A38" s="28"/>
      <c r="B38" s="28"/>
      <c r="C38" s="28"/>
      <c r="D38" s="28"/>
      <c r="E38" s="28"/>
      <c r="F38" s="28"/>
      <c r="G38" s="28"/>
      <c r="H38" s="65" t="str">
        <f aca="false">IF($A38="","",COUNTIFS(Inventory!$D:$D,$A38,Inventory!$K:$K,"Open")+COUNTIFS(Inventory!$D:$D,$A38,Inventory!$K:$K,"Unconfirmed"))</f>
        <v/>
      </c>
      <c r="I38" s="65" t="str">
        <f aca="false">IF($A38="","",COUNTIFS('Use Cases'!$W$2:$W$501,$A38)-COUNTIFS('Use Cases'!$W$2:$W$501,$A38,'Use Cases'!$X$2:$X$501,"Closed"))</f>
        <v/>
      </c>
      <c r="J38" s="65" t="str">
        <f aca="false">IF($A38="","",COUNTIFS('Use Cases'!$W$2:$W$501,$A38,'Use Cases'!$AO$2:$AO$501,"Critical")+COUNTIFS('Use Cases'!$W$2:$W$501,$A38,'Use Cases'!$AO$2:$AO$501,"Warning"))</f>
        <v/>
      </c>
    </row>
    <row r="39" customFormat="false" ht="15" hidden="false" customHeight="false" outlineLevel="0" collapsed="false">
      <c r="A39" s="28"/>
      <c r="B39" s="28"/>
      <c r="C39" s="28"/>
      <c r="D39" s="28"/>
      <c r="E39" s="28"/>
      <c r="F39" s="28"/>
      <c r="G39" s="28"/>
      <c r="H39" s="65" t="str">
        <f aca="false">IF($A39="","",COUNTIFS(Inventory!$D:$D,$A39,Inventory!$K:$K,"Open")+COUNTIFS(Inventory!$D:$D,$A39,Inventory!$K:$K,"Unconfirmed"))</f>
        <v/>
      </c>
      <c r="I39" s="65" t="str">
        <f aca="false">IF($A39="","",COUNTIFS('Use Cases'!$W$2:$W$501,$A39)-COUNTIFS('Use Cases'!$W$2:$W$501,$A39,'Use Cases'!$X$2:$X$501,"Closed"))</f>
        <v/>
      </c>
      <c r="J39" s="65" t="str">
        <f aca="false">IF($A39="","",COUNTIFS('Use Cases'!$W$2:$W$501,$A39,'Use Cases'!$AO$2:$AO$501,"Critical")+COUNTIFS('Use Cases'!$W$2:$W$501,$A39,'Use Cases'!$AO$2:$AO$501,"Warning"))</f>
        <v/>
      </c>
    </row>
    <row r="40" customFormat="false" ht="15" hidden="false" customHeight="false" outlineLevel="0" collapsed="false">
      <c r="A40" s="28"/>
      <c r="B40" s="28"/>
      <c r="C40" s="28"/>
      <c r="D40" s="28"/>
      <c r="E40" s="28"/>
      <c r="F40" s="28"/>
      <c r="G40" s="28"/>
      <c r="H40" s="65" t="str">
        <f aca="false">IF($A40="","",COUNTIFS(Inventory!$D:$D,$A40,Inventory!$K:$K,"Open")+COUNTIFS(Inventory!$D:$D,$A40,Inventory!$K:$K,"Unconfirmed"))</f>
        <v/>
      </c>
      <c r="I40" s="65" t="str">
        <f aca="false">IF($A40="","",COUNTIFS('Use Cases'!$W$2:$W$501,$A40)-COUNTIFS('Use Cases'!$W$2:$W$501,$A40,'Use Cases'!$X$2:$X$501,"Closed"))</f>
        <v/>
      </c>
      <c r="J40" s="65" t="str">
        <f aca="false">IF($A40="","",COUNTIFS('Use Cases'!$W$2:$W$501,$A40,'Use Cases'!$AO$2:$AO$501,"Critical")+COUNTIFS('Use Cases'!$W$2:$W$501,$A40,'Use Cases'!$AO$2:$AO$501,"Warning"))</f>
        <v/>
      </c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28"/>
      <c r="H41" s="65" t="str">
        <f aca="false">IF($A41="","",COUNTIFS(Inventory!$D:$D,$A41,Inventory!$K:$K,"Open")+COUNTIFS(Inventory!$D:$D,$A41,Inventory!$K:$K,"Unconfirmed"))</f>
        <v/>
      </c>
      <c r="I41" s="65" t="str">
        <f aca="false">IF($A41="","",COUNTIFS('Use Cases'!$W$2:$W$501,$A41)-COUNTIFS('Use Cases'!$W$2:$W$501,$A41,'Use Cases'!$X$2:$X$501,"Closed"))</f>
        <v/>
      </c>
      <c r="J41" s="65" t="str">
        <f aca="false">IF($A41="","",COUNTIFS('Use Cases'!$W$2:$W$501,$A41,'Use Cases'!$AO$2:$AO$501,"Critical")+COUNTIFS('Use Cases'!$W$2:$W$501,$A41,'Use Cases'!$AO$2:$AO$501,"Warning"))</f>
        <v/>
      </c>
    </row>
    <row r="42" customFormat="false" ht="15" hidden="false" customHeight="false" outlineLevel="0" collapsed="false">
      <c r="A42" s="28"/>
      <c r="B42" s="28"/>
      <c r="C42" s="28"/>
      <c r="D42" s="28"/>
      <c r="E42" s="28"/>
      <c r="F42" s="28"/>
      <c r="G42" s="28"/>
      <c r="H42" s="65" t="str">
        <f aca="false">IF($A42="","",COUNTIFS(Inventory!$D:$D,$A42,Inventory!$K:$K,"Open")+COUNTIFS(Inventory!$D:$D,$A42,Inventory!$K:$K,"Unconfirmed"))</f>
        <v/>
      </c>
      <c r="I42" s="65" t="str">
        <f aca="false">IF($A42="","",COUNTIFS('Use Cases'!$W$2:$W$501,$A42)-COUNTIFS('Use Cases'!$W$2:$W$501,$A42,'Use Cases'!$X$2:$X$501,"Closed"))</f>
        <v/>
      </c>
      <c r="J42" s="65" t="str">
        <f aca="false">IF($A42="","",COUNTIFS('Use Cases'!$W$2:$W$501,$A42,'Use Cases'!$AO$2:$AO$501,"Critical")+COUNTIFS('Use Cases'!$W$2:$W$501,$A42,'Use Cases'!$AO$2:$AO$501,"Warning"))</f>
        <v/>
      </c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/>
      <c r="G43" s="28"/>
      <c r="H43" s="65" t="str">
        <f aca="false">IF($A43="","",COUNTIFS(Inventory!$D:$D,$A43,Inventory!$K:$K,"Open")+COUNTIFS(Inventory!$D:$D,$A43,Inventory!$K:$K,"Unconfirmed"))</f>
        <v/>
      </c>
      <c r="I43" s="65" t="str">
        <f aca="false">IF($A43="","",COUNTIFS('Use Cases'!$W$2:$W$501,$A43)-COUNTIFS('Use Cases'!$W$2:$W$501,$A43,'Use Cases'!$X$2:$X$501,"Closed"))</f>
        <v/>
      </c>
      <c r="J43" s="65" t="str">
        <f aca="false">IF($A43="","",COUNTIFS('Use Cases'!$W$2:$W$501,$A43,'Use Cases'!$AO$2:$AO$501,"Critical")+COUNTIFS('Use Cases'!$W$2:$W$501,$A43,'Use Cases'!$AO$2:$AO$501,"Warning"))</f>
        <v/>
      </c>
    </row>
    <row r="44" customFormat="false" ht="15" hidden="false" customHeight="false" outlineLevel="0" collapsed="false">
      <c r="A44" s="28"/>
      <c r="B44" s="28"/>
      <c r="C44" s="28"/>
      <c r="D44" s="28"/>
      <c r="E44" s="28"/>
      <c r="F44" s="28"/>
      <c r="G44" s="28"/>
      <c r="H44" s="65" t="str">
        <f aca="false">IF($A44="","",COUNTIFS(Inventory!$D:$D,$A44,Inventory!$K:$K,"Open")+COUNTIFS(Inventory!$D:$D,$A44,Inventory!$K:$K,"Unconfirmed"))</f>
        <v/>
      </c>
      <c r="I44" s="65" t="str">
        <f aca="false">IF($A44="","",COUNTIFS('Use Cases'!$W$2:$W$501,$A44)-COUNTIFS('Use Cases'!$W$2:$W$501,$A44,'Use Cases'!$X$2:$X$501,"Closed"))</f>
        <v/>
      </c>
      <c r="J44" s="65" t="str">
        <f aca="false">IF($A44="","",COUNTIFS('Use Cases'!$W$2:$W$501,$A44,'Use Cases'!$AO$2:$AO$501,"Critical")+COUNTIFS('Use Cases'!$W$2:$W$501,$A44,'Use Cases'!$AO$2:$AO$501,"Warning"))</f>
        <v/>
      </c>
    </row>
    <row r="45" customFormat="false" ht="15" hidden="false" customHeight="false" outlineLevel="0" collapsed="false">
      <c r="A45" s="28"/>
      <c r="B45" s="28"/>
      <c r="C45" s="28"/>
      <c r="D45" s="28"/>
      <c r="E45" s="28"/>
      <c r="F45" s="28"/>
      <c r="G45" s="28"/>
      <c r="H45" s="65" t="str">
        <f aca="false">IF($A45="","",COUNTIFS(Inventory!$D:$D,$A45,Inventory!$K:$K,"Open")+COUNTIFS(Inventory!$D:$D,$A45,Inventory!$K:$K,"Unconfirmed"))</f>
        <v/>
      </c>
      <c r="I45" s="65" t="str">
        <f aca="false">IF($A45="","",COUNTIFS('Use Cases'!$W$2:$W$501,$A45)-COUNTIFS('Use Cases'!$W$2:$W$501,$A45,'Use Cases'!$X$2:$X$501,"Closed"))</f>
        <v/>
      </c>
      <c r="J45" s="65" t="str">
        <f aca="false">IF($A45="","",COUNTIFS('Use Cases'!$W$2:$W$501,$A45,'Use Cases'!$AO$2:$AO$501,"Critical")+COUNTIFS('Use Cases'!$W$2:$W$501,$A45,'Use Cases'!$AO$2:$AO$501,"Warning"))</f>
        <v/>
      </c>
    </row>
    <row r="46" customFormat="false" ht="15" hidden="false" customHeight="false" outlineLevel="0" collapsed="false">
      <c r="A46" s="28"/>
      <c r="B46" s="28"/>
      <c r="C46" s="28"/>
      <c r="D46" s="28"/>
      <c r="E46" s="28"/>
      <c r="F46" s="28"/>
      <c r="G46" s="28"/>
      <c r="H46" s="65" t="str">
        <f aca="false">IF($A46="","",COUNTIFS(Inventory!$D:$D,$A46,Inventory!$K:$K,"Open")+COUNTIFS(Inventory!$D:$D,$A46,Inventory!$K:$K,"Unconfirmed"))</f>
        <v/>
      </c>
      <c r="I46" s="65" t="str">
        <f aca="false">IF($A46="","",COUNTIFS('Use Cases'!$W$2:$W$501,$A46)-COUNTIFS('Use Cases'!$W$2:$W$501,$A46,'Use Cases'!$X$2:$X$501,"Closed"))</f>
        <v/>
      </c>
      <c r="J46" s="65" t="str">
        <f aca="false">IF($A46="","",COUNTIFS('Use Cases'!$W$2:$W$501,$A46,'Use Cases'!$AO$2:$AO$501,"Critical")+COUNTIFS('Use Cases'!$W$2:$W$501,$A46,'Use Cases'!$AO$2:$AO$501,"Warning"))</f>
        <v/>
      </c>
    </row>
    <row r="47" customFormat="false" ht="15" hidden="false" customHeight="false" outlineLevel="0" collapsed="false">
      <c r="A47" s="28"/>
      <c r="B47" s="28"/>
      <c r="C47" s="28"/>
      <c r="D47" s="28"/>
      <c r="E47" s="28"/>
      <c r="F47" s="28"/>
      <c r="G47" s="28"/>
      <c r="H47" s="65" t="str">
        <f aca="false">IF($A47="","",COUNTIFS(Inventory!$D:$D,$A47,Inventory!$K:$K,"Open")+COUNTIFS(Inventory!$D:$D,$A47,Inventory!$K:$K,"Unconfirmed"))</f>
        <v/>
      </c>
      <c r="I47" s="65" t="str">
        <f aca="false">IF($A47="","",COUNTIFS('Use Cases'!$W$2:$W$501,$A47)-COUNTIFS('Use Cases'!$W$2:$W$501,$A47,'Use Cases'!$X$2:$X$501,"Closed"))</f>
        <v/>
      </c>
      <c r="J47" s="65" t="str">
        <f aca="false">IF($A47="","",COUNTIFS('Use Cases'!$W$2:$W$501,$A47,'Use Cases'!$AO$2:$AO$501,"Critical")+COUNTIFS('Use Cases'!$W$2:$W$501,$A47,'Use Cases'!$AO$2:$AO$501,"Warning"))</f>
        <v/>
      </c>
    </row>
    <row r="48" customFormat="false" ht="15" hidden="false" customHeight="false" outlineLevel="0" collapsed="false">
      <c r="A48" s="28"/>
      <c r="B48" s="28"/>
      <c r="C48" s="28"/>
      <c r="D48" s="28"/>
      <c r="E48" s="28"/>
      <c r="F48" s="28"/>
      <c r="G48" s="28"/>
      <c r="H48" s="65" t="str">
        <f aca="false">IF($A48="","",COUNTIFS(Inventory!$D:$D,$A48,Inventory!$K:$K,"Open")+COUNTIFS(Inventory!$D:$D,$A48,Inventory!$K:$K,"Unconfirmed"))</f>
        <v/>
      </c>
      <c r="I48" s="65" t="str">
        <f aca="false">IF($A48="","",COUNTIFS('Use Cases'!$W$2:$W$501,$A48)-COUNTIFS('Use Cases'!$W$2:$W$501,$A48,'Use Cases'!$X$2:$X$501,"Closed"))</f>
        <v/>
      </c>
      <c r="J48" s="65" t="str">
        <f aca="false">IF($A48="","",COUNTIFS('Use Cases'!$W$2:$W$501,$A48,'Use Cases'!$AO$2:$AO$501,"Critical")+COUNTIFS('Use Cases'!$W$2:$W$501,$A48,'Use Cases'!$AO$2:$AO$501,"Warning"))</f>
        <v/>
      </c>
    </row>
    <row r="49" customFormat="false" ht="15" hidden="false" customHeight="false" outlineLevel="0" collapsed="false">
      <c r="A49" s="28"/>
      <c r="B49" s="28"/>
      <c r="C49" s="28"/>
      <c r="D49" s="28"/>
      <c r="E49" s="28"/>
      <c r="F49" s="28"/>
      <c r="G49" s="28"/>
      <c r="H49" s="65" t="str">
        <f aca="false">IF($A49="","",COUNTIFS(Inventory!$D:$D,$A49,Inventory!$K:$K,"Open")+COUNTIFS(Inventory!$D:$D,$A49,Inventory!$K:$K,"Unconfirmed"))</f>
        <v/>
      </c>
      <c r="I49" s="65" t="str">
        <f aca="false">IF($A49="","",COUNTIFS('Use Cases'!$W$2:$W$501,$A49)-COUNTIFS('Use Cases'!$W$2:$W$501,$A49,'Use Cases'!$X$2:$X$501,"Closed"))</f>
        <v/>
      </c>
      <c r="J49" s="65" t="str">
        <f aca="false">IF($A49="","",COUNTIFS('Use Cases'!$W$2:$W$501,$A49,'Use Cases'!$AO$2:$AO$501,"Critical")+COUNTIFS('Use Cases'!$W$2:$W$501,$A49,'Use Cases'!$AO$2:$AO$501,"Warning"))</f>
        <v/>
      </c>
    </row>
    <row r="50" customFormat="false" ht="15" hidden="false" customHeight="false" outlineLevel="0" collapsed="false">
      <c r="A50" s="28"/>
      <c r="B50" s="28"/>
      <c r="C50" s="28"/>
      <c r="D50" s="28"/>
      <c r="E50" s="28"/>
      <c r="F50" s="28"/>
      <c r="G50" s="28"/>
      <c r="H50" s="65" t="str">
        <f aca="false">IF($A50="","",COUNTIFS(Inventory!$D:$D,$A50,Inventory!$K:$K,"Open")+COUNTIFS(Inventory!$D:$D,$A50,Inventory!$K:$K,"Unconfirmed"))</f>
        <v/>
      </c>
      <c r="I50" s="65" t="str">
        <f aca="false">IF($A50="","",COUNTIFS('Use Cases'!$W$2:$W$501,$A50)-COUNTIFS('Use Cases'!$W$2:$W$501,$A50,'Use Cases'!$X$2:$X$501,"Closed"))</f>
        <v/>
      </c>
      <c r="J50" s="65" t="str">
        <f aca="false">IF($A50="","",COUNTIFS('Use Cases'!$W$2:$W$501,$A50,'Use Cases'!$AO$2:$AO$501,"Critical")+COUNTIFS('Use Cases'!$W$2:$W$501,$A50,'Use Cases'!$AO$2:$AO$501,"Warning"))</f>
        <v/>
      </c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/>
      <c r="G51" s="28"/>
      <c r="H51" s="65" t="str">
        <f aca="false">IF($A51="","",COUNTIFS(Inventory!$D:$D,$A51,Inventory!$K:$K,"Open")+COUNTIFS(Inventory!$D:$D,$A51,Inventory!$K:$K,"Unconfirmed"))</f>
        <v/>
      </c>
      <c r="I51" s="65" t="str">
        <f aca="false">IF($A51="","",COUNTIFS('Use Cases'!$W$2:$W$501,$A51)-COUNTIFS('Use Cases'!$W$2:$W$501,$A51,'Use Cases'!$X$2:$X$501,"Closed"))</f>
        <v/>
      </c>
      <c r="J51" s="65" t="str">
        <f aca="false">IF($A51="","",COUNTIFS('Use Cases'!$W$2:$W$501,$A51,'Use Cases'!$AO$2:$AO$501,"Critical")+COUNTIFS('Use Cases'!$W$2:$W$501,$A51,'Use Cases'!$AO$2:$AO$501,"Warning"))</f>
        <v/>
      </c>
    </row>
    <row r="52" customFormat="false" ht="15" hidden="false" customHeight="false" outlineLevel="0" collapsed="false">
      <c r="A52" s="28"/>
      <c r="B52" s="28"/>
      <c r="C52" s="28"/>
      <c r="D52" s="28"/>
      <c r="E52" s="28"/>
      <c r="F52" s="28"/>
      <c r="G52" s="28"/>
      <c r="H52" s="65" t="str">
        <f aca="false">IF($A52="","",COUNTIFS(Inventory!$D:$D,$A52,Inventory!$K:$K,"Open")+COUNTIFS(Inventory!$D:$D,$A52,Inventory!$K:$K,"Unconfirmed"))</f>
        <v/>
      </c>
      <c r="I52" s="65" t="str">
        <f aca="false">IF($A52="","",COUNTIFS('Use Cases'!$W$2:$W$501,$A52)-COUNTIFS('Use Cases'!$W$2:$W$501,$A52,'Use Cases'!$X$2:$X$501,"Closed"))</f>
        <v/>
      </c>
      <c r="J52" s="65" t="str">
        <f aca="false">IF($A52="","",COUNTIFS('Use Cases'!$W$2:$W$501,$A52,'Use Cases'!$AO$2:$AO$501,"Critical")+COUNTIFS('Use Cases'!$W$2:$W$501,$A52,'Use Cases'!$AO$2:$AO$501,"Warning"))</f>
        <v/>
      </c>
    </row>
    <row r="53" customFormat="false" ht="15" hidden="false" customHeight="false" outlineLevel="0" collapsed="false">
      <c r="A53" s="28"/>
      <c r="B53" s="28"/>
      <c r="C53" s="28"/>
      <c r="D53" s="28"/>
      <c r="E53" s="28"/>
      <c r="F53" s="28"/>
      <c r="G53" s="28"/>
      <c r="H53" s="65" t="str">
        <f aca="false">IF($A53="","",COUNTIFS(Inventory!$D:$D,$A53,Inventory!$K:$K,"Open")+COUNTIFS(Inventory!$D:$D,$A53,Inventory!$K:$K,"Unconfirmed"))</f>
        <v/>
      </c>
      <c r="I53" s="65" t="str">
        <f aca="false">IF($A53="","",COUNTIFS('Use Cases'!$W$2:$W$501,$A53)-COUNTIFS('Use Cases'!$W$2:$W$501,$A53,'Use Cases'!$X$2:$X$501,"Closed"))</f>
        <v/>
      </c>
      <c r="J53" s="65" t="str">
        <f aca="false">IF($A53="","",COUNTIFS('Use Cases'!$W$2:$W$501,$A53,'Use Cases'!$AO$2:$AO$501,"Critical")+COUNTIFS('Use Cases'!$W$2:$W$501,$A53,'Use Cases'!$AO$2:$AO$501,"Warning"))</f>
        <v/>
      </c>
    </row>
    <row r="54" customFormat="false" ht="15" hidden="false" customHeight="false" outlineLevel="0" collapsed="false">
      <c r="A54" s="28"/>
      <c r="B54" s="28"/>
      <c r="C54" s="28"/>
      <c r="D54" s="28"/>
      <c r="E54" s="28"/>
      <c r="F54" s="28"/>
      <c r="G54" s="28"/>
      <c r="H54" s="65" t="str">
        <f aca="false">IF($A54="","",COUNTIFS(Inventory!$D:$D,$A54,Inventory!$K:$K,"Open")+COUNTIFS(Inventory!$D:$D,$A54,Inventory!$K:$K,"Unconfirmed"))</f>
        <v/>
      </c>
      <c r="I54" s="65" t="str">
        <f aca="false">IF($A54="","",COUNTIFS('Use Cases'!$W$2:$W$501,$A54)-COUNTIFS('Use Cases'!$W$2:$W$501,$A54,'Use Cases'!$X$2:$X$501,"Closed"))</f>
        <v/>
      </c>
      <c r="J54" s="65" t="str">
        <f aca="false">IF($A54="","",COUNTIFS('Use Cases'!$W$2:$W$501,$A54,'Use Cases'!$AO$2:$AO$501,"Critical")+COUNTIFS('Use Cases'!$W$2:$W$501,$A54,'Use Cases'!$AO$2:$AO$501,"Warning"))</f>
        <v/>
      </c>
    </row>
    <row r="55" customFormat="false" ht="15" hidden="false" customHeight="false" outlineLevel="0" collapsed="false">
      <c r="A55" s="28"/>
      <c r="B55" s="28"/>
      <c r="C55" s="28"/>
      <c r="D55" s="28"/>
      <c r="E55" s="28"/>
      <c r="F55" s="28"/>
      <c r="G55" s="28"/>
      <c r="H55" s="65" t="str">
        <f aca="false">IF($A55="","",COUNTIFS(Inventory!$D:$D,$A55,Inventory!$K:$K,"Open")+COUNTIFS(Inventory!$D:$D,$A55,Inventory!$K:$K,"Unconfirmed"))</f>
        <v/>
      </c>
      <c r="I55" s="65" t="str">
        <f aca="false">IF($A55="","",COUNTIFS('Use Cases'!$W$2:$W$501,$A55)-COUNTIFS('Use Cases'!$W$2:$W$501,$A55,'Use Cases'!$X$2:$X$501,"Closed"))</f>
        <v/>
      </c>
      <c r="J55" s="65" t="str">
        <f aca="false">IF($A55="","",COUNTIFS('Use Cases'!$W$2:$W$501,$A55,'Use Cases'!$AO$2:$AO$501,"Critical")+COUNTIFS('Use Cases'!$W$2:$W$501,$A55,'Use Cases'!$AO$2:$AO$501,"Warning"))</f>
        <v/>
      </c>
    </row>
    <row r="56" customFormat="false" ht="15" hidden="false" customHeight="false" outlineLevel="0" collapsed="false">
      <c r="A56" s="28"/>
      <c r="B56" s="28"/>
      <c r="C56" s="28"/>
      <c r="D56" s="28"/>
      <c r="E56" s="28"/>
      <c r="F56" s="28"/>
      <c r="G56" s="28"/>
      <c r="H56" s="65" t="str">
        <f aca="false">IF($A56="","",COUNTIFS(Inventory!$D:$D,$A56,Inventory!$K:$K,"Open")+COUNTIFS(Inventory!$D:$D,$A56,Inventory!$K:$K,"Unconfirmed"))</f>
        <v/>
      </c>
      <c r="I56" s="65" t="str">
        <f aca="false">IF($A56="","",COUNTIFS('Use Cases'!$W$2:$W$501,$A56)-COUNTIFS('Use Cases'!$W$2:$W$501,$A56,'Use Cases'!$X$2:$X$501,"Closed"))</f>
        <v/>
      </c>
      <c r="J56" s="65" t="str">
        <f aca="false">IF($A56="","",COUNTIFS('Use Cases'!$W$2:$W$501,$A56,'Use Cases'!$AO$2:$AO$501,"Critical")+COUNTIFS('Use Cases'!$W$2:$W$501,$A56,'Use Cases'!$AO$2:$AO$501,"Warning"))</f>
        <v/>
      </c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/>
      <c r="G57" s="28"/>
      <c r="H57" s="65" t="str">
        <f aca="false">IF($A57="","",COUNTIFS(Inventory!$D:$D,$A57,Inventory!$K:$K,"Open")+COUNTIFS(Inventory!$D:$D,$A57,Inventory!$K:$K,"Unconfirmed"))</f>
        <v/>
      </c>
      <c r="I57" s="65" t="str">
        <f aca="false">IF($A57="","",COUNTIFS('Use Cases'!$W$2:$W$501,$A57)-COUNTIFS('Use Cases'!$W$2:$W$501,$A57,'Use Cases'!$X$2:$X$501,"Closed"))</f>
        <v/>
      </c>
      <c r="J57" s="65" t="str">
        <f aca="false">IF($A57="","",COUNTIFS('Use Cases'!$W$2:$W$501,$A57,'Use Cases'!$AO$2:$AO$501,"Critical")+COUNTIFS('Use Cases'!$W$2:$W$501,$A57,'Use Cases'!$AO$2:$AO$501,"Warning"))</f>
        <v/>
      </c>
    </row>
    <row r="58" customFormat="false" ht="15" hidden="false" customHeight="false" outlineLevel="0" collapsed="false">
      <c r="A58" s="28"/>
      <c r="B58" s="28"/>
      <c r="C58" s="28"/>
      <c r="D58" s="28"/>
      <c r="E58" s="28"/>
      <c r="F58" s="28"/>
      <c r="G58" s="28"/>
      <c r="H58" s="65" t="str">
        <f aca="false">IF($A58="","",COUNTIFS(Inventory!$D:$D,$A58,Inventory!$K:$K,"Open")+COUNTIFS(Inventory!$D:$D,$A58,Inventory!$K:$K,"Unconfirmed"))</f>
        <v/>
      </c>
      <c r="I58" s="65" t="str">
        <f aca="false">IF($A58="","",COUNTIFS('Use Cases'!$W$2:$W$501,$A58)-COUNTIFS('Use Cases'!$W$2:$W$501,$A58,'Use Cases'!$X$2:$X$501,"Closed"))</f>
        <v/>
      </c>
      <c r="J58" s="65" t="str">
        <f aca="false">IF($A58="","",COUNTIFS('Use Cases'!$W$2:$W$501,$A58,'Use Cases'!$AO$2:$AO$501,"Critical")+COUNTIFS('Use Cases'!$W$2:$W$501,$A58,'Use Cases'!$AO$2:$AO$501,"Warning"))</f>
        <v/>
      </c>
    </row>
    <row r="59" customFormat="false" ht="15" hidden="false" customHeight="false" outlineLevel="0" collapsed="false">
      <c r="A59" s="28"/>
      <c r="B59" s="28"/>
      <c r="C59" s="28"/>
      <c r="D59" s="28"/>
      <c r="E59" s="28"/>
      <c r="F59" s="28"/>
      <c r="G59" s="28"/>
      <c r="H59" s="65" t="str">
        <f aca="false">IF($A59="","",COUNTIFS(Inventory!$D:$D,$A59,Inventory!$K:$K,"Open")+COUNTIFS(Inventory!$D:$D,$A59,Inventory!$K:$K,"Unconfirmed"))</f>
        <v/>
      </c>
      <c r="I59" s="65" t="str">
        <f aca="false">IF($A59="","",COUNTIFS('Use Cases'!$W$2:$W$501,$A59)-COUNTIFS('Use Cases'!$W$2:$W$501,$A59,'Use Cases'!$X$2:$X$501,"Closed"))</f>
        <v/>
      </c>
      <c r="J59" s="65" t="str">
        <f aca="false">IF($A59="","",COUNTIFS('Use Cases'!$W$2:$W$501,$A59,'Use Cases'!$AO$2:$AO$501,"Critical")+COUNTIFS('Use Cases'!$W$2:$W$501,$A59,'Use Cases'!$AO$2:$AO$501,"Warning"))</f>
        <v/>
      </c>
    </row>
    <row r="60" customFormat="false" ht="15" hidden="false" customHeight="false" outlineLevel="0" collapsed="false">
      <c r="A60" s="28"/>
      <c r="B60" s="28"/>
      <c r="C60" s="28"/>
      <c r="D60" s="28"/>
      <c r="E60" s="28"/>
      <c r="F60" s="28"/>
      <c r="G60" s="28"/>
      <c r="H60" s="65" t="str">
        <f aca="false">IF($A60="","",COUNTIFS(Inventory!$D:$D,$A60,Inventory!$K:$K,"Open")+COUNTIFS(Inventory!$D:$D,$A60,Inventory!$K:$K,"Unconfirmed"))</f>
        <v/>
      </c>
      <c r="I60" s="65" t="str">
        <f aca="false">IF($A60="","",COUNTIFS('Use Cases'!$W$2:$W$501,$A60)-COUNTIFS('Use Cases'!$W$2:$W$501,$A60,'Use Cases'!$X$2:$X$501,"Closed"))</f>
        <v/>
      </c>
      <c r="J60" s="65" t="str">
        <f aca="false">IF($A60="","",COUNTIFS('Use Cases'!$W$2:$W$501,$A60,'Use Cases'!$AO$2:$AO$501,"Critical")+COUNTIFS('Use Cases'!$W$2:$W$501,$A60,'Use Cases'!$AO$2:$AO$501,"Warning"))</f>
        <v/>
      </c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28"/>
      <c r="H61" s="65" t="str">
        <f aca="false">IF($A61="","",COUNTIFS(Inventory!$D:$D,$A61,Inventory!$K:$K,"Open")+COUNTIFS(Inventory!$D:$D,$A61,Inventory!$K:$K,"Unconfirmed"))</f>
        <v/>
      </c>
      <c r="I61" s="65" t="str">
        <f aca="false">IF($A61="","",COUNTIFS('Use Cases'!$W$2:$W$501,$A61)-COUNTIFS('Use Cases'!$W$2:$W$501,$A61,'Use Cases'!$X$2:$X$501,"Closed"))</f>
        <v/>
      </c>
      <c r="J61" s="65" t="str">
        <f aca="false">IF($A61="","",COUNTIFS('Use Cases'!$W$2:$W$501,$A61,'Use Cases'!$AO$2:$AO$501,"Critical")+COUNTIFS('Use Cases'!$W$2:$W$501,$A61,'Use Cases'!$AO$2:$AO$501,"Warning"))</f>
        <v/>
      </c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28"/>
      <c r="H62" s="65" t="str">
        <f aca="false">IF($A62="","",COUNTIFS(Inventory!$D:$D,$A62,Inventory!$K:$K,"Open")+COUNTIFS(Inventory!$D:$D,$A62,Inventory!$K:$K,"Unconfirmed"))</f>
        <v/>
      </c>
      <c r="I62" s="65" t="str">
        <f aca="false">IF($A62="","",COUNTIFS('Use Cases'!$W$2:$W$501,$A62)-COUNTIFS('Use Cases'!$W$2:$W$501,$A62,'Use Cases'!$X$2:$X$501,"Closed"))</f>
        <v/>
      </c>
      <c r="J62" s="65" t="str">
        <f aca="false">IF($A62="","",COUNTIFS('Use Cases'!$W$2:$W$501,$A62,'Use Cases'!$AO$2:$AO$501,"Critical")+COUNTIFS('Use Cases'!$W$2:$W$501,$A62,'Use Cases'!$AO$2:$AO$501,"Warning"))</f>
        <v/>
      </c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28"/>
      <c r="H63" s="65" t="str">
        <f aca="false">IF($A63="","",COUNTIFS(Inventory!$D:$D,$A63,Inventory!$K:$K,"Open")+COUNTIFS(Inventory!$D:$D,$A63,Inventory!$K:$K,"Unconfirmed"))</f>
        <v/>
      </c>
      <c r="I63" s="65" t="str">
        <f aca="false">IF($A63="","",COUNTIFS('Use Cases'!$W$2:$W$501,$A63)-COUNTIFS('Use Cases'!$W$2:$W$501,$A63,'Use Cases'!$X$2:$X$501,"Closed"))</f>
        <v/>
      </c>
      <c r="J63" s="65" t="str">
        <f aca="false">IF($A63="","",COUNTIFS('Use Cases'!$W$2:$W$501,$A63,'Use Cases'!$AO$2:$AO$501,"Critical")+COUNTIFS('Use Cases'!$W$2:$W$501,$A63,'Use Cases'!$AO$2:$AO$501,"Warning"))</f>
        <v/>
      </c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28"/>
      <c r="H64" s="65" t="str">
        <f aca="false">IF($A64="","",COUNTIFS(Inventory!$D:$D,$A64,Inventory!$K:$K,"Open")+COUNTIFS(Inventory!$D:$D,$A64,Inventory!$K:$K,"Unconfirmed"))</f>
        <v/>
      </c>
      <c r="I64" s="65" t="str">
        <f aca="false">IF($A64="","",COUNTIFS('Use Cases'!$W$2:$W$501,$A64)-COUNTIFS('Use Cases'!$W$2:$W$501,$A64,'Use Cases'!$X$2:$X$501,"Closed"))</f>
        <v/>
      </c>
      <c r="J64" s="65" t="str">
        <f aca="false">IF($A64="","",COUNTIFS('Use Cases'!$W$2:$W$501,$A64,'Use Cases'!$AO$2:$AO$501,"Critical")+COUNTIFS('Use Cases'!$W$2:$W$501,$A64,'Use Cases'!$AO$2:$AO$501,"Warning"))</f>
        <v/>
      </c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28"/>
      <c r="H65" s="65" t="str">
        <f aca="false">IF($A65="","",COUNTIFS(Inventory!$D:$D,$A65,Inventory!$K:$K,"Open")+COUNTIFS(Inventory!$D:$D,$A65,Inventory!$K:$K,"Unconfirmed"))</f>
        <v/>
      </c>
      <c r="I65" s="65" t="str">
        <f aca="false">IF($A65="","",COUNTIFS('Use Cases'!$W$2:$W$501,$A65)-COUNTIFS('Use Cases'!$W$2:$W$501,$A65,'Use Cases'!$X$2:$X$501,"Closed"))</f>
        <v/>
      </c>
      <c r="J65" s="65" t="str">
        <f aca="false">IF($A65="","",COUNTIFS('Use Cases'!$W$2:$W$501,$A65,'Use Cases'!$AO$2:$AO$501,"Critical")+COUNTIFS('Use Cases'!$W$2:$W$501,$A65,'Use Cases'!$AO$2:$AO$501,"Warning"))</f>
        <v/>
      </c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28"/>
      <c r="H66" s="65" t="str">
        <f aca="false">IF($A66="","",COUNTIFS(Inventory!$D:$D,$A66,Inventory!$K:$K,"Open")+COUNTIFS(Inventory!$D:$D,$A66,Inventory!$K:$K,"Unconfirmed"))</f>
        <v/>
      </c>
      <c r="I66" s="65" t="str">
        <f aca="false">IF($A66="","",COUNTIFS('Use Cases'!$W$2:$W$501,$A66)-COUNTIFS('Use Cases'!$W$2:$W$501,$A66,'Use Cases'!$X$2:$X$501,"Closed"))</f>
        <v/>
      </c>
      <c r="J66" s="65" t="str">
        <f aca="false">IF($A66="","",COUNTIFS('Use Cases'!$W$2:$W$501,$A66,'Use Cases'!$AO$2:$AO$501,"Critical")+COUNTIFS('Use Cases'!$W$2:$W$501,$A66,'Use Cases'!$AO$2:$AO$501,"Warning"))</f>
        <v/>
      </c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28"/>
      <c r="H67" s="65" t="str">
        <f aca="false">IF($A67="","",COUNTIFS(Inventory!$D:$D,$A67,Inventory!$K:$K,"Open")+COUNTIFS(Inventory!$D:$D,$A67,Inventory!$K:$K,"Unconfirmed"))</f>
        <v/>
      </c>
      <c r="I67" s="65" t="str">
        <f aca="false">IF($A67="","",COUNTIFS('Use Cases'!$W$2:$W$501,$A67)-COUNTIFS('Use Cases'!$W$2:$W$501,$A67,'Use Cases'!$X$2:$X$501,"Closed"))</f>
        <v/>
      </c>
      <c r="J67" s="65" t="str">
        <f aca="false">IF($A67="","",COUNTIFS('Use Cases'!$W$2:$W$501,$A67,'Use Cases'!$AO$2:$AO$501,"Critical")+COUNTIFS('Use Cases'!$W$2:$W$501,$A67,'Use Cases'!$AO$2:$AO$501,"Warning"))</f>
        <v/>
      </c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28"/>
      <c r="H68" s="65" t="str">
        <f aca="false">IF($A68="","",COUNTIFS(Inventory!$D:$D,$A68,Inventory!$K:$K,"Open")+COUNTIFS(Inventory!$D:$D,$A68,Inventory!$K:$K,"Unconfirmed"))</f>
        <v/>
      </c>
      <c r="I68" s="65" t="str">
        <f aca="false">IF($A68="","",COUNTIFS('Use Cases'!$W$2:$W$501,$A68)-COUNTIFS('Use Cases'!$W$2:$W$501,$A68,'Use Cases'!$X$2:$X$501,"Closed"))</f>
        <v/>
      </c>
      <c r="J68" s="65" t="str">
        <f aca="false">IF($A68="","",COUNTIFS('Use Cases'!$W$2:$W$501,$A68,'Use Cases'!$AO$2:$AO$501,"Critical")+COUNTIFS('Use Cases'!$W$2:$W$501,$A68,'Use Cases'!$AO$2:$AO$501,"Warning"))</f>
        <v/>
      </c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28"/>
      <c r="H69" s="65" t="str">
        <f aca="false">IF($A69="","",COUNTIFS(Inventory!$D:$D,$A69,Inventory!$K:$K,"Open")+COUNTIFS(Inventory!$D:$D,$A69,Inventory!$K:$K,"Unconfirmed"))</f>
        <v/>
      </c>
      <c r="I69" s="65" t="str">
        <f aca="false">IF($A69="","",COUNTIFS('Use Cases'!$W$2:$W$501,$A69)-COUNTIFS('Use Cases'!$W$2:$W$501,$A69,'Use Cases'!$X$2:$X$501,"Closed"))</f>
        <v/>
      </c>
      <c r="J69" s="65" t="str">
        <f aca="false">IF($A69="","",COUNTIFS('Use Cases'!$W$2:$W$501,$A69,'Use Cases'!$AO$2:$AO$501,"Critical")+COUNTIFS('Use Cases'!$W$2:$W$501,$A69,'Use Cases'!$AO$2:$AO$501,"Warning"))</f>
        <v/>
      </c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28"/>
      <c r="H70" s="65" t="str">
        <f aca="false">IF($A70="","",COUNTIFS(Inventory!$D:$D,$A70,Inventory!$K:$K,"Open")+COUNTIFS(Inventory!$D:$D,$A70,Inventory!$K:$K,"Unconfirmed"))</f>
        <v/>
      </c>
      <c r="I70" s="65" t="str">
        <f aca="false">IF($A70="","",COUNTIFS('Use Cases'!$W$2:$W$501,$A70)-COUNTIFS('Use Cases'!$W$2:$W$501,$A70,'Use Cases'!$X$2:$X$501,"Closed"))</f>
        <v/>
      </c>
      <c r="J70" s="65" t="str">
        <f aca="false">IF($A70="","",COUNTIFS('Use Cases'!$W$2:$W$501,$A70,'Use Cases'!$AO$2:$AO$501,"Critical")+COUNTIFS('Use Cases'!$W$2:$W$501,$A70,'Use Cases'!$AO$2:$AO$501,"Warning"))</f>
        <v/>
      </c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28"/>
      <c r="H71" s="65" t="str">
        <f aca="false">IF($A71="","",COUNTIFS(Inventory!$D:$D,$A71,Inventory!$K:$K,"Open")+COUNTIFS(Inventory!$D:$D,$A71,Inventory!$K:$K,"Unconfirmed"))</f>
        <v/>
      </c>
      <c r="I71" s="65" t="str">
        <f aca="false">IF($A71="","",COUNTIFS('Use Cases'!$W$2:$W$501,$A71)-COUNTIFS('Use Cases'!$W$2:$W$501,$A71,'Use Cases'!$X$2:$X$501,"Closed"))</f>
        <v/>
      </c>
      <c r="J71" s="65" t="str">
        <f aca="false">IF($A71="","",COUNTIFS('Use Cases'!$W$2:$W$501,$A71,'Use Cases'!$AO$2:$AO$501,"Critical")+COUNTIFS('Use Cases'!$W$2:$W$501,$A71,'Use Cases'!$AO$2:$AO$501,"Warning"))</f>
        <v/>
      </c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28"/>
      <c r="H72" s="65" t="str">
        <f aca="false">IF($A72="","",COUNTIFS(Inventory!$D:$D,$A72,Inventory!$K:$K,"Open")+COUNTIFS(Inventory!$D:$D,$A72,Inventory!$K:$K,"Unconfirmed"))</f>
        <v/>
      </c>
      <c r="I72" s="65" t="str">
        <f aca="false">IF($A72="","",COUNTIFS('Use Cases'!$W$2:$W$501,$A72)-COUNTIFS('Use Cases'!$W$2:$W$501,$A72,'Use Cases'!$X$2:$X$501,"Closed"))</f>
        <v/>
      </c>
      <c r="J72" s="65" t="str">
        <f aca="false">IF($A72="","",COUNTIFS('Use Cases'!$W$2:$W$501,$A72,'Use Cases'!$AO$2:$AO$501,"Critical")+COUNTIFS('Use Cases'!$W$2:$W$501,$A72,'Use Cases'!$AO$2:$AO$501,"Warning"))</f>
        <v/>
      </c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28"/>
      <c r="H73" s="65" t="str">
        <f aca="false">IF($A73="","",COUNTIFS(Inventory!$D:$D,$A73,Inventory!$K:$K,"Open")+COUNTIFS(Inventory!$D:$D,$A73,Inventory!$K:$K,"Unconfirmed"))</f>
        <v/>
      </c>
      <c r="I73" s="65" t="str">
        <f aca="false">IF($A73="","",COUNTIFS('Use Cases'!$W$2:$W$501,$A73)-COUNTIFS('Use Cases'!$W$2:$W$501,$A73,'Use Cases'!$X$2:$X$501,"Closed"))</f>
        <v/>
      </c>
      <c r="J73" s="65" t="str">
        <f aca="false">IF($A73="","",COUNTIFS('Use Cases'!$W$2:$W$501,$A73,'Use Cases'!$AO$2:$AO$501,"Critical")+COUNTIFS('Use Cases'!$W$2:$W$501,$A73,'Use Cases'!$AO$2:$AO$501,"Warning"))</f>
        <v/>
      </c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28"/>
      <c r="H74" s="65" t="str">
        <f aca="false">IF($A74="","",COUNTIFS(Inventory!$D:$D,$A74,Inventory!$K:$K,"Open")+COUNTIFS(Inventory!$D:$D,$A74,Inventory!$K:$K,"Unconfirmed"))</f>
        <v/>
      </c>
      <c r="I74" s="65" t="str">
        <f aca="false">IF($A74="","",COUNTIFS('Use Cases'!$W$2:$W$501,$A74)-COUNTIFS('Use Cases'!$W$2:$W$501,$A74,'Use Cases'!$X$2:$X$501,"Closed"))</f>
        <v/>
      </c>
      <c r="J74" s="65" t="str">
        <f aca="false">IF($A74="","",COUNTIFS('Use Cases'!$W$2:$W$501,$A74,'Use Cases'!$AO$2:$AO$501,"Critical")+COUNTIFS('Use Cases'!$W$2:$W$501,$A74,'Use Cases'!$AO$2:$AO$501,"Warning"))</f>
        <v/>
      </c>
    </row>
    <row r="75" customFormat="false" ht="15" hidden="false" customHeight="false" outlineLevel="0" collapsed="false">
      <c r="A75" s="28"/>
      <c r="B75" s="28"/>
      <c r="C75" s="28"/>
      <c r="D75" s="28"/>
      <c r="E75" s="28"/>
      <c r="F75" s="28"/>
      <c r="G75" s="28"/>
      <c r="H75" s="65" t="str">
        <f aca="false">IF($A75="","",COUNTIFS(Inventory!$D:$D,$A75,Inventory!$K:$K,"Open")+COUNTIFS(Inventory!$D:$D,$A75,Inventory!$K:$K,"Unconfirmed"))</f>
        <v/>
      </c>
      <c r="I75" s="65" t="str">
        <f aca="false">IF($A75="","",COUNTIFS('Use Cases'!$W$2:$W$501,$A75)-COUNTIFS('Use Cases'!$W$2:$W$501,$A75,'Use Cases'!$X$2:$X$501,"Closed"))</f>
        <v/>
      </c>
      <c r="J75" s="65" t="str">
        <f aca="false">IF($A75="","",COUNTIFS('Use Cases'!$W$2:$W$501,$A75,'Use Cases'!$AO$2:$AO$501,"Critical")+COUNTIFS('Use Cases'!$W$2:$W$501,$A75,'Use Cases'!$AO$2:$AO$501,"Warning"))</f>
        <v/>
      </c>
    </row>
    <row r="76" customFormat="false" ht="15" hidden="false" customHeight="false" outlineLevel="0" collapsed="false">
      <c r="A76" s="28"/>
      <c r="B76" s="28"/>
      <c r="C76" s="28"/>
      <c r="D76" s="28"/>
      <c r="E76" s="28"/>
      <c r="F76" s="28"/>
      <c r="G76" s="28"/>
      <c r="H76" s="65" t="str">
        <f aca="false">IF($A76="","",COUNTIFS(Inventory!$D:$D,$A76,Inventory!$K:$K,"Open")+COUNTIFS(Inventory!$D:$D,$A76,Inventory!$K:$K,"Unconfirmed"))</f>
        <v/>
      </c>
      <c r="I76" s="65" t="str">
        <f aca="false">IF($A76="","",COUNTIFS('Use Cases'!$W$2:$W$501,$A76)-COUNTIFS('Use Cases'!$W$2:$W$501,$A76,'Use Cases'!$X$2:$X$501,"Closed"))</f>
        <v/>
      </c>
      <c r="J76" s="65" t="str">
        <f aca="false">IF($A76="","",COUNTIFS('Use Cases'!$W$2:$W$501,$A76,'Use Cases'!$AO$2:$AO$501,"Critical")+COUNTIFS('Use Cases'!$W$2:$W$501,$A76,'Use Cases'!$AO$2:$AO$501,"Warning"))</f>
        <v/>
      </c>
    </row>
    <row r="77" customFormat="false" ht="15" hidden="false" customHeight="false" outlineLevel="0" collapsed="false">
      <c r="A77" s="28"/>
      <c r="B77" s="28"/>
      <c r="C77" s="28"/>
      <c r="D77" s="28"/>
      <c r="E77" s="28"/>
      <c r="F77" s="28"/>
      <c r="G77" s="28"/>
      <c r="H77" s="65" t="str">
        <f aca="false">IF($A77="","",COUNTIFS(Inventory!$D:$D,$A77,Inventory!$K:$K,"Open")+COUNTIFS(Inventory!$D:$D,$A77,Inventory!$K:$K,"Unconfirmed"))</f>
        <v/>
      </c>
      <c r="I77" s="65" t="str">
        <f aca="false">IF($A77="","",COUNTIFS('Use Cases'!$W$2:$W$501,$A77)-COUNTIFS('Use Cases'!$W$2:$W$501,$A77,'Use Cases'!$X$2:$X$501,"Closed"))</f>
        <v/>
      </c>
      <c r="J77" s="65" t="str">
        <f aca="false">IF($A77="","",COUNTIFS('Use Cases'!$W$2:$W$501,$A77,'Use Cases'!$AO$2:$AO$501,"Critical")+COUNTIFS('Use Cases'!$W$2:$W$501,$A77,'Use Cases'!$AO$2:$AO$501,"Warning"))</f>
        <v/>
      </c>
    </row>
    <row r="78" customFormat="false" ht="15" hidden="false" customHeight="false" outlineLevel="0" collapsed="false">
      <c r="A78" s="28"/>
      <c r="B78" s="28"/>
      <c r="C78" s="28"/>
      <c r="D78" s="28"/>
      <c r="E78" s="28"/>
      <c r="F78" s="28"/>
      <c r="G78" s="28"/>
      <c r="H78" s="65" t="str">
        <f aca="false">IF($A78="","",COUNTIFS(Inventory!$D:$D,$A78,Inventory!$K:$K,"Open")+COUNTIFS(Inventory!$D:$D,$A78,Inventory!$K:$K,"Unconfirmed"))</f>
        <v/>
      </c>
      <c r="I78" s="65" t="str">
        <f aca="false">IF($A78="","",COUNTIFS('Use Cases'!$W$2:$W$501,$A78)-COUNTIFS('Use Cases'!$W$2:$W$501,$A78,'Use Cases'!$X$2:$X$501,"Closed"))</f>
        <v/>
      </c>
      <c r="J78" s="65" t="str">
        <f aca="false">IF($A78="","",COUNTIFS('Use Cases'!$W$2:$W$501,$A78,'Use Cases'!$AO$2:$AO$501,"Critical")+COUNTIFS('Use Cases'!$W$2:$W$501,$A78,'Use Cases'!$AO$2:$AO$501,"Warning"))</f>
        <v/>
      </c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28"/>
      <c r="H79" s="65" t="str">
        <f aca="false">IF($A79="","",COUNTIFS(Inventory!$D:$D,$A79,Inventory!$K:$K,"Open")+COUNTIFS(Inventory!$D:$D,$A79,Inventory!$K:$K,"Unconfirmed"))</f>
        <v/>
      </c>
      <c r="I79" s="65" t="str">
        <f aca="false">IF($A79="","",COUNTIFS('Use Cases'!$W$2:$W$501,$A79)-COUNTIFS('Use Cases'!$W$2:$W$501,$A79,'Use Cases'!$X$2:$X$501,"Closed"))</f>
        <v/>
      </c>
      <c r="J79" s="65" t="str">
        <f aca="false">IF($A79="","",COUNTIFS('Use Cases'!$W$2:$W$501,$A79,'Use Cases'!$AO$2:$AO$501,"Critical")+COUNTIFS('Use Cases'!$W$2:$W$501,$A79,'Use Cases'!$AO$2:$AO$501,"Warning"))</f>
        <v/>
      </c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28"/>
      <c r="H80" s="65" t="str">
        <f aca="false">IF($A80="","",COUNTIFS(Inventory!$D:$D,$A80,Inventory!$K:$K,"Open")+COUNTIFS(Inventory!$D:$D,$A80,Inventory!$K:$K,"Unconfirmed"))</f>
        <v/>
      </c>
      <c r="I80" s="65" t="str">
        <f aca="false">IF($A80="","",COUNTIFS('Use Cases'!$W$2:$W$501,$A80)-COUNTIFS('Use Cases'!$W$2:$W$501,$A80,'Use Cases'!$X$2:$X$501,"Closed"))</f>
        <v/>
      </c>
      <c r="J80" s="65" t="str">
        <f aca="false">IF($A80="","",COUNTIFS('Use Cases'!$W$2:$W$501,$A80,'Use Cases'!$AO$2:$AO$501,"Critical")+COUNTIFS('Use Cases'!$W$2:$W$501,$A80,'Use Cases'!$AO$2:$AO$501,"Warning"))</f>
        <v/>
      </c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28"/>
      <c r="H81" s="65" t="str">
        <f aca="false">IF($A81="","",COUNTIFS(Inventory!$D:$D,$A81,Inventory!$K:$K,"Open")+COUNTIFS(Inventory!$D:$D,$A81,Inventory!$K:$K,"Unconfirmed"))</f>
        <v/>
      </c>
      <c r="I81" s="65" t="str">
        <f aca="false">IF($A81="","",COUNTIFS('Use Cases'!$W$2:$W$501,$A81)-COUNTIFS('Use Cases'!$W$2:$W$501,$A81,'Use Cases'!$X$2:$X$501,"Closed"))</f>
        <v/>
      </c>
      <c r="J81" s="65" t="str">
        <f aca="false">IF($A81="","",COUNTIFS('Use Cases'!$W$2:$W$501,$A81,'Use Cases'!$AO$2:$AO$501,"Critical")+COUNTIFS('Use Cases'!$W$2:$W$501,$A81,'Use Cases'!$AO$2:$AO$501,"Warning"))</f>
        <v/>
      </c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28"/>
      <c r="H82" s="65" t="str">
        <f aca="false">IF($A82="","",COUNTIFS(Inventory!$D:$D,$A82,Inventory!$K:$K,"Open")+COUNTIFS(Inventory!$D:$D,$A82,Inventory!$K:$K,"Unconfirmed"))</f>
        <v/>
      </c>
      <c r="I82" s="65" t="str">
        <f aca="false">IF($A82="","",COUNTIFS('Use Cases'!$W$2:$W$501,$A82)-COUNTIFS('Use Cases'!$W$2:$W$501,$A82,'Use Cases'!$X$2:$X$501,"Closed"))</f>
        <v/>
      </c>
      <c r="J82" s="65" t="str">
        <f aca="false">IF($A82="","",COUNTIFS('Use Cases'!$W$2:$W$501,$A82,'Use Cases'!$AO$2:$AO$501,"Critical")+COUNTIFS('Use Cases'!$W$2:$W$501,$A82,'Use Cases'!$AO$2:$AO$501,"Warning"))</f>
        <v/>
      </c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28"/>
      <c r="H83" s="65" t="str">
        <f aca="false">IF($A83="","",COUNTIFS(Inventory!$D:$D,$A83,Inventory!$K:$K,"Open")+COUNTIFS(Inventory!$D:$D,$A83,Inventory!$K:$K,"Unconfirmed"))</f>
        <v/>
      </c>
      <c r="I83" s="65" t="str">
        <f aca="false">IF($A83="","",COUNTIFS('Use Cases'!$W$2:$W$501,$A83)-COUNTIFS('Use Cases'!$W$2:$W$501,$A83,'Use Cases'!$X$2:$X$501,"Closed"))</f>
        <v/>
      </c>
      <c r="J83" s="65" t="str">
        <f aca="false">IF($A83="","",COUNTIFS('Use Cases'!$W$2:$W$501,$A83,'Use Cases'!$AO$2:$AO$501,"Critical")+COUNTIFS('Use Cases'!$W$2:$W$501,$A83,'Use Cases'!$AO$2:$AO$501,"Warning"))</f>
        <v/>
      </c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28"/>
      <c r="H84" s="65" t="str">
        <f aca="false">IF($A84="","",COUNTIFS(Inventory!$D:$D,$A84,Inventory!$K:$K,"Open")+COUNTIFS(Inventory!$D:$D,$A84,Inventory!$K:$K,"Unconfirmed"))</f>
        <v/>
      </c>
      <c r="I84" s="65" t="str">
        <f aca="false">IF($A84="","",COUNTIFS('Use Cases'!$W$2:$W$501,$A84)-COUNTIFS('Use Cases'!$W$2:$W$501,$A84,'Use Cases'!$X$2:$X$501,"Closed"))</f>
        <v/>
      </c>
      <c r="J84" s="65" t="str">
        <f aca="false">IF($A84="","",COUNTIFS('Use Cases'!$W$2:$W$501,$A84,'Use Cases'!$AO$2:$AO$501,"Critical")+COUNTIFS('Use Cases'!$W$2:$W$501,$A84,'Use Cases'!$AO$2:$AO$501,"Warning"))</f>
        <v/>
      </c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28"/>
      <c r="H85" s="65" t="str">
        <f aca="false">IF($A85="","",COUNTIFS(Inventory!$D:$D,$A85,Inventory!$K:$K,"Open")+COUNTIFS(Inventory!$D:$D,$A85,Inventory!$K:$K,"Unconfirmed"))</f>
        <v/>
      </c>
      <c r="I85" s="65" t="str">
        <f aca="false">IF($A85="","",COUNTIFS('Use Cases'!$W$2:$W$501,$A85)-COUNTIFS('Use Cases'!$W$2:$W$501,$A85,'Use Cases'!$X$2:$X$501,"Closed"))</f>
        <v/>
      </c>
      <c r="J85" s="65" t="str">
        <f aca="false">IF($A85="","",COUNTIFS('Use Cases'!$W$2:$W$501,$A85,'Use Cases'!$AO$2:$AO$501,"Critical")+COUNTIFS('Use Cases'!$W$2:$W$501,$A85,'Use Cases'!$AO$2:$AO$501,"Warning"))</f>
        <v/>
      </c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28"/>
      <c r="H86" s="65" t="str">
        <f aca="false">IF($A86="","",COUNTIFS(Inventory!$D:$D,$A86,Inventory!$K:$K,"Open")+COUNTIFS(Inventory!$D:$D,$A86,Inventory!$K:$K,"Unconfirmed"))</f>
        <v/>
      </c>
      <c r="I86" s="65" t="str">
        <f aca="false">IF($A86="","",COUNTIFS('Use Cases'!$W$2:$W$501,$A86)-COUNTIFS('Use Cases'!$W$2:$W$501,$A86,'Use Cases'!$X$2:$X$501,"Closed"))</f>
        <v/>
      </c>
      <c r="J86" s="65" t="str">
        <f aca="false">IF($A86="","",COUNTIFS('Use Cases'!$W$2:$W$501,$A86,'Use Cases'!$AO$2:$AO$501,"Critical")+COUNTIFS('Use Cases'!$W$2:$W$501,$A86,'Use Cases'!$AO$2:$AO$501,"Warning"))</f>
        <v/>
      </c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28"/>
      <c r="H87" s="65" t="str">
        <f aca="false">IF($A87="","",COUNTIFS(Inventory!$D:$D,$A87,Inventory!$K:$K,"Open")+COUNTIFS(Inventory!$D:$D,$A87,Inventory!$K:$K,"Unconfirmed"))</f>
        <v/>
      </c>
      <c r="I87" s="65" t="str">
        <f aca="false">IF($A87="","",COUNTIFS('Use Cases'!$W$2:$W$501,$A87)-COUNTIFS('Use Cases'!$W$2:$W$501,$A87,'Use Cases'!$X$2:$X$501,"Closed"))</f>
        <v/>
      </c>
      <c r="J87" s="65" t="str">
        <f aca="false">IF($A87="","",COUNTIFS('Use Cases'!$W$2:$W$501,$A87,'Use Cases'!$AO$2:$AO$501,"Critical")+COUNTIFS('Use Cases'!$W$2:$W$501,$A87,'Use Cases'!$AO$2:$AO$501,"Warning"))</f>
        <v/>
      </c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28"/>
      <c r="H88" s="65" t="str">
        <f aca="false">IF($A88="","",COUNTIFS(Inventory!$D:$D,$A88,Inventory!$K:$K,"Open")+COUNTIFS(Inventory!$D:$D,$A88,Inventory!$K:$K,"Unconfirmed"))</f>
        <v/>
      </c>
      <c r="I88" s="65" t="str">
        <f aca="false">IF($A88="","",COUNTIFS('Use Cases'!$W$2:$W$501,$A88)-COUNTIFS('Use Cases'!$W$2:$W$501,$A88,'Use Cases'!$X$2:$X$501,"Closed"))</f>
        <v/>
      </c>
      <c r="J88" s="65" t="str">
        <f aca="false">IF($A88="","",COUNTIFS('Use Cases'!$W$2:$W$501,$A88,'Use Cases'!$AO$2:$AO$501,"Critical")+COUNTIFS('Use Cases'!$W$2:$W$501,$A88,'Use Cases'!$AO$2:$AO$501,"Warning"))</f>
        <v/>
      </c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28"/>
      <c r="H89" s="65" t="str">
        <f aca="false">IF($A89="","",COUNTIFS(Inventory!$D:$D,$A89,Inventory!$K:$K,"Open")+COUNTIFS(Inventory!$D:$D,$A89,Inventory!$K:$K,"Unconfirmed"))</f>
        <v/>
      </c>
      <c r="I89" s="65" t="str">
        <f aca="false">IF($A89="","",COUNTIFS('Use Cases'!$W$2:$W$501,$A89)-COUNTIFS('Use Cases'!$W$2:$W$501,$A89,'Use Cases'!$X$2:$X$501,"Closed"))</f>
        <v/>
      </c>
      <c r="J89" s="65" t="str">
        <f aca="false">IF($A89="","",COUNTIFS('Use Cases'!$W$2:$W$501,$A89,'Use Cases'!$AO$2:$AO$501,"Critical")+COUNTIFS('Use Cases'!$W$2:$W$501,$A89,'Use Cases'!$AO$2:$AO$501,"Warning"))</f>
        <v/>
      </c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28"/>
      <c r="H90" s="65" t="str">
        <f aca="false">IF($A90="","",COUNTIFS(Inventory!$D:$D,$A90,Inventory!$K:$K,"Open")+COUNTIFS(Inventory!$D:$D,$A90,Inventory!$K:$K,"Unconfirmed"))</f>
        <v/>
      </c>
      <c r="I90" s="65" t="str">
        <f aca="false">IF($A90="","",COUNTIFS('Use Cases'!$W$2:$W$501,$A90)-COUNTIFS('Use Cases'!$W$2:$W$501,$A90,'Use Cases'!$X$2:$X$501,"Closed"))</f>
        <v/>
      </c>
      <c r="J90" s="65" t="str">
        <f aca="false">IF($A90="","",COUNTIFS('Use Cases'!$W$2:$W$501,$A90,'Use Cases'!$AO$2:$AO$501,"Critical")+COUNTIFS('Use Cases'!$W$2:$W$501,$A90,'Use Cases'!$AO$2:$AO$501,"Warning"))</f>
        <v/>
      </c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28"/>
      <c r="H91" s="65" t="str">
        <f aca="false">IF($A91="","",COUNTIFS(Inventory!$D:$D,$A91,Inventory!$K:$K,"Open")+COUNTIFS(Inventory!$D:$D,$A91,Inventory!$K:$K,"Unconfirmed"))</f>
        <v/>
      </c>
      <c r="I91" s="65" t="str">
        <f aca="false">IF($A91="","",COUNTIFS('Use Cases'!$W$2:$W$501,$A91)-COUNTIFS('Use Cases'!$W$2:$W$501,$A91,'Use Cases'!$X$2:$X$501,"Closed"))</f>
        <v/>
      </c>
      <c r="J91" s="65" t="str">
        <f aca="false">IF($A91="","",COUNTIFS('Use Cases'!$W$2:$W$501,$A91,'Use Cases'!$AO$2:$AO$501,"Critical")+COUNTIFS('Use Cases'!$W$2:$W$501,$A91,'Use Cases'!$AO$2:$AO$501,"Warning"))</f>
        <v/>
      </c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28"/>
      <c r="H92" s="65" t="str">
        <f aca="false">IF($A92="","",COUNTIFS(Inventory!$D:$D,$A92,Inventory!$K:$K,"Open")+COUNTIFS(Inventory!$D:$D,$A92,Inventory!$K:$K,"Unconfirmed"))</f>
        <v/>
      </c>
      <c r="I92" s="65" t="str">
        <f aca="false">IF($A92="","",COUNTIFS('Use Cases'!$W$2:$W$501,$A92)-COUNTIFS('Use Cases'!$W$2:$W$501,$A92,'Use Cases'!$X$2:$X$501,"Closed"))</f>
        <v/>
      </c>
      <c r="J92" s="65" t="str">
        <f aca="false">IF($A92="","",COUNTIFS('Use Cases'!$W$2:$W$501,$A92,'Use Cases'!$AO$2:$AO$501,"Critical")+COUNTIFS('Use Cases'!$W$2:$W$501,$A92,'Use Cases'!$AO$2:$AO$501,"Warning"))</f>
        <v/>
      </c>
    </row>
    <row r="93" customFormat="false" ht="15" hidden="false" customHeight="false" outlineLevel="0" collapsed="false">
      <c r="A93" s="28"/>
      <c r="B93" s="28"/>
      <c r="C93" s="28"/>
      <c r="D93" s="28"/>
      <c r="E93" s="28"/>
      <c r="F93" s="28"/>
      <c r="G93" s="28"/>
      <c r="H93" s="65" t="str">
        <f aca="false">IF($A93="","",COUNTIFS(Inventory!$D:$D,$A93,Inventory!$K:$K,"Open")+COUNTIFS(Inventory!$D:$D,$A93,Inventory!$K:$K,"Unconfirmed"))</f>
        <v/>
      </c>
      <c r="I93" s="65" t="str">
        <f aca="false">IF($A93="","",COUNTIFS('Use Cases'!$W$2:$W$501,$A93)-COUNTIFS('Use Cases'!$W$2:$W$501,$A93,'Use Cases'!$X$2:$X$501,"Closed"))</f>
        <v/>
      </c>
      <c r="J93" s="65" t="str">
        <f aca="false">IF($A93="","",COUNTIFS('Use Cases'!$W$2:$W$501,$A93,'Use Cases'!$AO$2:$AO$501,"Critical")+COUNTIFS('Use Cases'!$W$2:$W$501,$A93,'Use Cases'!$AO$2:$AO$501,"Warning"))</f>
        <v/>
      </c>
    </row>
    <row r="94" customFormat="false" ht="15" hidden="false" customHeight="false" outlineLevel="0" collapsed="false">
      <c r="A94" s="28"/>
      <c r="B94" s="28"/>
      <c r="C94" s="28"/>
      <c r="D94" s="28"/>
      <c r="E94" s="28"/>
      <c r="F94" s="28"/>
      <c r="G94" s="28"/>
      <c r="H94" s="65" t="str">
        <f aca="false">IF($A94="","",COUNTIFS(Inventory!$D:$D,$A94,Inventory!$K:$K,"Open")+COUNTIFS(Inventory!$D:$D,$A94,Inventory!$K:$K,"Unconfirmed"))</f>
        <v/>
      </c>
      <c r="I94" s="65" t="str">
        <f aca="false">IF($A94="","",COUNTIFS('Use Cases'!$W$2:$W$501,$A94)-COUNTIFS('Use Cases'!$W$2:$W$501,$A94,'Use Cases'!$X$2:$X$501,"Closed"))</f>
        <v/>
      </c>
      <c r="J94" s="65" t="str">
        <f aca="false">IF($A94="","",COUNTIFS('Use Cases'!$W$2:$W$501,$A94,'Use Cases'!$AO$2:$AO$501,"Critical")+COUNTIFS('Use Cases'!$W$2:$W$501,$A94,'Use Cases'!$AO$2:$AO$501,"Warning"))</f>
        <v/>
      </c>
    </row>
    <row r="95" customFormat="false" ht="15" hidden="false" customHeight="false" outlineLevel="0" collapsed="false">
      <c r="A95" s="28"/>
      <c r="B95" s="28"/>
      <c r="C95" s="28"/>
      <c r="D95" s="28"/>
      <c r="E95" s="28"/>
      <c r="F95" s="28"/>
      <c r="G95" s="28"/>
      <c r="H95" s="65" t="str">
        <f aca="false">IF($A95="","",COUNTIFS(Inventory!$D:$D,$A95,Inventory!$K:$K,"Open")+COUNTIFS(Inventory!$D:$D,$A95,Inventory!$K:$K,"Unconfirmed"))</f>
        <v/>
      </c>
      <c r="I95" s="65" t="str">
        <f aca="false">IF($A95="","",COUNTIFS('Use Cases'!$W$2:$W$501,$A95)-COUNTIFS('Use Cases'!$W$2:$W$501,$A95,'Use Cases'!$X$2:$X$501,"Closed"))</f>
        <v/>
      </c>
      <c r="J95" s="65" t="str">
        <f aca="false">IF($A95="","",COUNTIFS('Use Cases'!$W$2:$W$501,$A95,'Use Cases'!$AO$2:$AO$501,"Critical")+COUNTIFS('Use Cases'!$W$2:$W$501,$A95,'Use Cases'!$AO$2:$AO$501,"Warning"))</f>
        <v/>
      </c>
    </row>
    <row r="96" customFormat="false" ht="15" hidden="false" customHeight="false" outlineLevel="0" collapsed="false">
      <c r="A96" s="28"/>
      <c r="B96" s="28"/>
      <c r="C96" s="28"/>
      <c r="D96" s="28"/>
      <c r="E96" s="28"/>
      <c r="F96" s="28"/>
      <c r="G96" s="28"/>
      <c r="H96" s="65" t="str">
        <f aca="false">IF($A96="","",COUNTIFS(Inventory!$D:$D,$A96,Inventory!$K:$K,"Open")+COUNTIFS(Inventory!$D:$D,$A96,Inventory!$K:$K,"Unconfirmed"))</f>
        <v/>
      </c>
      <c r="I96" s="65" t="str">
        <f aca="false">IF($A96="","",COUNTIFS('Use Cases'!$W$2:$W$501,$A96)-COUNTIFS('Use Cases'!$W$2:$W$501,$A96,'Use Cases'!$X$2:$X$501,"Closed"))</f>
        <v/>
      </c>
      <c r="J96" s="65" t="str">
        <f aca="false">IF($A96="","",COUNTIFS('Use Cases'!$W$2:$W$501,$A96,'Use Cases'!$AO$2:$AO$501,"Critical")+COUNTIFS('Use Cases'!$W$2:$W$501,$A96,'Use Cases'!$AO$2:$AO$501,"Warning"))</f>
        <v/>
      </c>
    </row>
    <row r="97" customFormat="false" ht="15" hidden="false" customHeight="false" outlineLevel="0" collapsed="false">
      <c r="A97" s="28"/>
      <c r="B97" s="28"/>
      <c r="C97" s="28"/>
      <c r="D97" s="28"/>
      <c r="E97" s="28"/>
      <c r="F97" s="28"/>
      <c r="G97" s="28"/>
      <c r="H97" s="65" t="str">
        <f aca="false">IF($A97="","",COUNTIFS(Inventory!$D:$D,$A97,Inventory!$K:$K,"Open")+COUNTIFS(Inventory!$D:$D,$A97,Inventory!$K:$K,"Unconfirmed"))</f>
        <v/>
      </c>
      <c r="I97" s="65" t="str">
        <f aca="false">IF($A97="","",COUNTIFS('Use Cases'!$W$2:$W$501,$A97)-COUNTIFS('Use Cases'!$W$2:$W$501,$A97,'Use Cases'!$X$2:$X$501,"Closed"))</f>
        <v/>
      </c>
      <c r="J97" s="65" t="str">
        <f aca="false">IF($A97="","",COUNTIFS('Use Cases'!$W$2:$W$501,$A97,'Use Cases'!$AO$2:$AO$501,"Critical")+COUNTIFS('Use Cases'!$W$2:$W$501,$A97,'Use Cases'!$AO$2:$AO$501,"Warning"))</f>
        <v/>
      </c>
    </row>
    <row r="98" customFormat="false" ht="15" hidden="false" customHeight="false" outlineLevel="0" collapsed="false">
      <c r="A98" s="28"/>
      <c r="B98" s="28"/>
      <c r="C98" s="28"/>
      <c r="D98" s="28"/>
      <c r="E98" s="28"/>
      <c r="F98" s="28"/>
      <c r="G98" s="28"/>
      <c r="H98" s="65" t="str">
        <f aca="false">IF($A98="","",COUNTIFS(Inventory!$D:$D,$A98,Inventory!$K:$K,"Open")+COUNTIFS(Inventory!$D:$D,$A98,Inventory!$K:$K,"Unconfirmed"))</f>
        <v/>
      </c>
      <c r="I98" s="65" t="str">
        <f aca="false">IF($A98="","",COUNTIFS('Use Cases'!$W$2:$W$501,$A98)-COUNTIFS('Use Cases'!$W$2:$W$501,$A98,'Use Cases'!$X$2:$X$501,"Closed"))</f>
        <v/>
      </c>
      <c r="J98" s="65" t="str">
        <f aca="false">IF($A98="","",COUNTIFS('Use Cases'!$W$2:$W$501,$A98,'Use Cases'!$AO$2:$AO$501,"Critical")+COUNTIFS('Use Cases'!$W$2:$W$501,$A98,'Use Cases'!$AO$2:$AO$501,"Warning"))</f>
        <v/>
      </c>
    </row>
    <row r="99" customFormat="false" ht="15" hidden="false" customHeight="false" outlineLevel="0" collapsed="false">
      <c r="A99" s="28"/>
      <c r="B99" s="28"/>
      <c r="C99" s="28"/>
      <c r="D99" s="28"/>
      <c r="E99" s="28"/>
      <c r="F99" s="28"/>
      <c r="G99" s="28"/>
      <c r="H99" s="65" t="str">
        <f aca="false">IF($A99="","",COUNTIFS(Inventory!$D:$D,$A99,Inventory!$K:$K,"Open")+COUNTIFS(Inventory!$D:$D,$A99,Inventory!$K:$K,"Unconfirmed"))</f>
        <v/>
      </c>
      <c r="I99" s="65" t="str">
        <f aca="false">IF($A99="","",COUNTIFS('Use Cases'!$W$2:$W$501,$A99)-COUNTIFS('Use Cases'!$W$2:$W$501,$A99,'Use Cases'!$X$2:$X$501,"Closed"))</f>
        <v/>
      </c>
      <c r="J99" s="65" t="str">
        <f aca="false">IF($A99="","",COUNTIFS('Use Cases'!$W$2:$W$501,$A99,'Use Cases'!$AO$2:$AO$501,"Critical")+COUNTIFS('Use Cases'!$W$2:$W$501,$A99,'Use Cases'!$AO$2:$AO$501,"Warning"))</f>
        <v/>
      </c>
    </row>
    <row r="100" customFormat="false" ht="15" hidden="false" customHeight="false" outlineLevel="0" collapsed="false">
      <c r="A100" s="28"/>
      <c r="B100" s="28"/>
      <c r="C100" s="28"/>
      <c r="D100" s="28"/>
      <c r="E100" s="28"/>
      <c r="F100" s="28"/>
      <c r="G100" s="28"/>
      <c r="H100" s="65" t="str">
        <f aca="false">IF($A100="","",COUNTIFS(Inventory!$D:$D,$A100,Inventory!$K:$K,"Open")+COUNTIFS(Inventory!$D:$D,$A100,Inventory!$K:$K,"Unconfirmed"))</f>
        <v/>
      </c>
      <c r="I100" s="65" t="str">
        <f aca="false">IF($A100="","",COUNTIFS('Use Cases'!$W$2:$W$501,$A100)-COUNTIFS('Use Cases'!$W$2:$W$501,$A100,'Use Cases'!$X$2:$X$501,"Closed"))</f>
        <v/>
      </c>
      <c r="J100" s="65" t="str">
        <f aca="false">IF($A100="","",COUNTIFS('Use Cases'!$W$2:$W$501,$A100,'Use Cases'!$AO$2:$AO$501,"Critical")+COUNTIFS('Use Cases'!$W$2:$W$501,$A100,'Use Cases'!$AO$2:$AO$501,"Warning"))</f>
        <v/>
      </c>
    </row>
    <row r="101" customFormat="false" ht="15" hidden="false" customHeight="false" outlineLevel="0" collapsed="false">
      <c r="A101" s="28"/>
      <c r="B101" s="28"/>
      <c r="C101" s="28"/>
      <c r="D101" s="28"/>
      <c r="E101" s="28"/>
      <c r="F101" s="28"/>
      <c r="G101" s="28"/>
      <c r="H101" s="65" t="str">
        <f aca="false">IF($A101="","",COUNTIFS(Inventory!$D:$D,$A101,Inventory!$K:$K,"Open")+COUNTIFS(Inventory!$D:$D,$A101,Inventory!$K:$K,"Unconfirmed"))</f>
        <v/>
      </c>
      <c r="I101" s="65" t="str">
        <f aca="false">IF($A101="","",COUNTIFS('Use Cases'!$W$2:$W$501,$A101)-COUNTIFS('Use Cases'!$W$2:$W$501,$A101,'Use Cases'!$X$2:$X$501,"Closed"))</f>
        <v/>
      </c>
      <c r="J101" s="65" t="str">
        <f aca="false">IF($A101="","",COUNTIFS('Use Cases'!$W$2:$W$501,$A101,'Use Cases'!$AO$2:$AO$501,"Critical")+COUNTIFS('Use Cases'!$W$2:$W$501,$A101,'Use Cases'!$AO$2:$AO$501,"Warning"))</f>
        <v/>
      </c>
    </row>
    <row r="102" customFormat="false" ht="15" hidden="false" customHeight="false" outlineLevel="0" collapsed="false">
      <c r="A102" s="28"/>
      <c r="B102" s="28"/>
      <c r="C102" s="28"/>
      <c r="D102" s="28"/>
      <c r="E102" s="28"/>
      <c r="F102" s="28"/>
      <c r="G102" s="28"/>
      <c r="H102" s="65" t="str">
        <f aca="false">IF($A102="","",COUNTIFS(Inventory!$D:$D,$A102,Inventory!$K:$K,"Open")+COUNTIFS(Inventory!$D:$D,$A102,Inventory!$K:$K,"Unconfirmed"))</f>
        <v/>
      </c>
      <c r="I102" s="65" t="str">
        <f aca="false">IF($A102="","",COUNTIFS('Use Cases'!$W$2:$W$501,$A102)-COUNTIFS('Use Cases'!$W$2:$W$501,$A102,'Use Cases'!$X$2:$X$501,"Closed"))</f>
        <v/>
      </c>
      <c r="J102" s="65" t="str">
        <f aca="false">IF($A102="","",COUNTIFS('Use Cases'!$W$2:$W$501,$A102,'Use Cases'!$AO$2:$AO$501,"Critical")+COUNTIFS('Use Cases'!$W$2:$W$501,$A102,'Use Cases'!$AO$2:$AO$501,"Warning"))</f>
        <v/>
      </c>
    </row>
    <row r="103" customFormat="false" ht="15" hidden="false" customHeight="false" outlineLevel="0" collapsed="false">
      <c r="A103" s="28"/>
      <c r="B103" s="28"/>
      <c r="C103" s="28"/>
      <c r="D103" s="28"/>
      <c r="E103" s="28"/>
      <c r="F103" s="28"/>
      <c r="G103" s="28"/>
      <c r="H103" s="65" t="str">
        <f aca="false">IF($A103="","",COUNTIFS(Inventory!$D:$D,$A103,Inventory!$K:$K,"Open")+COUNTIFS(Inventory!$D:$D,$A103,Inventory!$K:$K,"Unconfirmed"))</f>
        <v/>
      </c>
      <c r="I103" s="65" t="str">
        <f aca="false">IF($A103="","",COUNTIFS('Use Cases'!$W$2:$W$501,$A103)-COUNTIFS('Use Cases'!$W$2:$W$501,$A103,'Use Cases'!$X$2:$X$501,"Closed"))</f>
        <v/>
      </c>
      <c r="J103" s="65" t="str">
        <f aca="false">IF($A103="","",COUNTIFS('Use Cases'!$W$2:$W$501,$A103,'Use Cases'!$AO$2:$AO$501,"Critical")+COUNTIFS('Use Cases'!$W$2:$W$501,$A103,'Use Cases'!$AO$2:$AO$501,"Warning"))</f>
        <v/>
      </c>
    </row>
    <row r="104" customFormat="false" ht="15" hidden="false" customHeight="false" outlineLevel="0" collapsed="false">
      <c r="A104" s="28"/>
      <c r="B104" s="28"/>
      <c r="C104" s="28"/>
      <c r="D104" s="28"/>
      <c r="E104" s="28"/>
      <c r="F104" s="28"/>
      <c r="G104" s="28"/>
      <c r="H104" s="65" t="str">
        <f aca="false">IF($A104="","",COUNTIFS(Inventory!$D:$D,$A104,Inventory!$K:$K,"Open")+COUNTIFS(Inventory!$D:$D,$A104,Inventory!$K:$K,"Unconfirmed"))</f>
        <v/>
      </c>
      <c r="I104" s="65" t="str">
        <f aca="false">IF($A104="","",COUNTIFS('Use Cases'!$W$2:$W$501,$A104)-COUNTIFS('Use Cases'!$W$2:$W$501,$A104,'Use Cases'!$X$2:$X$501,"Closed"))</f>
        <v/>
      </c>
      <c r="J104" s="65" t="str">
        <f aca="false">IF($A104="","",COUNTIFS('Use Cases'!$W$2:$W$501,$A104,'Use Cases'!$AO$2:$AO$501,"Critical")+COUNTIFS('Use Cases'!$W$2:$W$501,$A104,'Use Cases'!$AO$2:$AO$501,"Warning"))</f>
        <v/>
      </c>
    </row>
    <row r="105" customFormat="false" ht="15" hidden="false" customHeight="false" outlineLevel="0" collapsed="false">
      <c r="A105" s="28"/>
      <c r="B105" s="28"/>
      <c r="C105" s="28"/>
      <c r="D105" s="28"/>
      <c r="E105" s="28"/>
      <c r="F105" s="28"/>
      <c r="G105" s="28"/>
      <c r="H105" s="65" t="str">
        <f aca="false">IF($A105="","",COUNTIFS(Inventory!$D:$D,$A105,Inventory!$K:$K,"Open")+COUNTIFS(Inventory!$D:$D,$A105,Inventory!$K:$K,"Unconfirmed"))</f>
        <v/>
      </c>
      <c r="I105" s="65" t="str">
        <f aca="false">IF($A105="","",COUNTIFS('Use Cases'!$W$2:$W$501,$A105)-COUNTIFS('Use Cases'!$W$2:$W$501,$A105,'Use Cases'!$X$2:$X$501,"Closed"))</f>
        <v/>
      </c>
      <c r="J105" s="65" t="str">
        <f aca="false">IF($A105="","",COUNTIFS('Use Cases'!$W$2:$W$501,$A105,'Use Cases'!$AO$2:$AO$501,"Critical")+COUNTIFS('Use Cases'!$W$2:$W$501,$A105,'Use Cases'!$AO$2:$AO$501,"Warning"))</f>
        <v/>
      </c>
    </row>
    <row r="106" customFormat="false" ht="15" hidden="false" customHeight="false" outlineLevel="0" collapsed="false">
      <c r="A106" s="28"/>
      <c r="B106" s="28"/>
      <c r="C106" s="28"/>
      <c r="D106" s="28"/>
      <c r="E106" s="28"/>
      <c r="F106" s="28"/>
      <c r="G106" s="28"/>
      <c r="H106" s="65" t="str">
        <f aca="false">IF($A106="","",COUNTIFS(Inventory!$D:$D,$A106,Inventory!$K:$K,"Open")+COUNTIFS(Inventory!$D:$D,$A106,Inventory!$K:$K,"Unconfirmed"))</f>
        <v/>
      </c>
      <c r="I106" s="65" t="str">
        <f aca="false">IF($A106="","",COUNTIFS('Use Cases'!$W$2:$W$501,$A106)-COUNTIFS('Use Cases'!$W$2:$W$501,$A106,'Use Cases'!$X$2:$X$501,"Closed"))</f>
        <v/>
      </c>
      <c r="J106" s="65" t="str">
        <f aca="false">IF($A106="","",COUNTIFS('Use Cases'!$W$2:$W$501,$A106,'Use Cases'!$AO$2:$AO$501,"Critical")+COUNTIFS('Use Cases'!$W$2:$W$501,$A106,'Use Cases'!$AO$2:$AO$501,"Warning"))</f>
        <v/>
      </c>
    </row>
    <row r="107" customFormat="false" ht="15" hidden="false" customHeight="false" outlineLevel="0" collapsed="false">
      <c r="A107" s="28"/>
      <c r="B107" s="28"/>
      <c r="C107" s="28"/>
      <c r="D107" s="28"/>
      <c r="E107" s="28"/>
      <c r="F107" s="28"/>
      <c r="G107" s="28"/>
      <c r="H107" s="65" t="str">
        <f aca="false">IF($A107="","",COUNTIFS(Inventory!$D:$D,$A107,Inventory!$K:$K,"Open")+COUNTIFS(Inventory!$D:$D,$A107,Inventory!$K:$K,"Unconfirmed"))</f>
        <v/>
      </c>
      <c r="I107" s="65" t="str">
        <f aca="false">IF($A107="","",COUNTIFS('Use Cases'!$W$2:$W$501,$A107)-COUNTIFS('Use Cases'!$W$2:$W$501,$A107,'Use Cases'!$X$2:$X$501,"Closed"))</f>
        <v/>
      </c>
      <c r="J107" s="65" t="str">
        <f aca="false">IF($A107="","",COUNTIFS('Use Cases'!$W$2:$W$501,$A107,'Use Cases'!$AO$2:$AO$501,"Critical")+COUNTIFS('Use Cases'!$W$2:$W$501,$A107,'Use Cases'!$AO$2:$AO$501,"Warning"))</f>
        <v/>
      </c>
    </row>
    <row r="108" customFormat="false" ht="15" hidden="false" customHeight="false" outlineLevel="0" collapsed="false">
      <c r="A108" s="28"/>
      <c r="B108" s="28"/>
      <c r="C108" s="28"/>
      <c r="D108" s="28"/>
      <c r="E108" s="28"/>
      <c r="F108" s="28"/>
      <c r="G108" s="28"/>
      <c r="H108" s="65" t="str">
        <f aca="false">IF($A108="","",COUNTIFS(Inventory!$D:$D,$A108,Inventory!$K:$K,"Open")+COUNTIFS(Inventory!$D:$D,$A108,Inventory!$K:$K,"Unconfirmed"))</f>
        <v/>
      </c>
      <c r="I108" s="65" t="str">
        <f aca="false">IF($A108="","",COUNTIFS('Use Cases'!$W$2:$W$501,$A108)-COUNTIFS('Use Cases'!$W$2:$W$501,$A108,'Use Cases'!$X$2:$X$501,"Closed"))</f>
        <v/>
      </c>
      <c r="J108" s="65" t="str">
        <f aca="false">IF($A108="","",COUNTIFS('Use Cases'!$W$2:$W$501,$A108,'Use Cases'!$AO$2:$AO$501,"Critical")+COUNTIFS('Use Cases'!$W$2:$W$501,$A108,'Use Cases'!$AO$2:$AO$501,"Warning"))</f>
        <v/>
      </c>
    </row>
    <row r="109" customFormat="false" ht="15" hidden="false" customHeight="false" outlineLevel="0" collapsed="false">
      <c r="A109" s="28"/>
      <c r="B109" s="28"/>
      <c r="C109" s="28"/>
      <c r="D109" s="28"/>
      <c r="E109" s="28"/>
      <c r="F109" s="28"/>
      <c r="G109" s="28"/>
      <c r="H109" s="65" t="str">
        <f aca="false">IF($A109="","",COUNTIFS(Inventory!$D:$D,$A109,Inventory!$K:$K,"Open")+COUNTIFS(Inventory!$D:$D,$A109,Inventory!$K:$K,"Unconfirmed"))</f>
        <v/>
      </c>
      <c r="I109" s="65" t="str">
        <f aca="false">IF($A109="","",COUNTIFS('Use Cases'!$W$2:$W$501,$A109)-COUNTIFS('Use Cases'!$W$2:$W$501,$A109,'Use Cases'!$X$2:$X$501,"Closed"))</f>
        <v/>
      </c>
      <c r="J109" s="65" t="str">
        <f aca="false">IF($A109="","",COUNTIFS('Use Cases'!$W$2:$W$501,$A109,'Use Cases'!$AO$2:$AO$501,"Critical")+COUNTIFS('Use Cases'!$W$2:$W$501,$A109,'Use Cases'!$AO$2:$AO$501,"Warning"))</f>
        <v/>
      </c>
    </row>
    <row r="110" customFormat="false" ht="15" hidden="false" customHeight="false" outlineLevel="0" collapsed="false">
      <c r="A110" s="28"/>
      <c r="B110" s="28"/>
      <c r="C110" s="28"/>
      <c r="D110" s="28"/>
      <c r="E110" s="28"/>
      <c r="F110" s="28"/>
      <c r="G110" s="28"/>
      <c r="H110" s="65" t="str">
        <f aca="false">IF($A110="","",COUNTIFS(Inventory!$D:$D,$A110,Inventory!$K:$K,"Open")+COUNTIFS(Inventory!$D:$D,$A110,Inventory!$K:$K,"Unconfirmed"))</f>
        <v/>
      </c>
      <c r="I110" s="65" t="str">
        <f aca="false">IF($A110="","",COUNTIFS('Use Cases'!$W$2:$W$501,$A110)-COUNTIFS('Use Cases'!$W$2:$W$501,$A110,'Use Cases'!$X$2:$X$501,"Closed"))</f>
        <v/>
      </c>
      <c r="J110" s="65" t="str">
        <f aca="false">IF($A110="","",COUNTIFS('Use Cases'!$W$2:$W$501,$A110,'Use Cases'!$AO$2:$AO$501,"Critical")+COUNTIFS('Use Cases'!$W$2:$W$501,$A110,'Use Cases'!$AO$2:$AO$501,"Warning"))</f>
        <v/>
      </c>
    </row>
    <row r="111" customFormat="false" ht="15" hidden="false" customHeight="false" outlineLevel="0" collapsed="false">
      <c r="A111" s="28"/>
      <c r="B111" s="28"/>
      <c r="C111" s="28"/>
      <c r="D111" s="28"/>
      <c r="E111" s="28"/>
      <c r="F111" s="28"/>
      <c r="G111" s="28"/>
      <c r="H111" s="65" t="str">
        <f aca="false">IF($A111="","",COUNTIFS(Inventory!$D:$D,$A111,Inventory!$K:$K,"Open")+COUNTIFS(Inventory!$D:$D,$A111,Inventory!$K:$K,"Unconfirmed"))</f>
        <v/>
      </c>
      <c r="I111" s="65" t="str">
        <f aca="false">IF($A111="","",COUNTIFS('Use Cases'!$W$2:$W$501,$A111)-COUNTIFS('Use Cases'!$W$2:$W$501,$A111,'Use Cases'!$X$2:$X$501,"Closed"))</f>
        <v/>
      </c>
      <c r="J111" s="65" t="str">
        <f aca="false">IF($A111="","",COUNTIFS('Use Cases'!$W$2:$W$501,$A111,'Use Cases'!$AO$2:$AO$501,"Critical")+COUNTIFS('Use Cases'!$W$2:$W$501,$A111,'Use Cases'!$AO$2:$AO$501,"Warning"))</f>
        <v/>
      </c>
    </row>
    <row r="112" customFormat="false" ht="15" hidden="false" customHeight="false" outlineLevel="0" collapsed="false">
      <c r="A112" s="28"/>
      <c r="B112" s="28"/>
      <c r="C112" s="28"/>
      <c r="D112" s="28"/>
      <c r="E112" s="28"/>
      <c r="F112" s="28"/>
      <c r="G112" s="28"/>
      <c r="H112" s="65" t="str">
        <f aca="false">IF($A112="","",COUNTIFS(Inventory!$D:$D,$A112,Inventory!$K:$K,"Open")+COUNTIFS(Inventory!$D:$D,$A112,Inventory!$K:$K,"Unconfirmed"))</f>
        <v/>
      </c>
      <c r="I112" s="65" t="str">
        <f aca="false">IF($A112="","",COUNTIFS('Use Cases'!$W$2:$W$501,$A112)-COUNTIFS('Use Cases'!$W$2:$W$501,$A112,'Use Cases'!$X$2:$X$501,"Closed"))</f>
        <v/>
      </c>
      <c r="J112" s="65" t="str">
        <f aca="false">IF($A112="","",COUNTIFS('Use Cases'!$W$2:$W$501,$A112,'Use Cases'!$AO$2:$AO$501,"Critical")+COUNTIFS('Use Cases'!$W$2:$W$501,$A112,'Use Cases'!$AO$2:$AO$501,"Warning"))</f>
        <v/>
      </c>
    </row>
    <row r="113" customFormat="false" ht="15" hidden="false" customHeight="false" outlineLevel="0" collapsed="false">
      <c r="A113" s="28"/>
      <c r="B113" s="28"/>
      <c r="C113" s="28"/>
      <c r="D113" s="28"/>
      <c r="E113" s="28"/>
      <c r="F113" s="28"/>
      <c r="G113" s="28"/>
      <c r="H113" s="65" t="str">
        <f aca="false">IF($A113="","",COUNTIFS(Inventory!$D:$D,$A113,Inventory!$K:$K,"Open")+COUNTIFS(Inventory!$D:$D,$A113,Inventory!$K:$K,"Unconfirmed"))</f>
        <v/>
      </c>
      <c r="I113" s="65" t="str">
        <f aca="false">IF($A113="","",COUNTIFS('Use Cases'!$W$2:$W$501,$A113)-COUNTIFS('Use Cases'!$W$2:$W$501,$A113,'Use Cases'!$X$2:$X$501,"Closed"))</f>
        <v/>
      </c>
      <c r="J113" s="65" t="str">
        <f aca="false">IF($A113="","",COUNTIFS('Use Cases'!$W$2:$W$501,$A113,'Use Cases'!$AO$2:$AO$501,"Critical")+COUNTIFS('Use Cases'!$W$2:$W$501,$A113,'Use Cases'!$AO$2:$AO$501,"Warning"))</f>
        <v/>
      </c>
    </row>
    <row r="114" customFormat="false" ht="15" hidden="false" customHeight="false" outlineLevel="0" collapsed="false">
      <c r="A114" s="28"/>
      <c r="B114" s="28"/>
      <c r="C114" s="28"/>
      <c r="D114" s="28"/>
      <c r="E114" s="28"/>
      <c r="F114" s="28"/>
      <c r="G114" s="28"/>
      <c r="H114" s="65" t="str">
        <f aca="false">IF($A114="","",COUNTIFS(Inventory!$D:$D,$A114,Inventory!$K:$K,"Open")+COUNTIFS(Inventory!$D:$D,$A114,Inventory!$K:$K,"Unconfirmed"))</f>
        <v/>
      </c>
      <c r="I114" s="65" t="str">
        <f aca="false">IF($A114="","",COUNTIFS('Use Cases'!$W$2:$W$501,$A114)-COUNTIFS('Use Cases'!$W$2:$W$501,$A114,'Use Cases'!$X$2:$X$501,"Closed"))</f>
        <v/>
      </c>
      <c r="J114" s="65" t="str">
        <f aca="false">IF($A114="","",COUNTIFS('Use Cases'!$W$2:$W$501,$A114,'Use Cases'!$AO$2:$AO$501,"Critical")+COUNTIFS('Use Cases'!$W$2:$W$501,$A114,'Use Cases'!$AO$2:$AO$501,"Warning"))</f>
        <v/>
      </c>
    </row>
    <row r="115" customFormat="false" ht="15" hidden="false" customHeight="false" outlineLevel="0" collapsed="false">
      <c r="A115" s="28"/>
      <c r="B115" s="28"/>
      <c r="C115" s="28"/>
      <c r="D115" s="28"/>
      <c r="E115" s="28"/>
      <c r="F115" s="28"/>
      <c r="G115" s="28"/>
      <c r="H115" s="65" t="str">
        <f aca="false">IF($A115="","",COUNTIFS(Inventory!$D:$D,$A115,Inventory!$K:$K,"Open")+COUNTIFS(Inventory!$D:$D,$A115,Inventory!$K:$K,"Unconfirmed"))</f>
        <v/>
      </c>
      <c r="I115" s="65" t="str">
        <f aca="false">IF($A115="","",COUNTIFS('Use Cases'!$W$2:$W$501,$A115)-COUNTIFS('Use Cases'!$W$2:$W$501,$A115,'Use Cases'!$X$2:$X$501,"Closed"))</f>
        <v/>
      </c>
      <c r="J115" s="65" t="str">
        <f aca="false">IF($A115="","",COUNTIFS('Use Cases'!$W$2:$W$501,$A115,'Use Cases'!$AO$2:$AO$501,"Critical")+COUNTIFS('Use Cases'!$W$2:$W$501,$A115,'Use Cases'!$AO$2:$AO$501,"Warning"))</f>
        <v/>
      </c>
    </row>
    <row r="116" customFormat="false" ht="15" hidden="false" customHeight="false" outlineLevel="0" collapsed="false">
      <c r="A116" s="28"/>
      <c r="B116" s="28"/>
      <c r="C116" s="28"/>
      <c r="D116" s="28"/>
      <c r="E116" s="28"/>
      <c r="F116" s="28"/>
      <c r="G116" s="28"/>
      <c r="H116" s="65" t="str">
        <f aca="false">IF($A116="","",COUNTIFS(Inventory!$D:$D,$A116,Inventory!$K:$K,"Open")+COUNTIFS(Inventory!$D:$D,$A116,Inventory!$K:$K,"Unconfirmed"))</f>
        <v/>
      </c>
      <c r="I116" s="65" t="str">
        <f aca="false">IF($A116="","",COUNTIFS('Use Cases'!$W$2:$W$501,$A116)-COUNTIFS('Use Cases'!$W$2:$W$501,$A116,'Use Cases'!$X$2:$X$501,"Closed"))</f>
        <v/>
      </c>
      <c r="J116" s="65" t="str">
        <f aca="false">IF($A116="","",COUNTIFS('Use Cases'!$W$2:$W$501,$A116,'Use Cases'!$AO$2:$AO$501,"Critical")+COUNTIFS('Use Cases'!$W$2:$W$501,$A116,'Use Cases'!$AO$2:$AO$501,"Warning"))</f>
        <v/>
      </c>
    </row>
    <row r="117" customFormat="false" ht="15" hidden="false" customHeight="false" outlineLevel="0" collapsed="false">
      <c r="A117" s="28"/>
      <c r="B117" s="28"/>
      <c r="C117" s="28"/>
      <c r="D117" s="28"/>
      <c r="E117" s="28"/>
      <c r="F117" s="28"/>
      <c r="G117" s="28"/>
      <c r="H117" s="65" t="str">
        <f aca="false">IF($A117="","",COUNTIFS(Inventory!$D:$D,$A117,Inventory!$K:$K,"Open")+COUNTIFS(Inventory!$D:$D,$A117,Inventory!$K:$K,"Unconfirmed"))</f>
        <v/>
      </c>
      <c r="I117" s="65" t="str">
        <f aca="false">IF($A117="","",COUNTIFS('Use Cases'!$W$2:$W$501,$A117)-COUNTIFS('Use Cases'!$W$2:$W$501,$A117,'Use Cases'!$X$2:$X$501,"Closed"))</f>
        <v/>
      </c>
      <c r="J117" s="65" t="str">
        <f aca="false">IF($A117="","",COUNTIFS('Use Cases'!$W$2:$W$501,$A117,'Use Cases'!$AO$2:$AO$501,"Critical")+COUNTIFS('Use Cases'!$W$2:$W$501,$A117,'Use Cases'!$AO$2:$AO$501,"Warning"))</f>
        <v/>
      </c>
    </row>
    <row r="118" customFormat="false" ht="15" hidden="false" customHeight="false" outlineLevel="0" collapsed="false">
      <c r="A118" s="28"/>
      <c r="B118" s="28"/>
      <c r="C118" s="28"/>
      <c r="D118" s="28"/>
      <c r="E118" s="28"/>
      <c r="F118" s="28"/>
      <c r="G118" s="28"/>
      <c r="H118" s="65" t="str">
        <f aca="false">IF($A118="","",COUNTIFS(Inventory!$D:$D,$A118,Inventory!$K:$K,"Open")+COUNTIFS(Inventory!$D:$D,$A118,Inventory!$K:$K,"Unconfirmed"))</f>
        <v/>
      </c>
      <c r="I118" s="65" t="str">
        <f aca="false">IF($A118="","",COUNTIFS('Use Cases'!$W$2:$W$501,$A118)-COUNTIFS('Use Cases'!$W$2:$W$501,$A118,'Use Cases'!$X$2:$X$501,"Closed"))</f>
        <v/>
      </c>
      <c r="J118" s="65" t="str">
        <f aca="false">IF($A118="","",COUNTIFS('Use Cases'!$W$2:$W$501,$A118,'Use Cases'!$AO$2:$AO$501,"Critical")+COUNTIFS('Use Cases'!$W$2:$W$501,$A118,'Use Cases'!$AO$2:$AO$501,"Warning"))</f>
        <v/>
      </c>
    </row>
    <row r="119" customFormat="false" ht="15" hidden="false" customHeight="false" outlineLevel="0" collapsed="false">
      <c r="A119" s="28"/>
      <c r="B119" s="28"/>
      <c r="C119" s="28"/>
      <c r="D119" s="28"/>
      <c r="E119" s="28"/>
      <c r="F119" s="28"/>
      <c r="G119" s="28"/>
      <c r="H119" s="65" t="str">
        <f aca="false">IF($A119="","",COUNTIFS(Inventory!$D:$D,$A119,Inventory!$K:$K,"Open")+COUNTIFS(Inventory!$D:$D,$A119,Inventory!$K:$K,"Unconfirmed"))</f>
        <v/>
      </c>
      <c r="I119" s="65" t="str">
        <f aca="false">IF($A119="","",COUNTIFS('Use Cases'!$W$2:$W$501,$A119)-COUNTIFS('Use Cases'!$W$2:$W$501,$A119,'Use Cases'!$X$2:$X$501,"Closed"))</f>
        <v/>
      </c>
      <c r="J119" s="65" t="str">
        <f aca="false">IF($A119="","",COUNTIFS('Use Cases'!$W$2:$W$501,$A119,'Use Cases'!$AO$2:$AO$501,"Critical")+COUNTIFS('Use Cases'!$W$2:$W$501,$A119,'Use Cases'!$AO$2:$AO$501,"Warning"))</f>
        <v/>
      </c>
    </row>
    <row r="120" customFormat="false" ht="15" hidden="false" customHeight="false" outlineLevel="0" collapsed="false">
      <c r="A120" s="28"/>
      <c r="B120" s="28"/>
      <c r="C120" s="28"/>
      <c r="D120" s="28"/>
      <c r="E120" s="28"/>
      <c r="F120" s="28"/>
      <c r="G120" s="28"/>
      <c r="H120" s="65" t="str">
        <f aca="false">IF($A120="","",COUNTIFS(Inventory!$D:$D,$A120,Inventory!$K:$K,"Open")+COUNTIFS(Inventory!$D:$D,$A120,Inventory!$K:$K,"Unconfirmed"))</f>
        <v/>
      </c>
      <c r="I120" s="65" t="str">
        <f aca="false">IF($A120="","",COUNTIFS('Use Cases'!$W$2:$W$501,$A120)-COUNTIFS('Use Cases'!$W$2:$W$501,$A120,'Use Cases'!$X$2:$X$501,"Closed"))</f>
        <v/>
      </c>
      <c r="J120" s="65" t="str">
        <f aca="false">IF($A120="","",COUNTIFS('Use Cases'!$W$2:$W$501,$A120,'Use Cases'!$AO$2:$AO$501,"Critical")+COUNTIFS('Use Cases'!$W$2:$W$501,$A120,'Use Cases'!$AO$2:$AO$501,"Warning"))</f>
        <v/>
      </c>
    </row>
    <row r="121" customFormat="false" ht="15" hidden="false" customHeight="false" outlineLevel="0" collapsed="false">
      <c r="A121" s="28"/>
      <c r="B121" s="28"/>
      <c r="C121" s="28"/>
      <c r="D121" s="28"/>
      <c r="E121" s="28"/>
      <c r="F121" s="28"/>
      <c r="G121" s="28"/>
      <c r="H121" s="65" t="str">
        <f aca="false">IF($A121="","",COUNTIFS(Inventory!$D:$D,$A121,Inventory!$K:$K,"Open")+COUNTIFS(Inventory!$D:$D,$A121,Inventory!$K:$K,"Unconfirmed"))</f>
        <v/>
      </c>
      <c r="I121" s="65" t="str">
        <f aca="false">IF($A121="","",COUNTIFS('Use Cases'!$W$2:$W$501,$A121)-COUNTIFS('Use Cases'!$W$2:$W$501,$A121,'Use Cases'!$X$2:$X$501,"Closed"))</f>
        <v/>
      </c>
      <c r="J121" s="65" t="str">
        <f aca="false">IF($A121="","",COUNTIFS('Use Cases'!$W$2:$W$501,$A121,'Use Cases'!$AO$2:$AO$501,"Critical")+COUNTIFS('Use Cases'!$W$2:$W$501,$A121,'Use Cases'!$AO$2:$AO$501,"Warning"))</f>
        <v/>
      </c>
    </row>
    <row r="122" customFormat="false" ht="15" hidden="false" customHeight="false" outlineLevel="0" collapsed="false">
      <c r="A122" s="28"/>
      <c r="B122" s="28"/>
      <c r="C122" s="28"/>
      <c r="D122" s="28"/>
      <c r="E122" s="28"/>
      <c r="F122" s="28"/>
      <c r="G122" s="28"/>
      <c r="H122" s="65" t="str">
        <f aca="false">IF($A122="","",COUNTIFS(Inventory!$D:$D,$A122,Inventory!$K:$K,"Open")+COUNTIFS(Inventory!$D:$D,$A122,Inventory!$K:$K,"Unconfirmed"))</f>
        <v/>
      </c>
      <c r="I122" s="65" t="str">
        <f aca="false">IF($A122="","",COUNTIFS('Use Cases'!$W$2:$W$501,$A122)-COUNTIFS('Use Cases'!$W$2:$W$501,$A122,'Use Cases'!$X$2:$X$501,"Closed"))</f>
        <v/>
      </c>
      <c r="J122" s="65" t="str">
        <f aca="false">IF($A122="","",COUNTIFS('Use Cases'!$W$2:$W$501,$A122,'Use Cases'!$AO$2:$AO$501,"Critical")+COUNTIFS('Use Cases'!$W$2:$W$501,$A122,'Use Cases'!$AO$2:$AO$501,"Warning"))</f>
        <v/>
      </c>
    </row>
    <row r="123" customFormat="false" ht="15" hidden="false" customHeight="false" outlineLevel="0" collapsed="false">
      <c r="A123" s="28"/>
      <c r="B123" s="28"/>
      <c r="C123" s="28"/>
      <c r="D123" s="28"/>
      <c r="E123" s="28"/>
      <c r="F123" s="28"/>
      <c r="G123" s="28"/>
      <c r="H123" s="65" t="str">
        <f aca="false">IF($A123="","",COUNTIFS(Inventory!$D:$D,$A123,Inventory!$K:$K,"Open")+COUNTIFS(Inventory!$D:$D,$A123,Inventory!$K:$K,"Unconfirmed"))</f>
        <v/>
      </c>
      <c r="I123" s="65" t="str">
        <f aca="false">IF($A123="","",COUNTIFS('Use Cases'!$W$2:$W$501,$A123)-COUNTIFS('Use Cases'!$W$2:$W$501,$A123,'Use Cases'!$X$2:$X$501,"Closed"))</f>
        <v/>
      </c>
      <c r="J123" s="65" t="str">
        <f aca="false">IF($A123="","",COUNTIFS('Use Cases'!$W$2:$W$501,$A123,'Use Cases'!$AO$2:$AO$501,"Critical")+COUNTIFS('Use Cases'!$W$2:$W$501,$A123,'Use Cases'!$AO$2:$AO$501,"Warning"))</f>
        <v/>
      </c>
    </row>
    <row r="124" customFormat="false" ht="15" hidden="false" customHeight="false" outlineLevel="0" collapsed="false">
      <c r="A124" s="28"/>
      <c r="B124" s="28"/>
      <c r="C124" s="28"/>
      <c r="D124" s="28"/>
      <c r="E124" s="28"/>
      <c r="F124" s="28"/>
      <c r="G124" s="28"/>
      <c r="H124" s="65" t="str">
        <f aca="false">IF($A124="","",COUNTIFS(Inventory!$D:$D,$A124,Inventory!$K:$K,"Open")+COUNTIFS(Inventory!$D:$D,$A124,Inventory!$K:$K,"Unconfirmed"))</f>
        <v/>
      </c>
      <c r="I124" s="65" t="str">
        <f aca="false">IF($A124="","",COUNTIFS('Use Cases'!$W$2:$W$501,$A124)-COUNTIFS('Use Cases'!$W$2:$W$501,$A124,'Use Cases'!$X$2:$X$501,"Closed"))</f>
        <v/>
      </c>
      <c r="J124" s="65" t="str">
        <f aca="false">IF($A124="","",COUNTIFS('Use Cases'!$W$2:$W$501,$A124,'Use Cases'!$AO$2:$AO$501,"Critical")+COUNTIFS('Use Cases'!$W$2:$W$501,$A124,'Use Cases'!$AO$2:$AO$501,"Warning"))</f>
        <v/>
      </c>
    </row>
    <row r="125" customFormat="false" ht="15" hidden="false" customHeight="false" outlineLevel="0" collapsed="false">
      <c r="A125" s="28"/>
      <c r="B125" s="28"/>
      <c r="C125" s="28"/>
      <c r="D125" s="28"/>
      <c r="E125" s="28"/>
      <c r="F125" s="28"/>
      <c r="G125" s="28"/>
      <c r="H125" s="65" t="str">
        <f aca="false">IF($A125="","",COUNTIFS(Inventory!$D:$D,$A125,Inventory!$K:$K,"Open")+COUNTIFS(Inventory!$D:$D,$A125,Inventory!$K:$K,"Unconfirmed"))</f>
        <v/>
      </c>
      <c r="I125" s="65" t="str">
        <f aca="false">IF($A125="","",COUNTIFS('Use Cases'!$W$2:$W$501,$A125)-COUNTIFS('Use Cases'!$W$2:$W$501,$A125,'Use Cases'!$X$2:$X$501,"Closed"))</f>
        <v/>
      </c>
      <c r="J125" s="65" t="str">
        <f aca="false">IF($A125="","",COUNTIFS('Use Cases'!$W$2:$W$501,$A125,'Use Cases'!$AO$2:$AO$501,"Critical")+COUNTIFS('Use Cases'!$W$2:$W$501,$A125,'Use Cases'!$AO$2:$AO$501,"Warning"))</f>
        <v/>
      </c>
    </row>
    <row r="126" customFormat="false" ht="15" hidden="false" customHeight="false" outlineLevel="0" collapsed="false">
      <c r="A126" s="28"/>
      <c r="B126" s="28"/>
      <c r="C126" s="28"/>
      <c r="D126" s="28"/>
      <c r="E126" s="28"/>
      <c r="F126" s="28"/>
      <c r="G126" s="28"/>
      <c r="H126" s="65" t="str">
        <f aca="false">IF($A126="","",COUNTIFS(Inventory!$D:$D,$A126,Inventory!$K:$K,"Open")+COUNTIFS(Inventory!$D:$D,$A126,Inventory!$K:$K,"Unconfirmed"))</f>
        <v/>
      </c>
      <c r="I126" s="65" t="str">
        <f aca="false">IF($A126="","",COUNTIFS('Use Cases'!$W$2:$W$501,$A126)-COUNTIFS('Use Cases'!$W$2:$W$501,$A126,'Use Cases'!$X$2:$X$501,"Closed"))</f>
        <v/>
      </c>
      <c r="J126" s="65" t="str">
        <f aca="false">IF($A126="","",COUNTIFS('Use Cases'!$W$2:$W$501,$A126,'Use Cases'!$AO$2:$AO$501,"Critical")+COUNTIFS('Use Cases'!$W$2:$W$501,$A126,'Use Cases'!$AO$2:$AO$501,"Warning"))</f>
        <v/>
      </c>
    </row>
    <row r="127" customFormat="false" ht="15" hidden="false" customHeight="false" outlineLevel="0" collapsed="false">
      <c r="A127" s="28"/>
      <c r="B127" s="28"/>
      <c r="C127" s="28"/>
      <c r="D127" s="28"/>
      <c r="E127" s="28"/>
      <c r="F127" s="28"/>
      <c r="G127" s="28"/>
      <c r="H127" s="65" t="str">
        <f aca="false">IF($A127="","",COUNTIFS(Inventory!$D:$D,$A127,Inventory!$K:$K,"Open")+COUNTIFS(Inventory!$D:$D,$A127,Inventory!$K:$K,"Unconfirmed"))</f>
        <v/>
      </c>
      <c r="I127" s="65" t="str">
        <f aca="false">IF($A127="","",COUNTIFS('Use Cases'!$W$2:$W$501,$A127)-COUNTIFS('Use Cases'!$W$2:$W$501,$A127,'Use Cases'!$X$2:$X$501,"Closed"))</f>
        <v/>
      </c>
      <c r="J127" s="65" t="str">
        <f aca="false">IF($A127="","",COUNTIFS('Use Cases'!$W$2:$W$501,$A127,'Use Cases'!$AO$2:$AO$501,"Critical")+COUNTIFS('Use Cases'!$W$2:$W$501,$A127,'Use Cases'!$AO$2:$AO$501,"Warning"))</f>
        <v/>
      </c>
    </row>
    <row r="128" customFormat="false" ht="15" hidden="false" customHeight="false" outlineLevel="0" collapsed="false">
      <c r="A128" s="28"/>
      <c r="B128" s="28"/>
      <c r="C128" s="28"/>
      <c r="D128" s="28"/>
      <c r="E128" s="28"/>
      <c r="F128" s="28"/>
      <c r="G128" s="28"/>
      <c r="H128" s="65" t="str">
        <f aca="false">IF($A128="","",COUNTIFS(Inventory!$D:$D,$A128,Inventory!$K:$K,"Open")+COUNTIFS(Inventory!$D:$D,$A128,Inventory!$K:$K,"Unconfirmed"))</f>
        <v/>
      </c>
      <c r="I128" s="65" t="str">
        <f aca="false">IF($A128="","",COUNTIFS('Use Cases'!$W$2:$W$501,$A128)-COUNTIFS('Use Cases'!$W$2:$W$501,$A128,'Use Cases'!$X$2:$X$501,"Closed"))</f>
        <v/>
      </c>
      <c r="J128" s="65" t="str">
        <f aca="false">IF($A128="","",COUNTIFS('Use Cases'!$W$2:$W$501,$A128,'Use Cases'!$AO$2:$AO$501,"Critical")+COUNTIFS('Use Cases'!$W$2:$W$501,$A128,'Use Cases'!$AO$2:$AO$501,"Warning"))</f>
        <v/>
      </c>
    </row>
    <row r="129" customFormat="false" ht="15" hidden="false" customHeight="false" outlineLevel="0" collapsed="false">
      <c r="A129" s="28"/>
      <c r="B129" s="28"/>
      <c r="C129" s="28"/>
      <c r="D129" s="28"/>
      <c r="E129" s="28"/>
      <c r="F129" s="28"/>
      <c r="G129" s="28"/>
      <c r="H129" s="65" t="str">
        <f aca="false">IF($A129="","",COUNTIFS(Inventory!$D:$D,$A129,Inventory!$K:$K,"Open")+COUNTIFS(Inventory!$D:$D,$A129,Inventory!$K:$K,"Unconfirmed"))</f>
        <v/>
      </c>
      <c r="I129" s="65" t="str">
        <f aca="false">IF($A129="","",COUNTIFS('Use Cases'!$W$2:$W$501,$A129)-COUNTIFS('Use Cases'!$W$2:$W$501,$A129,'Use Cases'!$X$2:$X$501,"Closed"))</f>
        <v/>
      </c>
      <c r="J129" s="65" t="str">
        <f aca="false">IF($A129="","",COUNTIFS('Use Cases'!$W$2:$W$501,$A129,'Use Cases'!$AO$2:$AO$501,"Critical")+COUNTIFS('Use Cases'!$W$2:$W$501,$A129,'Use Cases'!$AO$2:$AO$501,"Warning"))</f>
        <v/>
      </c>
    </row>
    <row r="130" customFormat="false" ht="15" hidden="false" customHeight="false" outlineLevel="0" collapsed="false">
      <c r="A130" s="28"/>
      <c r="B130" s="28"/>
      <c r="C130" s="28"/>
      <c r="D130" s="28"/>
      <c r="E130" s="28"/>
      <c r="F130" s="28"/>
      <c r="G130" s="28"/>
      <c r="H130" s="65" t="str">
        <f aca="false">IF($A130="","",COUNTIFS(Inventory!$D:$D,$A130,Inventory!$K:$K,"Open")+COUNTIFS(Inventory!$D:$D,$A130,Inventory!$K:$K,"Unconfirmed"))</f>
        <v/>
      </c>
      <c r="I130" s="65" t="str">
        <f aca="false">IF($A130="","",COUNTIFS('Use Cases'!$W$2:$W$501,$A130)-COUNTIFS('Use Cases'!$W$2:$W$501,$A130,'Use Cases'!$X$2:$X$501,"Closed"))</f>
        <v/>
      </c>
      <c r="J130" s="65" t="str">
        <f aca="false">IF($A130="","",COUNTIFS('Use Cases'!$W$2:$W$501,$A130,'Use Cases'!$AO$2:$AO$501,"Critical")+COUNTIFS('Use Cases'!$W$2:$W$501,$A130,'Use Cases'!$AO$2:$AO$501,"Warning"))</f>
        <v/>
      </c>
    </row>
    <row r="131" customFormat="false" ht="15" hidden="false" customHeight="false" outlineLevel="0" collapsed="false">
      <c r="A131" s="28"/>
      <c r="B131" s="28"/>
      <c r="C131" s="28"/>
      <c r="D131" s="28"/>
      <c r="E131" s="28"/>
      <c r="F131" s="28"/>
      <c r="G131" s="28"/>
      <c r="H131" s="65" t="str">
        <f aca="false">IF($A131="","",COUNTIFS(Inventory!$D:$D,$A131,Inventory!$K:$K,"Open")+COUNTIFS(Inventory!$D:$D,$A131,Inventory!$K:$K,"Unconfirmed"))</f>
        <v/>
      </c>
      <c r="I131" s="65" t="str">
        <f aca="false">IF($A131="","",COUNTIFS('Use Cases'!$W$2:$W$501,$A131)-COUNTIFS('Use Cases'!$W$2:$W$501,$A131,'Use Cases'!$X$2:$X$501,"Closed"))</f>
        <v/>
      </c>
      <c r="J131" s="65" t="str">
        <f aca="false">IF($A131="","",COUNTIFS('Use Cases'!$W$2:$W$501,$A131,'Use Cases'!$AO$2:$AO$501,"Critical")+COUNTIFS('Use Cases'!$W$2:$W$501,$A131,'Use Cases'!$AO$2:$AO$501,"Warning"))</f>
        <v/>
      </c>
    </row>
    <row r="132" customFormat="false" ht="15" hidden="false" customHeight="false" outlineLevel="0" collapsed="false">
      <c r="A132" s="28"/>
      <c r="B132" s="28"/>
      <c r="C132" s="28"/>
      <c r="D132" s="28"/>
      <c r="E132" s="28"/>
      <c r="F132" s="28"/>
      <c r="G132" s="28"/>
      <c r="H132" s="65" t="str">
        <f aca="false">IF($A132="","",COUNTIFS(Inventory!$D:$D,$A132,Inventory!$K:$K,"Open")+COUNTIFS(Inventory!$D:$D,$A132,Inventory!$K:$K,"Unconfirmed"))</f>
        <v/>
      </c>
      <c r="I132" s="65" t="str">
        <f aca="false">IF($A132="","",COUNTIFS('Use Cases'!$W$2:$W$501,$A132)-COUNTIFS('Use Cases'!$W$2:$W$501,$A132,'Use Cases'!$X$2:$X$501,"Closed"))</f>
        <v/>
      </c>
      <c r="J132" s="65" t="str">
        <f aca="false">IF($A132="","",COUNTIFS('Use Cases'!$W$2:$W$501,$A132,'Use Cases'!$AO$2:$AO$501,"Critical")+COUNTIFS('Use Cases'!$W$2:$W$501,$A132,'Use Cases'!$AO$2:$AO$501,"Warning"))</f>
        <v/>
      </c>
    </row>
    <row r="133" customFormat="false" ht="15" hidden="false" customHeight="false" outlineLevel="0" collapsed="false">
      <c r="A133" s="28"/>
      <c r="B133" s="28"/>
      <c r="C133" s="28"/>
      <c r="D133" s="28"/>
      <c r="E133" s="28"/>
      <c r="F133" s="28"/>
      <c r="G133" s="28"/>
      <c r="H133" s="65" t="str">
        <f aca="false">IF($A133="","",COUNTIFS(Inventory!$D:$D,$A133,Inventory!$K:$K,"Open")+COUNTIFS(Inventory!$D:$D,$A133,Inventory!$K:$K,"Unconfirmed"))</f>
        <v/>
      </c>
      <c r="I133" s="65" t="str">
        <f aca="false">IF($A133="","",COUNTIFS('Use Cases'!$W$2:$W$501,$A133)-COUNTIFS('Use Cases'!$W$2:$W$501,$A133,'Use Cases'!$X$2:$X$501,"Closed"))</f>
        <v/>
      </c>
      <c r="J133" s="65" t="str">
        <f aca="false">IF($A133="","",COUNTIFS('Use Cases'!$W$2:$W$501,$A133,'Use Cases'!$AO$2:$AO$501,"Critical")+COUNTIFS('Use Cases'!$W$2:$W$501,$A133,'Use Cases'!$AO$2:$AO$501,"Warning"))</f>
        <v/>
      </c>
    </row>
    <row r="134" customFormat="false" ht="15" hidden="false" customHeight="false" outlineLevel="0" collapsed="false">
      <c r="A134" s="28"/>
      <c r="B134" s="28"/>
      <c r="C134" s="28"/>
      <c r="D134" s="28"/>
      <c r="E134" s="28"/>
      <c r="F134" s="28"/>
      <c r="G134" s="28"/>
      <c r="H134" s="65" t="str">
        <f aca="false">IF($A134="","",COUNTIFS(Inventory!$D:$D,$A134,Inventory!$K:$K,"Open")+COUNTIFS(Inventory!$D:$D,$A134,Inventory!$K:$K,"Unconfirmed"))</f>
        <v/>
      </c>
      <c r="I134" s="65" t="str">
        <f aca="false">IF($A134="","",COUNTIFS('Use Cases'!$W$2:$W$501,$A134)-COUNTIFS('Use Cases'!$W$2:$W$501,$A134,'Use Cases'!$X$2:$X$501,"Closed"))</f>
        <v/>
      </c>
      <c r="J134" s="65" t="str">
        <f aca="false">IF($A134="","",COUNTIFS('Use Cases'!$W$2:$W$501,$A134,'Use Cases'!$AO$2:$AO$501,"Critical")+COUNTIFS('Use Cases'!$W$2:$W$501,$A134,'Use Cases'!$AO$2:$AO$501,"Warning"))</f>
        <v/>
      </c>
    </row>
    <row r="135" customFormat="false" ht="15" hidden="false" customHeight="false" outlineLevel="0" collapsed="false">
      <c r="A135" s="28"/>
      <c r="B135" s="28"/>
      <c r="C135" s="28"/>
      <c r="D135" s="28"/>
      <c r="E135" s="28"/>
      <c r="F135" s="28"/>
      <c r="G135" s="28"/>
      <c r="H135" s="65" t="str">
        <f aca="false">IF($A135="","",COUNTIFS(Inventory!$D:$D,$A135,Inventory!$K:$K,"Open")+COUNTIFS(Inventory!$D:$D,$A135,Inventory!$K:$K,"Unconfirmed"))</f>
        <v/>
      </c>
      <c r="I135" s="65" t="str">
        <f aca="false">IF($A135="","",COUNTIFS('Use Cases'!$W$2:$W$501,$A135)-COUNTIFS('Use Cases'!$W$2:$W$501,$A135,'Use Cases'!$X$2:$X$501,"Closed"))</f>
        <v/>
      </c>
      <c r="J135" s="65" t="str">
        <f aca="false">IF($A135="","",COUNTIFS('Use Cases'!$W$2:$W$501,$A135,'Use Cases'!$AO$2:$AO$501,"Critical")+COUNTIFS('Use Cases'!$W$2:$W$501,$A135,'Use Cases'!$AO$2:$AO$501,"Warning"))</f>
        <v/>
      </c>
    </row>
    <row r="136" customFormat="false" ht="15" hidden="false" customHeight="false" outlineLevel="0" collapsed="false">
      <c r="A136" s="28"/>
      <c r="B136" s="28"/>
      <c r="C136" s="28"/>
      <c r="D136" s="28"/>
      <c r="E136" s="28"/>
      <c r="F136" s="28"/>
      <c r="G136" s="28"/>
      <c r="H136" s="65" t="str">
        <f aca="false">IF($A136="","",COUNTIFS(Inventory!$D:$D,$A136,Inventory!$K:$K,"Open")+COUNTIFS(Inventory!$D:$D,$A136,Inventory!$K:$K,"Unconfirmed"))</f>
        <v/>
      </c>
      <c r="I136" s="65" t="str">
        <f aca="false">IF($A136="","",COUNTIFS('Use Cases'!$W$2:$W$501,$A136)-COUNTIFS('Use Cases'!$W$2:$W$501,$A136,'Use Cases'!$X$2:$X$501,"Closed"))</f>
        <v/>
      </c>
      <c r="J136" s="65" t="str">
        <f aca="false">IF($A136="","",COUNTIFS('Use Cases'!$W$2:$W$501,$A136,'Use Cases'!$AO$2:$AO$501,"Critical")+COUNTIFS('Use Cases'!$W$2:$W$501,$A136,'Use Cases'!$AO$2:$AO$501,"Warning"))</f>
        <v/>
      </c>
    </row>
    <row r="137" customFormat="false" ht="15" hidden="false" customHeight="false" outlineLevel="0" collapsed="false">
      <c r="A137" s="28"/>
      <c r="B137" s="28"/>
      <c r="C137" s="28"/>
      <c r="D137" s="28"/>
      <c r="E137" s="28"/>
      <c r="F137" s="28"/>
      <c r="G137" s="28"/>
      <c r="H137" s="65" t="str">
        <f aca="false">IF($A137="","",COUNTIFS(Inventory!$D:$D,$A137,Inventory!$K:$K,"Open")+COUNTIFS(Inventory!$D:$D,$A137,Inventory!$K:$K,"Unconfirmed"))</f>
        <v/>
      </c>
      <c r="I137" s="65" t="str">
        <f aca="false">IF($A137="","",COUNTIFS('Use Cases'!$W$2:$W$501,$A137)-COUNTIFS('Use Cases'!$W$2:$W$501,$A137,'Use Cases'!$X$2:$X$501,"Closed"))</f>
        <v/>
      </c>
      <c r="J137" s="65" t="str">
        <f aca="false">IF($A137="","",COUNTIFS('Use Cases'!$W$2:$W$501,$A137,'Use Cases'!$AO$2:$AO$501,"Critical")+COUNTIFS('Use Cases'!$W$2:$W$501,$A137,'Use Cases'!$AO$2:$AO$501,"Warning"))</f>
        <v/>
      </c>
    </row>
    <row r="138" customFormat="false" ht="15" hidden="false" customHeight="false" outlineLevel="0" collapsed="false">
      <c r="A138" s="28"/>
      <c r="B138" s="28"/>
      <c r="C138" s="28"/>
      <c r="D138" s="28"/>
      <c r="E138" s="28"/>
      <c r="F138" s="28"/>
      <c r="G138" s="28"/>
      <c r="H138" s="65" t="str">
        <f aca="false">IF($A138="","",COUNTIFS(Inventory!$D:$D,$A138,Inventory!$K:$K,"Open")+COUNTIFS(Inventory!$D:$D,$A138,Inventory!$K:$K,"Unconfirmed"))</f>
        <v/>
      </c>
      <c r="I138" s="65" t="str">
        <f aca="false">IF($A138="","",COUNTIFS('Use Cases'!$W$2:$W$501,$A138)-COUNTIFS('Use Cases'!$W$2:$W$501,$A138,'Use Cases'!$X$2:$X$501,"Closed"))</f>
        <v/>
      </c>
      <c r="J138" s="65" t="str">
        <f aca="false">IF($A138="","",COUNTIFS('Use Cases'!$W$2:$W$501,$A138,'Use Cases'!$AO$2:$AO$501,"Critical")+COUNTIFS('Use Cases'!$W$2:$W$501,$A138,'Use Cases'!$AO$2:$AO$501,"Warning"))</f>
        <v/>
      </c>
    </row>
    <row r="139" customFormat="false" ht="15" hidden="false" customHeight="false" outlineLevel="0" collapsed="false">
      <c r="A139" s="28"/>
      <c r="B139" s="28"/>
      <c r="C139" s="28"/>
      <c r="D139" s="28"/>
      <c r="E139" s="28"/>
      <c r="F139" s="28"/>
      <c r="G139" s="28"/>
      <c r="H139" s="65" t="str">
        <f aca="false">IF($A139="","",COUNTIFS(Inventory!$D:$D,$A139,Inventory!$K:$K,"Open")+COUNTIFS(Inventory!$D:$D,$A139,Inventory!$K:$K,"Unconfirmed"))</f>
        <v/>
      </c>
      <c r="I139" s="65" t="str">
        <f aca="false">IF($A139="","",COUNTIFS('Use Cases'!$W$2:$W$501,$A139)-COUNTIFS('Use Cases'!$W$2:$W$501,$A139,'Use Cases'!$X$2:$X$501,"Closed"))</f>
        <v/>
      </c>
      <c r="J139" s="65" t="str">
        <f aca="false">IF($A139="","",COUNTIFS('Use Cases'!$W$2:$W$501,$A139,'Use Cases'!$AO$2:$AO$501,"Critical")+COUNTIFS('Use Cases'!$W$2:$W$501,$A139,'Use Cases'!$AO$2:$AO$501,"Warning"))</f>
        <v/>
      </c>
    </row>
    <row r="140" customFormat="false" ht="15" hidden="false" customHeight="false" outlineLevel="0" collapsed="false">
      <c r="A140" s="28"/>
      <c r="B140" s="28"/>
      <c r="C140" s="28"/>
      <c r="D140" s="28"/>
      <c r="E140" s="28"/>
      <c r="F140" s="28"/>
      <c r="G140" s="28"/>
      <c r="H140" s="65" t="str">
        <f aca="false">IF($A140="","",COUNTIFS(Inventory!$D:$D,$A140,Inventory!$K:$K,"Open")+COUNTIFS(Inventory!$D:$D,$A140,Inventory!$K:$K,"Unconfirmed"))</f>
        <v/>
      </c>
      <c r="I140" s="65" t="str">
        <f aca="false">IF($A140="","",COUNTIFS('Use Cases'!$W$2:$W$501,$A140)-COUNTIFS('Use Cases'!$W$2:$W$501,$A140,'Use Cases'!$X$2:$X$501,"Closed"))</f>
        <v/>
      </c>
      <c r="J140" s="65" t="str">
        <f aca="false">IF($A140="","",COUNTIFS('Use Cases'!$W$2:$W$501,$A140,'Use Cases'!$AO$2:$AO$501,"Critical")+COUNTIFS('Use Cases'!$W$2:$W$501,$A140,'Use Cases'!$AO$2:$AO$501,"Warning"))</f>
        <v/>
      </c>
    </row>
    <row r="141" customFormat="false" ht="15" hidden="false" customHeight="false" outlineLevel="0" collapsed="false">
      <c r="A141" s="28"/>
      <c r="B141" s="28"/>
      <c r="C141" s="28"/>
      <c r="D141" s="28"/>
      <c r="E141" s="28"/>
      <c r="F141" s="28"/>
      <c r="G141" s="28"/>
      <c r="H141" s="65" t="str">
        <f aca="false">IF($A141="","",COUNTIFS(Inventory!$D:$D,$A141,Inventory!$K:$K,"Open")+COUNTIFS(Inventory!$D:$D,$A141,Inventory!$K:$K,"Unconfirmed"))</f>
        <v/>
      </c>
      <c r="I141" s="65" t="str">
        <f aca="false">IF($A141="","",COUNTIFS('Use Cases'!$W$2:$W$501,$A141)-COUNTIFS('Use Cases'!$W$2:$W$501,$A141,'Use Cases'!$X$2:$X$501,"Closed"))</f>
        <v/>
      </c>
      <c r="J141" s="65" t="str">
        <f aca="false">IF($A141="","",COUNTIFS('Use Cases'!$W$2:$W$501,$A141,'Use Cases'!$AO$2:$AO$501,"Critical")+COUNTIFS('Use Cases'!$W$2:$W$501,$A141,'Use Cases'!$AO$2:$AO$501,"Warning"))</f>
        <v/>
      </c>
    </row>
    <row r="142" customFormat="false" ht="15" hidden="false" customHeight="false" outlineLevel="0" collapsed="false">
      <c r="A142" s="28"/>
      <c r="B142" s="28"/>
      <c r="C142" s="28"/>
      <c r="D142" s="28"/>
      <c r="E142" s="28"/>
      <c r="F142" s="28"/>
      <c r="G142" s="28"/>
      <c r="H142" s="65" t="str">
        <f aca="false">IF($A142="","",COUNTIFS(Inventory!$D:$D,$A142,Inventory!$K:$K,"Open")+COUNTIFS(Inventory!$D:$D,$A142,Inventory!$K:$K,"Unconfirmed"))</f>
        <v/>
      </c>
      <c r="I142" s="65" t="str">
        <f aca="false">IF($A142="","",COUNTIFS('Use Cases'!$W$2:$W$501,$A142)-COUNTIFS('Use Cases'!$W$2:$W$501,$A142,'Use Cases'!$X$2:$X$501,"Closed"))</f>
        <v/>
      </c>
      <c r="J142" s="65" t="str">
        <f aca="false">IF($A142="","",COUNTIFS('Use Cases'!$W$2:$W$501,$A142,'Use Cases'!$AO$2:$AO$501,"Critical")+COUNTIFS('Use Cases'!$W$2:$W$501,$A142,'Use Cases'!$AO$2:$AO$501,"Warning"))</f>
        <v/>
      </c>
    </row>
    <row r="143" customFormat="false" ht="15" hidden="false" customHeight="false" outlineLevel="0" collapsed="false">
      <c r="A143" s="28"/>
      <c r="B143" s="28"/>
      <c r="C143" s="28"/>
      <c r="D143" s="28"/>
      <c r="E143" s="28"/>
      <c r="F143" s="28"/>
      <c r="G143" s="28"/>
      <c r="H143" s="65" t="str">
        <f aca="false">IF($A143="","",COUNTIFS(Inventory!$D:$D,$A143,Inventory!$K:$K,"Open")+COUNTIFS(Inventory!$D:$D,$A143,Inventory!$K:$K,"Unconfirmed"))</f>
        <v/>
      </c>
      <c r="I143" s="65" t="str">
        <f aca="false">IF($A143="","",COUNTIFS('Use Cases'!$W$2:$W$501,$A143)-COUNTIFS('Use Cases'!$W$2:$W$501,$A143,'Use Cases'!$X$2:$X$501,"Closed"))</f>
        <v/>
      </c>
      <c r="J143" s="65" t="str">
        <f aca="false">IF($A143="","",COUNTIFS('Use Cases'!$W$2:$W$501,$A143,'Use Cases'!$AO$2:$AO$501,"Critical")+COUNTIFS('Use Cases'!$W$2:$W$501,$A143,'Use Cases'!$AO$2:$AO$501,"Warning"))</f>
        <v/>
      </c>
    </row>
    <row r="144" customFormat="false" ht="15" hidden="false" customHeight="false" outlineLevel="0" collapsed="false">
      <c r="A144" s="28"/>
      <c r="B144" s="28"/>
      <c r="C144" s="28"/>
      <c r="D144" s="28"/>
      <c r="E144" s="28"/>
      <c r="F144" s="28"/>
      <c r="G144" s="28"/>
      <c r="H144" s="65" t="str">
        <f aca="false">IF($A144="","",COUNTIFS(Inventory!$D:$D,$A144,Inventory!$K:$K,"Open")+COUNTIFS(Inventory!$D:$D,$A144,Inventory!$K:$K,"Unconfirmed"))</f>
        <v/>
      </c>
      <c r="I144" s="65" t="str">
        <f aca="false">IF($A144="","",COUNTIFS('Use Cases'!$W$2:$W$501,$A144)-COUNTIFS('Use Cases'!$W$2:$W$501,$A144,'Use Cases'!$X$2:$X$501,"Closed"))</f>
        <v/>
      </c>
      <c r="J144" s="65" t="str">
        <f aca="false">IF($A144="","",COUNTIFS('Use Cases'!$W$2:$W$501,$A144,'Use Cases'!$AO$2:$AO$501,"Critical")+COUNTIFS('Use Cases'!$W$2:$W$501,$A144,'Use Cases'!$AO$2:$AO$501,"Warning"))</f>
        <v/>
      </c>
    </row>
    <row r="145" customFormat="false" ht="15" hidden="false" customHeight="false" outlineLevel="0" collapsed="false">
      <c r="A145" s="28"/>
      <c r="B145" s="28"/>
      <c r="C145" s="28"/>
      <c r="D145" s="28"/>
      <c r="E145" s="28"/>
      <c r="F145" s="28"/>
      <c r="G145" s="28"/>
      <c r="H145" s="65" t="str">
        <f aca="false">IF($A145="","",COUNTIFS(Inventory!$D:$D,$A145,Inventory!$K:$K,"Open")+COUNTIFS(Inventory!$D:$D,$A145,Inventory!$K:$K,"Unconfirmed"))</f>
        <v/>
      </c>
      <c r="I145" s="65" t="str">
        <f aca="false">IF($A145="","",COUNTIFS('Use Cases'!$W$2:$W$501,$A145)-COUNTIFS('Use Cases'!$W$2:$W$501,$A145,'Use Cases'!$X$2:$X$501,"Closed"))</f>
        <v/>
      </c>
      <c r="J145" s="65" t="str">
        <f aca="false">IF($A145="","",COUNTIFS('Use Cases'!$W$2:$W$501,$A145,'Use Cases'!$AO$2:$AO$501,"Critical")+COUNTIFS('Use Cases'!$W$2:$W$501,$A145,'Use Cases'!$AO$2:$AO$501,"Warning"))</f>
        <v/>
      </c>
    </row>
    <row r="146" customFormat="false" ht="15" hidden="false" customHeight="false" outlineLevel="0" collapsed="false">
      <c r="A146" s="28"/>
      <c r="B146" s="28"/>
      <c r="C146" s="28"/>
      <c r="D146" s="28"/>
      <c r="E146" s="28"/>
      <c r="F146" s="28"/>
      <c r="G146" s="28"/>
      <c r="H146" s="65" t="str">
        <f aca="false">IF($A146="","",COUNTIFS(Inventory!$D:$D,$A146,Inventory!$K:$K,"Open")+COUNTIFS(Inventory!$D:$D,$A146,Inventory!$K:$K,"Unconfirmed"))</f>
        <v/>
      </c>
      <c r="I146" s="65" t="str">
        <f aca="false">IF($A146="","",COUNTIFS('Use Cases'!$W$2:$W$501,$A146)-COUNTIFS('Use Cases'!$W$2:$W$501,$A146,'Use Cases'!$X$2:$X$501,"Closed"))</f>
        <v/>
      </c>
      <c r="J146" s="65" t="str">
        <f aca="false">IF($A146="","",COUNTIFS('Use Cases'!$W$2:$W$501,$A146,'Use Cases'!$AO$2:$AO$501,"Critical")+COUNTIFS('Use Cases'!$W$2:$W$501,$A146,'Use Cases'!$AO$2:$AO$501,"Warning"))</f>
        <v/>
      </c>
    </row>
    <row r="147" customFormat="false" ht="15" hidden="false" customHeight="false" outlineLevel="0" collapsed="false">
      <c r="A147" s="28"/>
      <c r="B147" s="28"/>
      <c r="C147" s="28"/>
      <c r="D147" s="28"/>
      <c r="E147" s="28"/>
      <c r="F147" s="28"/>
      <c r="G147" s="28"/>
      <c r="H147" s="65" t="str">
        <f aca="false">IF($A147="","",COUNTIFS(Inventory!$D:$D,$A147,Inventory!$K:$K,"Open")+COUNTIFS(Inventory!$D:$D,$A147,Inventory!$K:$K,"Unconfirmed"))</f>
        <v/>
      </c>
      <c r="I147" s="65" t="str">
        <f aca="false">IF($A147="","",COUNTIFS('Use Cases'!$W$2:$W$501,$A147)-COUNTIFS('Use Cases'!$W$2:$W$501,$A147,'Use Cases'!$X$2:$X$501,"Closed"))</f>
        <v/>
      </c>
      <c r="J147" s="65" t="str">
        <f aca="false">IF($A147="","",COUNTIFS('Use Cases'!$W$2:$W$501,$A147,'Use Cases'!$AO$2:$AO$501,"Critical")+COUNTIFS('Use Cases'!$W$2:$W$501,$A147,'Use Cases'!$AO$2:$AO$501,"Warning"))</f>
        <v/>
      </c>
    </row>
    <row r="148" customFormat="false" ht="15" hidden="false" customHeight="false" outlineLevel="0" collapsed="false">
      <c r="A148" s="28"/>
      <c r="B148" s="28"/>
      <c r="C148" s="28"/>
      <c r="D148" s="28"/>
      <c r="E148" s="28"/>
      <c r="F148" s="28"/>
      <c r="G148" s="28"/>
      <c r="H148" s="65" t="str">
        <f aca="false">IF($A148="","",COUNTIFS(Inventory!$D:$D,$A148,Inventory!$K:$K,"Open")+COUNTIFS(Inventory!$D:$D,$A148,Inventory!$K:$K,"Unconfirmed"))</f>
        <v/>
      </c>
      <c r="I148" s="65" t="str">
        <f aca="false">IF($A148="","",COUNTIFS('Use Cases'!$W$2:$W$501,$A148)-COUNTIFS('Use Cases'!$W$2:$W$501,$A148,'Use Cases'!$X$2:$X$501,"Closed"))</f>
        <v/>
      </c>
      <c r="J148" s="65" t="str">
        <f aca="false">IF($A148="","",COUNTIFS('Use Cases'!$W$2:$W$501,$A148,'Use Cases'!$AO$2:$AO$501,"Critical")+COUNTIFS('Use Cases'!$W$2:$W$501,$A148,'Use Cases'!$AO$2:$AO$501,"Warning"))</f>
        <v/>
      </c>
    </row>
    <row r="149" customFormat="false" ht="15" hidden="false" customHeight="false" outlineLevel="0" collapsed="false">
      <c r="A149" s="28"/>
      <c r="B149" s="28"/>
      <c r="C149" s="28"/>
      <c r="D149" s="28"/>
      <c r="E149" s="28"/>
      <c r="F149" s="28"/>
      <c r="G149" s="28"/>
      <c r="H149" s="65" t="str">
        <f aca="false">IF($A149="","",COUNTIFS(Inventory!$D:$D,$A149,Inventory!$K:$K,"Open")+COUNTIFS(Inventory!$D:$D,$A149,Inventory!$K:$K,"Unconfirmed"))</f>
        <v/>
      </c>
      <c r="I149" s="65" t="str">
        <f aca="false">IF($A149="","",COUNTIFS('Use Cases'!$W$2:$W$501,$A149)-COUNTIFS('Use Cases'!$W$2:$W$501,$A149,'Use Cases'!$X$2:$X$501,"Closed"))</f>
        <v/>
      </c>
      <c r="J149" s="65" t="str">
        <f aca="false">IF($A149="","",COUNTIFS('Use Cases'!$W$2:$W$501,$A149,'Use Cases'!$AO$2:$AO$501,"Critical")+COUNTIFS('Use Cases'!$W$2:$W$501,$A149,'Use Cases'!$AO$2:$AO$501,"Warning"))</f>
        <v/>
      </c>
    </row>
    <row r="150" customFormat="false" ht="15" hidden="false" customHeight="false" outlineLevel="0" collapsed="false">
      <c r="A150" s="28"/>
      <c r="B150" s="28"/>
      <c r="C150" s="28"/>
      <c r="D150" s="28"/>
      <c r="E150" s="28"/>
      <c r="F150" s="28"/>
      <c r="G150" s="28"/>
      <c r="H150" s="65" t="str">
        <f aca="false">IF($A150="","",COUNTIFS(Inventory!$D:$D,$A150,Inventory!$K:$K,"Open")+COUNTIFS(Inventory!$D:$D,$A150,Inventory!$K:$K,"Unconfirmed"))</f>
        <v/>
      </c>
      <c r="I150" s="65" t="str">
        <f aca="false">IF($A150="","",COUNTIFS('Use Cases'!$W$2:$W$501,$A150)-COUNTIFS('Use Cases'!$W$2:$W$501,$A150,'Use Cases'!$X$2:$X$501,"Closed"))</f>
        <v/>
      </c>
      <c r="J150" s="65" t="str">
        <f aca="false">IF($A150="","",COUNTIFS('Use Cases'!$W$2:$W$501,$A150,'Use Cases'!$AO$2:$AO$501,"Critical")+COUNTIFS('Use Cases'!$W$2:$W$501,$A150,'Use Cases'!$AO$2:$AO$501,"Warning"))</f>
        <v/>
      </c>
    </row>
    <row r="151" customFormat="false" ht="15" hidden="false" customHeight="false" outlineLevel="0" collapsed="false">
      <c r="A151" s="28"/>
      <c r="B151" s="28"/>
      <c r="C151" s="28"/>
      <c r="D151" s="28"/>
      <c r="E151" s="28"/>
      <c r="F151" s="28"/>
      <c r="G151" s="28"/>
      <c r="H151" s="65" t="str">
        <f aca="false">IF($A151="","",COUNTIFS(Inventory!$D:$D,$A151,Inventory!$K:$K,"Open")+COUNTIFS(Inventory!$D:$D,$A151,Inventory!$K:$K,"Unconfirmed"))</f>
        <v/>
      </c>
      <c r="I151" s="65" t="str">
        <f aca="false">IF($A151="","",COUNTIFS('Use Cases'!$W$2:$W$501,$A151)-COUNTIFS('Use Cases'!$W$2:$W$501,$A151,'Use Cases'!$X$2:$X$501,"Closed"))</f>
        <v/>
      </c>
      <c r="J151" s="65" t="str">
        <f aca="false">IF($A151="","",COUNTIFS('Use Cases'!$W$2:$W$501,$A151,'Use Cases'!$AO$2:$AO$501,"Critical")+COUNTIFS('Use Cases'!$W$2:$W$501,$A151,'Use Cases'!$AO$2:$AO$501,"Warning"))</f>
        <v/>
      </c>
    </row>
    <row r="152" customFormat="false" ht="15" hidden="false" customHeight="false" outlineLevel="0" collapsed="false">
      <c r="A152" s="28"/>
      <c r="B152" s="28"/>
      <c r="C152" s="28"/>
      <c r="D152" s="28"/>
      <c r="E152" s="28"/>
      <c r="F152" s="28"/>
      <c r="G152" s="28"/>
      <c r="H152" s="65" t="str">
        <f aca="false">IF($A152="","",COUNTIFS(Inventory!$D:$D,$A152,Inventory!$K:$K,"Open")+COUNTIFS(Inventory!$D:$D,$A152,Inventory!$K:$K,"Unconfirmed"))</f>
        <v/>
      </c>
      <c r="I152" s="65" t="str">
        <f aca="false">IF($A152="","",COUNTIFS('Use Cases'!$W$2:$W$501,$A152)-COUNTIFS('Use Cases'!$W$2:$W$501,$A152,'Use Cases'!$X$2:$X$501,"Closed"))</f>
        <v/>
      </c>
      <c r="J152" s="65" t="str">
        <f aca="false">IF($A152="","",COUNTIFS('Use Cases'!$W$2:$W$501,$A152,'Use Cases'!$AO$2:$AO$501,"Critical")+COUNTIFS('Use Cases'!$W$2:$W$501,$A152,'Use Cases'!$AO$2:$AO$501,"Warning"))</f>
        <v/>
      </c>
    </row>
    <row r="153" customFormat="false" ht="15" hidden="false" customHeight="false" outlineLevel="0" collapsed="false">
      <c r="A153" s="28"/>
      <c r="B153" s="28"/>
      <c r="C153" s="28"/>
      <c r="D153" s="28"/>
      <c r="E153" s="28"/>
      <c r="F153" s="28"/>
      <c r="G153" s="28"/>
      <c r="H153" s="65" t="str">
        <f aca="false">IF($A153="","",COUNTIFS(Inventory!$D:$D,$A153,Inventory!$K:$K,"Open")+COUNTIFS(Inventory!$D:$D,$A153,Inventory!$K:$K,"Unconfirmed"))</f>
        <v/>
      </c>
      <c r="I153" s="65" t="str">
        <f aca="false">IF($A153="","",COUNTIFS('Use Cases'!$W$2:$W$501,$A153)-COUNTIFS('Use Cases'!$W$2:$W$501,$A153,'Use Cases'!$X$2:$X$501,"Closed"))</f>
        <v/>
      </c>
      <c r="J153" s="65" t="str">
        <f aca="false">IF($A153="","",COUNTIFS('Use Cases'!$W$2:$W$501,$A153,'Use Cases'!$AO$2:$AO$501,"Critical")+COUNTIFS('Use Cases'!$W$2:$W$501,$A153,'Use Cases'!$AO$2:$AO$501,"Warning"))</f>
        <v/>
      </c>
    </row>
    <row r="154" customFormat="false" ht="15" hidden="false" customHeight="false" outlineLevel="0" collapsed="false">
      <c r="A154" s="28"/>
      <c r="B154" s="28"/>
      <c r="C154" s="28"/>
      <c r="D154" s="28"/>
      <c r="E154" s="28"/>
      <c r="F154" s="28"/>
      <c r="G154" s="28"/>
      <c r="H154" s="65" t="str">
        <f aca="false">IF($A154="","",COUNTIFS(Inventory!$D:$D,$A154,Inventory!$K:$K,"Open")+COUNTIFS(Inventory!$D:$D,$A154,Inventory!$K:$K,"Unconfirmed"))</f>
        <v/>
      </c>
      <c r="I154" s="65" t="str">
        <f aca="false">IF($A154="","",COUNTIFS('Use Cases'!$W$2:$W$501,$A154)-COUNTIFS('Use Cases'!$W$2:$W$501,$A154,'Use Cases'!$X$2:$X$501,"Closed"))</f>
        <v/>
      </c>
      <c r="J154" s="65" t="str">
        <f aca="false">IF($A154="","",COUNTIFS('Use Cases'!$W$2:$W$501,$A154,'Use Cases'!$AO$2:$AO$501,"Critical")+COUNTIFS('Use Cases'!$W$2:$W$501,$A154,'Use Cases'!$AO$2:$AO$501,"Warning"))</f>
        <v/>
      </c>
    </row>
    <row r="155" customFormat="false" ht="15" hidden="false" customHeight="false" outlineLevel="0" collapsed="false">
      <c r="A155" s="28"/>
      <c r="B155" s="28"/>
      <c r="C155" s="28"/>
      <c r="D155" s="28"/>
      <c r="E155" s="28"/>
      <c r="F155" s="28"/>
      <c r="G155" s="28"/>
      <c r="H155" s="65" t="str">
        <f aca="false">IF($A155="","",COUNTIFS(Inventory!$D:$D,$A155,Inventory!$K:$K,"Open")+COUNTIFS(Inventory!$D:$D,$A155,Inventory!$K:$K,"Unconfirmed"))</f>
        <v/>
      </c>
      <c r="I155" s="65" t="str">
        <f aca="false">IF($A155="","",COUNTIFS('Use Cases'!$W$2:$W$501,$A155)-COUNTIFS('Use Cases'!$W$2:$W$501,$A155,'Use Cases'!$X$2:$X$501,"Closed"))</f>
        <v/>
      </c>
      <c r="J155" s="65" t="str">
        <f aca="false">IF($A155="","",COUNTIFS('Use Cases'!$W$2:$W$501,$A155,'Use Cases'!$AO$2:$AO$501,"Critical")+COUNTIFS('Use Cases'!$W$2:$W$501,$A155,'Use Cases'!$AO$2:$AO$501,"Warning"))</f>
        <v/>
      </c>
    </row>
    <row r="156" customFormat="false" ht="15" hidden="false" customHeight="false" outlineLevel="0" collapsed="false">
      <c r="A156" s="28"/>
      <c r="B156" s="28"/>
      <c r="C156" s="28"/>
      <c r="D156" s="28"/>
      <c r="E156" s="28"/>
      <c r="F156" s="28"/>
      <c r="G156" s="28"/>
      <c r="H156" s="65" t="str">
        <f aca="false">IF($A156="","",COUNTIFS(Inventory!$D:$D,$A156,Inventory!$K:$K,"Open")+COUNTIFS(Inventory!$D:$D,$A156,Inventory!$K:$K,"Unconfirmed"))</f>
        <v/>
      </c>
      <c r="I156" s="65" t="str">
        <f aca="false">IF($A156="","",COUNTIFS('Use Cases'!$W$2:$W$501,$A156)-COUNTIFS('Use Cases'!$W$2:$W$501,$A156,'Use Cases'!$X$2:$X$501,"Closed"))</f>
        <v/>
      </c>
      <c r="J156" s="65" t="str">
        <f aca="false">IF($A156="","",COUNTIFS('Use Cases'!$W$2:$W$501,$A156,'Use Cases'!$AO$2:$AO$501,"Critical")+COUNTIFS('Use Cases'!$W$2:$W$501,$A156,'Use Cases'!$AO$2:$AO$501,"Warning"))</f>
        <v/>
      </c>
    </row>
    <row r="157" customFormat="false" ht="15" hidden="false" customHeight="false" outlineLevel="0" collapsed="false">
      <c r="A157" s="28"/>
      <c r="B157" s="28"/>
      <c r="C157" s="28"/>
      <c r="D157" s="28"/>
      <c r="E157" s="28"/>
      <c r="F157" s="28"/>
      <c r="G157" s="28"/>
      <c r="H157" s="65" t="str">
        <f aca="false">IF($A157="","",COUNTIFS(Inventory!$D:$D,$A157,Inventory!$K:$K,"Open")+COUNTIFS(Inventory!$D:$D,$A157,Inventory!$K:$K,"Unconfirmed"))</f>
        <v/>
      </c>
      <c r="I157" s="65" t="str">
        <f aca="false">IF($A157="","",COUNTIFS('Use Cases'!$W$2:$W$501,$A157)-COUNTIFS('Use Cases'!$W$2:$W$501,$A157,'Use Cases'!$X$2:$X$501,"Closed"))</f>
        <v/>
      </c>
      <c r="J157" s="65" t="str">
        <f aca="false">IF($A157="","",COUNTIFS('Use Cases'!$W$2:$W$501,$A157,'Use Cases'!$AO$2:$AO$501,"Critical")+COUNTIFS('Use Cases'!$W$2:$W$501,$A157,'Use Cases'!$AO$2:$AO$501,"Warning"))</f>
        <v/>
      </c>
    </row>
    <row r="158" customFormat="false" ht="15" hidden="false" customHeight="false" outlineLevel="0" collapsed="false">
      <c r="A158" s="28"/>
      <c r="B158" s="28"/>
      <c r="C158" s="28"/>
      <c r="D158" s="28"/>
      <c r="E158" s="28"/>
      <c r="F158" s="28"/>
      <c r="G158" s="28"/>
      <c r="H158" s="65" t="str">
        <f aca="false">IF($A158="","",COUNTIFS(Inventory!$D:$D,$A158,Inventory!$K:$K,"Open")+COUNTIFS(Inventory!$D:$D,$A158,Inventory!$K:$K,"Unconfirmed"))</f>
        <v/>
      </c>
      <c r="I158" s="65" t="str">
        <f aca="false">IF($A158="","",COUNTIFS('Use Cases'!$W$2:$W$501,$A158)-COUNTIFS('Use Cases'!$W$2:$W$501,$A158,'Use Cases'!$X$2:$X$501,"Closed"))</f>
        <v/>
      </c>
      <c r="J158" s="65" t="str">
        <f aca="false">IF($A158="","",COUNTIFS('Use Cases'!$W$2:$W$501,$A158,'Use Cases'!$AO$2:$AO$501,"Critical")+COUNTIFS('Use Cases'!$W$2:$W$501,$A158,'Use Cases'!$AO$2:$AO$501,"Warning"))</f>
        <v/>
      </c>
    </row>
    <row r="159" customFormat="false" ht="15" hidden="false" customHeight="false" outlineLevel="0" collapsed="false">
      <c r="A159" s="28"/>
      <c r="B159" s="28"/>
      <c r="C159" s="28"/>
      <c r="D159" s="28"/>
      <c r="E159" s="28"/>
      <c r="F159" s="28"/>
      <c r="G159" s="28"/>
      <c r="H159" s="65" t="str">
        <f aca="false">IF($A159="","",COUNTIFS(Inventory!$D:$D,$A159,Inventory!$K:$K,"Open")+COUNTIFS(Inventory!$D:$D,$A159,Inventory!$K:$K,"Unconfirmed"))</f>
        <v/>
      </c>
      <c r="I159" s="65" t="str">
        <f aca="false">IF($A159="","",COUNTIFS('Use Cases'!$W$2:$W$501,$A159)-COUNTIFS('Use Cases'!$W$2:$W$501,$A159,'Use Cases'!$X$2:$X$501,"Closed"))</f>
        <v/>
      </c>
      <c r="J159" s="65" t="str">
        <f aca="false">IF($A159="","",COUNTIFS('Use Cases'!$W$2:$W$501,$A159,'Use Cases'!$AO$2:$AO$501,"Critical")+COUNTIFS('Use Cases'!$W$2:$W$501,$A159,'Use Cases'!$AO$2:$AO$501,"Warning"))</f>
        <v/>
      </c>
    </row>
    <row r="160" customFormat="false" ht="15" hidden="false" customHeight="false" outlineLevel="0" collapsed="false">
      <c r="A160" s="28"/>
      <c r="B160" s="28"/>
      <c r="C160" s="28"/>
      <c r="D160" s="28"/>
      <c r="E160" s="28"/>
      <c r="F160" s="28"/>
      <c r="G160" s="28"/>
      <c r="H160" s="65" t="str">
        <f aca="false">IF($A160="","",COUNTIFS(Inventory!$D:$D,$A160,Inventory!$K:$K,"Open")+COUNTIFS(Inventory!$D:$D,$A160,Inventory!$K:$K,"Unconfirmed"))</f>
        <v/>
      </c>
      <c r="I160" s="65" t="str">
        <f aca="false">IF($A160="","",COUNTIFS('Use Cases'!$W$2:$W$501,$A160)-COUNTIFS('Use Cases'!$W$2:$W$501,$A160,'Use Cases'!$X$2:$X$501,"Closed"))</f>
        <v/>
      </c>
      <c r="J160" s="65" t="str">
        <f aca="false">IF($A160="","",COUNTIFS('Use Cases'!$W$2:$W$501,$A160,'Use Cases'!$AO$2:$AO$501,"Critical")+COUNTIFS('Use Cases'!$W$2:$W$501,$A160,'Use Cases'!$AO$2:$AO$501,"Warning"))</f>
        <v/>
      </c>
    </row>
    <row r="161" customFormat="false" ht="15" hidden="false" customHeight="false" outlineLevel="0" collapsed="false">
      <c r="A161" s="28"/>
      <c r="B161" s="28"/>
      <c r="C161" s="28"/>
      <c r="D161" s="28"/>
      <c r="E161" s="28"/>
      <c r="F161" s="28"/>
      <c r="G161" s="28"/>
      <c r="H161" s="65" t="str">
        <f aca="false">IF($A161="","",COUNTIFS(Inventory!$D:$D,$A161,Inventory!$K:$K,"Open")+COUNTIFS(Inventory!$D:$D,$A161,Inventory!$K:$K,"Unconfirmed"))</f>
        <v/>
      </c>
      <c r="I161" s="65" t="str">
        <f aca="false">IF($A161="","",COUNTIFS('Use Cases'!$W$2:$W$501,$A161)-COUNTIFS('Use Cases'!$W$2:$W$501,$A161,'Use Cases'!$X$2:$X$501,"Closed"))</f>
        <v/>
      </c>
      <c r="J161" s="65" t="str">
        <f aca="false">IF($A161="","",COUNTIFS('Use Cases'!$W$2:$W$501,$A161,'Use Cases'!$AO$2:$AO$501,"Critical")+COUNTIFS('Use Cases'!$W$2:$W$501,$A161,'Use Cases'!$AO$2:$AO$501,"Warning"))</f>
        <v/>
      </c>
    </row>
    <row r="162" customFormat="false" ht="15" hidden="false" customHeight="false" outlineLevel="0" collapsed="false">
      <c r="A162" s="28"/>
      <c r="B162" s="28"/>
      <c r="C162" s="28"/>
      <c r="D162" s="28"/>
      <c r="E162" s="28"/>
      <c r="F162" s="28"/>
      <c r="G162" s="28"/>
      <c r="H162" s="65" t="str">
        <f aca="false">IF($A162="","",COUNTIFS(Inventory!$D:$D,$A162,Inventory!$K:$K,"Open")+COUNTIFS(Inventory!$D:$D,$A162,Inventory!$K:$K,"Unconfirmed"))</f>
        <v/>
      </c>
      <c r="I162" s="65" t="str">
        <f aca="false">IF($A162="","",COUNTIFS('Use Cases'!$W$2:$W$501,$A162)-COUNTIFS('Use Cases'!$W$2:$W$501,$A162,'Use Cases'!$X$2:$X$501,"Closed"))</f>
        <v/>
      </c>
      <c r="J162" s="65" t="str">
        <f aca="false">IF($A162="","",COUNTIFS('Use Cases'!$W$2:$W$501,$A162,'Use Cases'!$AO$2:$AO$501,"Critical")+COUNTIFS('Use Cases'!$W$2:$W$501,$A162,'Use Cases'!$AO$2:$AO$501,"Warning"))</f>
        <v/>
      </c>
    </row>
    <row r="163" customFormat="false" ht="15" hidden="false" customHeight="false" outlineLevel="0" collapsed="false">
      <c r="A163" s="28"/>
      <c r="B163" s="28"/>
      <c r="C163" s="28"/>
      <c r="D163" s="28"/>
      <c r="E163" s="28"/>
      <c r="F163" s="28"/>
      <c r="G163" s="28"/>
      <c r="H163" s="65" t="str">
        <f aca="false">IF($A163="","",COUNTIFS(Inventory!$D:$D,$A163,Inventory!$K:$K,"Open")+COUNTIFS(Inventory!$D:$D,$A163,Inventory!$K:$K,"Unconfirmed"))</f>
        <v/>
      </c>
      <c r="I163" s="65" t="str">
        <f aca="false">IF($A163="","",COUNTIFS('Use Cases'!$W$2:$W$501,$A163)-COUNTIFS('Use Cases'!$W$2:$W$501,$A163,'Use Cases'!$X$2:$X$501,"Closed"))</f>
        <v/>
      </c>
      <c r="J163" s="65" t="str">
        <f aca="false">IF($A163="","",COUNTIFS('Use Cases'!$W$2:$W$501,$A163,'Use Cases'!$AO$2:$AO$501,"Critical")+COUNTIFS('Use Cases'!$W$2:$W$501,$A163,'Use Cases'!$AO$2:$AO$501,"Warning"))</f>
        <v/>
      </c>
    </row>
    <row r="164" customFormat="false" ht="15" hidden="false" customHeight="false" outlineLevel="0" collapsed="false">
      <c r="A164" s="28"/>
      <c r="B164" s="28"/>
      <c r="C164" s="28"/>
      <c r="D164" s="28"/>
      <c r="E164" s="28"/>
      <c r="F164" s="28"/>
      <c r="G164" s="28"/>
      <c r="H164" s="65" t="str">
        <f aca="false">IF($A164="","",COUNTIFS(Inventory!$D:$D,$A164,Inventory!$K:$K,"Open")+COUNTIFS(Inventory!$D:$D,$A164,Inventory!$K:$K,"Unconfirmed"))</f>
        <v/>
      </c>
      <c r="I164" s="65" t="str">
        <f aca="false">IF($A164="","",COUNTIFS('Use Cases'!$W$2:$W$501,$A164)-COUNTIFS('Use Cases'!$W$2:$W$501,$A164,'Use Cases'!$X$2:$X$501,"Closed"))</f>
        <v/>
      </c>
      <c r="J164" s="65" t="str">
        <f aca="false">IF($A164="","",COUNTIFS('Use Cases'!$W$2:$W$501,$A164,'Use Cases'!$AO$2:$AO$501,"Critical")+COUNTIFS('Use Cases'!$W$2:$W$501,$A164,'Use Cases'!$AO$2:$AO$501,"Warning"))</f>
        <v/>
      </c>
    </row>
    <row r="165" customFormat="false" ht="15" hidden="false" customHeight="false" outlineLevel="0" collapsed="false">
      <c r="A165" s="28"/>
      <c r="B165" s="28"/>
      <c r="C165" s="28"/>
      <c r="D165" s="28"/>
      <c r="E165" s="28"/>
      <c r="F165" s="28"/>
      <c r="G165" s="28"/>
      <c r="H165" s="65" t="str">
        <f aca="false">IF($A165="","",COUNTIFS(Inventory!$D:$D,$A165,Inventory!$K:$K,"Open")+COUNTIFS(Inventory!$D:$D,$A165,Inventory!$K:$K,"Unconfirmed"))</f>
        <v/>
      </c>
      <c r="I165" s="65" t="str">
        <f aca="false">IF($A165="","",COUNTIFS('Use Cases'!$W$2:$W$501,$A165)-COUNTIFS('Use Cases'!$W$2:$W$501,$A165,'Use Cases'!$X$2:$X$501,"Closed"))</f>
        <v/>
      </c>
      <c r="J165" s="65" t="str">
        <f aca="false">IF($A165="","",COUNTIFS('Use Cases'!$W$2:$W$501,$A165,'Use Cases'!$AO$2:$AO$501,"Critical")+COUNTIFS('Use Cases'!$W$2:$W$501,$A165,'Use Cases'!$AO$2:$AO$501,"Warning"))</f>
        <v/>
      </c>
    </row>
    <row r="166" customFormat="false" ht="15" hidden="false" customHeight="false" outlineLevel="0" collapsed="false">
      <c r="A166" s="28"/>
      <c r="B166" s="28"/>
      <c r="C166" s="28"/>
      <c r="D166" s="28"/>
      <c r="E166" s="28"/>
      <c r="F166" s="28"/>
      <c r="G166" s="28"/>
      <c r="H166" s="65" t="str">
        <f aca="false">IF($A166="","",COUNTIFS(Inventory!$D:$D,$A166,Inventory!$K:$K,"Open")+COUNTIFS(Inventory!$D:$D,$A166,Inventory!$K:$K,"Unconfirmed"))</f>
        <v/>
      </c>
      <c r="I166" s="65" t="str">
        <f aca="false">IF($A166="","",COUNTIFS('Use Cases'!$W$2:$W$501,$A166)-COUNTIFS('Use Cases'!$W$2:$W$501,$A166,'Use Cases'!$X$2:$X$501,"Closed"))</f>
        <v/>
      </c>
      <c r="J166" s="65" t="str">
        <f aca="false">IF($A166="","",COUNTIFS('Use Cases'!$W$2:$W$501,$A166,'Use Cases'!$AO$2:$AO$501,"Critical")+COUNTIFS('Use Cases'!$W$2:$W$501,$A166,'Use Cases'!$AO$2:$AO$501,"Warning"))</f>
        <v/>
      </c>
    </row>
    <row r="167" customFormat="false" ht="15" hidden="false" customHeight="false" outlineLevel="0" collapsed="false">
      <c r="A167" s="28"/>
      <c r="B167" s="28"/>
      <c r="C167" s="28"/>
      <c r="D167" s="28"/>
      <c r="E167" s="28"/>
      <c r="F167" s="28"/>
      <c r="G167" s="28"/>
      <c r="H167" s="65" t="str">
        <f aca="false">IF($A167="","",COUNTIFS(Inventory!$D:$D,$A167,Inventory!$K:$K,"Open")+COUNTIFS(Inventory!$D:$D,$A167,Inventory!$K:$K,"Unconfirmed"))</f>
        <v/>
      </c>
      <c r="I167" s="65" t="str">
        <f aca="false">IF($A167="","",COUNTIFS('Use Cases'!$W$2:$W$501,$A167)-COUNTIFS('Use Cases'!$W$2:$W$501,$A167,'Use Cases'!$X$2:$X$501,"Closed"))</f>
        <v/>
      </c>
      <c r="J167" s="65" t="str">
        <f aca="false">IF($A167="","",COUNTIFS('Use Cases'!$W$2:$W$501,$A167,'Use Cases'!$AO$2:$AO$501,"Critical")+COUNTIFS('Use Cases'!$W$2:$W$501,$A167,'Use Cases'!$AO$2:$AO$501,"Warning"))</f>
        <v/>
      </c>
    </row>
    <row r="168" customFormat="false" ht="15" hidden="false" customHeight="false" outlineLevel="0" collapsed="false">
      <c r="A168" s="28"/>
      <c r="B168" s="28"/>
      <c r="C168" s="28"/>
      <c r="D168" s="28"/>
      <c r="E168" s="28"/>
      <c r="F168" s="28"/>
      <c r="G168" s="28"/>
      <c r="H168" s="65" t="str">
        <f aca="false">IF($A168="","",COUNTIFS(Inventory!$D:$D,$A168,Inventory!$K:$K,"Open")+COUNTIFS(Inventory!$D:$D,$A168,Inventory!$K:$K,"Unconfirmed"))</f>
        <v/>
      </c>
      <c r="I168" s="65" t="str">
        <f aca="false">IF($A168="","",COUNTIFS('Use Cases'!$W$2:$W$501,$A168)-COUNTIFS('Use Cases'!$W$2:$W$501,$A168,'Use Cases'!$X$2:$X$501,"Closed"))</f>
        <v/>
      </c>
      <c r="J168" s="65" t="str">
        <f aca="false">IF($A168="","",COUNTIFS('Use Cases'!$W$2:$W$501,$A168,'Use Cases'!$AO$2:$AO$501,"Critical")+COUNTIFS('Use Cases'!$W$2:$W$501,$A168,'Use Cases'!$AO$2:$AO$501,"Warning"))</f>
        <v/>
      </c>
    </row>
    <row r="169" customFormat="false" ht="15" hidden="false" customHeight="false" outlineLevel="0" collapsed="false">
      <c r="A169" s="28"/>
      <c r="B169" s="28"/>
      <c r="C169" s="28"/>
      <c r="D169" s="28"/>
      <c r="E169" s="28"/>
      <c r="F169" s="28"/>
      <c r="G169" s="28"/>
      <c r="H169" s="65" t="str">
        <f aca="false">IF($A169="","",COUNTIFS(Inventory!$D:$D,$A169,Inventory!$K:$K,"Open")+COUNTIFS(Inventory!$D:$D,$A169,Inventory!$K:$K,"Unconfirmed"))</f>
        <v/>
      </c>
      <c r="I169" s="65" t="str">
        <f aca="false">IF($A169="","",COUNTIFS('Use Cases'!$W$2:$W$501,$A169)-COUNTIFS('Use Cases'!$W$2:$W$501,$A169,'Use Cases'!$X$2:$X$501,"Closed"))</f>
        <v/>
      </c>
      <c r="J169" s="65" t="str">
        <f aca="false">IF($A169="","",COUNTIFS('Use Cases'!$W$2:$W$501,$A169,'Use Cases'!$AO$2:$AO$501,"Critical")+COUNTIFS('Use Cases'!$W$2:$W$501,$A169,'Use Cases'!$AO$2:$AO$501,"Warning"))</f>
        <v/>
      </c>
    </row>
    <row r="170" customFormat="false" ht="15" hidden="false" customHeight="false" outlineLevel="0" collapsed="false">
      <c r="A170" s="28"/>
      <c r="B170" s="28"/>
      <c r="C170" s="28"/>
      <c r="D170" s="28"/>
      <c r="E170" s="28"/>
      <c r="F170" s="28"/>
      <c r="G170" s="28"/>
      <c r="H170" s="65" t="str">
        <f aca="false">IF($A170="","",COUNTIFS(Inventory!$D:$D,$A170,Inventory!$K:$K,"Open")+COUNTIFS(Inventory!$D:$D,$A170,Inventory!$K:$K,"Unconfirmed"))</f>
        <v/>
      </c>
      <c r="I170" s="65" t="str">
        <f aca="false">IF($A170="","",COUNTIFS('Use Cases'!$W$2:$W$501,$A170)-COUNTIFS('Use Cases'!$W$2:$W$501,$A170,'Use Cases'!$X$2:$X$501,"Closed"))</f>
        <v/>
      </c>
      <c r="J170" s="65" t="str">
        <f aca="false">IF($A170="","",COUNTIFS('Use Cases'!$W$2:$W$501,$A170,'Use Cases'!$AO$2:$AO$501,"Critical")+COUNTIFS('Use Cases'!$W$2:$W$501,$A170,'Use Cases'!$AO$2:$AO$501,"Warning"))</f>
        <v/>
      </c>
    </row>
    <row r="171" customFormat="false" ht="15" hidden="false" customHeight="false" outlineLevel="0" collapsed="false">
      <c r="A171" s="28"/>
      <c r="B171" s="28"/>
      <c r="C171" s="28"/>
      <c r="D171" s="28"/>
      <c r="E171" s="28"/>
      <c r="F171" s="28"/>
      <c r="G171" s="28"/>
      <c r="H171" s="65" t="str">
        <f aca="false">IF($A171="","",COUNTIFS(Inventory!$D:$D,$A171,Inventory!$K:$K,"Open")+COUNTIFS(Inventory!$D:$D,$A171,Inventory!$K:$K,"Unconfirmed"))</f>
        <v/>
      </c>
      <c r="I171" s="65" t="str">
        <f aca="false">IF($A171="","",COUNTIFS('Use Cases'!$W$2:$W$501,$A171)-COUNTIFS('Use Cases'!$W$2:$W$501,$A171,'Use Cases'!$X$2:$X$501,"Closed"))</f>
        <v/>
      </c>
      <c r="J171" s="65" t="str">
        <f aca="false">IF($A171="","",COUNTIFS('Use Cases'!$W$2:$W$501,$A171,'Use Cases'!$AO$2:$AO$501,"Critical")+COUNTIFS('Use Cases'!$W$2:$W$501,$A171,'Use Cases'!$AO$2:$AO$501,"Warning"))</f>
        <v/>
      </c>
    </row>
    <row r="172" customFormat="false" ht="15" hidden="false" customHeight="false" outlineLevel="0" collapsed="false">
      <c r="A172" s="28"/>
      <c r="B172" s="28"/>
      <c r="C172" s="28"/>
      <c r="D172" s="28"/>
      <c r="E172" s="28"/>
      <c r="F172" s="28"/>
      <c r="G172" s="28"/>
      <c r="H172" s="65" t="str">
        <f aca="false">IF($A172="","",COUNTIFS(Inventory!$D:$D,$A172,Inventory!$K:$K,"Open")+COUNTIFS(Inventory!$D:$D,$A172,Inventory!$K:$K,"Unconfirmed"))</f>
        <v/>
      </c>
      <c r="I172" s="65" t="str">
        <f aca="false">IF($A172="","",COUNTIFS('Use Cases'!$W$2:$W$501,$A172)-COUNTIFS('Use Cases'!$W$2:$W$501,$A172,'Use Cases'!$X$2:$X$501,"Closed"))</f>
        <v/>
      </c>
      <c r="J172" s="65" t="str">
        <f aca="false">IF($A172="","",COUNTIFS('Use Cases'!$W$2:$W$501,$A172,'Use Cases'!$AO$2:$AO$501,"Critical")+COUNTIFS('Use Cases'!$W$2:$W$501,$A172,'Use Cases'!$AO$2:$AO$501,"Warning"))</f>
        <v/>
      </c>
    </row>
    <row r="173" customFormat="false" ht="15" hidden="false" customHeight="false" outlineLevel="0" collapsed="false">
      <c r="A173" s="28"/>
      <c r="B173" s="28"/>
      <c r="C173" s="28"/>
      <c r="D173" s="28"/>
      <c r="E173" s="28"/>
      <c r="F173" s="28"/>
      <c r="G173" s="28"/>
      <c r="H173" s="65" t="str">
        <f aca="false">IF($A173="","",COUNTIFS(Inventory!$D:$D,$A173,Inventory!$K:$K,"Open")+COUNTIFS(Inventory!$D:$D,$A173,Inventory!$K:$K,"Unconfirmed"))</f>
        <v/>
      </c>
      <c r="I173" s="65" t="str">
        <f aca="false">IF($A173="","",COUNTIFS('Use Cases'!$W$2:$W$501,$A173)-COUNTIFS('Use Cases'!$W$2:$W$501,$A173,'Use Cases'!$X$2:$X$501,"Closed"))</f>
        <v/>
      </c>
      <c r="J173" s="65" t="str">
        <f aca="false">IF($A173="","",COUNTIFS('Use Cases'!$W$2:$W$501,$A173,'Use Cases'!$AO$2:$AO$501,"Critical")+COUNTIFS('Use Cases'!$W$2:$W$501,$A173,'Use Cases'!$AO$2:$AO$501,"Warning"))</f>
        <v/>
      </c>
    </row>
    <row r="174" customFormat="false" ht="15" hidden="false" customHeight="false" outlineLevel="0" collapsed="false">
      <c r="A174" s="28"/>
      <c r="B174" s="28"/>
      <c r="C174" s="28"/>
      <c r="D174" s="28"/>
      <c r="E174" s="28"/>
      <c r="F174" s="28"/>
      <c r="G174" s="28"/>
      <c r="H174" s="65" t="str">
        <f aca="false">IF($A174="","",COUNTIFS(Inventory!$D:$D,$A174,Inventory!$K:$K,"Open")+COUNTIFS(Inventory!$D:$D,$A174,Inventory!$K:$K,"Unconfirmed"))</f>
        <v/>
      </c>
      <c r="I174" s="65" t="str">
        <f aca="false">IF($A174="","",COUNTIFS('Use Cases'!$W$2:$W$501,$A174)-COUNTIFS('Use Cases'!$W$2:$W$501,$A174,'Use Cases'!$X$2:$X$501,"Closed"))</f>
        <v/>
      </c>
      <c r="J174" s="65" t="str">
        <f aca="false">IF($A174="","",COUNTIFS('Use Cases'!$W$2:$W$501,$A174,'Use Cases'!$AO$2:$AO$501,"Critical")+COUNTIFS('Use Cases'!$W$2:$W$501,$A174,'Use Cases'!$AO$2:$AO$501,"Warning"))</f>
        <v/>
      </c>
    </row>
    <row r="175" customFormat="false" ht="15" hidden="false" customHeight="false" outlineLevel="0" collapsed="false">
      <c r="A175" s="28"/>
      <c r="B175" s="28"/>
      <c r="C175" s="28"/>
      <c r="D175" s="28"/>
      <c r="E175" s="28"/>
      <c r="F175" s="28"/>
      <c r="G175" s="28"/>
      <c r="H175" s="65" t="str">
        <f aca="false">IF($A175="","",COUNTIFS(Inventory!$D:$D,$A175,Inventory!$K:$K,"Open")+COUNTIFS(Inventory!$D:$D,$A175,Inventory!$K:$K,"Unconfirmed"))</f>
        <v/>
      </c>
      <c r="I175" s="65" t="str">
        <f aca="false">IF($A175="","",COUNTIFS('Use Cases'!$W$2:$W$501,$A175)-COUNTIFS('Use Cases'!$W$2:$W$501,$A175,'Use Cases'!$X$2:$X$501,"Closed"))</f>
        <v/>
      </c>
      <c r="J175" s="65" t="str">
        <f aca="false">IF($A175="","",COUNTIFS('Use Cases'!$W$2:$W$501,$A175,'Use Cases'!$AO$2:$AO$501,"Critical")+COUNTIFS('Use Cases'!$W$2:$W$501,$A175,'Use Cases'!$AO$2:$AO$501,"Warning"))</f>
        <v/>
      </c>
    </row>
    <row r="176" customFormat="false" ht="15" hidden="false" customHeight="false" outlineLevel="0" collapsed="false">
      <c r="A176" s="28"/>
      <c r="B176" s="28"/>
      <c r="C176" s="28"/>
      <c r="D176" s="28"/>
      <c r="E176" s="28"/>
      <c r="F176" s="28"/>
      <c r="G176" s="28"/>
      <c r="H176" s="65" t="str">
        <f aca="false">IF($A176="","",COUNTIFS(Inventory!$D:$D,$A176,Inventory!$K:$K,"Open")+COUNTIFS(Inventory!$D:$D,$A176,Inventory!$K:$K,"Unconfirmed"))</f>
        <v/>
      </c>
      <c r="I176" s="65" t="str">
        <f aca="false">IF($A176="","",COUNTIFS('Use Cases'!$W$2:$W$501,$A176)-COUNTIFS('Use Cases'!$W$2:$W$501,$A176,'Use Cases'!$X$2:$X$501,"Closed"))</f>
        <v/>
      </c>
      <c r="J176" s="65" t="str">
        <f aca="false">IF($A176="","",COUNTIFS('Use Cases'!$W$2:$W$501,$A176,'Use Cases'!$AO$2:$AO$501,"Critical")+COUNTIFS('Use Cases'!$W$2:$W$501,$A176,'Use Cases'!$AO$2:$AO$501,"Warning"))</f>
        <v/>
      </c>
    </row>
    <row r="177" customFormat="false" ht="15" hidden="false" customHeight="false" outlineLevel="0" collapsed="false">
      <c r="A177" s="28"/>
      <c r="B177" s="28"/>
      <c r="C177" s="28"/>
      <c r="D177" s="28"/>
      <c r="E177" s="28"/>
      <c r="F177" s="28"/>
      <c r="G177" s="28"/>
      <c r="H177" s="65" t="str">
        <f aca="false">IF($A177="","",COUNTIFS(Inventory!$D:$D,$A177,Inventory!$K:$K,"Open")+COUNTIFS(Inventory!$D:$D,$A177,Inventory!$K:$K,"Unconfirmed"))</f>
        <v/>
      </c>
      <c r="I177" s="65" t="str">
        <f aca="false">IF($A177="","",COUNTIFS('Use Cases'!$W$2:$W$501,$A177)-COUNTIFS('Use Cases'!$W$2:$W$501,$A177,'Use Cases'!$X$2:$X$501,"Closed"))</f>
        <v/>
      </c>
      <c r="J177" s="65" t="str">
        <f aca="false">IF($A177="","",COUNTIFS('Use Cases'!$W$2:$W$501,$A177,'Use Cases'!$AO$2:$AO$501,"Critical")+COUNTIFS('Use Cases'!$W$2:$W$501,$A177,'Use Cases'!$AO$2:$AO$501,"Warning"))</f>
        <v/>
      </c>
    </row>
    <row r="178" customFormat="false" ht="15" hidden="false" customHeight="false" outlineLevel="0" collapsed="false">
      <c r="A178" s="28"/>
      <c r="B178" s="28"/>
      <c r="C178" s="28"/>
      <c r="D178" s="28"/>
      <c r="E178" s="28"/>
      <c r="F178" s="28"/>
      <c r="G178" s="28"/>
      <c r="H178" s="65" t="str">
        <f aca="false">IF($A178="","",COUNTIFS(Inventory!$D:$D,$A178,Inventory!$K:$K,"Open")+COUNTIFS(Inventory!$D:$D,$A178,Inventory!$K:$K,"Unconfirmed"))</f>
        <v/>
      </c>
      <c r="I178" s="65" t="str">
        <f aca="false">IF($A178="","",COUNTIFS('Use Cases'!$W$2:$W$501,$A178)-COUNTIFS('Use Cases'!$W$2:$W$501,$A178,'Use Cases'!$X$2:$X$501,"Closed"))</f>
        <v/>
      </c>
      <c r="J178" s="65" t="str">
        <f aca="false">IF($A178="","",COUNTIFS('Use Cases'!$W$2:$W$501,$A178,'Use Cases'!$AO$2:$AO$501,"Critical")+COUNTIFS('Use Cases'!$W$2:$W$501,$A178,'Use Cases'!$AO$2:$AO$501,"Warning"))</f>
        <v/>
      </c>
    </row>
    <row r="179" customFormat="false" ht="15" hidden="false" customHeight="false" outlineLevel="0" collapsed="false">
      <c r="A179" s="28"/>
      <c r="B179" s="28"/>
      <c r="C179" s="28"/>
      <c r="D179" s="28"/>
      <c r="E179" s="28"/>
      <c r="F179" s="28"/>
      <c r="G179" s="28"/>
      <c r="H179" s="65" t="str">
        <f aca="false">IF($A179="","",COUNTIFS(Inventory!$D:$D,$A179,Inventory!$K:$K,"Open")+COUNTIFS(Inventory!$D:$D,$A179,Inventory!$K:$K,"Unconfirmed"))</f>
        <v/>
      </c>
      <c r="I179" s="65" t="str">
        <f aca="false">IF($A179="","",COUNTIFS('Use Cases'!$W$2:$W$501,$A179)-COUNTIFS('Use Cases'!$W$2:$W$501,$A179,'Use Cases'!$X$2:$X$501,"Closed"))</f>
        <v/>
      </c>
      <c r="J179" s="65" t="str">
        <f aca="false">IF($A179="","",COUNTIFS('Use Cases'!$W$2:$W$501,$A179,'Use Cases'!$AO$2:$AO$501,"Critical")+COUNTIFS('Use Cases'!$W$2:$W$501,$A179,'Use Cases'!$AO$2:$AO$501,"Warning"))</f>
        <v/>
      </c>
    </row>
    <row r="180" customFormat="false" ht="15" hidden="false" customHeight="false" outlineLevel="0" collapsed="false">
      <c r="A180" s="28"/>
      <c r="B180" s="28"/>
      <c r="C180" s="28"/>
      <c r="D180" s="28"/>
      <c r="E180" s="28"/>
      <c r="F180" s="28"/>
      <c r="G180" s="28"/>
      <c r="H180" s="65" t="str">
        <f aca="false">IF($A180="","",COUNTIFS(Inventory!$D:$D,$A180,Inventory!$K:$K,"Open")+COUNTIFS(Inventory!$D:$D,$A180,Inventory!$K:$K,"Unconfirmed"))</f>
        <v/>
      </c>
      <c r="I180" s="65" t="str">
        <f aca="false">IF($A180="","",COUNTIFS('Use Cases'!$W$2:$W$501,$A180)-COUNTIFS('Use Cases'!$W$2:$W$501,$A180,'Use Cases'!$X$2:$X$501,"Closed"))</f>
        <v/>
      </c>
      <c r="J180" s="65" t="str">
        <f aca="false">IF($A180="","",COUNTIFS('Use Cases'!$W$2:$W$501,$A180,'Use Cases'!$AO$2:$AO$501,"Critical")+COUNTIFS('Use Cases'!$W$2:$W$501,$A180,'Use Cases'!$AO$2:$AO$501,"Warning"))</f>
        <v/>
      </c>
    </row>
    <row r="181" customFormat="false" ht="15" hidden="false" customHeight="false" outlineLevel="0" collapsed="false">
      <c r="A181" s="28"/>
      <c r="B181" s="28"/>
      <c r="C181" s="28"/>
      <c r="D181" s="28"/>
      <c r="E181" s="28"/>
      <c r="F181" s="28"/>
      <c r="G181" s="28"/>
      <c r="H181" s="65" t="str">
        <f aca="false">IF($A181="","",COUNTIFS(Inventory!$D:$D,$A181,Inventory!$K:$K,"Open")+COUNTIFS(Inventory!$D:$D,$A181,Inventory!$K:$K,"Unconfirmed"))</f>
        <v/>
      </c>
      <c r="I181" s="65" t="str">
        <f aca="false">IF($A181="","",COUNTIFS('Use Cases'!$W$2:$W$501,$A181)-COUNTIFS('Use Cases'!$W$2:$W$501,$A181,'Use Cases'!$X$2:$X$501,"Closed"))</f>
        <v/>
      </c>
      <c r="J181" s="65" t="str">
        <f aca="false">IF($A181="","",COUNTIFS('Use Cases'!$W$2:$W$501,$A181,'Use Cases'!$AO$2:$AO$501,"Critical")+COUNTIFS('Use Cases'!$W$2:$W$501,$A181,'Use Cases'!$AO$2:$AO$501,"Warning"))</f>
        <v/>
      </c>
    </row>
    <row r="182" customFormat="false" ht="15" hidden="false" customHeight="false" outlineLevel="0" collapsed="false">
      <c r="A182" s="28"/>
      <c r="B182" s="28"/>
      <c r="C182" s="28"/>
      <c r="D182" s="28"/>
      <c r="E182" s="28"/>
      <c r="F182" s="28"/>
      <c r="G182" s="28"/>
      <c r="H182" s="65" t="str">
        <f aca="false">IF($A182="","",COUNTIFS(Inventory!$D:$D,$A182,Inventory!$K:$K,"Open")+COUNTIFS(Inventory!$D:$D,$A182,Inventory!$K:$K,"Unconfirmed"))</f>
        <v/>
      </c>
      <c r="I182" s="65" t="str">
        <f aca="false">IF($A182="","",COUNTIFS('Use Cases'!$W$2:$W$501,$A182)-COUNTIFS('Use Cases'!$W$2:$W$501,$A182,'Use Cases'!$X$2:$X$501,"Closed"))</f>
        <v/>
      </c>
      <c r="J182" s="65" t="str">
        <f aca="false">IF($A182="","",COUNTIFS('Use Cases'!$W$2:$W$501,$A182,'Use Cases'!$AO$2:$AO$501,"Critical")+COUNTIFS('Use Cases'!$W$2:$W$501,$A182,'Use Cases'!$AO$2:$AO$501,"Warning"))</f>
        <v/>
      </c>
    </row>
    <row r="183" customFormat="false" ht="15" hidden="false" customHeight="false" outlineLevel="0" collapsed="false">
      <c r="A183" s="28"/>
      <c r="B183" s="28"/>
      <c r="C183" s="28"/>
      <c r="D183" s="28"/>
      <c r="E183" s="28"/>
      <c r="F183" s="28"/>
      <c r="G183" s="28"/>
      <c r="H183" s="65" t="str">
        <f aca="false">IF($A183="","",COUNTIFS(Inventory!$D:$D,$A183,Inventory!$K:$K,"Open")+COUNTIFS(Inventory!$D:$D,$A183,Inventory!$K:$K,"Unconfirmed"))</f>
        <v/>
      </c>
      <c r="I183" s="65" t="str">
        <f aca="false">IF($A183="","",COUNTIFS('Use Cases'!$W$2:$W$501,$A183)-COUNTIFS('Use Cases'!$W$2:$W$501,$A183,'Use Cases'!$X$2:$X$501,"Closed"))</f>
        <v/>
      </c>
      <c r="J183" s="65" t="str">
        <f aca="false">IF($A183="","",COUNTIFS('Use Cases'!$W$2:$W$501,$A183,'Use Cases'!$AO$2:$AO$501,"Critical")+COUNTIFS('Use Cases'!$W$2:$W$501,$A183,'Use Cases'!$AO$2:$AO$501,"Warning"))</f>
        <v/>
      </c>
    </row>
    <row r="184" customFormat="false" ht="15" hidden="false" customHeight="false" outlineLevel="0" collapsed="false">
      <c r="A184" s="28"/>
      <c r="B184" s="28"/>
      <c r="C184" s="28"/>
      <c r="D184" s="28"/>
      <c r="E184" s="28"/>
      <c r="F184" s="28"/>
      <c r="G184" s="28"/>
      <c r="H184" s="65" t="str">
        <f aca="false">IF($A184="","",COUNTIFS(Inventory!$D:$D,$A184,Inventory!$K:$K,"Open")+COUNTIFS(Inventory!$D:$D,$A184,Inventory!$K:$K,"Unconfirmed"))</f>
        <v/>
      </c>
      <c r="I184" s="65" t="str">
        <f aca="false">IF($A184="","",COUNTIFS('Use Cases'!$W$2:$W$501,$A184)-COUNTIFS('Use Cases'!$W$2:$W$501,$A184,'Use Cases'!$X$2:$X$501,"Closed"))</f>
        <v/>
      </c>
      <c r="J184" s="65" t="str">
        <f aca="false">IF($A184="","",COUNTIFS('Use Cases'!$W$2:$W$501,$A184,'Use Cases'!$AO$2:$AO$501,"Critical")+COUNTIFS('Use Cases'!$W$2:$W$501,$A184,'Use Cases'!$AO$2:$AO$501,"Warning"))</f>
        <v/>
      </c>
    </row>
    <row r="185" customFormat="false" ht="15" hidden="false" customHeight="false" outlineLevel="0" collapsed="false">
      <c r="A185" s="28"/>
      <c r="B185" s="28"/>
      <c r="C185" s="28"/>
      <c r="D185" s="28"/>
      <c r="E185" s="28"/>
      <c r="F185" s="28"/>
      <c r="G185" s="28"/>
      <c r="H185" s="65" t="str">
        <f aca="false">IF($A185="","",COUNTIFS(Inventory!$D:$D,$A185,Inventory!$K:$K,"Open")+COUNTIFS(Inventory!$D:$D,$A185,Inventory!$K:$K,"Unconfirmed"))</f>
        <v/>
      </c>
      <c r="I185" s="65" t="str">
        <f aca="false">IF($A185="","",COUNTIFS('Use Cases'!$W$2:$W$501,$A185)-COUNTIFS('Use Cases'!$W$2:$W$501,$A185,'Use Cases'!$X$2:$X$501,"Closed"))</f>
        <v/>
      </c>
      <c r="J185" s="65" t="str">
        <f aca="false">IF($A185="","",COUNTIFS('Use Cases'!$W$2:$W$501,$A185,'Use Cases'!$AO$2:$AO$501,"Critical")+COUNTIFS('Use Cases'!$W$2:$W$501,$A185,'Use Cases'!$AO$2:$AO$501,"Warning"))</f>
        <v/>
      </c>
    </row>
    <row r="186" customFormat="false" ht="15" hidden="false" customHeight="false" outlineLevel="0" collapsed="false">
      <c r="A186" s="28"/>
      <c r="B186" s="28"/>
      <c r="C186" s="28"/>
      <c r="D186" s="28"/>
      <c r="E186" s="28"/>
      <c r="F186" s="28"/>
      <c r="G186" s="28"/>
      <c r="H186" s="65" t="str">
        <f aca="false">IF($A186="","",COUNTIFS(Inventory!$D:$D,$A186,Inventory!$K:$K,"Open")+COUNTIFS(Inventory!$D:$D,$A186,Inventory!$K:$K,"Unconfirmed"))</f>
        <v/>
      </c>
      <c r="I186" s="65" t="str">
        <f aca="false">IF($A186="","",COUNTIFS('Use Cases'!$W$2:$W$501,$A186)-COUNTIFS('Use Cases'!$W$2:$W$501,$A186,'Use Cases'!$X$2:$X$501,"Closed"))</f>
        <v/>
      </c>
      <c r="J186" s="65" t="str">
        <f aca="false">IF($A186="","",COUNTIFS('Use Cases'!$W$2:$W$501,$A186,'Use Cases'!$AO$2:$AO$501,"Critical")+COUNTIFS('Use Cases'!$W$2:$W$501,$A186,'Use Cases'!$AO$2:$AO$501,"Warning"))</f>
        <v/>
      </c>
    </row>
    <row r="187" customFormat="false" ht="15" hidden="false" customHeight="false" outlineLevel="0" collapsed="false">
      <c r="A187" s="28"/>
      <c r="B187" s="28"/>
      <c r="C187" s="28"/>
      <c r="D187" s="28"/>
      <c r="E187" s="28"/>
      <c r="F187" s="28"/>
      <c r="G187" s="28"/>
      <c r="H187" s="65" t="str">
        <f aca="false">IF($A187="","",COUNTIFS(Inventory!$D:$D,$A187,Inventory!$K:$K,"Open")+COUNTIFS(Inventory!$D:$D,$A187,Inventory!$K:$K,"Unconfirmed"))</f>
        <v/>
      </c>
      <c r="I187" s="65" t="str">
        <f aca="false">IF($A187="","",COUNTIFS('Use Cases'!$W$2:$W$501,$A187)-COUNTIFS('Use Cases'!$W$2:$W$501,$A187,'Use Cases'!$X$2:$X$501,"Closed"))</f>
        <v/>
      </c>
      <c r="J187" s="65" t="str">
        <f aca="false">IF($A187="","",COUNTIFS('Use Cases'!$W$2:$W$501,$A187,'Use Cases'!$AO$2:$AO$501,"Critical")+COUNTIFS('Use Cases'!$W$2:$W$501,$A187,'Use Cases'!$AO$2:$AO$501,"Warning"))</f>
        <v/>
      </c>
    </row>
    <row r="188" customFormat="false" ht="15" hidden="false" customHeight="false" outlineLevel="0" collapsed="false">
      <c r="A188" s="28"/>
      <c r="B188" s="28"/>
      <c r="C188" s="28"/>
      <c r="D188" s="28"/>
      <c r="E188" s="28"/>
      <c r="F188" s="28"/>
      <c r="G188" s="28"/>
      <c r="H188" s="65" t="str">
        <f aca="false">IF($A188="","",COUNTIFS(Inventory!$D:$D,$A188,Inventory!$K:$K,"Open")+COUNTIFS(Inventory!$D:$D,$A188,Inventory!$K:$K,"Unconfirmed"))</f>
        <v/>
      </c>
      <c r="I188" s="65" t="str">
        <f aca="false">IF($A188="","",COUNTIFS('Use Cases'!$W$2:$W$501,$A188)-COUNTIFS('Use Cases'!$W$2:$W$501,$A188,'Use Cases'!$X$2:$X$501,"Closed"))</f>
        <v/>
      </c>
      <c r="J188" s="65" t="str">
        <f aca="false">IF($A188="","",COUNTIFS('Use Cases'!$W$2:$W$501,$A188,'Use Cases'!$AO$2:$AO$501,"Critical")+COUNTIFS('Use Cases'!$W$2:$W$501,$A188,'Use Cases'!$AO$2:$AO$501,"Warning"))</f>
        <v/>
      </c>
    </row>
    <row r="189" customFormat="false" ht="15" hidden="false" customHeight="false" outlineLevel="0" collapsed="false">
      <c r="A189" s="28"/>
      <c r="B189" s="28"/>
      <c r="C189" s="28"/>
      <c r="D189" s="28"/>
      <c r="E189" s="28"/>
      <c r="F189" s="28"/>
      <c r="G189" s="28"/>
      <c r="H189" s="65" t="str">
        <f aca="false">IF($A189="","",COUNTIFS(Inventory!$D:$D,$A189,Inventory!$K:$K,"Open")+COUNTIFS(Inventory!$D:$D,$A189,Inventory!$K:$K,"Unconfirmed"))</f>
        <v/>
      </c>
      <c r="I189" s="65" t="str">
        <f aca="false">IF($A189="","",COUNTIFS('Use Cases'!$W$2:$W$501,$A189)-COUNTIFS('Use Cases'!$W$2:$W$501,$A189,'Use Cases'!$X$2:$X$501,"Closed"))</f>
        <v/>
      </c>
      <c r="J189" s="65" t="str">
        <f aca="false">IF($A189="","",COUNTIFS('Use Cases'!$W$2:$W$501,$A189,'Use Cases'!$AO$2:$AO$501,"Critical")+COUNTIFS('Use Cases'!$W$2:$W$501,$A189,'Use Cases'!$AO$2:$AO$501,"Warning"))</f>
        <v/>
      </c>
    </row>
    <row r="190" customFormat="false" ht="15" hidden="false" customHeight="false" outlineLevel="0" collapsed="false">
      <c r="A190" s="28"/>
      <c r="B190" s="28"/>
      <c r="C190" s="28"/>
      <c r="D190" s="28"/>
      <c r="E190" s="28"/>
      <c r="F190" s="28"/>
      <c r="G190" s="28"/>
      <c r="H190" s="65" t="str">
        <f aca="false">IF($A190="","",COUNTIFS(Inventory!$D:$D,$A190,Inventory!$K:$K,"Open")+COUNTIFS(Inventory!$D:$D,$A190,Inventory!$K:$K,"Unconfirmed"))</f>
        <v/>
      </c>
      <c r="I190" s="65" t="str">
        <f aca="false">IF($A190="","",COUNTIFS('Use Cases'!$W$2:$W$501,$A190)-COUNTIFS('Use Cases'!$W$2:$W$501,$A190,'Use Cases'!$X$2:$X$501,"Closed"))</f>
        <v/>
      </c>
      <c r="J190" s="65" t="str">
        <f aca="false">IF($A190="","",COUNTIFS('Use Cases'!$W$2:$W$501,$A190,'Use Cases'!$AO$2:$AO$501,"Critical")+COUNTIFS('Use Cases'!$W$2:$W$501,$A190,'Use Cases'!$AO$2:$AO$501,"Warning"))</f>
        <v/>
      </c>
    </row>
    <row r="191" customFormat="false" ht="15" hidden="false" customHeight="false" outlineLevel="0" collapsed="false">
      <c r="A191" s="28"/>
      <c r="B191" s="28"/>
      <c r="C191" s="28"/>
      <c r="D191" s="28"/>
      <c r="E191" s="28"/>
      <c r="F191" s="28"/>
      <c r="G191" s="28"/>
      <c r="H191" s="65" t="str">
        <f aca="false">IF($A191="","",COUNTIFS(Inventory!$D:$D,$A191,Inventory!$K:$K,"Open")+COUNTIFS(Inventory!$D:$D,$A191,Inventory!$K:$K,"Unconfirmed"))</f>
        <v/>
      </c>
      <c r="I191" s="65" t="str">
        <f aca="false">IF($A191="","",COUNTIFS('Use Cases'!$W$2:$W$501,$A191)-COUNTIFS('Use Cases'!$W$2:$W$501,$A191,'Use Cases'!$X$2:$X$501,"Closed"))</f>
        <v/>
      </c>
      <c r="J191" s="65" t="str">
        <f aca="false">IF($A191="","",COUNTIFS('Use Cases'!$W$2:$W$501,$A191,'Use Cases'!$AO$2:$AO$501,"Critical")+COUNTIFS('Use Cases'!$W$2:$W$501,$A191,'Use Cases'!$AO$2:$AO$501,"Warning"))</f>
        <v/>
      </c>
    </row>
    <row r="192" customFormat="false" ht="15" hidden="false" customHeight="false" outlineLevel="0" collapsed="false">
      <c r="A192" s="28"/>
      <c r="B192" s="28"/>
      <c r="C192" s="28"/>
      <c r="D192" s="28"/>
      <c r="E192" s="28"/>
      <c r="F192" s="28"/>
      <c r="G192" s="28"/>
      <c r="H192" s="65" t="str">
        <f aca="false">IF($A192="","",COUNTIFS(Inventory!$D:$D,$A192,Inventory!$K:$K,"Open")+COUNTIFS(Inventory!$D:$D,$A192,Inventory!$K:$K,"Unconfirmed"))</f>
        <v/>
      </c>
      <c r="I192" s="65" t="str">
        <f aca="false">IF($A192="","",COUNTIFS('Use Cases'!$W$2:$W$501,$A192)-COUNTIFS('Use Cases'!$W$2:$W$501,$A192,'Use Cases'!$X$2:$X$501,"Closed"))</f>
        <v/>
      </c>
      <c r="J192" s="65" t="str">
        <f aca="false">IF($A192="","",COUNTIFS('Use Cases'!$W$2:$W$501,$A192,'Use Cases'!$AO$2:$AO$501,"Critical")+COUNTIFS('Use Cases'!$W$2:$W$501,$A192,'Use Cases'!$AO$2:$AO$501,"Warning"))</f>
        <v/>
      </c>
    </row>
    <row r="193" customFormat="false" ht="15" hidden="false" customHeight="false" outlineLevel="0" collapsed="false">
      <c r="A193" s="28"/>
      <c r="B193" s="28"/>
      <c r="C193" s="28"/>
      <c r="D193" s="28"/>
      <c r="E193" s="28"/>
      <c r="F193" s="28"/>
      <c r="G193" s="28"/>
      <c r="H193" s="65" t="str">
        <f aca="false">IF($A193="","",COUNTIFS(Inventory!$D:$D,$A193,Inventory!$K:$K,"Open")+COUNTIFS(Inventory!$D:$D,$A193,Inventory!$K:$K,"Unconfirmed"))</f>
        <v/>
      </c>
      <c r="I193" s="65" t="str">
        <f aca="false">IF($A193="","",COUNTIFS('Use Cases'!$W$2:$W$501,$A193)-COUNTIFS('Use Cases'!$W$2:$W$501,$A193,'Use Cases'!$X$2:$X$501,"Closed"))</f>
        <v/>
      </c>
      <c r="J193" s="65" t="str">
        <f aca="false">IF($A193="","",COUNTIFS('Use Cases'!$W$2:$W$501,$A193,'Use Cases'!$AO$2:$AO$501,"Critical")+COUNTIFS('Use Cases'!$W$2:$W$501,$A193,'Use Cases'!$AO$2:$AO$501,"Warning"))</f>
        <v/>
      </c>
    </row>
    <row r="194" customFormat="false" ht="15" hidden="false" customHeight="false" outlineLevel="0" collapsed="false">
      <c r="A194" s="28"/>
      <c r="B194" s="28"/>
      <c r="C194" s="28"/>
      <c r="D194" s="28"/>
      <c r="E194" s="28"/>
      <c r="F194" s="28"/>
      <c r="G194" s="28"/>
      <c r="H194" s="65" t="str">
        <f aca="false">IF($A194="","",COUNTIFS(Inventory!$D:$D,$A194,Inventory!$K:$K,"Open")+COUNTIFS(Inventory!$D:$D,$A194,Inventory!$K:$K,"Unconfirmed"))</f>
        <v/>
      </c>
      <c r="I194" s="65" t="str">
        <f aca="false">IF($A194="","",COUNTIFS('Use Cases'!$W$2:$W$501,$A194)-COUNTIFS('Use Cases'!$W$2:$W$501,$A194,'Use Cases'!$X$2:$X$501,"Closed"))</f>
        <v/>
      </c>
      <c r="J194" s="65" t="str">
        <f aca="false">IF($A194="","",COUNTIFS('Use Cases'!$W$2:$W$501,$A194,'Use Cases'!$AO$2:$AO$501,"Critical")+COUNTIFS('Use Cases'!$W$2:$W$501,$A194,'Use Cases'!$AO$2:$AO$501,"Warning"))</f>
        <v/>
      </c>
    </row>
    <row r="195" customFormat="false" ht="15" hidden="false" customHeight="false" outlineLevel="0" collapsed="false">
      <c r="A195" s="28"/>
      <c r="B195" s="28"/>
      <c r="C195" s="28"/>
      <c r="D195" s="28"/>
      <c r="E195" s="28"/>
      <c r="F195" s="28"/>
      <c r="G195" s="28"/>
      <c r="H195" s="65" t="str">
        <f aca="false">IF($A195="","",COUNTIFS(Inventory!$D:$D,$A195,Inventory!$K:$K,"Open")+COUNTIFS(Inventory!$D:$D,$A195,Inventory!$K:$K,"Unconfirmed"))</f>
        <v/>
      </c>
      <c r="I195" s="65" t="str">
        <f aca="false">IF($A195="","",COUNTIFS('Use Cases'!$W$2:$W$501,$A195)-COUNTIFS('Use Cases'!$W$2:$W$501,$A195,'Use Cases'!$X$2:$X$501,"Closed"))</f>
        <v/>
      </c>
      <c r="J195" s="65" t="str">
        <f aca="false">IF($A195="","",COUNTIFS('Use Cases'!$W$2:$W$501,$A195,'Use Cases'!$AO$2:$AO$501,"Critical")+COUNTIFS('Use Cases'!$W$2:$W$501,$A195,'Use Cases'!$AO$2:$AO$501,"Warning"))</f>
        <v/>
      </c>
    </row>
    <row r="196" customFormat="false" ht="15" hidden="false" customHeight="false" outlineLevel="0" collapsed="false">
      <c r="A196" s="28"/>
      <c r="B196" s="28"/>
      <c r="C196" s="28"/>
      <c r="D196" s="28"/>
      <c r="E196" s="28"/>
      <c r="F196" s="28"/>
      <c r="G196" s="28"/>
      <c r="H196" s="65" t="str">
        <f aca="false">IF($A196="","",COUNTIFS(Inventory!$D:$D,$A196,Inventory!$K:$K,"Open")+COUNTIFS(Inventory!$D:$D,$A196,Inventory!$K:$K,"Unconfirmed"))</f>
        <v/>
      </c>
      <c r="I196" s="65" t="str">
        <f aca="false">IF($A196="","",COUNTIFS('Use Cases'!$W$2:$W$501,$A196)-COUNTIFS('Use Cases'!$W$2:$W$501,$A196,'Use Cases'!$X$2:$X$501,"Closed"))</f>
        <v/>
      </c>
      <c r="J196" s="65" t="str">
        <f aca="false">IF($A196="","",COUNTIFS('Use Cases'!$W$2:$W$501,$A196,'Use Cases'!$AO$2:$AO$501,"Critical")+COUNTIFS('Use Cases'!$W$2:$W$501,$A196,'Use Cases'!$AO$2:$AO$501,"Warning"))</f>
        <v/>
      </c>
    </row>
    <row r="197" customFormat="false" ht="15" hidden="false" customHeight="false" outlineLevel="0" collapsed="false">
      <c r="A197" s="28"/>
      <c r="B197" s="28"/>
      <c r="C197" s="28"/>
      <c r="D197" s="28"/>
      <c r="E197" s="28"/>
      <c r="F197" s="28"/>
      <c r="G197" s="28"/>
      <c r="H197" s="65" t="str">
        <f aca="false">IF($A197="","",COUNTIFS(Inventory!$D:$D,$A197,Inventory!$K:$K,"Open")+COUNTIFS(Inventory!$D:$D,$A197,Inventory!$K:$K,"Unconfirmed"))</f>
        <v/>
      </c>
      <c r="I197" s="65" t="str">
        <f aca="false">IF($A197="","",COUNTIFS('Use Cases'!$W$2:$W$501,$A197)-COUNTIFS('Use Cases'!$W$2:$W$501,$A197,'Use Cases'!$X$2:$X$501,"Closed"))</f>
        <v/>
      </c>
      <c r="J197" s="65" t="str">
        <f aca="false">IF($A197="","",COUNTIFS('Use Cases'!$W$2:$W$501,$A197,'Use Cases'!$AO$2:$AO$501,"Critical")+COUNTIFS('Use Cases'!$W$2:$W$501,$A197,'Use Cases'!$AO$2:$AO$501,"Warning"))</f>
        <v/>
      </c>
    </row>
    <row r="198" customFormat="false" ht="15" hidden="false" customHeight="false" outlineLevel="0" collapsed="false">
      <c r="A198" s="28"/>
      <c r="B198" s="28"/>
      <c r="C198" s="28"/>
      <c r="D198" s="28"/>
      <c r="E198" s="28"/>
      <c r="F198" s="28"/>
      <c r="G198" s="28"/>
      <c r="H198" s="65" t="str">
        <f aca="false">IF($A198="","",COUNTIFS(Inventory!$D:$D,$A198,Inventory!$K:$K,"Open")+COUNTIFS(Inventory!$D:$D,$A198,Inventory!$K:$K,"Unconfirmed"))</f>
        <v/>
      </c>
      <c r="I198" s="65" t="str">
        <f aca="false">IF($A198="","",COUNTIFS('Use Cases'!$W$2:$W$501,$A198)-COUNTIFS('Use Cases'!$W$2:$W$501,$A198,'Use Cases'!$X$2:$X$501,"Closed"))</f>
        <v/>
      </c>
      <c r="J198" s="65" t="str">
        <f aca="false">IF($A198="","",COUNTIFS('Use Cases'!$W$2:$W$501,$A198,'Use Cases'!$AO$2:$AO$501,"Critical")+COUNTIFS('Use Cases'!$W$2:$W$501,$A198,'Use Cases'!$AO$2:$AO$501,"Warning"))</f>
        <v/>
      </c>
    </row>
    <row r="199" customFormat="false" ht="15" hidden="false" customHeight="false" outlineLevel="0" collapsed="false">
      <c r="A199" s="28"/>
      <c r="B199" s="28"/>
      <c r="C199" s="28"/>
      <c r="D199" s="28"/>
      <c r="E199" s="28"/>
      <c r="F199" s="28"/>
      <c r="G199" s="28"/>
      <c r="H199" s="65" t="str">
        <f aca="false">IF($A199="","",COUNTIFS(Inventory!$D:$D,$A199,Inventory!$K:$K,"Open")+COUNTIFS(Inventory!$D:$D,$A199,Inventory!$K:$K,"Unconfirmed"))</f>
        <v/>
      </c>
      <c r="I199" s="65" t="str">
        <f aca="false">IF($A199="","",COUNTIFS('Use Cases'!$W$2:$W$501,$A199)-COUNTIFS('Use Cases'!$W$2:$W$501,$A199,'Use Cases'!$X$2:$X$501,"Closed"))</f>
        <v/>
      </c>
      <c r="J199" s="65" t="str">
        <f aca="false">IF($A199="","",COUNTIFS('Use Cases'!$W$2:$W$501,$A199,'Use Cases'!$AO$2:$AO$501,"Critical")+COUNTIFS('Use Cases'!$W$2:$W$501,$A199,'Use Cases'!$AO$2:$AO$501,"Warning"))</f>
        <v/>
      </c>
    </row>
    <row r="200" customFormat="false" ht="15" hidden="false" customHeight="false" outlineLevel="0" collapsed="false">
      <c r="A200" s="28"/>
      <c r="B200" s="28"/>
      <c r="C200" s="28"/>
      <c r="D200" s="28"/>
      <c r="E200" s="28"/>
      <c r="F200" s="28"/>
      <c r="G200" s="28"/>
      <c r="H200" s="65" t="str">
        <f aca="false">IF($A200="","",COUNTIFS(Inventory!$D:$D,$A200,Inventory!$K:$K,"Open")+COUNTIFS(Inventory!$D:$D,$A200,Inventory!$K:$K,"Unconfirmed"))</f>
        <v/>
      </c>
      <c r="I200" s="65" t="str">
        <f aca="false">IF($A200="","",COUNTIFS('Use Cases'!$W$2:$W$501,$A200)-COUNTIFS('Use Cases'!$W$2:$W$501,$A200,'Use Cases'!$X$2:$X$501,"Closed"))</f>
        <v/>
      </c>
      <c r="J200" s="65" t="str">
        <f aca="false">IF($A200="","",COUNTIFS('Use Cases'!$W$2:$W$501,$A200,'Use Cases'!$AO$2:$AO$501,"Critical")+COUNTIFS('Use Cases'!$W$2:$W$501,$A200,'Use Cases'!$AO$2:$AO$501,"Warning"))</f>
        <v/>
      </c>
    </row>
    <row r="201" customFormat="false" ht="15" hidden="false" customHeight="false" outlineLevel="0" collapsed="false">
      <c r="A201" s="28"/>
      <c r="B201" s="28"/>
      <c r="C201" s="28"/>
      <c r="D201" s="28"/>
      <c r="E201" s="28"/>
      <c r="F201" s="28"/>
      <c r="G201" s="28"/>
      <c r="H201" s="65" t="str">
        <f aca="false">IF($A201="","",COUNTIFS(Inventory!$D:$D,$A201,Inventory!$K:$K,"Open")+COUNTIFS(Inventory!$D:$D,$A201,Inventory!$K:$K,"Unconfirmed"))</f>
        <v/>
      </c>
      <c r="I201" s="65" t="str">
        <f aca="false">IF($A201="","",COUNTIFS('Use Cases'!$W$2:$W$501,$A201)-COUNTIFS('Use Cases'!$W$2:$W$501,$A201,'Use Cases'!$X$2:$X$501,"Closed"))</f>
        <v/>
      </c>
      <c r="J201" s="65" t="str">
        <f aca="false">IF($A201="","",COUNTIFS('Use Cases'!$W$2:$W$501,$A201,'Use Cases'!$AO$2:$AO$501,"Critical")+COUNTIFS('Use Cases'!$W$2:$W$501,$A201,'Use Cases'!$AO$2:$AO$501,"Warning"))</f>
        <v/>
      </c>
    </row>
  </sheetData>
  <autoFilter ref="A1:J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1"/>
  </cols>
  <sheetData>
    <row r="1" customFormat="false" ht="30" hidden="false" customHeight="true" outlineLevel="0" collapsed="false">
      <c r="A1" s="61" t="s">
        <v>436</v>
      </c>
      <c r="B1" s="61" t="s">
        <v>458</v>
      </c>
      <c r="C1" s="61" t="s">
        <v>459</v>
      </c>
      <c r="D1" s="61" t="s">
        <v>460</v>
      </c>
      <c r="E1" s="61" t="s">
        <v>461</v>
      </c>
      <c r="F1" s="61" t="s">
        <v>340</v>
      </c>
      <c r="G1" s="61" t="s">
        <v>462</v>
      </c>
    </row>
    <row r="2" customFormat="false" ht="15" hidden="false" customHeight="false" outlineLevel="0" collapsed="false">
      <c r="A2" s="28" t="s">
        <v>291</v>
      </c>
      <c r="B2" s="28" t="s">
        <v>463</v>
      </c>
      <c r="C2" s="28" t="s">
        <v>464</v>
      </c>
      <c r="D2" s="28" t="s">
        <v>289</v>
      </c>
      <c r="E2" s="28" t="s">
        <v>465</v>
      </c>
      <c r="F2" s="28" t="s">
        <v>292</v>
      </c>
      <c r="G2" s="63" t="n">
        <v>46273</v>
      </c>
    </row>
    <row r="3" customFormat="false" ht="15" hidden="false" customHeight="false" outlineLevel="0" collapsed="false">
      <c r="A3" s="28" t="s">
        <v>298</v>
      </c>
      <c r="B3" s="28" t="s">
        <v>466</v>
      </c>
      <c r="C3" s="28" t="s">
        <v>467</v>
      </c>
      <c r="D3" s="28" t="s">
        <v>468</v>
      </c>
      <c r="E3" s="28" t="s">
        <v>469</v>
      </c>
      <c r="F3" s="28" t="s">
        <v>299</v>
      </c>
      <c r="G3" s="63" t="n">
        <v>46276</v>
      </c>
    </row>
    <row r="4" customFormat="false" ht="15" hidden="false" customHeight="false" outlineLevel="0" collapsed="false">
      <c r="A4" s="28" t="s">
        <v>185</v>
      </c>
      <c r="B4" s="28" t="s">
        <v>470</v>
      </c>
      <c r="C4" s="28" t="s">
        <v>471</v>
      </c>
      <c r="D4" s="28" t="s">
        <v>472</v>
      </c>
      <c r="E4" s="28" t="s">
        <v>473</v>
      </c>
      <c r="F4" s="28" t="s">
        <v>307</v>
      </c>
      <c r="G4" s="63" t="n">
        <v>46278</v>
      </c>
    </row>
    <row r="5" customFormat="false" ht="15" hidden="false" customHeight="false" outlineLevel="0" collapsed="false">
      <c r="A5" s="28" t="s">
        <v>306</v>
      </c>
      <c r="B5" s="28" t="s">
        <v>474</v>
      </c>
      <c r="C5" s="28" t="s">
        <v>475</v>
      </c>
      <c r="D5" s="28" t="s">
        <v>277</v>
      </c>
      <c r="E5" s="28" t="s">
        <v>476</v>
      </c>
      <c r="F5" s="28" t="s">
        <v>299</v>
      </c>
      <c r="G5" s="63" t="n">
        <v>46287</v>
      </c>
    </row>
    <row r="6" customFormat="false" ht="15" hidden="false" customHeight="false" outlineLevel="0" collapsed="false">
      <c r="A6" s="28" t="s">
        <v>201</v>
      </c>
      <c r="B6" s="28" t="s">
        <v>477</v>
      </c>
      <c r="C6" s="28" t="s">
        <v>471</v>
      </c>
      <c r="D6" s="28" t="s">
        <v>205</v>
      </c>
      <c r="E6" s="28"/>
      <c r="F6" s="28" t="s">
        <v>292</v>
      </c>
      <c r="G6" s="63" t="n">
        <v>46288</v>
      </c>
    </row>
    <row r="7" customFormat="false" ht="15" hidden="false" customHeight="false" outlineLevel="0" collapsed="false">
      <c r="A7" s="28" t="s">
        <v>219</v>
      </c>
      <c r="B7" s="28" t="s">
        <v>478</v>
      </c>
      <c r="C7" s="28" t="s">
        <v>471</v>
      </c>
      <c r="D7" s="28" t="s">
        <v>479</v>
      </c>
      <c r="E7" s="28"/>
      <c r="F7" s="28" t="s">
        <v>292</v>
      </c>
      <c r="G7" s="63" t="n">
        <v>46286</v>
      </c>
    </row>
    <row r="8" customFormat="false" ht="15" hidden="false" customHeight="false" outlineLevel="0" collapsed="false">
      <c r="A8" s="28"/>
      <c r="B8" s="28"/>
      <c r="C8" s="28"/>
      <c r="D8" s="28"/>
      <c r="E8" s="28"/>
      <c r="F8" s="28"/>
      <c r="G8" s="63"/>
    </row>
    <row r="9" customFormat="false" ht="15" hidden="false" customHeight="false" outlineLevel="0" collapsed="false">
      <c r="A9" s="28"/>
      <c r="B9" s="28"/>
      <c r="C9" s="28"/>
      <c r="D9" s="28"/>
      <c r="E9" s="28"/>
      <c r="F9" s="28"/>
      <c r="G9" s="63"/>
    </row>
    <row r="10" customFormat="false" ht="15" hidden="false" customHeight="false" outlineLevel="0" collapsed="false">
      <c r="A10" s="28"/>
      <c r="B10" s="28"/>
      <c r="C10" s="28"/>
      <c r="D10" s="28"/>
      <c r="E10" s="28"/>
      <c r="F10" s="28"/>
      <c r="G10" s="63"/>
    </row>
    <row r="11" customFormat="false" ht="15" hidden="false" customHeight="false" outlineLevel="0" collapsed="false">
      <c r="A11" s="28"/>
      <c r="B11" s="28"/>
      <c r="C11" s="28"/>
      <c r="D11" s="28"/>
      <c r="E11" s="28"/>
      <c r="F11" s="28"/>
      <c r="G11" s="63"/>
    </row>
    <row r="12" customFormat="false" ht="15" hidden="false" customHeight="false" outlineLevel="0" collapsed="false">
      <c r="A12" s="28"/>
      <c r="B12" s="28"/>
      <c r="C12" s="28"/>
      <c r="D12" s="28"/>
      <c r="E12" s="28"/>
      <c r="F12" s="28"/>
      <c r="G12" s="63"/>
    </row>
    <row r="13" customFormat="false" ht="15" hidden="false" customHeight="false" outlineLevel="0" collapsed="false">
      <c r="A13" s="28"/>
      <c r="B13" s="28"/>
      <c r="C13" s="28"/>
      <c r="D13" s="28"/>
      <c r="E13" s="28"/>
      <c r="F13" s="28"/>
      <c r="G13" s="63"/>
    </row>
    <row r="14" customFormat="false" ht="15" hidden="false" customHeight="false" outlineLevel="0" collapsed="false">
      <c r="A14" s="28"/>
      <c r="B14" s="28"/>
      <c r="C14" s="28"/>
      <c r="D14" s="28"/>
      <c r="E14" s="28"/>
      <c r="F14" s="28"/>
      <c r="G14" s="63"/>
    </row>
    <row r="15" customFormat="false" ht="15" hidden="false" customHeight="false" outlineLevel="0" collapsed="false">
      <c r="A15" s="28"/>
      <c r="B15" s="28"/>
      <c r="C15" s="28"/>
      <c r="D15" s="28"/>
      <c r="E15" s="28"/>
      <c r="F15" s="28"/>
      <c r="G15" s="63"/>
    </row>
    <row r="16" customFormat="false" ht="15" hidden="false" customHeight="false" outlineLevel="0" collapsed="false">
      <c r="A16" s="28"/>
      <c r="B16" s="28"/>
      <c r="C16" s="28"/>
      <c r="D16" s="28"/>
      <c r="E16" s="28"/>
      <c r="F16" s="28"/>
      <c r="G16" s="63"/>
    </row>
    <row r="17" customFormat="false" ht="15" hidden="false" customHeight="false" outlineLevel="0" collapsed="false">
      <c r="A17" s="28"/>
      <c r="B17" s="28"/>
      <c r="C17" s="28"/>
      <c r="D17" s="28"/>
      <c r="E17" s="28"/>
      <c r="F17" s="28"/>
      <c r="G17" s="63"/>
    </row>
    <row r="18" customFormat="false" ht="15" hidden="false" customHeight="false" outlineLevel="0" collapsed="false">
      <c r="A18" s="28"/>
      <c r="B18" s="28"/>
      <c r="C18" s="28"/>
      <c r="D18" s="28"/>
      <c r="E18" s="28"/>
      <c r="F18" s="28"/>
      <c r="G18" s="63"/>
    </row>
    <row r="19" customFormat="false" ht="15" hidden="false" customHeight="false" outlineLevel="0" collapsed="false">
      <c r="A19" s="28"/>
      <c r="B19" s="28"/>
      <c r="C19" s="28"/>
      <c r="D19" s="28"/>
      <c r="E19" s="28"/>
      <c r="F19" s="28"/>
      <c r="G19" s="63"/>
    </row>
    <row r="20" customFormat="false" ht="15" hidden="false" customHeight="false" outlineLevel="0" collapsed="false">
      <c r="A20" s="28"/>
      <c r="B20" s="28"/>
      <c r="C20" s="28"/>
      <c r="D20" s="28"/>
      <c r="E20" s="28"/>
      <c r="F20" s="28"/>
      <c r="G20" s="63"/>
    </row>
    <row r="21" customFormat="false" ht="15" hidden="false" customHeight="false" outlineLevel="0" collapsed="false">
      <c r="A21" s="28"/>
      <c r="B21" s="28"/>
      <c r="C21" s="28"/>
      <c r="D21" s="28"/>
      <c r="E21" s="28"/>
      <c r="F21" s="28"/>
      <c r="G21" s="63"/>
    </row>
    <row r="22" customFormat="false" ht="15" hidden="false" customHeight="false" outlineLevel="0" collapsed="false">
      <c r="A22" s="28"/>
      <c r="B22" s="28"/>
      <c r="C22" s="28"/>
      <c r="D22" s="28"/>
      <c r="E22" s="28"/>
      <c r="F22" s="28"/>
      <c r="G22" s="63"/>
    </row>
    <row r="23" customFormat="false" ht="15" hidden="false" customHeight="false" outlineLevel="0" collapsed="false">
      <c r="A23" s="28"/>
      <c r="B23" s="28"/>
      <c r="C23" s="28"/>
      <c r="D23" s="28"/>
      <c r="E23" s="28"/>
      <c r="F23" s="28"/>
      <c r="G23" s="63"/>
    </row>
    <row r="24" customFormat="false" ht="15" hidden="false" customHeight="false" outlineLevel="0" collapsed="false">
      <c r="A24" s="28"/>
      <c r="B24" s="28"/>
      <c r="C24" s="28"/>
      <c r="D24" s="28"/>
      <c r="E24" s="28"/>
      <c r="F24" s="28"/>
      <c r="G24" s="63"/>
    </row>
    <row r="25" customFormat="false" ht="15" hidden="false" customHeight="false" outlineLevel="0" collapsed="false">
      <c r="A25" s="28"/>
      <c r="B25" s="28"/>
      <c r="C25" s="28"/>
      <c r="D25" s="28"/>
      <c r="E25" s="28"/>
      <c r="F25" s="28"/>
      <c r="G25" s="63"/>
    </row>
    <row r="26" customFormat="false" ht="15" hidden="false" customHeight="false" outlineLevel="0" collapsed="false">
      <c r="A26" s="28"/>
      <c r="B26" s="28"/>
      <c r="C26" s="28"/>
      <c r="D26" s="28"/>
      <c r="E26" s="28"/>
      <c r="F26" s="28"/>
      <c r="G26" s="63"/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63"/>
    </row>
    <row r="28" customFormat="false" ht="15" hidden="false" customHeight="false" outlineLevel="0" collapsed="false">
      <c r="A28" s="28"/>
      <c r="B28" s="28"/>
      <c r="C28" s="28"/>
      <c r="D28" s="28"/>
      <c r="E28" s="28"/>
      <c r="F28" s="28"/>
      <c r="G28" s="63"/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63"/>
    </row>
    <row r="30" customFormat="false" ht="15" hidden="false" customHeight="false" outlineLevel="0" collapsed="false">
      <c r="A30" s="28"/>
      <c r="B30" s="28"/>
      <c r="C30" s="28"/>
      <c r="D30" s="28"/>
      <c r="E30" s="28"/>
      <c r="F30" s="28"/>
      <c r="G30" s="63"/>
    </row>
    <row r="31" customFormat="false" ht="15" hidden="false" customHeight="false" outlineLevel="0" collapsed="false">
      <c r="A31" s="28"/>
      <c r="B31" s="28"/>
      <c r="C31" s="28"/>
      <c r="D31" s="28"/>
      <c r="E31" s="28"/>
      <c r="F31" s="28"/>
      <c r="G31" s="63"/>
    </row>
    <row r="32" customFormat="false" ht="15" hidden="false" customHeight="false" outlineLevel="0" collapsed="false">
      <c r="A32" s="28"/>
      <c r="B32" s="28"/>
      <c r="C32" s="28"/>
      <c r="D32" s="28"/>
      <c r="E32" s="28"/>
      <c r="F32" s="28"/>
      <c r="G32" s="63"/>
    </row>
    <row r="33" customFormat="false" ht="15" hidden="false" customHeight="false" outlineLevel="0" collapsed="false">
      <c r="A33" s="28"/>
      <c r="B33" s="28"/>
      <c r="C33" s="28"/>
      <c r="D33" s="28"/>
      <c r="E33" s="28"/>
      <c r="F33" s="28"/>
      <c r="G33" s="63"/>
    </row>
    <row r="34" customFormat="false" ht="15" hidden="false" customHeight="false" outlineLevel="0" collapsed="false">
      <c r="A34" s="28"/>
      <c r="B34" s="28"/>
      <c r="C34" s="28"/>
      <c r="D34" s="28"/>
      <c r="E34" s="28"/>
      <c r="F34" s="28"/>
      <c r="G34" s="63"/>
    </row>
    <row r="35" customFormat="false" ht="15" hidden="false" customHeight="false" outlineLevel="0" collapsed="false">
      <c r="A35" s="28"/>
      <c r="B35" s="28"/>
      <c r="C35" s="28"/>
      <c r="D35" s="28"/>
      <c r="E35" s="28"/>
      <c r="F35" s="28"/>
      <c r="G35" s="63"/>
    </row>
    <row r="36" customFormat="false" ht="15" hidden="false" customHeight="false" outlineLevel="0" collapsed="false">
      <c r="A36" s="28"/>
      <c r="B36" s="28"/>
      <c r="C36" s="28"/>
      <c r="D36" s="28"/>
      <c r="E36" s="28"/>
      <c r="F36" s="28"/>
      <c r="G36" s="63"/>
    </row>
    <row r="37" customFormat="false" ht="15" hidden="false" customHeight="false" outlineLevel="0" collapsed="false">
      <c r="A37" s="28"/>
      <c r="B37" s="28"/>
      <c r="C37" s="28"/>
      <c r="D37" s="28"/>
      <c r="E37" s="28"/>
      <c r="F37" s="28"/>
      <c r="G37" s="63"/>
    </row>
    <row r="38" customFormat="false" ht="15" hidden="false" customHeight="false" outlineLevel="0" collapsed="false">
      <c r="A38" s="28"/>
      <c r="B38" s="28"/>
      <c r="C38" s="28"/>
      <c r="D38" s="28"/>
      <c r="E38" s="28"/>
      <c r="F38" s="28"/>
      <c r="G38" s="63"/>
    </row>
    <row r="39" customFormat="false" ht="15" hidden="false" customHeight="false" outlineLevel="0" collapsed="false">
      <c r="A39" s="28"/>
      <c r="B39" s="28"/>
      <c r="C39" s="28"/>
      <c r="D39" s="28"/>
      <c r="E39" s="28"/>
      <c r="F39" s="28"/>
      <c r="G39" s="63"/>
    </row>
    <row r="40" customFormat="false" ht="15" hidden="false" customHeight="false" outlineLevel="0" collapsed="false">
      <c r="A40" s="28"/>
      <c r="B40" s="28"/>
      <c r="C40" s="28"/>
      <c r="D40" s="28"/>
      <c r="E40" s="28"/>
      <c r="F40" s="28"/>
      <c r="G40" s="63"/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63"/>
    </row>
    <row r="42" customFormat="false" ht="15" hidden="false" customHeight="false" outlineLevel="0" collapsed="false">
      <c r="A42" s="28"/>
      <c r="B42" s="28"/>
      <c r="C42" s="28"/>
      <c r="D42" s="28"/>
      <c r="E42" s="28"/>
      <c r="F42" s="28"/>
      <c r="G42" s="63"/>
    </row>
    <row r="43" customFormat="false" ht="15" hidden="false" customHeight="false" outlineLevel="0" collapsed="false">
      <c r="A43" s="28"/>
      <c r="B43" s="28"/>
      <c r="C43" s="28"/>
      <c r="D43" s="28"/>
      <c r="E43" s="28"/>
      <c r="F43" s="28"/>
      <c r="G43" s="63"/>
    </row>
    <row r="44" customFormat="false" ht="15" hidden="false" customHeight="false" outlineLevel="0" collapsed="false">
      <c r="A44" s="28"/>
      <c r="B44" s="28"/>
      <c r="C44" s="28"/>
      <c r="D44" s="28"/>
      <c r="E44" s="28"/>
      <c r="F44" s="28"/>
      <c r="G44" s="63"/>
    </row>
    <row r="45" customFormat="false" ht="15" hidden="false" customHeight="false" outlineLevel="0" collapsed="false">
      <c r="A45" s="28"/>
      <c r="B45" s="28"/>
      <c r="C45" s="28"/>
      <c r="D45" s="28"/>
      <c r="E45" s="28"/>
      <c r="F45" s="28"/>
      <c r="G45" s="63"/>
    </row>
    <row r="46" customFormat="false" ht="15" hidden="false" customHeight="false" outlineLevel="0" collapsed="false">
      <c r="A46" s="28"/>
      <c r="B46" s="28"/>
      <c r="C46" s="28"/>
      <c r="D46" s="28"/>
      <c r="E46" s="28"/>
      <c r="F46" s="28"/>
      <c r="G46" s="63"/>
    </row>
    <row r="47" customFormat="false" ht="15" hidden="false" customHeight="false" outlineLevel="0" collapsed="false">
      <c r="A47" s="28"/>
      <c r="B47" s="28"/>
      <c r="C47" s="28"/>
      <c r="D47" s="28"/>
      <c r="E47" s="28"/>
      <c r="F47" s="28"/>
      <c r="G47" s="63"/>
    </row>
    <row r="48" customFormat="false" ht="15" hidden="false" customHeight="false" outlineLevel="0" collapsed="false">
      <c r="A48" s="28"/>
      <c r="B48" s="28"/>
      <c r="C48" s="28"/>
      <c r="D48" s="28"/>
      <c r="E48" s="28"/>
      <c r="F48" s="28"/>
      <c r="G48" s="63"/>
    </row>
    <row r="49" customFormat="false" ht="15" hidden="false" customHeight="false" outlineLevel="0" collapsed="false">
      <c r="A49" s="28"/>
      <c r="B49" s="28"/>
      <c r="C49" s="28"/>
      <c r="D49" s="28"/>
      <c r="E49" s="28"/>
      <c r="F49" s="28"/>
      <c r="G49" s="63"/>
    </row>
    <row r="50" customFormat="false" ht="15" hidden="false" customHeight="false" outlineLevel="0" collapsed="false">
      <c r="A50" s="28"/>
      <c r="B50" s="28"/>
      <c r="C50" s="28"/>
      <c r="D50" s="28"/>
      <c r="E50" s="28"/>
      <c r="F50" s="28"/>
      <c r="G50" s="63"/>
    </row>
    <row r="51" customFormat="false" ht="15" hidden="false" customHeight="false" outlineLevel="0" collapsed="false">
      <c r="A51" s="28"/>
      <c r="B51" s="28"/>
      <c r="C51" s="28"/>
      <c r="D51" s="28"/>
      <c r="E51" s="28"/>
      <c r="F51" s="28"/>
      <c r="G51" s="63"/>
    </row>
    <row r="52" customFormat="false" ht="15" hidden="false" customHeight="false" outlineLevel="0" collapsed="false">
      <c r="A52" s="28"/>
      <c r="B52" s="28"/>
      <c r="C52" s="28"/>
      <c r="D52" s="28"/>
      <c r="E52" s="28"/>
      <c r="F52" s="28"/>
      <c r="G52" s="63"/>
    </row>
    <row r="53" customFormat="false" ht="15" hidden="false" customHeight="false" outlineLevel="0" collapsed="false">
      <c r="A53" s="28"/>
      <c r="B53" s="28"/>
      <c r="C53" s="28"/>
      <c r="D53" s="28"/>
      <c r="E53" s="28"/>
      <c r="F53" s="28"/>
      <c r="G53" s="63"/>
    </row>
    <row r="54" customFormat="false" ht="15" hidden="false" customHeight="false" outlineLevel="0" collapsed="false">
      <c r="A54" s="28"/>
      <c r="B54" s="28"/>
      <c r="C54" s="28"/>
      <c r="D54" s="28"/>
      <c r="E54" s="28"/>
      <c r="F54" s="28"/>
      <c r="G54" s="63"/>
    </row>
    <row r="55" customFormat="false" ht="15" hidden="false" customHeight="false" outlineLevel="0" collapsed="false">
      <c r="A55" s="28"/>
      <c r="B55" s="28"/>
      <c r="C55" s="28"/>
      <c r="D55" s="28"/>
      <c r="E55" s="28"/>
      <c r="F55" s="28"/>
      <c r="G55" s="63"/>
    </row>
    <row r="56" customFormat="false" ht="15" hidden="false" customHeight="false" outlineLevel="0" collapsed="false">
      <c r="A56" s="28"/>
      <c r="B56" s="28"/>
      <c r="C56" s="28"/>
      <c r="D56" s="28"/>
      <c r="E56" s="28"/>
      <c r="F56" s="28"/>
      <c r="G56" s="63"/>
    </row>
    <row r="57" customFormat="false" ht="15" hidden="false" customHeight="false" outlineLevel="0" collapsed="false">
      <c r="A57" s="28"/>
      <c r="B57" s="28"/>
      <c r="C57" s="28"/>
      <c r="D57" s="28"/>
      <c r="E57" s="28"/>
      <c r="F57" s="28"/>
      <c r="G57" s="63"/>
    </row>
    <row r="58" customFormat="false" ht="15" hidden="false" customHeight="false" outlineLevel="0" collapsed="false">
      <c r="A58" s="28"/>
      <c r="B58" s="28"/>
      <c r="C58" s="28"/>
      <c r="D58" s="28"/>
      <c r="E58" s="28"/>
      <c r="F58" s="28"/>
      <c r="G58" s="63"/>
    </row>
    <row r="59" customFormat="false" ht="15" hidden="false" customHeight="false" outlineLevel="0" collapsed="false">
      <c r="A59" s="28"/>
      <c r="B59" s="28"/>
      <c r="C59" s="28"/>
      <c r="D59" s="28"/>
      <c r="E59" s="28"/>
      <c r="F59" s="28"/>
      <c r="G59" s="63"/>
    </row>
    <row r="60" customFormat="false" ht="15" hidden="false" customHeight="false" outlineLevel="0" collapsed="false">
      <c r="A60" s="28"/>
      <c r="B60" s="28"/>
      <c r="C60" s="28"/>
      <c r="D60" s="28"/>
      <c r="E60" s="28"/>
      <c r="F60" s="28"/>
      <c r="G60" s="63"/>
    </row>
    <row r="61" customFormat="false" ht="15" hidden="false" customHeight="false" outlineLevel="0" collapsed="false">
      <c r="A61" s="28"/>
      <c r="B61" s="28"/>
      <c r="C61" s="28"/>
      <c r="D61" s="28"/>
      <c r="E61" s="28"/>
      <c r="F61" s="28"/>
      <c r="G61" s="63"/>
    </row>
    <row r="62" customFormat="false" ht="15" hidden="false" customHeight="false" outlineLevel="0" collapsed="false">
      <c r="A62" s="28"/>
      <c r="B62" s="28"/>
      <c r="C62" s="28"/>
      <c r="D62" s="28"/>
      <c r="E62" s="28"/>
      <c r="F62" s="28"/>
      <c r="G62" s="63"/>
    </row>
    <row r="63" customFormat="false" ht="15" hidden="false" customHeight="false" outlineLevel="0" collapsed="false">
      <c r="A63" s="28"/>
      <c r="B63" s="28"/>
      <c r="C63" s="28"/>
      <c r="D63" s="28"/>
      <c r="E63" s="28"/>
      <c r="F63" s="28"/>
      <c r="G63" s="63"/>
    </row>
    <row r="64" customFormat="false" ht="15" hidden="false" customHeight="false" outlineLevel="0" collapsed="false">
      <c r="A64" s="28"/>
      <c r="B64" s="28"/>
      <c r="C64" s="28"/>
      <c r="D64" s="28"/>
      <c r="E64" s="28"/>
      <c r="F64" s="28"/>
      <c r="G64" s="63"/>
    </row>
    <row r="65" customFormat="false" ht="15" hidden="false" customHeight="false" outlineLevel="0" collapsed="false">
      <c r="A65" s="28"/>
      <c r="B65" s="28"/>
      <c r="C65" s="28"/>
      <c r="D65" s="28"/>
      <c r="E65" s="28"/>
      <c r="F65" s="28"/>
      <c r="G65" s="63"/>
    </row>
    <row r="66" customFormat="false" ht="15" hidden="false" customHeight="false" outlineLevel="0" collapsed="false">
      <c r="A66" s="28"/>
      <c r="B66" s="28"/>
      <c r="C66" s="28"/>
      <c r="D66" s="28"/>
      <c r="E66" s="28"/>
      <c r="F66" s="28"/>
      <c r="G66" s="63"/>
    </row>
    <row r="67" customFormat="false" ht="15" hidden="false" customHeight="false" outlineLevel="0" collapsed="false">
      <c r="A67" s="28"/>
      <c r="B67" s="28"/>
      <c r="C67" s="28"/>
      <c r="D67" s="28"/>
      <c r="E67" s="28"/>
      <c r="F67" s="28"/>
      <c r="G67" s="63"/>
    </row>
    <row r="68" customFormat="false" ht="15" hidden="false" customHeight="false" outlineLevel="0" collapsed="false">
      <c r="A68" s="28"/>
      <c r="B68" s="28"/>
      <c r="C68" s="28"/>
      <c r="D68" s="28"/>
      <c r="E68" s="28"/>
      <c r="F68" s="28"/>
      <c r="G68" s="63"/>
    </row>
    <row r="69" customFormat="false" ht="15" hidden="false" customHeight="false" outlineLevel="0" collapsed="false">
      <c r="A69" s="28"/>
      <c r="B69" s="28"/>
      <c r="C69" s="28"/>
      <c r="D69" s="28"/>
      <c r="E69" s="28"/>
      <c r="F69" s="28"/>
      <c r="G69" s="63"/>
    </row>
    <row r="70" customFormat="false" ht="15" hidden="false" customHeight="false" outlineLevel="0" collapsed="false">
      <c r="A70" s="28"/>
      <c r="B70" s="28"/>
      <c r="C70" s="28"/>
      <c r="D70" s="28"/>
      <c r="E70" s="28"/>
      <c r="F70" s="28"/>
      <c r="G70" s="63"/>
    </row>
    <row r="71" customFormat="false" ht="15" hidden="false" customHeight="false" outlineLevel="0" collapsed="false">
      <c r="A71" s="28"/>
      <c r="B71" s="28"/>
      <c r="C71" s="28"/>
      <c r="D71" s="28"/>
      <c r="E71" s="28"/>
      <c r="F71" s="28"/>
      <c r="G71" s="63"/>
    </row>
    <row r="72" customFormat="false" ht="15" hidden="false" customHeight="false" outlineLevel="0" collapsed="false">
      <c r="A72" s="28"/>
      <c r="B72" s="28"/>
      <c r="C72" s="28"/>
      <c r="D72" s="28"/>
      <c r="E72" s="28"/>
      <c r="F72" s="28"/>
      <c r="G72" s="63"/>
    </row>
    <row r="73" customFormat="false" ht="15" hidden="false" customHeight="false" outlineLevel="0" collapsed="false">
      <c r="A73" s="28"/>
      <c r="B73" s="28"/>
      <c r="C73" s="28"/>
      <c r="D73" s="28"/>
      <c r="E73" s="28"/>
      <c r="F73" s="28"/>
      <c r="G73" s="63"/>
    </row>
    <row r="74" customFormat="false" ht="15" hidden="false" customHeight="false" outlineLevel="0" collapsed="false">
      <c r="A74" s="28"/>
      <c r="B74" s="28"/>
      <c r="C74" s="28"/>
      <c r="D74" s="28"/>
      <c r="E74" s="28"/>
      <c r="F74" s="28"/>
      <c r="G74" s="63"/>
    </row>
    <row r="75" customFormat="false" ht="15" hidden="false" customHeight="false" outlineLevel="0" collapsed="false">
      <c r="A75" s="28"/>
      <c r="B75" s="28"/>
      <c r="C75" s="28"/>
      <c r="D75" s="28"/>
      <c r="E75" s="28"/>
      <c r="F75" s="28"/>
      <c r="G75" s="63"/>
    </row>
    <row r="76" customFormat="false" ht="15" hidden="false" customHeight="false" outlineLevel="0" collapsed="false">
      <c r="A76" s="28"/>
      <c r="B76" s="28"/>
      <c r="C76" s="28"/>
      <c r="D76" s="28"/>
      <c r="E76" s="28"/>
      <c r="F76" s="28"/>
      <c r="G76" s="63"/>
    </row>
    <row r="77" customFormat="false" ht="15" hidden="false" customHeight="false" outlineLevel="0" collapsed="false">
      <c r="A77" s="28"/>
      <c r="B77" s="28"/>
      <c r="C77" s="28"/>
      <c r="D77" s="28"/>
      <c r="E77" s="28"/>
      <c r="F77" s="28"/>
      <c r="G77" s="63"/>
    </row>
    <row r="78" customFormat="false" ht="15" hidden="false" customHeight="false" outlineLevel="0" collapsed="false">
      <c r="A78" s="28"/>
      <c r="B78" s="28"/>
      <c r="C78" s="28"/>
      <c r="D78" s="28"/>
      <c r="E78" s="28"/>
      <c r="F78" s="28"/>
      <c r="G78" s="63"/>
    </row>
    <row r="79" customFormat="false" ht="15" hidden="false" customHeight="false" outlineLevel="0" collapsed="false">
      <c r="A79" s="28"/>
      <c r="B79" s="28"/>
      <c r="C79" s="28"/>
      <c r="D79" s="28"/>
      <c r="E79" s="28"/>
      <c r="F79" s="28"/>
      <c r="G79" s="63"/>
    </row>
    <row r="80" customFormat="false" ht="15" hidden="false" customHeight="false" outlineLevel="0" collapsed="false">
      <c r="A80" s="28"/>
      <c r="B80" s="28"/>
      <c r="C80" s="28"/>
      <c r="D80" s="28"/>
      <c r="E80" s="28"/>
      <c r="F80" s="28"/>
      <c r="G80" s="63"/>
    </row>
    <row r="81" customFormat="false" ht="15" hidden="false" customHeight="false" outlineLevel="0" collapsed="false">
      <c r="A81" s="28"/>
      <c r="B81" s="28"/>
      <c r="C81" s="28"/>
      <c r="D81" s="28"/>
      <c r="E81" s="28"/>
      <c r="F81" s="28"/>
      <c r="G81" s="63"/>
    </row>
    <row r="82" customFormat="false" ht="15" hidden="false" customHeight="false" outlineLevel="0" collapsed="false">
      <c r="A82" s="28"/>
      <c r="B82" s="28"/>
      <c r="C82" s="28"/>
      <c r="D82" s="28"/>
      <c r="E82" s="28"/>
      <c r="F82" s="28"/>
      <c r="G82" s="63"/>
    </row>
    <row r="83" customFormat="false" ht="15" hidden="false" customHeight="false" outlineLevel="0" collapsed="false">
      <c r="A83" s="28"/>
      <c r="B83" s="28"/>
      <c r="C83" s="28"/>
      <c r="D83" s="28"/>
      <c r="E83" s="28"/>
      <c r="F83" s="28"/>
      <c r="G83" s="63"/>
    </row>
    <row r="84" customFormat="false" ht="15" hidden="false" customHeight="false" outlineLevel="0" collapsed="false">
      <c r="A84" s="28"/>
      <c r="B84" s="28"/>
      <c r="C84" s="28"/>
      <c r="D84" s="28"/>
      <c r="E84" s="28"/>
      <c r="F84" s="28"/>
      <c r="G84" s="63"/>
    </row>
    <row r="85" customFormat="false" ht="15" hidden="false" customHeight="false" outlineLevel="0" collapsed="false">
      <c r="A85" s="28"/>
      <c r="B85" s="28"/>
      <c r="C85" s="28"/>
      <c r="D85" s="28"/>
      <c r="E85" s="28"/>
      <c r="F85" s="28"/>
      <c r="G85" s="63"/>
    </row>
    <row r="86" customFormat="false" ht="15" hidden="false" customHeight="false" outlineLevel="0" collapsed="false">
      <c r="A86" s="28"/>
      <c r="B86" s="28"/>
      <c r="C86" s="28"/>
      <c r="D86" s="28"/>
      <c r="E86" s="28"/>
      <c r="F86" s="28"/>
      <c r="G86" s="63"/>
    </row>
    <row r="87" customFormat="false" ht="15" hidden="false" customHeight="false" outlineLevel="0" collapsed="false">
      <c r="A87" s="28"/>
      <c r="B87" s="28"/>
      <c r="C87" s="28"/>
      <c r="D87" s="28"/>
      <c r="E87" s="28"/>
      <c r="F87" s="28"/>
      <c r="G87" s="63"/>
    </row>
    <row r="88" customFormat="false" ht="15" hidden="false" customHeight="false" outlineLevel="0" collapsed="false">
      <c r="A88" s="28"/>
      <c r="B88" s="28"/>
      <c r="C88" s="28"/>
      <c r="D88" s="28"/>
      <c r="E88" s="28"/>
      <c r="F88" s="28"/>
      <c r="G88" s="63"/>
    </row>
    <row r="89" customFormat="false" ht="15" hidden="false" customHeight="false" outlineLevel="0" collapsed="false">
      <c r="A89" s="28"/>
      <c r="B89" s="28"/>
      <c r="C89" s="28"/>
      <c r="D89" s="28"/>
      <c r="E89" s="28"/>
      <c r="F89" s="28"/>
      <c r="G89" s="63"/>
    </row>
    <row r="90" customFormat="false" ht="15" hidden="false" customHeight="false" outlineLevel="0" collapsed="false">
      <c r="A90" s="28"/>
      <c r="B90" s="28"/>
      <c r="C90" s="28"/>
      <c r="D90" s="28"/>
      <c r="E90" s="28"/>
      <c r="F90" s="28"/>
      <c r="G90" s="63"/>
    </row>
    <row r="91" customFormat="false" ht="15" hidden="false" customHeight="false" outlineLevel="0" collapsed="false">
      <c r="A91" s="28"/>
      <c r="B91" s="28"/>
      <c r="C91" s="28"/>
      <c r="D91" s="28"/>
      <c r="E91" s="28"/>
      <c r="F91" s="28"/>
      <c r="G91" s="63"/>
    </row>
    <row r="92" customFormat="false" ht="15" hidden="false" customHeight="false" outlineLevel="0" collapsed="false">
      <c r="A92" s="28"/>
      <c r="B92" s="28"/>
      <c r="C92" s="28"/>
      <c r="D92" s="28"/>
      <c r="E92" s="28"/>
      <c r="F92" s="28"/>
      <c r="G92" s="63"/>
    </row>
    <row r="93" customFormat="false" ht="15" hidden="false" customHeight="false" outlineLevel="0" collapsed="false">
      <c r="A93" s="28"/>
      <c r="B93" s="28"/>
      <c r="C93" s="28"/>
      <c r="D93" s="28"/>
      <c r="E93" s="28"/>
      <c r="F93" s="28"/>
      <c r="G93" s="63"/>
    </row>
    <row r="94" customFormat="false" ht="15" hidden="false" customHeight="false" outlineLevel="0" collapsed="false">
      <c r="A94" s="28"/>
      <c r="B94" s="28"/>
      <c r="C94" s="28"/>
      <c r="D94" s="28"/>
      <c r="E94" s="28"/>
      <c r="F94" s="28"/>
      <c r="G94" s="63"/>
    </row>
    <row r="95" customFormat="false" ht="15" hidden="false" customHeight="false" outlineLevel="0" collapsed="false">
      <c r="A95" s="28"/>
      <c r="B95" s="28"/>
      <c r="C95" s="28"/>
      <c r="D95" s="28"/>
      <c r="E95" s="28"/>
      <c r="F95" s="28"/>
      <c r="G95" s="63"/>
    </row>
    <row r="96" customFormat="false" ht="15" hidden="false" customHeight="false" outlineLevel="0" collapsed="false">
      <c r="A96" s="28"/>
      <c r="B96" s="28"/>
      <c r="C96" s="28"/>
      <c r="D96" s="28"/>
      <c r="E96" s="28"/>
      <c r="F96" s="28"/>
      <c r="G96" s="63"/>
    </row>
    <row r="97" customFormat="false" ht="15" hidden="false" customHeight="false" outlineLevel="0" collapsed="false">
      <c r="A97" s="28"/>
      <c r="B97" s="28"/>
      <c r="C97" s="28"/>
      <c r="D97" s="28"/>
      <c r="E97" s="28"/>
      <c r="F97" s="28"/>
      <c r="G97" s="63"/>
    </row>
    <row r="98" customFormat="false" ht="15" hidden="false" customHeight="false" outlineLevel="0" collapsed="false">
      <c r="A98" s="28"/>
      <c r="B98" s="28"/>
      <c r="C98" s="28"/>
      <c r="D98" s="28"/>
      <c r="E98" s="28"/>
      <c r="F98" s="28"/>
      <c r="G98" s="63"/>
    </row>
    <row r="99" customFormat="false" ht="15" hidden="false" customHeight="false" outlineLevel="0" collapsed="false">
      <c r="A99" s="28"/>
      <c r="B99" s="28"/>
      <c r="C99" s="28"/>
      <c r="D99" s="28"/>
      <c r="E99" s="28"/>
      <c r="F99" s="28"/>
      <c r="G99" s="63"/>
    </row>
    <row r="100" customFormat="false" ht="15" hidden="false" customHeight="false" outlineLevel="0" collapsed="false">
      <c r="A100" s="28"/>
      <c r="B100" s="28"/>
      <c r="C100" s="28"/>
      <c r="D100" s="28"/>
      <c r="E100" s="28"/>
      <c r="F100" s="28"/>
      <c r="G100" s="63"/>
    </row>
    <row r="101" customFormat="false" ht="15" hidden="false" customHeight="false" outlineLevel="0" collapsed="false">
      <c r="A101" s="28"/>
      <c r="B101" s="28"/>
      <c r="C101" s="28"/>
      <c r="D101" s="28"/>
      <c r="E101" s="28"/>
      <c r="F101" s="28"/>
      <c r="G101" s="63"/>
    </row>
    <row r="102" customFormat="false" ht="15" hidden="false" customHeight="false" outlineLevel="0" collapsed="false">
      <c r="A102" s="28"/>
      <c r="B102" s="28"/>
      <c r="C102" s="28"/>
      <c r="D102" s="28"/>
      <c r="E102" s="28"/>
      <c r="F102" s="28"/>
      <c r="G102" s="63"/>
    </row>
    <row r="103" customFormat="false" ht="15" hidden="false" customHeight="false" outlineLevel="0" collapsed="false">
      <c r="A103" s="28"/>
      <c r="B103" s="28"/>
      <c r="C103" s="28"/>
      <c r="D103" s="28"/>
      <c r="E103" s="28"/>
      <c r="F103" s="28"/>
      <c r="G103" s="63"/>
    </row>
    <row r="104" customFormat="false" ht="15" hidden="false" customHeight="false" outlineLevel="0" collapsed="false">
      <c r="A104" s="28"/>
      <c r="B104" s="28"/>
      <c r="C104" s="28"/>
      <c r="D104" s="28"/>
      <c r="E104" s="28"/>
      <c r="F104" s="28"/>
      <c r="G104" s="63"/>
    </row>
    <row r="105" customFormat="false" ht="15" hidden="false" customHeight="false" outlineLevel="0" collapsed="false">
      <c r="A105" s="28"/>
      <c r="B105" s="28"/>
      <c r="C105" s="28"/>
      <c r="D105" s="28"/>
      <c r="E105" s="28"/>
      <c r="F105" s="28"/>
      <c r="G105" s="63"/>
    </row>
    <row r="106" customFormat="false" ht="15" hidden="false" customHeight="false" outlineLevel="0" collapsed="false">
      <c r="A106" s="28"/>
      <c r="B106" s="28"/>
      <c r="C106" s="28"/>
      <c r="D106" s="28"/>
      <c r="E106" s="28"/>
      <c r="F106" s="28"/>
      <c r="G106" s="63"/>
    </row>
    <row r="107" customFormat="false" ht="15" hidden="false" customHeight="false" outlineLevel="0" collapsed="false">
      <c r="A107" s="28"/>
      <c r="B107" s="28"/>
      <c r="C107" s="28"/>
      <c r="D107" s="28"/>
      <c r="E107" s="28"/>
      <c r="F107" s="28"/>
      <c r="G107" s="63"/>
    </row>
    <row r="108" customFormat="false" ht="15" hidden="false" customHeight="false" outlineLevel="0" collapsed="false">
      <c r="A108" s="28"/>
      <c r="B108" s="28"/>
      <c r="C108" s="28"/>
      <c r="D108" s="28"/>
      <c r="E108" s="28"/>
      <c r="F108" s="28"/>
      <c r="G108" s="63"/>
    </row>
    <row r="109" customFormat="false" ht="15" hidden="false" customHeight="false" outlineLevel="0" collapsed="false">
      <c r="A109" s="28"/>
      <c r="B109" s="28"/>
      <c r="C109" s="28"/>
      <c r="D109" s="28"/>
      <c r="E109" s="28"/>
      <c r="F109" s="28"/>
      <c r="G109" s="63"/>
    </row>
    <row r="110" customFormat="false" ht="15" hidden="false" customHeight="false" outlineLevel="0" collapsed="false">
      <c r="A110" s="28"/>
      <c r="B110" s="28"/>
      <c r="C110" s="28"/>
      <c r="D110" s="28"/>
      <c r="E110" s="28"/>
      <c r="F110" s="28"/>
      <c r="G110" s="63"/>
    </row>
    <row r="111" customFormat="false" ht="15" hidden="false" customHeight="false" outlineLevel="0" collapsed="false">
      <c r="A111" s="28"/>
      <c r="B111" s="28"/>
      <c r="C111" s="28"/>
      <c r="D111" s="28"/>
      <c r="E111" s="28"/>
      <c r="F111" s="28"/>
      <c r="G111" s="63"/>
    </row>
    <row r="112" customFormat="false" ht="15" hidden="false" customHeight="false" outlineLevel="0" collapsed="false">
      <c r="A112" s="28"/>
      <c r="B112" s="28"/>
      <c r="C112" s="28"/>
      <c r="D112" s="28"/>
      <c r="E112" s="28"/>
      <c r="F112" s="28"/>
      <c r="G112" s="63"/>
    </row>
    <row r="113" customFormat="false" ht="15" hidden="false" customHeight="false" outlineLevel="0" collapsed="false">
      <c r="A113" s="28"/>
      <c r="B113" s="28"/>
      <c r="C113" s="28"/>
      <c r="D113" s="28"/>
      <c r="E113" s="28"/>
      <c r="F113" s="28"/>
      <c r="G113" s="63"/>
    </row>
    <row r="114" customFormat="false" ht="15" hidden="false" customHeight="false" outlineLevel="0" collapsed="false">
      <c r="A114" s="28"/>
      <c r="B114" s="28"/>
      <c r="C114" s="28"/>
      <c r="D114" s="28"/>
      <c r="E114" s="28"/>
      <c r="F114" s="28"/>
      <c r="G114" s="63"/>
    </row>
    <row r="115" customFormat="false" ht="15" hidden="false" customHeight="false" outlineLevel="0" collapsed="false">
      <c r="A115" s="28"/>
      <c r="B115" s="28"/>
      <c r="C115" s="28"/>
      <c r="D115" s="28"/>
      <c r="E115" s="28"/>
      <c r="F115" s="28"/>
      <c r="G115" s="63"/>
    </row>
    <row r="116" customFormat="false" ht="15" hidden="false" customHeight="false" outlineLevel="0" collapsed="false">
      <c r="A116" s="28"/>
      <c r="B116" s="28"/>
      <c r="C116" s="28"/>
      <c r="D116" s="28"/>
      <c r="E116" s="28"/>
      <c r="F116" s="28"/>
      <c r="G116" s="63"/>
    </row>
    <row r="117" customFormat="false" ht="15" hidden="false" customHeight="false" outlineLevel="0" collapsed="false">
      <c r="A117" s="28"/>
      <c r="B117" s="28"/>
      <c r="C117" s="28"/>
      <c r="D117" s="28"/>
      <c r="E117" s="28"/>
      <c r="F117" s="28"/>
      <c r="G117" s="63"/>
    </row>
    <row r="118" customFormat="false" ht="15" hidden="false" customHeight="false" outlineLevel="0" collapsed="false">
      <c r="A118" s="28"/>
      <c r="B118" s="28"/>
      <c r="C118" s="28"/>
      <c r="D118" s="28"/>
      <c r="E118" s="28"/>
      <c r="F118" s="28"/>
      <c r="G118" s="63"/>
    </row>
    <row r="119" customFormat="false" ht="15" hidden="false" customHeight="false" outlineLevel="0" collapsed="false">
      <c r="A119" s="28"/>
      <c r="B119" s="28"/>
      <c r="C119" s="28"/>
      <c r="D119" s="28"/>
      <c r="E119" s="28"/>
      <c r="F119" s="28"/>
      <c r="G119" s="63"/>
    </row>
    <row r="120" customFormat="false" ht="15" hidden="false" customHeight="false" outlineLevel="0" collapsed="false">
      <c r="A120" s="28"/>
      <c r="B120" s="28"/>
      <c r="C120" s="28"/>
      <c r="D120" s="28"/>
      <c r="E120" s="28"/>
      <c r="F120" s="28"/>
      <c r="G120" s="63"/>
    </row>
    <row r="121" customFormat="false" ht="15" hidden="false" customHeight="false" outlineLevel="0" collapsed="false">
      <c r="A121" s="28"/>
      <c r="B121" s="28"/>
      <c r="C121" s="28"/>
      <c r="D121" s="28"/>
      <c r="E121" s="28"/>
      <c r="F121" s="28"/>
      <c r="G121" s="63"/>
    </row>
    <row r="122" customFormat="false" ht="15" hidden="false" customHeight="false" outlineLevel="0" collapsed="false">
      <c r="A122" s="28"/>
      <c r="B122" s="28"/>
      <c r="C122" s="28"/>
      <c r="D122" s="28"/>
      <c r="E122" s="28"/>
      <c r="F122" s="28"/>
      <c r="G122" s="63"/>
    </row>
    <row r="123" customFormat="false" ht="15" hidden="false" customHeight="false" outlineLevel="0" collapsed="false">
      <c r="A123" s="28"/>
      <c r="B123" s="28"/>
      <c r="C123" s="28"/>
      <c r="D123" s="28"/>
      <c r="E123" s="28"/>
      <c r="F123" s="28"/>
      <c r="G123" s="63"/>
    </row>
    <row r="124" customFormat="false" ht="15" hidden="false" customHeight="false" outlineLevel="0" collapsed="false">
      <c r="A124" s="28"/>
      <c r="B124" s="28"/>
      <c r="C124" s="28"/>
      <c r="D124" s="28"/>
      <c r="E124" s="28"/>
      <c r="F124" s="28"/>
      <c r="G124" s="63"/>
    </row>
    <row r="125" customFormat="false" ht="15" hidden="false" customHeight="false" outlineLevel="0" collapsed="false">
      <c r="A125" s="28"/>
      <c r="B125" s="28"/>
      <c r="C125" s="28"/>
      <c r="D125" s="28"/>
      <c r="E125" s="28"/>
      <c r="F125" s="28"/>
      <c r="G125" s="63"/>
    </row>
    <row r="126" customFormat="false" ht="15" hidden="false" customHeight="false" outlineLevel="0" collapsed="false">
      <c r="A126" s="28"/>
      <c r="B126" s="28"/>
      <c r="C126" s="28"/>
      <c r="D126" s="28"/>
      <c r="E126" s="28"/>
      <c r="F126" s="28"/>
      <c r="G126" s="63"/>
    </row>
    <row r="127" customFormat="false" ht="15" hidden="false" customHeight="false" outlineLevel="0" collapsed="false">
      <c r="A127" s="28"/>
      <c r="B127" s="28"/>
      <c r="C127" s="28"/>
      <c r="D127" s="28"/>
      <c r="E127" s="28"/>
      <c r="F127" s="28"/>
      <c r="G127" s="63"/>
    </row>
    <row r="128" customFormat="false" ht="15" hidden="false" customHeight="false" outlineLevel="0" collapsed="false">
      <c r="A128" s="28"/>
      <c r="B128" s="28"/>
      <c r="C128" s="28"/>
      <c r="D128" s="28"/>
      <c r="E128" s="28"/>
      <c r="F128" s="28"/>
      <c r="G128" s="63"/>
    </row>
    <row r="129" customFormat="false" ht="15" hidden="false" customHeight="false" outlineLevel="0" collapsed="false">
      <c r="A129" s="28"/>
      <c r="B129" s="28"/>
      <c r="C129" s="28"/>
      <c r="D129" s="28"/>
      <c r="E129" s="28"/>
      <c r="F129" s="28"/>
      <c r="G129" s="63"/>
    </row>
    <row r="130" customFormat="false" ht="15" hidden="false" customHeight="false" outlineLevel="0" collapsed="false">
      <c r="A130" s="28"/>
      <c r="B130" s="28"/>
      <c r="C130" s="28"/>
      <c r="D130" s="28"/>
      <c r="E130" s="28"/>
      <c r="F130" s="28"/>
      <c r="G130" s="63"/>
    </row>
    <row r="131" customFormat="false" ht="15" hidden="false" customHeight="false" outlineLevel="0" collapsed="false">
      <c r="A131" s="28"/>
      <c r="B131" s="28"/>
      <c r="C131" s="28"/>
      <c r="D131" s="28"/>
      <c r="E131" s="28"/>
      <c r="F131" s="28"/>
      <c r="G131" s="63"/>
    </row>
    <row r="132" customFormat="false" ht="15" hidden="false" customHeight="false" outlineLevel="0" collapsed="false">
      <c r="A132" s="28"/>
      <c r="B132" s="28"/>
      <c r="C132" s="28"/>
      <c r="D132" s="28"/>
      <c r="E132" s="28"/>
      <c r="F132" s="28"/>
      <c r="G132" s="63"/>
    </row>
    <row r="133" customFormat="false" ht="15" hidden="false" customHeight="false" outlineLevel="0" collapsed="false">
      <c r="A133" s="28"/>
      <c r="B133" s="28"/>
      <c r="C133" s="28"/>
      <c r="D133" s="28"/>
      <c r="E133" s="28"/>
      <c r="F133" s="28"/>
      <c r="G133" s="63"/>
    </row>
    <row r="134" customFormat="false" ht="15" hidden="false" customHeight="false" outlineLevel="0" collapsed="false">
      <c r="A134" s="28"/>
      <c r="B134" s="28"/>
      <c r="C134" s="28"/>
      <c r="D134" s="28"/>
      <c r="E134" s="28"/>
      <c r="F134" s="28"/>
      <c r="G134" s="63"/>
    </row>
    <row r="135" customFormat="false" ht="15" hidden="false" customHeight="false" outlineLevel="0" collapsed="false">
      <c r="A135" s="28"/>
      <c r="B135" s="28"/>
      <c r="C135" s="28"/>
      <c r="D135" s="28"/>
      <c r="E135" s="28"/>
      <c r="F135" s="28"/>
      <c r="G135" s="63"/>
    </row>
    <row r="136" customFormat="false" ht="15" hidden="false" customHeight="false" outlineLevel="0" collapsed="false">
      <c r="A136" s="28"/>
      <c r="B136" s="28"/>
      <c r="C136" s="28"/>
      <c r="D136" s="28"/>
      <c r="E136" s="28"/>
      <c r="F136" s="28"/>
      <c r="G136" s="63"/>
    </row>
    <row r="137" customFormat="false" ht="15" hidden="false" customHeight="false" outlineLevel="0" collapsed="false">
      <c r="A137" s="28"/>
      <c r="B137" s="28"/>
      <c r="C137" s="28"/>
      <c r="D137" s="28"/>
      <c r="E137" s="28"/>
      <c r="F137" s="28"/>
      <c r="G137" s="63"/>
    </row>
    <row r="138" customFormat="false" ht="15" hidden="false" customHeight="false" outlineLevel="0" collapsed="false">
      <c r="A138" s="28"/>
      <c r="B138" s="28"/>
      <c r="C138" s="28"/>
      <c r="D138" s="28"/>
      <c r="E138" s="28"/>
      <c r="F138" s="28"/>
      <c r="G138" s="63"/>
    </row>
    <row r="139" customFormat="false" ht="15" hidden="false" customHeight="false" outlineLevel="0" collapsed="false">
      <c r="A139" s="28"/>
      <c r="B139" s="28"/>
      <c r="C139" s="28"/>
      <c r="D139" s="28"/>
      <c r="E139" s="28"/>
      <c r="F139" s="28"/>
      <c r="G139" s="63"/>
    </row>
    <row r="140" customFormat="false" ht="15" hidden="false" customHeight="false" outlineLevel="0" collapsed="false">
      <c r="A140" s="28"/>
      <c r="B140" s="28"/>
      <c r="C140" s="28"/>
      <c r="D140" s="28"/>
      <c r="E140" s="28"/>
      <c r="F140" s="28"/>
      <c r="G140" s="63"/>
    </row>
    <row r="141" customFormat="false" ht="15" hidden="false" customHeight="false" outlineLevel="0" collapsed="false">
      <c r="A141" s="28"/>
      <c r="B141" s="28"/>
      <c r="C141" s="28"/>
      <c r="D141" s="28"/>
      <c r="E141" s="28"/>
      <c r="F141" s="28"/>
      <c r="G141" s="63"/>
    </row>
    <row r="142" customFormat="false" ht="15" hidden="false" customHeight="false" outlineLevel="0" collapsed="false">
      <c r="A142" s="28"/>
      <c r="B142" s="28"/>
      <c r="C142" s="28"/>
      <c r="D142" s="28"/>
      <c r="E142" s="28"/>
      <c r="F142" s="28"/>
      <c r="G142" s="63"/>
    </row>
    <row r="143" customFormat="false" ht="15" hidden="false" customHeight="false" outlineLevel="0" collapsed="false">
      <c r="A143" s="28"/>
      <c r="B143" s="28"/>
      <c r="C143" s="28"/>
      <c r="D143" s="28"/>
      <c r="E143" s="28"/>
      <c r="F143" s="28"/>
      <c r="G143" s="63"/>
    </row>
    <row r="144" customFormat="false" ht="15" hidden="false" customHeight="false" outlineLevel="0" collapsed="false">
      <c r="A144" s="28"/>
      <c r="B144" s="28"/>
      <c r="C144" s="28"/>
      <c r="D144" s="28"/>
      <c r="E144" s="28"/>
      <c r="F144" s="28"/>
      <c r="G144" s="63"/>
    </row>
    <row r="145" customFormat="false" ht="15" hidden="false" customHeight="false" outlineLevel="0" collapsed="false">
      <c r="A145" s="28"/>
      <c r="B145" s="28"/>
      <c r="C145" s="28"/>
      <c r="D145" s="28"/>
      <c r="E145" s="28"/>
      <c r="F145" s="28"/>
      <c r="G145" s="63"/>
    </row>
    <row r="146" customFormat="false" ht="15" hidden="false" customHeight="false" outlineLevel="0" collapsed="false">
      <c r="A146" s="28"/>
      <c r="B146" s="28"/>
      <c r="C146" s="28"/>
      <c r="D146" s="28"/>
      <c r="E146" s="28"/>
      <c r="F146" s="28"/>
      <c r="G146" s="63"/>
    </row>
    <row r="147" customFormat="false" ht="15" hidden="false" customHeight="false" outlineLevel="0" collapsed="false">
      <c r="A147" s="28"/>
      <c r="B147" s="28"/>
      <c r="C147" s="28"/>
      <c r="D147" s="28"/>
      <c r="E147" s="28"/>
      <c r="F147" s="28"/>
      <c r="G147" s="63"/>
    </row>
    <row r="148" customFormat="false" ht="15" hidden="false" customHeight="false" outlineLevel="0" collapsed="false">
      <c r="A148" s="28"/>
      <c r="B148" s="28"/>
      <c r="C148" s="28"/>
      <c r="D148" s="28"/>
      <c r="E148" s="28"/>
      <c r="F148" s="28"/>
      <c r="G148" s="63"/>
    </row>
    <row r="149" customFormat="false" ht="15" hidden="false" customHeight="false" outlineLevel="0" collapsed="false">
      <c r="A149" s="28"/>
      <c r="B149" s="28"/>
      <c r="C149" s="28"/>
      <c r="D149" s="28"/>
      <c r="E149" s="28"/>
      <c r="F149" s="28"/>
      <c r="G149" s="63"/>
    </row>
    <row r="150" customFormat="false" ht="15" hidden="false" customHeight="false" outlineLevel="0" collapsed="false">
      <c r="A150" s="28"/>
      <c r="B150" s="28"/>
      <c r="C150" s="28"/>
      <c r="D150" s="28"/>
      <c r="E150" s="28"/>
      <c r="F150" s="28"/>
      <c r="G150" s="63"/>
    </row>
    <row r="151" customFormat="false" ht="15" hidden="false" customHeight="false" outlineLevel="0" collapsed="false">
      <c r="A151" s="28"/>
      <c r="B151" s="28"/>
      <c r="C151" s="28"/>
      <c r="D151" s="28"/>
      <c r="E151" s="28"/>
      <c r="F151" s="28"/>
      <c r="G151" s="63"/>
    </row>
    <row r="152" customFormat="false" ht="15" hidden="false" customHeight="false" outlineLevel="0" collapsed="false">
      <c r="A152" s="28"/>
      <c r="B152" s="28"/>
      <c r="C152" s="28"/>
      <c r="D152" s="28"/>
      <c r="E152" s="28"/>
      <c r="F152" s="28"/>
      <c r="G152" s="63"/>
    </row>
    <row r="153" customFormat="false" ht="15" hidden="false" customHeight="false" outlineLevel="0" collapsed="false">
      <c r="A153" s="28"/>
      <c r="B153" s="28"/>
      <c r="C153" s="28"/>
      <c r="D153" s="28"/>
      <c r="E153" s="28"/>
      <c r="F153" s="28"/>
      <c r="G153" s="63"/>
    </row>
    <row r="154" customFormat="false" ht="15" hidden="false" customHeight="false" outlineLevel="0" collapsed="false">
      <c r="A154" s="28"/>
      <c r="B154" s="28"/>
      <c r="C154" s="28"/>
      <c r="D154" s="28"/>
      <c r="E154" s="28"/>
      <c r="F154" s="28"/>
      <c r="G154" s="63"/>
    </row>
    <row r="155" customFormat="false" ht="15" hidden="false" customHeight="false" outlineLevel="0" collapsed="false">
      <c r="A155" s="28"/>
      <c r="B155" s="28"/>
      <c r="C155" s="28"/>
      <c r="D155" s="28"/>
      <c r="E155" s="28"/>
      <c r="F155" s="28"/>
      <c r="G155" s="63"/>
    </row>
    <row r="156" customFormat="false" ht="15" hidden="false" customHeight="false" outlineLevel="0" collapsed="false">
      <c r="A156" s="28"/>
      <c r="B156" s="28"/>
      <c r="C156" s="28"/>
      <c r="D156" s="28"/>
      <c r="E156" s="28"/>
      <c r="F156" s="28"/>
      <c r="G156" s="63"/>
    </row>
    <row r="157" customFormat="false" ht="15" hidden="false" customHeight="false" outlineLevel="0" collapsed="false">
      <c r="A157" s="28"/>
      <c r="B157" s="28"/>
      <c r="C157" s="28"/>
      <c r="D157" s="28"/>
      <c r="E157" s="28"/>
      <c r="F157" s="28"/>
      <c r="G157" s="63"/>
    </row>
    <row r="158" customFormat="false" ht="15" hidden="false" customHeight="false" outlineLevel="0" collapsed="false">
      <c r="A158" s="28"/>
      <c r="B158" s="28"/>
      <c r="C158" s="28"/>
      <c r="D158" s="28"/>
      <c r="E158" s="28"/>
      <c r="F158" s="28"/>
      <c r="G158" s="63"/>
    </row>
    <row r="159" customFormat="false" ht="15" hidden="false" customHeight="false" outlineLevel="0" collapsed="false">
      <c r="A159" s="28"/>
      <c r="B159" s="28"/>
      <c r="C159" s="28"/>
      <c r="D159" s="28"/>
      <c r="E159" s="28"/>
      <c r="F159" s="28"/>
      <c r="G159" s="63"/>
    </row>
    <row r="160" customFormat="false" ht="15" hidden="false" customHeight="false" outlineLevel="0" collapsed="false">
      <c r="A160" s="28"/>
      <c r="B160" s="28"/>
      <c r="C160" s="28"/>
      <c r="D160" s="28"/>
      <c r="E160" s="28"/>
      <c r="F160" s="28"/>
      <c r="G160" s="63"/>
    </row>
    <row r="161" customFormat="false" ht="15" hidden="false" customHeight="false" outlineLevel="0" collapsed="false">
      <c r="A161" s="28"/>
      <c r="B161" s="28"/>
      <c r="C161" s="28"/>
      <c r="D161" s="28"/>
      <c r="E161" s="28"/>
      <c r="F161" s="28"/>
      <c r="G161" s="63"/>
    </row>
    <row r="162" customFormat="false" ht="15" hidden="false" customHeight="false" outlineLevel="0" collapsed="false">
      <c r="A162" s="28"/>
      <c r="B162" s="28"/>
      <c r="C162" s="28"/>
      <c r="D162" s="28"/>
      <c r="E162" s="28"/>
      <c r="F162" s="28"/>
      <c r="G162" s="63"/>
    </row>
    <row r="163" customFormat="false" ht="15" hidden="false" customHeight="false" outlineLevel="0" collapsed="false">
      <c r="A163" s="28"/>
      <c r="B163" s="28"/>
      <c r="C163" s="28"/>
      <c r="D163" s="28"/>
      <c r="E163" s="28"/>
      <c r="F163" s="28"/>
      <c r="G163" s="63"/>
    </row>
    <row r="164" customFormat="false" ht="15" hidden="false" customHeight="false" outlineLevel="0" collapsed="false">
      <c r="A164" s="28"/>
      <c r="B164" s="28"/>
      <c r="C164" s="28"/>
      <c r="D164" s="28"/>
      <c r="E164" s="28"/>
      <c r="F164" s="28"/>
      <c r="G164" s="63"/>
    </row>
    <row r="165" customFormat="false" ht="15" hidden="false" customHeight="false" outlineLevel="0" collapsed="false">
      <c r="A165" s="28"/>
      <c r="B165" s="28"/>
      <c r="C165" s="28"/>
      <c r="D165" s="28"/>
      <c r="E165" s="28"/>
      <c r="F165" s="28"/>
      <c r="G165" s="63"/>
    </row>
    <row r="166" customFormat="false" ht="15" hidden="false" customHeight="false" outlineLevel="0" collapsed="false">
      <c r="A166" s="28"/>
      <c r="B166" s="28"/>
      <c r="C166" s="28"/>
      <c r="D166" s="28"/>
      <c r="E166" s="28"/>
      <c r="F166" s="28"/>
      <c r="G166" s="63"/>
    </row>
    <row r="167" customFormat="false" ht="15" hidden="false" customHeight="false" outlineLevel="0" collapsed="false">
      <c r="A167" s="28"/>
      <c r="B167" s="28"/>
      <c r="C167" s="28"/>
      <c r="D167" s="28"/>
      <c r="E167" s="28"/>
      <c r="F167" s="28"/>
      <c r="G167" s="63"/>
    </row>
    <row r="168" customFormat="false" ht="15" hidden="false" customHeight="false" outlineLevel="0" collapsed="false">
      <c r="A168" s="28"/>
      <c r="B168" s="28"/>
      <c r="C168" s="28"/>
      <c r="D168" s="28"/>
      <c r="E168" s="28"/>
      <c r="F168" s="28"/>
      <c r="G168" s="63"/>
    </row>
    <row r="169" customFormat="false" ht="15" hidden="false" customHeight="false" outlineLevel="0" collapsed="false">
      <c r="A169" s="28"/>
      <c r="B169" s="28"/>
      <c r="C169" s="28"/>
      <c r="D169" s="28"/>
      <c r="E169" s="28"/>
      <c r="F169" s="28"/>
      <c r="G169" s="63"/>
    </row>
    <row r="170" customFormat="false" ht="15" hidden="false" customHeight="false" outlineLevel="0" collapsed="false">
      <c r="A170" s="28"/>
      <c r="B170" s="28"/>
      <c r="C170" s="28"/>
      <c r="D170" s="28"/>
      <c r="E170" s="28"/>
      <c r="F170" s="28"/>
      <c r="G170" s="63"/>
    </row>
    <row r="171" customFormat="false" ht="15" hidden="false" customHeight="false" outlineLevel="0" collapsed="false">
      <c r="A171" s="28"/>
      <c r="B171" s="28"/>
      <c r="C171" s="28"/>
      <c r="D171" s="28"/>
      <c r="E171" s="28"/>
      <c r="F171" s="28"/>
      <c r="G171" s="63"/>
    </row>
    <row r="172" customFormat="false" ht="15" hidden="false" customHeight="false" outlineLevel="0" collapsed="false">
      <c r="A172" s="28"/>
      <c r="B172" s="28"/>
      <c r="C172" s="28"/>
      <c r="D172" s="28"/>
      <c r="E172" s="28"/>
      <c r="F172" s="28"/>
      <c r="G172" s="63"/>
    </row>
    <row r="173" customFormat="false" ht="15" hidden="false" customHeight="false" outlineLevel="0" collapsed="false">
      <c r="A173" s="28"/>
      <c r="B173" s="28"/>
      <c r="C173" s="28"/>
      <c r="D173" s="28"/>
      <c r="E173" s="28"/>
      <c r="F173" s="28"/>
      <c r="G173" s="63"/>
    </row>
    <row r="174" customFormat="false" ht="15" hidden="false" customHeight="false" outlineLevel="0" collapsed="false">
      <c r="A174" s="28"/>
      <c r="B174" s="28"/>
      <c r="C174" s="28"/>
      <c r="D174" s="28"/>
      <c r="E174" s="28"/>
      <c r="F174" s="28"/>
      <c r="G174" s="63"/>
    </row>
    <row r="175" customFormat="false" ht="15" hidden="false" customHeight="false" outlineLevel="0" collapsed="false">
      <c r="A175" s="28"/>
      <c r="B175" s="28"/>
      <c r="C175" s="28"/>
      <c r="D175" s="28"/>
      <c r="E175" s="28"/>
      <c r="F175" s="28"/>
      <c r="G175" s="63"/>
    </row>
    <row r="176" customFormat="false" ht="15" hidden="false" customHeight="false" outlineLevel="0" collapsed="false">
      <c r="A176" s="28"/>
      <c r="B176" s="28"/>
      <c r="C176" s="28"/>
      <c r="D176" s="28"/>
      <c r="E176" s="28"/>
      <c r="F176" s="28"/>
      <c r="G176" s="63"/>
    </row>
    <row r="177" customFormat="false" ht="15" hidden="false" customHeight="false" outlineLevel="0" collapsed="false">
      <c r="A177" s="28"/>
      <c r="B177" s="28"/>
      <c r="C177" s="28"/>
      <c r="D177" s="28"/>
      <c r="E177" s="28"/>
      <c r="F177" s="28"/>
      <c r="G177" s="63"/>
    </row>
    <row r="178" customFormat="false" ht="15" hidden="false" customHeight="false" outlineLevel="0" collapsed="false">
      <c r="A178" s="28"/>
      <c r="B178" s="28"/>
      <c r="C178" s="28"/>
      <c r="D178" s="28"/>
      <c r="E178" s="28"/>
      <c r="F178" s="28"/>
      <c r="G178" s="63"/>
    </row>
    <row r="179" customFormat="false" ht="15" hidden="false" customHeight="false" outlineLevel="0" collapsed="false">
      <c r="A179" s="28"/>
      <c r="B179" s="28"/>
      <c r="C179" s="28"/>
      <c r="D179" s="28"/>
      <c r="E179" s="28"/>
      <c r="F179" s="28"/>
      <c r="G179" s="63"/>
    </row>
    <row r="180" customFormat="false" ht="15" hidden="false" customHeight="false" outlineLevel="0" collapsed="false">
      <c r="A180" s="28"/>
      <c r="B180" s="28"/>
      <c r="C180" s="28"/>
      <c r="D180" s="28"/>
      <c r="E180" s="28"/>
      <c r="F180" s="28"/>
      <c r="G180" s="63"/>
    </row>
    <row r="181" customFormat="false" ht="15" hidden="false" customHeight="false" outlineLevel="0" collapsed="false">
      <c r="A181" s="28"/>
      <c r="B181" s="28"/>
      <c r="C181" s="28"/>
      <c r="D181" s="28"/>
      <c r="E181" s="28"/>
      <c r="F181" s="28"/>
      <c r="G181" s="63"/>
    </row>
    <row r="182" customFormat="false" ht="15" hidden="false" customHeight="false" outlineLevel="0" collapsed="false">
      <c r="A182" s="28"/>
      <c r="B182" s="28"/>
      <c r="C182" s="28"/>
      <c r="D182" s="28"/>
      <c r="E182" s="28"/>
      <c r="F182" s="28"/>
      <c r="G182" s="63"/>
    </row>
    <row r="183" customFormat="false" ht="15" hidden="false" customHeight="false" outlineLevel="0" collapsed="false">
      <c r="A183" s="28"/>
      <c r="B183" s="28"/>
      <c r="C183" s="28"/>
      <c r="D183" s="28"/>
      <c r="E183" s="28"/>
      <c r="F183" s="28"/>
      <c r="G183" s="63"/>
    </row>
    <row r="184" customFormat="false" ht="15" hidden="false" customHeight="false" outlineLevel="0" collapsed="false">
      <c r="A184" s="28"/>
      <c r="B184" s="28"/>
      <c r="C184" s="28"/>
      <c r="D184" s="28"/>
      <c r="E184" s="28"/>
      <c r="F184" s="28"/>
      <c r="G184" s="63"/>
    </row>
    <row r="185" customFormat="false" ht="15" hidden="false" customHeight="false" outlineLevel="0" collapsed="false">
      <c r="A185" s="28"/>
      <c r="B185" s="28"/>
      <c r="C185" s="28"/>
      <c r="D185" s="28"/>
      <c r="E185" s="28"/>
      <c r="F185" s="28"/>
      <c r="G185" s="63"/>
    </row>
    <row r="186" customFormat="false" ht="15" hidden="false" customHeight="false" outlineLevel="0" collapsed="false">
      <c r="A186" s="28"/>
      <c r="B186" s="28"/>
      <c r="C186" s="28"/>
      <c r="D186" s="28"/>
      <c r="E186" s="28"/>
      <c r="F186" s="28"/>
      <c r="G186" s="63"/>
    </row>
    <row r="187" customFormat="false" ht="15" hidden="false" customHeight="false" outlineLevel="0" collapsed="false">
      <c r="A187" s="28"/>
      <c r="B187" s="28"/>
      <c r="C187" s="28"/>
      <c r="D187" s="28"/>
      <c r="E187" s="28"/>
      <c r="F187" s="28"/>
      <c r="G187" s="63"/>
    </row>
    <row r="188" customFormat="false" ht="15" hidden="false" customHeight="false" outlineLevel="0" collapsed="false">
      <c r="A188" s="28"/>
      <c r="B188" s="28"/>
      <c r="C188" s="28"/>
      <c r="D188" s="28"/>
      <c r="E188" s="28"/>
      <c r="F188" s="28"/>
      <c r="G188" s="63"/>
    </row>
    <row r="189" customFormat="false" ht="15" hidden="false" customHeight="false" outlineLevel="0" collapsed="false">
      <c r="A189" s="28"/>
      <c r="B189" s="28"/>
      <c r="C189" s="28"/>
      <c r="D189" s="28"/>
      <c r="E189" s="28"/>
      <c r="F189" s="28"/>
      <c r="G189" s="63"/>
    </row>
    <row r="190" customFormat="false" ht="15" hidden="false" customHeight="false" outlineLevel="0" collapsed="false">
      <c r="A190" s="28"/>
      <c r="B190" s="28"/>
      <c r="C190" s="28"/>
      <c r="D190" s="28"/>
      <c r="E190" s="28"/>
      <c r="F190" s="28"/>
      <c r="G190" s="63"/>
    </row>
    <row r="191" customFormat="false" ht="15" hidden="false" customHeight="false" outlineLevel="0" collapsed="false">
      <c r="A191" s="28"/>
      <c r="B191" s="28"/>
      <c r="C191" s="28"/>
      <c r="D191" s="28"/>
      <c r="E191" s="28"/>
      <c r="F191" s="28"/>
      <c r="G191" s="63"/>
    </row>
    <row r="192" customFormat="false" ht="15" hidden="false" customHeight="false" outlineLevel="0" collapsed="false">
      <c r="A192" s="28"/>
      <c r="B192" s="28"/>
      <c r="C192" s="28"/>
      <c r="D192" s="28"/>
      <c r="E192" s="28"/>
      <c r="F192" s="28"/>
      <c r="G192" s="63"/>
    </row>
    <row r="193" customFormat="false" ht="15" hidden="false" customHeight="false" outlineLevel="0" collapsed="false">
      <c r="A193" s="28"/>
      <c r="B193" s="28"/>
      <c r="C193" s="28"/>
      <c r="D193" s="28"/>
      <c r="E193" s="28"/>
      <c r="F193" s="28"/>
      <c r="G193" s="63"/>
    </row>
    <row r="194" customFormat="false" ht="15" hidden="false" customHeight="false" outlineLevel="0" collapsed="false">
      <c r="A194" s="28"/>
      <c r="B194" s="28"/>
      <c r="C194" s="28"/>
      <c r="D194" s="28"/>
      <c r="E194" s="28"/>
      <c r="F194" s="28"/>
      <c r="G194" s="63"/>
    </row>
    <row r="195" customFormat="false" ht="15" hidden="false" customHeight="false" outlineLevel="0" collapsed="false">
      <c r="A195" s="28"/>
      <c r="B195" s="28"/>
      <c r="C195" s="28"/>
      <c r="D195" s="28"/>
      <c r="E195" s="28"/>
      <c r="F195" s="28"/>
      <c r="G195" s="63"/>
    </row>
    <row r="196" customFormat="false" ht="15" hidden="false" customHeight="false" outlineLevel="0" collapsed="false">
      <c r="A196" s="28"/>
      <c r="B196" s="28"/>
      <c r="C196" s="28"/>
      <c r="D196" s="28"/>
      <c r="E196" s="28"/>
      <c r="F196" s="28"/>
      <c r="G196" s="63"/>
    </row>
    <row r="197" customFormat="false" ht="15" hidden="false" customHeight="false" outlineLevel="0" collapsed="false">
      <c r="A197" s="28"/>
      <c r="B197" s="28"/>
      <c r="C197" s="28"/>
      <c r="D197" s="28"/>
      <c r="E197" s="28"/>
      <c r="F197" s="28"/>
      <c r="G197" s="63"/>
    </row>
    <row r="198" customFormat="false" ht="15" hidden="false" customHeight="false" outlineLevel="0" collapsed="false">
      <c r="A198" s="28"/>
      <c r="B198" s="28"/>
      <c r="C198" s="28"/>
      <c r="D198" s="28"/>
      <c r="E198" s="28"/>
      <c r="F198" s="28"/>
      <c r="G198" s="63"/>
    </row>
    <row r="199" customFormat="false" ht="15" hidden="false" customHeight="false" outlineLevel="0" collapsed="false">
      <c r="A199" s="28"/>
      <c r="B199" s="28"/>
      <c r="C199" s="28"/>
      <c r="D199" s="28"/>
      <c r="E199" s="28"/>
      <c r="F199" s="28"/>
      <c r="G199" s="63"/>
    </row>
    <row r="200" customFormat="false" ht="15" hidden="false" customHeight="false" outlineLevel="0" collapsed="false">
      <c r="A200" s="28"/>
      <c r="B200" s="28"/>
      <c r="C200" s="28"/>
      <c r="D200" s="28"/>
      <c r="E200" s="28"/>
      <c r="F200" s="28"/>
      <c r="G200" s="63"/>
    </row>
    <row r="201" customFormat="false" ht="15" hidden="false" customHeight="false" outlineLevel="0" collapsed="false">
      <c r="A201" s="28"/>
      <c r="B201" s="28"/>
      <c r="C201" s="28"/>
      <c r="D201" s="28"/>
      <c r="E201" s="28"/>
      <c r="F201" s="28"/>
      <c r="G201" s="63"/>
    </row>
    <row r="202" customFormat="false" ht="15" hidden="false" customHeight="false" outlineLevel="0" collapsed="false">
      <c r="A202" s="28"/>
      <c r="B202" s="28"/>
      <c r="C202" s="28"/>
      <c r="D202" s="28"/>
      <c r="E202" s="28"/>
      <c r="F202" s="28"/>
      <c r="G202" s="63"/>
    </row>
    <row r="203" customFormat="false" ht="15" hidden="false" customHeight="false" outlineLevel="0" collapsed="false">
      <c r="A203" s="28"/>
      <c r="B203" s="28"/>
      <c r="C203" s="28"/>
      <c r="D203" s="28"/>
      <c r="E203" s="28"/>
      <c r="F203" s="28"/>
      <c r="G203" s="63"/>
    </row>
    <row r="204" customFormat="false" ht="15" hidden="false" customHeight="false" outlineLevel="0" collapsed="false">
      <c r="A204" s="28"/>
      <c r="B204" s="28"/>
      <c r="C204" s="28"/>
      <c r="D204" s="28"/>
      <c r="E204" s="28"/>
      <c r="F204" s="28"/>
      <c r="G204" s="63"/>
    </row>
    <row r="205" customFormat="false" ht="15" hidden="false" customHeight="false" outlineLevel="0" collapsed="false">
      <c r="A205" s="28"/>
      <c r="B205" s="28"/>
      <c r="C205" s="28"/>
      <c r="D205" s="28"/>
      <c r="E205" s="28"/>
      <c r="F205" s="28"/>
      <c r="G205" s="63"/>
    </row>
    <row r="206" customFormat="false" ht="15" hidden="false" customHeight="false" outlineLevel="0" collapsed="false">
      <c r="A206" s="28"/>
      <c r="B206" s="28"/>
      <c r="C206" s="28"/>
      <c r="D206" s="28"/>
      <c r="E206" s="28"/>
      <c r="F206" s="28"/>
      <c r="G206" s="63"/>
    </row>
    <row r="207" customFormat="false" ht="15" hidden="false" customHeight="false" outlineLevel="0" collapsed="false">
      <c r="A207" s="28"/>
      <c r="B207" s="28"/>
      <c r="C207" s="28"/>
      <c r="D207" s="28"/>
      <c r="E207" s="28"/>
      <c r="F207" s="28"/>
      <c r="G207" s="63"/>
    </row>
    <row r="208" customFormat="false" ht="15" hidden="false" customHeight="false" outlineLevel="0" collapsed="false">
      <c r="A208" s="28"/>
      <c r="B208" s="28"/>
      <c r="C208" s="28"/>
      <c r="D208" s="28"/>
      <c r="E208" s="28"/>
      <c r="F208" s="28"/>
      <c r="G208" s="63"/>
    </row>
    <row r="209" customFormat="false" ht="15" hidden="false" customHeight="false" outlineLevel="0" collapsed="false">
      <c r="A209" s="28"/>
      <c r="B209" s="28"/>
      <c r="C209" s="28"/>
      <c r="D209" s="28"/>
      <c r="E209" s="28"/>
      <c r="F209" s="28"/>
      <c r="G209" s="63"/>
    </row>
    <row r="210" customFormat="false" ht="15" hidden="false" customHeight="false" outlineLevel="0" collapsed="false">
      <c r="A210" s="28"/>
      <c r="B210" s="28"/>
      <c r="C210" s="28"/>
      <c r="D210" s="28"/>
      <c r="E210" s="28"/>
      <c r="F210" s="28"/>
      <c r="G210" s="63"/>
    </row>
    <row r="211" customFormat="false" ht="15" hidden="false" customHeight="false" outlineLevel="0" collapsed="false">
      <c r="A211" s="28"/>
      <c r="B211" s="28"/>
      <c r="C211" s="28"/>
      <c r="D211" s="28"/>
      <c r="E211" s="28"/>
      <c r="F211" s="28"/>
      <c r="G211" s="63"/>
    </row>
    <row r="212" customFormat="false" ht="15" hidden="false" customHeight="false" outlineLevel="0" collapsed="false">
      <c r="A212" s="28"/>
      <c r="B212" s="28"/>
      <c r="C212" s="28"/>
      <c r="D212" s="28"/>
      <c r="E212" s="28"/>
      <c r="F212" s="28"/>
      <c r="G212" s="63"/>
    </row>
    <row r="213" customFormat="false" ht="15" hidden="false" customHeight="false" outlineLevel="0" collapsed="false">
      <c r="A213" s="28"/>
      <c r="B213" s="28"/>
      <c r="C213" s="28"/>
      <c r="D213" s="28"/>
      <c r="E213" s="28"/>
      <c r="F213" s="28"/>
      <c r="G213" s="63"/>
    </row>
    <row r="214" customFormat="false" ht="15" hidden="false" customHeight="false" outlineLevel="0" collapsed="false">
      <c r="A214" s="28"/>
      <c r="B214" s="28"/>
      <c r="C214" s="28"/>
      <c r="D214" s="28"/>
      <c r="E214" s="28"/>
      <c r="F214" s="28"/>
      <c r="G214" s="63"/>
    </row>
    <row r="215" customFormat="false" ht="15" hidden="false" customHeight="false" outlineLevel="0" collapsed="false">
      <c r="A215" s="28"/>
      <c r="B215" s="28"/>
      <c r="C215" s="28"/>
      <c r="D215" s="28"/>
      <c r="E215" s="28"/>
      <c r="F215" s="28"/>
      <c r="G215" s="63"/>
    </row>
    <row r="216" customFormat="false" ht="15" hidden="false" customHeight="false" outlineLevel="0" collapsed="false">
      <c r="A216" s="28"/>
      <c r="B216" s="28"/>
      <c r="C216" s="28"/>
      <c r="D216" s="28"/>
      <c r="E216" s="28"/>
      <c r="F216" s="28"/>
      <c r="G216" s="63"/>
    </row>
    <row r="217" customFormat="false" ht="15" hidden="false" customHeight="false" outlineLevel="0" collapsed="false">
      <c r="A217" s="28"/>
      <c r="B217" s="28"/>
      <c r="C217" s="28"/>
      <c r="D217" s="28"/>
      <c r="E217" s="28"/>
      <c r="F217" s="28"/>
      <c r="G217" s="63"/>
    </row>
    <row r="218" customFormat="false" ht="15" hidden="false" customHeight="false" outlineLevel="0" collapsed="false">
      <c r="A218" s="28"/>
      <c r="B218" s="28"/>
      <c r="C218" s="28"/>
      <c r="D218" s="28"/>
      <c r="E218" s="28"/>
      <c r="F218" s="28"/>
      <c r="G218" s="63"/>
    </row>
    <row r="219" customFormat="false" ht="15" hidden="false" customHeight="false" outlineLevel="0" collapsed="false">
      <c r="A219" s="28"/>
      <c r="B219" s="28"/>
      <c r="C219" s="28"/>
      <c r="D219" s="28"/>
      <c r="E219" s="28"/>
      <c r="F219" s="28"/>
      <c r="G219" s="63"/>
    </row>
    <row r="220" customFormat="false" ht="15" hidden="false" customHeight="false" outlineLevel="0" collapsed="false">
      <c r="A220" s="28"/>
      <c r="B220" s="28"/>
      <c r="C220" s="28"/>
      <c r="D220" s="28"/>
      <c r="E220" s="28"/>
      <c r="F220" s="28"/>
      <c r="G220" s="63"/>
    </row>
    <row r="221" customFormat="false" ht="15" hidden="false" customHeight="false" outlineLevel="0" collapsed="false">
      <c r="A221" s="28"/>
      <c r="B221" s="28"/>
      <c r="C221" s="28"/>
      <c r="D221" s="28"/>
      <c r="E221" s="28"/>
      <c r="F221" s="28"/>
      <c r="G221" s="63"/>
    </row>
    <row r="222" customFormat="false" ht="15" hidden="false" customHeight="false" outlineLevel="0" collapsed="false">
      <c r="A222" s="28"/>
      <c r="B222" s="28"/>
      <c r="C222" s="28"/>
      <c r="D222" s="28"/>
      <c r="E222" s="28"/>
      <c r="F222" s="28"/>
      <c r="G222" s="63"/>
    </row>
    <row r="223" customFormat="false" ht="15" hidden="false" customHeight="false" outlineLevel="0" collapsed="false">
      <c r="A223" s="28"/>
      <c r="B223" s="28"/>
      <c r="C223" s="28"/>
      <c r="D223" s="28"/>
      <c r="E223" s="28"/>
      <c r="F223" s="28"/>
      <c r="G223" s="63"/>
    </row>
    <row r="224" customFormat="false" ht="15" hidden="false" customHeight="false" outlineLevel="0" collapsed="false">
      <c r="A224" s="28"/>
      <c r="B224" s="28"/>
      <c r="C224" s="28"/>
      <c r="D224" s="28"/>
      <c r="E224" s="28"/>
      <c r="F224" s="28"/>
      <c r="G224" s="63"/>
    </row>
    <row r="225" customFormat="false" ht="15" hidden="false" customHeight="false" outlineLevel="0" collapsed="false">
      <c r="A225" s="28"/>
      <c r="B225" s="28"/>
      <c r="C225" s="28"/>
      <c r="D225" s="28"/>
      <c r="E225" s="28"/>
      <c r="F225" s="28"/>
      <c r="G225" s="63"/>
    </row>
    <row r="226" customFormat="false" ht="15" hidden="false" customHeight="false" outlineLevel="0" collapsed="false">
      <c r="A226" s="28"/>
      <c r="B226" s="28"/>
      <c r="C226" s="28"/>
      <c r="D226" s="28"/>
      <c r="E226" s="28"/>
      <c r="F226" s="28"/>
      <c r="G226" s="63"/>
    </row>
    <row r="227" customFormat="false" ht="15" hidden="false" customHeight="false" outlineLevel="0" collapsed="false">
      <c r="A227" s="28"/>
      <c r="B227" s="28"/>
      <c r="C227" s="28"/>
      <c r="D227" s="28"/>
      <c r="E227" s="28"/>
      <c r="F227" s="28"/>
      <c r="G227" s="63"/>
    </row>
    <row r="228" customFormat="false" ht="15" hidden="false" customHeight="false" outlineLevel="0" collapsed="false">
      <c r="A228" s="28"/>
      <c r="B228" s="28"/>
      <c r="C228" s="28"/>
      <c r="D228" s="28"/>
      <c r="E228" s="28"/>
      <c r="F228" s="28"/>
      <c r="G228" s="63"/>
    </row>
    <row r="229" customFormat="false" ht="15" hidden="false" customHeight="false" outlineLevel="0" collapsed="false">
      <c r="A229" s="28"/>
      <c r="B229" s="28"/>
      <c r="C229" s="28"/>
      <c r="D229" s="28"/>
      <c r="E229" s="28"/>
      <c r="F229" s="28"/>
      <c r="G229" s="63"/>
    </row>
    <row r="230" customFormat="false" ht="15" hidden="false" customHeight="false" outlineLevel="0" collapsed="false">
      <c r="A230" s="28"/>
      <c r="B230" s="28"/>
      <c r="C230" s="28"/>
      <c r="D230" s="28"/>
      <c r="E230" s="28"/>
      <c r="F230" s="28"/>
      <c r="G230" s="63"/>
    </row>
    <row r="231" customFormat="false" ht="15" hidden="false" customHeight="false" outlineLevel="0" collapsed="false">
      <c r="A231" s="28"/>
      <c r="B231" s="28"/>
      <c r="C231" s="28"/>
      <c r="D231" s="28"/>
      <c r="E231" s="28"/>
      <c r="F231" s="28"/>
      <c r="G231" s="63"/>
    </row>
    <row r="232" customFormat="false" ht="15" hidden="false" customHeight="false" outlineLevel="0" collapsed="false">
      <c r="A232" s="28"/>
      <c r="B232" s="28"/>
      <c r="C232" s="28"/>
      <c r="D232" s="28"/>
      <c r="E232" s="28"/>
      <c r="F232" s="28"/>
      <c r="G232" s="63"/>
    </row>
    <row r="233" customFormat="false" ht="15" hidden="false" customHeight="false" outlineLevel="0" collapsed="false">
      <c r="A233" s="28"/>
      <c r="B233" s="28"/>
      <c r="C233" s="28"/>
      <c r="D233" s="28"/>
      <c r="E233" s="28"/>
      <c r="F233" s="28"/>
      <c r="G233" s="63"/>
    </row>
    <row r="234" customFormat="false" ht="15" hidden="false" customHeight="false" outlineLevel="0" collapsed="false">
      <c r="A234" s="28"/>
      <c r="B234" s="28"/>
      <c r="C234" s="28"/>
      <c r="D234" s="28"/>
      <c r="E234" s="28"/>
      <c r="F234" s="28"/>
      <c r="G234" s="63"/>
    </row>
    <row r="235" customFormat="false" ht="15" hidden="false" customHeight="false" outlineLevel="0" collapsed="false">
      <c r="A235" s="28"/>
      <c r="B235" s="28"/>
      <c r="C235" s="28"/>
      <c r="D235" s="28"/>
      <c r="E235" s="28"/>
      <c r="F235" s="28"/>
      <c r="G235" s="63"/>
    </row>
    <row r="236" customFormat="false" ht="15" hidden="false" customHeight="false" outlineLevel="0" collapsed="false">
      <c r="A236" s="28"/>
      <c r="B236" s="28"/>
      <c r="C236" s="28"/>
      <c r="D236" s="28"/>
      <c r="E236" s="28"/>
      <c r="F236" s="28"/>
      <c r="G236" s="63"/>
    </row>
    <row r="237" customFormat="false" ht="15" hidden="false" customHeight="false" outlineLevel="0" collapsed="false">
      <c r="A237" s="28"/>
      <c r="B237" s="28"/>
      <c r="C237" s="28"/>
      <c r="D237" s="28"/>
      <c r="E237" s="28"/>
      <c r="F237" s="28"/>
      <c r="G237" s="63"/>
    </row>
    <row r="238" customFormat="false" ht="15" hidden="false" customHeight="false" outlineLevel="0" collapsed="false">
      <c r="A238" s="28"/>
      <c r="B238" s="28"/>
      <c r="C238" s="28"/>
      <c r="D238" s="28"/>
      <c r="E238" s="28"/>
      <c r="F238" s="28"/>
      <c r="G238" s="63"/>
    </row>
    <row r="239" customFormat="false" ht="15" hidden="false" customHeight="false" outlineLevel="0" collapsed="false">
      <c r="A239" s="28"/>
      <c r="B239" s="28"/>
      <c r="C239" s="28"/>
      <c r="D239" s="28"/>
      <c r="E239" s="28"/>
      <c r="F239" s="28"/>
      <c r="G239" s="63"/>
    </row>
    <row r="240" customFormat="false" ht="15" hidden="false" customHeight="false" outlineLevel="0" collapsed="false">
      <c r="A240" s="28"/>
      <c r="B240" s="28"/>
      <c r="C240" s="28"/>
      <c r="D240" s="28"/>
      <c r="E240" s="28"/>
      <c r="F240" s="28"/>
      <c r="G240" s="63"/>
    </row>
    <row r="241" customFormat="false" ht="15" hidden="false" customHeight="false" outlineLevel="0" collapsed="false">
      <c r="A241" s="28"/>
      <c r="B241" s="28"/>
      <c r="C241" s="28"/>
      <c r="D241" s="28"/>
      <c r="E241" s="28"/>
      <c r="F241" s="28"/>
      <c r="G241" s="63"/>
    </row>
    <row r="242" customFormat="false" ht="15" hidden="false" customHeight="false" outlineLevel="0" collapsed="false">
      <c r="A242" s="28"/>
      <c r="B242" s="28"/>
      <c r="C242" s="28"/>
      <c r="D242" s="28"/>
      <c r="E242" s="28"/>
      <c r="F242" s="28"/>
      <c r="G242" s="63"/>
    </row>
    <row r="243" customFormat="false" ht="15" hidden="false" customHeight="false" outlineLevel="0" collapsed="false">
      <c r="A243" s="28"/>
      <c r="B243" s="28"/>
      <c r="C243" s="28"/>
      <c r="D243" s="28"/>
      <c r="E243" s="28"/>
      <c r="F243" s="28"/>
      <c r="G243" s="63"/>
    </row>
    <row r="244" customFormat="false" ht="15" hidden="false" customHeight="false" outlineLevel="0" collapsed="false">
      <c r="A244" s="28"/>
      <c r="B244" s="28"/>
      <c r="C244" s="28"/>
      <c r="D244" s="28"/>
      <c r="E244" s="28"/>
      <c r="F244" s="28"/>
      <c r="G244" s="63"/>
    </row>
    <row r="245" customFormat="false" ht="15" hidden="false" customHeight="false" outlineLevel="0" collapsed="false">
      <c r="A245" s="28"/>
      <c r="B245" s="28"/>
      <c r="C245" s="28"/>
      <c r="D245" s="28"/>
      <c r="E245" s="28"/>
      <c r="F245" s="28"/>
      <c r="G245" s="63"/>
    </row>
    <row r="246" customFormat="false" ht="15" hidden="false" customHeight="false" outlineLevel="0" collapsed="false">
      <c r="A246" s="28"/>
      <c r="B246" s="28"/>
      <c r="C246" s="28"/>
      <c r="D246" s="28"/>
      <c r="E246" s="28"/>
      <c r="F246" s="28"/>
      <c r="G246" s="63"/>
    </row>
    <row r="247" customFormat="false" ht="15" hidden="false" customHeight="false" outlineLevel="0" collapsed="false">
      <c r="A247" s="28"/>
      <c r="B247" s="28"/>
      <c r="C247" s="28"/>
      <c r="D247" s="28"/>
      <c r="E247" s="28"/>
      <c r="F247" s="28"/>
      <c r="G247" s="63"/>
    </row>
    <row r="248" customFormat="false" ht="15" hidden="false" customHeight="false" outlineLevel="0" collapsed="false">
      <c r="A248" s="28"/>
      <c r="B248" s="28"/>
      <c r="C248" s="28"/>
      <c r="D248" s="28"/>
      <c r="E248" s="28"/>
      <c r="F248" s="28"/>
      <c r="G248" s="63"/>
    </row>
    <row r="249" customFormat="false" ht="15" hidden="false" customHeight="false" outlineLevel="0" collapsed="false">
      <c r="A249" s="28"/>
      <c r="B249" s="28"/>
      <c r="C249" s="28"/>
      <c r="D249" s="28"/>
      <c r="E249" s="28"/>
      <c r="F249" s="28"/>
      <c r="G249" s="63"/>
    </row>
    <row r="250" customFormat="false" ht="15" hidden="false" customHeight="false" outlineLevel="0" collapsed="false">
      <c r="A250" s="28"/>
      <c r="B250" s="28"/>
      <c r="C250" s="28"/>
      <c r="D250" s="28"/>
      <c r="E250" s="28"/>
      <c r="F250" s="28"/>
      <c r="G250" s="63"/>
    </row>
    <row r="251" customFormat="false" ht="15" hidden="false" customHeight="false" outlineLevel="0" collapsed="false">
      <c r="A251" s="28"/>
      <c r="B251" s="28"/>
      <c r="C251" s="28"/>
      <c r="D251" s="28"/>
      <c r="E251" s="28"/>
      <c r="F251" s="28"/>
      <c r="G251" s="63"/>
    </row>
    <row r="252" customFormat="false" ht="15" hidden="false" customHeight="false" outlineLevel="0" collapsed="false">
      <c r="A252" s="28"/>
      <c r="B252" s="28"/>
      <c r="C252" s="28"/>
      <c r="D252" s="28"/>
      <c r="E252" s="28"/>
      <c r="F252" s="28"/>
      <c r="G252" s="63"/>
    </row>
    <row r="253" customFormat="false" ht="15" hidden="false" customHeight="false" outlineLevel="0" collapsed="false">
      <c r="A253" s="28"/>
      <c r="B253" s="28"/>
      <c r="C253" s="28"/>
      <c r="D253" s="28"/>
      <c r="E253" s="28"/>
      <c r="F253" s="28"/>
      <c r="G253" s="63"/>
    </row>
    <row r="254" customFormat="false" ht="15" hidden="false" customHeight="false" outlineLevel="0" collapsed="false">
      <c r="A254" s="28"/>
      <c r="B254" s="28"/>
      <c r="C254" s="28"/>
      <c r="D254" s="28"/>
      <c r="E254" s="28"/>
      <c r="F254" s="28"/>
      <c r="G254" s="63"/>
    </row>
    <row r="255" customFormat="false" ht="15" hidden="false" customHeight="false" outlineLevel="0" collapsed="false">
      <c r="A255" s="28"/>
      <c r="B255" s="28"/>
      <c r="C255" s="28"/>
      <c r="D255" s="28"/>
      <c r="E255" s="28"/>
      <c r="F255" s="28"/>
      <c r="G255" s="63"/>
    </row>
    <row r="256" customFormat="false" ht="15" hidden="false" customHeight="false" outlineLevel="0" collapsed="false">
      <c r="A256" s="28"/>
      <c r="B256" s="28"/>
      <c r="C256" s="28"/>
      <c r="D256" s="28"/>
      <c r="E256" s="28"/>
      <c r="F256" s="28"/>
      <c r="G256" s="63"/>
    </row>
    <row r="257" customFormat="false" ht="15" hidden="false" customHeight="false" outlineLevel="0" collapsed="false">
      <c r="A257" s="28"/>
      <c r="B257" s="28"/>
      <c r="C257" s="28"/>
      <c r="D257" s="28"/>
      <c r="E257" s="28"/>
      <c r="F257" s="28"/>
      <c r="G257" s="63"/>
    </row>
    <row r="258" customFormat="false" ht="15" hidden="false" customHeight="false" outlineLevel="0" collapsed="false">
      <c r="A258" s="28"/>
      <c r="B258" s="28"/>
      <c r="C258" s="28"/>
      <c r="D258" s="28"/>
      <c r="E258" s="28"/>
      <c r="F258" s="28"/>
      <c r="G258" s="63"/>
    </row>
    <row r="259" customFormat="false" ht="15" hidden="false" customHeight="false" outlineLevel="0" collapsed="false">
      <c r="A259" s="28"/>
      <c r="B259" s="28"/>
      <c r="C259" s="28"/>
      <c r="D259" s="28"/>
      <c r="E259" s="28"/>
      <c r="F259" s="28"/>
      <c r="G259" s="63"/>
    </row>
    <row r="260" customFormat="false" ht="15" hidden="false" customHeight="false" outlineLevel="0" collapsed="false">
      <c r="A260" s="28"/>
      <c r="B260" s="28"/>
      <c r="C260" s="28"/>
      <c r="D260" s="28"/>
      <c r="E260" s="28"/>
      <c r="F260" s="28"/>
      <c r="G260" s="63"/>
    </row>
    <row r="261" customFormat="false" ht="15" hidden="false" customHeight="false" outlineLevel="0" collapsed="false">
      <c r="A261" s="28"/>
      <c r="B261" s="28"/>
      <c r="C261" s="28"/>
      <c r="D261" s="28"/>
      <c r="E261" s="28"/>
      <c r="F261" s="28"/>
      <c r="G261" s="63"/>
    </row>
    <row r="262" customFormat="false" ht="15" hidden="false" customHeight="false" outlineLevel="0" collapsed="false">
      <c r="A262" s="28"/>
      <c r="B262" s="28"/>
      <c r="C262" s="28"/>
      <c r="D262" s="28"/>
      <c r="E262" s="28"/>
      <c r="F262" s="28"/>
      <c r="G262" s="63"/>
    </row>
    <row r="263" customFormat="false" ht="15" hidden="false" customHeight="false" outlineLevel="0" collapsed="false">
      <c r="A263" s="28"/>
      <c r="B263" s="28"/>
      <c r="C263" s="28"/>
      <c r="D263" s="28"/>
      <c r="E263" s="28"/>
      <c r="F263" s="28"/>
      <c r="G263" s="63"/>
    </row>
    <row r="264" customFormat="false" ht="15" hidden="false" customHeight="false" outlineLevel="0" collapsed="false">
      <c r="A264" s="28"/>
      <c r="B264" s="28"/>
      <c r="C264" s="28"/>
      <c r="D264" s="28"/>
      <c r="E264" s="28"/>
      <c r="F264" s="28"/>
      <c r="G264" s="63"/>
    </row>
    <row r="265" customFormat="false" ht="15" hidden="false" customHeight="false" outlineLevel="0" collapsed="false">
      <c r="A265" s="28"/>
      <c r="B265" s="28"/>
      <c r="C265" s="28"/>
      <c r="D265" s="28"/>
      <c r="E265" s="28"/>
      <c r="F265" s="28"/>
      <c r="G265" s="63"/>
    </row>
    <row r="266" customFormat="false" ht="15" hidden="false" customHeight="false" outlineLevel="0" collapsed="false">
      <c r="A266" s="28"/>
      <c r="B266" s="28"/>
      <c r="C266" s="28"/>
      <c r="D266" s="28"/>
      <c r="E266" s="28"/>
      <c r="F266" s="28"/>
      <c r="G266" s="63"/>
    </row>
    <row r="267" customFormat="false" ht="15" hidden="false" customHeight="false" outlineLevel="0" collapsed="false">
      <c r="A267" s="28"/>
      <c r="B267" s="28"/>
      <c r="C267" s="28"/>
      <c r="D267" s="28"/>
      <c r="E267" s="28"/>
      <c r="F267" s="28"/>
      <c r="G267" s="63"/>
    </row>
    <row r="268" customFormat="false" ht="15" hidden="false" customHeight="false" outlineLevel="0" collapsed="false">
      <c r="A268" s="28"/>
      <c r="B268" s="28"/>
      <c r="C268" s="28"/>
      <c r="D268" s="28"/>
      <c r="E268" s="28"/>
      <c r="F268" s="28"/>
      <c r="G268" s="63"/>
    </row>
    <row r="269" customFormat="false" ht="15" hidden="false" customHeight="false" outlineLevel="0" collapsed="false">
      <c r="A269" s="28"/>
      <c r="B269" s="28"/>
      <c r="C269" s="28"/>
      <c r="D269" s="28"/>
      <c r="E269" s="28"/>
      <c r="F269" s="28"/>
      <c r="G269" s="63"/>
    </row>
    <row r="270" customFormat="false" ht="15" hidden="false" customHeight="false" outlineLevel="0" collapsed="false">
      <c r="A270" s="28"/>
      <c r="B270" s="28"/>
      <c r="C270" s="28"/>
      <c r="D270" s="28"/>
      <c r="E270" s="28"/>
      <c r="F270" s="28"/>
      <c r="G270" s="63"/>
    </row>
    <row r="271" customFormat="false" ht="15" hidden="false" customHeight="false" outlineLevel="0" collapsed="false">
      <c r="A271" s="28"/>
      <c r="B271" s="28"/>
      <c r="C271" s="28"/>
      <c r="D271" s="28"/>
      <c r="E271" s="28"/>
      <c r="F271" s="28"/>
      <c r="G271" s="63"/>
    </row>
    <row r="272" customFormat="false" ht="15" hidden="false" customHeight="false" outlineLevel="0" collapsed="false">
      <c r="A272" s="28"/>
      <c r="B272" s="28"/>
      <c r="C272" s="28"/>
      <c r="D272" s="28"/>
      <c r="E272" s="28"/>
      <c r="F272" s="28"/>
      <c r="G272" s="63"/>
    </row>
    <row r="273" customFormat="false" ht="15" hidden="false" customHeight="false" outlineLevel="0" collapsed="false">
      <c r="A273" s="28"/>
      <c r="B273" s="28"/>
      <c r="C273" s="28"/>
      <c r="D273" s="28"/>
      <c r="E273" s="28"/>
      <c r="F273" s="28"/>
      <c r="G273" s="63"/>
    </row>
    <row r="274" customFormat="false" ht="15" hidden="false" customHeight="false" outlineLevel="0" collapsed="false">
      <c r="A274" s="28"/>
      <c r="B274" s="28"/>
      <c r="C274" s="28"/>
      <c r="D274" s="28"/>
      <c r="E274" s="28"/>
      <c r="F274" s="28"/>
      <c r="G274" s="63"/>
    </row>
    <row r="275" customFormat="false" ht="15" hidden="false" customHeight="false" outlineLevel="0" collapsed="false">
      <c r="A275" s="28"/>
      <c r="B275" s="28"/>
      <c r="C275" s="28"/>
      <c r="D275" s="28"/>
      <c r="E275" s="28"/>
      <c r="F275" s="28"/>
      <c r="G275" s="63"/>
    </row>
    <row r="276" customFormat="false" ht="15" hidden="false" customHeight="false" outlineLevel="0" collapsed="false">
      <c r="A276" s="28"/>
      <c r="B276" s="28"/>
      <c r="C276" s="28"/>
      <c r="D276" s="28"/>
      <c r="E276" s="28"/>
      <c r="F276" s="28"/>
      <c r="G276" s="63"/>
    </row>
    <row r="277" customFormat="false" ht="15" hidden="false" customHeight="false" outlineLevel="0" collapsed="false">
      <c r="A277" s="28"/>
      <c r="B277" s="28"/>
      <c r="C277" s="28"/>
      <c r="D277" s="28"/>
      <c r="E277" s="28"/>
      <c r="F277" s="28"/>
      <c r="G277" s="63"/>
    </row>
    <row r="278" customFormat="false" ht="15" hidden="false" customHeight="false" outlineLevel="0" collapsed="false">
      <c r="A278" s="28"/>
      <c r="B278" s="28"/>
      <c r="C278" s="28"/>
      <c r="D278" s="28"/>
      <c r="E278" s="28"/>
      <c r="F278" s="28"/>
      <c r="G278" s="63"/>
    </row>
    <row r="279" customFormat="false" ht="15" hidden="false" customHeight="false" outlineLevel="0" collapsed="false">
      <c r="A279" s="28"/>
      <c r="B279" s="28"/>
      <c r="C279" s="28"/>
      <c r="D279" s="28"/>
      <c r="E279" s="28"/>
      <c r="F279" s="28"/>
      <c r="G279" s="63"/>
    </row>
    <row r="280" customFormat="false" ht="15" hidden="false" customHeight="false" outlineLevel="0" collapsed="false">
      <c r="A280" s="28"/>
      <c r="B280" s="28"/>
      <c r="C280" s="28"/>
      <c r="D280" s="28"/>
      <c r="E280" s="28"/>
      <c r="F280" s="28"/>
      <c r="G280" s="63"/>
    </row>
    <row r="281" customFormat="false" ht="15" hidden="false" customHeight="false" outlineLevel="0" collapsed="false">
      <c r="A281" s="28"/>
      <c r="B281" s="28"/>
      <c r="C281" s="28"/>
      <c r="D281" s="28"/>
      <c r="E281" s="28"/>
      <c r="F281" s="28"/>
      <c r="G281" s="63"/>
    </row>
    <row r="282" customFormat="false" ht="15" hidden="false" customHeight="false" outlineLevel="0" collapsed="false">
      <c r="A282" s="28"/>
      <c r="B282" s="28"/>
      <c r="C282" s="28"/>
      <c r="D282" s="28"/>
      <c r="E282" s="28"/>
      <c r="F282" s="28"/>
      <c r="G282" s="63"/>
    </row>
    <row r="283" customFormat="false" ht="15" hidden="false" customHeight="false" outlineLevel="0" collapsed="false">
      <c r="A283" s="28"/>
      <c r="B283" s="28"/>
      <c r="C283" s="28"/>
      <c r="D283" s="28"/>
      <c r="E283" s="28"/>
      <c r="F283" s="28"/>
      <c r="G283" s="63"/>
    </row>
    <row r="284" customFormat="false" ht="15" hidden="false" customHeight="false" outlineLevel="0" collapsed="false">
      <c r="A284" s="28"/>
      <c r="B284" s="28"/>
      <c r="C284" s="28"/>
      <c r="D284" s="28"/>
      <c r="E284" s="28"/>
      <c r="F284" s="28"/>
      <c r="G284" s="63"/>
    </row>
    <row r="285" customFormat="false" ht="15" hidden="false" customHeight="false" outlineLevel="0" collapsed="false">
      <c r="A285" s="28"/>
      <c r="B285" s="28"/>
      <c r="C285" s="28"/>
      <c r="D285" s="28"/>
      <c r="E285" s="28"/>
      <c r="F285" s="28"/>
      <c r="G285" s="63"/>
    </row>
    <row r="286" customFormat="false" ht="15" hidden="false" customHeight="false" outlineLevel="0" collapsed="false">
      <c r="A286" s="28"/>
      <c r="B286" s="28"/>
      <c r="C286" s="28"/>
      <c r="D286" s="28"/>
      <c r="E286" s="28"/>
      <c r="F286" s="28"/>
      <c r="G286" s="63"/>
    </row>
    <row r="287" customFormat="false" ht="15" hidden="false" customHeight="false" outlineLevel="0" collapsed="false">
      <c r="A287" s="28"/>
      <c r="B287" s="28"/>
      <c r="C287" s="28"/>
      <c r="D287" s="28"/>
      <c r="E287" s="28"/>
      <c r="F287" s="28"/>
      <c r="G287" s="63"/>
    </row>
    <row r="288" customFormat="false" ht="15" hidden="false" customHeight="false" outlineLevel="0" collapsed="false">
      <c r="A288" s="28"/>
      <c r="B288" s="28"/>
      <c r="C288" s="28"/>
      <c r="D288" s="28"/>
      <c r="E288" s="28"/>
      <c r="F288" s="28"/>
      <c r="G288" s="63"/>
    </row>
    <row r="289" customFormat="false" ht="15" hidden="false" customHeight="false" outlineLevel="0" collapsed="false">
      <c r="A289" s="28"/>
      <c r="B289" s="28"/>
      <c r="C289" s="28"/>
      <c r="D289" s="28"/>
      <c r="E289" s="28"/>
      <c r="F289" s="28"/>
      <c r="G289" s="63"/>
    </row>
    <row r="290" customFormat="false" ht="15" hidden="false" customHeight="false" outlineLevel="0" collapsed="false">
      <c r="A290" s="28"/>
      <c r="B290" s="28"/>
      <c r="C290" s="28"/>
      <c r="D290" s="28"/>
      <c r="E290" s="28"/>
      <c r="F290" s="28"/>
      <c r="G290" s="63"/>
    </row>
    <row r="291" customFormat="false" ht="15" hidden="false" customHeight="false" outlineLevel="0" collapsed="false">
      <c r="A291" s="28"/>
      <c r="B291" s="28"/>
      <c r="C291" s="28"/>
      <c r="D291" s="28"/>
      <c r="E291" s="28"/>
      <c r="F291" s="28"/>
      <c r="G291" s="63"/>
    </row>
    <row r="292" customFormat="false" ht="15" hidden="false" customHeight="false" outlineLevel="0" collapsed="false">
      <c r="A292" s="28"/>
      <c r="B292" s="28"/>
      <c r="C292" s="28"/>
      <c r="D292" s="28"/>
      <c r="E292" s="28"/>
      <c r="F292" s="28"/>
      <c r="G292" s="63"/>
    </row>
    <row r="293" customFormat="false" ht="15" hidden="false" customHeight="false" outlineLevel="0" collapsed="false">
      <c r="A293" s="28"/>
      <c r="B293" s="28"/>
      <c r="C293" s="28"/>
      <c r="D293" s="28"/>
      <c r="E293" s="28"/>
      <c r="F293" s="28"/>
      <c r="G293" s="63"/>
    </row>
    <row r="294" customFormat="false" ht="15" hidden="false" customHeight="false" outlineLevel="0" collapsed="false">
      <c r="A294" s="28"/>
      <c r="B294" s="28"/>
      <c r="C294" s="28"/>
      <c r="D294" s="28"/>
      <c r="E294" s="28"/>
      <c r="F294" s="28"/>
      <c r="G294" s="63"/>
    </row>
    <row r="295" customFormat="false" ht="15" hidden="false" customHeight="false" outlineLevel="0" collapsed="false">
      <c r="A295" s="28"/>
      <c r="B295" s="28"/>
      <c r="C295" s="28"/>
      <c r="D295" s="28"/>
      <c r="E295" s="28"/>
      <c r="F295" s="28"/>
      <c r="G295" s="63"/>
    </row>
    <row r="296" customFormat="false" ht="15" hidden="false" customHeight="false" outlineLevel="0" collapsed="false">
      <c r="A296" s="28"/>
      <c r="B296" s="28"/>
      <c r="C296" s="28"/>
      <c r="D296" s="28"/>
      <c r="E296" s="28"/>
      <c r="F296" s="28"/>
      <c r="G296" s="63"/>
    </row>
    <row r="297" customFormat="false" ht="15" hidden="false" customHeight="false" outlineLevel="0" collapsed="false">
      <c r="A297" s="28"/>
      <c r="B297" s="28"/>
      <c r="C297" s="28"/>
      <c r="D297" s="28"/>
      <c r="E297" s="28"/>
      <c r="F297" s="28"/>
      <c r="G297" s="63"/>
    </row>
    <row r="298" customFormat="false" ht="15" hidden="false" customHeight="false" outlineLevel="0" collapsed="false">
      <c r="A298" s="28"/>
      <c r="B298" s="28"/>
      <c r="C298" s="28"/>
      <c r="D298" s="28"/>
      <c r="E298" s="28"/>
      <c r="F298" s="28"/>
      <c r="G298" s="63"/>
    </row>
    <row r="299" customFormat="false" ht="15" hidden="false" customHeight="false" outlineLevel="0" collapsed="false">
      <c r="A299" s="28"/>
      <c r="B299" s="28"/>
      <c r="C299" s="28"/>
      <c r="D299" s="28"/>
      <c r="E299" s="28"/>
      <c r="F299" s="28"/>
      <c r="G299" s="63"/>
    </row>
    <row r="300" customFormat="false" ht="15" hidden="false" customHeight="false" outlineLevel="0" collapsed="false">
      <c r="A300" s="28"/>
      <c r="B300" s="28"/>
      <c r="C300" s="28"/>
      <c r="D300" s="28"/>
      <c r="E300" s="28"/>
      <c r="F300" s="28"/>
      <c r="G300" s="63"/>
    </row>
    <row r="301" customFormat="false" ht="15" hidden="false" customHeight="false" outlineLevel="0" collapsed="false">
      <c r="A301" s="28"/>
      <c r="B301" s="28"/>
      <c r="C301" s="28"/>
      <c r="D301" s="28"/>
      <c r="E301" s="28"/>
      <c r="F301" s="28"/>
      <c r="G301" s="63"/>
    </row>
    <row r="302" customFormat="false" ht="15" hidden="false" customHeight="false" outlineLevel="0" collapsed="false">
      <c r="A302" s="28"/>
      <c r="B302" s="28"/>
      <c r="C302" s="28"/>
      <c r="D302" s="28"/>
      <c r="E302" s="28"/>
      <c r="F302" s="28"/>
      <c r="G302" s="63"/>
    </row>
    <row r="303" customFormat="false" ht="15" hidden="false" customHeight="false" outlineLevel="0" collapsed="false">
      <c r="A303" s="28"/>
      <c r="B303" s="28"/>
      <c r="C303" s="28"/>
      <c r="D303" s="28"/>
      <c r="E303" s="28"/>
      <c r="F303" s="28"/>
      <c r="G303" s="63"/>
    </row>
    <row r="304" customFormat="false" ht="15" hidden="false" customHeight="false" outlineLevel="0" collapsed="false">
      <c r="A304" s="28"/>
      <c r="B304" s="28"/>
      <c r="C304" s="28"/>
      <c r="D304" s="28"/>
      <c r="E304" s="28"/>
      <c r="F304" s="28"/>
      <c r="G304" s="63"/>
    </row>
    <row r="305" customFormat="false" ht="15" hidden="false" customHeight="false" outlineLevel="0" collapsed="false">
      <c r="A305" s="28"/>
      <c r="B305" s="28"/>
      <c r="C305" s="28"/>
      <c r="D305" s="28"/>
      <c r="E305" s="28"/>
      <c r="F305" s="28"/>
      <c r="G305" s="63"/>
    </row>
    <row r="306" customFormat="false" ht="15" hidden="false" customHeight="false" outlineLevel="0" collapsed="false">
      <c r="A306" s="28"/>
      <c r="B306" s="28"/>
      <c r="C306" s="28"/>
      <c r="D306" s="28"/>
      <c r="E306" s="28"/>
      <c r="F306" s="28"/>
      <c r="G306" s="63"/>
    </row>
    <row r="307" customFormat="false" ht="15" hidden="false" customHeight="false" outlineLevel="0" collapsed="false">
      <c r="A307" s="28"/>
      <c r="B307" s="28"/>
      <c r="C307" s="28"/>
      <c r="D307" s="28"/>
      <c r="E307" s="28"/>
      <c r="F307" s="28"/>
      <c r="G307" s="63"/>
    </row>
    <row r="308" customFormat="false" ht="15" hidden="false" customHeight="false" outlineLevel="0" collapsed="false">
      <c r="A308" s="28"/>
      <c r="B308" s="28"/>
      <c r="C308" s="28"/>
      <c r="D308" s="28"/>
      <c r="E308" s="28"/>
      <c r="F308" s="28"/>
      <c r="G308" s="63"/>
    </row>
    <row r="309" customFormat="false" ht="15" hidden="false" customHeight="false" outlineLevel="0" collapsed="false">
      <c r="A309" s="28"/>
      <c r="B309" s="28"/>
      <c r="C309" s="28"/>
      <c r="D309" s="28"/>
      <c r="E309" s="28"/>
      <c r="F309" s="28"/>
      <c r="G309" s="63"/>
    </row>
    <row r="310" customFormat="false" ht="15" hidden="false" customHeight="false" outlineLevel="0" collapsed="false">
      <c r="A310" s="28"/>
      <c r="B310" s="28"/>
      <c r="C310" s="28"/>
      <c r="D310" s="28"/>
      <c r="E310" s="28"/>
      <c r="F310" s="28"/>
      <c r="G310" s="63"/>
    </row>
    <row r="311" customFormat="false" ht="15" hidden="false" customHeight="false" outlineLevel="0" collapsed="false">
      <c r="A311" s="28"/>
      <c r="B311" s="28"/>
      <c r="C311" s="28"/>
      <c r="D311" s="28"/>
      <c r="E311" s="28"/>
      <c r="F311" s="28"/>
      <c r="G311" s="63"/>
    </row>
    <row r="312" customFormat="false" ht="15" hidden="false" customHeight="false" outlineLevel="0" collapsed="false">
      <c r="A312" s="28"/>
      <c r="B312" s="28"/>
      <c r="C312" s="28"/>
      <c r="D312" s="28"/>
      <c r="E312" s="28"/>
      <c r="F312" s="28"/>
      <c r="G312" s="63"/>
    </row>
    <row r="313" customFormat="false" ht="15" hidden="false" customHeight="false" outlineLevel="0" collapsed="false">
      <c r="A313" s="28"/>
      <c r="B313" s="28"/>
      <c r="C313" s="28"/>
      <c r="D313" s="28"/>
      <c r="E313" s="28"/>
      <c r="F313" s="28"/>
      <c r="G313" s="63"/>
    </row>
    <row r="314" customFormat="false" ht="15" hidden="false" customHeight="false" outlineLevel="0" collapsed="false">
      <c r="A314" s="28"/>
      <c r="B314" s="28"/>
      <c r="C314" s="28"/>
      <c r="D314" s="28"/>
      <c r="E314" s="28"/>
      <c r="F314" s="28"/>
      <c r="G314" s="63"/>
    </row>
    <row r="315" customFormat="false" ht="15" hidden="false" customHeight="false" outlineLevel="0" collapsed="false">
      <c r="A315" s="28"/>
      <c r="B315" s="28"/>
      <c r="C315" s="28"/>
      <c r="D315" s="28"/>
      <c r="E315" s="28"/>
      <c r="F315" s="28"/>
      <c r="G315" s="63"/>
    </row>
    <row r="316" customFormat="false" ht="15" hidden="false" customHeight="false" outlineLevel="0" collapsed="false">
      <c r="A316" s="28"/>
      <c r="B316" s="28"/>
      <c r="C316" s="28"/>
      <c r="D316" s="28"/>
      <c r="E316" s="28"/>
      <c r="F316" s="28"/>
      <c r="G316" s="63"/>
    </row>
    <row r="317" customFormat="false" ht="15" hidden="false" customHeight="false" outlineLevel="0" collapsed="false">
      <c r="A317" s="28"/>
      <c r="B317" s="28"/>
      <c r="C317" s="28"/>
      <c r="D317" s="28"/>
      <c r="E317" s="28"/>
      <c r="F317" s="28"/>
      <c r="G317" s="63"/>
    </row>
    <row r="318" customFormat="false" ht="15" hidden="false" customHeight="false" outlineLevel="0" collapsed="false">
      <c r="A318" s="28"/>
      <c r="B318" s="28"/>
      <c r="C318" s="28"/>
      <c r="D318" s="28"/>
      <c r="E318" s="28"/>
      <c r="F318" s="28"/>
      <c r="G318" s="63"/>
    </row>
    <row r="319" customFormat="false" ht="15" hidden="false" customHeight="false" outlineLevel="0" collapsed="false">
      <c r="A319" s="28"/>
      <c r="B319" s="28"/>
      <c r="C319" s="28"/>
      <c r="D319" s="28"/>
      <c r="E319" s="28"/>
      <c r="F319" s="28"/>
      <c r="G319" s="63"/>
    </row>
    <row r="320" customFormat="false" ht="15" hidden="false" customHeight="false" outlineLevel="0" collapsed="false">
      <c r="A320" s="28"/>
      <c r="B320" s="28"/>
      <c r="C320" s="28"/>
      <c r="D320" s="28"/>
      <c r="E320" s="28"/>
      <c r="F320" s="28"/>
      <c r="G320" s="63"/>
    </row>
    <row r="321" customFormat="false" ht="15" hidden="false" customHeight="false" outlineLevel="0" collapsed="false">
      <c r="A321" s="28"/>
      <c r="B321" s="28"/>
      <c r="C321" s="28"/>
      <c r="D321" s="28"/>
      <c r="E321" s="28"/>
      <c r="F321" s="28"/>
      <c r="G321" s="63"/>
    </row>
    <row r="322" customFormat="false" ht="15" hidden="false" customHeight="false" outlineLevel="0" collapsed="false">
      <c r="A322" s="28"/>
      <c r="B322" s="28"/>
      <c r="C322" s="28"/>
      <c r="D322" s="28"/>
      <c r="E322" s="28"/>
      <c r="F322" s="28"/>
      <c r="G322" s="63"/>
    </row>
    <row r="323" customFormat="false" ht="15" hidden="false" customHeight="false" outlineLevel="0" collapsed="false">
      <c r="A323" s="28"/>
      <c r="B323" s="28"/>
      <c r="C323" s="28"/>
      <c r="D323" s="28"/>
      <c r="E323" s="28"/>
      <c r="F323" s="28"/>
      <c r="G323" s="63"/>
    </row>
    <row r="324" customFormat="false" ht="15" hidden="false" customHeight="false" outlineLevel="0" collapsed="false">
      <c r="A324" s="28"/>
      <c r="B324" s="28"/>
      <c r="C324" s="28"/>
      <c r="D324" s="28"/>
      <c r="E324" s="28"/>
      <c r="F324" s="28"/>
      <c r="G324" s="63"/>
    </row>
    <row r="325" customFormat="false" ht="15" hidden="false" customHeight="false" outlineLevel="0" collapsed="false">
      <c r="A325" s="28"/>
      <c r="B325" s="28"/>
      <c r="C325" s="28"/>
      <c r="D325" s="28"/>
      <c r="E325" s="28"/>
      <c r="F325" s="28"/>
      <c r="G325" s="63"/>
    </row>
    <row r="326" customFormat="false" ht="15" hidden="false" customHeight="false" outlineLevel="0" collapsed="false">
      <c r="A326" s="28"/>
      <c r="B326" s="28"/>
      <c r="C326" s="28"/>
      <c r="D326" s="28"/>
      <c r="E326" s="28"/>
      <c r="F326" s="28"/>
      <c r="G326" s="63"/>
    </row>
    <row r="327" customFormat="false" ht="15" hidden="false" customHeight="false" outlineLevel="0" collapsed="false">
      <c r="A327" s="28"/>
      <c r="B327" s="28"/>
      <c r="C327" s="28"/>
      <c r="D327" s="28"/>
      <c r="E327" s="28"/>
      <c r="F327" s="28"/>
      <c r="G327" s="63"/>
    </row>
    <row r="328" customFormat="false" ht="15" hidden="false" customHeight="false" outlineLevel="0" collapsed="false">
      <c r="A328" s="28"/>
      <c r="B328" s="28"/>
      <c r="C328" s="28"/>
      <c r="D328" s="28"/>
      <c r="E328" s="28"/>
      <c r="F328" s="28"/>
      <c r="G328" s="63"/>
    </row>
    <row r="329" customFormat="false" ht="15" hidden="false" customHeight="false" outlineLevel="0" collapsed="false">
      <c r="A329" s="28"/>
      <c r="B329" s="28"/>
      <c r="C329" s="28"/>
      <c r="D329" s="28"/>
      <c r="E329" s="28"/>
      <c r="F329" s="28"/>
      <c r="G329" s="63"/>
    </row>
    <row r="330" customFormat="false" ht="15" hidden="false" customHeight="false" outlineLevel="0" collapsed="false">
      <c r="A330" s="28"/>
      <c r="B330" s="28"/>
      <c r="C330" s="28"/>
      <c r="D330" s="28"/>
      <c r="E330" s="28"/>
      <c r="F330" s="28"/>
      <c r="G330" s="63"/>
    </row>
    <row r="331" customFormat="false" ht="15" hidden="false" customHeight="false" outlineLevel="0" collapsed="false">
      <c r="A331" s="28"/>
      <c r="B331" s="28"/>
      <c r="C331" s="28"/>
      <c r="D331" s="28"/>
      <c r="E331" s="28"/>
      <c r="F331" s="28"/>
      <c r="G331" s="63"/>
    </row>
    <row r="332" customFormat="false" ht="15" hidden="false" customHeight="false" outlineLevel="0" collapsed="false">
      <c r="A332" s="28"/>
      <c r="B332" s="28"/>
      <c r="C332" s="28"/>
      <c r="D332" s="28"/>
      <c r="E332" s="28"/>
      <c r="F332" s="28"/>
      <c r="G332" s="63"/>
    </row>
    <row r="333" customFormat="false" ht="15" hidden="false" customHeight="false" outlineLevel="0" collapsed="false">
      <c r="A333" s="28"/>
      <c r="B333" s="28"/>
      <c r="C333" s="28"/>
      <c r="D333" s="28"/>
      <c r="E333" s="28"/>
      <c r="F333" s="28"/>
      <c r="G333" s="63"/>
    </row>
    <row r="334" customFormat="false" ht="15" hidden="false" customHeight="false" outlineLevel="0" collapsed="false">
      <c r="A334" s="28"/>
      <c r="B334" s="28"/>
      <c r="C334" s="28"/>
      <c r="D334" s="28"/>
      <c r="E334" s="28"/>
      <c r="F334" s="28"/>
      <c r="G334" s="63"/>
    </row>
    <row r="335" customFormat="false" ht="15" hidden="false" customHeight="false" outlineLevel="0" collapsed="false">
      <c r="A335" s="28"/>
      <c r="B335" s="28"/>
      <c r="C335" s="28"/>
      <c r="D335" s="28"/>
      <c r="E335" s="28"/>
      <c r="F335" s="28"/>
      <c r="G335" s="63"/>
    </row>
    <row r="336" customFormat="false" ht="15" hidden="false" customHeight="false" outlineLevel="0" collapsed="false">
      <c r="A336" s="28"/>
      <c r="B336" s="28"/>
      <c r="C336" s="28"/>
      <c r="D336" s="28"/>
      <c r="E336" s="28"/>
      <c r="F336" s="28"/>
      <c r="G336" s="63"/>
    </row>
    <row r="337" customFormat="false" ht="15" hidden="false" customHeight="false" outlineLevel="0" collapsed="false">
      <c r="A337" s="28"/>
      <c r="B337" s="28"/>
      <c r="C337" s="28"/>
      <c r="D337" s="28"/>
      <c r="E337" s="28"/>
      <c r="F337" s="28"/>
      <c r="G337" s="63"/>
    </row>
    <row r="338" customFormat="false" ht="15" hidden="false" customHeight="false" outlineLevel="0" collapsed="false">
      <c r="A338" s="28"/>
      <c r="B338" s="28"/>
      <c r="C338" s="28"/>
      <c r="D338" s="28"/>
      <c r="E338" s="28"/>
      <c r="F338" s="28"/>
      <c r="G338" s="63"/>
    </row>
    <row r="339" customFormat="false" ht="15" hidden="false" customHeight="false" outlineLevel="0" collapsed="false">
      <c r="A339" s="28"/>
      <c r="B339" s="28"/>
      <c r="C339" s="28"/>
      <c r="D339" s="28"/>
      <c r="E339" s="28"/>
      <c r="F339" s="28"/>
      <c r="G339" s="63"/>
    </row>
    <row r="340" customFormat="false" ht="15" hidden="false" customHeight="false" outlineLevel="0" collapsed="false">
      <c r="A340" s="28"/>
      <c r="B340" s="28"/>
      <c r="C340" s="28"/>
      <c r="D340" s="28"/>
      <c r="E340" s="28"/>
      <c r="F340" s="28"/>
      <c r="G340" s="63"/>
    </row>
    <row r="341" customFormat="false" ht="15" hidden="false" customHeight="false" outlineLevel="0" collapsed="false">
      <c r="A341" s="28"/>
      <c r="B341" s="28"/>
      <c r="C341" s="28"/>
      <c r="D341" s="28"/>
      <c r="E341" s="28"/>
      <c r="F341" s="28"/>
      <c r="G341" s="63"/>
    </row>
    <row r="342" customFormat="false" ht="15" hidden="false" customHeight="false" outlineLevel="0" collapsed="false">
      <c r="A342" s="28"/>
      <c r="B342" s="28"/>
      <c r="C342" s="28"/>
      <c r="D342" s="28"/>
      <c r="E342" s="28"/>
      <c r="F342" s="28"/>
      <c r="G342" s="63"/>
    </row>
    <row r="343" customFormat="false" ht="15" hidden="false" customHeight="false" outlineLevel="0" collapsed="false">
      <c r="A343" s="28"/>
      <c r="B343" s="28"/>
      <c r="C343" s="28"/>
      <c r="D343" s="28"/>
      <c r="E343" s="28"/>
      <c r="F343" s="28"/>
      <c r="G343" s="63"/>
    </row>
    <row r="344" customFormat="false" ht="15" hidden="false" customHeight="false" outlineLevel="0" collapsed="false">
      <c r="A344" s="28"/>
      <c r="B344" s="28"/>
      <c r="C344" s="28"/>
      <c r="D344" s="28"/>
      <c r="E344" s="28"/>
      <c r="F344" s="28"/>
      <c r="G344" s="63"/>
    </row>
    <row r="345" customFormat="false" ht="15" hidden="false" customHeight="false" outlineLevel="0" collapsed="false">
      <c r="A345" s="28"/>
      <c r="B345" s="28"/>
      <c r="C345" s="28"/>
      <c r="D345" s="28"/>
      <c r="E345" s="28"/>
      <c r="F345" s="28"/>
      <c r="G345" s="63"/>
    </row>
    <row r="346" customFormat="false" ht="15" hidden="false" customHeight="false" outlineLevel="0" collapsed="false">
      <c r="A346" s="28"/>
      <c r="B346" s="28"/>
      <c r="C346" s="28"/>
      <c r="D346" s="28"/>
      <c r="E346" s="28"/>
      <c r="F346" s="28"/>
      <c r="G346" s="63"/>
    </row>
    <row r="347" customFormat="false" ht="15" hidden="false" customHeight="false" outlineLevel="0" collapsed="false">
      <c r="A347" s="28"/>
      <c r="B347" s="28"/>
      <c r="C347" s="28"/>
      <c r="D347" s="28"/>
      <c r="E347" s="28"/>
      <c r="F347" s="28"/>
      <c r="G347" s="63"/>
    </row>
    <row r="348" customFormat="false" ht="15" hidden="false" customHeight="false" outlineLevel="0" collapsed="false">
      <c r="A348" s="28"/>
      <c r="B348" s="28"/>
      <c r="C348" s="28"/>
      <c r="D348" s="28"/>
      <c r="E348" s="28"/>
      <c r="F348" s="28"/>
      <c r="G348" s="63"/>
    </row>
    <row r="349" customFormat="false" ht="15" hidden="false" customHeight="false" outlineLevel="0" collapsed="false">
      <c r="A349" s="28"/>
      <c r="B349" s="28"/>
      <c r="C349" s="28"/>
      <c r="D349" s="28"/>
      <c r="E349" s="28"/>
      <c r="F349" s="28"/>
      <c r="G349" s="63"/>
    </row>
    <row r="350" customFormat="false" ht="15" hidden="false" customHeight="false" outlineLevel="0" collapsed="false">
      <c r="A350" s="28"/>
      <c r="B350" s="28"/>
      <c r="C350" s="28"/>
      <c r="D350" s="28"/>
      <c r="E350" s="28"/>
      <c r="F350" s="28"/>
      <c r="G350" s="63"/>
    </row>
    <row r="351" customFormat="false" ht="15" hidden="false" customHeight="false" outlineLevel="0" collapsed="false">
      <c r="A351" s="28"/>
      <c r="B351" s="28"/>
      <c r="C351" s="28"/>
      <c r="D351" s="28"/>
      <c r="E351" s="28"/>
      <c r="F351" s="28"/>
      <c r="G351" s="63"/>
    </row>
    <row r="352" customFormat="false" ht="15" hidden="false" customHeight="false" outlineLevel="0" collapsed="false">
      <c r="A352" s="28"/>
      <c r="B352" s="28"/>
      <c r="C352" s="28"/>
      <c r="D352" s="28"/>
      <c r="E352" s="28"/>
      <c r="F352" s="28"/>
      <c r="G352" s="63"/>
    </row>
    <row r="353" customFormat="false" ht="15" hidden="false" customHeight="false" outlineLevel="0" collapsed="false">
      <c r="A353" s="28"/>
      <c r="B353" s="28"/>
      <c r="C353" s="28"/>
      <c r="D353" s="28"/>
      <c r="E353" s="28"/>
      <c r="F353" s="28"/>
      <c r="G353" s="63"/>
    </row>
    <row r="354" customFormat="false" ht="15" hidden="false" customHeight="false" outlineLevel="0" collapsed="false">
      <c r="A354" s="28"/>
      <c r="B354" s="28"/>
      <c r="C354" s="28"/>
      <c r="D354" s="28"/>
      <c r="E354" s="28"/>
      <c r="F354" s="28"/>
      <c r="G354" s="63"/>
    </row>
    <row r="355" customFormat="false" ht="15" hidden="false" customHeight="false" outlineLevel="0" collapsed="false">
      <c r="A355" s="28"/>
      <c r="B355" s="28"/>
      <c r="C355" s="28"/>
      <c r="D355" s="28"/>
      <c r="E355" s="28"/>
      <c r="F355" s="28"/>
      <c r="G355" s="63"/>
    </row>
    <row r="356" customFormat="false" ht="15" hidden="false" customHeight="false" outlineLevel="0" collapsed="false">
      <c r="A356" s="28"/>
      <c r="B356" s="28"/>
      <c r="C356" s="28"/>
      <c r="D356" s="28"/>
      <c r="E356" s="28"/>
      <c r="F356" s="28"/>
      <c r="G356" s="63"/>
    </row>
    <row r="357" customFormat="false" ht="15" hidden="false" customHeight="false" outlineLevel="0" collapsed="false">
      <c r="A357" s="28"/>
      <c r="B357" s="28"/>
      <c r="C357" s="28"/>
      <c r="D357" s="28"/>
      <c r="E357" s="28"/>
      <c r="F357" s="28"/>
      <c r="G357" s="63"/>
    </row>
    <row r="358" customFormat="false" ht="15" hidden="false" customHeight="false" outlineLevel="0" collapsed="false">
      <c r="A358" s="28"/>
      <c r="B358" s="28"/>
      <c r="C358" s="28"/>
      <c r="D358" s="28"/>
      <c r="E358" s="28"/>
      <c r="F358" s="28"/>
      <c r="G358" s="63"/>
    </row>
    <row r="359" customFormat="false" ht="15" hidden="false" customHeight="false" outlineLevel="0" collapsed="false">
      <c r="A359" s="28"/>
      <c r="B359" s="28"/>
      <c r="C359" s="28"/>
      <c r="D359" s="28"/>
      <c r="E359" s="28"/>
      <c r="F359" s="28"/>
      <c r="G359" s="63"/>
    </row>
    <row r="360" customFormat="false" ht="15" hidden="false" customHeight="false" outlineLevel="0" collapsed="false">
      <c r="A360" s="28"/>
      <c r="B360" s="28"/>
      <c r="C360" s="28"/>
      <c r="D360" s="28"/>
      <c r="E360" s="28"/>
      <c r="F360" s="28"/>
      <c r="G360" s="63"/>
    </row>
    <row r="361" customFormat="false" ht="15" hidden="false" customHeight="false" outlineLevel="0" collapsed="false">
      <c r="A361" s="28"/>
      <c r="B361" s="28"/>
      <c r="C361" s="28"/>
      <c r="D361" s="28"/>
      <c r="E361" s="28"/>
      <c r="F361" s="28"/>
      <c r="G361" s="63"/>
    </row>
    <row r="362" customFormat="false" ht="15" hidden="false" customHeight="false" outlineLevel="0" collapsed="false">
      <c r="A362" s="28"/>
      <c r="B362" s="28"/>
      <c r="C362" s="28"/>
      <c r="D362" s="28"/>
      <c r="E362" s="28"/>
      <c r="F362" s="28"/>
      <c r="G362" s="63"/>
    </row>
    <row r="363" customFormat="false" ht="15" hidden="false" customHeight="false" outlineLevel="0" collapsed="false">
      <c r="A363" s="28"/>
      <c r="B363" s="28"/>
      <c r="C363" s="28"/>
      <c r="D363" s="28"/>
      <c r="E363" s="28"/>
      <c r="F363" s="28"/>
      <c r="G363" s="63"/>
    </row>
    <row r="364" customFormat="false" ht="15" hidden="false" customHeight="false" outlineLevel="0" collapsed="false">
      <c r="A364" s="28"/>
      <c r="B364" s="28"/>
      <c r="C364" s="28"/>
      <c r="D364" s="28"/>
      <c r="E364" s="28"/>
      <c r="F364" s="28"/>
      <c r="G364" s="63"/>
    </row>
    <row r="365" customFormat="false" ht="15" hidden="false" customHeight="false" outlineLevel="0" collapsed="false">
      <c r="A365" s="28"/>
      <c r="B365" s="28"/>
      <c r="C365" s="28"/>
      <c r="D365" s="28"/>
      <c r="E365" s="28"/>
      <c r="F365" s="28"/>
      <c r="G365" s="63"/>
    </row>
    <row r="366" customFormat="false" ht="15" hidden="false" customHeight="false" outlineLevel="0" collapsed="false">
      <c r="A366" s="28"/>
      <c r="B366" s="28"/>
      <c r="C366" s="28"/>
      <c r="D366" s="28"/>
      <c r="E366" s="28"/>
      <c r="F366" s="28"/>
      <c r="G366" s="63"/>
    </row>
    <row r="367" customFormat="false" ht="15" hidden="false" customHeight="false" outlineLevel="0" collapsed="false">
      <c r="A367" s="28"/>
      <c r="B367" s="28"/>
      <c r="C367" s="28"/>
      <c r="D367" s="28"/>
      <c r="E367" s="28"/>
      <c r="F367" s="28"/>
      <c r="G367" s="63"/>
    </row>
    <row r="368" customFormat="false" ht="15" hidden="false" customHeight="false" outlineLevel="0" collapsed="false">
      <c r="A368" s="28"/>
      <c r="B368" s="28"/>
      <c r="C368" s="28"/>
      <c r="D368" s="28"/>
      <c r="E368" s="28"/>
      <c r="F368" s="28"/>
      <c r="G368" s="63"/>
    </row>
    <row r="369" customFormat="false" ht="15" hidden="false" customHeight="false" outlineLevel="0" collapsed="false">
      <c r="A369" s="28"/>
      <c r="B369" s="28"/>
      <c r="C369" s="28"/>
      <c r="D369" s="28"/>
      <c r="E369" s="28"/>
      <c r="F369" s="28"/>
      <c r="G369" s="63"/>
    </row>
    <row r="370" customFormat="false" ht="15" hidden="false" customHeight="false" outlineLevel="0" collapsed="false">
      <c r="A370" s="28"/>
      <c r="B370" s="28"/>
      <c r="C370" s="28"/>
      <c r="D370" s="28"/>
      <c r="E370" s="28"/>
      <c r="F370" s="28"/>
      <c r="G370" s="63"/>
    </row>
    <row r="371" customFormat="false" ht="15" hidden="false" customHeight="false" outlineLevel="0" collapsed="false">
      <c r="A371" s="28"/>
      <c r="B371" s="28"/>
      <c r="C371" s="28"/>
      <c r="D371" s="28"/>
      <c r="E371" s="28"/>
      <c r="F371" s="28"/>
      <c r="G371" s="63"/>
    </row>
    <row r="372" customFormat="false" ht="15" hidden="false" customHeight="false" outlineLevel="0" collapsed="false">
      <c r="A372" s="28"/>
      <c r="B372" s="28"/>
      <c r="C372" s="28"/>
      <c r="D372" s="28"/>
      <c r="E372" s="28"/>
      <c r="F372" s="28"/>
      <c r="G372" s="63"/>
    </row>
    <row r="373" customFormat="false" ht="15" hidden="false" customHeight="false" outlineLevel="0" collapsed="false">
      <c r="A373" s="28"/>
      <c r="B373" s="28"/>
      <c r="C373" s="28"/>
      <c r="D373" s="28"/>
      <c r="E373" s="28"/>
      <c r="F373" s="28"/>
      <c r="G373" s="63"/>
    </row>
    <row r="374" customFormat="false" ht="15" hidden="false" customHeight="false" outlineLevel="0" collapsed="false">
      <c r="A374" s="28"/>
      <c r="B374" s="28"/>
      <c r="C374" s="28"/>
      <c r="D374" s="28"/>
      <c r="E374" s="28"/>
      <c r="F374" s="28"/>
      <c r="G374" s="63"/>
    </row>
    <row r="375" customFormat="false" ht="15" hidden="false" customHeight="false" outlineLevel="0" collapsed="false">
      <c r="A375" s="28"/>
      <c r="B375" s="28"/>
      <c r="C375" s="28"/>
      <c r="D375" s="28"/>
      <c r="E375" s="28"/>
      <c r="F375" s="28"/>
      <c r="G375" s="63"/>
    </row>
    <row r="376" customFormat="false" ht="15" hidden="false" customHeight="false" outlineLevel="0" collapsed="false">
      <c r="A376" s="28"/>
      <c r="B376" s="28"/>
      <c r="C376" s="28"/>
      <c r="D376" s="28"/>
      <c r="E376" s="28"/>
      <c r="F376" s="28"/>
      <c r="G376" s="63"/>
    </row>
    <row r="377" customFormat="false" ht="15" hidden="false" customHeight="false" outlineLevel="0" collapsed="false">
      <c r="A377" s="28"/>
      <c r="B377" s="28"/>
      <c r="C377" s="28"/>
      <c r="D377" s="28"/>
      <c r="E377" s="28"/>
      <c r="F377" s="28"/>
      <c r="G377" s="63"/>
    </row>
    <row r="378" customFormat="false" ht="15" hidden="false" customHeight="false" outlineLevel="0" collapsed="false">
      <c r="A378" s="28"/>
      <c r="B378" s="28"/>
      <c r="C378" s="28"/>
      <c r="D378" s="28"/>
      <c r="E378" s="28"/>
      <c r="F378" s="28"/>
      <c r="G378" s="63"/>
    </row>
    <row r="379" customFormat="false" ht="15" hidden="false" customHeight="false" outlineLevel="0" collapsed="false">
      <c r="A379" s="28"/>
      <c r="B379" s="28"/>
      <c r="C379" s="28"/>
      <c r="D379" s="28"/>
      <c r="E379" s="28"/>
      <c r="F379" s="28"/>
      <c r="G379" s="63"/>
    </row>
    <row r="380" customFormat="false" ht="15" hidden="false" customHeight="false" outlineLevel="0" collapsed="false">
      <c r="A380" s="28"/>
      <c r="B380" s="28"/>
      <c r="C380" s="28"/>
      <c r="D380" s="28"/>
      <c r="E380" s="28"/>
      <c r="F380" s="28"/>
      <c r="G380" s="63"/>
    </row>
    <row r="381" customFormat="false" ht="15" hidden="false" customHeight="false" outlineLevel="0" collapsed="false">
      <c r="A381" s="28"/>
      <c r="B381" s="28"/>
      <c r="C381" s="28"/>
      <c r="D381" s="28"/>
      <c r="E381" s="28"/>
      <c r="F381" s="28"/>
      <c r="G381" s="63"/>
    </row>
    <row r="382" customFormat="false" ht="15" hidden="false" customHeight="false" outlineLevel="0" collapsed="false">
      <c r="A382" s="28"/>
      <c r="B382" s="28"/>
      <c r="C382" s="28"/>
      <c r="D382" s="28"/>
      <c r="E382" s="28"/>
      <c r="F382" s="28"/>
      <c r="G382" s="63"/>
    </row>
    <row r="383" customFormat="false" ht="15" hidden="false" customHeight="false" outlineLevel="0" collapsed="false">
      <c r="A383" s="28"/>
      <c r="B383" s="28"/>
      <c r="C383" s="28"/>
      <c r="D383" s="28"/>
      <c r="E383" s="28"/>
      <c r="F383" s="28"/>
      <c r="G383" s="63"/>
    </row>
    <row r="384" customFormat="false" ht="15" hidden="false" customHeight="false" outlineLevel="0" collapsed="false">
      <c r="A384" s="28"/>
      <c r="B384" s="28"/>
      <c r="C384" s="28"/>
      <c r="D384" s="28"/>
      <c r="E384" s="28"/>
      <c r="F384" s="28"/>
      <c r="G384" s="63"/>
    </row>
    <row r="385" customFormat="false" ht="15" hidden="false" customHeight="false" outlineLevel="0" collapsed="false">
      <c r="A385" s="28"/>
      <c r="B385" s="28"/>
      <c r="C385" s="28"/>
      <c r="D385" s="28"/>
      <c r="E385" s="28"/>
      <c r="F385" s="28"/>
      <c r="G385" s="63"/>
    </row>
    <row r="386" customFormat="false" ht="15" hidden="false" customHeight="false" outlineLevel="0" collapsed="false">
      <c r="A386" s="28"/>
      <c r="B386" s="28"/>
      <c r="C386" s="28"/>
      <c r="D386" s="28"/>
      <c r="E386" s="28"/>
      <c r="F386" s="28"/>
      <c r="G386" s="63"/>
    </row>
    <row r="387" customFormat="false" ht="15" hidden="false" customHeight="false" outlineLevel="0" collapsed="false">
      <c r="A387" s="28"/>
      <c r="B387" s="28"/>
      <c r="C387" s="28"/>
      <c r="D387" s="28"/>
      <c r="E387" s="28"/>
      <c r="F387" s="28"/>
      <c r="G387" s="63"/>
    </row>
    <row r="388" customFormat="false" ht="15" hidden="false" customHeight="false" outlineLevel="0" collapsed="false">
      <c r="A388" s="28"/>
      <c r="B388" s="28"/>
      <c r="C388" s="28"/>
      <c r="D388" s="28"/>
      <c r="E388" s="28"/>
      <c r="F388" s="28"/>
      <c r="G388" s="63"/>
    </row>
    <row r="389" customFormat="false" ht="15" hidden="false" customHeight="false" outlineLevel="0" collapsed="false">
      <c r="A389" s="28"/>
      <c r="B389" s="28"/>
      <c r="C389" s="28"/>
      <c r="D389" s="28"/>
      <c r="E389" s="28"/>
      <c r="F389" s="28"/>
      <c r="G389" s="63"/>
    </row>
    <row r="390" customFormat="false" ht="15" hidden="false" customHeight="false" outlineLevel="0" collapsed="false">
      <c r="A390" s="28"/>
      <c r="B390" s="28"/>
      <c r="C390" s="28"/>
      <c r="D390" s="28"/>
      <c r="E390" s="28"/>
      <c r="F390" s="28"/>
      <c r="G390" s="63"/>
    </row>
    <row r="391" customFormat="false" ht="15" hidden="false" customHeight="false" outlineLevel="0" collapsed="false">
      <c r="A391" s="28"/>
      <c r="B391" s="28"/>
      <c r="C391" s="28"/>
      <c r="D391" s="28"/>
      <c r="E391" s="28"/>
      <c r="F391" s="28"/>
      <c r="G391" s="63"/>
    </row>
    <row r="392" customFormat="false" ht="15" hidden="false" customHeight="false" outlineLevel="0" collapsed="false">
      <c r="A392" s="28"/>
      <c r="B392" s="28"/>
      <c r="C392" s="28"/>
      <c r="D392" s="28"/>
      <c r="E392" s="28"/>
      <c r="F392" s="28"/>
      <c r="G392" s="63"/>
    </row>
    <row r="393" customFormat="false" ht="15" hidden="false" customHeight="false" outlineLevel="0" collapsed="false">
      <c r="A393" s="28"/>
      <c r="B393" s="28"/>
      <c r="C393" s="28"/>
      <c r="D393" s="28"/>
      <c r="E393" s="28"/>
      <c r="F393" s="28"/>
      <c r="G393" s="63"/>
    </row>
    <row r="394" customFormat="false" ht="15" hidden="false" customHeight="false" outlineLevel="0" collapsed="false">
      <c r="A394" s="28"/>
      <c r="B394" s="28"/>
      <c r="C394" s="28"/>
      <c r="D394" s="28"/>
      <c r="E394" s="28"/>
      <c r="F394" s="28"/>
      <c r="G394" s="63"/>
    </row>
    <row r="395" customFormat="false" ht="15" hidden="false" customHeight="false" outlineLevel="0" collapsed="false">
      <c r="A395" s="28"/>
      <c r="B395" s="28"/>
      <c r="C395" s="28"/>
      <c r="D395" s="28"/>
      <c r="E395" s="28"/>
      <c r="F395" s="28"/>
      <c r="G395" s="63"/>
    </row>
    <row r="396" customFormat="false" ht="15" hidden="false" customHeight="false" outlineLevel="0" collapsed="false">
      <c r="A396" s="28"/>
      <c r="B396" s="28"/>
      <c r="C396" s="28"/>
      <c r="D396" s="28"/>
      <c r="E396" s="28"/>
      <c r="F396" s="28"/>
      <c r="G396" s="63"/>
    </row>
    <row r="397" customFormat="false" ht="15" hidden="false" customHeight="false" outlineLevel="0" collapsed="false">
      <c r="A397" s="28"/>
      <c r="B397" s="28"/>
      <c r="C397" s="28"/>
      <c r="D397" s="28"/>
      <c r="E397" s="28"/>
      <c r="F397" s="28"/>
      <c r="G397" s="63"/>
    </row>
    <row r="398" customFormat="false" ht="15" hidden="false" customHeight="false" outlineLevel="0" collapsed="false">
      <c r="A398" s="28"/>
      <c r="B398" s="28"/>
      <c r="C398" s="28"/>
      <c r="D398" s="28"/>
      <c r="E398" s="28"/>
      <c r="F398" s="28"/>
      <c r="G398" s="63"/>
    </row>
    <row r="399" customFormat="false" ht="15" hidden="false" customHeight="false" outlineLevel="0" collapsed="false">
      <c r="A399" s="28"/>
      <c r="B399" s="28"/>
      <c r="C399" s="28"/>
      <c r="D399" s="28"/>
      <c r="E399" s="28"/>
      <c r="F399" s="28"/>
      <c r="G399" s="63"/>
    </row>
    <row r="400" customFormat="false" ht="15" hidden="false" customHeight="false" outlineLevel="0" collapsed="false">
      <c r="A400" s="28"/>
      <c r="B400" s="28"/>
      <c r="C400" s="28"/>
      <c r="D400" s="28"/>
      <c r="E400" s="28"/>
      <c r="F400" s="28"/>
      <c r="G400" s="63"/>
    </row>
    <row r="401" customFormat="false" ht="15" hidden="false" customHeight="false" outlineLevel="0" collapsed="false">
      <c r="A401" s="28"/>
      <c r="B401" s="28"/>
      <c r="C401" s="28"/>
      <c r="D401" s="28"/>
      <c r="E401" s="28"/>
      <c r="F401" s="28"/>
      <c r="G401" s="63"/>
    </row>
    <row r="402" customFormat="false" ht="15" hidden="false" customHeight="false" outlineLevel="0" collapsed="false">
      <c r="A402" s="28"/>
      <c r="B402" s="28"/>
      <c r="C402" s="28"/>
      <c r="D402" s="28"/>
      <c r="E402" s="28"/>
      <c r="F402" s="28"/>
      <c r="G402" s="63"/>
    </row>
    <row r="403" customFormat="false" ht="15" hidden="false" customHeight="false" outlineLevel="0" collapsed="false">
      <c r="A403" s="28"/>
      <c r="B403" s="28"/>
      <c r="C403" s="28"/>
      <c r="D403" s="28"/>
      <c r="E403" s="28"/>
      <c r="F403" s="28"/>
      <c r="G403" s="63"/>
    </row>
    <row r="404" customFormat="false" ht="15" hidden="false" customHeight="false" outlineLevel="0" collapsed="false">
      <c r="A404" s="28"/>
      <c r="B404" s="28"/>
      <c r="C404" s="28"/>
      <c r="D404" s="28"/>
      <c r="E404" s="28"/>
      <c r="F404" s="28"/>
      <c r="G404" s="63"/>
    </row>
    <row r="405" customFormat="false" ht="15" hidden="false" customHeight="false" outlineLevel="0" collapsed="false">
      <c r="A405" s="28"/>
      <c r="B405" s="28"/>
      <c r="C405" s="28"/>
      <c r="D405" s="28"/>
      <c r="E405" s="28"/>
      <c r="F405" s="28"/>
      <c r="G405" s="63"/>
    </row>
    <row r="406" customFormat="false" ht="15" hidden="false" customHeight="false" outlineLevel="0" collapsed="false">
      <c r="A406" s="28"/>
      <c r="B406" s="28"/>
      <c r="C406" s="28"/>
      <c r="D406" s="28"/>
      <c r="E406" s="28"/>
      <c r="F406" s="28"/>
      <c r="G406" s="63"/>
    </row>
    <row r="407" customFormat="false" ht="15" hidden="false" customHeight="false" outlineLevel="0" collapsed="false">
      <c r="A407" s="28"/>
      <c r="B407" s="28"/>
      <c r="C407" s="28"/>
      <c r="D407" s="28"/>
      <c r="E407" s="28"/>
      <c r="F407" s="28"/>
      <c r="G407" s="63"/>
    </row>
    <row r="408" customFormat="false" ht="15" hidden="false" customHeight="false" outlineLevel="0" collapsed="false">
      <c r="A408" s="28"/>
      <c r="B408" s="28"/>
      <c r="C408" s="28"/>
      <c r="D408" s="28"/>
      <c r="E408" s="28"/>
      <c r="F408" s="28"/>
      <c r="G408" s="63"/>
    </row>
    <row r="409" customFormat="false" ht="15" hidden="false" customHeight="false" outlineLevel="0" collapsed="false">
      <c r="A409" s="28"/>
      <c r="B409" s="28"/>
      <c r="C409" s="28"/>
      <c r="D409" s="28"/>
      <c r="E409" s="28"/>
      <c r="F409" s="28"/>
      <c r="G409" s="63"/>
    </row>
    <row r="410" customFormat="false" ht="15" hidden="false" customHeight="false" outlineLevel="0" collapsed="false">
      <c r="A410" s="28"/>
      <c r="B410" s="28"/>
      <c r="C410" s="28"/>
      <c r="D410" s="28"/>
      <c r="E410" s="28"/>
      <c r="F410" s="28"/>
      <c r="G410" s="63"/>
    </row>
    <row r="411" customFormat="false" ht="15" hidden="false" customHeight="false" outlineLevel="0" collapsed="false">
      <c r="A411" s="28"/>
      <c r="B411" s="28"/>
      <c r="C411" s="28"/>
      <c r="D411" s="28"/>
      <c r="E411" s="28"/>
      <c r="F411" s="28"/>
      <c r="G411" s="63"/>
    </row>
    <row r="412" customFormat="false" ht="15" hidden="false" customHeight="false" outlineLevel="0" collapsed="false">
      <c r="A412" s="28"/>
      <c r="B412" s="28"/>
      <c r="C412" s="28"/>
      <c r="D412" s="28"/>
      <c r="E412" s="28"/>
      <c r="F412" s="28"/>
      <c r="G412" s="63"/>
    </row>
    <row r="413" customFormat="false" ht="15" hidden="false" customHeight="false" outlineLevel="0" collapsed="false">
      <c r="A413" s="28"/>
      <c r="B413" s="28"/>
      <c r="C413" s="28"/>
      <c r="D413" s="28"/>
      <c r="E413" s="28"/>
      <c r="F413" s="28"/>
      <c r="G413" s="63"/>
    </row>
    <row r="414" customFormat="false" ht="15" hidden="false" customHeight="false" outlineLevel="0" collapsed="false">
      <c r="A414" s="28"/>
      <c r="B414" s="28"/>
      <c r="C414" s="28"/>
      <c r="D414" s="28"/>
      <c r="E414" s="28"/>
      <c r="F414" s="28"/>
      <c r="G414" s="63"/>
    </row>
    <row r="415" customFormat="false" ht="15" hidden="false" customHeight="false" outlineLevel="0" collapsed="false">
      <c r="A415" s="28"/>
      <c r="B415" s="28"/>
      <c r="C415" s="28"/>
      <c r="D415" s="28"/>
      <c r="E415" s="28"/>
      <c r="F415" s="28"/>
      <c r="G415" s="63"/>
    </row>
    <row r="416" customFormat="false" ht="15" hidden="false" customHeight="false" outlineLevel="0" collapsed="false">
      <c r="A416" s="28"/>
      <c r="B416" s="28"/>
      <c r="C416" s="28"/>
      <c r="D416" s="28"/>
      <c r="E416" s="28"/>
      <c r="F416" s="28"/>
      <c r="G416" s="63"/>
    </row>
    <row r="417" customFormat="false" ht="15" hidden="false" customHeight="false" outlineLevel="0" collapsed="false">
      <c r="A417" s="28"/>
      <c r="B417" s="28"/>
      <c r="C417" s="28"/>
      <c r="D417" s="28"/>
      <c r="E417" s="28"/>
      <c r="F417" s="28"/>
      <c r="G417" s="63"/>
    </row>
    <row r="418" customFormat="false" ht="15" hidden="false" customHeight="false" outlineLevel="0" collapsed="false">
      <c r="A418" s="28"/>
      <c r="B418" s="28"/>
      <c r="C418" s="28"/>
      <c r="D418" s="28"/>
      <c r="E418" s="28"/>
      <c r="F418" s="28"/>
      <c r="G418" s="63"/>
    </row>
    <row r="419" customFormat="false" ht="15" hidden="false" customHeight="false" outlineLevel="0" collapsed="false">
      <c r="A419" s="28"/>
      <c r="B419" s="28"/>
      <c r="C419" s="28"/>
      <c r="D419" s="28"/>
      <c r="E419" s="28"/>
      <c r="F419" s="28"/>
      <c r="G419" s="63"/>
    </row>
    <row r="420" customFormat="false" ht="15" hidden="false" customHeight="false" outlineLevel="0" collapsed="false">
      <c r="A420" s="28"/>
      <c r="B420" s="28"/>
      <c r="C420" s="28"/>
      <c r="D420" s="28"/>
      <c r="E420" s="28"/>
      <c r="F420" s="28"/>
      <c r="G420" s="63"/>
    </row>
    <row r="421" customFormat="false" ht="15" hidden="false" customHeight="false" outlineLevel="0" collapsed="false">
      <c r="A421" s="28"/>
      <c r="B421" s="28"/>
      <c r="C421" s="28"/>
      <c r="D421" s="28"/>
      <c r="E421" s="28"/>
      <c r="F421" s="28"/>
      <c r="G421" s="63"/>
    </row>
    <row r="422" customFormat="false" ht="15" hidden="false" customHeight="false" outlineLevel="0" collapsed="false">
      <c r="A422" s="28"/>
      <c r="B422" s="28"/>
      <c r="C422" s="28"/>
      <c r="D422" s="28"/>
      <c r="E422" s="28"/>
      <c r="F422" s="28"/>
      <c r="G422" s="63"/>
    </row>
    <row r="423" customFormat="false" ht="15" hidden="false" customHeight="false" outlineLevel="0" collapsed="false">
      <c r="A423" s="28"/>
      <c r="B423" s="28"/>
      <c r="C423" s="28"/>
      <c r="D423" s="28"/>
      <c r="E423" s="28"/>
      <c r="F423" s="28"/>
      <c r="G423" s="63"/>
    </row>
    <row r="424" customFormat="false" ht="15" hidden="false" customHeight="false" outlineLevel="0" collapsed="false">
      <c r="A424" s="28"/>
      <c r="B424" s="28"/>
      <c r="C424" s="28"/>
      <c r="D424" s="28"/>
      <c r="E424" s="28"/>
      <c r="F424" s="28"/>
      <c r="G424" s="63"/>
    </row>
    <row r="425" customFormat="false" ht="15" hidden="false" customHeight="false" outlineLevel="0" collapsed="false">
      <c r="A425" s="28"/>
      <c r="B425" s="28"/>
      <c r="C425" s="28"/>
      <c r="D425" s="28"/>
      <c r="E425" s="28"/>
      <c r="F425" s="28"/>
      <c r="G425" s="63"/>
    </row>
    <row r="426" customFormat="false" ht="15" hidden="false" customHeight="false" outlineLevel="0" collapsed="false">
      <c r="A426" s="28"/>
      <c r="B426" s="28"/>
      <c r="C426" s="28"/>
      <c r="D426" s="28"/>
      <c r="E426" s="28"/>
      <c r="F426" s="28"/>
      <c r="G426" s="63"/>
    </row>
    <row r="427" customFormat="false" ht="15" hidden="false" customHeight="false" outlineLevel="0" collapsed="false">
      <c r="A427" s="28"/>
      <c r="B427" s="28"/>
      <c r="C427" s="28"/>
      <c r="D427" s="28"/>
      <c r="E427" s="28"/>
      <c r="F427" s="28"/>
      <c r="G427" s="63"/>
    </row>
    <row r="428" customFormat="false" ht="15" hidden="false" customHeight="false" outlineLevel="0" collapsed="false">
      <c r="A428" s="28"/>
      <c r="B428" s="28"/>
      <c r="C428" s="28"/>
      <c r="D428" s="28"/>
      <c r="E428" s="28"/>
      <c r="F428" s="28"/>
      <c r="G428" s="63"/>
    </row>
    <row r="429" customFormat="false" ht="15" hidden="false" customHeight="false" outlineLevel="0" collapsed="false">
      <c r="A429" s="28"/>
      <c r="B429" s="28"/>
      <c r="C429" s="28"/>
      <c r="D429" s="28"/>
      <c r="E429" s="28"/>
      <c r="F429" s="28"/>
      <c r="G429" s="63"/>
    </row>
    <row r="430" customFormat="false" ht="15" hidden="false" customHeight="false" outlineLevel="0" collapsed="false">
      <c r="A430" s="28"/>
      <c r="B430" s="28"/>
      <c r="C430" s="28"/>
      <c r="D430" s="28"/>
      <c r="E430" s="28"/>
      <c r="F430" s="28"/>
      <c r="G430" s="63"/>
    </row>
    <row r="431" customFormat="false" ht="15" hidden="false" customHeight="false" outlineLevel="0" collapsed="false">
      <c r="A431" s="28"/>
      <c r="B431" s="28"/>
      <c r="C431" s="28"/>
      <c r="D431" s="28"/>
      <c r="E431" s="28"/>
      <c r="F431" s="28"/>
      <c r="G431" s="63"/>
    </row>
    <row r="432" customFormat="false" ht="15" hidden="false" customHeight="false" outlineLevel="0" collapsed="false">
      <c r="A432" s="28"/>
      <c r="B432" s="28"/>
      <c r="C432" s="28"/>
      <c r="D432" s="28"/>
      <c r="E432" s="28"/>
      <c r="F432" s="28"/>
      <c r="G432" s="63"/>
    </row>
    <row r="433" customFormat="false" ht="15" hidden="false" customHeight="false" outlineLevel="0" collapsed="false">
      <c r="A433" s="28"/>
      <c r="B433" s="28"/>
      <c r="C433" s="28"/>
      <c r="D433" s="28"/>
      <c r="E433" s="28"/>
      <c r="F433" s="28"/>
      <c r="G433" s="63"/>
    </row>
    <row r="434" customFormat="false" ht="15" hidden="false" customHeight="false" outlineLevel="0" collapsed="false">
      <c r="A434" s="28"/>
      <c r="B434" s="28"/>
      <c r="C434" s="28"/>
      <c r="D434" s="28"/>
      <c r="E434" s="28"/>
      <c r="F434" s="28"/>
      <c r="G434" s="63"/>
    </row>
    <row r="435" customFormat="false" ht="15" hidden="false" customHeight="false" outlineLevel="0" collapsed="false">
      <c r="A435" s="28"/>
      <c r="B435" s="28"/>
      <c r="C435" s="28"/>
      <c r="D435" s="28"/>
      <c r="E435" s="28"/>
      <c r="F435" s="28"/>
      <c r="G435" s="63"/>
    </row>
    <row r="436" customFormat="false" ht="15" hidden="false" customHeight="false" outlineLevel="0" collapsed="false">
      <c r="A436" s="28"/>
      <c r="B436" s="28"/>
      <c r="C436" s="28"/>
      <c r="D436" s="28"/>
      <c r="E436" s="28"/>
      <c r="F436" s="28"/>
      <c r="G436" s="63"/>
    </row>
    <row r="437" customFormat="false" ht="15" hidden="false" customHeight="false" outlineLevel="0" collapsed="false">
      <c r="A437" s="28"/>
      <c r="B437" s="28"/>
      <c r="C437" s="28"/>
      <c r="D437" s="28"/>
      <c r="E437" s="28"/>
      <c r="F437" s="28"/>
      <c r="G437" s="63"/>
    </row>
    <row r="438" customFormat="false" ht="15" hidden="false" customHeight="false" outlineLevel="0" collapsed="false">
      <c r="A438" s="28"/>
      <c r="B438" s="28"/>
      <c r="C438" s="28"/>
      <c r="D438" s="28"/>
      <c r="E438" s="28"/>
      <c r="F438" s="28"/>
      <c r="G438" s="63"/>
    </row>
    <row r="439" customFormat="false" ht="15" hidden="false" customHeight="false" outlineLevel="0" collapsed="false">
      <c r="A439" s="28"/>
      <c r="B439" s="28"/>
      <c r="C439" s="28"/>
      <c r="D439" s="28"/>
      <c r="E439" s="28"/>
      <c r="F439" s="28"/>
      <c r="G439" s="63"/>
    </row>
    <row r="440" customFormat="false" ht="15" hidden="false" customHeight="false" outlineLevel="0" collapsed="false">
      <c r="A440" s="28"/>
      <c r="B440" s="28"/>
      <c r="C440" s="28"/>
      <c r="D440" s="28"/>
      <c r="E440" s="28"/>
      <c r="F440" s="28"/>
      <c r="G440" s="63"/>
    </row>
    <row r="441" customFormat="false" ht="15" hidden="false" customHeight="false" outlineLevel="0" collapsed="false">
      <c r="A441" s="28"/>
      <c r="B441" s="28"/>
      <c r="C441" s="28"/>
      <c r="D441" s="28"/>
      <c r="E441" s="28"/>
      <c r="F441" s="28"/>
      <c r="G441" s="63"/>
    </row>
    <row r="442" customFormat="false" ht="15" hidden="false" customHeight="false" outlineLevel="0" collapsed="false">
      <c r="A442" s="28"/>
      <c r="B442" s="28"/>
      <c r="C442" s="28"/>
      <c r="D442" s="28"/>
      <c r="E442" s="28"/>
      <c r="F442" s="28"/>
      <c r="G442" s="63"/>
    </row>
    <row r="443" customFormat="false" ht="15" hidden="false" customHeight="false" outlineLevel="0" collapsed="false">
      <c r="A443" s="28"/>
      <c r="B443" s="28"/>
      <c r="C443" s="28"/>
      <c r="D443" s="28"/>
      <c r="E443" s="28"/>
      <c r="F443" s="28"/>
      <c r="G443" s="63"/>
    </row>
    <row r="444" customFormat="false" ht="15" hidden="false" customHeight="false" outlineLevel="0" collapsed="false">
      <c r="A444" s="28"/>
      <c r="B444" s="28"/>
      <c r="C444" s="28"/>
      <c r="D444" s="28"/>
      <c r="E444" s="28"/>
      <c r="F444" s="28"/>
      <c r="G444" s="63"/>
    </row>
    <row r="445" customFormat="false" ht="15" hidden="false" customHeight="false" outlineLevel="0" collapsed="false">
      <c r="A445" s="28"/>
      <c r="B445" s="28"/>
      <c r="C445" s="28"/>
      <c r="D445" s="28"/>
      <c r="E445" s="28"/>
      <c r="F445" s="28"/>
      <c r="G445" s="63"/>
    </row>
    <row r="446" customFormat="false" ht="15" hidden="false" customHeight="false" outlineLevel="0" collapsed="false">
      <c r="A446" s="28"/>
      <c r="B446" s="28"/>
      <c r="C446" s="28"/>
      <c r="D446" s="28"/>
      <c r="E446" s="28"/>
      <c r="F446" s="28"/>
      <c r="G446" s="63"/>
    </row>
    <row r="447" customFormat="false" ht="15" hidden="false" customHeight="false" outlineLevel="0" collapsed="false">
      <c r="A447" s="28"/>
      <c r="B447" s="28"/>
      <c r="C447" s="28"/>
      <c r="D447" s="28"/>
      <c r="E447" s="28"/>
      <c r="F447" s="28"/>
      <c r="G447" s="63"/>
    </row>
    <row r="448" customFormat="false" ht="15" hidden="false" customHeight="false" outlineLevel="0" collapsed="false">
      <c r="A448" s="28"/>
      <c r="B448" s="28"/>
      <c r="C448" s="28"/>
      <c r="D448" s="28"/>
      <c r="E448" s="28"/>
      <c r="F448" s="28"/>
      <c r="G448" s="63"/>
    </row>
    <row r="449" customFormat="false" ht="15" hidden="false" customHeight="false" outlineLevel="0" collapsed="false">
      <c r="A449" s="28"/>
      <c r="B449" s="28"/>
      <c r="C449" s="28"/>
      <c r="D449" s="28"/>
      <c r="E449" s="28"/>
      <c r="F449" s="28"/>
      <c r="G449" s="63"/>
    </row>
    <row r="450" customFormat="false" ht="15" hidden="false" customHeight="false" outlineLevel="0" collapsed="false">
      <c r="A450" s="28"/>
      <c r="B450" s="28"/>
      <c r="C450" s="28"/>
      <c r="D450" s="28"/>
      <c r="E450" s="28"/>
      <c r="F450" s="28"/>
      <c r="G450" s="63"/>
    </row>
    <row r="451" customFormat="false" ht="15" hidden="false" customHeight="false" outlineLevel="0" collapsed="false">
      <c r="A451" s="28"/>
      <c r="B451" s="28"/>
      <c r="C451" s="28"/>
      <c r="D451" s="28"/>
      <c r="E451" s="28"/>
      <c r="F451" s="28"/>
      <c r="G451" s="63"/>
    </row>
    <row r="452" customFormat="false" ht="15" hidden="false" customHeight="false" outlineLevel="0" collapsed="false">
      <c r="A452" s="28"/>
      <c r="B452" s="28"/>
      <c r="C452" s="28"/>
      <c r="D452" s="28"/>
      <c r="E452" s="28"/>
      <c r="F452" s="28"/>
      <c r="G452" s="63"/>
    </row>
    <row r="453" customFormat="false" ht="15" hidden="false" customHeight="false" outlineLevel="0" collapsed="false">
      <c r="A453" s="28"/>
      <c r="B453" s="28"/>
      <c r="C453" s="28"/>
      <c r="D453" s="28"/>
      <c r="E453" s="28"/>
      <c r="F453" s="28"/>
      <c r="G453" s="63"/>
    </row>
    <row r="454" customFormat="false" ht="15" hidden="false" customHeight="false" outlineLevel="0" collapsed="false">
      <c r="A454" s="28"/>
      <c r="B454" s="28"/>
      <c r="C454" s="28"/>
      <c r="D454" s="28"/>
      <c r="E454" s="28"/>
      <c r="F454" s="28"/>
      <c r="G454" s="63"/>
    </row>
    <row r="455" customFormat="false" ht="15" hidden="false" customHeight="false" outlineLevel="0" collapsed="false">
      <c r="A455" s="28"/>
      <c r="B455" s="28"/>
      <c r="C455" s="28"/>
      <c r="D455" s="28"/>
      <c r="E455" s="28"/>
      <c r="F455" s="28"/>
      <c r="G455" s="63"/>
    </row>
    <row r="456" customFormat="false" ht="15" hidden="false" customHeight="false" outlineLevel="0" collapsed="false">
      <c r="A456" s="28"/>
      <c r="B456" s="28"/>
      <c r="C456" s="28"/>
      <c r="D456" s="28"/>
      <c r="E456" s="28"/>
      <c r="F456" s="28"/>
      <c r="G456" s="63"/>
    </row>
    <row r="457" customFormat="false" ht="15" hidden="false" customHeight="false" outlineLevel="0" collapsed="false">
      <c r="A457" s="28"/>
      <c r="B457" s="28"/>
      <c r="C457" s="28"/>
      <c r="D457" s="28"/>
      <c r="E457" s="28"/>
      <c r="F457" s="28"/>
      <c r="G457" s="63"/>
    </row>
    <row r="458" customFormat="false" ht="15" hidden="false" customHeight="false" outlineLevel="0" collapsed="false">
      <c r="A458" s="28"/>
      <c r="B458" s="28"/>
      <c r="C458" s="28"/>
      <c r="D458" s="28"/>
      <c r="E458" s="28"/>
      <c r="F458" s="28"/>
      <c r="G458" s="63"/>
    </row>
    <row r="459" customFormat="false" ht="15" hidden="false" customHeight="false" outlineLevel="0" collapsed="false">
      <c r="A459" s="28"/>
      <c r="B459" s="28"/>
      <c r="C459" s="28"/>
      <c r="D459" s="28"/>
      <c r="E459" s="28"/>
      <c r="F459" s="28"/>
      <c r="G459" s="63"/>
    </row>
    <row r="460" customFormat="false" ht="15" hidden="false" customHeight="false" outlineLevel="0" collapsed="false">
      <c r="A460" s="28"/>
      <c r="B460" s="28"/>
      <c r="C460" s="28"/>
      <c r="D460" s="28"/>
      <c r="E460" s="28"/>
      <c r="F460" s="28"/>
      <c r="G460" s="63"/>
    </row>
    <row r="461" customFormat="false" ht="15" hidden="false" customHeight="false" outlineLevel="0" collapsed="false">
      <c r="A461" s="28"/>
      <c r="B461" s="28"/>
      <c r="C461" s="28"/>
      <c r="D461" s="28"/>
      <c r="E461" s="28"/>
      <c r="F461" s="28"/>
      <c r="G461" s="63"/>
    </row>
    <row r="462" customFormat="false" ht="15" hidden="false" customHeight="false" outlineLevel="0" collapsed="false">
      <c r="A462" s="28"/>
      <c r="B462" s="28"/>
      <c r="C462" s="28"/>
      <c r="D462" s="28"/>
      <c r="E462" s="28"/>
      <c r="F462" s="28"/>
      <c r="G462" s="63"/>
    </row>
    <row r="463" customFormat="false" ht="15" hidden="false" customHeight="false" outlineLevel="0" collapsed="false">
      <c r="A463" s="28"/>
      <c r="B463" s="28"/>
      <c r="C463" s="28"/>
      <c r="D463" s="28"/>
      <c r="E463" s="28"/>
      <c r="F463" s="28"/>
      <c r="G463" s="63"/>
    </row>
    <row r="464" customFormat="false" ht="15" hidden="false" customHeight="false" outlineLevel="0" collapsed="false">
      <c r="A464" s="28"/>
      <c r="B464" s="28"/>
      <c r="C464" s="28"/>
      <c r="D464" s="28"/>
      <c r="E464" s="28"/>
      <c r="F464" s="28"/>
      <c r="G464" s="63"/>
    </row>
    <row r="465" customFormat="false" ht="15" hidden="false" customHeight="false" outlineLevel="0" collapsed="false">
      <c r="A465" s="28"/>
      <c r="B465" s="28"/>
      <c r="C465" s="28"/>
      <c r="D465" s="28"/>
      <c r="E465" s="28"/>
      <c r="F465" s="28"/>
      <c r="G465" s="63"/>
    </row>
    <row r="466" customFormat="false" ht="15" hidden="false" customHeight="false" outlineLevel="0" collapsed="false">
      <c r="A466" s="28"/>
      <c r="B466" s="28"/>
      <c r="C466" s="28"/>
      <c r="D466" s="28"/>
      <c r="E466" s="28"/>
      <c r="F466" s="28"/>
      <c r="G466" s="63"/>
    </row>
    <row r="467" customFormat="false" ht="15" hidden="false" customHeight="false" outlineLevel="0" collapsed="false">
      <c r="A467" s="28"/>
      <c r="B467" s="28"/>
      <c r="C467" s="28"/>
      <c r="D467" s="28"/>
      <c r="E467" s="28"/>
      <c r="F467" s="28"/>
      <c r="G467" s="63"/>
    </row>
    <row r="468" customFormat="false" ht="15" hidden="false" customHeight="false" outlineLevel="0" collapsed="false">
      <c r="A468" s="28"/>
      <c r="B468" s="28"/>
      <c r="C468" s="28"/>
      <c r="D468" s="28"/>
      <c r="E468" s="28"/>
      <c r="F468" s="28"/>
      <c r="G468" s="63"/>
    </row>
    <row r="469" customFormat="false" ht="15" hidden="false" customHeight="false" outlineLevel="0" collapsed="false">
      <c r="A469" s="28"/>
      <c r="B469" s="28"/>
      <c r="C469" s="28"/>
      <c r="D469" s="28"/>
      <c r="E469" s="28"/>
      <c r="F469" s="28"/>
      <c r="G469" s="63"/>
    </row>
    <row r="470" customFormat="false" ht="15" hidden="false" customHeight="false" outlineLevel="0" collapsed="false">
      <c r="A470" s="28"/>
      <c r="B470" s="28"/>
      <c r="C470" s="28"/>
      <c r="D470" s="28"/>
      <c r="E470" s="28"/>
      <c r="F470" s="28"/>
      <c r="G470" s="63"/>
    </row>
    <row r="471" customFormat="false" ht="15" hidden="false" customHeight="false" outlineLevel="0" collapsed="false">
      <c r="A471" s="28"/>
      <c r="B471" s="28"/>
      <c r="C471" s="28"/>
      <c r="D471" s="28"/>
      <c r="E471" s="28"/>
      <c r="F471" s="28"/>
      <c r="G471" s="63"/>
    </row>
    <row r="472" customFormat="false" ht="15" hidden="false" customHeight="false" outlineLevel="0" collapsed="false">
      <c r="A472" s="28"/>
      <c r="B472" s="28"/>
      <c r="C472" s="28"/>
      <c r="D472" s="28"/>
      <c r="E472" s="28"/>
      <c r="F472" s="28"/>
      <c r="G472" s="63"/>
    </row>
    <row r="473" customFormat="false" ht="15" hidden="false" customHeight="false" outlineLevel="0" collapsed="false">
      <c r="A473" s="28"/>
      <c r="B473" s="28"/>
      <c r="C473" s="28"/>
      <c r="D473" s="28"/>
      <c r="E473" s="28"/>
      <c r="F473" s="28"/>
      <c r="G473" s="63"/>
    </row>
    <row r="474" customFormat="false" ht="15" hidden="false" customHeight="false" outlineLevel="0" collapsed="false">
      <c r="A474" s="28"/>
      <c r="B474" s="28"/>
      <c r="C474" s="28"/>
      <c r="D474" s="28"/>
      <c r="E474" s="28"/>
      <c r="F474" s="28"/>
      <c r="G474" s="63"/>
    </row>
    <row r="475" customFormat="false" ht="15" hidden="false" customHeight="false" outlineLevel="0" collapsed="false">
      <c r="A475" s="28"/>
      <c r="B475" s="28"/>
      <c r="C475" s="28"/>
      <c r="D475" s="28"/>
      <c r="E475" s="28"/>
      <c r="F475" s="28"/>
      <c r="G475" s="63"/>
    </row>
    <row r="476" customFormat="false" ht="15" hidden="false" customHeight="false" outlineLevel="0" collapsed="false">
      <c r="A476" s="28"/>
      <c r="B476" s="28"/>
      <c r="C476" s="28"/>
      <c r="D476" s="28"/>
      <c r="E476" s="28"/>
      <c r="F476" s="28"/>
      <c r="G476" s="63"/>
    </row>
    <row r="477" customFormat="false" ht="15" hidden="false" customHeight="false" outlineLevel="0" collapsed="false">
      <c r="A477" s="28"/>
      <c r="B477" s="28"/>
      <c r="C477" s="28"/>
      <c r="D477" s="28"/>
      <c r="E477" s="28"/>
      <c r="F477" s="28"/>
      <c r="G477" s="63"/>
    </row>
    <row r="478" customFormat="false" ht="15" hidden="false" customHeight="false" outlineLevel="0" collapsed="false">
      <c r="A478" s="28"/>
      <c r="B478" s="28"/>
      <c r="C478" s="28"/>
      <c r="D478" s="28"/>
      <c r="E478" s="28"/>
      <c r="F478" s="28"/>
      <c r="G478" s="63"/>
    </row>
    <row r="479" customFormat="false" ht="15" hidden="false" customHeight="false" outlineLevel="0" collapsed="false">
      <c r="A479" s="28"/>
      <c r="B479" s="28"/>
      <c r="C479" s="28"/>
      <c r="D479" s="28"/>
      <c r="E479" s="28"/>
      <c r="F479" s="28"/>
      <c r="G479" s="63"/>
    </row>
    <row r="480" customFormat="false" ht="15" hidden="false" customHeight="false" outlineLevel="0" collapsed="false">
      <c r="A480" s="28"/>
      <c r="B480" s="28"/>
      <c r="C480" s="28"/>
      <c r="D480" s="28"/>
      <c r="E480" s="28"/>
      <c r="F480" s="28"/>
      <c r="G480" s="63"/>
    </row>
    <row r="481" customFormat="false" ht="15" hidden="false" customHeight="false" outlineLevel="0" collapsed="false">
      <c r="A481" s="28"/>
      <c r="B481" s="28"/>
      <c r="C481" s="28"/>
      <c r="D481" s="28"/>
      <c r="E481" s="28"/>
      <c r="F481" s="28"/>
      <c r="G481" s="63"/>
    </row>
    <row r="482" customFormat="false" ht="15" hidden="false" customHeight="false" outlineLevel="0" collapsed="false">
      <c r="A482" s="28"/>
      <c r="B482" s="28"/>
      <c r="C482" s="28"/>
      <c r="D482" s="28"/>
      <c r="E482" s="28"/>
      <c r="F482" s="28"/>
      <c r="G482" s="63"/>
    </row>
    <row r="483" customFormat="false" ht="15" hidden="false" customHeight="false" outlineLevel="0" collapsed="false">
      <c r="A483" s="28"/>
      <c r="B483" s="28"/>
      <c r="C483" s="28"/>
      <c r="D483" s="28"/>
      <c r="E483" s="28"/>
      <c r="F483" s="28"/>
      <c r="G483" s="63"/>
    </row>
    <row r="484" customFormat="false" ht="15" hidden="false" customHeight="false" outlineLevel="0" collapsed="false">
      <c r="A484" s="28"/>
      <c r="B484" s="28"/>
      <c r="C484" s="28"/>
      <c r="D484" s="28"/>
      <c r="E484" s="28"/>
      <c r="F484" s="28"/>
      <c r="G484" s="63"/>
    </row>
    <row r="485" customFormat="false" ht="15" hidden="false" customHeight="false" outlineLevel="0" collapsed="false">
      <c r="A485" s="28"/>
      <c r="B485" s="28"/>
      <c r="C485" s="28"/>
      <c r="D485" s="28"/>
      <c r="E485" s="28"/>
      <c r="F485" s="28"/>
      <c r="G485" s="63"/>
    </row>
    <row r="486" customFormat="false" ht="15" hidden="false" customHeight="false" outlineLevel="0" collapsed="false">
      <c r="A486" s="28"/>
      <c r="B486" s="28"/>
      <c r="C486" s="28"/>
      <c r="D486" s="28"/>
      <c r="E486" s="28"/>
      <c r="F486" s="28"/>
      <c r="G486" s="63"/>
    </row>
    <row r="487" customFormat="false" ht="15" hidden="false" customHeight="false" outlineLevel="0" collapsed="false">
      <c r="A487" s="28"/>
      <c r="B487" s="28"/>
      <c r="C487" s="28"/>
      <c r="D487" s="28"/>
      <c r="E487" s="28"/>
      <c r="F487" s="28"/>
      <c r="G487" s="63"/>
    </row>
    <row r="488" customFormat="false" ht="15" hidden="false" customHeight="false" outlineLevel="0" collapsed="false">
      <c r="A488" s="28"/>
      <c r="B488" s="28"/>
      <c r="C488" s="28"/>
      <c r="D488" s="28"/>
      <c r="E488" s="28"/>
      <c r="F488" s="28"/>
      <c r="G488" s="63"/>
    </row>
    <row r="489" customFormat="false" ht="15" hidden="false" customHeight="false" outlineLevel="0" collapsed="false">
      <c r="A489" s="28"/>
      <c r="B489" s="28"/>
      <c r="C489" s="28"/>
      <c r="D489" s="28"/>
      <c r="E489" s="28"/>
      <c r="F489" s="28"/>
      <c r="G489" s="63"/>
    </row>
    <row r="490" customFormat="false" ht="15" hidden="false" customHeight="false" outlineLevel="0" collapsed="false">
      <c r="A490" s="28"/>
      <c r="B490" s="28"/>
      <c r="C490" s="28"/>
      <c r="D490" s="28"/>
      <c r="E490" s="28"/>
      <c r="F490" s="28"/>
      <c r="G490" s="63"/>
    </row>
    <row r="491" customFormat="false" ht="15" hidden="false" customHeight="false" outlineLevel="0" collapsed="false">
      <c r="A491" s="28"/>
      <c r="B491" s="28"/>
      <c r="C491" s="28"/>
      <c r="D491" s="28"/>
      <c r="E491" s="28"/>
      <c r="F491" s="28"/>
      <c r="G491" s="63"/>
    </row>
    <row r="492" customFormat="false" ht="15" hidden="false" customHeight="false" outlineLevel="0" collapsed="false">
      <c r="A492" s="28"/>
      <c r="B492" s="28"/>
      <c r="C492" s="28"/>
      <c r="D492" s="28"/>
      <c r="E492" s="28"/>
      <c r="F492" s="28"/>
      <c r="G492" s="63"/>
    </row>
    <row r="493" customFormat="false" ht="15" hidden="false" customHeight="false" outlineLevel="0" collapsed="false">
      <c r="A493" s="28"/>
      <c r="B493" s="28"/>
      <c r="C493" s="28"/>
      <c r="D493" s="28"/>
      <c r="E493" s="28"/>
      <c r="F493" s="28"/>
      <c r="G493" s="63"/>
    </row>
    <row r="494" customFormat="false" ht="15" hidden="false" customHeight="false" outlineLevel="0" collapsed="false">
      <c r="A494" s="28"/>
      <c r="B494" s="28"/>
      <c r="C494" s="28"/>
      <c r="D494" s="28"/>
      <c r="E494" s="28"/>
      <c r="F494" s="28"/>
      <c r="G494" s="63"/>
    </row>
    <row r="495" customFormat="false" ht="15" hidden="false" customHeight="false" outlineLevel="0" collapsed="false">
      <c r="A495" s="28"/>
      <c r="B495" s="28"/>
      <c r="C495" s="28"/>
      <c r="D495" s="28"/>
      <c r="E495" s="28"/>
      <c r="F495" s="28"/>
      <c r="G495" s="63"/>
    </row>
    <row r="496" customFormat="false" ht="15" hidden="false" customHeight="false" outlineLevel="0" collapsed="false">
      <c r="A496" s="28"/>
      <c r="B496" s="28"/>
      <c r="C496" s="28"/>
      <c r="D496" s="28"/>
      <c r="E496" s="28"/>
      <c r="F496" s="28"/>
      <c r="G496" s="63"/>
    </row>
    <row r="497" customFormat="false" ht="15" hidden="false" customHeight="false" outlineLevel="0" collapsed="false">
      <c r="A497" s="28"/>
      <c r="B497" s="28"/>
      <c r="C497" s="28"/>
      <c r="D497" s="28"/>
      <c r="E497" s="28"/>
      <c r="F497" s="28"/>
      <c r="G497" s="63"/>
    </row>
    <row r="498" customFormat="false" ht="15" hidden="false" customHeight="false" outlineLevel="0" collapsed="false">
      <c r="A498" s="28"/>
      <c r="B498" s="28"/>
      <c r="C498" s="28"/>
      <c r="D498" s="28"/>
      <c r="E498" s="28"/>
      <c r="F498" s="28"/>
      <c r="G498" s="63"/>
    </row>
    <row r="499" customFormat="false" ht="15" hidden="false" customHeight="false" outlineLevel="0" collapsed="false">
      <c r="A499" s="28"/>
      <c r="B499" s="28"/>
      <c r="C499" s="28"/>
      <c r="D499" s="28"/>
      <c r="E499" s="28"/>
      <c r="F499" s="28"/>
      <c r="G499" s="63"/>
    </row>
    <row r="500" customFormat="false" ht="15" hidden="false" customHeight="false" outlineLevel="0" collapsed="false">
      <c r="A500" s="28"/>
      <c r="B500" s="28"/>
      <c r="C500" s="28"/>
      <c r="D500" s="28"/>
      <c r="E500" s="28"/>
      <c r="F500" s="28"/>
      <c r="G500" s="63"/>
    </row>
    <row r="501" customFormat="false" ht="15" hidden="false" customHeight="false" outlineLevel="0" collapsed="false">
      <c r="A501" s="28"/>
      <c r="B501" s="28"/>
      <c r="C501" s="28"/>
      <c r="D501" s="28"/>
      <c r="E501" s="28"/>
      <c r="F501" s="28"/>
      <c r="G501" s="63"/>
    </row>
  </sheetData>
  <autoFilter ref="A1:G5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1A0"/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61" t="s">
        <v>159</v>
      </c>
      <c r="B1" s="61" t="s">
        <v>480</v>
      </c>
      <c r="C1" s="61" t="s">
        <v>481</v>
      </c>
    </row>
    <row r="2" customFormat="false" ht="23.85" hidden="false" customHeight="false" outlineLevel="0" collapsed="false">
      <c r="A2" s="69" t="s">
        <v>482</v>
      </c>
      <c r="B2" s="70" t="s">
        <v>483</v>
      </c>
      <c r="C2" s="70" t="s">
        <v>484</v>
      </c>
    </row>
    <row r="3" customFormat="false" ht="15" hidden="false" customHeight="false" outlineLevel="0" collapsed="false">
      <c r="A3" s="69" t="s">
        <v>485</v>
      </c>
      <c r="B3" s="70" t="s">
        <v>486</v>
      </c>
      <c r="C3" s="70" t="s">
        <v>484</v>
      </c>
    </row>
    <row r="4" customFormat="false" ht="15" hidden="false" customHeight="false" outlineLevel="0" collapsed="false">
      <c r="A4" s="69" t="s">
        <v>487</v>
      </c>
      <c r="B4" s="70" t="s">
        <v>488</v>
      </c>
      <c r="C4" s="70" t="s">
        <v>489</v>
      </c>
    </row>
    <row r="5" customFormat="false" ht="15" hidden="false" customHeight="false" outlineLevel="0" collapsed="false">
      <c r="A5" s="69" t="s">
        <v>490</v>
      </c>
      <c r="B5" s="70" t="s">
        <v>491</v>
      </c>
      <c r="C5" s="70" t="s">
        <v>489</v>
      </c>
    </row>
    <row r="6" customFormat="false" ht="15" hidden="false" customHeight="false" outlineLevel="0" collapsed="false">
      <c r="A6" s="69" t="s">
        <v>492</v>
      </c>
      <c r="B6" s="70" t="s">
        <v>493</v>
      </c>
      <c r="C6" s="70" t="s">
        <v>489</v>
      </c>
    </row>
    <row r="7" customFormat="false" ht="15" hidden="false" customHeight="false" outlineLevel="0" collapsed="false">
      <c r="A7" s="69" t="s">
        <v>494</v>
      </c>
      <c r="B7" s="70" t="s">
        <v>495</v>
      </c>
      <c r="C7" s="70" t="s">
        <v>489</v>
      </c>
    </row>
    <row r="8" customFormat="false" ht="15" hidden="false" customHeight="false" outlineLevel="0" collapsed="false">
      <c r="A8" s="69" t="s">
        <v>496</v>
      </c>
      <c r="B8" s="70" t="s">
        <v>497</v>
      </c>
      <c r="C8" s="70" t="s">
        <v>489</v>
      </c>
    </row>
    <row r="9" customFormat="false" ht="15" hidden="false" customHeight="false" outlineLevel="0" collapsed="false">
      <c r="A9" s="69" t="s">
        <v>498</v>
      </c>
      <c r="B9" s="70" t="s">
        <v>499</v>
      </c>
      <c r="C9" s="70" t="s">
        <v>33</v>
      </c>
    </row>
    <row r="10" customFormat="false" ht="15" hidden="false" customHeight="false" outlineLevel="0" collapsed="false">
      <c r="A10" s="69" t="s">
        <v>500</v>
      </c>
      <c r="B10" s="70" t="s">
        <v>501</v>
      </c>
      <c r="C10" s="70" t="s">
        <v>33</v>
      </c>
    </row>
    <row r="11" customFormat="false" ht="15" hidden="false" customHeight="false" outlineLevel="0" collapsed="false">
      <c r="A11" s="69" t="s">
        <v>502</v>
      </c>
      <c r="B11" s="70" t="s">
        <v>503</v>
      </c>
      <c r="C11" s="70" t="s">
        <v>504</v>
      </c>
    </row>
    <row r="12" customFormat="false" ht="15" hidden="false" customHeight="false" outlineLevel="0" collapsed="false">
      <c r="A12" s="69" t="s">
        <v>505</v>
      </c>
      <c r="B12" s="70" t="s">
        <v>506</v>
      </c>
      <c r="C12" s="70" t="s">
        <v>504</v>
      </c>
    </row>
    <row r="13" customFormat="false" ht="15" hidden="false" customHeight="false" outlineLevel="0" collapsed="false">
      <c r="A13" s="69" t="s">
        <v>507</v>
      </c>
      <c r="B13" s="70" t="s">
        <v>508</v>
      </c>
      <c r="C13" s="70" t="s">
        <v>504</v>
      </c>
    </row>
    <row r="14" customFormat="false" ht="15" hidden="false" customHeight="false" outlineLevel="0" collapsed="false">
      <c r="A14" s="69" t="s">
        <v>509</v>
      </c>
      <c r="B14" s="70" t="s">
        <v>510</v>
      </c>
      <c r="C14" s="70" t="s">
        <v>511</v>
      </c>
    </row>
    <row r="15" customFormat="false" ht="15" hidden="false" customHeight="false" outlineLevel="0" collapsed="false">
      <c r="A15" s="69" t="s">
        <v>512</v>
      </c>
      <c r="B15" s="70" t="s">
        <v>513</v>
      </c>
      <c r="C15" s="70" t="s">
        <v>511</v>
      </c>
    </row>
    <row r="16" customFormat="false" ht="15" hidden="false" customHeight="false" outlineLevel="0" collapsed="false">
      <c r="A16" s="69" t="s">
        <v>514</v>
      </c>
      <c r="B16" s="70" t="s">
        <v>515</v>
      </c>
      <c r="C16" s="70" t="s">
        <v>173</v>
      </c>
    </row>
    <row r="17" customFormat="false" ht="15" hidden="false" customHeight="false" outlineLevel="0" collapsed="false">
      <c r="A17" s="69" t="s">
        <v>516</v>
      </c>
      <c r="B17" s="70" t="s">
        <v>517</v>
      </c>
      <c r="C17" s="70" t="s">
        <v>173</v>
      </c>
    </row>
    <row r="18" customFormat="false" ht="15" hidden="false" customHeight="false" outlineLevel="0" collapsed="false">
      <c r="A18" s="69" t="s">
        <v>518</v>
      </c>
      <c r="B18" s="70" t="s">
        <v>519</v>
      </c>
      <c r="C18" s="70" t="s">
        <v>520</v>
      </c>
    </row>
    <row r="19" customFormat="false" ht="15" hidden="false" customHeight="false" outlineLevel="0" collapsed="false">
      <c r="A19" s="69" t="s">
        <v>521</v>
      </c>
      <c r="B19" s="70" t="s">
        <v>522</v>
      </c>
      <c r="C19" s="70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1A0"/>
    <pageSetUpPr fitToPage="false"/>
  </sheetPr>
  <dimension ref="A1:L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3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34"/>
  </cols>
  <sheetData>
    <row r="1" customFormat="false" ht="19.7" hidden="false" customHeight="false" outlineLevel="0" collapsed="false">
      <c r="A1" s="71" t="s">
        <v>523</v>
      </c>
    </row>
    <row r="2" customFormat="false" ht="15" hidden="false" customHeight="false" outlineLevel="0" collapsed="false">
      <c r="A2" s="34" t="s">
        <v>524</v>
      </c>
    </row>
    <row r="3" customFormat="false" ht="15" hidden="false" customHeight="false" outlineLevel="0" collapsed="false">
      <c r="A3" s="49" t="s">
        <v>525</v>
      </c>
    </row>
    <row r="4" customFormat="false" ht="15" hidden="false" customHeight="false" outlineLevel="0" collapsed="false">
      <c r="A4" s="28" t="s">
        <v>526</v>
      </c>
      <c r="B4" s="72" t="s">
        <v>415</v>
      </c>
      <c r="C4" s="17" t="s">
        <v>527</v>
      </c>
    </row>
    <row r="5" customFormat="false" ht="15" hidden="false" customHeight="false" outlineLevel="0" collapsed="false">
      <c r="A5" s="28" t="s">
        <v>528</v>
      </c>
      <c r="B5" s="72" t="s">
        <v>529</v>
      </c>
      <c r="C5" s="17" t="s">
        <v>530</v>
      </c>
    </row>
    <row r="6" customFormat="false" ht="15" hidden="false" customHeight="false" outlineLevel="0" collapsed="false">
      <c r="A6" s="28" t="s">
        <v>531</v>
      </c>
      <c r="B6" s="72" t="s">
        <v>532</v>
      </c>
      <c r="C6" s="17" t="s">
        <v>533</v>
      </c>
    </row>
    <row r="7" customFormat="false" ht="15" hidden="false" customHeight="false" outlineLevel="0" collapsed="false">
      <c r="A7" s="28" t="s">
        <v>534</v>
      </c>
      <c r="B7" s="72" t="s">
        <v>535</v>
      </c>
      <c r="C7" s="17" t="s">
        <v>536</v>
      </c>
    </row>
    <row r="8" customFormat="false" ht="15" hidden="false" customHeight="false" outlineLevel="0" collapsed="false">
      <c r="A8" s="28" t="s">
        <v>537</v>
      </c>
      <c r="B8" s="73" t="n">
        <v>46297</v>
      </c>
      <c r="C8" s="17" t="s">
        <v>538</v>
      </c>
    </row>
    <row r="9" customFormat="false" ht="15" hidden="false" customHeight="false" outlineLevel="0" collapsed="false">
      <c r="A9" s="28" t="s">
        <v>539</v>
      </c>
      <c r="B9" s="74" t="n">
        <f aca="true">IF(SampleAsOf="",TODAY(),SampleAsOf)</f>
        <v>46297</v>
      </c>
      <c r="C9" s="17" t="s">
        <v>540</v>
      </c>
    </row>
    <row r="10" customFormat="false" ht="15" hidden="false" customHeight="false" outlineLevel="0" collapsed="false">
      <c r="A10" s="28" t="s">
        <v>541</v>
      </c>
      <c r="B10" s="74" t="n">
        <f aca="false">AsOf-WEEKDAY(AsOf,3)</f>
        <v>46293</v>
      </c>
      <c r="C10" s="17" t="s">
        <v>542</v>
      </c>
    </row>
    <row r="11" customFormat="false" ht="15" hidden="false" customHeight="false" outlineLevel="0" collapsed="false">
      <c r="A11" s="49" t="s">
        <v>543</v>
      </c>
    </row>
    <row r="12" customFormat="false" ht="15" hidden="false" customHeight="false" outlineLevel="0" collapsed="false">
      <c r="A12" s="28" t="s">
        <v>544</v>
      </c>
      <c r="B12" s="72" t="n">
        <v>3</v>
      </c>
      <c r="C12" s="17"/>
    </row>
    <row r="13" customFormat="false" ht="15" hidden="false" customHeight="false" outlineLevel="0" collapsed="false">
      <c r="A13" s="28" t="s">
        <v>545</v>
      </c>
      <c r="B13" s="72" t="n">
        <v>7</v>
      </c>
      <c r="C13" s="17"/>
    </row>
    <row r="14" customFormat="false" ht="15" hidden="false" customHeight="false" outlineLevel="0" collapsed="false">
      <c r="A14" s="28" t="s">
        <v>546</v>
      </c>
      <c r="B14" s="72" t="n">
        <v>5</v>
      </c>
      <c r="C14" s="17"/>
    </row>
    <row r="15" customFormat="false" ht="15" hidden="false" customHeight="false" outlineLevel="0" collapsed="false">
      <c r="A15" s="28" t="s">
        <v>547</v>
      </c>
      <c r="B15" s="72" t="n">
        <v>1</v>
      </c>
      <c r="C15" s="17"/>
    </row>
    <row r="16" customFormat="false" ht="15" hidden="false" customHeight="false" outlineLevel="0" collapsed="false">
      <c r="A16" s="28" t="s">
        <v>548</v>
      </c>
      <c r="B16" s="72" t="n">
        <v>24</v>
      </c>
      <c r="C16" s="17" t="s">
        <v>549</v>
      </c>
    </row>
    <row r="17" customFormat="false" ht="15" hidden="false" customHeight="false" outlineLevel="0" collapsed="false">
      <c r="A17" s="28" t="s">
        <v>550</v>
      </c>
      <c r="B17" s="75" t="n">
        <f aca="false">SUMIFS('Use Cases'!$M$2:$M$501,'Use Cases'!$AK$2:$AK$501,"Committed")</f>
        <v>8</v>
      </c>
      <c r="C17" s="17"/>
    </row>
    <row r="18" customFormat="false" ht="15" hidden="false" customHeight="false" outlineLevel="0" collapsed="false">
      <c r="A18" s="28" t="s">
        <v>551</v>
      </c>
      <c r="B18" s="75" t="n">
        <f aca="false">MAX(0,CapacityPoints-CapacityCommitted)</f>
        <v>16</v>
      </c>
      <c r="C18" s="17"/>
    </row>
    <row r="19" customFormat="false" ht="15" hidden="false" customHeight="false" outlineLevel="0" collapsed="false">
      <c r="A19" s="49" t="s">
        <v>552</v>
      </c>
    </row>
    <row r="20" customFormat="false" ht="15" hidden="false" customHeight="false" outlineLevel="0" collapsed="false">
      <c r="A20" s="28" t="s">
        <v>553</v>
      </c>
      <c r="B20" s="76" t="n">
        <v>46297.3618055556</v>
      </c>
      <c r="C20" s="17" t="s">
        <v>554</v>
      </c>
    </row>
    <row r="21" customFormat="false" ht="15" hidden="false" customHeight="false" outlineLevel="0" collapsed="false">
      <c r="A21" s="28" t="s">
        <v>555</v>
      </c>
      <c r="B21" s="75" t="s">
        <v>556</v>
      </c>
      <c r="C21" s="17" t="s">
        <v>557</v>
      </c>
    </row>
    <row r="22" customFormat="false" ht="15" hidden="false" customHeight="false" outlineLevel="0" collapsed="false">
      <c r="A22" s="28" t="s">
        <v>558</v>
      </c>
      <c r="B22" s="75" t="n">
        <v>16</v>
      </c>
      <c r="C22" s="17" t="s">
        <v>559</v>
      </c>
    </row>
    <row r="23" customFormat="false" ht="15" hidden="false" customHeight="false" outlineLevel="0" collapsed="false">
      <c r="A23" s="28" t="s">
        <v>560</v>
      </c>
      <c r="B23" s="75" t="n">
        <f aca="true">IF(SnapshotAt="","",ROUND(IF(SampleAsOf="",NOW(),SampleAsOf+TIME(9,0,0))-SnapshotAt,1))</f>
        <v>0</v>
      </c>
      <c r="C23" s="17"/>
    </row>
    <row r="25" customFormat="false" ht="15" hidden="false" customHeight="false" outlineLevel="0" collapsed="false">
      <c r="A25" s="49" t="s">
        <v>561</v>
      </c>
      <c r="G25" s="49" t="s">
        <v>562</v>
      </c>
      <c r="J25" s="49" t="s">
        <v>563</v>
      </c>
    </row>
    <row r="26" customFormat="false" ht="15" hidden="false" customHeight="false" outlineLevel="0" collapsed="false">
      <c r="A26" s="77" t="s">
        <v>19</v>
      </c>
      <c r="B26" s="77" t="s">
        <v>564</v>
      </c>
      <c r="C26" s="77" t="s">
        <v>565</v>
      </c>
      <c r="D26" s="77" t="s">
        <v>117</v>
      </c>
      <c r="E26" s="77" t="s">
        <v>64</v>
      </c>
      <c r="G26" s="77" t="s">
        <v>566</v>
      </c>
      <c r="H26" s="77" t="s">
        <v>19</v>
      </c>
      <c r="J26" s="77" t="s">
        <v>567</v>
      </c>
      <c r="K26" s="77" t="s">
        <v>568</v>
      </c>
      <c r="L26" s="77" t="s">
        <v>569</v>
      </c>
    </row>
    <row r="27" customFormat="false" ht="15" hidden="false" customHeight="false" outlineLevel="0" collapsed="false">
      <c r="A27" s="28" t="s">
        <v>44</v>
      </c>
      <c r="B27" s="78" t="n">
        <v>7</v>
      </c>
      <c r="C27" s="78" t="n">
        <v>2</v>
      </c>
      <c r="D27" s="28" t="s">
        <v>570</v>
      </c>
      <c r="E27" s="28" t="s">
        <v>93</v>
      </c>
      <c r="G27" s="78" t="s">
        <v>571</v>
      </c>
      <c r="H27" s="78" t="s">
        <v>44</v>
      </c>
      <c r="J27" s="28" t="s">
        <v>18</v>
      </c>
      <c r="K27" s="78" t="s">
        <v>572</v>
      </c>
      <c r="L27" s="17"/>
    </row>
    <row r="28" customFormat="false" ht="15" hidden="false" customHeight="false" outlineLevel="0" collapsed="false">
      <c r="A28" s="28" t="s">
        <v>45</v>
      </c>
      <c r="B28" s="78" t="n">
        <v>7</v>
      </c>
      <c r="C28" s="78" t="n">
        <v>2</v>
      </c>
      <c r="D28" s="28" t="s">
        <v>573</v>
      </c>
      <c r="E28" s="28" t="s">
        <v>93</v>
      </c>
      <c r="G28" s="78" t="s">
        <v>574</v>
      </c>
      <c r="H28" s="78" t="s">
        <v>44</v>
      </c>
      <c r="J28" s="28" t="s">
        <v>13</v>
      </c>
      <c r="K28" s="78" t="s">
        <v>10</v>
      </c>
      <c r="L28" s="17"/>
    </row>
    <row r="29" customFormat="false" ht="15" hidden="false" customHeight="false" outlineLevel="0" collapsed="false">
      <c r="A29" s="28" t="s">
        <v>46</v>
      </c>
      <c r="B29" s="78" t="n">
        <v>10</v>
      </c>
      <c r="C29" s="78" t="n">
        <v>5</v>
      </c>
      <c r="D29" s="28" t="s">
        <v>573</v>
      </c>
      <c r="E29" s="28" t="s">
        <v>98</v>
      </c>
      <c r="G29" s="78" t="s">
        <v>74</v>
      </c>
      <c r="H29" s="78" t="s">
        <v>44</v>
      </c>
      <c r="J29" s="28" t="s">
        <v>160</v>
      </c>
      <c r="K29" s="78" t="s">
        <v>160</v>
      </c>
      <c r="L29" s="17" t="s">
        <v>575</v>
      </c>
    </row>
    <row r="30" customFormat="false" ht="15" hidden="false" customHeight="false" outlineLevel="0" collapsed="false">
      <c r="A30" s="28" t="s">
        <v>47</v>
      </c>
      <c r="B30" s="78" t="n">
        <v>14</v>
      </c>
      <c r="C30" s="78" t="n">
        <v>7</v>
      </c>
      <c r="D30" s="28" t="s">
        <v>576</v>
      </c>
      <c r="E30" s="28" t="s">
        <v>103</v>
      </c>
      <c r="G30" s="78" t="s">
        <v>44</v>
      </c>
      <c r="H30" s="78" t="s">
        <v>44</v>
      </c>
      <c r="J30" s="28" t="s">
        <v>61</v>
      </c>
      <c r="K30" s="78" t="s">
        <v>577</v>
      </c>
      <c r="L30" s="17" t="s">
        <v>578</v>
      </c>
    </row>
    <row r="31" customFormat="false" ht="15" hidden="false" customHeight="false" outlineLevel="0" collapsed="false">
      <c r="A31" s="28" t="s">
        <v>48</v>
      </c>
      <c r="B31" s="78" t="n">
        <v>14</v>
      </c>
      <c r="C31" s="78" t="n">
        <v>7</v>
      </c>
      <c r="D31" s="28" t="s">
        <v>579</v>
      </c>
      <c r="E31" s="28" t="s">
        <v>103</v>
      </c>
      <c r="G31" s="78" t="s">
        <v>45</v>
      </c>
      <c r="H31" s="78" t="s">
        <v>45</v>
      </c>
      <c r="J31" s="28" t="s">
        <v>20</v>
      </c>
      <c r="K31" s="78" t="s">
        <v>580</v>
      </c>
      <c r="L31" s="17"/>
    </row>
    <row r="32" customFormat="false" ht="15" hidden="false" customHeight="false" outlineLevel="0" collapsed="false">
      <c r="A32" s="28" t="s">
        <v>49</v>
      </c>
      <c r="B32" s="78" t="n">
        <v>14</v>
      </c>
      <c r="C32" s="78" t="n">
        <v>14</v>
      </c>
      <c r="D32" s="28" t="s">
        <v>581</v>
      </c>
      <c r="E32" s="28" t="s">
        <v>98</v>
      </c>
      <c r="G32" s="78" t="s">
        <v>46</v>
      </c>
      <c r="H32" s="78" t="s">
        <v>46</v>
      </c>
      <c r="J32" s="28" t="s">
        <v>144</v>
      </c>
      <c r="K32" s="78" t="s">
        <v>582</v>
      </c>
      <c r="L32" s="17" t="s">
        <v>583</v>
      </c>
    </row>
    <row r="33" customFormat="false" ht="15" hidden="false" customHeight="false" outlineLevel="0" collapsed="false">
      <c r="A33" s="28" t="s">
        <v>50</v>
      </c>
      <c r="B33" s="78" t="n">
        <v>14</v>
      </c>
      <c r="C33" s="78" t="n">
        <v>7</v>
      </c>
      <c r="D33" s="28" t="s">
        <v>576</v>
      </c>
      <c r="E33" s="28" t="s">
        <v>98</v>
      </c>
      <c r="G33" s="78" t="s">
        <v>47</v>
      </c>
      <c r="H33" s="78" t="s">
        <v>47</v>
      </c>
      <c r="J33" s="28" t="s">
        <v>145</v>
      </c>
      <c r="K33" s="78" t="s">
        <v>584</v>
      </c>
      <c r="L33" s="17"/>
    </row>
    <row r="34" customFormat="false" ht="15" hidden="false" customHeight="false" outlineLevel="0" collapsed="false">
      <c r="A34" s="28" t="s">
        <v>51</v>
      </c>
      <c r="B34" s="78" t="n">
        <v>45</v>
      </c>
      <c r="C34" s="78" t="n">
        <v>14</v>
      </c>
      <c r="D34" s="28" t="s">
        <v>585</v>
      </c>
      <c r="E34" s="28" t="s">
        <v>103</v>
      </c>
      <c r="G34" s="78" t="s">
        <v>586</v>
      </c>
      <c r="H34" s="78" t="s">
        <v>48</v>
      </c>
      <c r="J34" s="28" t="s">
        <v>147</v>
      </c>
      <c r="K34" s="78" t="s">
        <v>147</v>
      </c>
      <c r="L34" s="17"/>
    </row>
    <row r="35" customFormat="false" ht="15" hidden="false" customHeight="false" outlineLevel="0" collapsed="false">
      <c r="G35" s="78" t="s">
        <v>217</v>
      </c>
      <c r="H35" s="78" t="s">
        <v>48</v>
      </c>
      <c r="J35" s="28" t="s">
        <v>161</v>
      </c>
      <c r="K35" s="78" t="s">
        <v>587</v>
      </c>
      <c r="L35" s="17" t="s">
        <v>588</v>
      </c>
    </row>
    <row r="36" customFormat="false" ht="15" hidden="false" customHeight="false" outlineLevel="0" collapsed="false">
      <c r="A36" s="49" t="s">
        <v>589</v>
      </c>
      <c r="G36" s="78" t="s">
        <v>48</v>
      </c>
      <c r="H36" s="78" t="s">
        <v>48</v>
      </c>
      <c r="J36" s="28" t="s">
        <v>146</v>
      </c>
      <c r="K36" s="78" t="s">
        <v>590</v>
      </c>
      <c r="L36" s="17" t="s">
        <v>591</v>
      </c>
    </row>
    <row r="37" customFormat="false" ht="15" hidden="false" customHeight="false" outlineLevel="0" collapsed="false">
      <c r="A37" s="77" t="s">
        <v>63</v>
      </c>
      <c r="B37" s="77" t="s">
        <v>592</v>
      </c>
      <c r="C37" s="77" t="s">
        <v>593</v>
      </c>
      <c r="G37" s="78" t="s">
        <v>594</v>
      </c>
      <c r="H37" s="78" t="s">
        <v>49</v>
      </c>
      <c r="J37" s="28" t="s">
        <v>75</v>
      </c>
      <c r="K37" s="78" t="s">
        <v>75</v>
      </c>
      <c r="L37" s="17" t="s">
        <v>591</v>
      </c>
    </row>
    <row r="38" customFormat="false" ht="15" hidden="false" customHeight="false" outlineLevel="0" collapsed="false">
      <c r="A38" s="28" t="s">
        <v>77</v>
      </c>
      <c r="B38" s="78" t="n">
        <v>21</v>
      </c>
      <c r="C38" s="17" t="s">
        <v>595</v>
      </c>
      <c r="G38" s="78" t="s">
        <v>237</v>
      </c>
      <c r="H38" s="78" t="s">
        <v>49</v>
      </c>
      <c r="J38" s="28" t="s">
        <v>58</v>
      </c>
      <c r="K38" s="78" t="s">
        <v>596</v>
      </c>
      <c r="L38" s="17" t="s">
        <v>597</v>
      </c>
    </row>
    <row r="39" customFormat="false" ht="15" hidden="false" customHeight="false" outlineLevel="0" collapsed="false">
      <c r="A39" s="28" t="s">
        <v>80</v>
      </c>
      <c r="B39" s="78" t="n">
        <v>45</v>
      </c>
      <c r="C39" s="17" t="s">
        <v>598</v>
      </c>
      <c r="G39" s="78" t="s">
        <v>599</v>
      </c>
      <c r="H39" s="78" t="s">
        <v>49</v>
      </c>
      <c r="J39" s="28" t="s">
        <v>55</v>
      </c>
      <c r="K39" s="78" t="s">
        <v>600</v>
      </c>
      <c r="L39" s="17" t="s">
        <v>601</v>
      </c>
    </row>
    <row r="40" customFormat="false" ht="15" hidden="false" customHeight="false" outlineLevel="0" collapsed="false">
      <c r="A40" s="28" t="s">
        <v>83</v>
      </c>
      <c r="B40" s="78" t="n">
        <v>70</v>
      </c>
      <c r="C40" s="17" t="s">
        <v>602</v>
      </c>
      <c r="G40" s="78" t="s">
        <v>183</v>
      </c>
      <c r="H40" s="78" t="s">
        <v>50</v>
      </c>
      <c r="J40" s="28" t="s">
        <v>54</v>
      </c>
      <c r="K40" s="78" t="s">
        <v>603</v>
      </c>
      <c r="L40" s="17" t="s">
        <v>604</v>
      </c>
    </row>
    <row r="41" customFormat="false" ht="15" hidden="false" customHeight="false" outlineLevel="0" collapsed="false">
      <c r="G41" s="78" t="s">
        <v>605</v>
      </c>
      <c r="H41" s="78" t="s">
        <v>50</v>
      </c>
      <c r="J41" s="28" t="s">
        <v>162</v>
      </c>
      <c r="K41" s="78" t="s">
        <v>606</v>
      </c>
      <c r="L41" s="17" t="s">
        <v>607</v>
      </c>
    </row>
    <row r="42" customFormat="false" ht="15" hidden="false" customHeight="false" outlineLevel="0" collapsed="false">
      <c r="A42" s="49" t="s">
        <v>608</v>
      </c>
      <c r="G42" s="78" t="s">
        <v>251</v>
      </c>
      <c r="H42" s="78" t="s">
        <v>51</v>
      </c>
      <c r="J42" s="28" t="s">
        <v>151</v>
      </c>
      <c r="K42" s="78" t="s">
        <v>609</v>
      </c>
      <c r="L42" s="17" t="s">
        <v>610</v>
      </c>
    </row>
    <row r="43" customFormat="false" ht="15" hidden="false" customHeight="false" outlineLevel="0" collapsed="false">
      <c r="A43" s="72" t="s">
        <v>252</v>
      </c>
      <c r="G43" s="78" t="s">
        <v>611</v>
      </c>
      <c r="H43" s="78" t="s">
        <v>51</v>
      </c>
      <c r="J43" s="28" t="s">
        <v>153</v>
      </c>
      <c r="K43" s="78" t="s">
        <v>612</v>
      </c>
      <c r="L43" s="17" t="s">
        <v>607</v>
      </c>
    </row>
    <row r="44" customFormat="false" ht="15" hidden="false" customHeight="false" outlineLevel="0" collapsed="false">
      <c r="A44" s="72" t="s">
        <v>218</v>
      </c>
      <c r="G44" s="78" t="s">
        <v>32</v>
      </c>
      <c r="H44" s="78" t="s">
        <v>164</v>
      </c>
      <c r="J44" s="28" t="s">
        <v>152</v>
      </c>
      <c r="K44" s="78" t="s">
        <v>613</v>
      </c>
      <c r="L44" s="17" t="s">
        <v>614</v>
      </c>
    </row>
    <row r="45" customFormat="false" ht="15" hidden="false" customHeight="false" outlineLevel="0" collapsed="false">
      <c r="A45" s="72" t="s">
        <v>243</v>
      </c>
      <c r="G45" s="78" t="s">
        <v>164</v>
      </c>
      <c r="H45" s="78" t="s">
        <v>164</v>
      </c>
      <c r="J45" s="28" t="s">
        <v>150</v>
      </c>
      <c r="K45" s="78" t="s">
        <v>615</v>
      </c>
      <c r="L45" s="17" t="s">
        <v>616</v>
      </c>
    </row>
    <row r="46" customFormat="false" ht="15" hidden="false" customHeight="false" outlineLevel="0" collapsed="false">
      <c r="A46" s="72" t="s">
        <v>200</v>
      </c>
      <c r="G46" s="78" t="s">
        <v>269</v>
      </c>
      <c r="H46" s="78" t="s">
        <v>164</v>
      </c>
      <c r="J46" s="28" t="s">
        <v>163</v>
      </c>
      <c r="K46" s="78" t="s">
        <v>617</v>
      </c>
      <c r="L46" s="17" t="s">
        <v>618</v>
      </c>
    </row>
    <row r="47" customFormat="false" ht="15" hidden="false" customHeight="false" outlineLevel="0" collapsed="false">
      <c r="A47" s="72"/>
      <c r="G47" s="78" t="s">
        <v>274</v>
      </c>
      <c r="H47" s="78" t="s">
        <v>164</v>
      </c>
      <c r="J47" s="28" t="s">
        <v>164</v>
      </c>
      <c r="K47" s="78" t="s">
        <v>310</v>
      </c>
      <c r="L47" s="17"/>
    </row>
    <row r="48" customFormat="false" ht="15" hidden="false" customHeight="false" outlineLevel="0" collapsed="false">
      <c r="A48" s="72"/>
      <c r="G48" s="78" t="s">
        <v>619</v>
      </c>
      <c r="H48" s="78" t="s">
        <v>164</v>
      </c>
      <c r="J48" s="28" t="s">
        <v>165</v>
      </c>
      <c r="K48" s="78" t="s">
        <v>165</v>
      </c>
      <c r="L48" s="17"/>
    </row>
    <row r="49" customFormat="false" ht="15" hidden="false" customHeight="false" outlineLevel="0" collapsed="false">
      <c r="A49" s="72"/>
      <c r="J49" s="28" t="s">
        <v>9</v>
      </c>
      <c r="K49" s="78" t="s">
        <v>620</v>
      </c>
      <c r="L49" s="17" t="s">
        <v>621</v>
      </c>
    </row>
    <row r="50" customFormat="false" ht="15" hidden="false" customHeight="false" outlineLevel="0" collapsed="false">
      <c r="A50" s="72"/>
      <c r="J50" s="15" t="s">
        <v>622</v>
      </c>
    </row>
    <row r="67" customFormat="false" ht="15" hidden="false" customHeight="false" outlineLevel="0" collapsed="false">
      <c r="G67" s="15" t="s">
        <v>623</v>
      </c>
    </row>
  </sheetData>
  <dataValidations count="1">
    <dataValidation allowBlank="true" errorStyle="stop" operator="between" showDropDown="false" showErrorMessage="false" showInputMessage="false" sqref="H27:H66" type="list">
      <formula1>"Intake,Triage,Discovery,Design,Approval,Delivery,Scale,Value,Closed"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1A0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71" t="s">
        <v>0</v>
      </c>
    </row>
    <row r="2" customFormat="false" ht="23.85" hidden="false" customHeight="false" outlineLevel="0" collapsed="false">
      <c r="A2" s="79" t="s">
        <v>624</v>
      </c>
      <c r="B2" s="70" t="s">
        <v>625</v>
      </c>
    </row>
    <row r="3" customFormat="false" ht="23.85" hidden="false" customHeight="false" outlineLevel="0" collapsed="false">
      <c r="A3" s="79" t="s">
        <v>626</v>
      </c>
      <c r="B3" s="70" t="s">
        <v>627</v>
      </c>
    </row>
    <row r="4" customFormat="false" ht="15" hidden="false" customHeight="false" outlineLevel="0" collapsed="false">
      <c r="A4" s="14" t="s">
        <v>628</v>
      </c>
    </row>
    <row r="5" customFormat="false" ht="15" hidden="false" customHeight="false" outlineLevel="0" collapsed="false">
      <c r="A5" s="80" t="str">
        <f aca="false">HYPERLINK("#'Home'!A1","Home")</f>
        <v>Home</v>
      </c>
      <c r="B5" s="70" t="s">
        <v>629</v>
      </c>
    </row>
    <row r="6" customFormat="false" ht="15" hidden="false" customHeight="false" outlineLevel="0" collapsed="false">
      <c r="A6" s="80" t="str">
        <f aca="false">HYPERLINK("#'Portfolio'!A1","Portfolio")</f>
        <v>Portfolio</v>
      </c>
      <c r="B6" s="70" t="s">
        <v>630</v>
      </c>
    </row>
    <row r="7" customFormat="false" ht="15" hidden="false" customHeight="false" outlineLevel="0" collapsed="false">
      <c r="A7" s="80" t="str">
        <f aca="false">HYPERLINK("#'Weekly Status'!A1","Weekly Status")</f>
        <v>Weekly Status</v>
      </c>
      <c r="B7" s="70" t="s">
        <v>631</v>
      </c>
    </row>
    <row r="8" customFormat="false" ht="15" hidden="false" customHeight="false" outlineLevel="0" collapsed="false">
      <c r="A8" s="80" t="str">
        <f aca="false">HYPERLINK("#'Gates'!A1","Gates")</f>
        <v>Gates</v>
      </c>
      <c r="B8" s="70" t="s">
        <v>632</v>
      </c>
    </row>
    <row r="9" customFormat="false" ht="15" hidden="false" customHeight="false" outlineLevel="0" collapsed="false">
      <c r="A9" s="80" t="str">
        <f aca="false">HYPERLINK("#'Use Case'!A1","Use Case")</f>
        <v>Use Case</v>
      </c>
      <c r="B9" s="70" t="s">
        <v>633</v>
      </c>
    </row>
    <row r="10" customFormat="false" ht="23.85" hidden="false" customHeight="false" outlineLevel="0" collapsed="false">
      <c r="A10" s="79" t="s">
        <v>634</v>
      </c>
      <c r="B10" s="70" t="s">
        <v>635</v>
      </c>
    </row>
    <row r="11" customFormat="false" ht="23.85" hidden="false" customHeight="false" outlineLevel="0" collapsed="false">
      <c r="A11" s="79" t="s">
        <v>636</v>
      </c>
      <c r="B11" s="70" t="s">
        <v>637</v>
      </c>
    </row>
    <row r="12" customFormat="false" ht="15" hidden="false" customHeight="false" outlineLevel="0" collapsed="false">
      <c r="A12" s="79" t="s">
        <v>638</v>
      </c>
      <c r="B12" s="70" t="s">
        <v>639</v>
      </c>
    </row>
    <row r="13" customFormat="false" ht="15" hidden="false" customHeight="false" outlineLevel="0" collapsed="false">
      <c r="A13" s="14" t="s">
        <v>640</v>
      </c>
    </row>
    <row r="14" customFormat="false" ht="23.85" hidden="false" customHeight="false" outlineLevel="0" collapsed="false">
      <c r="A14" s="79" t="s">
        <v>641</v>
      </c>
      <c r="B14" s="70" t="s">
        <v>642</v>
      </c>
    </row>
    <row r="15" customFormat="false" ht="15" hidden="false" customHeight="false" outlineLevel="0" collapsed="false">
      <c r="A15" s="79" t="s">
        <v>489</v>
      </c>
      <c r="B15" s="70" t="s">
        <v>643</v>
      </c>
    </row>
    <row r="16" customFormat="false" ht="15" hidden="false" customHeight="false" outlineLevel="0" collapsed="false">
      <c r="A16" s="79" t="s">
        <v>32</v>
      </c>
      <c r="B16" s="70" t="s">
        <v>644</v>
      </c>
    </row>
    <row r="17" customFormat="false" ht="15" hidden="false" customHeight="false" outlineLevel="0" collapsed="false">
      <c r="A17" s="79" t="s">
        <v>51</v>
      </c>
      <c r="B17" s="70" t="s">
        <v>645</v>
      </c>
    </row>
    <row r="18" customFormat="false" ht="15" hidden="false" customHeight="false" outlineLevel="0" collapsed="false">
      <c r="A18" s="79" t="s">
        <v>646</v>
      </c>
      <c r="B18" s="70" t="s">
        <v>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2026-10-05T19:19:53Z</dcterms:created>
  <dc:creator>openpyxl</dc:creator>
  <dc:description/>
  <dc:language>en-US</dc:language>
  <cp:lastModifiedBy/>
  <dcterms:modified xsi:type="dcterms:W3CDTF">2026-10-05T19:20:07Z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